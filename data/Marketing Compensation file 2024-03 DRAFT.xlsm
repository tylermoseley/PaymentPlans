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edrion-my.sharepoint.com/personal/t_moseley_kedrion_com/Documents/Documents/Python/PaymentPlans_GH/PaymentPlans/data/"/>
    </mc:Choice>
  </mc:AlternateContent>
  <xr:revisionPtr revIDLastSave="561" documentId="8_{8E810D03-F9B5-4571-8114-CB4244D21B4D}" xr6:coauthVersionLast="47" xr6:coauthVersionMax="47" xr10:uidLastSave="{A2B97B1C-49EF-4FF8-A85E-40B13A3A7BC7}"/>
  <bookViews>
    <workbookView xWindow="810" yWindow="-120" windowWidth="28110" windowHeight="18240" activeTab="1" xr2:uid="{8F9DF391-3938-418F-85D4-7A9D27BFBDDD}"/>
  </bookViews>
  <sheets>
    <sheet name="Payment Changes" sheetId="4" r:id="rId1"/>
    <sheet name="Specialty" sheetId="15" r:id="rId2"/>
    <sheet name="Current NLData" sheetId="3" r:id="rId3"/>
    <sheet name="Default Collections" sheetId="7" r:id="rId4"/>
    <sheet name="Lookups" sheetId="5" r:id="rId5"/>
    <sheet name="Notes" sheetId="6" r:id="rId6"/>
    <sheet name="Sheet1" sheetId="8" r:id="rId7"/>
    <sheet name="Sheet2" sheetId="10" r:id="rId8"/>
    <sheet name="Sheet3" sheetId="16" r:id="rId9"/>
  </sheets>
  <functionGroups builtInGroupCount="19"/>
  <definedNames>
    <definedName name="_xlnm._FilterDatabase" localSheetId="0" hidden="1">'Payment Changes'!$A$1:$BB$1445</definedName>
    <definedName name="_xlnm._FilterDatabase" localSheetId="1" hidden="1">Specialty!$A$3:$L$782</definedName>
    <definedName name="CenterLU">Lookups!$A$1:$C$81</definedName>
    <definedName name="CindyLU">Lookups!$U$1:$V$18</definedName>
    <definedName name="CollectionLookups">Lookups!$L$2:$N$35</definedName>
    <definedName name="CurrentNLDataLU">'Current NLData'!$A:$M</definedName>
    <definedName name="ExternalData_1" localSheetId="2" hidden="1">'Current NLData'!$B$1:$K$3245</definedName>
    <definedName name="ExternalData_1" localSheetId="3" hidden="1">'Default Collections'!$A$1:$D$380</definedName>
    <definedName name="NLCollectionsLookup">'Current NLData'!$L:$L</definedName>
    <definedName name="NLPaymentExport">'Current NLData'!$A$1:$K$6</definedName>
    <definedName name="PaychangesLU">'Payment Changes'!$G:$G</definedName>
    <definedName name="ruleLookup2">Lookups!$A$1:$B$95</definedName>
    <definedName name="RULENAMELU">Lookups!$E:$I</definedName>
    <definedName name="SpecialtyBaseLU">'Payment Changes'!$G:$Q</definedName>
    <definedName name="SpecialtyCheckLU">Specialty!$D:$D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15" l="1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G628" i="15"/>
  <c r="G629" i="15"/>
  <c r="G630" i="15"/>
  <c r="G631" i="15"/>
  <c r="G632" i="15"/>
  <c r="G633" i="15"/>
  <c r="G634" i="15"/>
  <c r="G635" i="15"/>
  <c r="G636" i="15"/>
  <c r="G637" i="15"/>
  <c r="G638" i="15"/>
  <c r="G639" i="15"/>
  <c r="G640" i="15"/>
  <c r="G641" i="15"/>
  <c r="G642" i="15"/>
  <c r="G643" i="15"/>
  <c r="G644" i="15"/>
  <c r="G645" i="15"/>
  <c r="G646" i="15"/>
  <c r="G647" i="15"/>
  <c r="G648" i="15"/>
  <c r="G649" i="15"/>
  <c r="G650" i="15"/>
  <c r="G651" i="15"/>
  <c r="G652" i="15"/>
  <c r="G653" i="15"/>
  <c r="G654" i="15"/>
  <c r="G655" i="15"/>
  <c r="G656" i="15"/>
  <c r="G657" i="15"/>
  <c r="G658" i="15"/>
  <c r="G659" i="15"/>
  <c r="G660" i="15"/>
  <c r="G661" i="15"/>
  <c r="G662" i="15"/>
  <c r="G663" i="15"/>
  <c r="G664" i="15"/>
  <c r="G665" i="15"/>
  <c r="G666" i="15"/>
  <c r="G667" i="15"/>
  <c r="G668" i="15"/>
  <c r="G669" i="15"/>
  <c r="G670" i="15"/>
  <c r="G671" i="15"/>
  <c r="G672" i="15"/>
  <c r="G673" i="15"/>
  <c r="G674" i="15"/>
  <c r="G675" i="15"/>
  <c r="G676" i="15"/>
  <c r="G677" i="15"/>
  <c r="G678" i="15"/>
  <c r="G679" i="15"/>
  <c r="G680" i="15"/>
  <c r="G681" i="15"/>
  <c r="G682" i="15"/>
  <c r="G683" i="15"/>
  <c r="G684" i="15"/>
  <c r="G685" i="15"/>
  <c r="G686" i="15"/>
  <c r="G687" i="15"/>
  <c r="G688" i="15"/>
  <c r="G689" i="15"/>
  <c r="G690" i="15"/>
  <c r="G691" i="15"/>
  <c r="G692" i="15"/>
  <c r="G693" i="15"/>
  <c r="G694" i="15"/>
  <c r="G695" i="15"/>
  <c r="G696" i="15"/>
  <c r="G697" i="15"/>
  <c r="G698" i="15"/>
  <c r="G699" i="15"/>
  <c r="G700" i="15"/>
  <c r="G701" i="15"/>
  <c r="G702" i="15"/>
  <c r="G703" i="15"/>
  <c r="G704" i="15"/>
  <c r="G705" i="15"/>
  <c r="G706" i="15"/>
  <c r="G707" i="15"/>
  <c r="G708" i="15"/>
  <c r="G709" i="15"/>
  <c r="G710" i="15"/>
  <c r="G711" i="15"/>
  <c r="G712" i="15"/>
  <c r="G713" i="15"/>
  <c r="G714" i="15"/>
  <c r="G715" i="15"/>
  <c r="G716" i="15"/>
  <c r="G717" i="15"/>
  <c r="G718" i="15"/>
  <c r="G719" i="15"/>
  <c r="G720" i="15"/>
  <c r="G721" i="15"/>
  <c r="G722" i="15"/>
  <c r="G723" i="15"/>
  <c r="G724" i="15"/>
  <c r="G725" i="15"/>
  <c r="G726" i="15"/>
  <c r="G727" i="15"/>
  <c r="G728" i="15"/>
  <c r="G729" i="15"/>
  <c r="G730" i="15"/>
  <c r="G731" i="15"/>
  <c r="G732" i="15"/>
  <c r="G733" i="15"/>
  <c r="G734" i="15"/>
  <c r="G735" i="15"/>
  <c r="G736" i="15"/>
  <c r="G737" i="15"/>
  <c r="G738" i="15"/>
  <c r="G739" i="15"/>
  <c r="G740" i="15"/>
  <c r="G741" i="15"/>
  <c r="G742" i="15"/>
  <c r="G743" i="15"/>
  <c r="G744" i="15"/>
  <c r="G745" i="15"/>
  <c r="G746" i="15"/>
  <c r="G747" i="15"/>
  <c r="G748" i="15"/>
  <c r="G749" i="15"/>
  <c r="G750" i="15"/>
  <c r="G751" i="15"/>
  <c r="G752" i="15"/>
  <c r="G753" i="15"/>
  <c r="G754" i="15"/>
  <c r="G755" i="15"/>
  <c r="G756" i="15"/>
  <c r="G757" i="15"/>
  <c r="G758" i="15"/>
  <c r="G759" i="15"/>
  <c r="G760" i="15"/>
  <c r="G761" i="15"/>
  <c r="G762" i="15"/>
  <c r="G763" i="15"/>
  <c r="G764" i="15"/>
  <c r="G765" i="15"/>
  <c r="G766" i="15"/>
  <c r="G767" i="15"/>
  <c r="G768" i="15"/>
  <c r="G769" i="15"/>
  <c r="G770" i="15"/>
  <c r="G771" i="15"/>
  <c r="G772" i="15"/>
  <c r="G773" i="15"/>
  <c r="G774" i="15"/>
  <c r="G775" i="15"/>
  <c r="G776" i="15"/>
  <c r="G777" i="15"/>
  <c r="G778" i="15"/>
  <c r="G779" i="15"/>
  <c r="G780" i="15"/>
  <c r="G781" i="15"/>
  <c r="G782" i="15"/>
  <c r="G4" i="15"/>
  <c r="U21" i="4"/>
  <c r="U22" i="4"/>
  <c r="U23" i="4"/>
  <c r="U24" i="4"/>
  <c r="U25" i="4"/>
  <c r="U41" i="4"/>
  <c r="U42" i="4"/>
  <c r="U43" i="4"/>
  <c r="U44" i="4"/>
  <c r="U45" i="4"/>
  <c r="U61" i="4"/>
  <c r="U62" i="4"/>
  <c r="U63" i="4"/>
  <c r="U64" i="4"/>
  <c r="U65" i="4"/>
  <c r="U81" i="4"/>
  <c r="U82" i="4"/>
  <c r="U83" i="4"/>
  <c r="U84" i="4"/>
  <c r="U85" i="4"/>
  <c r="U101" i="4"/>
  <c r="U102" i="4"/>
  <c r="U103" i="4"/>
  <c r="U104" i="4"/>
  <c r="U105" i="4"/>
  <c r="U121" i="4"/>
  <c r="U122" i="4"/>
  <c r="U123" i="4"/>
  <c r="U124" i="4"/>
  <c r="U125" i="4"/>
  <c r="U141" i="4"/>
  <c r="U142" i="4"/>
  <c r="U143" i="4"/>
  <c r="U144" i="4"/>
  <c r="U145" i="4"/>
  <c r="U161" i="4"/>
  <c r="U162" i="4"/>
  <c r="U163" i="4"/>
  <c r="U164" i="4"/>
  <c r="U165" i="4"/>
  <c r="U181" i="4"/>
  <c r="U182" i="4"/>
  <c r="U183" i="4"/>
  <c r="U184" i="4"/>
  <c r="U185" i="4"/>
  <c r="U201" i="4"/>
  <c r="U202" i="4"/>
  <c r="U203" i="4"/>
  <c r="U204" i="4"/>
  <c r="U205" i="4"/>
  <c r="U221" i="4"/>
  <c r="U222" i="4"/>
  <c r="U223" i="4"/>
  <c r="U224" i="4"/>
  <c r="U225" i="4"/>
  <c r="U241" i="4"/>
  <c r="U242" i="4"/>
  <c r="U243" i="4"/>
  <c r="U244" i="4"/>
  <c r="U245" i="4"/>
  <c r="U261" i="4"/>
  <c r="U262" i="4"/>
  <c r="U263" i="4"/>
  <c r="U264" i="4"/>
  <c r="U265" i="4"/>
  <c r="U281" i="4"/>
  <c r="U282" i="4"/>
  <c r="U283" i="4"/>
  <c r="U284" i="4"/>
  <c r="U285" i="4"/>
  <c r="U301" i="4"/>
  <c r="U302" i="4"/>
  <c r="U303" i="4"/>
  <c r="U304" i="4"/>
  <c r="U305" i="4"/>
  <c r="U321" i="4"/>
  <c r="U322" i="4"/>
  <c r="U323" i="4"/>
  <c r="U324" i="4"/>
  <c r="U325" i="4"/>
  <c r="U341" i="4"/>
  <c r="U342" i="4"/>
  <c r="U343" i="4"/>
  <c r="U344" i="4"/>
  <c r="U345" i="4"/>
  <c r="U361" i="4"/>
  <c r="U362" i="4"/>
  <c r="U363" i="4"/>
  <c r="U364" i="4"/>
  <c r="U365" i="4"/>
  <c r="U381" i="4"/>
  <c r="U382" i="4"/>
  <c r="U383" i="4"/>
  <c r="U384" i="4"/>
  <c r="U385" i="4"/>
  <c r="U401" i="4"/>
  <c r="U402" i="4"/>
  <c r="U403" i="4"/>
  <c r="U404" i="4"/>
  <c r="U405" i="4"/>
  <c r="U421" i="4"/>
  <c r="U422" i="4"/>
  <c r="U423" i="4"/>
  <c r="U424" i="4"/>
  <c r="U425" i="4"/>
  <c r="U441" i="4"/>
  <c r="U442" i="4"/>
  <c r="U443" i="4"/>
  <c r="U444" i="4"/>
  <c r="U445" i="4"/>
  <c r="U461" i="4"/>
  <c r="U462" i="4"/>
  <c r="U463" i="4"/>
  <c r="U464" i="4"/>
  <c r="U465" i="4"/>
  <c r="U481" i="4"/>
  <c r="U482" i="4"/>
  <c r="U483" i="4"/>
  <c r="U484" i="4"/>
  <c r="U485" i="4"/>
  <c r="U501" i="4"/>
  <c r="U502" i="4"/>
  <c r="U503" i="4"/>
  <c r="U504" i="4"/>
  <c r="U505" i="4"/>
  <c r="U521" i="4"/>
  <c r="U522" i="4"/>
  <c r="U523" i="4"/>
  <c r="U524" i="4"/>
  <c r="U525" i="4"/>
  <c r="U541" i="4"/>
  <c r="U542" i="4"/>
  <c r="U543" i="4"/>
  <c r="U544" i="4"/>
  <c r="U545" i="4"/>
  <c r="U561" i="4"/>
  <c r="U562" i="4"/>
  <c r="U563" i="4"/>
  <c r="U564" i="4"/>
  <c r="U565" i="4"/>
  <c r="U581" i="4"/>
  <c r="U582" i="4"/>
  <c r="U583" i="4"/>
  <c r="U584" i="4"/>
  <c r="U585" i="4"/>
  <c r="U601" i="4"/>
  <c r="U602" i="4"/>
  <c r="U603" i="4"/>
  <c r="U604" i="4"/>
  <c r="U605" i="4"/>
  <c r="U621" i="4"/>
  <c r="U622" i="4"/>
  <c r="U623" i="4"/>
  <c r="U624" i="4"/>
  <c r="U625" i="4"/>
  <c r="U641" i="4"/>
  <c r="U642" i="4"/>
  <c r="U643" i="4"/>
  <c r="U644" i="4"/>
  <c r="U645" i="4"/>
  <c r="U661" i="4"/>
  <c r="U662" i="4"/>
  <c r="U663" i="4"/>
  <c r="U664" i="4"/>
  <c r="U665" i="4"/>
  <c r="U681" i="4"/>
  <c r="U682" i="4"/>
  <c r="U683" i="4"/>
  <c r="U684" i="4"/>
  <c r="U685" i="4"/>
  <c r="U701" i="4"/>
  <c r="U702" i="4"/>
  <c r="U703" i="4"/>
  <c r="U704" i="4"/>
  <c r="U705" i="4"/>
  <c r="U721" i="4"/>
  <c r="U722" i="4"/>
  <c r="U723" i="4"/>
  <c r="U724" i="4"/>
  <c r="U725" i="4"/>
  <c r="U741" i="4"/>
  <c r="U742" i="4"/>
  <c r="U743" i="4"/>
  <c r="U744" i="4"/>
  <c r="U745" i="4"/>
  <c r="U761" i="4"/>
  <c r="U762" i="4"/>
  <c r="U763" i="4"/>
  <c r="U764" i="4"/>
  <c r="U765" i="4"/>
  <c r="U781" i="4"/>
  <c r="U782" i="4"/>
  <c r="U783" i="4"/>
  <c r="U784" i="4"/>
  <c r="U785" i="4"/>
  <c r="U801" i="4"/>
  <c r="U802" i="4"/>
  <c r="U803" i="4"/>
  <c r="U804" i="4"/>
  <c r="U805" i="4"/>
  <c r="U821" i="4"/>
  <c r="U822" i="4"/>
  <c r="U823" i="4"/>
  <c r="U824" i="4"/>
  <c r="U825" i="4"/>
  <c r="U841" i="4"/>
  <c r="U842" i="4"/>
  <c r="U843" i="4"/>
  <c r="U844" i="4"/>
  <c r="U845" i="4"/>
  <c r="U861" i="4"/>
  <c r="U862" i="4"/>
  <c r="U863" i="4"/>
  <c r="U864" i="4"/>
  <c r="U865" i="4"/>
  <c r="U881" i="4"/>
  <c r="U882" i="4"/>
  <c r="U883" i="4"/>
  <c r="U884" i="4"/>
  <c r="U885" i="4"/>
  <c r="U901" i="4"/>
  <c r="U902" i="4"/>
  <c r="U903" i="4"/>
  <c r="U904" i="4"/>
  <c r="U905" i="4"/>
  <c r="U921" i="4"/>
  <c r="U922" i="4"/>
  <c r="U923" i="4"/>
  <c r="U924" i="4"/>
  <c r="U925" i="4"/>
  <c r="U941" i="4"/>
  <c r="U942" i="4"/>
  <c r="U943" i="4"/>
  <c r="U944" i="4"/>
  <c r="U945" i="4"/>
  <c r="U961" i="4"/>
  <c r="U962" i="4"/>
  <c r="U963" i="4"/>
  <c r="U964" i="4"/>
  <c r="U965" i="4"/>
  <c r="U981" i="4"/>
  <c r="U982" i="4"/>
  <c r="U983" i="4"/>
  <c r="U984" i="4"/>
  <c r="U985" i="4"/>
  <c r="U1001" i="4"/>
  <c r="U1002" i="4"/>
  <c r="U1003" i="4"/>
  <c r="U1004" i="4"/>
  <c r="U1005" i="4"/>
  <c r="U1021" i="4"/>
  <c r="U1022" i="4"/>
  <c r="U1023" i="4"/>
  <c r="U1024" i="4"/>
  <c r="U1025" i="4"/>
  <c r="U1041" i="4"/>
  <c r="U1042" i="4"/>
  <c r="U1043" i="4"/>
  <c r="U1044" i="4"/>
  <c r="U1045" i="4"/>
  <c r="U1061" i="4"/>
  <c r="U1062" i="4"/>
  <c r="U1063" i="4"/>
  <c r="U1064" i="4"/>
  <c r="U1065" i="4"/>
  <c r="U1081" i="4"/>
  <c r="U1082" i="4"/>
  <c r="U1083" i="4"/>
  <c r="U1084" i="4"/>
  <c r="U1085" i="4"/>
  <c r="U1101" i="4"/>
  <c r="U1102" i="4"/>
  <c r="U1103" i="4"/>
  <c r="U1104" i="4"/>
  <c r="U1105" i="4"/>
  <c r="U1121" i="4"/>
  <c r="U1122" i="4"/>
  <c r="U1123" i="4"/>
  <c r="U1124" i="4"/>
  <c r="U1125" i="4"/>
  <c r="U1141" i="4"/>
  <c r="U1142" i="4"/>
  <c r="U1143" i="4"/>
  <c r="U1144" i="4"/>
  <c r="U1145" i="4"/>
  <c r="U1161" i="4"/>
  <c r="U1162" i="4"/>
  <c r="U1163" i="4"/>
  <c r="U1164" i="4"/>
  <c r="U1165" i="4"/>
  <c r="U1181" i="4"/>
  <c r="U1182" i="4"/>
  <c r="U1183" i="4"/>
  <c r="U1184" i="4"/>
  <c r="U1185" i="4"/>
  <c r="U1201" i="4"/>
  <c r="U1202" i="4"/>
  <c r="U1203" i="4"/>
  <c r="U1204" i="4"/>
  <c r="U1205" i="4"/>
  <c r="U1221" i="4"/>
  <c r="U1222" i="4"/>
  <c r="U1223" i="4"/>
  <c r="U1224" i="4"/>
  <c r="U1225" i="4"/>
  <c r="U1241" i="4"/>
  <c r="U1242" i="4"/>
  <c r="U1243" i="4"/>
  <c r="U1244" i="4"/>
  <c r="U1245" i="4"/>
  <c r="U1261" i="4"/>
  <c r="U1262" i="4"/>
  <c r="U1263" i="4"/>
  <c r="U1264" i="4"/>
  <c r="U1265" i="4"/>
  <c r="U1281" i="4"/>
  <c r="U1282" i="4"/>
  <c r="U1283" i="4"/>
  <c r="U1284" i="4"/>
  <c r="U1285" i="4"/>
  <c r="U1301" i="4"/>
  <c r="U1302" i="4"/>
  <c r="U1303" i="4"/>
  <c r="U1304" i="4"/>
  <c r="U1305" i="4"/>
  <c r="U1321" i="4"/>
  <c r="U1322" i="4"/>
  <c r="U1323" i="4"/>
  <c r="U1324" i="4"/>
  <c r="U1325" i="4"/>
  <c r="U1341" i="4"/>
  <c r="U1342" i="4"/>
  <c r="U1343" i="4"/>
  <c r="U1344" i="4"/>
  <c r="U1345" i="4"/>
  <c r="U1361" i="4"/>
  <c r="U1362" i="4"/>
  <c r="U1363" i="4"/>
  <c r="U1364" i="4"/>
  <c r="U1365" i="4"/>
  <c r="U1381" i="4"/>
  <c r="U1382" i="4"/>
  <c r="U1383" i="4"/>
  <c r="U1384" i="4"/>
  <c r="U1385" i="4"/>
  <c r="U1401" i="4"/>
  <c r="U1402" i="4"/>
  <c r="U1403" i="4"/>
  <c r="U1404" i="4"/>
  <c r="U1405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80" i="4"/>
  <c r="S281" i="4"/>
  <c r="S282" i="4"/>
  <c r="S283" i="4"/>
  <c r="S284" i="4"/>
  <c r="S285" i="4"/>
  <c r="S286" i="4"/>
  <c r="S287" i="4"/>
  <c r="S288" i="4"/>
  <c r="S289" i="4"/>
  <c r="S290" i="4"/>
  <c r="S291" i="4"/>
  <c r="S292" i="4"/>
  <c r="S293" i="4"/>
  <c r="S294" i="4"/>
  <c r="S295" i="4"/>
  <c r="S296" i="4"/>
  <c r="S297" i="4"/>
  <c r="S298" i="4"/>
  <c r="S299" i="4"/>
  <c r="S300" i="4"/>
  <c r="S301" i="4"/>
  <c r="S302" i="4"/>
  <c r="S303" i="4"/>
  <c r="S304" i="4"/>
  <c r="S305" i="4"/>
  <c r="S306" i="4"/>
  <c r="S307" i="4"/>
  <c r="S308" i="4"/>
  <c r="S309" i="4"/>
  <c r="S310" i="4"/>
  <c r="S311" i="4"/>
  <c r="S312" i="4"/>
  <c r="S313" i="4"/>
  <c r="S314" i="4"/>
  <c r="S315" i="4"/>
  <c r="S316" i="4"/>
  <c r="S317" i="4"/>
  <c r="S318" i="4"/>
  <c r="S319" i="4"/>
  <c r="S320" i="4"/>
  <c r="S321" i="4"/>
  <c r="S322" i="4"/>
  <c r="S323" i="4"/>
  <c r="S324" i="4"/>
  <c r="S325" i="4"/>
  <c r="S326" i="4"/>
  <c r="S327" i="4"/>
  <c r="S328" i="4"/>
  <c r="S329" i="4"/>
  <c r="S330" i="4"/>
  <c r="S331" i="4"/>
  <c r="S332" i="4"/>
  <c r="S333" i="4"/>
  <c r="S334" i="4"/>
  <c r="S335" i="4"/>
  <c r="S336" i="4"/>
  <c r="S337" i="4"/>
  <c r="S338" i="4"/>
  <c r="S339" i="4"/>
  <c r="S340" i="4"/>
  <c r="S341" i="4"/>
  <c r="S342" i="4"/>
  <c r="S343" i="4"/>
  <c r="S344" i="4"/>
  <c r="S345" i="4"/>
  <c r="S346" i="4"/>
  <c r="S347" i="4"/>
  <c r="S348" i="4"/>
  <c r="S349" i="4"/>
  <c r="S350" i="4"/>
  <c r="S351" i="4"/>
  <c r="S352" i="4"/>
  <c r="S353" i="4"/>
  <c r="S354" i="4"/>
  <c r="S355" i="4"/>
  <c r="S356" i="4"/>
  <c r="S357" i="4"/>
  <c r="S358" i="4"/>
  <c r="S359" i="4"/>
  <c r="S360" i="4"/>
  <c r="S361" i="4"/>
  <c r="S362" i="4"/>
  <c r="S363" i="4"/>
  <c r="S364" i="4"/>
  <c r="S365" i="4"/>
  <c r="S366" i="4"/>
  <c r="S367" i="4"/>
  <c r="S368" i="4"/>
  <c r="S369" i="4"/>
  <c r="S370" i="4"/>
  <c r="S371" i="4"/>
  <c r="S372" i="4"/>
  <c r="S373" i="4"/>
  <c r="S374" i="4"/>
  <c r="S375" i="4"/>
  <c r="S376" i="4"/>
  <c r="S377" i="4"/>
  <c r="S378" i="4"/>
  <c r="S379" i="4"/>
  <c r="S380" i="4"/>
  <c r="S381" i="4"/>
  <c r="S382" i="4"/>
  <c r="S383" i="4"/>
  <c r="S384" i="4"/>
  <c r="S385" i="4"/>
  <c r="S386" i="4"/>
  <c r="S387" i="4"/>
  <c r="S388" i="4"/>
  <c r="S389" i="4"/>
  <c r="S390" i="4"/>
  <c r="S391" i="4"/>
  <c r="S392" i="4"/>
  <c r="S393" i="4"/>
  <c r="S394" i="4"/>
  <c r="S395" i="4"/>
  <c r="S396" i="4"/>
  <c r="S397" i="4"/>
  <c r="S398" i="4"/>
  <c r="S399" i="4"/>
  <c r="S400" i="4"/>
  <c r="S401" i="4"/>
  <c r="S402" i="4"/>
  <c r="S403" i="4"/>
  <c r="S404" i="4"/>
  <c r="S405" i="4"/>
  <c r="S406" i="4"/>
  <c r="S407" i="4"/>
  <c r="S408" i="4"/>
  <c r="S409" i="4"/>
  <c r="S410" i="4"/>
  <c r="S411" i="4"/>
  <c r="S412" i="4"/>
  <c r="S413" i="4"/>
  <c r="S414" i="4"/>
  <c r="S415" i="4"/>
  <c r="S416" i="4"/>
  <c r="S417" i="4"/>
  <c r="S418" i="4"/>
  <c r="S419" i="4"/>
  <c r="S420" i="4"/>
  <c r="S421" i="4"/>
  <c r="S422" i="4"/>
  <c r="S423" i="4"/>
  <c r="S424" i="4"/>
  <c r="S425" i="4"/>
  <c r="S426" i="4"/>
  <c r="S427" i="4"/>
  <c r="S428" i="4"/>
  <c r="S429" i="4"/>
  <c r="S430" i="4"/>
  <c r="S431" i="4"/>
  <c r="S432" i="4"/>
  <c r="S433" i="4"/>
  <c r="S434" i="4"/>
  <c r="S435" i="4"/>
  <c r="S436" i="4"/>
  <c r="S437" i="4"/>
  <c r="S438" i="4"/>
  <c r="S439" i="4"/>
  <c r="S440" i="4"/>
  <c r="S441" i="4"/>
  <c r="S442" i="4"/>
  <c r="S443" i="4"/>
  <c r="S444" i="4"/>
  <c r="S445" i="4"/>
  <c r="S446" i="4"/>
  <c r="S447" i="4"/>
  <c r="S448" i="4"/>
  <c r="S449" i="4"/>
  <c r="S450" i="4"/>
  <c r="S451" i="4"/>
  <c r="S452" i="4"/>
  <c r="S453" i="4"/>
  <c r="S454" i="4"/>
  <c r="S455" i="4"/>
  <c r="S456" i="4"/>
  <c r="S457" i="4"/>
  <c r="S458" i="4"/>
  <c r="S459" i="4"/>
  <c r="S460" i="4"/>
  <c r="S461" i="4"/>
  <c r="S462" i="4"/>
  <c r="S463" i="4"/>
  <c r="S464" i="4"/>
  <c r="S465" i="4"/>
  <c r="S466" i="4"/>
  <c r="S467" i="4"/>
  <c r="S468" i="4"/>
  <c r="S469" i="4"/>
  <c r="S470" i="4"/>
  <c r="S471" i="4"/>
  <c r="S472" i="4"/>
  <c r="S473" i="4"/>
  <c r="S474" i="4"/>
  <c r="S475" i="4"/>
  <c r="S476" i="4"/>
  <c r="S477" i="4"/>
  <c r="S478" i="4"/>
  <c r="S479" i="4"/>
  <c r="S480" i="4"/>
  <c r="S481" i="4"/>
  <c r="S482" i="4"/>
  <c r="S483" i="4"/>
  <c r="S484" i="4"/>
  <c r="S485" i="4"/>
  <c r="S486" i="4"/>
  <c r="S487" i="4"/>
  <c r="S488" i="4"/>
  <c r="S489" i="4"/>
  <c r="S490" i="4"/>
  <c r="S491" i="4"/>
  <c r="S492" i="4"/>
  <c r="S493" i="4"/>
  <c r="S494" i="4"/>
  <c r="S495" i="4"/>
  <c r="S496" i="4"/>
  <c r="S497" i="4"/>
  <c r="S498" i="4"/>
  <c r="S499" i="4"/>
  <c r="S500" i="4"/>
  <c r="S501" i="4"/>
  <c r="S502" i="4"/>
  <c r="S503" i="4"/>
  <c r="S504" i="4"/>
  <c r="S505" i="4"/>
  <c r="S506" i="4"/>
  <c r="S507" i="4"/>
  <c r="S508" i="4"/>
  <c r="S509" i="4"/>
  <c r="S510" i="4"/>
  <c r="S511" i="4"/>
  <c r="S512" i="4"/>
  <c r="S513" i="4"/>
  <c r="S514" i="4"/>
  <c r="S515" i="4"/>
  <c r="S516" i="4"/>
  <c r="S517" i="4"/>
  <c r="S518" i="4"/>
  <c r="S519" i="4"/>
  <c r="S520" i="4"/>
  <c r="S521" i="4"/>
  <c r="S522" i="4"/>
  <c r="S523" i="4"/>
  <c r="S524" i="4"/>
  <c r="S525" i="4"/>
  <c r="S526" i="4"/>
  <c r="S527" i="4"/>
  <c r="S528" i="4"/>
  <c r="S529" i="4"/>
  <c r="S530" i="4"/>
  <c r="S531" i="4"/>
  <c r="S532" i="4"/>
  <c r="S533" i="4"/>
  <c r="S534" i="4"/>
  <c r="S535" i="4"/>
  <c r="S536" i="4"/>
  <c r="S537" i="4"/>
  <c r="S538" i="4"/>
  <c r="S539" i="4"/>
  <c r="S540" i="4"/>
  <c r="S541" i="4"/>
  <c r="S542" i="4"/>
  <c r="S543" i="4"/>
  <c r="S544" i="4"/>
  <c r="S545" i="4"/>
  <c r="S546" i="4"/>
  <c r="S547" i="4"/>
  <c r="S548" i="4"/>
  <c r="S549" i="4"/>
  <c r="S550" i="4"/>
  <c r="S551" i="4"/>
  <c r="S552" i="4"/>
  <c r="S553" i="4"/>
  <c r="S554" i="4"/>
  <c r="S555" i="4"/>
  <c r="S556" i="4"/>
  <c r="S557" i="4"/>
  <c r="S558" i="4"/>
  <c r="S559" i="4"/>
  <c r="S560" i="4"/>
  <c r="S561" i="4"/>
  <c r="S562" i="4"/>
  <c r="S563" i="4"/>
  <c r="S564" i="4"/>
  <c r="S565" i="4"/>
  <c r="S566" i="4"/>
  <c r="S567" i="4"/>
  <c r="S568" i="4"/>
  <c r="S569" i="4"/>
  <c r="S570" i="4"/>
  <c r="S571" i="4"/>
  <c r="S572" i="4"/>
  <c r="S573" i="4"/>
  <c r="S574" i="4"/>
  <c r="S575" i="4"/>
  <c r="S576" i="4"/>
  <c r="S577" i="4"/>
  <c r="S578" i="4"/>
  <c r="S579" i="4"/>
  <c r="S580" i="4"/>
  <c r="S581" i="4"/>
  <c r="S582" i="4"/>
  <c r="S583" i="4"/>
  <c r="S584" i="4"/>
  <c r="S585" i="4"/>
  <c r="S586" i="4"/>
  <c r="S587" i="4"/>
  <c r="S588" i="4"/>
  <c r="S589" i="4"/>
  <c r="S590" i="4"/>
  <c r="S591" i="4"/>
  <c r="S592" i="4"/>
  <c r="S593" i="4"/>
  <c r="S594" i="4"/>
  <c r="S595" i="4"/>
  <c r="S596" i="4"/>
  <c r="S597" i="4"/>
  <c r="S598" i="4"/>
  <c r="S599" i="4"/>
  <c r="S600" i="4"/>
  <c r="S601" i="4"/>
  <c r="S602" i="4"/>
  <c r="S603" i="4"/>
  <c r="S604" i="4"/>
  <c r="S605" i="4"/>
  <c r="S606" i="4"/>
  <c r="S607" i="4"/>
  <c r="S608" i="4"/>
  <c r="S609" i="4"/>
  <c r="S610" i="4"/>
  <c r="S611" i="4"/>
  <c r="S612" i="4"/>
  <c r="S613" i="4"/>
  <c r="S614" i="4"/>
  <c r="S615" i="4"/>
  <c r="S616" i="4"/>
  <c r="S617" i="4"/>
  <c r="S618" i="4"/>
  <c r="S619" i="4"/>
  <c r="S620" i="4"/>
  <c r="S621" i="4"/>
  <c r="S622" i="4"/>
  <c r="S623" i="4"/>
  <c r="S624" i="4"/>
  <c r="S625" i="4"/>
  <c r="S626" i="4"/>
  <c r="S627" i="4"/>
  <c r="S628" i="4"/>
  <c r="S629" i="4"/>
  <c r="S630" i="4"/>
  <c r="S631" i="4"/>
  <c r="S632" i="4"/>
  <c r="S633" i="4"/>
  <c r="S634" i="4"/>
  <c r="S635" i="4"/>
  <c r="S636" i="4"/>
  <c r="S637" i="4"/>
  <c r="S638" i="4"/>
  <c r="S639" i="4"/>
  <c r="S640" i="4"/>
  <c r="S641" i="4"/>
  <c r="S642" i="4"/>
  <c r="S643" i="4"/>
  <c r="S644" i="4"/>
  <c r="S645" i="4"/>
  <c r="S646" i="4"/>
  <c r="S647" i="4"/>
  <c r="S648" i="4"/>
  <c r="S649" i="4"/>
  <c r="S650" i="4"/>
  <c r="S651" i="4"/>
  <c r="S652" i="4"/>
  <c r="S653" i="4"/>
  <c r="S654" i="4"/>
  <c r="S655" i="4"/>
  <c r="S656" i="4"/>
  <c r="S657" i="4"/>
  <c r="S658" i="4"/>
  <c r="S659" i="4"/>
  <c r="S660" i="4"/>
  <c r="S661" i="4"/>
  <c r="S662" i="4"/>
  <c r="S663" i="4"/>
  <c r="S664" i="4"/>
  <c r="S665" i="4"/>
  <c r="S666" i="4"/>
  <c r="S667" i="4"/>
  <c r="S668" i="4"/>
  <c r="S669" i="4"/>
  <c r="S670" i="4"/>
  <c r="S671" i="4"/>
  <c r="S672" i="4"/>
  <c r="S673" i="4"/>
  <c r="S674" i="4"/>
  <c r="S675" i="4"/>
  <c r="S676" i="4"/>
  <c r="S677" i="4"/>
  <c r="S678" i="4"/>
  <c r="S679" i="4"/>
  <c r="S680" i="4"/>
  <c r="S681" i="4"/>
  <c r="S682" i="4"/>
  <c r="S683" i="4"/>
  <c r="S684" i="4"/>
  <c r="S685" i="4"/>
  <c r="S686" i="4"/>
  <c r="S687" i="4"/>
  <c r="S688" i="4"/>
  <c r="S689" i="4"/>
  <c r="S690" i="4"/>
  <c r="S691" i="4"/>
  <c r="S692" i="4"/>
  <c r="S693" i="4"/>
  <c r="S694" i="4"/>
  <c r="S695" i="4"/>
  <c r="S696" i="4"/>
  <c r="S697" i="4"/>
  <c r="S698" i="4"/>
  <c r="S699" i="4"/>
  <c r="S700" i="4"/>
  <c r="S701" i="4"/>
  <c r="S702" i="4"/>
  <c r="S703" i="4"/>
  <c r="S704" i="4"/>
  <c r="S705" i="4"/>
  <c r="S706" i="4"/>
  <c r="S707" i="4"/>
  <c r="S708" i="4"/>
  <c r="S709" i="4"/>
  <c r="S710" i="4"/>
  <c r="S711" i="4"/>
  <c r="S712" i="4"/>
  <c r="S713" i="4"/>
  <c r="S714" i="4"/>
  <c r="S715" i="4"/>
  <c r="S716" i="4"/>
  <c r="S717" i="4"/>
  <c r="S718" i="4"/>
  <c r="S719" i="4"/>
  <c r="S720" i="4"/>
  <c r="S721" i="4"/>
  <c r="S722" i="4"/>
  <c r="S723" i="4"/>
  <c r="S724" i="4"/>
  <c r="S725" i="4"/>
  <c r="S726" i="4"/>
  <c r="S727" i="4"/>
  <c r="S728" i="4"/>
  <c r="S729" i="4"/>
  <c r="S730" i="4"/>
  <c r="S731" i="4"/>
  <c r="S732" i="4"/>
  <c r="S733" i="4"/>
  <c r="S734" i="4"/>
  <c r="S735" i="4"/>
  <c r="S736" i="4"/>
  <c r="S737" i="4"/>
  <c r="S738" i="4"/>
  <c r="S739" i="4"/>
  <c r="S740" i="4"/>
  <c r="S741" i="4"/>
  <c r="S742" i="4"/>
  <c r="S743" i="4"/>
  <c r="S744" i="4"/>
  <c r="S745" i="4"/>
  <c r="S746" i="4"/>
  <c r="S747" i="4"/>
  <c r="S748" i="4"/>
  <c r="S749" i="4"/>
  <c r="S750" i="4"/>
  <c r="S751" i="4"/>
  <c r="S752" i="4"/>
  <c r="S753" i="4"/>
  <c r="S754" i="4"/>
  <c r="S755" i="4"/>
  <c r="S756" i="4"/>
  <c r="S757" i="4"/>
  <c r="S758" i="4"/>
  <c r="S759" i="4"/>
  <c r="S760" i="4"/>
  <c r="S761" i="4"/>
  <c r="S762" i="4"/>
  <c r="S763" i="4"/>
  <c r="S764" i="4"/>
  <c r="S765" i="4"/>
  <c r="S766" i="4"/>
  <c r="S767" i="4"/>
  <c r="S768" i="4"/>
  <c r="S769" i="4"/>
  <c r="S770" i="4"/>
  <c r="S771" i="4"/>
  <c r="S772" i="4"/>
  <c r="S773" i="4"/>
  <c r="S774" i="4"/>
  <c r="S775" i="4"/>
  <c r="S776" i="4"/>
  <c r="S777" i="4"/>
  <c r="S778" i="4"/>
  <c r="S779" i="4"/>
  <c r="S780" i="4"/>
  <c r="S781" i="4"/>
  <c r="S782" i="4"/>
  <c r="S783" i="4"/>
  <c r="S784" i="4"/>
  <c r="S785" i="4"/>
  <c r="S786" i="4"/>
  <c r="S787" i="4"/>
  <c r="S788" i="4"/>
  <c r="S789" i="4"/>
  <c r="S790" i="4"/>
  <c r="S791" i="4"/>
  <c r="S792" i="4"/>
  <c r="S793" i="4"/>
  <c r="S794" i="4"/>
  <c r="S795" i="4"/>
  <c r="S796" i="4"/>
  <c r="S797" i="4"/>
  <c r="S798" i="4"/>
  <c r="S799" i="4"/>
  <c r="S800" i="4"/>
  <c r="S801" i="4"/>
  <c r="S802" i="4"/>
  <c r="S803" i="4"/>
  <c r="S804" i="4"/>
  <c r="S805" i="4"/>
  <c r="S806" i="4"/>
  <c r="S807" i="4"/>
  <c r="S808" i="4"/>
  <c r="S809" i="4"/>
  <c r="S810" i="4"/>
  <c r="S811" i="4"/>
  <c r="S812" i="4"/>
  <c r="S813" i="4"/>
  <c r="S814" i="4"/>
  <c r="S815" i="4"/>
  <c r="S816" i="4"/>
  <c r="S817" i="4"/>
  <c r="S818" i="4"/>
  <c r="S819" i="4"/>
  <c r="S820" i="4"/>
  <c r="S821" i="4"/>
  <c r="S822" i="4"/>
  <c r="S823" i="4"/>
  <c r="S824" i="4"/>
  <c r="S825" i="4"/>
  <c r="S826" i="4"/>
  <c r="S827" i="4"/>
  <c r="S828" i="4"/>
  <c r="S829" i="4"/>
  <c r="S830" i="4"/>
  <c r="S831" i="4"/>
  <c r="S832" i="4"/>
  <c r="S833" i="4"/>
  <c r="S834" i="4"/>
  <c r="S835" i="4"/>
  <c r="S836" i="4"/>
  <c r="S837" i="4"/>
  <c r="S838" i="4"/>
  <c r="S839" i="4"/>
  <c r="S840" i="4"/>
  <c r="S841" i="4"/>
  <c r="S842" i="4"/>
  <c r="S843" i="4"/>
  <c r="S844" i="4"/>
  <c r="S845" i="4"/>
  <c r="S846" i="4"/>
  <c r="S847" i="4"/>
  <c r="S848" i="4"/>
  <c r="S849" i="4"/>
  <c r="S850" i="4"/>
  <c r="S851" i="4"/>
  <c r="S852" i="4"/>
  <c r="S853" i="4"/>
  <c r="S854" i="4"/>
  <c r="S855" i="4"/>
  <c r="S856" i="4"/>
  <c r="S857" i="4"/>
  <c r="S858" i="4"/>
  <c r="S859" i="4"/>
  <c r="S860" i="4"/>
  <c r="S861" i="4"/>
  <c r="S862" i="4"/>
  <c r="S863" i="4"/>
  <c r="S864" i="4"/>
  <c r="S865" i="4"/>
  <c r="S866" i="4"/>
  <c r="S867" i="4"/>
  <c r="S868" i="4"/>
  <c r="S869" i="4"/>
  <c r="S870" i="4"/>
  <c r="S871" i="4"/>
  <c r="S872" i="4"/>
  <c r="S873" i="4"/>
  <c r="S874" i="4"/>
  <c r="S875" i="4"/>
  <c r="S876" i="4"/>
  <c r="S877" i="4"/>
  <c r="S878" i="4"/>
  <c r="S879" i="4"/>
  <c r="S880" i="4"/>
  <c r="S881" i="4"/>
  <c r="S882" i="4"/>
  <c r="S883" i="4"/>
  <c r="S884" i="4"/>
  <c r="S885" i="4"/>
  <c r="S886" i="4"/>
  <c r="S887" i="4"/>
  <c r="S888" i="4"/>
  <c r="S889" i="4"/>
  <c r="S890" i="4"/>
  <c r="S891" i="4"/>
  <c r="S892" i="4"/>
  <c r="S893" i="4"/>
  <c r="S894" i="4"/>
  <c r="S895" i="4"/>
  <c r="S896" i="4"/>
  <c r="S897" i="4"/>
  <c r="S898" i="4"/>
  <c r="S899" i="4"/>
  <c r="S900" i="4"/>
  <c r="S901" i="4"/>
  <c r="S902" i="4"/>
  <c r="S903" i="4"/>
  <c r="S904" i="4"/>
  <c r="S905" i="4"/>
  <c r="S906" i="4"/>
  <c r="S907" i="4"/>
  <c r="S908" i="4"/>
  <c r="S909" i="4"/>
  <c r="S910" i="4"/>
  <c r="S911" i="4"/>
  <c r="S912" i="4"/>
  <c r="S913" i="4"/>
  <c r="S914" i="4"/>
  <c r="S915" i="4"/>
  <c r="S916" i="4"/>
  <c r="S917" i="4"/>
  <c r="S918" i="4"/>
  <c r="S919" i="4"/>
  <c r="S920" i="4"/>
  <c r="S921" i="4"/>
  <c r="S922" i="4"/>
  <c r="S923" i="4"/>
  <c r="S924" i="4"/>
  <c r="S925" i="4"/>
  <c r="S926" i="4"/>
  <c r="S927" i="4"/>
  <c r="S928" i="4"/>
  <c r="S929" i="4"/>
  <c r="S930" i="4"/>
  <c r="S931" i="4"/>
  <c r="S932" i="4"/>
  <c r="S933" i="4"/>
  <c r="S934" i="4"/>
  <c r="S935" i="4"/>
  <c r="S936" i="4"/>
  <c r="S937" i="4"/>
  <c r="S938" i="4"/>
  <c r="S939" i="4"/>
  <c r="S940" i="4"/>
  <c r="S941" i="4"/>
  <c r="S942" i="4"/>
  <c r="S943" i="4"/>
  <c r="S944" i="4"/>
  <c r="S945" i="4"/>
  <c r="S946" i="4"/>
  <c r="S947" i="4"/>
  <c r="S948" i="4"/>
  <c r="S949" i="4"/>
  <c r="S950" i="4"/>
  <c r="S951" i="4"/>
  <c r="S952" i="4"/>
  <c r="S953" i="4"/>
  <c r="S954" i="4"/>
  <c r="S955" i="4"/>
  <c r="S956" i="4"/>
  <c r="S957" i="4"/>
  <c r="S958" i="4"/>
  <c r="S959" i="4"/>
  <c r="S960" i="4"/>
  <c r="S961" i="4"/>
  <c r="S962" i="4"/>
  <c r="S963" i="4"/>
  <c r="S964" i="4"/>
  <c r="S965" i="4"/>
  <c r="S966" i="4"/>
  <c r="S967" i="4"/>
  <c r="S968" i="4"/>
  <c r="S969" i="4"/>
  <c r="S970" i="4"/>
  <c r="S971" i="4"/>
  <c r="S972" i="4"/>
  <c r="S973" i="4"/>
  <c r="S974" i="4"/>
  <c r="S975" i="4"/>
  <c r="S976" i="4"/>
  <c r="S977" i="4"/>
  <c r="S978" i="4"/>
  <c r="S979" i="4"/>
  <c r="S980" i="4"/>
  <c r="S981" i="4"/>
  <c r="S982" i="4"/>
  <c r="S983" i="4"/>
  <c r="S984" i="4"/>
  <c r="S985" i="4"/>
  <c r="S986" i="4"/>
  <c r="S987" i="4"/>
  <c r="S988" i="4"/>
  <c r="S989" i="4"/>
  <c r="S990" i="4"/>
  <c r="S991" i="4"/>
  <c r="S992" i="4"/>
  <c r="S993" i="4"/>
  <c r="S994" i="4"/>
  <c r="S995" i="4"/>
  <c r="S996" i="4"/>
  <c r="S997" i="4"/>
  <c r="S998" i="4"/>
  <c r="S999" i="4"/>
  <c r="S1000" i="4"/>
  <c r="S1001" i="4"/>
  <c r="S1002" i="4"/>
  <c r="S1003" i="4"/>
  <c r="S1004" i="4"/>
  <c r="S1005" i="4"/>
  <c r="S1006" i="4"/>
  <c r="S1007" i="4"/>
  <c r="S1008" i="4"/>
  <c r="S1009" i="4"/>
  <c r="S1010" i="4"/>
  <c r="S1011" i="4"/>
  <c r="S1012" i="4"/>
  <c r="S1013" i="4"/>
  <c r="S1014" i="4"/>
  <c r="S1015" i="4"/>
  <c r="S1016" i="4"/>
  <c r="S1017" i="4"/>
  <c r="S1018" i="4"/>
  <c r="S1019" i="4"/>
  <c r="S1020" i="4"/>
  <c r="S1021" i="4"/>
  <c r="S1022" i="4"/>
  <c r="S1023" i="4"/>
  <c r="S1024" i="4"/>
  <c r="S1025" i="4"/>
  <c r="S1026" i="4"/>
  <c r="S1027" i="4"/>
  <c r="S1028" i="4"/>
  <c r="S1029" i="4"/>
  <c r="S1030" i="4"/>
  <c r="S1031" i="4"/>
  <c r="S1032" i="4"/>
  <c r="S1033" i="4"/>
  <c r="S1034" i="4"/>
  <c r="S1035" i="4"/>
  <c r="S1036" i="4"/>
  <c r="S1037" i="4"/>
  <c r="S1038" i="4"/>
  <c r="S1039" i="4"/>
  <c r="S1040" i="4"/>
  <c r="S1041" i="4"/>
  <c r="S1042" i="4"/>
  <c r="S1043" i="4"/>
  <c r="S1044" i="4"/>
  <c r="S1045" i="4"/>
  <c r="S1046" i="4"/>
  <c r="S1047" i="4"/>
  <c r="S1048" i="4"/>
  <c r="S1049" i="4"/>
  <c r="S1050" i="4"/>
  <c r="S1051" i="4"/>
  <c r="S1052" i="4"/>
  <c r="S1053" i="4"/>
  <c r="S1054" i="4"/>
  <c r="S1055" i="4"/>
  <c r="S1056" i="4"/>
  <c r="S1057" i="4"/>
  <c r="S1058" i="4"/>
  <c r="S1059" i="4"/>
  <c r="S1060" i="4"/>
  <c r="S1061" i="4"/>
  <c r="S1062" i="4"/>
  <c r="S1063" i="4"/>
  <c r="S1064" i="4"/>
  <c r="S1065" i="4"/>
  <c r="S1066" i="4"/>
  <c r="S1067" i="4"/>
  <c r="S1068" i="4"/>
  <c r="S1069" i="4"/>
  <c r="S1070" i="4"/>
  <c r="S1071" i="4"/>
  <c r="S1072" i="4"/>
  <c r="S1073" i="4"/>
  <c r="S1074" i="4"/>
  <c r="S1075" i="4"/>
  <c r="S1076" i="4"/>
  <c r="S1077" i="4"/>
  <c r="S1078" i="4"/>
  <c r="S1079" i="4"/>
  <c r="S1080" i="4"/>
  <c r="S1081" i="4"/>
  <c r="S1082" i="4"/>
  <c r="S1083" i="4"/>
  <c r="S1084" i="4"/>
  <c r="S1085" i="4"/>
  <c r="S1086" i="4"/>
  <c r="S1087" i="4"/>
  <c r="S1088" i="4"/>
  <c r="S1089" i="4"/>
  <c r="S1090" i="4"/>
  <c r="S1091" i="4"/>
  <c r="S1092" i="4"/>
  <c r="S1093" i="4"/>
  <c r="S1094" i="4"/>
  <c r="S1095" i="4"/>
  <c r="S1096" i="4"/>
  <c r="S1097" i="4"/>
  <c r="S1098" i="4"/>
  <c r="S1099" i="4"/>
  <c r="S1100" i="4"/>
  <c r="S1101" i="4"/>
  <c r="S1102" i="4"/>
  <c r="S1103" i="4"/>
  <c r="S1104" i="4"/>
  <c r="S1105" i="4"/>
  <c r="S1106" i="4"/>
  <c r="S1107" i="4"/>
  <c r="S1108" i="4"/>
  <c r="S1109" i="4"/>
  <c r="S1110" i="4"/>
  <c r="S1111" i="4"/>
  <c r="S1112" i="4"/>
  <c r="S1113" i="4"/>
  <c r="S1114" i="4"/>
  <c r="S1115" i="4"/>
  <c r="S1116" i="4"/>
  <c r="S1117" i="4"/>
  <c r="S1118" i="4"/>
  <c r="S1119" i="4"/>
  <c r="S1120" i="4"/>
  <c r="S1121" i="4"/>
  <c r="S1122" i="4"/>
  <c r="S1123" i="4"/>
  <c r="S1124" i="4"/>
  <c r="S1125" i="4"/>
  <c r="S1126" i="4"/>
  <c r="S1127" i="4"/>
  <c r="S1128" i="4"/>
  <c r="S1129" i="4"/>
  <c r="S1130" i="4"/>
  <c r="S1131" i="4"/>
  <c r="S1132" i="4"/>
  <c r="S1133" i="4"/>
  <c r="S1134" i="4"/>
  <c r="S1135" i="4"/>
  <c r="S1136" i="4"/>
  <c r="S1137" i="4"/>
  <c r="S1138" i="4"/>
  <c r="S1139" i="4"/>
  <c r="S1140" i="4"/>
  <c r="S1141" i="4"/>
  <c r="S1142" i="4"/>
  <c r="S1143" i="4"/>
  <c r="S1144" i="4"/>
  <c r="S1145" i="4"/>
  <c r="S1146" i="4"/>
  <c r="S1147" i="4"/>
  <c r="S1148" i="4"/>
  <c r="S1149" i="4"/>
  <c r="S1150" i="4"/>
  <c r="S1151" i="4"/>
  <c r="S1152" i="4"/>
  <c r="S1153" i="4"/>
  <c r="S1154" i="4"/>
  <c r="S1155" i="4"/>
  <c r="S1156" i="4"/>
  <c r="S1157" i="4"/>
  <c r="S1158" i="4"/>
  <c r="S1159" i="4"/>
  <c r="S1160" i="4"/>
  <c r="S1161" i="4"/>
  <c r="S1162" i="4"/>
  <c r="S1163" i="4"/>
  <c r="S1164" i="4"/>
  <c r="S1165" i="4"/>
  <c r="S1166" i="4"/>
  <c r="S1167" i="4"/>
  <c r="S1168" i="4"/>
  <c r="S1169" i="4"/>
  <c r="S1170" i="4"/>
  <c r="S1171" i="4"/>
  <c r="S1172" i="4"/>
  <c r="S1173" i="4"/>
  <c r="S1174" i="4"/>
  <c r="S1175" i="4"/>
  <c r="S1176" i="4"/>
  <c r="S1177" i="4"/>
  <c r="S1178" i="4"/>
  <c r="S1179" i="4"/>
  <c r="S1180" i="4"/>
  <c r="S1181" i="4"/>
  <c r="S1182" i="4"/>
  <c r="S1183" i="4"/>
  <c r="S1184" i="4"/>
  <c r="S1185" i="4"/>
  <c r="S1186" i="4"/>
  <c r="S1187" i="4"/>
  <c r="S1188" i="4"/>
  <c r="S1189" i="4"/>
  <c r="S1190" i="4"/>
  <c r="S1191" i="4"/>
  <c r="S1192" i="4"/>
  <c r="S1193" i="4"/>
  <c r="S1194" i="4"/>
  <c r="S1195" i="4"/>
  <c r="S1196" i="4"/>
  <c r="S1197" i="4"/>
  <c r="S1198" i="4"/>
  <c r="S1199" i="4"/>
  <c r="S1200" i="4"/>
  <c r="S1201" i="4"/>
  <c r="S1202" i="4"/>
  <c r="S1203" i="4"/>
  <c r="S1204" i="4"/>
  <c r="S1205" i="4"/>
  <c r="S1206" i="4"/>
  <c r="S1207" i="4"/>
  <c r="S1208" i="4"/>
  <c r="S1209" i="4"/>
  <c r="S1210" i="4"/>
  <c r="S1211" i="4"/>
  <c r="S1212" i="4"/>
  <c r="S1213" i="4"/>
  <c r="S1214" i="4"/>
  <c r="S1215" i="4"/>
  <c r="S1216" i="4"/>
  <c r="S1217" i="4"/>
  <c r="S1218" i="4"/>
  <c r="S1219" i="4"/>
  <c r="S1220" i="4"/>
  <c r="S1221" i="4"/>
  <c r="S1222" i="4"/>
  <c r="S1223" i="4"/>
  <c r="S1224" i="4"/>
  <c r="S1225" i="4"/>
  <c r="S1226" i="4"/>
  <c r="S1227" i="4"/>
  <c r="S1228" i="4"/>
  <c r="S1229" i="4"/>
  <c r="S1230" i="4"/>
  <c r="S1231" i="4"/>
  <c r="S1232" i="4"/>
  <c r="S1233" i="4"/>
  <c r="S1234" i="4"/>
  <c r="S1235" i="4"/>
  <c r="S1236" i="4"/>
  <c r="S1237" i="4"/>
  <c r="S1238" i="4"/>
  <c r="S1239" i="4"/>
  <c r="S1240" i="4"/>
  <c r="S1241" i="4"/>
  <c r="S1242" i="4"/>
  <c r="S1243" i="4"/>
  <c r="S1244" i="4"/>
  <c r="S1245" i="4"/>
  <c r="S1246" i="4"/>
  <c r="S1247" i="4"/>
  <c r="S1248" i="4"/>
  <c r="S1249" i="4"/>
  <c r="S1250" i="4"/>
  <c r="S1251" i="4"/>
  <c r="S1252" i="4"/>
  <c r="S1253" i="4"/>
  <c r="S1254" i="4"/>
  <c r="S1255" i="4"/>
  <c r="S1256" i="4"/>
  <c r="S1257" i="4"/>
  <c r="S1258" i="4"/>
  <c r="S1259" i="4"/>
  <c r="S1260" i="4"/>
  <c r="S1261" i="4"/>
  <c r="S1262" i="4"/>
  <c r="S1263" i="4"/>
  <c r="S1264" i="4"/>
  <c r="S1265" i="4"/>
  <c r="S1266" i="4"/>
  <c r="S1267" i="4"/>
  <c r="S1268" i="4"/>
  <c r="S1269" i="4"/>
  <c r="S1270" i="4"/>
  <c r="S1271" i="4"/>
  <c r="S1272" i="4"/>
  <c r="S1273" i="4"/>
  <c r="S1274" i="4"/>
  <c r="S1275" i="4"/>
  <c r="S1276" i="4"/>
  <c r="S1277" i="4"/>
  <c r="S1278" i="4"/>
  <c r="S1279" i="4"/>
  <c r="S1280" i="4"/>
  <c r="S1281" i="4"/>
  <c r="S1282" i="4"/>
  <c r="S1283" i="4"/>
  <c r="S1284" i="4"/>
  <c r="S1285" i="4"/>
  <c r="S1286" i="4"/>
  <c r="S1287" i="4"/>
  <c r="S1288" i="4"/>
  <c r="S1289" i="4"/>
  <c r="S1290" i="4"/>
  <c r="S1291" i="4"/>
  <c r="S1292" i="4"/>
  <c r="S1293" i="4"/>
  <c r="S1294" i="4"/>
  <c r="S1295" i="4"/>
  <c r="S1296" i="4"/>
  <c r="S1297" i="4"/>
  <c r="S1298" i="4"/>
  <c r="S1299" i="4"/>
  <c r="S1300" i="4"/>
  <c r="S1301" i="4"/>
  <c r="S1302" i="4"/>
  <c r="S1303" i="4"/>
  <c r="S1304" i="4"/>
  <c r="S1305" i="4"/>
  <c r="S1306" i="4"/>
  <c r="S1307" i="4"/>
  <c r="S1308" i="4"/>
  <c r="S1309" i="4"/>
  <c r="S1310" i="4"/>
  <c r="S1311" i="4"/>
  <c r="S1312" i="4"/>
  <c r="S1313" i="4"/>
  <c r="S1314" i="4"/>
  <c r="S1315" i="4"/>
  <c r="S1316" i="4"/>
  <c r="S1317" i="4"/>
  <c r="S1318" i="4"/>
  <c r="S1319" i="4"/>
  <c r="S1320" i="4"/>
  <c r="S1321" i="4"/>
  <c r="S1322" i="4"/>
  <c r="S1323" i="4"/>
  <c r="S1324" i="4"/>
  <c r="S1325" i="4"/>
  <c r="S1326" i="4"/>
  <c r="S1327" i="4"/>
  <c r="S1328" i="4"/>
  <c r="S1329" i="4"/>
  <c r="S1330" i="4"/>
  <c r="S1331" i="4"/>
  <c r="S1332" i="4"/>
  <c r="S1333" i="4"/>
  <c r="S1334" i="4"/>
  <c r="S1335" i="4"/>
  <c r="S1336" i="4"/>
  <c r="S1337" i="4"/>
  <c r="S1338" i="4"/>
  <c r="S1339" i="4"/>
  <c r="S1340" i="4"/>
  <c r="S1341" i="4"/>
  <c r="S1342" i="4"/>
  <c r="S1343" i="4"/>
  <c r="S1344" i="4"/>
  <c r="S1345" i="4"/>
  <c r="S1346" i="4"/>
  <c r="S1347" i="4"/>
  <c r="S1348" i="4"/>
  <c r="S1349" i="4"/>
  <c r="S1350" i="4"/>
  <c r="S1351" i="4"/>
  <c r="S1352" i="4"/>
  <c r="S1353" i="4"/>
  <c r="S1354" i="4"/>
  <c r="S1355" i="4"/>
  <c r="S1356" i="4"/>
  <c r="S1357" i="4"/>
  <c r="S1358" i="4"/>
  <c r="S1359" i="4"/>
  <c r="S1360" i="4"/>
  <c r="S1361" i="4"/>
  <c r="S1362" i="4"/>
  <c r="S1363" i="4"/>
  <c r="S1364" i="4"/>
  <c r="S1365" i="4"/>
  <c r="S1366" i="4"/>
  <c r="S1367" i="4"/>
  <c r="S1368" i="4"/>
  <c r="S1369" i="4"/>
  <c r="S1370" i="4"/>
  <c r="S1371" i="4"/>
  <c r="S1372" i="4"/>
  <c r="S1373" i="4"/>
  <c r="S1374" i="4"/>
  <c r="S1375" i="4"/>
  <c r="S1376" i="4"/>
  <c r="S1377" i="4"/>
  <c r="S1378" i="4"/>
  <c r="S1379" i="4"/>
  <c r="S1380" i="4"/>
  <c r="S1381" i="4"/>
  <c r="S1382" i="4"/>
  <c r="S1383" i="4"/>
  <c r="S1384" i="4"/>
  <c r="S1385" i="4"/>
  <c r="S1386" i="4"/>
  <c r="S1387" i="4"/>
  <c r="S1388" i="4"/>
  <c r="S1389" i="4"/>
  <c r="S1390" i="4"/>
  <c r="S1391" i="4"/>
  <c r="S1392" i="4"/>
  <c r="S1393" i="4"/>
  <c r="S1394" i="4"/>
  <c r="S1395" i="4"/>
  <c r="S1396" i="4"/>
  <c r="S1397" i="4"/>
  <c r="S1398" i="4"/>
  <c r="S1399" i="4"/>
  <c r="S1400" i="4"/>
  <c r="S1401" i="4"/>
  <c r="S1402" i="4"/>
  <c r="S1403" i="4"/>
  <c r="S1404" i="4"/>
  <c r="S1405" i="4"/>
  <c r="S1406" i="4"/>
  <c r="S1407" i="4"/>
  <c r="S1408" i="4"/>
  <c r="S1409" i="4"/>
  <c r="S1410" i="4"/>
  <c r="S1411" i="4"/>
  <c r="S1412" i="4"/>
  <c r="S1413" i="4"/>
  <c r="S1414" i="4"/>
  <c r="S1415" i="4"/>
  <c r="S1416" i="4"/>
  <c r="S1417" i="4"/>
  <c r="S1418" i="4"/>
  <c r="S1419" i="4"/>
  <c r="S1420" i="4"/>
  <c r="S2" i="4"/>
  <c r="C1827" i="3"/>
  <c r="C1828" i="3"/>
  <c r="C1829" i="3"/>
  <c r="C1830" i="3"/>
  <c r="C1831" i="3"/>
  <c r="C1832" i="3"/>
  <c r="C1833" i="3"/>
  <c r="C1834" i="3"/>
  <c r="C1835" i="3"/>
  <c r="C1836" i="3"/>
  <c r="C1837" i="3"/>
  <c r="C1838" i="3"/>
  <c r="C1839" i="3"/>
  <c r="C1840" i="3"/>
  <c r="C1841" i="3"/>
  <c r="C1842" i="3"/>
  <c r="C1843" i="3"/>
  <c r="C1844" i="3"/>
  <c r="C1845" i="3"/>
  <c r="C1846" i="3"/>
  <c r="C1847" i="3"/>
  <c r="C1848" i="3"/>
  <c r="C1849" i="3"/>
  <c r="C1850" i="3"/>
  <c r="C1851" i="3"/>
  <c r="C1852" i="3"/>
  <c r="C1853" i="3"/>
  <c r="C1854" i="3"/>
  <c r="C1855" i="3"/>
  <c r="C1856" i="3"/>
  <c r="C1857" i="3"/>
  <c r="C1858" i="3"/>
  <c r="C1859" i="3"/>
  <c r="C1860" i="3"/>
  <c r="C1861" i="3"/>
  <c r="C1862" i="3"/>
  <c r="C1863" i="3"/>
  <c r="C1864" i="3"/>
  <c r="C1865" i="3"/>
  <c r="C1866" i="3"/>
  <c r="C1867" i="3"/>
  <c r="C1868" i="3"/>
  <c r="C1869" i="3"/>
  <c r="C1870" i="3"/>
  <c r="C1871" i="3"/>
  <c r="C1872" i="3"/>
  <c r="C18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3202" i="3"/>
  <c r="C3203" i="3"/>
  <c r="C3204" i="3"/>
  <c r="C3205" i="3"/>
  <c r="C3206" i="3"/>
  <c r="C3207" i="3"/>
  <c r="C3208" i="3"/>
  <c r="C3209" i="3"/>
  <c r="C3210" i="3"/>
  <c r="C3211" i="3"/>
  <c r="C3212" i="3"/>
  <c r="C3213" i="3"/>
  <c r="C3214" i="3"/>
  <c r="C3215" i="3"/>
  <c r="C3216" i="3"/>
  <c r="C3217" i="3"/>
  <c r="C3218" i="3"/>
  <c r="C3219" i="3"/>
  <c r="C3220" i="3"/>
  <c r="C3221" i="3"/>
  <c r="C3222" i="3"/>
  <c r="C3223" i="3"/>
  <c r="C3224" i="3"/>
  <c r="C3225" i="3"/>
  <c r="C3226" i="3"/>
  <c r="C3227" i="3"/>
  <c r="C3228" i="3"/>
  <c r="C3229" i="3"/>
  <c r="C3230" i="3"/>
  <c r="C3231" i="3"/>
  <c r="C3232" i="3"/>
  <c r="C3233" i="3"/>
  <c r="C3234" i="3"/>
  <c r="C3235" i="3"/>
  <c r="C3236" i="3"/>
  <c r="C3237" i="3"/>
  <c r="C3238" i="3"/>
  <c r="C3239" i="3"/>
  <c r="C3240" i="3"/>
  <c r="C3241" i="3"/>
  <c r="C3242" i="3"/>
  <c r="C3243" i="3"/>
  <c r="C3244" i="3"/>
  <c r="C3245" i="3"/>
  <c r="C2945" i="3"/>
  <c r="C2946" i="3"/>
  <c r="C2947" i="3"/>
  <c r="C2948" i="3"/>
  <c r="C2949" i="3"/>
  <c r="C2950" i="3"/>
  <c r="C2951" i="3"/>
  <c r="C2952" i="3"/>
  <c r="C2953" i="3"/>
  <c r="C2954" i="3"/>
  <c r="C2955" i="3"/>
  <c r="C2956" i="3"/>
  <c r="C2957" i="3"/>
  <c r="C2958" i="3"/>
  <c r="C2959" i="3"/>
  <c r="C2960" i="3"/>
  <c r="C2961" i="3"/>
  <c r="C2962" i="3"/>
  <c r="C2963" i="3"/>
  <c r="C2964" i="3"/>
  <c r="C2965" i="3"/>
  <c r="C2966" i="3"/>
  <c r="C2967" i="3"/>
  <c r="C2968" i="3"/>
  <c r="C2969" i="3"/>
  <c r="C2970" i="3"/>
  <c r="C2971" i="3"/>
  <c r="C2972" i="3"/>
  <c r="C2973" i="3"/>
  <c r="C2974" i="3"/>
  <c r="C2975" i="3"/>
  <c r="C2976" i="3"/>
  <c r="C2977" i="3"/>
  <c r="C2978" i="3"/>
  <c r="C2979" i="3"/>
  <c r="C2980" i="3"/>
  <c r="C2981" i="3"/>
  <c r="C2982" i="3"/>
  <c r="C2983" i="3"/>
  <c r="C2984" i="3"/>
  <c r="C2985" i="3"/>
  <c r="C2986" i="3"/>
  <c r="C2987" i="3"/>
  <c r="C2988" i="3"/>
  <c r="C2989" i="3"/>
  <c r="C3094" i="3"/>
  <c r="C3095" i="3"/>
  <c r="C3096" i="3"/>
  <c r="C3097" i="3"/>
  <c r="C3098" i="3"/>
  <c r="C3099" i="3"/>
  <c r="C3100" i="3"/>
  <c r="C3101" i="3"/>
  <c r="C3102" i="3"/>
  <c r="C3103" i="3"/>
  <c r="C3104" i="3"/>
  <c r="C3105" i="3"/>
  <c r="C3106" i="3"/>
  <c r="C3107" i="3"/>
  <c r="C3108" i="3"/>
  <c r="C3109" i="3"/>
  <c r="C3110" i="3"/>
  <c r="C3111" i="3"/>
  <c r="C3112" i="3"/>
  <c r="C3113" i="3"/>
  <c r="C3114" i="3"/>
  <c r="C3115" i="3"/>
  <c r="C3116" i="3"/>
  <c r="C3117" i="3"/>
  <c r="C3118" i="3"/>
  <c r="C3119" i="3"/>
  <c r="C3120" i="3"/>
  <c r="C3121" i="3"/>
  <c r="C3122" i="3"/>
  <c r="C3123" i="3"/>
  <c r="C3124" i="3"/>
  <c r="C3125" i="3"/>
  <c r="C3126" i="3"/>
  <c r="C3127" i="3"/>
  <c r="C3128" i="3"/>
  <c r="C3129" i="3"/>
  <c r="C3130" i="3"/>
  <c r="C3131" i="3"/>
  <c r="C3132" i="3"/>
  <c r="C3133" i="3"/>
  <c r="C3134" i="3"/>
  <c r="C3135" i="3"/>
  <c r="C3136" i="3"/>
  <c r="C3137" i="3"/>
  <c r="C3138" i="3"/>
  <c r="C3139" i="3"/>
  <c r="C3140" i="3"/>
  <c r="C2161" i="3"/>
  <c r="C2162" i="3"/>
  <c r="C2163" i="3"/>
  <c r="C2164" i="3"/>
  <c r="C2165" i="3"/>
  <c r="C2166" i="3"/>
  <c r="C2167" i="3"/>
  <c r="C2168" i="3"/>
  <c r="C2169" i="3"/>
  <c r="C2170" i="3"/>
  <c r="C2171" i="3"/>
  <c r="C2172" i="3"/>
  <c r="C2173" i="3"/>
  <c r="C2174" i="3"/>
  <c r="C2175" i="3"/>
  <c r="C2176" i="3"/>
  <c r="C2177" i="3"/>
  <c r="C2178" i="3"/>
  <c r="C2179" i="3"/>
  <c r="C2180" i="3"/>
  <c r="C2181" i="3"/>
  <c r="C2182" i="3"/>
  <c r="C2183" i="3"/>
  <c r="C2184" i="3"/>
  <c r="C2185" i="3"/>
  <c r="C2186" i="3"/>
  <c r="C2187" i="3"/>
  <c r="C2188" i="3"/>
  <c r="C2189" i="3"/>
  <c r="C2190" i="3"/>
  <c r="C2191" i="3"/>
  <c r="C2192" i="3"/>
  <c r="C2193" i="3"/>
  <c r="C2194" i="3"/>
  <c r="C2195" i="3"/>
  <c r="C2196" i="3"/>
  <c r="C2197" i="3"/>
  <c r="C2198" i="3"/>
  <c r="C2199" i="3"/>
  <c r="C2200" i="3"/>
  <c r="C2201" i="3"/>
  <c r="C2202" i="3"/>
  <c r="C2203" i="3"/>
  <c r="C2204" i="3"/>
  <c r="C2205" i="3"/>
  <c r="C2206" i="3"/>
  <c r="C2207" i="3"/>
  <c r="C2208" i="3"/>
  <c r="C2209" i="3"/>
  <c r="C2210" i="3"/>
  <c r="C2211" i="3"/>
  <c r="C2212" i="3"/>
  <c r="C2213" i="3"/>
  <c r="C2214" i="3"/>
  <c r="C2215" i="3"/>
  <c r="C2216" i="3"/>
  <c r="C2217" i="3"/>
  <c r="C2218" i="3"/>
  <c r="C2219" i="3"/>
  <c r="C2220" i="3"/>
  <c r="C2221" i="3"/>
  <c r="C2222" i="3"/>
  <c r="C2223" i="3"/>
  <c r="C2224" i="3"/>
  <c r="C2225" i="3"/>
  <c r="C2226" i="3"/>
  <c r="C2227" i="3"/>
  <c r="C2228" i="3"/>
  <c r="C2229" i="3"/>
  <c r="C2230" i="3"/>
  <c r="C2231" i="3"/>
  <c r="C2232" i="3"/>
  <c r="C2233" i="3"/>
  <c r="C2234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2990" i="3"/>
  <c r="C2991" i="3"/>
  <c r="C2992" i="3"/>
  <c r="C2993" i="3"/>
  <c r="C2994" i="3"/>
  <c r="C2995" i="3"/>
  <c r="C2996" i="3"/>
  <c r="C2997" i="3"/>
  <c r="C2998" i="3"/>
  <c r="C2999" i="3"/>
  <c r="C3000" i="3"/>
  <c r="C3001" i="3"/>
  <c r="C3002" i="3"/>
  <c r="C3003" i="3"/>
  <c r="C3004" i="3"/>
  <c r="C3005" i="3"/>
  <c r="C3006" i="3"/>
  <c r="C3007" i="3"/>
  <c r="C3008" i="3"/>
  <c r="C3009" i="3"/>
  <c r="C3010" i="3"/>
  <c r="C3011" i="3"/>
  <c r="C3012" i="3"/>
  <c r="C3013" i="3"/>
  <c r="C3014" i="3"/>
  <c r="C3015" i="3"/>
  <c r="C3016" i="3"/>
  <c r="C3017" i="3"/>
  <c r="C3018" i="3"/>
  <c r="C3019" i="3"/>
  <c r="C3020" i="3"/>
  <c r="C3021" i="3"/>
  <c r="C3022" i="3"/>
  <c r="C3023" i="3"/>
  <c r="C3024" i="3"/>
  <c r="C3025" i="3"/>
  <c r="C3026" i="3"/>
  <c r="C3027" i="3"/>
  <c r="C3028" i="3"/>
  <c r="C3029" i="3"/>
  <c r="C3030" i="3"/>
  <c r="C3031" i="3"/>
  <c r="C3032" i="3"/>
  <c r="C3033" i="3"/>
  <c r="C3034" i="3"/>
  <c r="C3035" i="3"/>
  <c r="C3036" i="3"/>
  <c r="C3037" i="3"/>
  <c r="C3038" i="3"/>
  <c r="C3170" i="3"/>
  <c r="C3171" i="3"/>
  <c r="C3172" i="3"/>
  <c r="C3173" i="3"/>
  <c r="C3174" i="3"/>
  <c r="C3175" i="3"/>
  <c r="C3176" i="3"/>
  <c r="C3177" i="3"/>
  <c r="C3178" i="3"/>
  <c r="C3179" i="3"/>
  <c r="C3180" i="3"/>
  <c r="C3181" i="3"/>
  <c r="C3182" i="3"/>
  <c r="C3183" i="3"/>
  <c r="C3184" i="3"/>
  <c r="C3185" i="3"/>
  <c r="C3186" i="3"/>
  <c r="C3187" i="3"/>
  <c r="C3188" i="3"/>
  <c r="C3189" i="3"/>
  <c r="C3190" i="3"/>
  <c r="C3191" i="3"/>
  <c r="C3192" i="3"/>
  <c r="C3193" i="3"/>
  <c r="C3194" i="3"/>
  <c r="C3195" i="3"/>
  <c r="C3196" i="3"/>
  <c r="C3197" i="3"/>
  <c r="C3198" i="3"/>
  <c r="C3199" i="3"/>
  <c r="C3200" i="3"/>
  <c r="C3201" i="3"/>
  <c r="C1874" i="3"/>
  <c r="C1875" i="3"/>
  <c r="C1876" i="3"/>
  <c r="C1877" i="3"/>
  <c r="C1878" i="3"/>
  <c r="C1879" i="3"/>
  <c r="C1880" i="3"/>
  <c r="C1881" i="3"/>
  <c r="C1882" i="3"/>
  <c r="C1883" i="3"/>
  <c r="C1884" i="3"/>
  <c r="C1885" i="3"/>
  <c r="C1886" i="3"/>
  <c r="C1887" i="3"/>
  <c r="C1888" i="3"/>
  <c r="C1889" i="3"/>
  <c r="C1890" i="3"/>
  <c r="C1891" i="3"/>
  <c r="C1892" i="3"/>
  <c r="C1893" i="3"/>
  <c r="C1894" i="3"/>
  <c r="C1895" i="3"/>
  <c r="C1896" i="3"/>
  <c r="C1897" i="3"/>
  <c r="C1898" i="3"/>
  <c r="C1899" i="3"/>
  <c r="C1900" i="3"/>
  <c r="C1901" i="3"/>
  <c r="C1902" i="3"/>
  <c r="C1903" i="3"/>
  <c r="C1904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2235" i="3"/>
  <c r="C2236" i="3"/>
  <c r="C2237" i="3"/>
  <c r="C2238" i="3"/>
  <c r="C2239" i="3"/>
  <c r="C2240" i="3"/>
  <c r="C2241" i="3"/>
  <c r="C2242" i="3"/>
  <c r="C2243" i="3"/>
  <c r="C2244" i="3"/>
  <c r="C2245" i="3"/>
  <c r="C2246" i="3"/>
  <c r="C2247" i="3"/>
  <c r="C2248" i="3"/>
  <c r="C2249" i="3"/>
  <c r="C2250" i="3"/>
  <c r="C2251" i="3"/>
  <c r="C2252" i="3"/>
  <c r="C2253" i="3"/>
  <c r="C2254" i="3"/>
  <c r="C2255" i="3"/>
  <c r="C2256" i="3"/>
  <c r="C2257" i="3"/>
  <c r="C2258" i="3"/>
  <c r="C2259" i="3"/>
  <c r="C2260" i="3"/>
  <c r="C2261" i="3"/>
  <c r="C2262" i="3"/>
  <c r="C2263" i="3"/>
  <c r="C2264" i="3"/>
  <c r="C2265" i="3"/>
  <c r="C2266" i="3"/>
  <c r="C2267" i="3"/>
  <c r="C2268" i="3"/>
  <c r="C2872" i="3"/>
  <c r="C2873" i="3"/>
  <c r="C2874" i="3"/>
  <c r="C2875" i="3"/>
  <c r="C2876" i="3"/>
  <c r="C2877" i="3"/>
  <c r="C2878" i="3"/>
  <c r="C2879" i="3"/>
  <c r="C2880" i="3"/>
  <c r="C2881" i="3"/>
  <c r="C2882" i="3"/>
  <c r="C2883" i="3"/>
  <c r="C2884" i="3"/>
  <c r="C2885" i="3"/>
  <c r="C2886" i="3"/>
  <c r="C2887" i="3"/>
  <c r="C2888" i="3"/>
  <c r="C2889" i="3"/>
  <c r="C2890" i="3"/>
  <c r="C2891" i="3"/>
  <c r="C2892" i="3"/>
  <c r="C2893" i="3"/>
  <c r="C2894" i="3"/>
  <c r="C2895" i="3"/>
  <c r="C2896" i="3"/>
  <c r="C2897" i="3"/>
  <c r="C2898" i="3"/>
  <c r="C2899" i="3"/>
  <c r="C2900" i="3"/>
  <c r="C2901" i="3"/>
  <c r="C2902" i="3"/>
  <c r="C2903" i="3"/>
  <c r="C2904" i="3"/>
  <c r="C2905" i="3"/>
  <c r="C2906" i="3"/>
  <c r="C2907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2411" i="3"/>
  <c r="C2412" i="3"/>
  <c r="C2413" i="3"/>
  <c r="C2414" i="3"/>
  <c r="C2415" i="3"/>
  <c r="C2416" i="3"/>
  <c r="C2417" i="3"/>
  <c r="C2418" i="3"/>
  <c r="C2419" i="3"/>
  <c r="C2420" i="3"/>
  <c r="C2421" i="3"/>
  <c r="C2422" i="3"/>
  <c r="C2423" i="3"/>
  <c r="C2424" i="3"/>
  <c r="C2425" i="3"/>
  <c r="C2426" i="3"/>
  <c r="C2427" i="3"/>
  <c r="C2428" i="3"/>
  <c r="C2429" i="3"/>
  <c r="C2430" i="3"/>
  <c r="C2431" i="3"/>
  <c r="C2432" i="3"/>
  <c r="C2433" i="3"/>
  <c r="C2434" i="3"/>
  <c r="C2435" i="3"/>
  <c r="C2436" i="3"/>
  <c r="C2437" i="3"/>
  <c r="C2438" i="3"/>
  <c r="C2439" i="3"/>
  <c r="C2440" i="3"/>
  <c r="C2441" i="3"/>
  <c r="C2442" i="3"/>
  <c r="C2443" i="3"/>
  <c r="C2444" i="3"/>
  <c r="C2445" i="3"/>
  <c r="C2446" i="3"/>
  <c r="C2447" i="3"/>
  <c r="C2448" i="3"/>
  <c r="C2449" i="3"/>
  <c r="C2450" i="3"/>
  <c r="C2451" i="3"/>
  <c r="C2452" i="3"/>
  <c r="C2453" i="3"/>
  <c r="C2454" i="3"/>
  <c r="C2455" i="3"/>
  <c r="C2456" i="3"/>
  <c r="C2457" i="3"/>
  <c r="C2458" i="3"/>
  <c r="C2459" i="3"/>
  <c r="C2460" i="3"/>
  <c r="C2461" i="3"/>
  <c r="C2462" i="3"/>
  <c r="C2463" i="3"/>
  <c r="C2464" i="3"/>
  <c r="C2465" i="3"/>
  <c r="C2466" i="3"/>
  <c r="C2467" i="3"/>
  <c r="C2468" i="3"/>
  <c r="C2469" i="3"/>
  <c r="C2470" i="3"/>
  <c r="C2471" i="3"/>
  <c r="C2472" i="3"/>
  <c r="C2473" i="3"/>
  <c r="C2474" i="3"/>
  <c r="C2475" i="3"/>
  <c r="C2476" i="3"/>
  <c r="C2477" i="3"/>
  <c r="C2478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C1001" i="3"/>
  <c r="C1002" i="3"/>
  <c r="C1003" i="3"/>
  <c r="C1004" i="3"/>
  <c r="C1005" i="3"/>
  <c r="C1006" i="3"/>
  <c r="C1007" i="3"/>
  <c r="C1008" i="3"/>
  <c r="C1009" i="3"/>
  <c r="C1010" i="3"/>
  <c r="C1011" i="3"/>
  <c r="C1012" i="3"/>
  <c r="C1013" i="3"/>
  <c r="C1014" i="3"/>
  <c r="C1015" i="3"/>
  <c r="C1016" i="3"/>
  <c r="C1017" i="3"/>
  <c r="C1018" i="3"/>
  <c r="C1019" i="3"/>
  <c r="C1020" i="3"/>
  <c r="C1021" i="3"/>
  <c r="C1022" i="3"/>
  <c r="C1023" i="3"/>
  <c r="C1024" i="3"/>
  <c r="C1025" i="3"/>
  <c r="C1026" i="3"/>
  <c r="C1027" i="3"/>
  <c r="C1028" i="3"/>
  <c r="C1029" i="3"/>
  <c r="C1030" i="3"/>
  <c r="C1031" i="3"/>
  <c r="C1032" i="3"/>
  <c r="C1033" i="3"/>
  <c r="C1034" i="3"/>
  <c r="C1035" i="3"/>
  <c r="C1036" i="3"/>
  <c r="C1037" i="3"/>
  <c r="C1038" i="3"/>
  <c r="C1039" i="3"/>
  <c r="C1040" i="3"/>
  <c r="C1041" i="3"/>
  <c r="C1042" i="3"/>
  <c r="C1043" i="3"/>
  <c r="C1044" i="3"/>
  <c r="C1045" i="3"/>
  <c r="C1046" i="3"/>
  <c r="C1047" i="3"/>
  <c r="C1048" i="3"/>
  <c r="C1049" i="3"/>
  <c r="C1050" i="3"/>
  <c r="C1051" i="3"/>
  <c r="C1052" i="3"/>
  <c r="C1053" i="3"/>
  <c r="C1054" i="3"/>
  <c r="C1055" i="3"/>
  <c r="C1056" i="3"/>
  <c r="C1057" i="3"/>
  <c r="C1058" i="3"/>
  <c r="C1059" i="3"/>
  <c r="C1060" i="3"/>
  <c r="C1093" i="3"/>
  <c r="C1094" i="3"/>
  <c r="C1095" i="3"/>
  <c r="C1096" i="3"/>
  <c r="C1097" i="3"/>
  <c r="C1098" i="3"/>
  <c r="C1099" i="3"/>
  <c r="C1100" i="3"/>
  <c r="C1101" i="3"/>
  <c r="C1102" i="3"/>
  <c r="C1103" i="3"/>
  <c r="C1104" i="3"/>
  <c r="C1105" i="3"/>
  <c r="C1106" i="3"/>
  <c r="C1107" i="3"/>
  <c r="C1108" i="3"/>
  <c r="C1109" i="3"/>
  <c r="C1110" i="3"/>
  <c r="C1111" i="3"/>
  <c r="C1112" i="3"/>
  <c r="C1113" i="3"/>
  <c r="C1114" i="3"/>
  <c r="C1115" i="3"/>
  <c r="C1116" i="3"/>
  <c r="C1117" i="3"/>
  <c r="C1118" i="3"/>
  <c r="C1119" i="3"/>
  <c r="C1120" i="3"/>
  <c r="C1121" i="3"/>
  <c r="C1122" i="3"/>
  <c r="C1123" i="3"/>
  <c r="C1124" i="3"/>
  <c r="C1125" i="3"/>
  <c r="C1126" i="3"/>
  <c r="C1127" i="3"/>
  <c r="C1128" i="3"/>
  <c r="C1129" i="3"/>
  <c r="C1130" i="3"/>
  <c r="C1131" i="3"/>
  <c r="C1132" i="3"/>
  <c r="C1133" i="3"/>
  <c r="C1134" i="3"/>
  <c r="C1135" i="3"/>
  <c r="C1136" i="3"/>
  <c r="C1137" i="3"/>
  <c r="C1138" i="3"/>
  <c r="C1139" i="3"/>
  <c r="C1140" i="3"/>
  <c r="C1141" i="3"/>
  <c r="C1142" i="3"/>
  <c r="C1143" i="3"/>
  <c r="C1144" i="3"/>
  <c r="C1145" i="3"/>
  <c r="C1146" i="3"/>
  <c r="C1147" i="3"/>
  <c r="C1148" i="3"/>
  <c r="C1149" i="3"/>
  <c r="C1150" i="3"/>
  <c r="C1151" i="3"/>
  <c r="C1152" i="3"/>
  <c r="C1153" i="3"/>
  <c r="C1154" i="3"/>
  <c r="C1155" i="3"/>
  <c r="C1156" i="3"/>
  <c r="C1157" i="3"/>
  <c r="C1158" i="3"/>
  <c r="C1159" i="3"/>
  <c r="C1160" i="3"/>
  <c r="C1161" i="3"/>
  <c r="C1162" i="3"/>
  <c r="C1163" i="3"/>
  <c r="C1164" i="3"/>
  <c r="C1165" i="3"/>
  <c r="C1166" i="3"/>
  <c r="C1167" i="3"/>
  <c r="C1168" i="3"/>
  <c r="C1169" i="3"/>
  <c r="C1170" i="3"/>
  <c r="C1171" i="3"/>
  <c r="C1172" i="3"/>
  <c r="C1173" i="3"/>
  <c r="C1174" i="3"/>
  <c r="C1175" i="3"/>
  <c r="C1176" i="3"/>
  <c r="C1177" i="3"/>
  <c r="C1178" i="3"/>
  <c r="C1179" i="3"/>
  <c r="C1180" i="3"/>
  <c r="C1181" i="3"/>
  <c r="C1182" i="3"/>
  <c r="C1183" i="3"/>
  <c r="C1184" i="3"/>
  <c r="C1185" i="3"/>
  <c r="C1186" i="3"/>
  <c r="C1187" i="3"/>
  <c r="C1188" i="3"/>
  <c r="C1189" i="3"/>
  <c r="C1190" i="3"/>
  <c r="C1191" i="3"/>
  <c r="C1192" i="3"/>
  <c r="C1193" i="3"/>
  <c r="C1194" i="3"/>
  <c r="C1195" i="3"/>
  <c r="C1196" i="3"/>
  <c r="C1197" i="3"/>
  <c r="C1198" i="3"/>
  <c r="C1199" i="3"/>
  <c r="C1200" i="3"/>
  <c r="C1201" i="3"/>
  <c r="C1202" i="3"/>
  <c r="C1203" i="3"/>
  <c r="C1204" i="3"/>
  <c r="C1205" i="3"/>
  <c r="C1206" i="3"/>
  <c r="C1207" i="3"/>
  <c r="C1208" i="3"/>
  <c r="C1209" i="3"/>
  <c r="C1210" i="3"/>
  <c r="C1211" i="3"/>
  <c r="C1212" i="3"/>
  <c r="C1213" i="3"/>
  <c r="C1214" i="3"/>
  <c r="C1215" i="3"/>
  <c r="C1216" i="3"/>
  <c r="C1217" i="3"/>
  <c r="C1218" i="3"/>
  <c r="C1219" i="3"/>
  <c r="C1220" i="3"/>
  <c r="C1221" i="3"/>
  <c r="C1222" i="3"/>
  <c r="C1223" i="3"/>
  <c r="C1224" i="3"/>
  <c r="C1225" i="3"/>
  <c r="C1226" i="3"/>
  <c r="C1227" i="3"/>
  <c r="C1228" i="3"/>
  <c r="C1229" i="3"/>
  <c r="C1230" i="3"/>
  <c r="C1231" i="3"/>
  <c r="C1232" i="3"/>
  <c r="C1233" i="3"/>
  <c r="C1234" i="3"/>
  <c r="C1235" i="3"/>
  <c r="C1236" i="3"/>
  <c r="C1237" i="3"/>
  <c r="C1238" i="3"/>
  <c r="C1239" i="3"/>
  <c r="C1240" i="3"/>
  <c r="C1241" i="3"/>
  <c r="C1242" i="3"/>
  <c r="C1243" i="3"/>
  <c r="C1244" i="3"/>
  <c r="C1245" i="3"/>
  <c r="C1246" i="3"/>
  <c r="C1247" i="3"/>
  <c r="C1248" i="3"/>
  <c r="C1249" i="3"/>
  <c r="C1250" i="3"/>
  <c r="C1251" i="3"/>
  <c r="C1252" i="3"/>
  <c r="C1253" i="3"/>
  <c r="C1254" i="3"/>
  <c r="C1255" i="3"/>
  <c r="C1256" i="3"/>
  <c r="C1257" i="3"/>
  <c r="C1258" i="3"/>
  <c r="C1259" i="3"/>
  <c r="C1260" i="3"/>
  <c r="C1294" i="3"/>
  <c r="C1295" i="3"/>
  <c r="C1296" i="3"/>
  <c r="C1297" i="3"/>
  <c r="C1298" i="3"/>
  <c r="C1299" i="3"/>
  <c r="C1300" i="3"/>
  <c r="C1301" i="3"/>
  <c r="C1302" i="3"/>
  <c r="C1303" i="3"/>
  <c r="C1304" i="3"/>
  <c r="C1305" i="3"/>
  <c r="C1306" i="3"/>
  <c r="C1307" i="3"/>
  <c r="C1308" i="3"/>
  <c r="C1309" i="3"/>
  <c r="C1310" i="3"/>
  <c r="C1311" i="3"/>
  <c r="C1312" i="3"/>
  <c r="C1313" i="3"/>
  <c r="C1314" i="3"/>
  <c r="C1315" i="3"/>
  <c r="C1316" i="3"/>
  <c r="C1317" i="3"/>
  <c r="C1318" i="3"/>
  <c r="C1319" i="3"/>
  <c r="C1320" i="3"/>
  <c r="C1321" i="3"/>
  <c r="C1322" i="3"/>
  <c r="C1323" i="3"/>
  <c r="C1324" i="3"/>
  <c r="C1325" i="3"/>
  <c r="C1326" i="3"/>
  <c r="C1327" i="3"/>
  <c r="C1328" i="3"/>
  <c r="C1329" i="3"/>
  <c r="C1330" i="3"/>
  <c r="C1331" i="3"/>
  <c r="C1332" i="3"/>
  <c r="C1333" i="3"/>
  <c r="C1334" i="3"/>
  <c r="C1335" i="3"/>
  <c r="C1336" i="3"/>
  <c r="C1337" i="3"/>
  <c r="C1338" i="3"/>
  <c r="C1339" i="3"/>
  <c r="C1340" i="3"/>
  <c r="C1341" i="3"/>
  <c r="C1342" i="3"/>
  <c r="C1343" i="3"/>
  <c r="C1344" i="3"/>
  <c r="C1345" i="3"/>
  <c r="C1346" i="3"/>
  <c r="C1347" i="3"/>
  <c r="C1348" i="3"/>
  <c r="C1349" i="3"/>
  <c r="C1350" i="3"/>
  <c r="C1351" i="3"/>
  <c r="C1437" i="3"/>
  <c r="C1438" i="3"/>
  <c r="C1439" i="3"/>
  <c r="C1440" i="3"/>
  <c r="C1441" i="3"/>
  <c r="C1442" i="3"/>
  <c r="C1443" i="3"/>
  <c r="C1444" i="3"/>
  <c r="C1445" i="3"/>
  <c r="C1446" i="3"/>
  <c r="C1447" i="3"/>
  <c r="C1448" i="3"/>
  <c r="C1449" i="3"/>
  <c r="C1450" i="3"/>
  <c r="C1451" i="3"/>
  <c r="C1452" i="3"/>
  <c r="C1453" i="3"/>
  <c r="C1454" i="3"/>
  <c r="C1455" i="3"/>
  <c r="C1456" i="3"/>
  <c r="C1457" i="3"/>
  <c r="C1458" i="3"/>
  <c r="C1459" i="3"/>
  <c r="C1460" i="3"/>
  <c r="C1461" i="3"/>
  <c r="C1462" i="3"/>
  <c r="C1463" i="3"/>
  <c r="C1464" i="3"/>
  <c r="C1465" i="3"/>
  <c r="C1466" i="3"/>
  <c r="C1467" i="3"/>
  <c r="C1468" i="3"/>
  <c r="C1469" i="3"/>
  <c r="C1470" i="3"/>
  <c r="C1471" i="3"/>
  <c r="C1472" i="3"/>
  <c r="C1473" i="3"/>
  <c r="C1474" i="3"/>
  <c r="C1475" i="3"/>
  <c r="C1476" i="3"/>
  <c r="C1477" i="3"/>
  <c r="C1478" i="3"/>
  <c r="C1479" i="3"/>
  <c r="C1480" i="3"/>
  <c r="C1481" i="3"/>
  <c r="C1482" i="3"/>
  <c r="C1483" i="3"/>
  <c r="C1484" i="3"/>
  <c r="C1485" i="3"/>
  <c r="C1486" i="3"/>
  <c r="C1487" i="3"/>
  <c r="C1488" i="3"/>
  <c r="C1489" i="3"/>
  <c r="C1490" i="3"/>
  <c r="C1491" i="3"/>
  <c r="C1492" i="3"/>
  <c r="C1493" i="3"/>
  <c r="C1494" i="3"/>
  <c r="C1495" i="3"/>
  <c r="C1496" i="3"/>
  <c r="C1497" i="3"/>
  <c r="C1498" i="3"/>
  <c r="C1499" i="3"/>
  <c r="C1500" i="3"/>
  <c r="C1501" i="3"/>
  <c r="C1502" i="3"/>
  <c r="C1503" i="3"/>
  <c r="C1504" i="3"/>
  <c r="C1505" i="3"/>
  <c r="C1506" i="3"/>
  <c r="C1507" i="3"/>
  <c r="C1508" i="3"/>
  <c r="C1509" i="3"/>
  <c r="C1510" i="3"/>
  <c r="C1511" i="3"/>
  <c r="C1512" i="3"/>
  <c r="C1513" i="3"/>
  <c r="C1514" i="3"/>
  <c r="C1515" i="3"/>
  <c r="C1516" i="3"/>
  <c r="C1517" i="3"/>
  <c r="C1518" i="3"/>
  <c r="C1519" i="3"/>
  <c r="C1520" i="3"/>
  <c r="C1521" i="3"/>
  <c r="C1522" i="3"/>
  <c r="C1523" i="3"/>
  <c r="C1524" i="3"/>
  <c r="C1525" i="3"/>
  <c r="C1526" i="3"/>
  <c r="C1527" i="3"/>
  <c r="C1528" i="3"/>
  <c r="C1529" i="3"/>
  <c r="C1530" i="3"/>
  <c r="C1608" i="3"/>
  <c r="C1609" i="3"/>
  <c r="C1610" i="3"/>
  <c r="C1611" i="3"/>
  <c r="C1612" i="3"/>
  <c r="C1613" i="3"/>
  <c r="C1614" i="3"/>
  <c r="C1615" i="3"/>
  <c r="C1616" i="3"/>
  <c r="C1617" i="3"/>
  <c r="C1618" i="3"/>
  <c r="C1619" i="3"/>
  <c r="C1620" i="3"/>
  <c r="C1621" i="3"/>
  <c r="C1622" i="3"/>
  <c r="C1623" i="3"/>
  <c r="C1624" i="3"/>
  <c r="C1625" i="3"/>
  <c r="C1626" i="3"/>
  <c r="C1627" i="3"/>
  <c r="C1628" i="3"/>
  <c r="C1629" i="3"/>
  <c r="C1630" i="3"/>
  <c r="C1631" i="3"/>
  <c r="C1632" i="3"/>
  <c r="C1633" i="3"/>
  <c r="C1634" i="3"/>
  <c r="C1635" i="3"/>
  <c r="C1636" i="3"/>
  <c r="C1637" i="3"/>
  <c r="C1638" i="3"/>
  <c r="C1639" i="3"/>
  <c r="C1640" i="3"/>
  <c r="C1641" i="3"/>
  <c r="C1642" i="3"/>
  <c r="C1643" i="3"/>
  <c r="C1644" i="3"/>
  <c r="C1645" i="3"/>
  <c r="C1646" i="3"/>
  <c r="C1647" i="3"/>
  <c r="C1648" i="3"/>
  <c r="C1649" i="3"/>
  <c r="C1650" i="3"/>
  <c r="C1651" i="3"/>
  <c r="C1652" i="3"/>
  <c r="C1653" i="3"/>
  <c r="C1654" i="3"/>
  <c r="C1684" i="3"/>
  <c r="C1685" i="3"/>
  <c r="C1686" i="3"/>
  <c r="C1687" i="3"/>
  <c r="C1688" i="3"/>
  <c r="C1689" i="3"/>
  <c r="C1690" i="3"/>
  <c r="C1691" i="3"/>
  <c r="C1692" i="3"/>
  <c r="C1693" i="3"/>
  <c r="C1694" i="3"/>
  <c r="C1695" i="3"/>
  <c r="C1696" i="3"/>
  <c r="C1697" i="3"/>
  <c r="C1698" i="3"/>
  <c r="C1699" i="3"/>
  <c r="C1700" i="3"/>
  <c r="C1701" i="3"/>
  <c r="C1702" i="3"/>
  <c r="C1703" i="3"/>
  <c r="C1704" i="3"/>
  <c r="C1705" i="3"/>
  <c r="C1706" i="3"/>
  <c r="C1707" i="3"/>
  <c r="C1708" i="3"/>
  <c r="C1709" i="3"/>
  <c r="C1710" i="3"/>
  <c r="C1711" i="3"/>
  <c r="C1712" i="3"/>
  <c r="C1713" i="3"/>
  <c r="C1714" i="3"/>
  <c r="C1715" i="3"/>
  <c r="C1716" i="3"/>
  <c r="C1717" i="3"/>
  <c r="C1718" i="3"/>
  <c r="C1719" i="3"/>
  <c r="C1720" i="3"/>
  <c r="C1721" i="3"/>
  <c r="C1722" i="3"/>
  <c r="C1723" i="3"/>
  <c r="C1724" i="3"/>
  <c r="C1725" i="3"/>
  <c r="C1726" i="3"/>
  <c r="C1727" i="3"/>
  <c r="C1728" i="3"/>
  <c r="C1729" i="3"/>
  <c r="C1730" i="3"/>
  <c r="C1731" i="3"/>
  <c r="C1732" i="3"/>
  <c r="C1733" i="3"/>
  <c r="C1734" i="3"/>
  <c r="C1735" i="3"/>
  <c r="C1736" i="3"/>
  <c r="C1737" i="3"/>
  <c r="C1738" i="3"/>
  <c r="C1739" i="3"/>
  <c r="C1740" i="3"/>
  <c r="C1741" i="3"/>
  <c r="C1742" i="3"/>
  <c r="C1743" i="3"/>
  <c r="C1744" i="3"/>
  <c r="C1745" i="3"/>
  <c r="C1746" i="3"/>
  <c r="C1747" i="3"/>
  <c r="C1748" i="3"/>
  <c r="C1749" i="3"/>
  <c r="C1750" i="3"/>
  <c r="C1751" i="3"/>
  <c r="C1752" i="3"/>
  <c r="C1753" i="3"/>
  <c r="C1754" i="3"/>
  <c r="C1755" i="3"/>
  <c r="C1756" i="3"/>
  <c r="C1757" i="3"/>
  <c r="C1758" i="3"/>
  <c r="C1759" i="3"/>
  <c r="C1760" i="3"/>
  <c r="C1761" i="3"/>
  <c r="C1762" i="3"/>
  <c r="C1763" i="3"/>
  <c r="C1764" i="3"/>
  <c r="C1765" i="3"/>
  <c r="C1766" i="3"/>
  <c r="C1767" i="3"/>
  <c r="C1768" i="3"/>
  <c r="C1769" i="3"/>
  <c r="C1770" i="3"/>
  <c r="C1771" i="3"/>
  <c r="C1772" i="3"/>
  <c r="C1773" i="3"/>
  <c r="C1774" i="3"/>
  <c r="C1775" i="3"/>
  <c r="C1776" i="3"/>
  <c r="C1777" i="3"/>
  <c r="C1778" i="3"/>
  <c r="C1779" i="3"/>
  <c r="C1780" i="3"/>
  <c r="C1781" i="3"/>
  <c r="C1782" i="3"/>
  <c r="C1783" i="3"/>
  <c r="C1784" i="3"/>
  <c r="C1785" i="3"/>
  <c r="C1786" i="3"/>
  <c r="C1787" i="3"/>
  <c r="C1788" i="3"/>
  <c r="C1789" i="3"/>
  <c r="C1790" i="3"/>
  <c r="C1791" i="3"/>
  <c r="C1792" i="3"/>
  <c r="C1793" i="3"/>
  <c r="C1794" i="3"/>
  <c r="C1937" i="3"/>
  <c r="C1938" i="3"/>
  <c r="C1939" i="3"/>
  <c r="C1940" i="3"/>
  <c r="C1941" i="3"/>
  <c r="C1942" i="3"/>
  <c r="C1943" i="3"/>
  <c r="C1944" i="3"/>
  <c r="C1945" i="3"/>
  <c r="C1946" i="3"/>
  <c r="C1947" i="3"/>
  <c r="C1948" i="3"/>
  <c r="C1949" i="3"/>
  <c r="C1950" i="3"/>
  <c r="C1951" i="3"/>
  <c r="C1952" i="3"/>
  <c r="C1953" i="3"/>
  <c r="C1954" i="3"/>
  <c r="C1955" i="3"/>
  <c r="C1956" i="3"/>
  <c r="C1957" i="3"/>
  <c r="C1958" i="3"/>
  <c r="C1959" i="3"/>
  <c r="C1960" i="3"/>
  <c r="C1961" i="3"/>
  <c r="C1962" i="3"/>
  <c r="C1963" i="3"/>
  <c r="C1964" i="3"/>
  <c r="C1965" i="3"/>
  <c r="C1966" i="3"/>
  <c r="C1967" i="3"/>
  <c r="C1968" i="3"/>
  <c r="C1969" i="3"/>
  <c r="C1970" i="3"/>
  <c r="C1971" i="3"/>
  <c r="C1972" i="3"/>
  <c r="C1973" i="3"/>
  <c r="C1974" i="3"/>
  <c r="C1975" i="3"/>
  <c r="C1976" i="3"/>
  <c r="C1977" i="3"/>
  <c r="C1978" i="3"/>
  <c r="C1979" i="3"/>
  <c r="C1980" i="3"/>
  <c r="C1981" i="3"/>
  <c r="C1982" i="3"/>
  <c r="C1983" i="3"/>
  <c r="C1984" i="3"/>
  <c r="C1985" i="3"/>
  <c r="C1986" i="3"/>
  <c r="C1987" i="3"/>
  <c r="C1988" i="3"/>
  <c r="C1989" i="3"/>
  <c r="C1990" i="3"/>
  <c r="C1991" i="3"/>
  <c r="C1992" i="3"/>
  <c r="C1993" i="3"/>
  <c r="C1994" i="3"/>
  <c r="C1995" i="3"/>
  <c r="C1996" i="3"/>
  <c r="C1997" i="3"/>
  <c r="C1998" i="3"/>
  <c r="C1999" i="3"/>
  <c r="C2000" i="3"/>
  <c r="C2001" i="3"/>
  <c r="C2002" i="3"/>
  <c r="C2003" i="3"/>
  <c r="C2004" i="3"/>
  <c r="C2005" i="3"/>
  <c r="C2006" i="3"/>
  <c r="C2007" i="3"/>
  <c r="C2008" i="3"/>
  <c r="C2009" i="3"/>
  <c r="C2010" i="3"/>
  <c r="C2011" i="3"/>
  <c r="C2012" i="3"/>
  <c r="C2013" i="3"/>
  <c r="C2014" i="3"/>
  <c r="C2015" i="3"/>
  <c r="C2016" i="3"/>
  <c r="C2017" i="3"/>
  <c r="C2018" i="3"/>
  <c r="C2019" i="3"/>
  <c r="C2020" i="3"/>
  <c r="C2021" i="3"/>
  <c r="C2022" i="3"/>
  <c r="C2023" i="3"/>
  <c r="C2024" i="3"/>
  <c r="C2025" i="3"/>
  <c r="C2026" i="3"/>
  <c r="C2027" i="3"/>
  <c r="C2028" i="3"/>
  <c r="C2029" i="3"/>
  <c r="C2030" i="3"/>
  <c r="C2031" i="3"/>
  <c r="C2032" i="3"/>
  <c r="C2033" i="3"/>
  <c r="C2034" i="3"/>
  <c r="C2035" i="3"/>
  <c r="C2036" i="3"/>
  <c r="C2037" i="3"/>
  <c r="C2038" i="3"/>
  <c r="C2039" i="3"/>
  <c r="C2040" i="3"/>
  <c r="C2041" i="3"/>
  <c r="C2042" i="3"/>
  <c r="C2043" i="3"/>
  <c r="C2044" i="3"/>
  <c r="C2045" i="3"/>
  <c r="C2046" i="3"/>
  <c r="C2047" i="3"/>
  <c r="C2048" i="3"/>
  <c r="C2049" i="3"/>
  <c r="C2050" i="3"/>
  <c r="C2051" i="3"/>
  <c r="C2052" i="3"/>
  <c r="C2053" i="3"/>
  <c r="C2054" i="3"/>
  <c r="C2055" i="3"/>
  <c r="C2056" i="3"/>
  <c r="C2057" i="3"/>
  <c r="C2058" i="3"/>
  <c r="C2059" i="3"/>
  <c r="C2060" i="3"/>
  <c r="C2061" i="3"/>
  <c r="C2062" i="3"/>
  <c r="C2063" i="3"/>
  <c r="C2064" i="3"/>
  <c r="C2065" i="3"/>
  <c r="C2066" i="3"/>
  <c r="C2067" i="3"/>
  <c r="C2068" i="3"/>
  <c r="C2069" i="3"/>
  <c r="C2070" i="3"/>
  <c r="C2071" i="3"/>
  <c r="C2072" i="3"/>
  <c r="C2073" i="3"/>
  <c r="C2074" i="3"/>
  <c r="C2075" i="3"/>
  <c r="C2076" i="3"/>
  <c r="C2077" i="3"/>
  <c r="C2078" i="3"/>
  <c r="C2079" i="3"/>
  <c r="C2080" i="3"/>
  <c r="C2081" i="3"/>
  <c r="C2082" i="3"/>
  <c r="C2083" i="3"/>
  <c r="C2084" i="3"/>
  <c r="C2085" i="3"/>
  <c r="C2086" i="3"/>
  <c r="C2087" i="3"/>
  <c r="C2088" i="3"/>
  <c r="C2089" i="3"/>
  <c r="C2090" i="3"/>
  <c r="C2091" i="3"/>
  <c r="C2092" i="3"/>
  <c r="C2093" i="3"/>
  <c r="C2094" i="3"/>
  <c r="C2095" i="3"/>
  <c r="C2096" i="3"/>
  <c r="C2097" i="3"/>
  <c r="C2098" i="3"/>
  <c r="C2099" i="3"/>
  <c r="C2100" i="3"/>
  <c r="C2101" i="3"/>
  <c r="C2102" i="3"/>
  <c r="C2103" i="3"/>
  <c r="C2104" i="3"/>
  <c r="C2105" i="3"/>
  <c r="C2106" i="3"/>
  <c r="C2107" i="3"/>
  <c r="C2108" i="3"/>
  <c r="C2109" i="3"/>
  <c r="C2110" i="3"/>
  <c r="C2111" i="3"/>
  <c r="C2112" i="3"/>
  <c r="C2113" i="3"/>
  <c r="C2114" i="3"/>
  <c r="C2115" i="3"/>
  <c r="C2116" i="3"/>
  <c r="C2117" i="3"/>
  <c r="C2118" i="3"/>
  <c r="C2119" i="3"/>
  <c r="C2120" i="3"/>
  <c r="C2121" i="3"/>
  <c r="C2122" i="3"/>
  <c r="C2123" i="3"/>
  <c r="C2124" i="3"/>
  <c r="C2125" i="3"/>
  <c r="C2126" i="3"/>
  <c r="C2127" i="3"/>
  <c r="C2128" i="3"/>
  <c r="C2129" i="3"/>
  <c r="C2130" i="3"/>
  <c r="C2131" i="3"/>
  <c r="C2132" i="3"/>
  <c r="C2133" i="3"/>
  <c r="C2134" i="3"/>
  <c r="C2135" i="3"/>
  <c r="C2136" i="3"/>
  <c r="C2137" i="3"/>
  <c r="C2138" i="3"/>
  <c r="C2139" i="3"/>
  <c r="C2140" i="3"/>
  <c r="C2141" i="3"/>
  <c r="C2142" i="3"/>
  <c r="C2143" i="3"/>
  <c r="C2144" i="3"/>
  <c r="C2145" i="3"/>
  <c r="C2146" i="3"/>
  <c r="C2147" i="3"/>
  <c r="C2148" i="3"/>
  <c r="C2149" i="3"/>
  <c r="C2150" i="3"/>
  <c r="C2151" i="3"/>
  <c r="C2152" i="3"/>
  <c r="C2153" i="3"/>
  <c r="C2154" i="3"/>
  <c r="C2155" i="3"/>
  <c r="C2156" i="3"/>
  <c r="C2157" i="3"/>
  <c r="C2158" i="3"/>
  <c r="C2159" i="3"/>
  <c r="C2160" i="3"/>
  <c r="C2479" i="3"/>
  <c r="C2480" i="3"/>
  <c r="C2481" i="3"/>
  <c r="C2482" i="3"/>
  <c r="C2483" i="3"/>
  <c r="C2484" i="3"/>
  <c r="C2485" i="3"/>
  <c r="C2486" i="3"/>
  <c r="C2487" i="3"/>
  <c r="C2488" i="3"/>
  <c r="C2489" i="3"/>
  <c r="C2490" i="3"/>
  <c r="C2491" i="3"/>
  <c r="C2492" i="3"/>
  <c r="C2493" i="3"/>
  <c r="C2494" i="3"/>
  <c r="C2495" i="3"/>
  <c r="C2496" i="3"/>
  <c r="C2497" i="3"/>
  <c r="C2498" i="3"/>
  <c r="C2499" i="3"/>
  <c r="C2500" i="3"/>
  <c r="C2501" i="3"/>
  <c r="C2502" i="3"/>
  <c r="C2503" i="3"/>
  <c r="C2504" i="3"/>
  <c r="C2505" i="3"/>
  <c r="C2506" i="3"/>
  <c r="C2507" i="3"/>
  <c r="C2508" i="3"/>
  <c r="C2509" i="3"/>
  <c r="C2510" i="3"/>
  <c r="C2511" i="3"/>
  <c r="C2512" i="3"/>
  <c r="C2513" i="3"/>
  <c r="C2514" i="3"/>
  <c r="C2515" i="3"/>
  <c r="C2516" i="3"/>
  <c r="C2517" i="3"/>
  <c r="C2518" i="3"/>
  <c r="C2519" i="3"/>
  <c r="C2520" i="3"/>
  <c r="C2521" i="3"/>
  <c r="C2522" i="3"/>
  <c r="C2523" i="3"/>
  <c r="C2524" i="3"/>
  <c r="C2525" i="3"/>
  <c r="C2526" i="3"/>
  <c r="C2527" i="3"/>
  <c r="C2528" i="3"/>
  <c r="C2529" i="3"/>
  <c r="C2530" i="3"/>
  <c r="C2531" i="3"/>
  <c r="C2532" i="3"/>
  <c r="C2533" i="3"/>
  <c r="C2534" i="3"/>
  <c r="C2535" i="3"/>
  <c r="C2536" i="3"/>
  <c r="C2537" i="3"/>
  <c r="C2538" i="3"/>
  <c r="C2539" i="3"/>
  <c r="C2540" i="3"/>
  <c r="C2541" i="3"/>
  <c r="C2542" i="3"/>
  <c r="C2543" i="3"/>
  <c r="C2544" i="3"/>
  <c r="C2545" i="3"/>
  <c r="C2546" i="3"/>
  <c r="C2547" i="3"/>
  <c r="C2548" i="3"/>
  <c r="C2549" i="3"/>
  <c r="C2550" i="3"/>
  <c r="C2551" i="3"/>
  <c r="C2552" i="3"/>
  <c r="C2553" i="3"/>
  <c r="C2554" i="3"/>
  <c r="C2555" i="3"/>
  <c r="C2556" i="3"/>
  <c r="C2557" i="3"/>
  <c r="C2558" i="3"/>
  <c r="C2559" i="3"/>
  <c r="C2560" i="3"/>
  <c r="C2561" i="3"/>
  <c r="C2562" i="3"/>
  <c r="C2563" i="3"/>
  <c r="C2564" i="3"/>
  <c r="C2565" i="3"/>
  <c r="C2566" i="3"/>
  <c r="C2567" i="3"/>
  <c r="C2568" i="3"/>
  <c r="C2569" i="3"/>
  <c r="C2570" i="3"/>
  <c r="C2571" i="3"/>
  <c r="C2572" i="3"/>
  <c r="C2573" i="3"/>
  <c r="C2574" i="3"/>
  <c r="C2575" i="3"/>
  <c r="C2576" i="3"/>
  <c r="C2577" i="3"/>
  <c r="C2578" i="3"/>
  <c r="C2579" i="3"/>
  <c r="C2580" i="3"/>
  <c r="C2581" i="3"/>
  <c r="C2582" i="3"/>
  <c r="C2583" i="3"/>
  <c r="C2584" i="3"/>
  <c r="C2585" i="3"/>
  <c r="C2586" i="3"/>
  <c r="C2587" i="3"/>
  <c r="C2588" i="3"/>
  <c r="C2589" i="3"/>
  <c r="C2590" i="3"/>
  <c r="C2591" i="3"/>
  <c r="C2592" i="3"/>
  <c r="C2593" i="3"/>
  <c r="C2594" i="3"/>
  <c r="C2595" i="3"/>
  <c r="C2596" i="3"/>
  <c r="C2597" i="3"/>
  <c r="C2598" i="3"/>
  <c r="C2599" i="3"/>
  <c r="C2760" i="3"/>
  <c r="C2761" i="3"/>
  <c r="C2762" i="3"/>
  <c r="C2763" i="3"/>
  <c r="C2764" i="3"/>
  <c r="C2765" i="3"/>
  <c r="C2766" i="3"/>
  <c r="C2767" i="3"/>
  <c r="C2768" i="3"/>
  <c r="C2769" i="3"/>
  <c r="C2770" i="3"/>
  <c r="C2771" i="3"/>
  <c r="C2772" i="3"/>
  <c r="C2773" i="3"/>
  <c r="C2774" i="3"/>
  <c r="C2775" i="3"/>
  <c r="C2776" i="3"/>
  <c r="C2777" i="3"/>
  <c r="C2778" i="3"/>
  <c r="C2779" i="3"/>
  <c r="C2780" i="3"/>
  <c r="C2781" i="3"/>
  <c r="C2782" i="3"/>
  <c r="C2783" i="3"/>
  <c r="C2784" i="3"/>
  <c r="C2785" i="3"/>
  <c r="C2786" i="3"/>
  <c r="C2787" i="3"/>
  <c r="C2788" i="3"/>
  <c r="C2789" i="3"/>
  <c r="C2790" i="3"/>
  <c r="C2791" i="3"/>
  <c r="C2792" i="3"/>
  <c r="C2793" i="3"/>
  <c r="C2794" i="3"/>
  <c r="C2795" i="3"/>
  <c r="C2796" i="3"/>
  <c r="C2797" i="3"/>
  <c r="C2798" i="3"/>
  <c r="C2799" i="3"/>
  <c r="C2800" i="3"/>
  <c r="C2801" i="3"/>
  <c r="C2802" i="3"/>
  <c r="C2803" i="3"/>
  <c r="C2804" i="3"/>
  <c r="C2805" i="3"/>
  <c r="C2806" i="3"/>
  <c r="C2807" i="3"/>
  <c r="C2808" i="3"/>
  <c r="C2809" i="3"/>
  <c r="C2810" i="3"/>
  <c r="C2811" i="3"/>
  <c r="C2812" i="3"/>
  <c r="C3039" i="3"/>
  <c r="C3040" i="3"/>
  <c r="C3041" i="3"/>
  <c r="C3042" i="3"/>
  <c r="C3043" i="3"/>
  <c r="C3044" i="3"/>
  <c r="C3045" i="3"/>
  <c r="C3046" i="3"/>
  <c r="C3047" i="3"/>
  <c r="C3048" i="3"/>
  <c r="C3049" i="3"/>
  <c r="C3050" i="3"/>
  <c r="C3051" i="3"/>
  <c r="C3052" i="3"/>
  <c r="C3053" i="3"/>
  <c r="C3054" i="3"/>
  <c r="C3055" i="3"/>
  <c r="C3056" i="3"/>
  <c r="C3057" i="3"/>
  <c r="C3058" i="3"/>
  <c r="C3059" i="3"/>
  <c r="C3060" i="3"/>
  <c r="C3061" i="3"/>
  <c r="C3062" i="3"/>
  <c r="C3063" i="3"/>
  <c r="C3064" i="3"/>
  <c r="C3065" i="3"/>
  <c r="C3066" i="3"/>
  <c r="C3067" i="3"/>
  <c r="C3068" i="3"/>
  <c r="C3069" i="3"/>
  <c r="C3070" i="3"/>
  <c r="C3071" i="3"/>
  <c r="C3072" i="3"/>
  <c r="C3073" i="3"/>
  <c r="C3074" i="3"/>
  <c r="C3075" i="3"/>
  <c r="C3076" i="3"/>
  <c r="C3077" i="3"/>
  <c r="C3078" i="3"/>
  <c r="C3079" i="3"/>
  <c r="C3080" i="3"/>
  <c r="C3081" i="3"/>
  <c r="C3082" i="3"/>
  <c r="C3083" i="3"/>
  <c r="C3084" i="3"/>
  <c r="C3085" i="3"/>
  <c r="C3086" i="3"/>
  <c r="C3087" i="3"/>
  <c r="C3088" i="3"/>
  <c r="C3089" i="3"/>
  <c r="C3090" i="3"/>
  <c r="C3091" i="3"/>
  <c r="C3092" i="3"/>
  <c r="C3093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2728" i="3"/>
  <c r="C2729" i="3"/>
  <c r="C2730" i="3"/>
  <c r="C2731" i="3"/>
  <c r="C2732" i="3"/>
  <c r="C2733" i="3"/>
  <c r="C2734" i="3"/>
  <c r="C2735" i="3"/>
  <c r="C2736" i="3"/>
  <c r="C2737" i="3"/>
  <c r="C2738" i="3"/>
  <c r="C2739" i="3"/>
  <c r="C2740" i="3"/>
  <c r="C2741" i="3"/>
  <c r="C2742" i="3"/>
  <c r="C2743" i="3"/>
  <c r="C2744" i="3"/>
  <c r="C2745" i="3"/>
  <c r="C2746" i="3"/>
  <c r="C2747" i="3"/>
  <c r="C2748" i="3"/>
  <c r="C2749" i="3"/>
  <c r="C2750" i="3"/>
  <c r="C2751" i="3"/>
  <c r="C2752" i="3"/>
  <c r="C2753" i="3"/>
  <c r="C2754" i="3"/>
  <c r="C2755" i="3"/>
  <c r="C2756" i="3"/>
  <c r="C2757" i="3"/>
  <c r="C2758" i="3"/>
  <c r="C2759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2371" i="3"/>
  <c r="C2372" i="3"/>
  <c r="C2373" i="3"/>
  <c r="C2374" i="3"/>
  <c r="C2375" i="3"/>
  <c r="C2376" i="3"/>
  <c r="C2377" i="3"/>
  <c r="C2378" i="3"/>
  <c r="C2379" i="3"/>
  <c r="C2380" i="3"/>
  <c r="C2381" i="3"/>
  <c r="C2382" i="3"/>
  <c r="C2383" i="3"/>
  <c r="C2384" i="3"/>
  <c r="C2385" i="3"/>
  <c r="C2386" i="3"/>
  <c r="C2387" i="3"/>
  <c r="C2388" i="3"/>
  <c r="C2389" i="3"/>
  <c r="C2390" i="3"/>
  <c r="C2391" i="3"/>
  <c r="C2392" i="3"/>
  <c r="C2393" i="3"/>
  <c r="C2394" i="3"/>
  <c r="C2395" i="3"/>
  <c r="C2396" i="3"/>
  <c r="C2397" i="3"/>
  <c r="C2398" i="3"/>
  <c r="C2399" i="3"/>
  <c r="C2400" i="3"/>
  <c r="C2401" i="3"/>
  <c r="C2402" i="3"/>
  <c r="C2403" i="3"/>
  <c r="C2404" i="3"/>
  <c r="C2405" i="3"/>
  <c r="C2406" i="3"/>
  <c r="C2407" i="3"/>
  <c r="C2408" i="3"/>
  <c r="C2409" i="3"/>
  <c r="C2410" i="3"/>
  <c r="C1795" i="3"/>
  <c r="C1796" i="3"/>
  <c r="C1797" i="3"/>
  <c r="C1798" i="3"/>
  <c r="C1799" i="3"/>
  <c r="C1800" i="3"/>
  <c r="C1801" i="3"/>
  <c r="C1802" i="3"/>
  <c r="C1803" i="3"/>
  <c r="C1804" i="3"/>
  <c r="C1805" i="3"/>
  <c r="C1806" i="3"/>
  <c r="C1807" i="3"/>
  <c r="C1808" i="3"/>
  <c r="C1809" i="3"/>
  <c r="C1810" i="3"/>
  <c r="C1811" i="3"/>
  <c r="C1812" i="3"/>
  <c r="C1813" i="3"/>
  <c r="C1814" i="3"/>
  <c r="C1815" i="3"/>
  <c r="C1816" i="3"/>
  <c r="C1817" i="3"/>
  <c r="C1818" i="3"/>
  <c r="C1819" i="3"/>
  <c r="C1820" i="3"/>
  <c r="C1821" i="3"/>
  <c r="C1822" i="3"/>
  <c r="C1823" i="3"/>
  <c r="C1824" i="3"/>
  <c r="C1825" i="3"/>
  <c r="C1826" i="3"/>
  <c r="C1261" i="3"/>
  <c r="C1262" i="3"/>
  <c r="C1263" i="3"/>
  <c r="C1264" i="3"/>
  <c r="C1265" i="3"/>
  <c r="C1266" i="3"/>
  <c r="C1267" i="3"/>
  <c r="C1268" i="3"/>
  <c r="C1269" i="3"/>
  <c r="C1270" i="3"/>
  <c r="C1271" i="3"/>
  <c r="C1272" i="3"/>
  <c r="C1273" i="3"/>
  <c r="C1274" i="3"/>
  <c r="C1275" i="3"/>
  <c r="C1276" i="3"/>
  <c r="C1277" i="3"/>
  <c r="C1278" i="3"/>
  <c r="C1279" i="3"/>
  <c r="C1280" i="3"/>
  <c r="C1281" i="3"/>
  <c r="C1282" i="3"/>
  <c r="C1283" i="3"/>
  <c r="C1284" i="3"/>
  <c r="C1285" i="3"/>
  <c r="C1286" i="3"/>
  <c r="C1287" i="3"/>
  <c r="C1288" i="3"/>
  <c r="C1289" i="3"/>
  <c r="C1290" i="3"/>
  <c r="C1291" i="3"/>
  <c r="C1292" i="3"/>
  <c r="C1293" i="3"/>
  <c r="C1655" i="3"/>
  <c r="C1656" i="3"/>
  <c r="C1657" i="3"/>
  <c r="C1658" i="3"/>
  <c r="C1659" i="3"/>
  <c r="C1660" i="3"/>
  <c r="C1661" i="3"/>
  <c r="C1662" i="3"/>
  <c r="C1663" i="3"/>
  <c r="C1664" i="3"/>
  <c r="C1665" i="3"/>
  <c r="C1666" i="3"/>
  <c r="C1667" i="3"/>
  <c r="C1668" i="3"/>
  <c r="C1669" i="3"/>
  <c r="C1670" i="3"/>
  <c r="C1671" i="3"/>
  <c r="C1672" i="3"/>
  <c r="C1673" i="3"/>
  <c r="C1674" i="3"/>
  <c r="C1675" i="3"/>
  <c r="C1676" i="3"/>
  <c r="C1677" i="3"/>
  <c r="C1678" i="3"/>
  <c r="C1679" i="3"/>
  <c r="C1680" i="3"/>
  <c r="C1681" i="3"/>
  <c r="C1682" i="3"/>
  <c r="C1683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3141" i="3"/>
  <c r="C3142" i="3"/>
  <c r="C3143" i="3"/>
  <c r="C3144" i="3"/>
  <c r="C3145" i="3"/>
  <c r="C3146" i="3"/>
  <c r="C3147" i="3"/>
  <c r="C3148" i="3"/>
  <c r="C3149" i="3"/>
  <c r="C3150" i="3"/>
  <c r="C3151" i="3"/>
  <c r="C3152" i="3"/>
  <c r="C3153" i="3"/>
  <c r="C3154" i="3"/>
  <c r="C3155" i="3"/>
  <c r="C3156" i="3"/>
  <c r="C3157" i="3"/>
  <c r="C3158" i="3"/>
  <c r="C3159" i="3"/>
  <c r="C3160" i="3"/>
  <c r="C3161" i="3"/>
  <c r="C3162" i="3"/>
  <c r="C3163" i="3"/>
  <c r="C3164" i="3"/>
  <c r="C3165" i="3"/>
  <c r="C3166" i="3"/>
  <c r="C3167" i="3"/>
  <c r="C3168" i="3"/>
  <c r="C3169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1555" i="3"/>
  <c r="C1556" i="3"/>
  <c r="C1557" i="3"/>
  <c r="C1558" i="3"/>
  <c r="C1559" i="3"/>
  <c r="C1560" i="3"/>
  <c r="C1561" i="3"/>
  <c r="C1562" i="3"/>
  <c r="C1563" i="3"/>
  <c r="C1564" i="3"/>
  <c r="C1565" i="3"/>
  <c r="C1566" i="3"/>
  <c r="C1567" i="3"/>
  <c r="C1568" i="3"/>
  <c r="C1569" i="3"/>
  <c r="C1570" i="3"/>
  <c r="C1571" i="3"/>
  <c r="C1572" i="3"/>
  <c r="C1573" i="3"/>
  <c r="C1574" i="3"/>
  <c r="C1575" i="3"/>
  <c r="C1576" i="3"/>
  <c r="C1577" i="3"/>
  <c r="C1578" i="3"/>
  <c r="C1579" i="3"/>
  <c r="C1580" i="3"/>
  <c r="C1581" i="3"/>
  <c r="C1582" i="3"/>
  <c r="C1583" i="3"/>
  <c r="C1584" i="3"/>
  <c r="C1585" i="3"/>
  <c r="C1586" i="3"/>
  <c r="C1587" i="3"/>
  <c r="C1588" i="3"/>
  <c r="C1589" i="3"/>
  <c r="C1590" i="3"/>
  <c r="C1591" i="3"/>
  <c r="C1592" i="3"/>
  <c r="C1593" i="3"/>
  <c r="C1594" i="3"/>
  <c r="C1595" i="3"/>
  <c r="C1596" i="3"/>
  <c r="C1597" i="3"/>
  <c r="C1598" i="3"/>
  <c r="C1599" i="3"/>
  <c r="C1600" i="3"/>
  <c r="C1601" i="3"/>
  <c r="C1602" i="3"/>
  <c r="C1603" i="3"/>
  <c r="C1604" i="3"/>
  <c r="C1605" i="3"/>
  <c r="C1606" i="3"/>
  <c r="C1607" i="3"/>
  <c r="C1392" i="3"/>
  <c r="C1393" i="3"/>
  <c r="C1394" i="3"/>
  <c r="C1395" i="3"/>
  <c r="C1396" i="3"/>
  <c r="C1397" i="3"/>
  <c r="C1398" i="3"/>
  <c r="C1399" i="3"/>
  <c r="C1400" i="3"/>
  <c r="C1401" i="3"/>
  <c r="C1402" i="3"/>
  <c r="C1403" i="3"/>
  <c r="C1404" i="3"/>
  <c r="C1405" i="3"/>
  <c r="C1406" i="3"/>
  <c r="C1407" i="3"/>
  <c r="C1408" i="3"/>
  <c r="C1409" i="3"/>
  <c r="C1410" i="3"/>
  <c r="C1411" i="3"/>
  <c r="C1412" i="3"/>
  <c r="C1413" i="3"/>
  <c r="C1414" i="3"/>
  <c r="C1415" i="3"/>
  <c r="C1416" i="3"/>
  <c r="C1417" i="3"/>
  <c r="C1418" i="3"/>
  <c r="C1419" i="3"/>
  <c r="C1420" i="3"/>
  <c r="C1421" i="3"/>
  <c r="C1422" i="3"/>
  <c r="C1423" i="3"/>
  <c r="C1424" i="3"/>
  <c r="C1425" i="3"/>
  <c r="C1426" i="3"/>
  <c r="C1427" i="3"/>
  <c r="C1428" i="3"/>
  <c r="C1429" i="3"/>
  <c r="C1430" i="3"/>
  <c r="C1431" i="3"/>
  <c r="C1432" i="3"/>
  <c r="C1433" i="3"/>
  <c r="C1434" i="3"/>
  <c r="C1435" i="3"/>
  <c r="C143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1061" i="3"/>
  <c r="C1062" i="3"/>
  <c r="C1063" i="3"/>
  <c r="C1064" i="3"/>
  <c r="C1065" i="3"/>
  <c r="C1066" i="3"/>
  <c r="C1067" i="3"/>
  <c r="C1068" i="3"/>
  <c r="C1069" i="3"/>
  <c r="C1070" i="3"/>
  <c r="C1071" i="3"/>
  <c r="C1072" i="3"/>
  <c r="C1073" i="3"/>
  <c r="C1074" i="3"/>
  <c r="C1075" i="3"/>
  <c r="C1076" i="3"/>
  <c r="C1077" i="3"/>
  <c r="C1078" i="3"/>
  <c r="C1079" i="3"/>
  <c r="C1080" i="3"/>
  <c r="C1081" i="3"/>
  <c r="C1082" i="3"/>
  <c r="C1083" i="3"/>
  <c r="C1084" i="3"/>
  <c r="C1085" i="3"/>
  <c r="C1086" i="3"/>
  <c r="C1087" i="3"/>
  <c r="C1088" i="3"/>
  <c r="C1089" i="3"/>
  <c r="C1090" i="3"/>
  <c r="C1091" i="3"/>
  <c r="C1092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2638" i="3"/>
  <c r="C2639" i="3"/>
  <c r="C2640" i="3"/>
  <c r="C2641" i="3"/>
  <c r="C2642" i="3"/>
  <c r="C2643" i="3"/>
  <c r="C2644" i="3"/>
  <c r="C2645" i="3"/>
  <c r="C2646" i="3"/>
  <c r="C2647" i="3"/>
  <c r="C2648" i="3"/>
  <c r="C2649" i="3"/>
  <c r="C2650" i="3"/>
  <c r="C2651" i="3"/>
  <c r="C2652" i="3"/>
  <c r="C2653" i="3"/>
  <c r="C2654" i="3"/>
  <c r="C2655" i="3"/>
  <c r="C2656" i="3"/>
  <c r="C2657" i="3"/>
  <c r="C2658" i="3"/>
  <c r="C2659" i="3"/>
  <c r="C2660" i="3"/>
  <c r="C2661" i="3"/>
  <c r="C2662" i="3"/>
  <c r="C2663" i="3"/>
  <c r="C2664" i="3"/>
  <c r="C2665" i="3"/>
  <c r="C2666" i="3"/>
  <c r="C2667" i="3"/>
  <c r="C2668" i="3"/>
  <c r="C2669" i="3"/>
  <c r="C2670" i="3"/>
  <c r="C2671" i="3"/>
  <c r="C2672" i="3"/>
  <c r="C2673" i="3"/>
  <c r="C2674" i="3"/>
  <c r="C2675" i="3"/>
  <c r="C2676" i="3"/>
  <c r="C2677" i="3"/>
  <c r="C2678" i="3"/>
  <c r="C2679" i="3"/>
  <c r="C2680" i="3"/>
  <c r="C2681" i="3"/>
  <c r="C2682" i="3"/>
  <c r="C2683" i="3"/>
  <c r="C2684" i="3"/>
  <c r="C2685" i="3"/>
  <c r="C2686" i="3"/>
  <c r="C2687" i="3"/>
  <c r="C2688" i="3"/>
  <c r="C2689" i="3"/>
  <c r="C2690" i="3"/>
  <c r="C2691" i="3"/>
  <c r="C2692" i="3"/>
  <c r="C2693" i="3"/>
  <c r="C2694" i="3"/>
  <c r="C2695" i="3"/>
  <c r="C2600" i="3"/>
  <c r="C2601" i="3"/>
  <c r="C2602" i="3"/>
  <c r="C2603" i="3"/>
  <c r="C2604" i="3"/>
  <c r="C2605" i="3"/>
  <c r="C2606" i="3"/>
  <c r="C2607" i="3"/>
  <c r="C2608" i="3"/>
  <c r="C2609" i="3"/>
  <c r="C2610" i="3"/>
  <c r="C2611" i="3"/>
  <c r="C2612" i="3"/>
  <c r="C2613" i="3"/>
  <c r="C2614" i="3"/>
  <c r="C2615" i="3"/>
  <c r="C2616" i="3"/>
  <c r="C2617" i="3"/>
  <c r="C2618" i="3"/>
  <c r="C2619" i="3"/>
  <c r="C2620" i="3"/>
  <c r="C2621" i="3"/>
  <c r="C2622" i="3"/>
  <c r="C2623" i="3"/>
  <c r="C2624" i="3"/>
  <c r="C2625" i="3"/>
  <c r="C2626" i="3"/>
  <c r="C2627" i="3"/>
  <c r="C2628" i="3"/>
  <c r="C2629" i="3"/>
  <c r="C2630" i="3"/>
  <c r="C2631" i="3"/>
  <c r="C2632" i="3"/>
  <c r="C2633" i="3"/>
  <c r="C2634" i="3"/>
  <c r="C2635" i="3"/>
  <c r="C2636" i="3"/>
  <c r="C2637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2813" i="3"/>
  <c r="C2814" i="3"/>
  <c r="C2815" i="3"/>
  <c r="C2816" i="3"/>
  <c r="C2817" i="3"/>
  <c r="C2818" i="3"/>
  <c r="C2819" i="3"/>
  <c r="C2820" i="3"/>
  <c r="C2821" i="3"/>
  <c r="C2822" i="3"/>
  <c r="C2823" i="3"/>
  <c r="C2824" i="3"/>
  <c r="C2825" i="3"/>
  <c r="C2826" i="3"/>
  <c r="C2827" i="3"/>
  <c r="C2828" i="3"/>
  <c r="C2829" i="3"/>
  <c r="C2830" i="3"/>
  <c r="C2831" i="3"/>
  <c r="C2832" i="3"/>
  <c r="C2833" i="3"/>
  <c r="C2834" i="3"/>
  <c r="C2835" i="3"/>
  <c r="C2836" i="3"/>
  <c r="C2837" i="3"/>
  <c r="C2838" i="3"/>
  <c r="C2839" i="3"/>
  <c r="C2840" i="3"/>
  <c r="C2841" i="3"/>
  <c r="C2842" i="3"/>
  <c r="C2843" i="3"/>
  <c r="C2844" i="3"/>
  <c r="C2845" i="3"/>
  <c r="C2846" i="3"/>
  <c r="C2847" i="3"/>
  <c r="C2848" i="3"/>
  <c r="C2849" i="3"/>
  <c r="C2850" i="3"/>
  <c r="C2851" i="3"/>
  <c r="C2852" i="3"/>
  <c r="C2853" i="3"/>
  <c r="C2854" i="3"/>
  <c r="C2855" i="3"/>
  <c r="C2856" i="3"/>
  <c r="C2857" i="3"/>
  <c r="C2858" i="3"/>
  <c r="C2859" i="3"/>
  <c r="C2860" i="3"/>
  <c r="C2861" i="3"/>
  <c r="C2862" i="3"/>
  <c r="C2863" i="3"/>
  <c r="C2864" i="3"/>
  <c r="C2865" i="3"/>
  <c r="C2866" i="3"/>
  <c r="C2867" i="3"/>
  <c r="C2868" i="3"/>
  <c r="C2869" i="3"/>
  <c r="C2870" i="3"/>
  <c r="C2871" i="3"/>
  <c r="C1905" i="3"/>
  <c r="C1906" i="3"/>
  <c r="C1907" i="3"/>
  <c r="C1908" i="3"/>
  <c r="C1909" i="3"/>
  <c r="C1910" i="3"/>
  <c r="C1911" i="3"/>
  <c r="C1912" i="3"/>
  <c r="C1913" i="3"/>
  <c r="C1914" i="3"/>
  <c r="C1915" i="3"/>
  <c r="C1916" i="3"/>
  <c r="C1917" i="3"/>
  <c r="C1918" i="3"/>
  <c r="C1919" i="3"/>
  <c r="C1920" i="3"/>
  <c r="C1921" i="3"/>
  <c r="C1922" i="3"/>
  <c r="C1923" i="3"/>
  <c r="C1924" i="3"/>
  <c r="C1925" i="3"/>
  <c r="C1926" i="3"/>
  <c r="C1927" i="3"/>
  <c r="C1928" i="3"/>
  <c r="C1929" i="3"/>
  <c r="C1930" i="3"/>
  <c r="C1931" i="3"/>
  <c r="C1932" i="3"/>
  <c r="C1933" i="3"/>
  <c r="C1934" i="3"/>
  <c r="C1935" i="3"/>
  <c r="C1936" i="3"/>
  <c r="C2908" i="3"/>
  <c r="C2909" i="3"/>
  <c r="C2910" i="3"/>
  <c r="C2911" i="3"/>
  <c r="C2912" i="3"/>
  <c r="C2913" i="3"/>
  <c r="C2914" i="3"/>
  <c r="C2915" i="3"/>
  <c r="C2916" i="3"/>
  <c r="C2917" i="3"/>
  <c r="C2918" i="3"/>
  <c r="C2919" i="3"/>
  <c r="C2920" i="3"/>
  <c r="C2921" i="3"/>
  <c r="C2922" i="3"/>
  <c r="C2923" i="3"/>
  <c r="C2924" i="3"/>
  <c r="C2925" i="3"/>
  <c r="C2926" i="3"/>
  <c r="C2927" i="3"/>
  <c r="C2928" i="3"/>
  <c r="C2929" i="3"/>
  <c r="C2930" i="3"/>
  <c r="C2931" i="3"/>
  <c r="C2932" i="3"/>
  <c r="C2933" i="3"/>
  <c r="C2934" i="3"/>
  <c r="C2935" i="3"/>
  <c r="C2936" i="3"/>
  <c r="C2937" i="3"/>
  <c r="C2938" i="3"/>
  <c r="C2939" i="3"/>
  <c r="C2940" i="3"/>
  <c r="C2941" i="3"/>
  <c r="C2942" i="3"/>
  <c r="C2943" i="3"/>
  <c r="C2944" i="3"/>
  <c r="C1352" i="3"/>
  <c r="C1353" i="3"/>
  <c r="C1354" i="3"/>
  <c r="C1355" i="3"/>
  <c r="C1356" i="3"/>
  <c r="C1357" i="3"/>
  <c r="C1358" i="3"/>
  <c r="C1359" i="3"/>
  <c r="C1360" i="3"/>
  <c r="C1361" i="3"/>
  <c r="C1362" i="3"/>
  <c r="C1363" i="3"/>
  <c r="C1364" i="3"/>
  <c r="C1365" i="3"/>
  <c r="C1366" i="3"/>
  <c r="C1367" i="3"/>
  <c r="C1368" i="3"/>
  <c r="C1369" i="3"/>
  <c r="C1370" i="3"/>
  <c r="C1371" i="3"/>
  <c r="C1372" i="3"/>
  <c r="C1373" i="3"/>
  <c r="C1374" i="3"/>
  <c r="C1375" i="3"/>
  <c r="C1376" i="3"/>
  <c r="C1377" i="3"/>
  <c r="C1378" i="3"/>
  <c r="C1379" i="3"/>
  <c r="C1380" i="3"/>
  <c r="C1381" i="3"/>
  <c r="C1382" i="3"/>
  <c r="C1383" i="3"/>
  <c r="C1384" i="3"/>
  <c r="C1385" i="3"/>
  <c r="C1386" i="3"/>
  <c r="C1387" i="3"/>
  <c r="C1388" i="3"/>
  <c r="C1389" i="3"/>
  <c r="C1390" i="3"/>
  <c r="C1391" i="3"/>
  <c r="C1531" i="3"/>
  <c r="C1532" i="3"/>
  <c r="C1533" i="3"/>
  <c r="C1534" i="3"/>
  <c r="C1535" i="3"/>
  <c r="C1536" i="3"/>
  <c r="C1537" i="3"/>
  <c r="C1538" i="3"/>
  <c r="C1539" i="3"/>
  <c r="C1540" i="3"/>
  <c r="C1541" i="3"/>
  <c r="C1542" i="3"/>
  <c r="C1543" i="3"/>
  <c r="C1544" i="3"/>
  <c r="C1545" i="3"/>
  <c r="C1546" i="3"/>
  <c r="C1547" i="3"/>
  <c r="C1548" i="3"/>
  <c r="C1549" i="3"/>
  <c r="C1550" i="3"/>
  <c r="C1551" i="3"/>
  <c r="C1552" i="3"/>
  <c r="C1553" i="3"/>
  <c r="C1554" i="3"/>
  <c r="C2269" i="3"/>
  <c r="C2270" i="3"/>
  <c r="C2271" i="3"/>
  <c r="C2272" i="3"/>
  <c r="C2273" i="3"/>
  <c r="C2274" i="3"/>
  <c r="C2275" i="3"/>
  <c r="C2276" i="3"/>
  <c r="C2277" i="3"/>
  <c r="C2278" i="3"/>
  <c r="C2279" i="3"/>
  <c r="C2280" i="3"/>
  <c r="C2281" i="3"/>
  <c r="C2282" i="3"/>
  <c r="C2283" i="3"/>
  <c r="C2284" i="3"/>
  <c r="C2285" i="3"/>
  <c r="C2286" i="3"/>
  <c r="C2287" i="3"/>
  <c r="C2288" i="3"/>
  <c r="C2289" i="3"/>
  <c r="C2290" i="3"/>
  <c r="C2291" i="3"/>
  <c r="C2292" i="3"/>
  <c r="C2293" i="3"/>
  <c r="C2294" i="3"/>
  <c r="C2295" i="3"/>
  <c r="C2296" i="3"/>
  <c r="C2297" i="3"/>
  <c r="C2298" i="3"/>
  <c r="C2299" i="3"/>
  <c r="C2300" i="3"/>
  <c r="C2301" i="3"/>
  <c r="C2302" i="3"/>
  <c r="C2303" i="3"/>
  <c r="C2304" i="3"/>
  <c r="C2305" i="3"/>
  <c r="C2306" i="3"/>
  <c r="C2307" i="3"/>
  <c r="C2308" i="3"/>
  <c r="C2309" i="3"/>
  <c r="C2310" i="3"/>
  <c r="C2311" i="3"/>
  <c r="C2312" i="3"/>
  <c r="C2313" i="3"/>
  <c r="C2314" i="3"/>
  <c r="C2315" i="3"/>
  <c r="C2316" i="3"/>
  <c r="C2317" i="3"/>
  <c r="C2318" i="3"/>
  <c r="C2319" i="3"/>
  <c r="C2320" i="3"/>
  <c r="C2321" i="3"/>
  <c r="C2322" i="3"/>
  <c r="C2323" i="3"/>
  <c r="C2324" i="3"/>
  <c r="C2325" i="3"/>
  <c r="C2326" i="3"/>
  <c r="C2327" i="3"/>
  <c r="C2328" i="3"/>
  <c r="C2329" i="3"/>
  <c r="C2330" i="3"/>
  <c r="C2331" i="3"/>
  <c r="C2332" i="3"/>
  <c r="C2333" i="3"/>
  <c r="C2334" i="3"/>
  <c r="C2335" i="3"/>
  <c r="C2336" i="3"/>
  <c r="C2337" i="3"/>
  <c r="C2338" i="3"/>
  <c r="C2339" i="3"/>
  <c r="C2340" i="3"/>
  <c r="C2341" i="3"/>
  <c r="C2342" i="3"/>
  <c r="C2343" i="3"/>
  <c r="C2344" i="3"/>
  <c r="C2345" i="3"/>
  <c r="C2346" i="3"/>
  <c r="C2347" i="3"/>
  <c r="C2348" i="3"/>
  <c r="C2349" i="3"/>
  <c r="C2350" i="3"/>
  <c r="C2351" i="3"/>
  <c r="C2352" i="3"/>
  <c r="C2353" i="3"/>
  <c r="C2354" i="3"/>
  <c r="C2355" i="3"/>
  <c r="C2356" i="3"/>
  <c r="C2357" i="3"/>
  <c r="C2358" i="3"/>
  <c r="C2359" i="3"/>
  <c r="C2360" i="3"/>
  <c r="C2361" i="3"/>
  <c r="C2362" i="3"/>
  <c r="C2363" i="3"/>
  <c r="C2364" i="3"/>
  <c r="C2365" i="3"/>
  <c r="C2366" i="3"/>
  <c r="C2367" i="3"/>
  <c r="C2368" i="3"/>
  <c r="C2369" i="3"/>
  <c r="C2370" i="3"/>
  <c r="C2696" i="3"/>
  <c r="C2697" i="3"/>
  <c r="C2698" i="3"/>
  <c r="C2699" i="3"/>
  <c r="C2700" i="3"/>
  <c r="C2701" i="3"/>
  <c r="C2702" i="3"/>
  <c r="C2703" i="3"/>
  <c r="C2704" i="3"/>
  <c r="C2705" i="3"/>
  <c r="C2706" i="3"/>
  <c r="C2707" i="3"/>
  <c r="C2708" i="3"/>
  <c r="C2709" i="3"/>
  <c r="C2710" i="3"/>
  <c r="C2711" i="3"/>
  <c r="C2712" i="3"/>
  <c r="C2713" i="3"/>
  <c r="C2714" i="3"/>
  <c r="C2715" i="3"/>
  <c r="C2716" i="3"/>
  <c r="C2717" i="3"/>
  <c r="C2718" i="3"/>
  <c r="C2719" i="3"/>
  <c r="C2720" i="3"/>
  <c r="C2721" i="3"/>
  <c r="C2722" i="3"/>
  <c r="C2723" i="3"/>
  <c r="C2724" i="3"/>
  <c r="C2725" i="3"/>
  <c r="C2726" i="3"/>
  <c r="C2727" i="3"/>
  <c r="D1827" i="3"/>
  <c r="D1828" i="3"/>
  <c r="D1829" i="3"/>
  <c r="D1830" i="3"/>
  <c r="D1831" i="3"/>
  <c r="D1832" i="3"/>
  <c r="D1833" i="3"/>
  <c r="D1834" i="3"/>
  <c r="D1835" i="3"/>
  <c r="D1836" i="3"/>
  <c r="D1837" i="3"/>
  <c r="D1838" i="3"/>
  <c r="D1839" i="3"/>
  <c r="D1840" i="3"/>
  <c r="D1841" i="3"/>
  <c r="D1842" i="3"/>
  <c r="D1843" i="3"/>
  <c r="D1844" i="3"/>
  <c r="D1845" i="3"/>
  <c r="D1846" i="3"/>
  <c r="D1847" i="3"/>
  <c r="D1848" i="3"/>
  <c r="D1849" i="3"/>
  <c r="D1850" i="3"/>
  <c r="D1851" i="3"/>
  <c r="D1852" i="3"/>
  <c r="D1853" i="3"/>
  <c r="D1854" i="3"/>
  <c r="D1855" i="3"/>
  <c r="D1856" i="3"/>
  <c r="D1857" i="3"/>
  <c r="D1858" i="3"/>
  <c r="D1859" i="3"/>
  <c r="D1860" i="3"/>
  <c r="D1861" i="3"/>
  <c r="D1862" i="3"/>
  <c r="D1863" i="3"/>
  <c r="D1864" i="3"/>
  <c r="D1865" i="3"/>
  <c r="D1866" i="3"/>
  <c r="D1867" i="3"/>
  <c r="D1868" i="3"/>
  <c r="D1869" i="3"/>
  <c r="D1870" i="3"/>
  <c r="D1871" i="3"/>
  <c r="D1872" i="3"/>
  <c r="D18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3202" i="3"/>
  <c r="D3203" i="3"/>
  <c r="D3204" i="3"/>
  <c r="D3205" i="3"/>
  <c r="D3206" i="3"/>
  <c r="D3207" i="3"/>
  <c r="D3208" i="3"/>
  <c r="D3209" i="3"/>
  <c r="D3210" i="3"/>
  <c r="D3211" i="3"/>
  <c r="D3212" i="3"/>
  <c r="D3213" i="3"/>
  <c r="D3214" i="3"/>
  <c r="D3215" i="3"/>
  <c r="D3216" i="3"/>
  <c r="D3217" i="3"/>
  <c r="D3218" i="3"/>
  <c r="D3219" i="3"/>
  <c r="D3220" i="3"/>
  <c r="D3221" i="3"/>
  <c r="D3222" i="3"/>
  <c r="D3223" i="3"/>
  <c r="D3224" i="3"/>
  <c r="D3225" i="3"/>
  <c r="D3226" i="3"/>
  <c r="D3227" i="3"/>
  <c r="D3228" i="3"/>
  <c r="D3229" i="3"/>
  <c r="D3230" i="3"/>
  <c r="D3231" i="3"/>
  <c r="D3232" i="3"/>
  <c r="D3233" i="3"/>
  <c r="D3234" i="3"/>
  <c r="D3235" i="3"/>
  <c r="D3236" i="3"/>
  <c r="D3237" i="3"/>
  <c r="D3238" i="3"/>
  <c r="D3239" i="3"/>
  <c r="D3240" i="3"/>
  <c r="D3241" i="3"/>
  <c r="D3242" i="3"/>
  <c r="D3243" i="3"/>
  <c r="D3244" i="3"/>
  <c r="D3245" i="3"/>
  <c r="D2945" i="3"/>
  <c r="D2946" i="3"/>
  <c r="D2947" i="3"/>
  <c r="D2948" i="3"/>
  <c r="D2949" i="3"/>
  <c r="D2950" i="3"/>
  <c r="D2951" i="3"/>
  <c r="D2952" i="3"/>
  <c r="D2953" i="3"/>
  <c r="D2954" i="3"/>
  <c r="D2955" i="3"/>
  <c r="D2956" i="3"/>
  <c r="D2957" i="3"/>
  <c r="D2958" i="3"/>
  <c r="D2959" i="3"/>
  <c r="D2960" i="3"/>
  <c r="D2961" i="3"/>
  <c r="D2962" i="3"/>
  <c r="D2963" i="3"/>
  <c r="D2964" i="3"/>
  <c r="D2965" i="3"/>
  <c r="D2966" i="3"/>
  <c r="D2967" i="3"/>
  <c r="D2968" i="3"/>
  <c r="D2969" i="3"/>
  <c r="D2970" i="3"/>
  <c r="D2971" i="3"/>
  <c r="D2972" i="3"/>
  <c r="D2973" i="3"/>
  <c r="D2974" i="3"/>
  <c r="D2975" i="3"/>
  <c r="D2976" i="3"/>
  <c r="D2977" i="3"/>
  <c r="D2978" i="3"/>
  <c r="D2979" i="3"/>
  <c r="D2980" i="3"/>
  <c r="D2981" i="3"/>
  <c r="D2982" i="3"/>
  <c r="D2983" i="3"/>
  <c r="D2984" i="3"/>
  <c r="D2985" i="3"/>
  <c r="D2986" i="3"/>
  <c r="D2987" i="3"/>
  <c r="D2988" i="3"/>
  <c r="D2989" i="3"/>
  <c r="D3094" i="3"/>
  <c r="D3095" i="3"/>
  <c r="D3096" i="3"/>
  <c r="D3097" i="3"/>
  <c r="D3098" i="3"/>
  <c r="D3099" i="3"/>
  <c r="D3100" i="3"/>
  <c r="D3101" i="3"/>
  <c r="D3102" i="3"/>
  <c r="D3103" i="3"/>
  <c r="D3104" i="3"/>
  <c r="D3105" i="3"/>
  <c r="D3106" i="3"/>
  <c r="D3107" i="3"/>
  <c r="D3108" i="3"/>
  <c r="D3109" i="3"/>
  <c r="D3110" i="3"/>
  <c r="D3111" i="3"/>
  <c r="D3112" i="3"/>
  <c r="D3113" i="3"/>
  <c r="D3114" i="3"/>
  <c r="D3115" i="3"/>
  <c r="D3116" i="3"/>
  <c r="D3117" i="3"/>
  <c r="D3118" i="3"/>
  <c r="D3119" i="3"/>
  <c r="D3120" i="3"/>
  <c r="D3121" i="3"/>
  <c r="D3122" i="3"/>
  <c r="D3123" i="3"/>
  <c r="D3124" i="3"/>
  <c r="D3125" i="3"/>
  <c r="D3126" i="3"/>
  <c r="D3127" i="3"/>
  <c r="D3128" i="3"/>
  <c r="D3129" i="3"/>
  <c r="D3130" i="3"/>
  <c r="D3131" i="3"/>
  <c r="D3132" i="3"/>
  <c r="D3133" i="3"/>
  <c r="D3134" i="3"/>
  <c r="D3135" i="3"/>
  <c r="D3136" i="3"/>
  <c r="D3137" i="3"/>
  <c r="D3138" i="3"/>
  <c r="D3139" i="3"/>
  <c r="D3140" i="3"/>
  <c r="D2161" i="3"/>
  <c r="D2162" i="3"/>
  <c r="D2163" i="3"/>
  <c r="D2164" i="3"/>
  <c r="D2165" i="3"/>
  <c r="D2166" i="3"/>
  <c r="D2167" i="3"/>
  <c r="D2168" i="3"/>
  <c r="D2169" i="3"/>
  <c r="D2170" i="3"/>
  <c r="D2171" i="3"/>
  <c r="D2172" i="3"/>
  <c r="D2173" i="3"/>
  <c r="D2174" i="3"/>
  <c r="D2175" i="3"/>
  <c r="D2176" i="3"/>
  <c r="D2177" i="3"/>
  <c r="D2178" i="3"/>
  <c r="D2179" i="3"/>
  <c r="D2180" i="3"/>
  <c r="D2181" i="3"/>
  <c r="D2182" i="3"/>
  <c r="D2183" i="3"/>
  <c r="D2184" i="3"/>
  <c r="D2185" i="3"/>
  <c r="D2186" i="3"/>
  <c r="D2187" i="3"/>
  <c r="D2188" i="3"/>
  <c r="D2189" i="3"/>
  <c r="D2190" i="3"/>
  <c r="D2191" i="3"/>
  <c r="D2192" i="3"/>
  <c r="D2193" i="3"/>
  <c r="D2194" i="3"/>
  <c r="D2195" i="3"/>
  <c r="D2196" i="3"/>
  <c r="D2197" i="3"/>
  <c r="D2198" i="3"/>
  <c r="D2199" i="3"/>
  <c r="D2200" i="3"/>
  <c r="D2201" i="3"/>
  <c r="D2202" i="3"/>
  <c r="D2203" i="3"/>
  <c r="D2204" i="3"/>
  <c r="D2205" i="3"/>
  <c r="D2206" i="3"/>
  <c r="D2207" i="3"/>
  <c r="D2208" i="3"/>
  <c r="D2209" i="3"/>
  <c r="D2210" i="3"/>
  <c r="D2211" i="3"/>
  <c r="D2212" i="3"/>
  <c r="D2213" i="3"/>
  <c r="D2214" i="3"/>
  <c r="D2215" i="3"/>
  <c r="D2216" i="3"/>
  <c r="D2217" i="3"/>
  <c r="D2218" i="3"/>
  <c r="D2219" i="3"/>
  <c r="D2220" i="3"/>
  <c r="D2221" i="3"/>
  <c r="D2222" i="3"/>
  <c r="D2223" i="3"/>
  <c r="D2224" i="3"/>
  <c r="D2225" i="3"/>
  <c r="D2226" i="3"/>
  <c r="D2227" i="3"/>
  <c r="D2228" i="3"/>
  <c r="D2229" i="3"/>
  <c r="D2230" i="3"/>
  <c r="D2231" i="3"/>
  <c r="D2232" i="3"/>
  <c r="D2233" i="3"/>
  <c r="D2234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2990" i="3"/>
  <c r="D2991" i="3"/>
  <c r="D2992" i="3"/>
  <c r="D2993" i="3"/>
  <c r="D2994" i="3"/>
  <c r="D2995" i="3"/>
  <c r="D2996" i="3"/>
  <c r="D2997" i="3"/>
  <c r="D2998" i="3"/>
  <c r="D2999" i="3"/>
  <c r="D3000" i="3"/>
  <c r="D3001" i="3"/>
  <c r="D3002" i="3"/>
  <c r="D3003" i="3"/>
  <c r="D3004" i="3"/>
  <c r="D3005" i="3"/>
  <c r="D3006" i="3"/>
  <c r="D3007" i="3"/>
  <c r="D3008" i="3"/>
  <c r="D3009" i="3"/>
  <c r="D3010" i="3"/>
  <c r="D3011" i="3"/>
  <c r="D3012" i="3"/>
  <c r="D3013" i="3"/>
  <c r="D3014" i="3"/>
  <c r="D3015" i="3"/>
  <c r="D3016" i="3"/>
  <c r="D3017" i="3"/>
  <c r="D3018" i="3"/>
  <c r="D3019" i="3"/>
  <c r="D3020" i="3"/>
  <c r="D3021" i="3"/>
  <c r="D3022" i="3"/>
  <c r="D3023" i="3"/>
  <c r="D3024" i="3"/>
  <c r="D3025" i="3"/>
  <c r="D3026" i="3"/>
  <c r="D3027" i="3"/>
  <c r="D3028" i="3"/>
  <c r="D3029" i="3"/>
  <c r="D3030" i="3"/>
  <c r="D3031" i="3"/>
  <c r="D3032" i="3"/>
  <c r="D3033" i="3"/>
  <c r="D3034" i="3"/>
  <c r="D3035" i="3"/>
  <c r="D3036" i="3"/>
  <c r="D3037" i="3"/>
  <c r="D3038" i="3"/>
  <c r="D3170" i="3"/>
  <c r="D3171" i="3"/>
  <c r="D3172" i="3"/>
  <c r="D3173" i="3"/>
  <c r="D3174" i="3"/>
  <c r="D3175" i="3"/>
  <c r="D3176" i="3"/>
  <c r="D3177" i="3"/>
  <c r="D3178" i="3"/>
  <c r="D3179" i="3"/>
  <c r="D3180" i="3"/>
  <c r="D3181" i="3"/>
  <c r="D3182" i="3"/>
  <c r="D3183" i="3"/>
  <c r="D3184" i="3"/>
  <c r="D3185" i="3"/>
  <c r="D3186" i="3"/>
  <c r="D3187" i="3"/>
  <c r="D3188" i="3"/>
  <c r="D3189" i="3"/>
  <c r="D3190" i="3"/>
  <c r="D3191" i="3"/>
  <c r="D3192" i="3"/>
  <c r="D3193" i="3"/>
  <c r="D3194" i="3"/>
  <c r="D3195" i="3"/>
  <c r="D3196" i="3"/>
  <c r="D3197" i="3"/>
  <c r="D3198" i="3"/>
  <c r="D3199" i="3"/>
  <c r="D3200" i="3"/>
  <c r="D3201" i="3"/>
  <c r="D1874" i="3"/>
  <c r="D1875" i="3"/>
  <c r="D1876" i="3"/>
  <c r="D1877" i="3"/>
  <c r="D1878" i="3"/>
  <c r="D1879" i="3"/>
  <c r="D1880" i="3"/>
  <c r="D1881" i="3"/>
  <c r="D1882" i="3"/>
  <c r="D1883" i="3"/>
  <c r="D1884" i="3"/>
  <c r="D1885" i="3"/>
  <c r="D1886" i="3"/>
  <c r="D1887" i="3"/>
  <c r="D1888" i="3"/>
  <c r="D1889" i="3"/>
  <c r="D1890" i="3"/>
  <c r="D1891" i="3"/>
  <c r="D1892" i="3"/>
  <c r="D1893" i="3"/>
  <c r="D1894" i="3"/>
  <c r="D1895" i="3"/>
  <c r="D1896" i="3"/>
  <c r="D1897" i="3"/>
  <c r="D1898" i="3"/>
  <c r="D1899" i="3"/>
  <c r="D1900" i="3"/>
  <c r="D1901" i="3"/>
  <c r="D1902" i="3"/>
  <c r="D1903" i="3"/>
  <c r="D1904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2235" i="3"/>
  <c r="D2236" i="3"/>
  <c r="D2237" i="3"/>
  <c r="D2238" i="3"/>
  <c r="D2239" i="3"/>
  <c r="D2240" i="3"/>
  <c r="D2241" i="3"/>
  <c r="D2242" i="3"/>
  <c r="D2243" i="3"/>
  <c r="D2244" i="3"/>
  <c r="D2245" i="3"/>
  <c r="D2246" i="3"/>
  <c r="D2247" i="3"/>
  <c r="D2248" i="3"/>
  <c r="D2249" i="3"/>
  <c r="D2250" i="3"/>
  <c r="D2251" i="3"/>
  <c r="D2252" i="3"/>
  <c r="D2253" i="3"/>
  <c r="D2254" i="3"/>
  <c r="D2255" i="3"/>
  <c r="D2256" i="3"/>
  <c r="D2257" i="3"/>
  <c r="D2258" i="3"/>
  <c r="D2259" i="3"/>
  <c r="D2260" i="3"/>
  <c r="D2261" i="3"/>
  <c r="D2262" i="3"/>
  <c r="D2263" i="3"/>
  <c r="D2264" i="3"/>
  <c r="D2265" i="3"/>
  <c r="D2266" i="3"/>
  <c r="D2267" i="3"/>
  <c r="D2268" i="3"/>
  <c r="D2872" i="3"/>
  <c r="D2873" i="3"/>
  <c r="D2874" i="3"/>
  <c r="D2875" i="3"/>
  <c r="D2876" i="3"/>
  <c r="D2877" i="3"/>
  <c r="D2878" i="3"/>
  <c r="D2879" i="3"/>
  <c r="D2880" i="3"/>
  <c r="D2881" i="3"/>
  <c r="D2882" i="3"/>
  <c r="D2883" i="3"/>
  <c r="D2884" i="3"/>
  <c r="D2885" i="3"/>
  <c r="D2886" i="3"/>
  <c r="D2887" i="3"/>
  <c r="D2888" i="3"/>
  <c r="D2889" i="3"/>
  <c r="D2890" i="3"/>
  <c r="D2891" i="3"/>
  <c r="D2892" i="3"/>
  <c r="D2893" i="3"/>
  <c r="D2894" i="3"/>
  <c r="D2895" i="3"/>
  <c r="D2896" i="3"/>
  <c r="D2897" i="3"/>
  <c r="D2898" i="3"/>
  <c r="D2899" i="3"/>
  <c r="D2900" i="3"/>
  <c r="D2901" i="3"/>
  <c r="D2902" i="3"/>
  <c r="D2903" i="3"/>
  <c r="D2904" i="3"/>
  <c r="D2905" i="3"/>
  <c r="D2906" i="3"/>
  <c r="D2907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2411" i="3"/>
  <c r="D2412" i="3"/>
  <c r="D2413" i="3"/>
  <c r="D2414" i="3"/>
  <c r="D2415" i="3"/>
  <c r="D2416" i="3"/>
  <c r="D2417" i="3"/>
  <c r="D2418" i="3"/>
  <c r="D2419" i="3"/>
  <c r="D2420" i="3"/>
  <c r="D2421" i="3"/>
  <c r="D2422" i="3"/>
  <c r="D2423" i="3"/>
  <c r="D2424" i="3"/>
  <c r="D2425" i="3"/>
  <c r="D2426" i="3"/>
  <c r="D2427" i="3"/>
  <c r="D2428" i="3"/>
  <c r="D2429" i="3"/>
  <c r="D2430" i="3"/>
  <c r="D2431" i="3"/>
  <c r="D2432" i="3"/>
  <c r="D2433" i="3"/>
  <c r="D2434" i="3"/>
  <c r="D2435" i="3"/>
  <c r="D2436" i="3"/>
  <c r="D2437" i="3"/>
  <c r="D2438" i="3"/>
  <c r="D2439" i="3"/>
  <c r="D2440" i="3"/>
  <c r="D2441" i="3"/>
  <c r="D2442" i="3"/>
  <c r="D2443" i="3"/>
  <c r="D2444" i="3"/>
  <c r="D2445" i="3"/>
  <c r="D2446" i="3"/>
  <c r="D2447" i="3"/>
  <c r="D2448" i="3"/>
  <c r="D2449" i="3"/>
  <c r="D2450" i="3"/>
  <c r="D2451" i="3"/>
  <c r="D2452" i="3"/>
  <c r="D2453" i="3"/>
  <c r="D2454" i="3"/>
  <c r="D2455" i="3"/>
  <c r="D2456" i="3"/>
  <c r="D2457" i="3"/>
  <c r="D2458" i="3"/>
  <c r="D2459" i="3"/>
  <c r="D2460" i="3"/>
  <c r="D2461" i="3"/>
  <c r="D2462" i="3"/>
  <c r="D2463" i="3"/>
  <c r="D2464" i="3"/>
  <c r="D2465" i="3"/>
  <c r="D2466" i="3"/>
  <c r="D2467" i="3"/>
  <c r="D2468" i="3"/>
  <c r="D2469" i="3"/>
  <c r="D2470" i="3"/>
  <c r="D2471" i="3"/>
  <c r="D2472" i="3"/>
  <c r="D2473" i="3"/>
  <c r="D2474" i="3"/>
  <c r="D2475" i="3"/>
  <c r="D2476" i="3"/>
  <c r="D2477" i="3"/>
  <c r="D2478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D1001" i="3"/>
  <c r="D1002" i="3"/>
  <c r="D1003" i="3"/>
  <c r="D1004" i="3"/>
  <c r="D1005" i="3"/>
  <c r="D1006" i="3"/>
  <c r="D1007" i="3"/>
  <c r="D1008" i="3"/>
  <c r="D1009" i="3"/>
  <c r="D1010" i="3"/>
  <c r="D1011" i="3"/>
  <c r="D1012" i="3"/>
  <c r="D1013" i="3"/>
  <c r="D1014" i="3"/>
  <c r="D1015" i="3"/>
  <c r="D1016" i="3"/>
  <c r="D1017" i="3"/>
  <c r="D1018" i="3"/>
  <c r="D1019" i="3"/>
  <c r="D1020" i="3"/>
  <c r="D1021" i="3"/>
  <c r="D1022" i="3"/>
  <c r="D1023" i="3"/>
  <c r="D1024" i="3"/>
  <c r="D1025" i="3"/>
  <c r="D1026" i="3"/>
  <c r="D1027" i="3"/>
  <c r="D1028" i="3"/>
  <c r="D1029" i="3"/>
  <c r="D1030" i="3"/>
  <c r="D1031" i="3"/>
  <c r="D1032" i="3"/>
  <c r="D1033" i="3"/>
  <c r="D1034" i="3"/>
  <c r="D1035" i="3"/>
  <c r="D1036" i="3"/>
  <c r="D1037" i="3"/>
  <c r="D1038" i="3"/>
  <c r="D1039" i="3"/>
  <c r="D1040" i="3"/>
  <c r="D1041" i="3"/>
  <c r="D1042" i="3"/>
  <c r="D1043" i="3"/>
  <c r="D1044" i="3"/>
  <c r="D1045" i="3"/>
  <c r="D1046" i="3"/>
  <c r="D1047" i="3"/>
  <c r="D1048" i="3"/>
  <c r="D1049" i="3"/>
  <c r="D1050" i="3"/>
  <c r="D1051" i="3"/>
  <c r="D1052" i="3"/>
  <c r="D1053" i="3"/>
  <c r="D1054" i="3"/>
  <c r="D1055" i="3"/>
  <c r="D1056" i="3"/>
  <c r="D1057" i="3"/>
  <c r="D1058" i="3"/>
  <c r="D1059" i="3"/>
  <c r="D1060" i="3"/>
  <c r="D1093" i="3"/>
  <c r="D1094" i="3"/>
  <c r="D1095" i="3"/>
  <c r="D1096" i="3"/>
  <c r="D1097" i="3"/>
  <c r="D1098" i="3"/>
  <c r="D1099" i="3"/>
  <c r="D1100" i="3"/>
  <c r="D1101" i="3"/>
  <c r="D1102" i="3"/>
  <c r="D1103" i="3"/>
  <c r="D1104" i="3"/>
  <c r="D1105" i="3"/>
  <c r="D1106" i="3"/>
  <c r="D1107" i="3"/>
  <c r="D1108" i="3"/>
  <c r="D1109" i="3"/>
  <c r="D1110" i="3"/>
  <c r="D1111" i="3"/>
  <c r="D1112" i="3"/>
  <c r="D1113" i="3"/>
  <c r="D1114" i="3"/>
  <c r="D1115" i="3"/>
  <c r="D1116" i="3"/>
  <c r="D1117" i="3"/>
  <c r="D1118" i="3"/>
  <c r="D1119" i="3"/>
  <c r="D1120" i="3"/>
  <c r="D1121" i="3"/>
  <c r="D1122" i="3"/>
  <c r="D1123" i="3"/>
  <c r="D1124" i="3"/>
  <c r="D1125" i="3"/>
  <c r="D1126" i="3"/>
  <c r="D1127" i="3"/>
  <c r="D1128" i="3"/>
  <c r="D1129" i="3"/>
  <c r="D1130" i="3"/>
  <c r="D1131" i="3"/>
  <c r="D1132" i="3"/>
  <c r="D1133" i="3"/>
  <c r="D1134" i="3"/>
  <c r="D1135" i="3"/>
  <c r="D1136" i="3"/>
  <c r="D1137" i="3"/>
  <c r="D1138" i="3"/>
  <c r="D1139" i="3"/>
  <c r="D1140" i="3"/>
  <c r="D1141" i="3"/>
  <c r="D1142" i="3"/>
  <c r="D1143" i="3"/>
  <c r="D1144" i="3"/>
  <c r="D1145" i="3"/>
  <c r="D1146" i="3"/>
  <c r="D1147" i="3"/>
  <c r="D1148" i="3"/>
  <c r="D1149" i="3"/>
  <c r="D1150" i="3"/>
  <c r="D1151" i="3"/>
  <c r="D1152" i="3"/>
  <c r="D1153" i="3"/>
  <c r="D1154" i="3"/>
  <c r="D1155" i="3"/>
  <c r="D1156" i="3"/>
  <c r="D1157" i="3"/>
  <c r="D1158" i="3"/>
  <c r="D1159" i="3"/>
  <c r="D1160" i="3"/>
  <c r="D1161" i="3"/>
  <c r="D1162" i="3"/>
  <c r="D1163" i="3"/>
  <c r="D1164" i="3"/>
  <c r="D1165" i="3"/>
  <c r="D1166" i="3"/>
  <c r="D1167" i="3"/>
  <c r="D1168" i="3"/>
  <c r="D1169" i="3"/>
  <c r="D1170" i="3"/>
  <c r="D1171" i="3"/>
  <c r="D1172" i="3"/>
  <c r="D1173" i="3"/>
  <c r="D1174" i="3"/>
  <c r="D1175" i="3"/>
  <c r="D1176" i="3"/>
  <c r="D1177" i="3"/>
  <c r="D1178" i="3"/>
  <c r="D1179" i="3"/>
  <c r="D1180" i="3"/>
  <c r="D1181" i="3"/>
  <c r="D1182" i="3"/>
  <c r="D1183" i="3"/>
  <c r="D1184" i="3"/>
  <c r="D1185" i="3"/>
  <c r="D1186" i="3"/>
  <c r="D1187" i="3"/>
  <c r="D1188" i="3"/>
  <c r="D1189" i="3"/>
  <c r="D1190" i="3"/>
  <c r="D1191" i="3"/>
  <c r="D1192" i="3"/>
  <c r="D1193" i="3"/>
  <c r="D1194" i="3"/>
  <c r="D1195" i="3"/>
  <c r="D1196" i="3"/>
  <c r="D1197" i="3"/>
  <c r="D1198" i="3"/>
  <c r="D1199" i="3"/>
  <c r="D1200" i="3"/>
  <c r="D1201" i="3"/>
  <c r="D1202" i="3"/>
  <c r="D1203" i="3"/>
  <c r="D1204" i="3"/>
  <c r="D1205" i="3"/>
  <c r="D1206" i="3"/>
  <c r="D1207" i="3"/>
  <c r="D1208" i="3"/>
  <c r="D1209" i="3"/>
  <c r="D1210" i="3"/>
  <c r="D1211" i="3"/>
  <c r="D1212" i="3"/>
  <c r="D1213" i="3"/>
  <c r="D1214" i="3"/>
  <c r="D1215" i="3"/>
  <c r="D1216" i="3"/>
  <c r="D1217" i="3"/>
  <c r="D1218" i="3"/>
  <c r="D1219" i="3"/>
  <c r="D1220" i="3"/>
  <c r="D1221" i="3"/>
  <c r="D1222" i="3"/>
  <c r="D1223" i="3"/>
  <c r="D1224" i="3"/>
  <c r="D1225" i="3"/>
  <c r="D1226" i="3"/>
  <c r="D1227" i="3"/>
  <c r="D1228" i="3"/>
  <c r="D1229" i="3"/>
  <c r="D1230" i="3"/>
  <c r="D1231" i="3"/>
  <c r="D1232" i="3"/>
  <c r="D1233" i="3"/>
  <c r="D1234" i="3"/>
  <c r="D1235" i="3"/>
  <c r="D1236" i="3"/>
  <c r="D1237" i="3"/>
  <c r="D1238" i="3"/>
  <c r="D1239" i="3"/>
  <c r="D1240" i="3"/>
  <c r="D1241" i="3"/>
  <c r="D1242" i="3"/>
  <c r="D1243" i="3"/>
  <c r="D1244" i="3"/>
  <c r="D1245" i="3"/>
  <c r="D1246" i="3"/>
  <c r="D1247" i="3"/>
  <c r="D1248" i="3"/>
  <c r="D1249" i="3"/>
  <c r="D1250" i="3"/>
  <c r="D1251" i="3"/>
  <c r="D1252" i="3"/>
  <c r="D1253" i="3"/>
  <c r="D1254" i="3"/>
  <c r="D1255" i="3"/>
  <c r="D1256" i="3"/>
  <c r="D1257" i="3"/>
  <c r="D1258" i="3"/>
  <c r="D1259" i="3"/>
  <c r="D1260" i="3"/>
  <c r="D1294" i="3"/>
  <c r="D1295" i="3"/>
  <c r="D1296" i="3"/>
  <c r="D1297" i="3"/>
  <c r="D1298" i="3"/>
  <c r="D1299" i="3"/>
  <c r="D1300" i="3"/>
  <c r="D1301" i="3"/>
  <c r="D1302" i="3"/>
  <c r="D1303" i="3"/>
  <c r="D1304" i="3"/>
  <c r="D1305" i="3"/>
  <c r="D1306" i="3"/>
  <c r="D1307" i="3"/>
  <c r="D1308" i="3"/>
  <c r="D1309" i="3"/>
  <c r="D1310" i="3"/>
  <c r="D1311" i="3"/>
  <c r="D1312" i="3"/>
  <c r="D1313" i="3"/>
  <c r="D1314" i="3"/>
  <c r="D1315" i="3"/>
  <c r="D1316" i="3"/>
  <c r="D1317" i="3"/>
  <c r="D1318" i="3"/>
  <c r="D1319" i="3"/>
  <c r="D1320" i="3"/>
  <c r="D1321" i="3"/>
  <c r="D1322" i="3"/>
  <c r="D1323" i="3"/>
  <c r="D1324" i="3"/>
  <c r="D1325" i="3"/>
  <c r="D1326" i="3"/>
  <c r="D1327" i="3"/>
  <c r="D1328" i="3"/>
  <c r="D1329" i="3"/>
  <c r="D1330" i="3"/>
  <c r="D1331" i="3"/>
  <c r="D1332" i="3"/>
  <c r="D1333" i="3"/>
  <c r="D1334" i="3"/>
  <c r="D1335" i="3"/>
  <c r="D1336" i="3"/>
  <c r="D1337" i="3"/>
  <c r="D1338" i="3"/>
  <c r="D1339" i="3"/>
  <c r="D1340" i="3"/>
  <c r="D1341" i="3"/>
  <c r="D1342" i="3"/>
  <c r="D1343" i="3"/>
  <c r="D1344" i="3"/>
  <c r="D1345" i="3"/>
  <c r="D1346" i="3"/>
  <c r="D1347" i="3"/>
  <c r="D1348" i="3"/>
  <c r="D1349" i="3"/>
  <c r="D1350" i="3"/>
  <c r="D1351" i="3"/>
  <c r="D1437" i="3"/>
  <c r="D1438" i="3"/>
  <c r="D1439" i="3"/>
  <c r="D1440" i="3"/>
  <c r="D1441" i="3"/>
  <c r="D1442" i="3"/>
  <c r="D1443" i="3"/>
  <c r="D1444" i="3"/>
  <c r="D1445" i="3"/>
  <c r="D1446" i="3"/>
  <c r="D1447" i="3"/>
  <c r="D1448" i="3"/>
  <c r="D1449" i="3"/>
  <c r="D1450" i="3"/>
  <c r="D1451" i="3"/>
  <c r="D1452" i="3"/>
  <c r="D1453" i="3"/>
  <c r="D1454" i="3"/>
  <c r="D1455" i="3"/>
  <c r="D1456" i="3"/>
  <c r="D1457" i="3"/>
  <c r="D1458" i="3"/>
  <c r="D1459" i="3"/>
  <c r="D1460" i="3"/>
  <c r="D1461" i="3"/>
  <c r="D1462" i="3"/>
  <c r="D1463" i="3"/>
  <c r="D1464" i="3"/>
  <c r="D1465" i="3"/>
  <c r="D1466" i="3"/>
  <c r="D1467" i="3"/>
  <c r="D1468" i="3"/>
  <c r="D1469" i="3"/>
  <c r="D1470" i="3"/>
  <c r="D1471" i="3"/>
  <c r="D1472" i="3"/>
  <c r="D1473" i="3"/>
  <c r="D1474" i="3"/>
  <c r="D1475" i="3"/>
  <c r="D1476" i="3"/>
  <c r="D1477" i="3"/>
  <c r="D1478" i="3"/>
  <c r="D1479" i="3"/>
  <c r="D1480" i="3"/>
  <c r="D1481" i="3"/>
  <c r="D1482" i="3"/>
  <c r="D1483" i="3"/>
  <c r="D1484" i="3"/>
  <c r="D1485" i="3"/>
  <c r="D1486" i="3"/>
  <c r="D1487" i="3"/>
  <c r="D1488" i="3"/>
  <c r="D1489" i="3"/>
  <c r="D1490" i="3"/>
  <c r="D1491" i="3"/>
  <c r="D1492" i="3"/>
  <c r="D1493" i="3"/>
  <c r="D1494" i="3"/>
  <c r="D1495" i="3"/>
  <c r="D1496" i="3"/>
  <c r="D1497" i="3"/>
  <c r="D1498" i="3"/>
  <c r="D1499" i="3"/>
  <c r="D1500" i="3"/>
  <c r="D1501" i="3"/>
  <c r="D1502" i="3"/>
  <c r="D1503" i="3"/>
  <c r="D1504" i="3"/>
  <c r="D1505" i="3"/>
  <c r="D1506" i="3"/>
  <c r="D1507" i="3"/>
  <c r="D1508" i="3"/>
  <c r="D1509" i="3"/>
  <c r="D1510" i="3"/>
  <c r="D1511" i="3"/>
  <c r="D1512" i="3"/>
  <c r="D1513" i="3"/>
  <c r="D1514" i="3"/>
  <c r="D1515" i="3"/>
  <c r="D1516" i="3"/>
  <c r="D1517" i="3"/>
  <c r="D1518" i="3"/>
  <c r="D1519" i="3"/>
  <c r="D1520" i="3"/>
  <c r="D1521" i="3"/>
  <c r="D1522" i="3"/>
  <c r="D1523" i="3"/>
  <c r="D1524" i="3"/>
  <c r="D1525" i="3"/>
  <c r="D1526" i="3"/>
  <c r="D1527" i="3"/>
  <c r="D1528" i="3"/>
  <c r="D1529" i="3"/>
  <c r="D1530" i="3"/>
  <c r="D1608" i="3"/>
  <c r="D1609" i="3"/>
  <c r="D1610" i="3"/>
  <c r="D1611" i="3"/>
  <c r="D1612" i="3"/>
  <c r="D1613" i="3"/>
  <c r="D1614" i="3"/>
  <c r="D1615" i="3"/>
  <c r="D1616" i="3"/>
  <c r="D1617" i="3"/>
  <c r="D1618" i="3"/>
  <c r="D1619" i="3"/>
  <c r="D1620" i="3"/>
  <c r="D1621" i="3"/>
  <c r="D1622" i="3"/>
  <c r="D1623" i="3"/>
  <c r="D1624" i="3"/>
  <c r="D1625" i="3"/>
  <c r="D1626" i="3"/>
  <c r="D1627" i="3"/>
  <c r="D1628" i="3"/>
  <c r="D1629" i="3"/>
  <c r="D1630" i="3"/>
  <c r="D1631" i="3"/>
  <c r="D1632" i="3"/>
  <c r="D1633" i="3"/>
  <c r="D1634" i="3"/>
  <c r="D1635" i="3"/>
  <c r="D1636" i="3"/>
  <c r="D1637" i="3"/>
  <c r="D1638" i="3"/>
  <c r="D1639" i="3"/>
  <c r="D1640" i="3"/>
  <c r="D1641" i="3"/>
  <c r="D1642" i="3"/>
  <c r="D1643" i="3"/>
  <c r="D1644" i="3"/>
  <c r="D1645" i="3"/>
  <c r="D1646" i="3"/>
  <c r="D1647" i="3"/>
  <c r="D1648" i="3"/>
  <c r="D1649" i="3"/>
  <c r="D1650" i="3"/>
  <c r="D1651" i="3"/>
  <c r="D1652" i="3"/>
  <c r="D1653" i="3"/>
  <c r="D1654" i="3"/>
  <c r="D1684" i="3"/>
  <c r="D1685" i="3"/>
  <c r="D1686" i="3"/>
  <c r="D1687" i="3"/>
  <c r="D1688" i="3"/>
  <c r="D1689" i="3"/>
  <c r="D1690" i="3"/>
  <c r="D1691" i="3"/>
  <c r="D1692" i="3"/>
  <c r="D1693" i="3"/>
  <c r="D1694" i="3"/>
  <c r="D1695" i="3"/>
  <c r="D1696" i="3"/>
  <c r="D1697" i="3"/>
  <c r="D1698" i="3"/>
  <c r="D1699" i="3"/>
  <c r="D1700" i="3"/>
  <c r="D1701" i="3"/>
  <c r="D1702" i="3"/>
  <c r="D1703" i="3"/>
  <c r="D1704" i="3"/>
  <c r="D1705" i="3"/>
  <c r="D1706" i="3"/>
  <c r="D1707" i="3"/>
  <c r="D1708" i="3"/>
  <c r="D1709" i="3"/>
  <c r="D1710" i="3"/>
  <c r="D1711" i="3"/>
  <c r="D1712" i="3"/>
  <c r="D1713" i="3"/>
  <c r="D1714" i="3"/>
  <c r="D1715" i="3"/>
  <c r="D1716" i="3"/>
  <c r="D1717" i="3"/>
  <c r="D1718" i="3"/>
  <c r="D1719" i="3"/>
  <c r="D1720" i="3"/>
  <c r="D1721" i="3"/>
  <c r="D1722" i="3"/>
  <c r="D1723" i="3"/>
  <c r="D1724" i="3"/>
  <c r="D1725" i="3"/>
  <c r="D1726" i="3"/>
  <c r="D1727" i="3"/>
  <c r="D1728" i="3"/>
  <c r="D1729" i="3"/>
  <c r="D1730" i="3"/>
  <c r="D1731" i="3"/>
  <c r="D1732" i="3"/>
  <c r="D1733" i="3"/>
  <c r="D1734" i="3"/>
  <c r="D1735" i="3"/>
  <c r="D1736" i="3"/>
  <c r="D1737" i="3"/>
  <c r="D1738" i="3"/>
  <c r="D1739" i="3"/>
  <c r="D1740" i="3"/>
  <c r="D1741" i="3"/>
  <c r="D1742" i="3"/>
  <c r="D1743" i="3"/>
  <c r="D1744" i="3"/>
  <c r="D1745" i="3"/>
  <c r="D1746" i="3"/>
  <c r="D1747" i="3"/>
  <c r="D1748" i="3"/>
  <c r="D1749" i="3"/>
  <c r="D1750" i="3"/>
  <c r="D1751" i="3"/>
  <c r="D1752" i="3"/>
  <c r="D1753" i="3"/>
  <c r="D1754" i="3"/>
  <c r="D1755" i="3"/>
  <c r="D1756" i="3"/>
  <c r="D1757" i="3"/>
  <c r="D1758" i="3"/>
  <c r="D1759" i="3"/>
  <c r="D1760" i="3"/>
  <c r="D1761" i="3"/>
  <c r="D1762" i="3"/>
  <c r="D1763" i="3"/>
  <c r="D1764" i="3"/>
  <c r="D1765" i="3"/>
  <c r="D1766" i="3"/>
  <c r="D1767" i="3"/>
  <c r="D1768" i="3"/>
  <c r="D1769" i="3"/>
  <c r="D1770" i="3"/>
  <c r="D1771" i="3"/>
  <c r="D1772" i="3"/>
  <c r="D1773" i="3"/>
  <c r="D1774" i="3"/>
  <c r="D1775" i="3"/>
  <c r="D1776" i="3"/>
  <c r="D1777" i="3"/>
  <c r="D1778" i="3"/>
  <c r="D1779" i="3"/>
  <c r="D1780" i="3"/>
  <c r="D1781" i="3"/>
  <c r="D1782" i="3"/>
  <c r="D1783" i="3"/>
  <c r="D1784" i="3"/>
  <c r="D1785" i="3"/>
  <c r="D1786" i="3"/>
  <c r="D1787" i="3"/>
  <c r="D1788" i="3"/>
  <c r="D1789" i="3"/>
  <c r="D1790" i="3"/>
  <c r="D1791" i="3"/>
  <c r="D1792" i="3"/>
  <c r="D1793" i="3"/>
  <c r="D1794" i="3"/>
  <c r="D1937" i="3"/>
  <c r="D1938" i="3"/>
  <c r="D1939" i="3"/>
  <c r="D1940" i="3"/>
  <c r="D1941" i="3"/>
  <c r="D1942" i="3"/>
  <c r="D1943" i="3"/>
  <c r="D1944" i="3"/>
  <c r="D1945" i="3"/>
  <c r="D1946" i="3"/>
  <c r="D1947" i="3"/>
  <c r="D1948" i="3"/>
  <c r="D1949" i="3"/>
  <c r="D1950" i="3"/>
  <c r="D1951" i="3"/>
  <c r="D1952" i="3"/>
  <c r="D1953" i="3"/>
  <c r="D1954" i="3"/>
  <c r="D1955" i="3"/>
  <c r="D1956" i="3"/>
  <c r="D1957" i="3"/>
  <c r="D1958" i="3"/>
  <c r="D1959" i="3"/>
  <c r="D1960" i="3"/>
  <c r="D1961" i="3"/>
  <c r="D1962" i="3"/>
  <c r="D1963" i="3"/>
  <c r="D1964" i="3"/>
  <c r="D1965" i="3"/>
  <c r="D1966" i="3"/>
  <c r="D1967" i="3"/>
  <c r="D1968" i="3"/>
  <c r="D1969" i="3"/>
  <c r="D1970" i="3"/>
  <c r="D1971" i="3"/>
  <c r="D1972" i="3"/>
  <c r="D1973" i="3"/>
  <c r="D1974" i="3"/>
  <c r="D1975" i="3"/>
  <c r="D1976" i="3"/>
  <c r="D1977" i="3"/>
  <c r="D1978" i="3"/>
  <c r="D1979" i="3"/>
  <c r="D1980" i="3"/>
  <c r="D1981" i="3"/>
  <c r="D1982" i="3"/>
  <c r="D1983" i="3"/>
  <c r="D1984" i="3"/>
  <c r="D1985" i="3"/>
  <c r="D1986" i="3"/>
  <c r="D1987" i="3"/>
  <c r="D1988" i="3"/>
  <c r="D1989" i="3"/>
  <c r="D1990" i="3"/>
  <c r="D1991" i="3"/>
  <c r="D1992" i="3"/>
  <c r="D1993" i="3"/>
  <c r="D1994" i="3"/>
  <c r="D1995" i="3"/>
  <c r="D1996" i="3"/>
  <c r="D1997" i="3"/>
  <c r="D1998" i="3"/>
  <c r="D1999" i="3"/>
  <c r="D2000" i="3"/>
  <c r="D2001" i="3"/>
  <c r="D2002" i="3"/>
  <c r="D2003" i="3"/>
  <c r="D2004" i="3"/>
  <c r="D2005" i="3"/>
  <c r="D2006" i="3"/>
  <c r="D2007" i="3"/>
  <c r="D2008" i="3"/>
  <c r="D2009" i="3"/>
  <c r="D2010" i="3"/>
  <c r="D2011" i="3"/>
  <c r="D2012" i="3"/>
  <c r="D2013" i="3"/>
  <c r="D2014" i="3"/>
  <c r="D2015" i="3"/>
  <c r="D2016" i="3"/>
  <c r="D2017" i="3"/>
  <c r="D2018" i="3"/>
  <c r="D2019" i="3"/>
  <c r="D2020" i="3"/>
  <c r="D2021" i="3"/>
  <c r="D2022" i="3"/>
  <c r="D2023" i="3"/>
  <c r="D2024" i="3"/>
  <c r="D2025" i="3"/>
  <c r="D2026" i="3"/>
  <c r="D2027" i="3"/>
  <c r="D2028" i="3"/>
  <c r="D2029" i="3"/>
  <c r="D2030" i="3"/>
  <c r="D2031" i="3"/>
  <c r="D2032" i="3"/>
  <c r="D2033" i="3"/>
  <c r="D2034" i="3"/>
  <c r="D2035" i="3"/>
  <c r="D2036" i="3"/>
  <c r="D2037" i="3"/>
  <c r="D2038" i="3"/>
  <c r="D2039" i="3"/>
  <c r="D2040" i="3"/>
  <c r="D2041" i="3"/>
  <c r="D2042" i="3"/>
  <c r="D2043" i="3"/>
  <c r="D2044" i="3"/>
  <c r="D2045" i="3"/>
  <c r="D2046" i="3"/>
  <c r="D2047" i="3"/>
  <c r="D2048" i="3"/>
  <c r="D2049" i="3"/>
  <c r="D2050" i="3"/>
  <c r="D2051" i="3"/>
  <c r="D2052" i="3"/>
  <c r="D2053" i="3"/>
  <c r="D2054" i="3"/>
  <c r="D2055" i="3"/>
  <c r="D2056" i="3"/>
  <c r="D2057" i="3"/>
  <c r="D2058" i="3"/>
  <c r="D2059" i="3"/>
  <c r="D2060" i="3"/>
  <c r="D2061" i="3"/>
  <c r="D2062" i="3"/>
  <c r="D2063" i="3"/>
  <c r="D2064" i="3"/>
  <c r="D2065" i="3"/>
  <c r="D2066" i="3"/>
  <c r="D2067" i="3"/>
  <c r="D2068" i="3"/>
  <c r="D2069" i="3"/>
  <c r="D2070" i="3"/>
  <c r="D2071" i="3"/>
  <c r="D2072" i="3"/>
  <c r="D2073" i="3"/>
  <c r="D2074" i="3"/>
  <c r="D2075" i="3"/>
  <c r="D2076" i="3"/>
  <c r="D2077" i="3"/>
  <c r="D2078" i="3"/>
  <c r="D2079" i="3"/>
  <c r="D2080" i="3"/>
  <c r="D2081" i="3"/>
  <c r="D2082" i="3"/>
  <c r="D2083" i="3"/>
  <c r="D2084" i="3"/>
  <c r="D2085" i="3"/>
  <c r="D2086" i="3"/>
  <c r="D2087" i="3"/>
  <c r="D2088" i="3"/>
  <c r="D2089" i="3"/>
  <c r="D2090" i="3"/>
  <c r="D2091" i="3"/>
  <c r="D2092" i="3"/>
  <c r="D2093" i="3"/>
  <c r="D2094" i="3"/>
  <c r="D2095" i="3"/>
  <c r="D2096" i="3"/>
  <c r="D2097" i="3"/>
  <c r="D2098" i="3"/>
  <c r="D2099" i="3"/>
  <c r="D2100" i="3"/>
  <c r="D2101" i="3"/>
  <c r="D2102" i="3"/>
  <c r="D2103" i="3"/>
  <c r="D2104" i="3"/>
  <c r="D2105" i="3"/>
  <c r="D2106" i="3"/>
  <c r="D2107" i="3"/>
  <c r="D2108" i="3"/>
  <c r="D2109" i="3"/>
  <c r="D2110" i="3"/>
  <c r="D2111" i="3"/>
  <c r="D2112" i="3"/>
  <c r="D2113" i="3"/>
  <c r="D2114" i="3"/>
  <c r="D2115" i="3"/>
  <c r="D2116" i="3"/>
  <c r="D2117" i="3"/>
  <c r="D2118" i="3"/>
  <c r="D2119" i="3"/>
  <c r="D2120" i="3"/>
  <c r="D2121" i="3"/>
  <c r="D2122" i="3"/>
  <c r="D2123" i="3"/>
  <c r="D2124" i="3"/>
  <c r="D2125" i="3"/>
  <c r="D2126" i="3"/>
  <c r="D2127" i="3"/>
  <c r="D2128" i="3"/>
  <c r="D2129" i="3"/>
  <c r="D2130" i="3"/>
  <c r="D2131" i="3"/>
  <c r="D2132" i="3"/>
  <c r="D2133" i="3"/>
  <c r="D2134" i="3"/>
  <c r="D2135" i="3"/>
  <c r="D2136" i="3"/>
  <c r="D2137" i="3"/>
  <c r="D2138" i="3"/>
  <c r="D2139" i="3"/>
  <c r="D2140" i="3"/>
  <c r="D2141" i="3"/>
  <c r="D2142" i="3"/>
  <c r="D2143" i="3"/>
  <c r="D2144" i="3"/>
  <c r="D2145" i="3"/>
  <c r="D2146" i="3"/>
  <c r="D2147" i="3"/>
  <c r="D2148" i="3"/>
  <c r="D2149" i="3"/>
  <c r="D2150" i="3"/>
  <c r="D2151" i="3"/>
  <c r="D2152" i="3"/>
  <c r="D2153" i="3"/>
  <c r="D2154" i="3"/>
  <c r="D2155" i="3"/>
  <c r="D2156" i="3"/>
  <c r="D2157" i="3"/>
  <c r="D2158" i="3"/>
  <c r="D2159" i="3"/>
  <c r="D2160" i="3"/>
  <c r="D2479" i="3"/>
  <c r="D2480" i="3"/>
  <c r="D2481" i="3"/>
  <c r="D2482" i="3"/>
  <c r="D2483" i="3"/>
  <c r="D2484" i="3"/>
  <c r="D2485" i="3"/>
  <c r="D2486" i="3"/>
  <c r="D2487" i="3"/>
  <c r="D2488" i="3"/>
  <c r="D2489" i="3"/>
  <c r="D2490" i="3"/>
  <c r="D2491" i="3"/>
  <c r="D2492" i="3"/>
  <c r="D2493" i="3"/>
  <c r="D2494" i="3"/>
  <c r="D2495" i="3"/>
  <c r="D2496" i="3"/>
  <c r="D2497" i="3"/>
  <c r="D2498" i="3"/>
  <c r="D2499" i="3"/>
  <c r="D2500" i="3"/>
  <c r="D2501" i="3"/>
  <c r="D2502" i="3"/>
  <c r="D2503" i="3"/>
  <c r="D2504" i="3"/>
  <c r="D2505" i="3"/>
  <c r="D2506" i="3"/>
  <c r="D2507" i="3"/>
  <c r="D2508" i="3"/>
  <c r="D2509" i="3"/>
  <c r="D2510" i="3"/>
  <c r="D2511" i="3"/>
  <c r="D2512" i="3"/>
  <c r="D2513" i="3"/>
  <c r="D2514" i="3"/>
  <c r="D2515" i="3"/>
  <c r="D2516" i="3"/>
  <c r="D2517" i="3"/>
  <c r="D2518" i="3"/>
  <c r="D2519" i="3"/>
  <c r="D2520" i="3"/>
  <c r="D2521" i="3"/>
  <c r="D2522" i="3"/>
  <c r="D2523" i="3"/>
  <c r="D2524" i="3"/>
  <c r="D2525" i="3"/>
  <c r="D2526" i="3"/>
  <c r="D2527" i="3"/>
  <c r="D2528" i="3"/>
  <c r="D2529" i="3"/>
  <c r="D2530" i="3"/>
  <c r="D2531" i="3"/>
  <c r="D2532" i="3"/>
  <c r="D2533" i="3"/>
  <c r="D2534" i="3"/>
  <c r="D2535" i="3"/>
  <c r="D2536" i="3"/>
  <c r="D2537" i="3"/>
  <c r="D2538" i="3"/>
  <c r="D2539" i="3"/>
  <c r="D2540" i="3"/>
  <c r="D2541" i="3"/>
  <c r="D2542" i="3"/>
  <c r="D2543" i="3"/>
  <c r="D2544" i="3"/>
  <c r="D2545" i="3"/>
  <c r="D2546" i="3"/>
  <c r="D2547" i="3"/>
  <c r="D2548" i="3"/>
  <c r="D2549" i="3"/>
  <c r="D2550" i="3"/>
  <c r="D2551" i="3"/>
  <c r="D2552" i="3"/>
  <c r="D2553" i="3"/>
  <c r="D2554" i="3"/>
  <c r="D2555" i="3"/>
  <c r="D2556" i="3"/>
  <c r="D2557" i="3"/>
  <c r="D2558" i="3"/>
  <c r="D2559" i="3"/>
  <c r="D2560" i="3"/>
  <c r="D2561" i="3"/>
  <c r="D2562" i="3"/>
  <c r="D2563" i="3"/>
  <c r="D2564" i="3"/>
  <c r="D2565" i="3"/>
  <c r="D2566" i="3"/>
  <c r="D2567" i="3"/>
  <c r="D2568" i="3"/>
  <c r="D2569" i="3"/>
  <c r="D2570" i="3"/>
  <c r="D2571" i="3"/>
  <c r="D2572" i="3"/>
  <c r="D2573" i="3"/>
  <c r="D2574" i="3"/>
  <c r="D2575" i="3"/>
  <c r="D2576" i="3"/>
  <c r="D2577" i="3"/>
  <c r="D2578" i="3"/>
  <c r="D2579" i="3"/>
  <c r="D2580" i="3"/>
  <c r="D2581" i="3"/>
  <c r="D2582" i="3"/>
  <c r="D2583" i="3"/>
  <c r="D2584" i="3"/>
  <c r="D2585" i="3"/>
  <c r="D2586" i="3"/>
  <c r="D2587" i="3"/>
  <c r="D2588" i="3"/>
  <c r="D2589" i="3"/>
  <c r="D2590" i="3"/>
  <c r="D2591" i="3"/>
  <c r="D2592" i="3"/>
  <c r="D2593" i="3"/>
  <c r="D2594" i="3"/>
  <c r="D2595" i="3"/>
  <c r="D2596" i="3"/>
  <c r="D2597" i="3"/>
  <c r="D2598" i="3"/>
  <c r="D2599" i="3"/>
  <c r="D2760" i="3"/>
  <c r="D2761" i="3"/>
  <c r="D2762" i="3"/>
  <c r="D2763" i="3"/>
  <c r="D2764" i="3"/>
  <c r="D2765" i="3"/>
  <c r="D2766" i="3"/>
  <c r="D2767" i="3"/>
  <c r="D2768" i="3"/>
  <c r="D2769" i="3"/>
  <c r="D2770" i="3"/>
  <c r="D2771" i="3"/>
  <c r="D2772" i="3"/>
  <c r="D2773" i="3"/>
  <c r="D2774" i="3"/>
  <c r="D2775" i="3"/>
  <c r="D2776" i="3"/>
  <c r="D2777" i="3"/>
  <c r="D2778" i="3"/>
  <c r="D2779" i="3"/>
  <c r="D2780" i="3"/>
  <c r="D2781" i="3"/>
  <c r="D2782" i="3"/>
  <c r="D2783" i="3"/>
  <c r="D2784" i="3"/>
  <c r="D2785" i="3"/>
  <c r="D2786" i="3"/>
  <c r="D2787" i="3"/>
  <c r="D2788" i="3"/>
  <c r="D2789" i="3"/>
  <c r="D2790" i="3"/>
  <c r="D2791" i="3"/>
  <c r="D2792" i="3"/>
  <c r="D2793" i="3"/>
  <c r="D2794" i="3"/>
  <c r="D2795" i="3"/>
  <c r="D2796" i="3"/>
  <c r="D2797" i="3"/>
  <c r="D2798" i="3"/>
  <c r="D2799" i="3"/>
  <c r="D2800" i="3"/>
  <c r="D2801" i="3"/>
  <c r="D2802" i="3"/>
  <c r="D2803" i="3"/>
  <c r="D2804" i="3"/>
  <c r="D2805" i="3"/>
  <c r="D2806" i="3"/>
  <c r="D2807" i="3"/>
  <c r="D2808" i="3"/>
  <c r="D2809" i="3"/>
  <c r="D2810" i="3"/>
  <c r="D2811" i="3"/>
  <c r="D2812" i="3"/>
  <c r="D3039" i="3"/>
  <c r="D3040" i="3"/>
  <c r="D3041" i="3"/>
  <c r="D3042" i="3"/>
  <c r="D3043" i="3"/>
  <c r="D3044" i="3"/>
  <c r="D3045" i="3"/>
  <c r="D3046" i="3"/>
  <c r="D3047" i="3"/>
  <c r="D3048" i="3"/>
  <c r="D3049" i="3"/>
  <c r="D3050" i="3"/>
  <c r="D3051" i="3"/>
  <c r="D3052" i="3"/>
  <c r="D3053" i="3"/>
  <c r="D3054" i="3"/>
  <c r="D3055" i="3"/>
  <c r="D3056" i="3"/>
  <c r="D3057" i="3"/>
  <c r="D3058" i="3"/>
  <c r="D3059" i="3"/>
  <c r="D3060" i="3"/>
  <c r="D3061" i="3"/>
  <c r="D3062" i="3"/>
  <c r="D3063" i="3"/>
  <c r="D3064" i="3"/>
  <c r="D3065" i="3"/>
  <c r="D3066" i="3"/>
  <c r="D3067" i="3"/>
  <c r="D3068" i="3"/>
  <c r="D3069" i="3"/>
  <c r="D3070" i="3"/>
  <c r="D3071" i="3"/>
  <c r="D3072" i="3"/>
  <c r="D3073" i="3"/>
  <c r="D3074" i="3"/>
  <c r="D3075" i="3"/>
  <c r="D3076" i="3"/>
  <c r="D3077" i="3"/>
  <c r="D3078" i="3"/>
  <c r="D3079" i="3"/>
  <c r="D3080" i="3"/>
  <c r="D3081" i="3"/>
  <c r="D3082" i="3"/>
  <c r="D3083" i="3"/>
  <c r="D3084" i="3"/>
  <c r="D3085" i="3"/>
  <c r="D3086" i="3"/>
  <c r="D3087" i="3"/>
  <c r="D3088" i="3"/>
  <c r="D3089" i="3"/>
  <c r="D3090" i="3"/>
  <c r="D3091" i="3"/>
  <c r="D3092" i="3"/>
  <c r="D3093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2728" i="3"/>
  <c r="D2729" i="3"/>
  <c r="D2730" i="3"/>
  <c r="D2731" i="3"/>
  <c r="D2732" i="3"/>
  <c r="D2733" i="3"/>
  <c r="D2734" i="3"/>
  <c r="D2735" i="3"/>
  <c r="D2736" i="3"/>
  <c r="D2737" i="3"/>
  <c r="D2738" i="3"/>
  <c r="D2739" i="3"/>
  <c r="D2740" i="3"/>
  <c r="D2741" i="3"/>
  <c r="D2742" i="3"/>
  <c r="D2743" i="3"/>
  <c r="D2744" i="3"/>
  <c r="D2745" i="3"/>
  <c r="D2746" i="3"/>
  <c r="D2747" i="3"/>
  <c r="D2748" i="3"/>
  <c r="D2749" i="3"/>
  <c r="D2750" i="3"/>
  <c r="D2751" i="3"/>
  <c r="D2752" i="3"/>
  <c r="D2753" i="3"/>
  <c r="D2754" i="3"/>
  <c r="D2755" i="3"/>
  <c r="D2756" i="3"/>
  <c r="D2757" i="3"/>
  <c r="D2758" i="3"/>
  <c r="D2759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2371" i="3"/>
  <c r="D2372" i="3"/>
  <c r="D2373" i="3"/>
  <c r="D2374" i="3"/>
  <c r="D2375" i="3"/>
  <c r="D2376" i="3"/>
  <c r="D2377" i="3"/>
  <c r="D2378" i="3"/>
  <c r="D2379" i="3"/>
  <c r="D2380" i="3"/>
  <c r="D2381" i="3"/>
  <c r="D2382" i="3"/>
  <c r="D2383" i="3"/>
  <c r="D2384" i="3"/>
  <c r="D2385" i="3"/>
  <c r="D2386" i="3"/>
  <c r="D2387" i="3"/>
  <c r="D2388" i="3"/>
  <c r="D2389" i="3"/>
  <c r="D2390" i="3"/>
  <c r="D2391" i="3"/>
  <c r="D2392" i="3"/>
  <c r="D2393" i="3"/>
  <c r="D2394" i="3"/>
  <c r="D2395" i="3"/>
  <c r="D2396" i="3"/>
  <c r="D2397" i="3"/>
  <c r="D2398" i="3"/>
  <c r="D2399" i="3"/>
  <c r="D2400" i="3"/>
  <c r="D2401" i="3"/>
  <c r="D2402" i="3"/>
  <c r="D2403" i="3"/>
  <c r="D2404" i="3"/>
  <c r="D2405" i="3"/>
  <c r="D2406" i="3"/>
  <c r="D2407" i="3"/>
  <c r="D2408" i="3"/>
  <c r="D2409" i="3"/>
  <c r="D2410" i="3"/>
  <c r="D1795" i="3"/>
  <c r="D1796" i="3"/>
  <c r="D1797" i="3"/>
  <c r="D1798" i="3"/>
  <c r="D1799" i="3"/>
  <c r="D1800" i="3"/>
  <c r="D1801" i="3"/>
  <c r="D1802" i="3"/>
  <c r="D1803" i="3"/>
  <c r="D1804" i="3"/>
  <c r="D1805" i="3"/>
  <c r="D1806" i="3"/>
  <c r="D1807" i="3"/>
  <c r="D1808" i="3"/>
  <c r="D1809" i="3"/>
  <c r="D1810" i="3"/>
  <c r="D1811" i="3"/>
  <c r="D1812" i="3"/>
  <c r="D1813" i="3"/>
  <c r="D1814" i="3"/>
  <c r="D1815" i="3"/>
  <c r="D1816" i="3"/>
  <c r="D1817" i="3"/>
  <c r="D1818" i="3"/>
  <c r="D1819" i="3"/>
  <c r="D1820" i="3"/>
  <c r="D1821" i="3"/>
  <c r="D1822" i="3"/>
  <c r="D1823" i="3"/>
  <c r="D1824" i="3"/>
  <c r="D1825" i="3"/>
  <c r="D1826" i="3"/>
  <c r="D1261" i="3"/>
  <c r="D1262" i="3"/>
  <c r="D1263" i="3"/>
  <c r="D1264" i="3"/>
  <c r="D1265" i="3"/>
  <c r="D1266" i="3"/>
  <c r="D1267" i="3"/>
  <c r="D1268" i="3"/>
  <c r="D1269" i="3"/>
  <c r="D1270" i="3"/>
  <c r="D1271" i="3"/>
  <c r="D1272" i="3"/>
  <c r="D1273" i="3"/>
  <c r="D1274" i="3"/>
  <c r="D1275" i="3"/>
  <c r="D1276" i="3"/>
  <c r="D1277" i="3"/>
  <c r="D1278" i="3"/>
  <c r="D1279" i="3"/>
  <c r="D1280" i="3"/>
  <c r="D1281" i="3"/>
  <c r="D1282" i="3"/>
  <c r="D1283" i="3"/>
  <c r="D1284" i="3"/>
  <c r="D1285" i="3"/>
  <c r="D1286" i="3"/>
  <c r="D1287" i="3"/>
  <c r="D1288" i="3"/>
  <c r="D1289" i="3"/>
  <c r="D1290" i="3"/>
  <c r="D1291" i="3"/>
  <c r="D1292" i="3"/>
  <c r="D1293" i="3"/>
  <c r="D1655" i="3"/>
  <c r="D1656" i="3"/>
  <c r="D1657" i="3"/>
  <c r="D1658" i="3"/>
  <c r="D1659" i="3"/>
  <c r="D1660" i="3"/>
  <c r="D1661" i="3"/>
  <c r="D1662" i="3"/>
  <c r="D1663" i="3"/>
  <c r="D1664" i="3"/>
  <c r="D1665" i="3"/>
  <c r="D1666" i="3"/>
  <c r="D1667" i="3"/>
  <c r="D1668" i="3"/>
  <c r="D1669" i="3"/>
  <c r="D1670" i="3"/>
  <c r="D1671" i="3"/>
  <c r="D1672" i="3"/>
  <c r="D1673" i="3"/>
  <c r="D1674" i="3"/>
  <c r="D1675" i="3"/>
  <c r="D1676" i="3"/>
  <c r="D1677" i="3"/>
  <c r="D1678" i="3"/>
  <c r="D1679" i="3"/>
  <c r="D1680" i="3"/>
  <c r="D1681" i="3"/>
  <c r="D1682" i="3"/>
  <c r="D1683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3141" i="3"/>
  <c r="D3142" i="3"/>
  <c r="D3143" i="3"/>
  <c r="D3144" i="3"/>
  <c r="D3145" i="3"/>
  <c r="D3146" i="3"/>
  <c r="D3147" i="3"/>
  <c r="D3148" i="3"/>
  <c r="D3149" i="3"/>
  <c r="D3150" i="3"/>
  <c r="D3151" i="3"/>
  <c r="D3152" i="3"/>
  <c r="D3153" i="3"/>
  <c r="D3154" i="3"/>
  <c r="D3155" i="3"/>
  <c r="D3156" i="3"/>
  <c r="D3157" i="3"/>
  <c r="D3158" i="3"/>
  <c r="D3159" i="3"/>
  <c r="D3160" i="3"/>
  <c r="D3161" i="3"/>
  <c r="D3162" i="3"/>
  <c r="D3163" i="3"/>
  <c r="D3164" i="3"/>
  <c r="D3165" i="3"/>
  <c r="D3166" i="3"/>
  <c r="D3167" i="3"/>
  <c r="D3168" i="3"/>
  <c r="D3169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1555" i="3"/>
  <c r="D1556" i="3"/>
  <c r="D1557" i="3"/>
  <c r="D1558" i="3"/>
  <c r="D1559" i="3"/>
  <c r="D1560" i="3"/>
  <c r="D1561" i="3"/>
  <c r="D1562" i="3"/>
  <c r="D1563" i="3"/>
  <c r="D1564" i="3"/>
  <c r="D1565" i="3"/>
  <c r="D1566" i="3"/>
  <c r="D1567" i="3"/>
  <c r="D1568" i="3"/>
  <c r="D1569" i="3"/>
  <c r="D1570" i="3"/>
  <c r="D1571" i="3"/>
  <c r="D1572" i="3"/>
  <c r="D1573" i="3"/>
  <c r="D1574" i="3"/>
  <c r="D1575" i="3"/>
  <c r="D1576" i="3"/>
  <c r="D1577" i="3"/>
  <c r="D1578" i="3"/>
  <c r="D1579" i="3"/>
  <c r="D1580" i="3"/>
  <c r="D1581" i="3"/>
  <c r="D1582" i="3"/>
  <c r="D1583" i="3"/>
  <c r="D1584" i="3"/>
  <c r="D1585" i="3"/>
  <c r="D1586" i="3"/>
  <c r="D1587" i="3"/>
  <c r="D1588" i="3"/>
  <c r="D1589" i="3"/>
  <c r="D1590" i="3"/>
  <c r="D1591" i="3"/>
  <c r="D1592" i="3"/>
  <c r="D1593" i="3"/>
  <c r="D1594" i="3"/>
  <c r="D1595" i="3"/>
  <c r="D1596" i="3"/>
  <c r="D1597" i="3"/>
  <c r="D1598" i="3"/>
  <c r="D1599" i="3"/>
  <c r="D1600" i="3"/>
  <c r="D1601" i="3"/>
  <c r="D1602" i="3"/>
  <c r="D1603" i="3"/>
  <c r="D1604" i="3"/>
  <c r="D1605" i="3"/>
  <c r="D1606" i="3"/>
  <c r="D1607" i="3"/>
  <c r="D1392" i="3"/>
  <c r="D1393" i="3"/>
  <c r="D1394" i="3"/>
  <c r="D1395" i="3"/>
  <c r="D1396" i="3"/>
  <c r="D1397" i="3"/>
  <c r="D1398" i="3"/>
  <c r="D1399" i="3"/>
  <c r="D1400" i="3"/>
  <c r="D1401" i="3"/>
  <c r="D1402" i="3"/>
  <c r="D1403" i="3"/>
  <c r="D1404" i="3"/>
  <c r="D1405" i="3"/>
  <c r="D1406" i="3"/>
  <c r="D1407" i="3"/>
  <c r="D1408" i="3"/>
  <c r="D1409" i="3"/>
  <c r="D1410" i="3"/>
  <c r="D1411" i="3"/>
  <c r="D1412" i="3"/>
  <c r="D1413" i="3"/>
  <c r="D1414" i="3"/>
  <c r="D1415" i="3"/>
  <c r="D1416" i="3"/>
  <c r="D1417" i="3"/>
  <c r="D1418" i="3"/>
  <c r="D1419" i="3"/>
  <c r="D1420" i="3"/>
  <c r="D1421" i="3"/>
  <c r="D1422" i="3"/>
  <c r="D1423" i="3"/>
  <c r="D1424" i="3"/>
  <c r="D1425" i="3"/>
  <c r="D1426" i="3"/>
  <c r="D1427" i="3"/>
  <c r="D1428" i="3"/>
  <c r="D1429" i="3"/>
  <c r="D1430" i="3"/>
  <c r="D1431" i="3"/>
  <c r="D1432" i="3"/>
  <c r="D1433" i="3"/>
  <c r="D1434" i="3"/>
  <c r="D1435" i="3"/>
  <c r="D143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1061" i="3"/>
  <c r="D1062" i="3"/>
  <c r="D1063" i="3"/>
  <c r="D1064" i="3"/>
  <c r="D1065" i="3"/>
  <c r="D1066" i="3"/>
  <c r="D1067" i="3"/>
  <c r="D1068" i="3"/>
  <c r="D1069" i="3"/>
  <c r="D1070" i="3"/>
  <c r="D1071" i="3"/>
  <c r="D1072" i="3"/>
  <c r="D1073" i="3"/>
  <c r="D1074" i="3"/>
  <c r="D1075" i="3"/>
  <c r="D1076" i="3"/>
  <c r="D1077" i="3"/>
  <c r="D1078" i="3"/>
  <c r="D1079" i="3"/>
  <c r="D1080" i="3"/>
  <c r="D1081" i="3"/>
  <c r="D1082" i="3"/>
  <c r="D1083" i="3"/>
  <c r="D1084" i="3"/>
  <c r="D1085" i="3"/>
  <c r="D1086" i="3"/>
  <c r="D1087" i="3"/>
  <c r="D1088" i="3"/>
  <c r="D1089" i="3"/>
  <c r="D1090" i="3"/>
  <c r="D1091" i="3"/>
  <c r="D1092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2638" i="3"/>
  <c r="D2639" i="3"/>
  <c r="D2640" i="3"/>
  <c r="D2641" i="3"/>
  <c r="D2642" i="3"/>
  <c r="D2643" i="3"/>
  <c r="D2644" i="3"/>
  <c r="D2645" i="3"/>
  <c r="D2646" i="3"/>
  <c r="D2647" i="3"/>
  <c r="D2648" i="3"/>
  <c r="D2649" i="3"/>
  <c r="D2650" i="3"/>
  <c r="D2651" i="3"/>
  <c r="D2652" i="3"/>
  <c r="D2653" i="3"/>
  <c r="D2654" i="3"/>
  <c r="D2655" i="3"/>
  <c r="D2656" i="3"/>
  <c r="D2657" i="3"/>
  <c r="D2658" i="3"/>
  <c r="D2659" i="3"/>
  <c r="D2660" i="3"/>
  <c r="D2661" i="3"/>
  <c r="D2662" i="3"/>
  <c r="D2663" i="3"/>
  <c r="D2664" i="3"/>
  <c r="D2665" i="3"/>
  <c r="D2666" i="3"/>
  <c r="D2667" i="3"/>
  <c r="D2668" i="3"/>
  <c r="D2669" i="3"/>
  <c r="D2670" i="3"/>
  <c r="D2671" i="3"/>
  <c r="D2672" i="3"/>
  <c r="D2673" i="3"/>
  <c r="D2674" i="3"/>
  <c r="D2675" i="3"/>
  <c r="D2676" i="3"/>
  <c r="D2677" i="3"/>
  <c r="D2678" i="3"/>
  <c r="D2679" i="3"/>
  <c r="D2680" i="3"/>
  <c r="D2681" i="3"/>
  <c r="D2682" i="3"/>
  <c r="D2683" i="3"/>
  <c r="D2684" i="3"/>
  <c r="D2685" i="3"/>
  <c r="D2686" i="3"/>
  <c r="D2687" i="3"/>
  <c r="D2688" i="3"/>
  <c r="D2689" i="3"/>
  <c r="D2690" i="3"/>
  <c r="D2691" i="3"/>
  <c r="D2692" i="3"/>
  <c r="D2693" i="3"/>
  <c r="D2694" i="3"/>
  <c r="D2695" i="3"/>
  <c r="D2600" i="3"/>
  <c r="D2601" i="3"/>
  <c r="D2602" i="3"/>
  <c r="D2603" i="3"/>
  <c r="D2604" i="3"/>
  <c r="D2605" i="3"/>
  <c r="D2606" i="3"/>
  <c r="D2607" i="3"/>
  <c r="D2608" i="3"/>
  <c r="D2609" i="3"/>
  <c r="D2610" i="3"/>
  <c r="D2611" i="3"/>
  <c r="D2612" i="3"/>
  <c r="D2613" i="3"/>
  <c r="D2614" i="3"/>
  <c r="D2615" i="3"/>
  <c r="D2616" i="3"/>
  <c r="D2617" i="3"/>
  <c r="D2618" i="3"/>
  <c r="D2619" i="3"/>
  <c r="D2620" i="3"/>
  <c r="D2621" i="3"/>
  <c r="D2622" i="3"/>
  <c r="D2623" i="3"/>
  <c r="D2624" i="3"/>
  <c r="D2625" i="3"/>
  <c r="D2626" i="3"/>
  <c r="D2627" i="3"/>
  <c r="D2628" i="3"/>
  <c r="D2629" i="3"/>
  <c r="D2630" i="3"/>
  <c r="D2631" i="3"/>
  <c r="D2632" i="3"/>
  <c r="D2633" i="3"/>
  <c r="D2634" i="3"/>
  <c r="D2635" i="3"/>
  <c r="D2636" i="3"/>
  <c r="D2637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2813" i="3"/>
  <c r="D2814" i="3"/>
  <c r="D2815" i="3"/>
  <c r="D2816" i="3"/>
  <c r="D2817" i="3"/>
  <c r="D2818" i="3"/>
  <c r="D2819" i="3"/>
  <c r="D2820" i="3"/>
  <c r="D2821" i="3"/>
  <c r="D2822" i="3"/>
  <c r="D2823" i="3"/>
  <c r="D2824" i="3"/>
  <c r="D2825" i="3"/>
  <c r="D2826" i="3"/>
  <c r="D2827" i="3"/>
  <c r="D2828" i="3"/>
  <c r="D2829" i="3"/>
  <c r="D2830" i="3"/>
  <c r="D2831" i="3"/>
  <c r="D2832" i="3"/>
  <c r="D2833" i="3"/>
  <c r="D2834" i="3"/>
  <c r="D2835" i="3"/>
  <c r="D2836" i="3"/>
  <c r="D2837" i="3"/>
  <c r="D2838" i="3"/>
  <c r="D2839" i="3"/>
  <c r="D2840" i="3"/>
  <c r="D2841" i="3"/>
  <c r="D2842" i="3"/>
  <c r="D2843" i="3"/>
  <c r="D2844" i="3"/>
  <c r="D2845" i="3"/>
  <c r="D2846" i="3"/>
  <c r="D2847" i="3"/>
  <c r="D2848" i="3"/>
  <c r="D2849" i="3"/>
  <c r="D2850" i="3"/>
  <c r="D2851" i="3"/>
  <c r="D2852" i="3"/>
  <c r="D2853" i="3"/>
  <c r="D2854" i="3"/>
  <c r="D2855" i="3"/>
  <c r="D2856" i="3"/>
  <c r="D2857" i="3"/>
  <c r="D2858" i="3"/>
  <c r="D2859" i="3"/>
  <c r="D2860" i="3"/>
  <c r="D2861" i="3"/>
  <c r="D2862" i="3"/>
  <c r="D2863" i="3"/>
  <c r="D2864" i="3"/>
  <c r="D2865" i="3"/>
  <c r="D2866" i="3"/>
  <c r="D2867" i="3"/>
  <c r="D2868" i="3"/>
  <c r="D2869" i="3"/>
  <c r="D2870" i="3"/>
  <c r="D2871" i="3"/>
  <c r="D1905" i="3"/>
  <c r="D1906" i="3"/>
  <c r="D1907" i="3"/>
  <c r="D1908" i="3"/>
  <c r="D1909" i="3"/>
  <c r="D1910" i="3"/>
  <c r="D1911" i="3"/>
  <c r="D1912" i="3"/>
  <c r="D1913" i="3"/>
  <c r="D1914" i="3"/>
  <c r="D1915" i="3"/>
  <c r="D1916" i="3"/>
  <c r="D1917" i="3"/>
  <c r="D1918" i="3"/>
  <c r="D1919" i="3"/>
  <c r="D1920" i="3"/>
  <c r="D1921" i="3"/>
  <c r="D1922" i="3"/>
  <c r="D1923" i="3"/>
  <c r="D1924" i="3"/>
  <c r="D1925" i="3"/>
  <c r="D1926" i="3"/>
  <c r="D1927" i="3"/>
  <c r="D1928" i="3"/>
  <c r="D1929" i="3"/>
  <c r="D1930" i="3"/>
  <c r="D1931" i="3"/>
  <c r="D1932" i="3"/>
  <c r="D1933" i="3"/>
  <c r="D1934" i="3"/>
  <c r="D1935" i="3"/>
  <c r="D1936" i="3"/>
  <c r="D2908" i="3"/>
  <c r="D2909" i="3"/>
  <c r="D2910" i="3"/>
  <c r="D2911" i="3"/>
  <c r="D2912" i="3"/>
  <c r="D2913" i="3"/>
  <c r="D2914" i="3"/>
  <c r="D2915" i="3"/>
  <c r="D2916" i="3"/>
  <c r="D2917" i="3"/>
  <c r="D2918" i="3"/>
  <c r="D2919" i="3"/>
  <c r="D2920" i="3"/>
  <c r="D2921" i="3"/>
  <c r="D2922" i="3"/>
  <c r="D2923" i="3"/>
  <c r="D2924" i="3"/>
  <c r="D2925" i="3"/>
  <c r="D2926" i="3"/>
  <c r="D2927" i="3"/>
  <c r="D2928" i="3"/>
  <c r="D2929" i="3"/>
  <c r="D2930" i="3"/>
  <c r="D2931" i="3"/>
  <c r="D2932" i="3"/>
  <c r="D2933" i="3"/>
  <c r="D2934" i="3"/>
  <c r="D2935" i="3"/>
  <c r="D2936" i="3"/>
  <c r="D2937" i="3"/>
  <c r="D2938" i="3"/>
  <c r="D2939" i="3"/>
  <c r="D2940" i="3"/>
  <c r="D2941" i="3"/>
  <c r="D2942" i="3"/>
  <c r="D2943" i="3"/>
  <c r="D2944" i="3"/>
  <c r="D1352" i="3"/>
  <c r="D1353" i="3"/>
  <c r="D1354" i="3"/>
  <c r="D1355" i="3"/>
  <c r="D1356" i="3"/>
  <c r="D1357" i="3"/>
  <c r="D1358" i="3"/>
  <c r="D1359" i="3"/>
  <c r="D1360" i="3"/>
  <c r="D1361" i="3"/>
  <c r="D1362" i="3"/>
  <c r="D1363" i="3"/>
  <c r="D1364" i="3"/>
  <c r="D1365" i="3"/>
  <c r="D1366" i="3"/>
  <c r="D1367" i="3"/>
  <c r="D1368" i="3"/>
  <c r="D1369" i="3"/>
  <c r="D1370" i="3"/>
  <c r="D1371" i="3"/>
  <c r="D1372" i="3"/>
  <c r="D1373" i="3"/>
  <c r="D1374" i="3"/>
  <c r="D1375" i="3"/>
  <c r="D1376" i="3"/>
  <c r="D1377" i="3"/>
  <c r="D1378" i="3"/>
  <c r="D1379" i="3"/>
  <c r="D1380" i="3"/>
  <c r="D1381" i="3"/>
  <c r="D1382" i="3"/>
  <c r="D1383" i="3"/>
  <c r="D1384" i="3"/>
  <c r="D1385" i="3"/>
  <c r="D1386" i="3"/>
  <c r="D1387" i="3"/>
  <c r="D1388" i="3"/>
  <c r="D1389" i="3"/>
  <c r="D1390" i="3"/>
  <c r="D1391" i="3"/>
  <c r="D1531" i="3"/>
  <c r="D1532" i="3"/>
  <c r="D1533" i="3"/>
  <c r="D1534" i="3"/>
  <c r="D1535" i="3"/>
  <c r="D1536" i="3"/>
  <c r="D1537" i="3"/>
  <c r="D1538" i="3"/>
  <c r="D1539" i="3"/>
  <c r="D1540" i="3"/>
  <c r="D1541" i="3"/>
  <c r="D1542" i="3"/>
  <c r="D1543" i="3"/>
  <c r="D1544" i="3"/>
  <c r="D1545" i="3"/>
  <c r="D1546" i="3"/>
  <c r="D1547" i="3"/>
  <c r="D1548" i="3"/>
  <c r="D1549" i="3"/>
  <c r="D1550" i="3"/>
  <c r="D1551" i="3"/>
  <c r="D1552" i="3"/>
  <c r="D1553" i="3"/>
  <c r="D1554" i="3"/>
  <c r="D2269" i="3"/>
  <c r="D2270" i="3"/>
  <c r="D2271" i="3"/>
  <c r="D2272" i="3"/>
  <c r="D2273" i="3"/>
  <c r="D2274" i="3"/>
  <c r="D2275" i="3"/>
  <c r="D2276" i="3"/>
  <c r="D2277" i="3"/>
  <c r="D2278" i="3"/>
  <c r="D2279" i="3"/>
  <c r="D2280" i="3"/>
  <c r="D2281" i="3"/>
  <c r="D2282" i="3"/>
  <c r="D2283" i="3"/>
  <c r="D2284" i="3"/>
  <c r="D2285" i="3"/>
  <c r="D2286" i="3"/>
  <c r="D2287" i="3"/>
  <c r="D2288" i="3"/>
  <c r="D2289" i="3"/>
  <c r="D2290" i="3"/>
  <c r="D2291" i="3"/>
  <c r="D2292" i="3"/>
  <c r="D2293" i="3"/>
  <c r="D2294" i="3"/>
  <c r="D2295" i="3"/>
  <c r="D2296" i="3"/>
  <c r="D2297" i="3"/>
  <c r="D2298" i="3"/>
  <c r="D2299" i="3"/>
  <c r="D2300" i="3"/>
  <c r="D2301" i="3"/>
  <c r="D2302" i="3"/>
  <c r="D2303" i="3"/>
  <c r="D2304" i="3"/>
  <c r="D2305" i="3"/>
  <c r="D2306" i="3"/>
  <c r="D2307" i="3"/>
  <c r="D2308" i="3"/>
  <c r="D2309" i="3"/>
  <c r="D2310" i="3"/>
  <c r="D2311" i="3"/>
  <c r="D2312" i="3"/>
  <c r="D2313" i="3"/>
  <c r="D2314" i="3"/>
  <c r="D2315" i="3"/>
  <c r="D2316" i="3"/>
  <c r="D2317" i="3"/>
  <c r="D2318" i="3"/>
  <c r="D2319" i="3"/>
  <c r="D2320" i="3"/>
  <c r="D2321" i="3"/>
  <c r="D2322" i="3"/>
  <c r="D2323" i="3"/>
  <c r="D2324" i="3"/>
  <c r="D2325" i="3"/>
  <c r="D2326" i="3"/>
  <c r="D2327" i="3"/>
  <c r="D2328" i="3"/>
  <c r="D2329" i="3"/>
  <c r="D2330" i="3"/>
  <c r="D2331" i="3"/>
  <c r="D2332" i="3"/>
  <c r="D2333" i="3"/>
  <c r="D2334" i="3"/>
  <c r="D2335" i="3"/>
  <c r="D2336" i="3"/>
  <c r="D2337" i="3"/>
  <c r="D2338" i="3"/>
  <c r="D2339" i="3"/>
  <c r="D2340" i="3"/>
  <c r="D2341" i="3"/>
  <c r="D2342" i="3"/>
  <c r="D2343" i="3"/>
  <c r="D2344" i="3"/>
  <c r="D2345" i="3"/>
  <c r="D2346" i="3"/>
  <c r="D2347" i="3"/>
  <c r="D2348" i="3"/>
  <c r="D2349" i="3"/>
  <c r="D2350" i="3"/>
  <c r="D2351" i="3"/>
  <c r="D2352" i="3"/>
  <c r="D2353" i="3"/>
  <c r="D2354" i="3"/>
  <c r="D2355" i="3"/>
  <c r="D2356" i="3"/>
  <c r="D2357" i="3"/>
  <c r="D2358" i="3"/>
  <c r="D2359" i="3"/>
  <c r="D2360" i="3"/>
  <c r="D2361" i="3"/>
  <c r="D2362" i="3"/>
  <c r="D2363" i="3"/>
  <c r="D2364" i="3"/>
  <c r="D2365" i="3"/>
  <c r="D2366" i="3"/>
  <c r="D2367" i="3"/>
  <c r="D2368" i="3"/>
  <c r="D2369" i="3"/>
  <c r="D2370" i="3"/>
  <c r="D2696" i="3"/>
  <c r="D2697" i="3"/>
  <c r="D2698" i="3"/>
  <c r="D2699" i="3"/>
  <c r="D2700" i="3"/>
  <c r="D2701" i="3"/>
  <c r="D2702" i="3"/>
  <c r="D2703" i="3"/>
  <c r="D2704" i="3"/>
  <c r="D2705" i="3"/>
  <c r="D2706" i="3"/>
  <c r="D2707" i="3"/>
  <c r="D2708" i="3"/>
  <c r="D2709" i="3"/>
  <c r="D2710" i="3"/>
  <c r="D2711" i="3"/>
  <c r="D2712" i="3"/>
  <c r="D2713" i="3"/>
  <c r="D2714" i="3"/>
  <c r="D2715" i="3"/>
  <c r="D2716" i="3"/>
  <c r="D2717" i="3"/>
  <c r="D2718" i="3"/>
  <c r="D2719" i="3"/>
  <c r="D2720" i="3"/>
  <c r="D2721" i="3"/>
  <c r="D2722" i="3"/>
  <c r="D2723" i="3"/>
  <c r="D2724" i="3"/>
  <c r="D2725" i="3"/>
  <c r="D2726" i="3"/>
  <c r="D2727" i="3"/>
  <c r="F1827" i="3"/>
  <c r="F1828" i="3"/>
  <c r="F1829" i="3"/>
  <c r="F1830" i="3"/>
  <c r="F1831" i="3"/>
  <c r="F1832" i="3"/>
  <c r="F1833" i="3"/>
  <c r="F1834" i="3"/>
  <c r="F1835" i="3"/>
  <c r="F1836" i="3"/>
  <c r="F1837" i="3"/>
  <c r="F1838" i="3"/>
  <c r="F1839" i="3"/>
  <c r="F1840" i="3"/>
  <c r="F1841" i="3"/>
  <c r="F1842" i="3"/>
  <c r="F1843" i="3"/>
  <c r="F1844" i="3"/>
  <c r="F1845" i="3"/>
  <c r="F1846" i="3"/>
  <c r="F1847" i="3"/>
  <c r="F1848" i="3"/>
  <c r="F1849" i="3"/>
  <c r="F1850" i="3"/>
  <c r="F1851" i="3"/>
  <c r="F1852" i="3"/>
  <c r="F1853" i="3"/>
  <c r="F1854" i="3"/>
  <c r="F1855" i="3"/>
  <c r="F1856" i="3"/>
  <c r="F1857" i="3"/>
  <c r="F1858" i="3"/>
  <c r="F1859" i="3"/>
  <c r="F1860" i="3"/>
  <c r="F1861" i="3"/>
  <c r="F1862" i="3"/>
  <c r="F1863" i="3"/>
  <c r="F1864" i="3"/>
  <c r="F1865" i="3"/>
  <c r="F1866" i="3"/>
  <c r="F1867" i="3"/>
  <c r="F1868" i="3"/>
  <c r="F1869" i="3"/>
  <c r="F1870" i="3"/>
  <c r="F1871" i="3"/>
  <c r="F1872" i="3"/>
  <c r="F18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3202" i="3"/>
  <c r="A3202" i="3" s="1"/>
  <c r="F3203" i="3"/>
  <c r="A3203" i="3" s="1"/>
  <c r="F3204" i="3"/>
  <c r="A3204" i="3" s="1"/>
  <c r="F3205" i="3"/>
  <c r="A3205" i="3" s="1"/>
  <c r="F3206" i="3"/>
  <c r="A3206" i="3" s="1"/>
  <c r="F3207" i="3"/>
  <c r="A3207" i="3" s="1"/>
  <c r="F3208" i="3"/>
  <c r="A3208" i="3" s="1"/>
  <c r="F3209" i="3"/>
  <c r="A3209" i="3" s="1"/>
  <c r="F3210" i="3"/>
  <c r="A3210" i="3" s="1"/>
  <c r="F3211" i="3"/>
  <c r="A3211" i="3" s="1"/>
  <c r="F3212" i="3"/>
  <c r="A3212" i="3" s="1"/>
  <c r="F3213" i="3"/>
  <c r="A3213" i="3" s="1"/>
  <c r="F3214" i="3"/>
  <c r="A3214" i="3" s="1"/>
  <c r="F3215" i="3"/>
  <c r="A3215" i="3" s="1"/>
  <c r="F3216" i="3"/>
  <c r="A3216" i="3" s="1"/>
  <c r="F3217" i="3"/>
  <c r="A3217" i="3" s="1"/>
  <c r="F3218" i="3"/>
  <c r="A3218" i="3" s="1"/>
  <c r="F3219" i="3"/>
  <c r="A3219" i="3" s="1"/>
  <c r="F3220" i="3"/>
  <c r="A3220" i="3" s="1"/>
  <c r="F3221" i="3"/>
  <c r="A3221" i="3" s="1"/>
  <c r="F3222" i="3"/>
  <c r="A3222" i="3" s="1"/>
  <c r="F3223" i="3"/>
  <c r="A3223" i="3" s="1"/>
  <c r="F3224" i="3"/>
  <c r="A3224" i="3" s="1"/>
  <c r="F3225" i="3"/>
  <c r="A3225" i="3" s="1"/>
  <c r="F3226" i="3"/>
  <c r="A3226" i="3" s="1"/>
  <c r="F3227" i="3"/>
  <c r="A3227" i="3" s="1"/>
  <c r="F3228" i="3"/>
  <c r="A3228" i="3" s="1"/>
  <c r="F3229" i="3"/>
  <c r="A3229" i="3" s="1"/>
  <c r="F3230" i="3"/>
  <c r="A3230" i="3" s="1"/>
  <c r="F3231" i="3"/>
  <c r="A3231" i="3" s="1"/>
  <c r="F3232" i="3"/>
  <c r="A3232" i="3" s="1"/>
  <c r="F3233" i="3"/>
  <c r="A3233" i="3" s="1"/>
  <c r="F3234" i="3"/>
  <c r="A3234" i="3" s="1"/>
  <c r="F3235" i="3"/>
  <c r="A3235" i="3" s="1"/>
  <c r="F3236" i="3"/>
  <c r="A3236" i="3" s="1"/>
  <c r="F3237" i="3"/>
  <c r="A3237" i="3" s="1"/>
  <c r="F3238" i="3"/>
  <c r="A3238" i="3" s="1"/>
  <c r="F3239" i="3"/>
  <c r="A3239" i="3" s="1"/>
  <c r="F3240" i="3"/>
  <c r="A3240" i="3" s="1"/>
  <c r="F3241" i="3"/>
  <c r="A3241" i="3" s="1"/>
  <c r="F3242" i="3"/>
  <c r="A3242" i="3" s="1"/>
  <c r="F3243" i="3"/>
  <c r="A3243" i="3" s="1"/>
  <c r="F3244" i="3"/>
  <c r="A3244" i="3" s="1"/>
  <c r="F3245" i="3"/>
  <c r="A3245" i="3" s="1"/>
  <c r="F2945" i="3"/>
  <c r="F2946" i="3"/>
  <c r="F2947" i="3"/>
  <c r="F2948" i="3"/>
  <c r="F2949" i="3"/>
  <c r="F2950" i="3"/>
  <c r="F2951" i="3"/>
  <c r="F2952" i="3"/>
  <c r="F2953" i="3"/>
  <c r="F2954" i="3"/>
  <c r="F2955" i="3"/>
  <c r="F2956" i="3"/>
  <c r="F2957" i="3"/>
  <c r="F2958" i="3"/>
  <c r="F2959" i="3"/>
  <c r="F2960" i="3"/>
  <c r="F2961" i="3"/>
  <c r="F2962" i="3"/>
  <c r="F2963" i="3"/>
  <c r="F2964" i="3"/>
  <c r="F2965" i="3"/>
  <c r="F2966" i="3"/>
  <c r="F2967" i="3"/>
  <c r="F2968" i="3"/>
  <c r="F2969" i="3"/>
  <c r="F2970" i="3"/>
  <c r="F2971" i="3"/>
  <c r="F2972" i="3"/>
  <c r="F2973" i="3"/>
  <c r="F2974" i="3"/>
  <c r="F2975" i="3"/>
  <c r="F2976" i="3"/>
  <c r="F2977" i="3"/>
  <c r="F2978" i="3"/>
  <c r="F2979" i="3"/>
  <c r="F2980" i="3"/>
  <c r="F2981" i="3"/>
  <c r="F2982" i="3"/>
  <c r="F2983" i="3"/>
  <c r="F2984" i="3"/>
  <c r="F2985" i="3"/>
  <c r="F2986" i="3"/>
  <c r="F2987" i="3"/>
  <c r="F2988" i="3"/>
  <c r="F2989" i="3"/>
  <c r="F3094" i="3"/>
  <c r="A3094" i="3" s="1"/>
  <c r="F3095" i="3"/>
  <c r="A3095" i="3" s="1"/>
  <c r="F3096" i="3"/>
  <c r="A3096" i="3" s="1"/>
  <c r="F3097" i="3"/>
  <c r="A3097" i="3" s="1"/>
  <c r="F3098" i="3"/>
  <c r="A3098" i="3" s="1"/>
  <c r="F3099" i="3"/>
  <c r="A3099" i="3" s="1"/>
  <c r="F3100" i="3"/>
  <c r="A3100" i="3" s="1"/>
  <c r="F3101" i="3"/>
  <c r="A3101" i="3" s="1"/>
  <c r="F3102" i="3"/>
  <c r="A3102" i="3" s="1"/>
  <c r="F3103" i="3"/>
  <c r="A3103" i="3" s="1"/>
  <c r="F3104" i="3"/>
  <c r="A3104" i="3" s="1"/>
  <c r="F3105" i="3"/>
  <c r="A3105" i="3" s="1"/>
  <c r="F3106" i="3"/>
  <c r="A3106" i="3" s="1"/>
  <c r="F3107" i="3"/>
  <c r="A3107" i="3" s="1"/>
  <c r="F3108" i="3"/>
  <c r="A3108" i="3" s="1"/>
  <c r="F3109" i="3"/>
  <c r="A3109" i="3" s="1"/>
  <c r="F3110" i="3"/>
  <c r="A3110" i="3" s="1"/>
  <c r="F3111" i="3"/>
  <c r="A3111" i="3" s="1"/>
  <c r="F3112" i="3"/>
  <c r="A3112" i="3" s="1"/>
  <c r="F3113" i="3"/>
  <c r="A3113" i="3" s="1"/>
  <c r="F3114" i="3"/>
  <c r="A3114" i="3" s="1"/>
  <c r="F3115" i="3"/>
  <c r="A3115" i="3" s="1"/>
  <c r="F3116" i="3"/>
  <c r="A3116" i="3" s="1"/>
  <c r="F3117" i="3"/>
  <c r="A3117" i="3" s="1"/>
  <c r="F3118" i="3"/>
  <c r="A3118" i="3" s="1"/>
  <c r="F3119" i="3"/>
  <c r="A3119" i="3" s="1"/>
  <c r="F3120" i="3"/>
  <c r="A3120" i="3" s="1"/>
  <c r="F3121" i="3"/>
  <c r="A3121" i="3" s="1"/>
  <c r="F3122" i="3"/>
  <c r="A3122" i="3" s="1"/>
  <c r="F3123" i="3"/>
  <c r="A3123" i="3" s="1"/>
  <c r="F3124" i="3"/>
  <c r="A3124" i="3" s="1"/>
  <c r="F3125" i="3"/>
  <c r="A3125" i="3" s="1"/>
  <c r="F3126" i="3"/>
  <c r="A3126" i="3" s="1"/>
  <c r="F3127" i="3"/>
  <c r="A3127" i="3" s="1"/>
  <c r="F3128" i="3"/>
  <c r="A3128" i="3" s="1"/>
  <c r="F3129" i="3"/>
  <c r="A3129" i="3" s="1"/>
  <c r="F3130" i="3"/>
  <c r="A3130" i="3" s="1"/>
  <c r="F3131" i="3"/>
  <c r="A3131" i="3" s="1"/>
  <c r="F3132" i="3"/>
  <c r="A3132" i="3" s="1"/>
  <c r="F3133" i="3"/>
  <c r="A3133" i="3" s="1"/>
  <c r="F3134" i="3"/>
  <c r="A3134" i="3" s="1"/>
  <c r="F3135" i="3"/>
  <c r="A3135" i="3" s="1"/>
  <c r="F3136" i="3"/>
  <c r="A3136" i="3" s="1"/>
  <c r="F3137" i="3"/>
  <c r="A3137" i="3" s="1"/>
  <c r="F3138" i="3"/>
  <c r="A3138" i="3" s="1"/>
  <c r="F3139" i="3"/>
  <c r="A3139" i="3" s="1"/>
  <c r="F3140" i="3"/>
  <c r="A3140" i="3" s="1"/>
  <c r="F2161" i="3"/>
  <c r="F2162" i="3"/>
  <c r="F2163" i="3"/>
  <c r="F2164" i="3"/>
  <c r="F2165" i="3"/>
  <c r="F2166" i="3"/>
  <c r="F2167" i="3"/>
  <c r="F2168" i="3"/>
  <c r="F2169" i="3"/>
  <c r="F2170" i="3"/>
  <c r="F2171" i="3"/>
  <c r="F2172" i="3"/>
  <c r="F2173" i="3"/>
  <c r="F2174" i="3"/>
  <c r="F2175" i="3"/>
  <c r="F2176" i="3"/>
  <c r="F2177" i="3"/>
  <c r="F2178" i="3"/>
  <c r="F2179" i="3"/>
  <c r="F2180" i="3"/>
  <c r="F2181" i="3"/>
  <c r="F2182" i="3"/>
  <c r="F2183" i="3"/>
  <c r="F2184" i="3"/>
  <c r="F2185" i="3"/>
  <c r="F2186" i="3"/>
  <c r="F2187" i="3"/>
  <c r="F2188" i="3"/>
  <c r="F2189" i="3"/>
  <c r="F2190" i="3"/>
  <c r="F2191" i="3"/>
  <c r="F2192" i="3"/>
  <c r="F2193" i="3"/>
  <c r="F2194" i="3"/>
  <c r="F2195" i="3"/>
  <c r="F2196" i="3"/>
  <c r="F2197" i="3"/>
  <c r="F2198" i="3"/>
  <c r="F2199" i="3"/>
  <c r="F2200" i="3"/>
  <c r="F2201" i="3"/>
  <c r="F2202" i="3"/>
  <c r="F2203" i="3"/>
  <c r="F2204" i="3"/>
  <c r="F2205" i="3"/>
  <c r="F2206" i="3"/>
  <c r="F2207" i="3"/>
  <c r="F2208" i="3"/>
  <c r="F2209" i="3"/>
  <c r="F2210" i="3"/>
  <c r="F2211" i="3"/>
  <c r="F2212" i="3"/>
  <c r="F2213" i="3"/>
  <c r="F2214" i="3"/>
  <c r="F2215" i="3"/>
  <c r="F2216" i="3"/>
  <c r="F2217" i="3"/>
  <c r="F2218" i="3"/>
  <c r="F2219" i="3"/>
  <c r="F2220" i="3"/>
  <c r="F2221" i="3"/>
  <c r="F2222" i="3"/>
  <c r="F2223" i="3"/>
  <c r="F2224" i="3"/>
  <c r="F2225" i="3"/>
  <c r="F2226" i="3"/>
  <c r="F2227" i="3"/>
  <c r="F2228" i="3"/>
  <c r="F2229" i="3"/>
  <c r="F2230" i="3"/>
  <c r="F2231" i="3"/>
  <c r="F2232" i="3"/>
  <c r="F2233" i="3"/>
  <c r="F2234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2990" i="3"/>
  <c r="F2991" i="3"/>
  <c r="F2992" i="3"/>
  <c r="F2993" i="3"/>
  <c r="F2994" i="3"/>
  <c r="F2995" i="3"/>
  <c r="F2996" i="3"/>
  <c r="F2997" i="3"/>
  <c r="F2998" i="3"/>
  <c r="F2999" i="3"/>
  <c r="F3000" i="3"/>
  <c r="F3001" i="3"/>
  <c r="F3002" i="3"/>
  <c r="F3003" i="3"/>
  <c r="F3004" i="3"/>
  <c r="F3005" i="3"/>
  <c r="F3006" i="3"/>
  <c r="F3007" i="3"/>
  <c r="F3008" i="3"/>
  <c r="F3009" i="3"/>
  <c r="F3010" i="3"/>
  <c r="F3011" i="3"/>
  <c r="F3012" i="3"/>
  <c r="F3013" i="3"/>
  <c r="F3014" i="3"/>
  <c r="F3015" i="3"/>
  <c r="F3016" i="3"/>
  <c r="F3017" i="3"/>
  <c r="F3018" i="3"/>
  <c r="F3019" i="3"/>
  <c r="F3020" i="3"/>
  <c r="F3021" i="3"/>
  <c r="F3022" i="3"/>
  <c r="F3023" i="3"/>
  <c r="F3024" i="3"/>
  <c r="F3025" i="3"/>
  <c r="F3026" i="3"/>
  <c r="F3027" i="3"/>
  <c r="A3027" i="3" s="1"/>
  <c r="F3028" i="3"/>
  <c r="A3028" i="3" s="1"/>
  <c r="F3029" i="3"/>
  <c r="A3029" i="3" s="1"/>
  <c r="F3030" i="3"/>
  <c r="A3030" i="3" s="1"/>
  <c r="F3031" i="3"/>
  <c r="A3031" i="3" s="1"/>
  <c r="F3032" i="3"/>
  <c r="A3032" i="3" s="1"/>
  <c r="F3033" i="3"/>
  <c r="A3033" i="3" s="1"/>
  <c r="F3034" i="3"/>
  <c r="A3034" i="3" s="1"/>
  <c r="F3035" i="3"/>
  <c r="A3035" i="3" s="1"/>
  <c r="F3036" i="3"/>
  <c r="A3036" i="3" s="1"/>
  <c r="F3037" i="3"/>
  <c r="A3037" i="3" s="1"/>
  <c r="F3038" i="3"/>
  <c r="A3038" i="3" s="1"/>
  <c r="F3170" i="3"/>
  <c r="A3170" i="3" s="1"/>
  <c r="F3171" i="3"/>
  <c r="A3171" i="3" s="1"/>
  <c r="F3172" i="3"/>
  <c r="A3172" i="3" s="1"/>
  <c r="F3173" i="3"/>
  <c r="A3173" i="3" s="1"/>
  <c r="F3174" i="3"/>
  <c r="A3174" i="3" s="1"/>
  <c r="F3175" i="3"/>
  <c r="A3175" i="3" s="1"/>
  <c r="F3176" i="3"/>
  <c r="A3176" i="3" s="1"/>
  <c r="F3177" i="3"/>
  <c r="A3177" i="3" s="1"/>
  <c r="F3178" i="3"/>
  <c r="A3178" i="3" s="1"/>
  <c r="F3179" i="3"/>
  <c r="A3179" i="3" s="1"/>
  <c r="F3180" i="3"/>
  <c r="A3180" i="3" s="1"/>
  <c r="F3181" i="3"/>
  <c r="A3181" i="3" s="1"/>
  <c r="F3182" i="3"/>
  <c r="A3182" i="3" s="1"/>
  <c r="F3183" i="3"/>
  <c r="A3183" i="3" s="1"/>
  <c r="F3184" i="3"/>
  <c r="A3184" i="3" s="1"/>
  <c r="F3185" i="3"/>
  <c r="A3185" i="3" s="1"/>
  <c r="F3186" i="3"/>
  <c r="A3186" i="3" s="1"/>
  <c r="F3187" i="3"/>
  <c r="A3187" i="3" s="1"/>
  <c r="F3188" i="3"/>
  <c r="A3188" i="3" s="1"/>
  <c r="F3189" i="3"/>
  <c r="A3189" i="3" s="1"/>
  <c r="F3190" i="3"/>
  <c r="A3190" i="3" s="1"/>
  <c r="F3191" i="3"/>
  <c r="A3191" i="3" s="1"/>
  <c r="F3192" i="3"/>
  <c r="A3192" i="3" s="1"/>
  <c r="F3193" i="3"/>
  <c r="A3193" i="3" s="1"/>
  <c r="F3194" i="3"/>
  <c r="A3194" i="3" s="1"/>
  <c r="F3195" i="3"/>
  <c r="A3195" i="3" s="1"/>
  <c r="F3196" i="3"/>
  <c r="A3196" i="3" s="1"/>
  <c r="F3197" i="3"/>
  <c r="A3197" i="3" s="1"/>
  <c r="F3198" i="3"/>
  <c r="A3198" i="3" s="1"/>
  <c r="F3199" i="3"/>
  <c r="A3199" i="3" s="1"/>
  <c r="F3200" i="3"/>
  <c r="A3200" i="3" s="1"/>
  <c r="F3201" i="3"/>
  <c r="A3201" i="3" s="1"/>
  <c r="F1874" i="3"/>
  <c r="F1875" i="3"/>
  <c r="F1876" i="3"/>
  <c r="F1877" i="3"/>
  <c r="F1878" i="3"/>
  <c r="F1879" i="3"/>
  <c r="F1880" i="3"/>
  <c r="F1881" i="3"/>
  <c r="F1882" i="3"/>
  <c r="F1883" i="3"/>
  <c r="F1884" i="3"/>
  <c r="F1885" i="3"/>
  <c r="F1886" i="3"/>
  <c r="F1887" i="3"/>
  <c r="F1888" i="3"/>
  <c r="F1889" i="3"/>
  <c r="F1890" i="3"/>
  <c r="F1891" i="3"/>
  <c r="F1892" i="3"/>
  <c r="F1893" i="3"/>
  <c r="F1894" i="3"/>
  <c r="F1895" i="3"/>
  <c r="F1896" i="3"/>
  <c r="F1897" i="3"/>
  <c r="F1898" i="3"/>
  <c r="F1899" i="3"/>
  <c r="F1900" i="3"/>
  <c r="F1901" i="3"/>
  <c r="F1902" i="3"/>
  <c r="F1903" i="3"/>
  <c r="F1904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2235" i="3"/>
  <c r="F2236" i="3"/>
  <c r="F2237" i="3"/>
  <c r="F2238" i="3"/>
  <c r="F2239" i="3"/>
  <c r="F2240" i="3"/>
  <c r="F2241" i="3"/>
  <c r="F2242" i="3"/>
  <c r="F2243" i="3"/>
  <c r="F2244" i="3"/>
  <c r="F2245" i="3"/>
  <c r="F2246" i="3"/>
  <c r="F2247" i="3"/>
  <c r="F2248" i="3"/>
  <c r="F2249" i="3"/>
  <c r="F2250" i="3"/>
  <c r="F2251" i="3"/>
  <c r="F2252" i="3"/>
  <c r="F2253" i="3"/>
  <c r="F2254" i="3"/>
  <c r="F2255" i="3"/>
  <c r="F2256" i="3"/>
  <c r="F2257" i="3"/>
  <c r="F2258" i="3"/>
  <c r="F2259" i="3"/>
  <c r="F2260" i="3"/>
  <c r="F2261" i="3"/>
  <c r="F2262" i="3"/>
  <c r="F2263" i="3"/>
  <c r="F2264" i="3"/>
  <c r="F2265" i="3"/>
  <c r="F2266" i="3"/>
  <c r="F2267" i="3"/>
  <c r="F2268" i="3"/>
  <c r="F2872" i="3"/>
  <c r="F2873" i="3"/>
  <c r="F2874" i="3"/>
  <c r="F2875" i="3"/>
  <c r="F2876" i="3"/>
  <c r="F2877" i="3"/>
  <c r="F2878" i="3"/>
  <c r="F2879" i="3"/>
  <c r="F2880" i="3"/>
  <c r="F2881" i="3"/>
  <c r="F2882" i="3"/>
  <c r="F2883" i="3"/>
  <c r="F2884" i="3"/>
  <c r="F2885" i="3"/>
  <c r="F2886" i="3"/>
  <c r="F2887" i="3"/>
  <c r="F2888" i="3"/>
  <c r="F2889" i="3"/>
  <c r="F2890" i="3"/>
  <c r="F2891" i="3"/>
  <c r="F2892" i="3"/>
  <c r="F2893" i="3"/>
  <c r="F2894" i="3"/>
  <c r="F2895" i="3"/>
  <c r="F2896" i="3"/>
  <c r="F2897" i="3"/>
  <c r="F2898" i="3"/>
  <c r="F2899" i="3"/>
  <c r="F2900" i="3"/>
  <c r="F2901" i="3"/>
  <c r="F2902" i="3"/>
  <c r="F2903" i="3"/>
  <c r="F2904" i="3"/>
  <c r="F2905" i="3"/>
  <c r="F2906" i="3"/>
  <c r="F2907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2411" i="3"/>
  <c r="F2412" i="3"/>
  <c r="F2413" i="3"/>
  <c r="F2414" i="3"/>
  <c r="F2415" i="3"/>
  <c r="F2416" i="3"/>
  <c r="F2417" i="3"/>
  <c r="F2418" i="3"/>
  <c r="F2419" i="3"/>
  <c r="F2420" i="3"/>
  <c r="F2421" i="3"/>
  <c r="F2422" i="3"/>
  <c r="F2423" i="3"/>
  <c r="F2424" i="3"/>
  <c r="F2425" i="3"/>
  <c r="F2426" i="3"/>
  <c r="F2427" i="3"/>
  <c r="F2428" i="3"/>
  <c r="F2429" i="3"/>
  <c r="F2430" i="3"/>
  <c r="F2431" i="3"/>
  <c r="F2432" i="3"/>
  <c r="F2433" i="3"/>
  <c r="F2434" i="3"/>
  <c r="F2435" i="3"/>
  <c r="F2436" i="3"/>
  <c r="F2437" i="3"/>
  <c r="F2438" i="3"/>
  <c r="F2439" i="3"/>
  <c r="F2440" i="3"/>
  <c r="F2441" i="3"/>
  <c r="F2442" i="3"/>
  <c r="F2443" i="3"/>
  <c r="F2444" i="3"/>
  <c r="F2445" i="3"/>
  <c r="F2446" i="3"/>
  <c r="F2447" i="3"/>
  <c r="F2448" i="3"/>
  <c r="F2449" i="3"/>
  <c r="F2450" i="3"/>
  <c r="F2451" i="3"/>
  <c r="F2452" i="3"/>
  <c r="F2453" i="3"/>
  <c r="F2454" i="3"/>
  <c r="F2455" i="3"/>
  <c r="F2456" i="3"/>
  <c r="F2457" i="3"/>
  <c r="F2458" i="3"/>
  <c r="F2459" i="3"/>
  <c r="F2460" i="3"/>
  <c r="F2461" i="3"/>
  <c r="F2462" i="3"/>
  <c r="F2463" i="3"/>
  <c r="F2464" i="3"/>
  <c r="F2465" i="3"/>
  <c r="F2466" i="3"/>
  <c r="F2467" i="3"/>
  <c r="F2468" i="3"/>
  <c r="F2469" i="3"/>
  <c r="F2470" i="3"/>
  <c r="F2471" i="3"/>
  <c r="F2472" i="3"/>
  <c r="F2473" i="3"/>
  <c r="F2474" i="3"/>
  <c r="F2475" i="3"/>
  <c r="F2476" i="3"/>
  <c r="F2477" i="3"/>
  <c r="F2478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F1001" i="3"/>
  <c r="F1002" i="3"/>
  <c r="F1003" i="3"/>
  <c r="F1004" i="3"/>
  <c r="F1005" i="3"/>
  <c r="F1006" i="3"/>
  <c r="F1007" i="3"/>
  <c r="F1008" i="3"/>
  <c r="F1009" i="3"/>
  <c r="F1010" i="3"/>
  <c r="F1011" i="3"/>
  <c r="F1012" i="3"/>
  <c r="F1013" i="3"/>
  <c r="F1014" i="3"/>
  <c r="F1015" i="3"/>
  <c r="F1016" i="3"/>
  <c r="F1017" i="3"/>
  <c r="F1018" i="3"/>
  <c r="F1019" i="3"/>
  <c r="F1020" i="3"/>
  <c r="F1021" i="3"/>
  <c r="F1022" i="3"/>
  <c r="F1023" i="3"/>
  <c r="F1024" i="3"/>
  <c r="F1025" i="3"/>
  <c r="F1026" i="3"/>
  <c r="F1027" i="3"/>
  <c r="F1028" i="3"/>
  <c r="F1029" i="3"/>
  <c r="F1030" i="3"/>
  <c r="F1031" i="3"/>
  <c r="F1032" i="3"/>
  <c r="F1033" i="3"/>
  <c r="F1034" i="3"/>
  <c r="F1035" i="3"/>
  <c r="F1036" i="3"/>
  <c r="F1037" i="3"/>
  <c r="F1038" i="3"/>
  <c r="F1039" i="3"/>
  <c r="F1040" i="3"/>
  <c r="F1041" i="3"/>
  <c r="F1042" i="3"/>
  <c r="F1043" i="3"/>
  <c r="F1044" i="3"/>
  <c r="F1045" i="3"/>
  <c r="F1046" i="3"/>
  <c r="F1047" i="3"/>
  <c r="F1048" i="3"/>
  <c r="F1049" i="3"/>
  <c r="F1050" i="3"/>
  <c r="F1051" i="3"/>
  <c r="F1052" i="3"/>
  <c r="F1053" i="3"/>
  <c r="F1054" i="3"/>
  <c r="F1055" i="3"/>
  <c r="F1056" i="3"/>
  <c r="F1057" i="3"/>
  <c r="F1058" i="3"/>
  <c r="F1059" i="3"/>
  <c r="F1060" i="3"/>
  <c r="F1093" i="3"/>
  <c r="F1094" i="3"/>
  <c r="F1095" i="3"/>
  <c r="F1096" i="3"/>
  <c r="F1097" i="3"/>
  <c r="F1098" i="3"/>
  <c r="F1099" i="3"/>
  <c r="F1100" i="3"/>
  <c r="F1101" i="3"/>
  <c r="F1102" i="3"/>
  <c r="F1103" i="3"/>
  <c r="F1104" i="3"/>
  <c r="F1105" i="3"/>
  <c r="F1106" i="3"/>
  <c r="F1107" i="3"/>
  <c r="F1108" i="3"/>
  <c r="F1109" i="3"/>
  <c r="F1110" i="3"/>
  <c r="F1111" i="3"/>
  <c r="F1112" i="3"/>
  <c r="F1113" i="3"/>
  <c r="F1114" i="3"/>
  <c r="F1115" i="3"/>
  <c r="F1116" i="3"/>
  <c r="F1117" i="3"/>
  <c r="F1118" i="3"/>
  <c r="F1119" i="3"/>
  <c r="F1120" i="3"/>
  <c r="F1121" i="3"/>
  <c r="F1122" i="3"/>
  <c r="F1123" i="3"/>
  <c r="F1124" i="3"/>
  <c r="F1125" i="3"/>
  <c r="F1126" i="3"/>
  <c r="F1127" i="3"/>
  <c r="F1128" i="3"/>
  <c r="F1129" i="3"/>
  <c r="F1130" i="3"/>
  <c r="F1131" i="3"/>
  <c r="F1132" i="3"/>
  <c r="F1133" i="3"/>
  <c r="F1134" i="3"/>
  <c r="F1135" i="3"/>
  <c r="F1136" i="3"/>
  <c r="F1137" i="3"/>
  <c r="F1138" i="3"/>
  <c r="F1139" i="3"/>
  <c r="F1140" i="3"/>
  <c r="F1141" i="3"/>
  <c r="F1142" i="3"/>
  <c r="F1143" i="3"/>
  <c r="F1144" i="3"/>
  <c r="F1145" i="3"/>
  <c r="F1146" i="3"/>
  <c r="F1147" i="3"/>
  <c r="F1148" i="3"/>
  <c r="F1149" i="3"/>
  <c r="F1150" i="3"/>
  <c r="F1151" i="3"/>
  <c r="F1152" i="3"/>
  <c r="F1153" i="3"/>
  <c r="F1154" i="3"/>
  <c r="F1155" i="3"/>
  <c r="F1156" i="3"/>
  <c r="F1157" i="3"/>
  <c r="F1158" i="3"/>
  <c r="F1159" i="3"/>
  <c r="F1160" i="3"/>
  <c r="F1161" i="3"/>
  <c r="F1162" i="3"/>
  <c r="F1163" i="3"/>
  <c r="F1164" i="3"/>
  <c r="F1165" i="3"/>
  <c r="F1166" i="3"/>
  <c r="F1167" i="3"/>
  <c r="F1168" i="3"/>
  <c r="F1169" i="3"/>
  <c r="F1170" i="3"/>
  <c r="F1171" i="3"/>
  <c r="F1172" i="3"/>
  <c r="F1173" i="3"/>
  <c r="F1174" i="3"/>
  <c r="F1175" i="3"/>
  <c r="F1176" i="3"/>
  <c r="F1177" i="3"/>
  <c r="F1178" i="3"/>
  <c r="F1179" i="3"/>
  <c r="F1180" i="3"/>
  <c r="F1181" i="3"/>
  <c r="F1182" i="3"/>
  <c r="F1183" i="3"/>
  <c r="F1184" i="3"/>
  <c r="F1185" i="3"/>
  <c r="F1186" i="3"/>
  <c r="F1187" i="3"/>
  <c r="F1188" i="3"/>
  <c r="F1189" i="3"/>
  <c r="F1190" i="3"/>
  <c r="F1191" i="3"/>
  <c r="F1192" i="3"/>
  <c r="F1193" i="3"/>
  <c r="F1194" i="3"/>
  <c r="F1195" i="3"/>
  <c r="F1196" i="3"/>
  <c r="F1197" i="3"/>
  <c r="F1198" i="3"/>
  <c r="F1199" i="3"/>
  <c r="F1200" i="3"/>
  <c r="F1201" i="3"/>
  <c r="F1202" i="3"/>
  <c r="F1203" i="3"/>
  <c r="F1204" i="3"/>
  <c r="F1205" i="3"/>
  <c r="F1206" i="3"/>
  <c r="F1207" i="3"/>
  <c r="F1208" i="3"/>
  <c r="F1209" i="3"/>
  <c r="F1210" i="3"/>
  <c r="F1211" i="3"/>
  <c r="F1212" i="3"/>
  <c r="F1213" i="3"/>
  <c r="F1214" i="3"/>
  <c r="F1215" i="3"/>
  <c r="F1216" i="3"/>
  <c r="F1217" i="3"/>
  <c r="F1218" i="3"/>
  <c r="F1219" i="3"/>
  <c r="F1220" i="3"/>
  <c r="F1221" i="3"/>
  <c r="F1222" i="3"/>
  <c r="F1223" i="3"/>
  <c r="F1224" i="3"/>
  <c r="F1225" i="3"/>
  <c r="F1226" i="3"/>
  <c r="F1227" i="3"/>
  <c r="F1228" i="3"/>
  <c r="F1229" i="3"/>
  <c r="F1230" i="3"/>
  <c r="F1231" i="3"/>
  <c r="F1232" i="3"/>
  <c r="F1233" i="3"/>
  <c r="F1234" i="3"/>
  <c r="F1235" i="3"/>
  <c r="F1236" i="3"/>
  <c r="F1237" i="3"/>
  <c r="F1238" i="3"/>
  <c r="F1239" i="3"/>
  <c r="F1240" i="3"/>
  <c r="F1241" i="3"/>
  <c r="F1242" i="3"/>
  <c r="F1243" i="3"/>
  <c r="F1244" i="3"/>
  <c r="F1245" i="3"/>
  <c r="F1246" i="3"/>
  <c r="F1247" i="3"/>
  <c r="F1248" i="3"/>
  <c r="F1249" i="3"/>
  <c r="F1250" i="3"/>
  <c r="F1251" i="3"/>
  <c r="F1252" i="3"/>
  <c r="F1253" i="3"/>
  <c r="F1254" i="3"/>
  <c r="F1255" i="3"/>
  <c r="F1256" i="3"/>
  <c r="F1257" i="3"/>
  <c r="F1258" i="3"/>
  <c r="F1259" i="3"/>
  <c r="F1260" i="3"/>
  <c r="F1294" i="3"/>
  <c r="F1295" i="3"/>
  <c r="F1296" i="3"/>
  <c r="F1297" i="3"/>
  <c r="F1298" i="3"/>
  <c r="F1299" i="3"/>
  <c r="F1300" i="3"/>
  <c r="F1301" i="3"/>
  <c r="F1302" i="3"/>
  <c r="F1303" i="3"/>
  <c r="F1304" i="3"/>
  <c r="F1305" i="3"/>
  <c r="F1306" i="3"/>
  <c r="F1307" i="3"/>
  <c r="F1308" i="3"/>
  <c r="F1309" i="3"/>
  <c r="F1310" i="3"/>
  <c r="F1311" i="3"/>
  <c r="F1312" i="3"/>
  <c r="F1313" i="3"/>
  <c r="F1314" i="3"/>
  <c r="F1315" i="3"/>
  <c r="F1316" i="3"/>
  <c r="F1317" i="3"/>
  <c r="F1318" i="3"/>
  <c r="F1319" i="3"/>
  <c r="F1320" i="3"/>
  <c r="F1321" i="3"/>
  <c r="F1322" i="3"/>
  <c r="F1323" i="3"/>
  <c r="F1324" i="3"/>
  <c r="F1325" i="3"/>
  <c r="F1326" i="3"/>
  <c r="F1327" i="3"/>
  <c r="F1328" i="3"/>
  <c r="F1329" i="3"/>
  <c r="F1330" i="3"/>
  <c r="F1331" i="3"/>
  <c r="F1332" i="3"/>
  <c r="F1333" i="3"/>
  <c r="F1334" i="3"/>
  <c r="F1335" i="3"/>
  <c r="F1336" i="3"/>
  <c r="F1337" i="3"/>
  <c r="F1338" i="3"/>
  <c r="F1339" i="3"/>
  <c r="F1340" i="3"/>
  <c r="F1341" i="3"/>
  <c r="F1342" i="3"/>
  <c r="F1343" i="3"/>
  <c r="F1344" i="3"/>
  <c r="F1345" i="3"/>
  <c r="F1346" i="3"/>
  <c r="F1347" i="3"/>
  <c r="F1348" i="3"/>
  <c r="F1349" i="3"/>
  <c r="F1350" i="3"/>
  <c r="F1351" i="3"/>
  <c r="F1437" i="3"/>
  <c r="F1438" i="3"/>
  <c r="F1439" i="3"/>
  <c r="F1440" i="3"/>
  <c r="F1441" i="3"/>
  <c r="F1442" i="3"/>
  <c r="F1443" i="3"/>
  <c r="F1444" i="3"/>
  <c r="F1445" i="3"/>
  <c r="F1446" i="3"/>
  <c r="F1447" i="3"/>
  <c r="F1448" i="3"/>
  <c r="F1449" i="3"/>
  <c r="F1450" i="3"/>
  <c r="F1451" i="3"/>
  <c r="F1452" i="3"/>
  <c r="F1453" i="3"/>
  <c r="F1454" i="3"/>
  <c r="F1455" i="3"/>
  <c r="F1456" i="3"/>
  <c r="F1457" i="3"/>
  <c r="F1458" i="3"/>
  <c r="F1459" i="3"/>
  <c r="F1460" i="3"/>
  <c r="F1461" i="3"/>
  <c r="F1462" i="3"/>
  <c r="F1463" i="3"/>
  <c r="F1464" i="3"/>
  <c r="F1465" i="3"/>
  <c r="F1466" i="3"/>
  <c r="F1467" i="3"/>
  <c r="F1468" i="3"/>
  <c r="F1469" i="3"/>
  <c r="F1470" i="3"/>
  <c r="F1471" i="3"/>
  <c r="F1472" i="3"/>
  <c r="F1473" i="3"/>
  <c r="F1474" i="3"/>
  <c r="F1475" i="3"/>
  <c r="F1476" i="3"/>
  <c r="F1477" i="3"/>
  <c r="F1478" i="3"/>
  <c r="F1479" i="3"/>
  <c r="F1480" i="3"/>
  <c r="F1481" i="3"/>
  <c r="F1482" i="3"/>
  <c r="F1483" i="3"/>
  <c r="F1484" i="3"/>
  <c r="F1485" i="3"/>
  <c r="F1486" i="3"/>
  <c r="F1487" i="3"/>
  <c r="F1488" i="3"/>
  <c r="F1489" i="3"/>
  <c r="F1490" i="3"/>
  <c r="F1491" i="3"/>
  <c r="F1492" i="3"/>
  <c r="F1493" i="3"/>
  <c r="F1494" i="3"/>
  <c r="F1495" i="3"/>
  <c r="F1496" i="3"/>
  <c r="F1497" i="3"/>
  <c r="F1498" i="3"/>
  <c r="F1499" i="3"/>
  <c r="F1500" i="3"/>
  <c r="F1501" i="3"/>
  <c r="F1502" i="3"/>
  <c r="F1503" i="3"/>
  <c r="F1504" i="3"/>
  <c r="F1505" i="3"/>
  <c r="F1506" i="3"/>
  <c r="F1507" i="3"/>
  <c r="F1508" i="3"/>
  <c r="F1509" i="3"/>
  <c r="F1510" i="3"/>
  <c r="F1511" i="3"/>
  <c r="F1512" i="3"/>
  <c r="F1513" i="3"/>
  <c r="F1514" i="3"/>
  <c r="F1515" i="3"/>
  <c r="F1516" i="3"/>
  <c r="F1517" i="3"/>
  <c r="F1518" i="3"/>
  <c r="F1519" i="3"/>
  <c r="F1520" i="3"/>
  <c r="F1521" i="3"/>
  <c r="F1522" i="3"/>
  <c r="F1523" i="3"/>
  <c r="F1524" i="3"/>
  <c r="F1525" i="3"/>
  <c r="F1526" i="3"/>
  <c r="F1527" i="3"/>
  <c r="F1528" i="3"/>
  <c r="F1529" i="3"/>
  <c r="F1530" i="3"/>
  <c r="F1608" i="3"/>
  <c r="F1609" i="3"/>
  <c r="F1610" i="3"/>
  <c r="F1611" i="3"/>
  <c r="F1612" i="3"/>
  <c r="F1613" i="3"/>
  <c r="F1614" i="3"/>
  <c r="F1615" i="3"/>
  <c r="F1616" i="3"/>
  <c r="F1617" i="3"/>
  <c r="F1618" i="3"/>
  <c r="F1619" i="3"/>
  <c r="F1620" i="3"/>
  <c r="F1621" i="3"/>
  <c r="F1622" i="3"/>
  <c r="F1623" i="3"/>
  <c r="F1624" i="3"/>
  <c r="F1625" i="3"/>
  <c r="F1626" i="3"/>
  <c r="F1627" i="3"/>
  <c r="F1628" i="3"/>
  <c r="F1629" i="3"/>
  <c r="F1630" i="3"/>
  <c r="F1631" i="3"/>
  <c r="F1632" i="3"/>
  <c r="F1633" i="3"/>
  <c r="F1634" i="3"/>
  <c r="F1635" i="3"/>
  <c r="F1636" i="3"/>
  <c r="F1637" i="3"/>
  <c r="F1638" i="3"/>
  <c r="F1639" i="3"/>
  <c r="F1640" i="3"/>
  <c r="F1641" i="3"/>
  <c r="F1642" i="3"/>
  <c r="F1643" i="3"/>
  <c r="F1644" i="3"/>
  <c r="F1645" i="3"/>
  <c r="F1646" i="3"/>
  <c r="F1647" i="3"/>
  <c r="F1648" i="3"/>
  <c r="F1649" i="3"/>
  <c r="F1650" i="3"/>
  <c r="F1651" i="3"/>
  <c r="F1652" i="3"/>
  <c r="F1653" i="3"/>
  <c r="F1654" i="3"/>
  <c r="F1684" i="3"/>
  <c r="F1685" i="3"/>
  <c r="F1686" i="3"/>
  <c r="F1687" i="3"/>
  <c r="F1688" i="3"/>
  <c r="F1689" i="3"/>
  <c r="F1690" i="3"/>
  <c r="F1691" i="3"/>
  <c r="F1692" i="3"/>
  <c r="F1693" i="3"/>
  <c r="F1694" i="3"/>
  <c r="F1695" i="3"/>
  <c r="F1696" i="3"/>
  <c r="F1697" i="3"/>
  <c r="F1698" i="3"/>
  <c r="F1699" i="3"/>
  <c r="F1700" i="3"/>
  <c r="F1701" i="3"/>
  <c r="F1702" i="3"/>
  <c r="F1703" i="3"/>
  <c r="F1704" i="3"/>
  <c r="F1705" i="3"/>
  <c r="F1706" i="3"/>
  <c r="F1707" i="3"/>
  <c r="F1708" i="3"/>
  <c r="F1709" i="3"/>
  <c r="F1710" i="3"/>
  <c r="F1711" i="3"/>
  <c r="F1712" i="3"/>
  <c r="F1713" i="3"/>
  <c r="F1714" i="3"/>
  <c r="F1715" i="3"/>
  <c r="F1716" i="3"/>
  <c r="F1717" i="3"/>
  <c r="F1718" i="3"/>
  <c r="F1719" i="3"/>
  <c r="F1720" i="3"/>
  <c r="F1721" i="3"/>
  <c r="F1722" i="3"/>
  <c r="F1723" i="3"/>
  <c r="F1724" i="3"/>
  <c r="F1725" i="3"/>
  <c r="F1726" i="3"/>
  <c r="F1727" i="3"/>
  <c r="F1728" i="3"/>
  <c r="F1729" i="3"/>
  <c r="F1730" i="3"/>
  <c r="F1731" i="3"/>
  <c r="F1732" i="3"/>
  <c r="F1733" i="3"/>
  <c r="F1734" i="3"/>
  <c r="F1735" i="3"/>
  <c r="F1736" i="3"/>
  <c r="F1737" i="3"/>
  <c r="F1738" i="3"/>
  <c r="F1739" i="3"/>
  <c r="F1740" i="3"/>
  <c r="F1741" i="3"/>
  <c r="F1742" i="3"/>
  <c r="F1743" i="3"/>
  <c r="F1744" i="3"/>
  <c r="F1745" i="3"/>
  <c r="F1746" i="3"/>
  <c r="F1747" i="3"/>
  <c r="F1748" i="3"/>
  <c r="F1749" i="3"/>
  <c r="F1750" i="3"/>
  <c r="F1751" i="3"/>
  <c r="F1752" i="3"/>
  <c r="F1753" i="3"/>
  <c r="F1754" i="3"/>
  <c r="F1755" i="3"/>
  <c r="F1756" i="3"/>
  <c r="F1757" i="3"/>
  <c r="F1758" i="3"/>
  <c r="F1759" i="3"/>
  <c r="F1760" i="3"/>
  <c r="F1761" i="3"/>
  <c r="F1762" i="3"/>
  <c r="F1763" i="3"/>
  <c r="F1764" i="3"/>
  <c r="F1765" i="3"/>
  <c r="F1766" i="3"/>
  <c r="F1767" i="3"/>
  <c r="F1768" i="3"/>
  <c r="F1769" i="3"/>
  <c r="F1770" i="3"/>
  <c r="F1771" i="3"/>
  <c r="F1772" i="3"/>
  <c r="F1773" i="3"/>
  <c r="F1774" i="3"/>
  <c r="F1775" i="3"/>
  <c r="F1776" i="3"/>
  <c r="F1777" i="3"/>
  <c r="F1778" i="3"/>
  <c r="F1779" i="3"/>
  <c r="F1780" i="3"/>
  <c r="F1781" i="3"/>
  <c r="F1782" i="3"/>
  <c r="F1783" i="3"/>
  <c r="F1784" i="3"/>
  <c r="F1785" i="3"/>
  <c r="F1786" i="3"/>
  <c r="F1787" i="3"/>
  <c r="F1788" i="3"/>
  <c r="F1789" i="3"/>
  <c r="F1790" i="3"/>
  <c r="F1791" i="3"/>
  <c r="F1792" i="3"/>
  <c r="F1793" i="3"/>
  <c r="F1794" i="3"/>
  <c r="F1937" i="3"/>
  <c r="F1938" i="3"/>
  <c r="F1939" i="3"/>
  <c r="F1940" i="3"/>
  <c r="F1941" i="3"/>
  <c r="F1942" i="3"/>
  <c r="F1943" i="3"/>
  <c r="F1944" i="3"/>
  <c r="F1945" i="3"/>
  <c r="F1946" i="3"/>
  <c r="F1947" i="3"/>
  <c r="F1948" i="3"/>
  <c r="F1949" i="3"/>
  <c r="F1950" i="3"/>
  <c r="F1951" i="3"/>
  <c r="F1952" i="3"/>
  <c r="F1953" i="3"/>
  <c r="F1954" i="3"/>
  <c r="F1955" i="3"/>
  <c r="F1956" i="3"/>
  <c r="F1957" i="3"/>
  <c r="F1958" i="3"/>
  <c r="F1959" i="3"/>
  <c r="F1960" i="3"/>
  <c r="F1961" i="3"/>
  <c r="F1962" i="3"/>
  <c r="F1963" i="3"/>
  <c r="F1964" i="3"/>
  <c r="F1965" i="3"/>
  <c r="F1966" i="3"/>
  <c r="F1967" i="3"/>
  <c r="F1968" i="3"/>
  <c r="F1969" i="3"/>
  <c r="F1970" i="3"/>
  <c r="F1971" i="3"/>
  <c r="F1972" i="3"/>
  <c r="F1973" i="3"/>
  <c r="F1974" i="3"/>
  <c r="F1975" i="3"/>
  <c r="F1976" i="3"/>
  <c r="F1977" i="3"/>
  <c r="F1978" i="3"/>
  <c r="F1979" i="3"/>
  <c r="F1980" i="3"/>
  <c r="F1981" i="3"/>
  <c r="F1982" i="3"/>
  <c r="F1983" i="3"/>
  <c r="F1984" i="3"/>
  <c r="F1985" i="3"/>
  <c r="F1986" i="3"/>
  <c r="F1987" i="3"/>
  <c r="F1988" i="3"/>
  <c r="F1989" i="3"/>
  <c r="F1990" i="3"/>
  <c r="F1991" i="3"/>
  <c r="F1992" i="3"/>
  <c r="F1993" i="3"/>
  <c r="F1994" i="3"/>
  <c r="F1995" i="3"/>
  <c r="F1996" i="3"/>
  <c r="F1997" i="3"/>
  <c r="F1998" i="3"/>
  <c r="F1999" i="3"/>
  <c r="F2000" i="3"/>
  <c r="F2001" i="3"/>
  <c r="F2002" i="3"/>
  <c r="F2003" i="3"/>
  <c r="F2004" i="3"/>
  <c r="F2005" i="3"/>
  <c r="F2006" i="3"/>
  <c r="F2007" i="3"/>
  <c r="F2008" i="3"/>
  <c r="F2009" i="3"/>
  <c r="F2010" i="3"/>
  <c r="F2011" i="3"/>
  <c r="F2012" i="3"/>
  <c r="F2013" i="3"/>
  <c r="F2014" i="3"/>
  <c r="F2015" i="3"/>
  <c r="F2016" i="3"/>
  <c r="F2017" i="3"/>
  <c r="F2018" i="3"/>
  <c r="F2019" i="3"/>
  <c r="F2020" i="3"/>
  <c r="F2021" i="3"/>
  <c r="F2022" i="3"/>
  <c r="F2023" i="3"/>
  <c r="F2024" i="3"/>
  <c r="F2025" i="3"/>
  <c r="F2026" i="3"/>
  <c r="F2027" i="3"/>
  <c r="F2028" i="3"/>
  <c r="F2029" i="3"/>
  <c r="F2030" i="3"/>
  <c r="F2031" i="3"/>
  <c r="F2032" i="3"/>
  <c r="F2033" i="3"/>
  <c r="F2034" i="3"/>
  <c r="F2035" i="3"/>
  <c r="F2036" i="3"/>
  <c r="F2037" i="3"/>
  <c r="F2038" i="3"/>
  <c r="F2039" i="3"/>
  <c r="F2040" i="3"/>
  <c r="F2041" i="3"/>
  <c r="F2042" i="3"/>
  <c r="F2043" i="3"/>
  <c r="F2044" i="3"/>
  <c r="F2045" i="3"/>
  <c r="F2046" i="3"/>
  <c r="F2047" i="3"/>
  <c r="F2048" i="3"/>
  <c r="F2049" i="3"/>
  <c r="F2050" i="3"/>
  <c r="F2051" i="3"/>
  <c r="F2052" i="3"/>
  <c r="F2053" i="3"/>
  <c r="F2054" i="3"/>
  <c r="F2055" i="3"/>
  <c r="F2056" i="3"/>
  <c r="F2057" i="3"/>
  <c r="F2058" i="3"/>
  <c r="F2059" i="3"/>
  <c r="F2060" i="3"/>
  <c r="F2061" i="3"/>
  <c r="F2062" i="3"/>
  <c r="F2063" i="3"/>
  <c r="F2064" i="3"/>
  <c r="F2065" i="3"/>
  <c r="F2066" i="3"/>
  <c r="F2067" i="3"/>
  <c r="F2068" i="3"/>
  <c r="F2069" i="3"/>
  <c r="F2070" i="3"/>
  <c r="F2071" i="3"/>
  <c r="F2072" i="3"/>
  <c r="F2073" i="3"/>
  <c r="F2074" i="3"/>
  <c r="F2075" i="3"/>
  <c r="F2076" i="3"/>
  <c r="F2077" i="3"/>
  <c r="F2078" i="3"/>
  <c r="F2079" i="3"/>
  <c r="F2080" i="3"/>
  <c r="F2081" i="3"/>
  <c r="F2082" i="3"/>
  <c r="F2083" i="3"/>
  <c r="F2084" i="3"/>
  <c r="F2085" i="3"/>
  <c r="F2086" i="3"/>
  <c r="F2087" i="3"/>
  <c r="F2088" i="3"/>
  <c r="F2089" i="3"/>
  <c r="F2090" i="3"/>
  <c r="F2091" i="3"/>
  <c r="F2092" i="3"/>
  <c r="F2093" i="3"/>
  <c r="F2094" i="3"/>
  <c r="F2095" i="3"/>
  <c r="F2096" i="3"/>
  <c r="F2097" i="3"/>
  <c r="F2098" i="3"/>
  <c r="F2099" i="3"/>
  <c r="F2100" i="3"/>
  <c r="F2101" i="3"/>
  <c r="F2102" i="3"/>
  <c r="F2103" i="3"/>
  <c r="F2104" i="3"/>
  <c r="F2105" i="3"/>
  <c r="F2106" i="3"/>
  <c r="F2107" i="3"/>
  <c r="F2108" i="3"/>
  <c r="F2109" i="3"/>
  <c r="F2110" i="3"/>
  <c r="F2111" i="3"/>
  <c r="F2112" i="3"/>
  <c r="F2113" i="3"/>
  <c r="F2114" i="3"/>
  <c r="F2115" i="3"/>
  <c r="F2116" i="3"/>
  <c r="F2117" i="3"/>
  <c r="F2118" i="3"/>
  <c r="F2119" i="3"/>
  <c r="F2120" i="3"/>
  <c r="F2121" i="3"/>
  <c r="F2122" i="3"/>
  <c r="F2123" i="3"/>
  <c r="F2124" i="3"/>
  <c r="F2125" i="3"/>
  <c r="F2126" i="3"/>
  <c r="F2127" i="3"/>
  <c r="F2128" i="3"/>
  <c r="F2129" i="3"/>
  <c r="F2130" i="3"/>
  <c r="F2131" i="3"/>
  <c r="F2132" i="3"/>
  <c r="F2133" i="3"/>
  <c r="F2134" i="3"/>
  <c r="F2135" i="3"/>
  <c r="F2136" i="3"/>
  <c r="F2137" i="3"/>
  <c r="F2138" i="3"/>
  <c r="F2139" i="3"/>
  <c r="F2140" i="3"/>
  <c r="F2141" i="3"/>
  <c r="F2142" i="3"/>
  <c r="F2143" i="3"/>
  <c r="F2144" i="3"/>
  <c r="F2145" i="3"/>
  <c r="F2146" i="3"/>
  <c r="F2147" i="3"/>
  <c r="F2148" i="3"/>
  <c r="F2149" i="3"/>
  <c r="F2150" i="3"/>
  <c r="F2151" i="3"/>
  <c r="F2152" i="3"/>
  <c r="F2153" i="3"/>
  <c r="F2154" i="3"/>
  <c r="F2155" i="3"/>
  <c r="F2156" i="3"/>
  <c r="F2157" i="3"/>
  <c r="F2158" i="3"/>
  <c r="F2159" i="3"/>
  <c r="F2160" i="3"/>
  <c r="F2479" i="3"/>
  <c r="F2480" i="3"/>
  <c r="F2481" i="3"/>
  <c r="F2482" i="3"/>
  <c r="F2483" i="3"/>
  <c r="F2484" i="3"/>
  <c r="F2485" i="3"/>
  <c r="F2486" i="3"/>
  <c r="F2487" i="3"/>
  <c r="F2488" i="3"/>
  <c r="F2489" i="3"/>
  <c r="F2490" i="3"/>
  <c r="F2491" i="3"/>
  <c r="F2492" i="3"/>
  <c r="F2493" i="3"/>
  <c r="F2494" i="3"/>
  <c r="F2495" i="3"/>
  <c r="F2496" i="3"/>
  <c r="F2497" i="3"/>
  <c r="F2498" i="3"/>
  <c r="F2499" i="3"/>
  <c r="F2500" i="3"/>
  <c r="F2501" i="3"/>
  <c r="F2502" i="3"/>
  <c r="F2503" i="3"/>
  <c r="F2504" i="3"/>
  <c r="F2505" i="3"/>
  <c r="F2506" i="3"/>
  <c r="F2507" i="3"/>
  <c r="F2508" i="3"/>
  <c r="F2509" i="3"/>
  <c r="F2510" i="3"/>
  <c r="F2511" i="3"/>
  <c r="F2512" i="3"/>
  <c r="F2513" i="3"/>
  <c r="F2514" i="3"/>
  <c r="F2515" i="3"/>
  <c r="F2516" i="3"/>
  <c r="F2517" i="3"/>
  <c r="F2518" i="3"/>
  <c r="F2519" i="3"/>
  <c r="F2520" i="3"/>
  <c r="F2521" i="3"/>
  <c r="F2522" i="3"/>
  <c r="F2523" i="3"/>
  <c r="F2524" i="3"/>
  <c r="F2525" i="3"/>
  <c r="F2526" i="3"/>
  <c r="F2527" i="3"/>
  <c r="F2528" i="3"/>
  <c r="F2529" i="3"/>
  <c r="F2530" i="3"/>
  <c r="F2531" i="3"/>
  <c r="F2532" i="3"/>
  <c r="F2533" i="3"/>
  <c r="F2534" i="3"/>
  <c r="F2535" i="3"/>
  <c r="F2536" i="3"/>
  <c r="F2537" i="3"/>
  <c r="F2538" i="3"/>
  <c r="F2539" i="3"/>
  <c r="F2540" i="3"/>
  <c r="F2541" i="3"/>
  <c r="F2542" i="3"/>
  <c r="F2543" i="3"/>
  <c r="F2544" i="3"/>
  <c r="F2545" i="3"/>
  <c r="F2546" i="3"/>
  <c r="F2547" i="3"/>
  <c r="F2548" i="3"/>
  <c r="F2549" i="3"/>
  <c r="F2550" i="3"/>
  <c r="F2551" i="3"/>
  <c r="F2552" i="3"/>
  <c r="F2553" i="3"/>
  <c r="F2554" i="3"/>
  <c r="F2555" i="3"/>
  <c r="F2556" i="3"/>
  <c r="F2557" i="3"/>
  <c r="F2558" i="3"/>
  <c r="F2559" i="3"/>
  <c r="F2560" i="3"/>
  <c r="F2561" i="3"/>
  <c r="F2562" i="3"/>
  <c r="F2563" i="3"/>
  <c r="F2564" i="3"/>
  <c r="F2565" i="3"/>
  <c r="F2566" i="3"/>
  <c r="F2567" i="3"/>
  <c r="F2568" i="3"/>
  <c r="F2569" i="3"/>
  <c r="F2570" i="3"/>
  <c r="F2571" i="3"/>
  <c r="F2572" i="3"/>
  <c r="F2573" i="3"/>
  <c r="F2574" i="3"/>
  <c r="F2575" i="3"/>
  <c r="F2576" i="3"/>
  <c r="F2577" i="3"/>
  <c r="F2578" i="3"/>
  <c r="F2579" i="3"/>
  <c r="F2580" i="3"/>
  <c r="F2581" i="3"/>
  <c r="F2582" i="3"/>
  <c r="F2583" i="3"/>
  <c r="F2584" i="3"/>
  <c r="F2585" i="3"/>
  <c r="F2586" i="3"/>
  <c r="F2587" i="3"/>
  <c r="F2588" i="3"/>
  <c r="F2589" i="3"/>
  <c r="F2590" i="3"/>
  <c r="F2591" i="3"/>
  <c r="F2592" i="3"/>
  <c r="F2593" i="3"/>
  <c r="F2594" i="3"/>
  <c r="F2595" i="3"/>
  <c r="F2596" i="3"/>
  <c r="F2597" i="3"/>
  <c r="F2598" i="3"/>
  <c r="F2599" i="3"/>
  <c r="F2760" i="3"/>
  <c r="F2761" i="3"/>
  <c r="F2762" i="3"/>
  <c r="F2763" i="3"/>
  <c r="F2764" i="3"/>
  <c r="F2765" i="3"/>
  <c r="F2766" i="3"/>
  <c r="F2767" i="3"/>
  <c r="F2768" i="3"/>
  <c r="F2769" i="3"/>
  <c r="F2770" i="3"/>
  <c r="F2771" i="3"/>
  <c r="F2772" i="3"/>
  <c r="F2773" i="3"/>
  <c r="F2774" i="3"/>
  <c r="F2775" i="3"/>
  <c r="F2776" i="3"/>
  <c r="F2777" i="3"/>
  <c r="F2778" i="3"/>
  <c r="F2779" i="3"/>
  <c r="F2780" i="3"/>
  <c r="F2781" i="3"/>
  <c r="F2782" i="3"/>
  <c r="F2783" i="3"/>
  <c r="F2784" i="3"/>
  <c r="F2785" i="3"/>
  <c r="F2786" i="3"/>
  <c r="F2787" i="3"/>
  <c r="F2788" i="3"/>
  <c r="F2789" i="3"/>
  <c r="F2790" i="3"/>
  <c r="F2791" i="3"/>
  <c r="F2792" i="3"/>
  <c r="F2793" i="3"/>
  <c r="F2794" i="3"/>
  <c r="F2795" i="3"/>
  <c r="F2796" i="3"/>
  <c r="F2797" i="3"/>
  <c r="F2798" i="3"/>
  <c r="F2799" i="3"/>
  <c r="F2800" i="3"/>
  <c r="F2801" i="3"/>
  <c r="F2802" i="3"/>
  <c r="F2803" i="3"/>
  <c r="F2804" i="3"/>
  <c r="F2805" i="3"/>
  <c r="F2806" i="3"/>
  <c r="F2807" i="3"/>
  <c r="F2808" i="3"/>
  <c r="F2809" i="3"/>
  <c r="F2810" i="3"/>
  <c r="F2811" i="3"/>
  <c r="F2812" i="3"/>
  <c r="F3039" i="3"/>
  <c r="A3039" i="3" s="1"/>
  <c r="F3040" i="3"/>
  <c r="A3040" i="3" s="1"/>
  <c r="F3041" i="3"/>
  <c r="A3041" i="3" s="1"/>
  <c r="F3042" i="3"/>
  <c r="A3042" i="3" s="1"/>
  <c r="F3043" i="3"/>
  <c r="A3043" i="3" s="1"/>
  <c r="F3044" i="3"/>
  <c r="A3044" i="3" s="1"/>
  <c r="F3045" i="3"/>
  <c r="A3045" i="3" s="1"/>
  <c r="F3046" i="3"/>
  <c r="A3046" i="3" s="1"/>
  <c r="F3047" i="3"/>
  <c r="A3047" i="3" s="1"/>
  <c r="F3048" i="3"/>
  <c r="A3048" i="3" s="1"/>
  <c r="F3049" i="3"/>
  <c r="A3049" i="3" s="1"/>
  <c r="F3050" i="3"/>
  <c r="A3050" i="3" s="1"/>
  <c r="F3051" i="3"/>
  <c r="A3051" i="3" s="1"/>
  <c r="F3052" i="3"/>
  <c r="A3052" i="3" s="1"/>
  <c r="F3053" i="3"/>
  <c r="A3053" i="3" s="1"/>
  <c r="F3054" i="3"/>
  <c r="A3054" i="3" s="1"/>
  <c r="F3055" i="3"/>
  <c r="A3055" i="3" s="1"/>
  <c r="F3056" i="3"/>
  <c r="A3056" i="3" s="1"/>
  <c r="F3057" i="3"/>
  <c r="A3057" i="3" s="1"/>
  <c r="F3058" i="3"/>
  <c r="A3058" i="3" s="1"/>
  <c r="F3059" i="3"/>
  <c r="A3059" i="3" s="1"/>
  <c r="F3060" i="3"/>
  <c r="A3060" i="3" s="1"/>
  <c r="F3061" i="3"/>
  <c r="A3061" i="3" s="1"/>
  <c r="F3062" i="3"/>
  <c r="A3062" i="3" s="1"/>
  <c r="F3063" i="3"/>
  <c r="A3063" i="3" s="1"/>
  <c r="F3064" i="3"/>
  <c r="A3064" i="3" s="1"/>
  <c r="F3065" i="3"/>
  <c r="A3065" i="3" s="1"/>
  <c r="F3066" i="3"/>
  <c r="A3066" i="3" s="1"/>
  <c r="F3067" i="3"/>
  <c r="A3067" i="3" s="1"/>
  <c r="F3068" i="3"/>
  <c r="A3068" i="3" s="1"/>
  <c r="F3069" i="3"/>
  <c r="A3069" i="3" s="1"/>
  <c r="F3070" i="3"/>
  <c r="A3070" i="3" s="1"/>
  <c r="F3071" i="3"/>
  <c r="A3071" i="3" s="1"/>
  <c r="F3072" i="3"/>
  <c r="A3072" i="3" s="1"/>
  <c r="F3073" i="3"/>
  <c r="A3073" i="3" s="1"/>
  <c r="F3074" i="3"/>
  <c r="A3074" i="3" s="1"/>
  <c r="F3075" i="3"/>
  <c r="A3075" i="3" s="1"/>
  <c r="F3076" i="3"/>
  <c r="A3076" i="3" s="1"/>
  <c r="F3077" i="3"/>
  <c r="A3077" i="3" s="1"/>
  <c r="F3078" i="3"/>
  <c r="A3078" i="3" s="1"/>
  <c r="F3079" i="3"/>
  <c r="A3079" i="3" s="1"/>
  <c r="F3080" i="3"/>
  <c r="A3080" i="3" s="1"/>
  <c r="F3081" i="3"/>
  <c r="A3081" i="3" s="1"/>
  <c r="F3082" i="3"/>
  <c r="A3082" i="3" s="1"/>
  <c r="F3083" i="3"/>
  <c r="A3083" i="3" s="1"/>
  <c r="F3084" i="3"/>
  <c r="A3084" i="3" s="1"/>
  <c r="F3085" i="3"/>
  <c r="A3085" i="3" s="1"/>
  <c r="F3086" i="3"/>
  <c r="A3086" i="3" s="1"/>
  <c r="F3087" i="3"/>
  <c r="A3087" i="3" s="1"/>
  <c r="F3088" i="3"/>
  <c r="A3088" i="3" s="1"/>
  <c r="F3089" i="3"/>
  <c r="A3089" i="3" s="1"/>
  <c r="F3090" i="3"/>
  <c r="A3090" i="3" s="1"/>
  <c r="F3091" i="3"/>
  <c r="A3091" i="3" s="1"/>
  <c r="F3092" i="3"/>
  <c r="A3092" i="3" s="1"/>
  <c r="F3093" i="3"/>
  <c r="A3093" i="3" s="1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2728" i="3"/>
  <c r="F2729" i="3"/>
  <c r="F2730" i="3"/>
  <c r="F2731" i="3"/>
  <c r="F2732" i="3"/>
  <c r="F2733" i="3"/>
  <c r="F2734" i="3"/>
  <c r="F2735" i="3"/>
  <c r="F2736" i="3"/>
  <c r="F2737" i="3"/>
  <c r="F2738" i="3"/>
  <c r="F2739" i="3"/>
  <c r="F2740" i="3"/>
  <c r="F2741" i="3"/>
  <c r="F2742" i="3"/>
  <c r="F2743" i="3"/>
  <c r="F2744" i="3"/>
  <c r="F2745" i="3"/>
  <c r="F2746" i="3"/>
  <c r="F2747" i="3"/>
  <c r="F2748" i="3"/>
  <c r="F2749" i="3"/>
  <c r="F2750" i="3"/>
  <c r="F2751" i="3"/>
  <c r="F2752" i="3"/>
  <c r="F2753" i="3"/>
  <c r="F2754" i="3"/>
  <c r="F2755" i="3"/>
  <c r="F2756" i="3"/>
  <c r="F2757" i="3"/>
  <c r="F2758" i="3"/>
  <c r="F2759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2371" i="3"/>
  <c r="F2372" i="3"/>
  <c r="F2373" i="3"/>
  <c r="F2374" i="3"/>
  <c r="F2375" i="3"/>
  <c r="F2376" i="3"/>
  <c r="F2377" i="3"/>
  <c r="F2378" i="3"/>
  <c r="F2379" i="3"/>
  <c r="F2380" i="3"/>
  <c r="F2381" i="3"/>
  <c r="F2382" i="3"/>
  <c r="F2383" i="3"/>
  <c r="F2384" i="3"/>
  <c r="F2385" i="3"/>
  <c r="F2386" i="3"/>
  <c r="F2387" i="3"/>
  <c r="F2388" i="3"/>
  <c r="F2389" i="3"/>
  <c r="F2390" i="3"/>
  <c r="F2391" i="3"/>
  <c r="F2392" i="3"/>
  <c r="F2393" i="3"/>
  <c r="F2394" i="3"/>
  <c r="F2395" i="3"/>
  <c r="F2396" i="3"/>
  <c r="F2397" i="3"/>
  <c r="F2398" i="3"/>
  <c r="F2399" i="3"/>
  <c r="F2400" i="3"/>
  <c r="F2401" i="3"/>
  <c r="F2402" i="3"/>
  <c r="F2403" i="3"/>
  <c r="F2404" i="3"/>
  <c r="F2405" i="3"/>
  <c r="F2406" i="3"/>
  <c r="F2407" i="3"/>
  <c r="F2408" i="3"/>
  <c r="F2409" i="3"/>
  <c r="F2410" i="3"/>
  <c r="F1795" i="3"/>
  <c r="F1796" i="3"/>
  <c r="F1797" i="3"/>
  <c r="F1798" i="3"/>
  <c r="F1799" i="3"/>
  <c r="F1800" i="3"/>
  <c r="F1801" i="3"/>
  <c r="F1802" i="3"/>
  <c r="F1803" i="3"/>
  <c r="F1804" i="3"/>
  <c r="F1805" i="3"/>
  <c r="F1806" i="3"/>
  <c r="F1807" i="3"/>
  <c r="F1808" i="3"/>
  <c r="F1809" i="3"/>
  <c r="F1810" i="3"/>
  <c r="F1811" i="3"/>
  <c r="F1812" i="3"/>
  <c r="F1813" i="3"/>
  <c r="F1814" i="3"/>
  <c r="F1815" i="3"/>
  <c r="F1816" i="3"/>
  <c r="F1817" i="3"/>
  <c r="F1818" i="3"/>
  <c r="F1819" i="3"/>
  <c r="F1820" i="3"/>
  <c r="F1821" i="3"/>
  <c r="F1822" i="3"/>
  <c r="F1823" i="3"/>
  <c r="F1824" i="3"/>
  <c r="F1825" i="3"/>
  <c r="F1826" i="3"/>
  <c r="F1261" i="3"/>
  <c r="F1262" i="3"/>
  <c r="F1263" i="3"/>
  <c r="F1264" i="3"/>
  <c r="F1265" i="3"/>
  <c r="F1266" i="3"/>
  <c r="F1267" i="3"/>
  <c r="F1268" i="3"/>
  <c r="F1269" i="3"/>
  <c r="F1270" i="3"/>
  <c r="F1271" i="3"/>
  <c r="F1272" i="3"/>
  <c r="F1273" i="3"/>
  <c r="F1274" i="3"/>
  <c r="F1275" i="3"/>
  <c r="F1276" i="3"/>
  <c r="F1277" i="3"/>
  <c r="F1278" i="3"/>
  <c r="F1279" i="3"/>
  <c r="F1280" i="3"/>
  <c r="F1281" i="3"/>
  <c r="F1282" i="3"/>
  <c r="F1283" i="3"/>
  <c r="F1284" i="3"/>
  <c r="F1285" i="3"/>
  <c r="F1286" i="3"/>
  <c r="F1287" i="3"/>
  <c r="F1288" i="3"/>
  <c r="F1289" i="3"/>
  <c r="F1290" i="3"/>
  <c r="F1291" i="3"/>
  <c r="F1292" i="3"/>
  <c r="F1293" i="3"/>
  <c r="F1655" i="3"/>
  <c r="F1656" i="3"/>
  <c r="F1657" i="3"/>
  <c r="F1658" i="3"/>
  <c r="F1659" i="3"/>
  <c r="F1660" i="3"/>
  <c r="F1661" i="3"/>
  <c r="F1662" i="3"/>
  <c r="F1663" i="3"/>
  <c r="F1664" i="3"/>
  <c r="F1665" i="3"/>
  <c r="F1666" i="3"/>
  <c r="F1667" i="3"/>
  <c r="F1668" i="3"/>
  <c r="F1669" i="3"/>
  <c r="F1670" i="3"/>
  <c r="F1671" i="3"/>
  <c r="F1672" i="3"/>
  <c r="F1673" i="3"/>
  <c r="F1674" i="3"/>
  <c r="F1675" i="3"/>
  <c r="F1676" i="3"/>
  <c r="F1677" i="3"/>
  <c r="F1678" i="3"/>
  <c r="F1679" i="3"/>
  <c r="F1680" i="3"/>
  <c r="F1681" i="3"/>
  <c r="F1682" i="3"/>
  <c r="F1683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3141" i="3"/>
  <c r="A3141" i="3" s="1"/>
  <c r="F3142" i="3"/>
  <c r="A3142" i="3" s="1"/>
  <c r="F3143" i="3"/>
  <c r="A3143" i="3" s="1"/>
  <c r="F3144" i="3"/>
  <c r="A3144" i="3" s="1"/>
  <c r="F3145" i="3"/>
  <c r="A3145" i="3" s="1"/>
  <c r="F3146" i="3"/>
  <c r="A3146" i="3" s="1"/>
  <c r="F3147" i="3"/>
  <c r="A3147" i="3" s="1"/>
  <c r="F3148" i="3"/>
  <c r="A3148" i="3" s="1"/>
  <c r="F3149" i="3"/>
  <c r="A3149" i="3" s="1"/>
  <c r="F3150" i="3"/>
  <c r="A3150" i="3" s="1"/>
  <c r="F3151" i="3"/>
  <c r="A3151" i="3" s="1"/>
  <c r="F3152" i="3"/>
  <c r="A3152" i="3" s="1"/>
  <c r="F3153" i="3"/>
  <c r="A3153" i="3" s="1"/>
  <c r="F3154" i="3"/>
  <c r="A3154" i="3" s="1"/>
  <c r="F3155" i="3"/>
  <c r="A3155" i="3" s="1"/>
  <c r="F3156" i="3"/>
  <c r="A3156" i="3" s="1"/>
  <c r="F3157" i="3"/>
  <c r="A3157" i="3" s="1"/>
  <c r="F3158" i="3"/>
  <c r="A3158" i="3" s="1"/>
  <c r="F3159" i="3"/>
  <c r="A3159" i="3" s="1"/>
  <c r="F3160" i="3"/>
  <c r="A3160" i="3" s="1"/>
  <c r="F3161" i="3"/>
  <c r="A3161" i="3" s="1"/>
  <c r="F3162" i="3"/>
  <c r="A3162" i="3" s="1"/>
  <c r="F3163" i="3"/>
  <c r="A3163" i="3" s="1"/>
  <c r="F3164" i="3"/>
  <c r="A3164" i="3" s="1"/>
  <c r="F3165" i="3"/>
  <c r="A3165" i="3" s="1"/>
  <c r="F3166" i="3"/>
  <c r="A3166" i="3" s="1"/>
  <c r="F3167" i="3"/>
  <c r="A3167" i="3" s="1"/>
  <c r="F3168" i="3"/>
  <c r="A3168" i="3" s="1"/>
  <c r="F3169" i="3"/>
  <c r="A3169" i="3" s="1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1555" i="3"/>
  <c r="F1556" i="3"/>
  <c r="F1557" i="3"/>
  <c r="F1558" i="3"/>
  <c r="F1559" i="3"/>
  <c r="F1560" i="3"/>
  <c r="F1561" i="3"/>
  <c r="F1562" i="3"/>
  <c r="F1563" i="3"/>
  <c r="F1564" i="3"/>
  <c r="F1565" i="3"/>
  <c r="F1566" i="3"/>
  <c r="F1567" i="3"/>
  <c r="F1568" i="3"/>
  <c r="F1569" i="3"/>
  <c r="F1570" i="3"/>
  <c r="F1571" i="3"/>
  <c r="F1572" i="3"/>
  <c r="F1573" i="3"/>
  <c r="F1574" i="3"/>
  <c r="F1575" i="3"/>
  <c r="F1576" i="3"/>
  <c r="F1577" i="3"/>
  <c r="F1578" i="3"/>
  <c r="F1579" i="3"/>
  <c r="F1580" i="3"/>
  <c r="F1581" i="3"/>
  <c r="F1582" i="3"/>
  <c r="F1583" i="3"/>
  <c r="F1584" i="3"/>
  <c r="F1585" i="3"/>
  <c r="F1586" i="3"/>
  <c r="F1587" i="3"/>
  <c r="F1588" i="3"/>
  <c r="F1589" i="3"/>
  <c r="F1590" i="3"/>
  <c r="F1591" i="3"/>
  <c r="F1592" i="3"/>
  <c r="F1593" i="3"/>
  <c r="F1594" i="3"/>
  <c r="F1595" i="3"/>
  <c r="F1596" i="3"/>
  <c r="F1597" i="3"/>
  <c r="F1598" i="3"/>
  <c r="F1599" i="3"/>
  <c r="F1600" i="3"/>
  <c r="F1601" i="3"/>
  <c r="F1602" i="3"/>
  <c r="F1603" i="3"/>
  <c r="F1604" i="3"/>
  <c r="F1605" i="3"/>
  <c r="F1606" i="3"/>
  <c r="F1607" i="3"/>
  <c r="F1392" i="3"/>
  <c r="F1393" i="3"/>
  <c r="F1394" i="3"/>
  <c r="F1395" i="3"/>
  <c r="F1396" i="3"/>
  <c r="F1397" i="3"/>
  <c r="F1398" i="3"/>
  <c r="F1399" i="3"/>
  <c r="F1400" i="3"/>
  <c r="F1401" i="3"/>
  <c r="F1402" i="3"/>
  <c r="F1403" i="3"/>
  <c r="F1404" i="3"/>
  <c r="F1405" i="3"/>
  <c r="F1406" i="3"/>
  <c r="F1407" i="3"/>
  <c r="F1408" i="3"/>
  <c r="F1409" i="3"/>
  <c r="F1410" i="3"/>
  <c r="F1411" i="3"/>
  <c r="F1412" i="3"/>
  <c r="F1413" i="3"/>
  <c r="F1414" i="3"/>
  <c r="F1415" i="3"/>
  <c r="F1416" i="3"/>
  <c r="F1417" i="3"/>
  <c r="F1418" i="3"/>
  <c r="F1419" i="3"/>
  <c r="F1420" i="3"/>
  <c r="F1421" i="3"/>
  <c r="F1422" i="3"/>
  <c r="F1423" i="3"/>
  <c r="F1424" i="3"/>
  <c r="F1425" i="3"/>
  <c r="F1426" i="3"/>
  <c r="F1427" i="3"/>
  <c r="F1428" i="3"/>
  <c r="F1429" i="3"/>
  <c r="F1430" i="3"/>
  <c r="F1431" i="3"/>
  <c r="F1432" i="3"/>
  <c r="F1433" i="3"/>
  <c r="F1434" i="3"/>
  <c r="F1435" i="3"/>
  <c r="F143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1061" i="3"/>
  <c r="F1062" i="3"/>
  <c r="F1063" i="3"/>
  <c r="F1064" i="3"/>
  <c r="F1065" i="3"/>
  <c r="F1066" i="3"/>
  <c r="F1067" i="3"/>
  <c r="F1068" i="3"/>
  <c r="F1069" i="3"/>
  <c r="F1070" i="3"/>
  <c r="F1071" i="3"/>
  <c r="F1072" i="3"/>
  <c r="F1073" i="3"/>
  <c r="F1074" i="3"/>
  <c r="F1075" i="3"/>
  <c r="F1076" i="3"/>
  <c r="F1077" i="3"/>
  <c r="F1078" i="3"/>
  <c r="F1079" i="3"/>
  <c r="F1080" i="3"/>
  <c r="F1081" i="3"/>
  <c r="F1082" i="3"/>
  <c r="F1083" i="3"/>
  <c r="F1084" i="3"/>
  <c r="F1085" i="3"/>
  <c r="F1086" i="3"/>
  <c r="F1087" i="3"/>
  <c r="F1088" i="3"/>
  <c r="F1089" i="3"/>
  <c r="F1090" i="3"/>
  <c r="F1091" i="3"/>
  <c r="F1092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2638" i="3"/>
  <c r="F2639" i="3"/>
  <c r="F2640" i="3"/>
  <c r="F2641" i="3"/>
  <c r="F2642" i="3"/>
  <c r="F2643" i="3"/>
  <c r="F2644" i="3"/>
  <c r="F2645" i="3"/>
  <c r="F2646" i="3"/>
  <c r="F2647" i="3"/>
  <c r="F2648" i="3"/>
  <c r="F2649" i="3"/>
  <c r="F2650" i="3"/>
  <c r="F2651" i="3"/>
  <c r="F2652" i="3"/>
  <c r="F2653" i="3"/>
  <c r="F2654" i="3"/>
  <c r="F2655" i="3"/>
  <c r="F2656" i="3"/>
  <c r="F2657" i="3"/>
  <c r="F2658" i="3"/>
  <c r="F2659" i="3"/>
  <c r="F2660" i="3"/>
  <c r="F2661" i="3"/>
  <c r="F2662" i="3"/>
  <c r="F2663" i="3"/>
  <c r="F2664" i="3"/>
  <c r="F2665" i="3"/>
  <c r="F2666" i="3"/>
  <c r="F2667" i="3"/>
  <c r="F2668" i="3"/>
  <c r="F2669" i="3"/>
  <c r="F2670" i="3"/>
  <c r="F2671" i="3"/>
  <c r="F2672" i="3"/>
  <c r="F2673" i="3"/>
  <c r="F2674" i="3"/>
  <c r="F2675" i="3"/>
  <c r="F2676" i="3"/>
  <c r="F2677" i="3"/>
  <c r="F2678" i="3"/>
  <c r="F2679" i="3"/>
  <c r="F2680" i="3"/>
  <c r="F2681" i="3"/>
  <c r="F2682" i="3"/>
  <c r="F2683" i="3"/>
  <c r="F2684" i="3"/>
  <c r="F2685" i="3"/>
  <c r="F2686" i="3"/>
  <c r="F2687" i="3"/>
  <c r="F2688" i="3"/>
  <c r="F2689" i="3"/>
  <c r="F2690" i="3"/>
  <c r="F2691" i="3"/>
  <c r="F2692" i="3"/>
  <c r="F2693" i="3"/>
  <c r="F2694" i="3"/>
  <c r="F2695" i="3"/>
  <c r="F2600" i="3"/>
  <c r="F2601" i="3"/>
  <c r="F2602" i="3"/>
  <c r="F2603" i="3"/>
  <c r="F2604" i="3"/>
  <c r="F2605" i="3"/>
  <c r="F2606" i="3"/>
  <c r="F2607" i="3"/>
  <c r="F2608" i="3"/>
  <c r="F2609" i="3"/>
  <c r="F2610" i="3"/>
  <c r="F2611" i="3"/>
  <c r="F2612" i="3"/>
  <c r="F2613" i="3"/>
  <c r="F2614" i="3"/>
  <c r="F2615" i="3"/>
  <c r="F2616" i="3"/>
  <c r="F2617" i="3"/>
  <c r="F2618" i="3"/>
  <c r="F2619" i="3"/>
  <c r="F2620" i="3"/>
  <c r="F2621" i="3"/>
  <c r="F2622" i="3"/>
  <c r="F2623" i="3"/>
  <c r="F2624" i="3"/>
  <c r="F2625" i="3"/>
  <c r="F2626" i="3"/>
  <c r="F2627" i="3"/>
  <c r="F2628" i="3"/>
  <c r="F2629" i="3"/>
  <c r="F2630" i="3"/>
  <c r="F2631" i="3"/>
  <c r="F2632" i="3"/>
  <c r="F2633" i="3"/>
  <c r="F2634" i="3"/>
  <c r="F2635" i="3"/>
  <c r="F2636" i="3"/>
  <c r="F2637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2813" i="3"/>
  <c r="F2814" i="3"/>
  <c r="F2815" i="3"/>
  <c r="F2816" i="3"/>
  <c r="F2817" i="3"/>
  <c r="F2818" i="3"/>
  <c r="F2819" i="3"/>
  <c r="F2820" i="3"/>
  <c r="F2821" i="3"/>
  <c r="F2822" i="3"/>
  <c r="F2823" i="3"/>
  <c r="F2824" i="3"/>
  <c r="F2825" i="3"/>
  <c r="F2826" i="3"/>
  <c r="F2827" i="3"/>
  <c r="F2828" i="3"/>
  <c r="F2829" i="3"/>
  <c r="F2830" i="3"/>
  <c r="F2831" i="3"/>
  <c r="F2832" i="3"/>
  <c r="F2833" i="3"/>
  <c r="F2834" i="3"/>
  <c r="F2835" i="3"/>
  <c r="F2836" i="3"/>
  <c r="F2837" i="3"/>
  <c r="F2838" i="3"/>
  <c r="F2839" i="3"/>
  <c r="F2840" i="3"/>
  <c r="F2841" i="3"/>
  <c r="F2842" i="3"/>
  <c r="F2843" i="3"/>
  <c r="F2844" i="3"/>
  <c r="F2845" i="3"/>
  <c r="F2846" i="3"/>
  <c r="F2847" i="3"/>
  <c r="F2848" i="3"/>
  <c r="F2849" i="3"/>
  <c r="F2850" i="3"/>
  <c r="F2851" i="3"/>
  <c r="F2852" i="3"/>
  <c r="F2853" i="3"/>
  <c r="F2854" i="3"/>
  <c r="F2855" i="3"/>
  <c r="F2856" i="3"/>
  <c r="F2857" i="3"/>
  <c r="F2858" i="3"/>
  <c r="F2859" i="3"/>
  <c r="F2860" i="3"/>
  <c r="F2861" i="3"/>
  <c r="F2862" i="3"/>
  <c r="F2863" i="3"/>
  <c r="F2864" i="3"/>
  <c r="F2865" i="3"/>
  <c r="F2866" i="3"/>
  <c r="F2867" i="3"/>
  <c r="F2868" i="3"/>
  <c r="F2869" i="3"/>
  <c r="F2870" i="3"/>
  <c r="F2871" i="3"/>
  <c r="F1905" i="3"/>
  <c r="F1906" i="3"/>
  <c r="F1907" i="3"/>
  <c r="F1908" i="3"/>
  <c r="F1909" i="3"/>
  <c r="F1910" i="3"/>
  <c r="F1911" i="3"/>
  <c r="F1912" i="3"/>
  <c r="F1913" i="3"/>
  <c r="F1914" i="3"/>
  <c r="F1915" i="3"/>
  <c r="F1916" i="3"/>
  <c r="F1917" i="3"/>
  <c r="F1918" i="3"/>
  <c r="F1919" i="3"/>
  <c r="F1920" i="3"/>
  <c r="F1921" i="3"/>
  <c r="F1922" i="3"/>
  <c r="F1923" i="3"/>
  <c r="F1924" i="3"/>
  <c r="F1925" i="3"/>
  <c r="F1926" i="3"/>
  <c r="F1927" i="3"/>
  <c r="F1928" i="3"/>
  <c r="F1929" i="3"/>
  <c r="F1930" i="3"/>
  <c r="F1931" i="3"/>
  <c r="F1932" i="3"/>
  <c r="F1933" i="3"/>
  <c r="F1934" i="3"/>
  <c r="F1935" i="3"/>
  <c r="F1936" i="3"/>
  <c r="F2908" i="3"/>
  <c r="F2909" i="3"/>
  <c r="F2910" i="3"/>
  <c r="F2911" i="3"/>
  <c r="F2912" i="3"/>
  <c r="F2913" i="3"/>
  <c r="F2914" i="3"/>
  <c r="F2915" i="3"/>
  <c r="F2916" i="3"/>
  <c r="F2917" i="3"/>
  <c r="F2918" i="3"/>
  <c r="F2919" i="3"/>
  <c r="F2920" i="3"/>
  <c r="F2921" i="3"/>
  <c r="F2922" i="3"/>
  <c r="F2923" i="3"/>
  <c r="F2924" i="3"/>
  <c r="F2925" i="3"/>
  <c r="F2926" i="3"/>
  <c r="F2927" i="3"/>
  <c r="F2928" i="3"/>
  <c r="F2929" i="3"/>
  <c r="F2930" i="3"/>
  <c r="F2931" i="3"/>
  <c r="F2932" i="3"/>
  <c r="F2933" i="3"/>
  <c r="F2934" i="3"/>
  <c r="F2935" i="3"/>
  <c r="F2936" i="3"/>
  <c r="F2937" i="3"/>
  <c r="F2938" i="3"/>
  <c r="F2939" i="3"/>
  <c r="F2940" i="3"/>
  <c r="F2941" i="3"/>
  <c r="F2942" i="3"/>
  <c r="F2943" i="3"/>
  <c r="F2944" i="3"/>
  <c r="F1352" i="3"/>
  <c r="F1353" i="3"/>
  <c r="F1354" i="3"/>
  <c r="F1355" i="3"/>
  <c r="F1356" i="3"/>
  <c r="F1357" i="3"/>
  <c r="F1358" i="3"/>
  <c r="F1359" i="3"/>
  <c r="F1360" i="3"/>
  <c r="F1361" i="3"/>
  <c r="F1362" i="3"/>
  <c r="F1363" i="3"/>
  <c r="F1364" i="3"/>
  <c r="F1365" i="3"/>
  <c r="F1366" i="3"/>
  <c r="F1367" i="3"/>
  <c r="F1368" i="3"/>
  <c r="F1369" i="3"/>
  <c r="F1370" i="3"/>
  <c r="F1371" i="3"/>
  <c r="F1372" i="3"/>
  <c r="F1373" i="3"/>
  <c r="F1374" i="3"/>
  <c r="F1375" i="3"/>
  <c r="F1376" i="3"/>
  <c r="F1377" i="3"/>
  <c r="F1378" i="3"/>
  <c r="F1379" i="3"/>
  <c r="F1380" i="3"/>
  <c r="F1381" i="3"/>
  <c r="F1382" i="3"/>
  <c r="F1383" i="3"/>
  <c r="F1384" i="3"/>
  <c r="F1385" i="3"/>
  <c r="F1386" i="3"/>
  <c r="F1387" i="3"/>
  <c r="F1388" i="3"/>
  <c r="F1389" i="3"/>
  <c r="F1390" i="3"/>
  <c r="F1391" i="3"/>
  <c r="F1531" i="3"/>
  <c r="F1532" i="3"/>
  <c r="F1533" i="3"/>
  <c r="F1534" i="3"/>
  <c r="F1535" i="3"/>
  <c r="F1536" i="3"/>
  <c r="F1537" i="3"/>
  <c r="F1538" i="3"/>
  <c r="F1539" i="3"/>
  <c r="F1540" i="3"/>
  <c r="F1541" i="3"/>
  <c r="F1542" i="3"/>
  <c r="F1543" i="3"/>
  <c r="F1544" i="3"/>
  <c r="F1545" i="3"/>
  <c r="F1546" i="3"/>
  <c r="F1547" i="3"/>
  <c r="F1548" i="3"/>
  <c r="F1549" i="3"/>
  <c r="F1550" i="3"/>
  <c r="F1551" i="3"/>
  <c r="F1552" i="3"/>
  <c r="F1553" i="3"/>
  <c r="F1554" i="3"/>
  <c r="F2269" i="3"/>
  <c r="F2270" i="3"/>
  <c r="F2271" i="3"/>
  <c r="F2272" i="3"/>
  <c r="F2273" i="3"/>
  <c r="F2274" i="3"/>
  <c r="F2275" i="3"/>
  <c r="F2276" i="3"/>
  <c r="F2277" i="3"/>
  <c r="F2278" i="3"/>
  <c r="F2279" i="3"/>
  <c r="F2280" i="3"/>
  <c r="F2281" i="3"/>
  <c r="F2282" i="3"/>
  <c r="F2283" i="3"/>
  <c r="F2284" i="3"/>
  <c r="F2285" i="3"/>
  <c r="F2286" i="3"/>
  <c r="F2287" i="3"/>
  <c r="F2288" i="3"/>
  <c r="F2289" i="3"/>
  <c r="F2290" i="3"/>
  <c r="F2291" i="3"/>
  <c r="F2292" i="3"/>
  <c r="F2293" i="3"/>
  <c r="F2294" i="3"/>
  <c r="F2295" i="3"/>
  <c r="F2296" i="3"/>
  <c r="F2297" i="3"/>
  <c r="F2298" i="3"/>
  <c r="F2299" i="3"/>
  <c r="F2300" i="3"/>
  <c r="F2301" i="3"/>
  <c r="F2302" i="3"/>
  <c r="F2303" i="3"/>
  <c r="F2304" i="3"/>
  <c r="F2305" i="3"/>
  <c r="F2306" i="3"/>
  <c r="F2307" i="3"/>
  <c r="F2308" i="3"/>
  <c r="F2309" i="3"/>
  <c r="F2310" i="3"/>
  <c r="F2311" i="3"/>
  <c r="F2312" i="3"/>
  <c r="F2313" i="3"/>
  <c r="F2314" i="3"/>
  <c r="F2315" i="3"/>
  <c r="F2316" i="3"/>
  <c r="F2317" i="3"/>
  <c r="F2318" i="3"/>
  <c r="F2319" i="3"/>
  <c r="F2320" i="3"/>
  <c r="F2321" i="3"/>
  <c r="F2322" i="3"/>
  <c r="F2323" i="3"/>
  <c r="F2324" i="3"/>
  <c r="F2325" i="3"/>
  <c r="F2326" i="3"/>
  <c r="F2327" i="3"/>
  <c r="F2328" i="3"/>
  <c r="F2329" i="3"/>
  <c r="F2330" i="3"/>
  <c r="F2331" i="3"/>
  <c r="F2332" i="3"/>
  <c r="F2333" i="3"/>
  <c r="F2334" i="3"/>
  <c r="F2335" i="3"/>
  <c r="F2336" i="3"/>
  <c r="F2337" i="3"/>
  <c r="F2338" i="3"/>
  <c r="F2339" i="3"/>
  <c r="F2340" i="3"/>
  <c r="F2341" i="3"/>
  <c r="F2342" i="3"/>
  <c r="F2343" i="3"/>
  <c r="F2344" i="3"/>
  <c r="F2345" i="3"/>
  <c r="F2346" i="3"/>
  <c r="F2347" i="3"/>
  <c r="F2348" i="3"/>
  <c r="F2349" i="3"/>
  <c r="F2350" i="3"/>
  <c r="F2351" i="3"/>
  <c r="F2352" i="3"/>
  <c r="F2353" i="3"/>
  <c r="F2354" i="3"/>
  <c r="F2355" i="3"/>
  <c r="F2356" i="3"/>
  <c r="F2357" i="3"/>
  <c r="F2358" i="3"/>
  <c r="F2359" i="3"/>
  <c r="F2360" i="3"/>
  <c r="F2361" i="3"/>
  <c r="F2362" i="3"/>
  <c r="F2363" i="3"/>
  <c r="F2364" i="3"/>
  <c r="F2365" i="3"/>
  <c r="F2366" i="3"/>
  <c r="F2367" i="3"/>
  <c r="F2368" i="3"/>
  <c r="F2369" i="3"/>
  <c r="F2370" i="3"/>
  <c r="F2696" i="3"/>
  <c r="F2697" i="3"/>
  <c r="F2698" i="3"/>
  <c r="F2699" i="3"/>
  <c r="F2700" i="3"/>
  <c r="F2701" i="3"/>
  <c r="F2702" i="3"/>
  <c r="F2703" i="3"/>
  <c r="F2704" i="3"/>
  <c r="F2705" i="3"/>
  <c r="F2706" i="3"/>
  <c r="F2707" i="3"/>
  <c r="F2708" i="3"/>
  <c r="F2709" i="3"/>
  <c r="F2710" i="3"/>
  <c r="F2711" i="3"/>
  <c r="F2712" i="3"/>
  <c r="F2713" i="3"/>
  <c r="F2714" i="3"/>
  <c r="F2715" i="3"/>
  <c r="F2716" i="3"/>
  <c r="F2717" i="3"/>
  <c r="F2718" i="3"/>
  <c r="F2719" i="3"/>
  <c r="F2720" i="3"/>
  <c r="F2721" i="3"/>
  <c r="F2722" i="3"/>
  <c r="F2723" i="3"/>
  <c r="F2724" i="3"/>
  <c r="F2725" i="3"/>
  <c r="F2726" i="3"/>
  <c r="F2727" i="3"/>
  <c r="G1827" i="3"/>
  <c r="G1828" i="3"/>
  <c r="G1829" i="3"/>
  <c r="G1830" i="3"/>
  <c r="G1831" i="3"/>
  <c r="G1832" i="3"/>
  <c r="G1833" i="3"/>
  <c r="G1834" i="3"/>
  <c r="G1835" i="3"/>
  <c r="G1836" i="3"/>
  <c r="G1837" i="3"/>
  <c r="G1838" i="3"/>
  <c r="G1839" i="3"/>
  <c r="G1840" i="3"/>
  <c r="G1841" i="3"/>
  <c r="G1842" i="3"/>
  <c r="G1843" i="3"/>
  <c r="G1844" i="3"/>
  <c r="G1845" i="3"/>
  <c r="G1846" i="3"/>
  <c r="G1847" i="3"/>
  <c r="G1848" i="3"/>
  <c r="G1849" i="3"/>
  <c r="G1850" i="3"/>
  <c r="G1851" i="3"/>
  <c r="G1852" i="3"/>
  <c r="G1853" i="3"/>
  <c r="G1854" i="3"/>
  <c r="G1855" i="3"/>
  <c r="G1856" i="3"/>
  <c r="G1857" i="3"/>
  <c r="G1858" i="3"/>
  <c r="G1859" i="3"/>
  <c r="G1860" i="3"/>
  <c r="G1861" i="3"/>
  <c r="G1862" i="3"/>
  <c r="G1863" i="3"/>
  <c r="G1864" i="3"/>
  <c r="G1865" i="3"/>
  <c r="G1866" i="3"/>
  <c r="G1867" i="3"/>
  <c r="G1868" i="3"/>
  <c r="G1869" i="3"/>
  <c r="G1870" i="3"/>
  <c r="G1871" i="3"/>
  <c r="G1872" i="3"/>
  <c r="G18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3202" i="3"/>
  <c r="G3203" i="3"/>
  <c r="G3204" i="3"/>
  <c r="G3205" i="3"/>
  <c r="G3206" i="3"/>
  <c r="G3207" i="3"/>
  <c r="G3208" i="3"/>
  <c r="G3209" i="3"/>
  <c r="G3210" i="3"/>
  <c r="G3211" i="3"/>
  <c r="G3212" i="3"/>
  <c r="G3213" i="3"/>
  <c r="G3214" i="3"/>
  <c r="G3215" i="3"/>
  <c r="G3216" i="3"/>
  <c r="G3217" i="3"/>
  <c r="G3218" i="3"/>
  <c r="G3219" i="3"/>
  <c r="G3220" i="3"/>
  <c r="G3221" i="3"/>
  <c r="G3222" i="3"/>
  <c r="G3223" i="3"/>
  <c r="G3224" i="3"/>
  <c r="G3225" i="3"/>
  <c r="G3226" i="3"/>
  <c r="G3227" i="3"/>
  <c r="G3228" i="3"/>
  <c r="G3229" i="3"/>
  <c r="G3230" i="3"/>
  <c r="G3231" i="3"/>
  <c r="G3232" i="3"/>
  <c r="G3233" i="3"/>
  <c r="G3234" i="3"/>
  <c r="G3235" i="3"/>
  <c r="G3236" i="3"/>
  <c r="G3237" i="3"/>
  <c r="G3238" i="3"/>
  <c r="G3239" i="3"/>
  <c r="G3240" i="3"/>
  <c r="G3241" i="3"/>
  <c r="G3242" i="3"/>
  <c r="G3243" i="3"/>
  <c r="G3244" i="3"/>
  <c r="G3245" i="3"/>
  <c r="G2945" i="3"/>
  <c r="G2946" i="3"/>
  <c r="G2947" i="3"/>
  <c r="G2948" i="3"/>
  <c r="G2949" i="3"/>
  <c r="G2950" i="3"/>
  <c r="G2951" i="3"/>
  <c r="G2952" i="3"/>
  <c r="G2953" i="3"/>
  <c r="G2954" i="3"/>
  <c r="G2955" i="3"/>
  <c r="G2956" i="3"/>
  <c r="G2957" i="3"/>
  <c r="G2958" i="3"/>
  <c r="G2959" i="3"/>
  <c r="G2960" i="3"/>
  <c r="G2961" i="3"/>
  <c r="G2962" i="3"/>
  <c r="G2963" i="3"/>
  <c r="G2964" i="3"/>
  <c r="G2965" i="3"/>
  <c r="G2966" i="3"/>
  <c r="G2967" i="3"/>
  <c r="G2968" i="3"/>
  <c r="G2969" i="3"/>
  <c r="G2970" i="3"/>
  <c r="G2971" i="3"/>
  <c r="G2972" i="3"/>
  <c r="G2973" i="3"/>
  <c r="G2974" i="3"/>
  <c r="G2975" i="3"/>
  <c r="G2976" i="3"/>
  <c r="G2977" i="3"/>
  <c r="G2978" i="3"/>
  <c r="G2979" i="3"/>
  <c r="G2980" i="3"/>
  <c r="G2981" i="3"/>
  <c r="G2982" i="3"/>
  <c r="G2983" i="3"/>
  <c r="G2984" i="3"/>
  <c r="G2985" i="3"/>
  <c r="G2986" i="3"/>
  <c r="G2987" i="3"/>
  <c r="G2988" i="3"/>
  <c r="G2989" i="3"/>
  <c r="G3094" i="3"/>
  <c r="G3095" i="3"/>
  <c r="G3096" i="3"/>
  <c r="G3097" i="3"/>
  <c r="G3098" i="3"/>
  <c r="G3099" i="3"/>
  <c r="G3100" i="3"/>
  <c r="G3101" i="3"/>
  <c r="G3102" i="3"/>
  <c r="G3103" i="3"/>
  <c r="G3104" i="3"/>
  <c r="G3105" i="3"/>
  <c r="G3106" i="3"/>
  <c r="G3107" i="3"/>
  <c r="G3108" i="3"/>
  <c r="G3109" i="3"/>
  <c r="G3110" i="3"/>
  <c r="G3111" i="3"/>
  <c r="G3112" i="3"/>
  <c r="G3113" i="3"/>
  <c r="G3114" i="3"/>
  <c r="G3115" i="3"/>
  <c r="G3116" i="3"/>
  <c r="G3117" i="3"/>
  <c r="G3118" i="3"/>
  <c r="G3119" i="3"/>
  <c r="G3120" i="3"/>
  <c r="G3121" i="3"/>
  <c r="G3122" i="3"/>
  <c r="G3123" i="3"/>
  <c r="G3124" i="3"/>
  <c r="G3125" i="3"/>
  <c r="G3126" i="3"/>
  <c r="G3127" i="3"/>
  <c r="G3128" i="3"/>
  <c r="G3129" i="3"/>
  <c r="G3130" i="3"/>
  <c r="G3131" i="3"/>
  <c r="G3132" i="3"/>
  <c r="G3133" i="3"/>
  <c r="G3134" i="3"/>
  <c r="G3135" i="3"/>
  <c r="G3136" i="3"/>
  <c r="G3137" i="3"/>
  <c r="G3138" i="3"/>
  <c r="G3139" i="3"/>
  <c r="G3140" i="3"/>
  <c r="G2161" i="3"/>
  <c r="G2162" i="3"/>
  <c r="G2163" i="3"/>
  <c r="G2164" i="3"/>
  <c r="G2165" i="3"/>
  <c r="G2166" i="3"/>
  <c r="G2167" i="3"/>
  <c r="G2168" i="3"/>
  <c r="G2169" i="3"/>
  <c r="G2170" i="3"/>
  <c r="G2171" i="3"/>
  <c r="G2172" i="3"/>
  <c r="G2173" i="3"/>
  <c r="G2174" i="3"/>
  <c r="G2175" i="3"/>
  <c r="G2176" i="3"/>
  <c r="G2177" i="3"/>
  <c r="G2178" i="3"/>
  <c r="G2179" i="3"/>
  <c r="G2180" i="3"/>
  <c r="G2181" i="3"/>
  <c r="G2182" i="3"/>
  <c r="G2183" i="3"/>
  <c r="G2184" i="3"/>
  <c r="G2185" i="3"/>
  <c r="G2186" i="3"/>
  <c r="G2187" i="3"/>
  <c r="G2188" i="3"/>
  <c r="G2189" i="3"/>
  <c r="G2190" i="3"/>
  <c r="G2191" i="3"/>
  <c r="G2192" i="3"/>
  <c r="G2193" i="3"/>
  <c r="G2194" i="3"/>
  <c r="G2195" i="3"/>
  <c r="G2196" i="3"/>
  <c r="G2197" i="3"/>
  <c r="G2198" i="3"/>
  <c r="G2199" i="3"/>
  <c r="G2200" i="3"/>
  <c r="G2201" i="3"/>
  <c r="G2202" i="3"/>
  <c r="G2203" i="3"/>
  <c r="G2204" i="3"/>
  <c r="G2205" i="3"/>
  <c r="G2206" i="3"/>
  <c r="G2207" i="3"/>
  <c r="G2208" i="3"/>
  <c r="G2209" i="3"/>
  <c r="G2210" i="3"/>
  <c r="G2211" i="3"/>
  <c r="G2212" i="3"/>
  <c r="G2213" i="3"/>
  <c r="G2214" i="3"/>
  <c r="G2215" i="3"/>
  <c r="G2216" i="3"/>
  <c r="G2217" i="3"/>
  <c r="G2218" i="3"/>
  <c r="G2219" i="3"/>
  <c r="G2220" i="3"/>
  <c r="G2221" i="3"/>
  <c r="G2222" i="3"/>
  <c r="G2223" i="3"/>
  <c r="G2224" i="3"/>
  <c r="G2225" i="3"/>
  <c r="G2226" i="3"/>
  <c r="G2227" i="3"/>
  <c r="G2228" i="3"/>
  <c r="G2229" i="3"/>
  <c r="G2230" i="3"/>
  <c r="G2231" i="3"/>
  <c r="G2232" i="3"/>
  <c r="G2233" i="3"/>
  <c r="G2234" i="3"/>
  <c r="G603" i="3"/>
  <c r="G604" i="3"/>
  <c r="G605" i="3"/>
  <c r="G606" i="3"/>
  <c r="G607" i="3"/>
  <c r="G608" i="3"/>
  <c r="G609" i="3"/>
  <c r="G610" i="3"/>
  <c r="G611" i="3"/>
  <c r="G612" i="3"/>
  <c r="G613" i="3"/>
  <c r="G614" i="3"/>
  <c r="G615" i="3"/>
  <c r="G616" i="3"/>
  <c r="G617" i="3"/>
  <c r="G618" i="3"/>
  <c r="G619" i="3"/>
  <c r="G620" i="3"/>
  <c r="G621" i="3"/>
  <c r="G622" i="3"/>
  <c r="G623" i="3"/>
  <c r="G624" i="3"/>
  <c r="G625" i="3"/>
  <c r="G626" i="3"/>
  <c r="G627" i="3"/>
  <c r="G628" i="3"/>
  <c r="G629" i="3"/>
  <c r="G630" i="3"/>
  <c r="G631" i="3"/>
  <c r="G632" i="3"/>
  <c r="G633" i="3"/>
  <c r="G634" i="3"/>
  <c r="G635" i="3"/>
  <c r="G636" i="3"/>
  <c r="G637" i="3"/>
  <c r="G638" i="3"/>
  <c r="G639" i="3"/>
  <c r="G640" i="3"/>
  <c r="G641" i="3"/>
  <c r="G642" i="3"/>
  <c r="G643" i="3"/>
  <c r="G644" i="3"/>
  <c r="G645" i="3"/>
  <c r="G646" i="3"/>
  <c r="G647" i="3"/>
  <c r="G648" i="3"/>
  <c r="G649" i="3"/>
  <c r="G650" i="3"/>
  <c r="G651" i="3"/>
  <c r="G652" i="3"/>
  <c r="G653" i="3"/>
  <c r="G654" i="3"/>
  <c r="G655" i="3"/>
  <c r="G656" i="3"/>
  <c r="G2990" i="3"/>
  <c r="G2991" i="3"/>
  <c r="G2992" i="3"/>
  <c r="G2993" i="3"/>
  <c r="G2994" i="3"/>
  <c r="G2995" i="3"/>
  <c r="G2996" i="3"/>
  <c r="G2997" i="3"/>
  <c r="G2998" i="3"/>
  <c r="G2999" i="3"/>
  <c r="G3000" i="3"/>
  <c r="G3001" i="3"/>
  <c r="G3002" i="3"/>
  <c r="G3003" i="3"/>
  <c r="G3004" i="3"/>
  <c r="G3005" i="3"/>
  <c r="G3006" i="3"/>
  <c r="G3007" i="3"/>
  <c r="G3008" i="3"/>
  <c r="G3009" i="3"/>
  <c r="G3010" i="3"/>
  <c r="G3011" i="3"/>
  <c r="G3012" i="3"/>
  <c r="G3013" i="3"/>
  <c r="G3014" i="3"/>
  <c r="G3015" i="3"/>
  <c r="G3016" i="3"/>
  <c r="G3017" i="3"/>
  <c r="G3018" i="3"/>
  <c r="G3019" i="3"/>
  <c r="G3020" i="3"/>
  <c r="G3021" i="3"/>
  <c r="G3022" i="3"/>
  <c r="G3023" i="3"/>
  <c r="G3024" i="3"/>
  <c r="G3025" i="3"/>
  <c r="G3026" i="3"/>
  <c r="G3027" i="3"/>
  <c r="G3028" i="3"/>
  <c r="G3029" i="3"/>
  <c r="G3030" i="3"/>
  <c r="G3031" i="3"/>
  <c r="G3032" i="3"/>
  <c r="G3033" i="3"/>
  <c r="G3034" i="3"/>
  <c r="G3035" i="3"/>
  <c r="G3036" i="3"/>
  <c r="G3037" i="3"/>
  <c r="G3038" i="3"/>
  <c r="G3170" i="3"/>
  <c r="G3171" i="3"/>
  <c r="G3172" i="3"/>
  <c r="G3173" i="3"/>
  <c r="G3174" i="3"/>
  <c r="G3175" i="3"/>
  <c r="G3176" i="3"/>
  <c r="G3177" i="3"/>
  <c r="G3178" i="3"/>
  <c r="G3179" i="3"/>
  <c r="G3180" i="3"/>
  <c r="G3181" i="3"/>
  <c r="G3182" i="3"/>
  <c r="G3183" i="3"/>
  <c r="G3184" i="3"/>
  <c r="G3185" i="3"/>
  <c r="G3186" i="3"/>
  <c r="G3187" i="3"/>
  <c r="G3188" i="3"/>
  <c r="G3189" i="3"/>
  <c r="G3190" i="3"/>
  <c r="G3191" i="3"/>
  <c r="G3192" i="3"/>
  <c r="G3193" i="3"/>
  <c r="G3194" i="3"/>
  <c r="G3195" i="3"/>
  <c r="G3196" i="3"/>
  <c r="G3197" i="3"/>
  <c r="G3198" i="3"/>
  <c r="G3199" i="3"/>
  <c r="G3200" i="3"/>
  <c r="G3201" i="3"/>
  <c r="G1874" i="3"/>
  <c r="G1875" i="3"/>
  <c r="G1876" i="3"/>
  <c r="G1877" i="3"/>
  <c r="G1878" i="3"/>
  <c r="G1879" i="3"/>
  <c r="G1880" i="3"/>
  <c r="G1881" i="3"/>
  <c r="G1882" i="3"/>
  <c r="G1883" i="3"/>
  <c r="G1884" i="3"/>
  <c r="G1885" i="3"/>
  <c r="G1886" i="3"/>
  <c r="G1887" i="3"/>
  <c r="G1888" i="3"/>
  <c r="G1889" i="3"/>
  <c r="G1890" i="3"/>
  <c r="G1891" i="3"/>
  <c r="G1892" i="3"/>
  <c r="G1893" i="3"/>
  <c r="G1894" i="3"/>
  <c r="G1895" i="3"/>
  <c r="G1896" i="3"/>
  <c r="G1897" i="3"/>
  <c r="G1898" i="3"/>
  <c r="G1899" i="3"/>
  <c r="G1900" i="3"/>
  <c r="G1901" i="3"/>
  <c r="G1902" i="3"/>
  <c r="G1903" i="3"/>
  <c r="G1904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473" i="3"/>
  <c r="G474" i="3"/>
  <c r="G475" i="3"/>
  <c r="G476" i="3"/>
  <c r="G477" i="3"/>
  <c r="G478" i="3"/>
  <c r="G479" i="3"/>
  <c r="G480" i="3"/>
  <c r="G481" i="3"/>
  <c r="G482" i="3"/>
  <c r="G483" i="3"/>
  <c r="G484" i="3"/>
  <c r="G485" i="3"/>
  <c r="G486" i="3"/>
  <c r="G487" i="3"/>
  <c r="G2235" i="3"/>
  <c r="G2236" i="3"/>
  <c r="G2237" i="3"/>
  <c r="G2238" i="3"/>
  <c r="G2239" i="3"/>
  <c r="G2240" i="3"/>
  <c r="G2241" i="3"/>
  <c r="G2242" i="3"/>
  <c r="G2243" i="3"/>
  <c r="G2244" i="3"/>
  <c r="G2245" i="3"/>
  <c r="G2246" i="3"/>
  <c r="G2247" i="3"/>
  <c r="G2248" i="3"/>
  <c r="G2249" i="3"/>
  <c r="G2250" i="3"/>
  <c r="G2251" i="3"/>
  <c r="G2252" i="3"/>
  <c r="G2253" i="3"/>
  <c r="G2254" i="3"/>
  <c r="G2255" i="3"/>
  <c r="G2256" i="3"/>
  <c r="G2257" i="3"/>
  <c r="G2258" i="3"/>
  <c r="G2259" i="3"/>
  <c r="G2260" i="3"/>
  <c r="G2261" i="3"/>
  <c r="G2262" i="3"/>
  <c r="G2263" i="3"/>
  <c r="G2264" i="3"/>
  <c r="G2265" i="3"/>
  <c r="G2266" i="3"/>
  <c r="G2267" i="3"/>
  <c r="G2268" i="3"/>
  <c r="G2872" i="3"/>
  <c r="G2873" i="3"/>
  <c r="G2874" i="3"/>
  <c r="G2875" i="3"/>
  <c r="G2876" i="3"/>
  <c r="G2877" i="3"/>
  <c r="G2878" i="3"/>
  <c r="G2879" i="3"/>
  <c r="G2880" i="3"/>
  <c r="G2881" i="3"/>
  <c r="G2882" i="3"/>
  <c r="G2883" i="3"/>
  <c r="G2884" i="3"/>
  <c r="G2885" i="3"/>
  <c r="G2886" i="3"/>
  <c r="G2887" i="3"/>
  <c r="G2888" i="3"/>
  <c r="G2889" i="3"/>
  <c r="G2890" i="3"/>
  <c r="G2891" i="3"/>
  <c r="G2892" i="3"/>
  <c r="G2893" i="3"/>
  <c r="G2894" i="3"/>
  <c r="G2895" i="3"/>
  <c r="G2896" i="3"/>
  <c r="G2897" i="3"/>
  <c r="G2898" i="3"/>
  <c r="G2899" i="3"/>
  <c r="G2900" i="3"/>
  <c r="G2901" i="3"/>
  <c r="G2902" i="3"/>
  <c r="G2903" i="3"/>
  <c r="G2904" i="3"/>
  <c r="G2905" i="3"/>
  <c r="G2906" i="3"/>
  <c r="G2907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2411" i="3"/>
  <c r="G2412" i="3"/>
  <c r="G2413" i="3"/>
  <c r="G2414" i="3"/>
  <c r="G2415" i="3"/>
  <c r="G2416" i="3"/>
  <c r="G2417" i="3"/>
  <c r="G2418" i="3"/>
  <c r="G2419" i="3"/>
  <c r="G2420" i="3"/>
  <c r="G2421" i="3"/>
  <c r="G2422" i="3"/>
  <c r="G2423" i="3"/>
  <c r="G2424" i="3"/>
  <c r="G2425" i="3"/>
  <c r="G2426" i="3"/>
  <c r="G2427" i="3"/>
  <c r="G2428" i="3"/>
  <c r="G2429" i="3"/>
  <c r="G2430" i="3"/>
  <c r="G2431" i="3"/>
  <c r="G2432" i="3"/>
  <c r="G2433" i="3"/>
  <c r="G2434" i="3"/>
  <c r="G2435" i="3"/>
  <c r="G2436" i="3"/>
  <c r="G2437" i="3"/>
  <c r="G2438" i="3"/>
  <c r="G2439" i="3"/>
  <c r="G2440" i="3"/>
  <c r="G2441" i="3"/>
  <c r="G2442" i="3"/>
  <c r="G2443" i="3"/>
  <c r="G2444" i="3"/>
  <c r="G2445" i="3"/>
  <c r="G2446" i="3"/>
  <c r="G2447" i="3"/>
  <c r="G2448" i="3"/>
  <c r="G2449" i="3"/>
  <c r="G2450" i="3"/>
  <c r="G2451" i="3"/>
  <c r="G2452" i="3"/>
  <c r="G2453" i="3"/>
  <c r="G2454" i="3"/>
  <c r="G2455" i="3"/>
  <c r="G2456" i="3"/>
  <c r="G2457" i="3"/>
  <c r="G2458" i="3"/>
  <c r="G2459" i="3"/>
  <c r="G2460" i="3"/>
  <c r="G2461" i="3"/>
  <c r="G2462" i="3"/>
  <c r="G2463" i="3"/>
  <c r="G2464" i="3"/>
  <c r="G2465" i="3"/>
  <c r="G2466" i="3"/>
  <c r="G2467" i="3"/>
  <c r="G2468" i="3"/>
  <c r="G2469" i="3"/>
  <c r="G2470" i="3"/>
  <c r="G2471" i="3"/>
  <c r="G2472" i="3"/>
  <c r="G2473" i="3"/>
  <c r="G2474" i="3"/>
  <c r="G2475" i="3"/>
  <c r="G2476" i="3"/>
  <c r="G2477" i="3"/>
  <c r="G2478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520" i="3"/>
  <c r="G521" i="3"/>
  <c r="G522" i="3"/>
  <c r="G523" i="3"/>
  <c r="G524" i="3"/>
  <c r="G525" i="3"/>
  <c r="G526" i="3"/>
  <c r="G527" i="3"/>
  <c r="G528" i="3"/>
  <c r="G529" i="3"/>
  <c r="G530" i="3"/>
  <c r="G531" i="3"/>
  <c r="G532" i="3"/>
  <c r="G533" i="3"/>
  <c r="G534" i="3"/>
  <c r="G535" i="3"/>
  <c r="G536" i="3"/>
  <c r="G537" i="3"/>
  <c r="G538" i="3"/>
  <c r="G539" i="3"/>
  <c r="G540" i="3"/>
  <c r="G541" i="3"/>
  <c r="G542" i="3"/>
  <c r="G543" i="3"/>
  <c r="G544" i="3"/>
  <c r="G545" i="3"/>
  <c r="G546" i="3"/>
  <c r="G547" i="3"/>
  <c r="G548" i="3"/>
  <c r="G549" i="3"/>
  <c r="G550" i="3"/>
  <c r="G551" i="3"/>
  <c r="G552" i="3"/>
  <c r="G553" i="3"/>
  <c r="G554" i="3"/>
  <c r="G555" i="3"/>
  <c r="G556" i="3"/>
  <c r="G557" i="3"/>
  <c r="G558" i="3"/>
  <c r="G559" i="3"/>
  <c r="G560" i="3"/>
  <c r="G561" i="3"/>
  <c r="G562" i="3"/>
  <c r="G563" i="3"/>
  <c r="G564" i="3"/>
  <c r="G565" i="3"/>
  <c r="G566" i="3"/>
  <c r="G567" i="3"/>
  <c r="G568" i="3"/>
  <c r="G569" i="3"/>
  <c r="G570" i="3"/>
  <c r="G571" i="3"/>
  <c r="G689" i="3"/>
  <c r="G690" i="3"/>
  <c r="G691" i="3"/>
  <c r="G692" i="3"/>
  <c r="G693" i="3"/>
  <c r="G694" i="3"/>
  <c r="G695" i="3"/>
  <c r="G696" i="3"/>
  <c r="G697" i="3"/>
  <c r="G698" i="3"/>
  <c r="G699" i="3"/>
  <c r="G700" i="3"/>
  <c r="G701" i="3"/>
  <c r="G702" i="3"/>
  <c r="G703" i="3"/>
  <c r="G704" i="3"/>
  <c r="G705" i="3"/>
  <c r="G706" i="3"/>
  <c r="G707" i="3"/>
  <c r="G708" i="3"/>
  <c r="G709" i="3"/>
  <c r="G710" i="3"/>
  <c r="G711" i="3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G725" i="3"/>
  <c r="G726" i="3"/>
  <c r="G727" i="3"/>
  <c r="G728" i="3"/>
  <c r="G729" i="3"/>
  <c r="G730" i="3"/>
  <c r="G731" i="3"/>
  <c r="G732" i="3"/>
  <c r="G733" i="3"/>
  <c r="G734" i="3"/>
  <c r="G735" i="3"/>
  <c r="G736" i="3"/>
  <c r="G737" i="3"/>
  <c r="G738" i="3"/>
  <c r="G739" i="3"/>
  <c r="G740" i="3"/>
  <c r="G741" i="3"/>
  <c r="G742" i="3"/>
  <c r="G743" i="3"/>
  <c r="G744" i="3"/>
  <c r="G745" i="3"/>
  <c r="G746" i="3"/>
  <c r="G747" i="3"/>
  <c r="G748" i="3"/>
  <c r="G749" i="3"/>
  <c r="G750" i="3"/>
  <c r="G751" i="3"/>
  <c r="G752" i="3"/>
  <c r="G753" i="3"/>
  <c r="G754" i="3"/>
  <c r="G755" i="3"/>
  <c r="G756" i="3"/>
  <c r="G757" i="3"/>
  <c r="G758" i="3"/>
  <c r="G759" i="3"/>
  <c r="G760" i="3"/>
  <c r="G761" i="3"/>
  <c r="G762" i="3"/>
  <c r="G763" i="3"/>
  <c r="G764" i="3"/>
  <c r="G765" i="3"/>
  <c r="G766" i="3"/>
  <c r="G767" i="3"/>
  <c r="G768" i="3"/>
  <c r="G769" i="3"/>
  <c r="G770" i="3"/>
  <c r="G771" i="3"/>
  <c r="G772" i="3"/>
  <c r="G773" i="3"/>
  <c r="G774" i="3"/>
  <c r="G775" i="3"/>
  <c r="G776" i="3"/>
  <c r="G777" i="3"/>
  <c r="G778" i="3"/>
  <c r="G779" i="3"/>
  <c r="G780" i="3"/>
  <c r="G781" i="3"/>
  <c r="G782" i="3"/>
  <c r="G783" i="3"/>
  <c r="G784" i="3"/>
  <c r="G817" i="3"/>
  <c r="G818" i="3"/>
  <c r="G819" i="3"/>
  <c r="G820" i="3"/>
  <c r="G821" i="3"/>
  <c r="G822" i="3"/>
  <c r="G823" i="3"/>
  <c r="G824" i="3"/>
  <c r="G825" i="3"/>
  <c r="G826" i="3"/>
  <c r="G827" i="3"/>
  <c r="G828" i="3"/>
  <c r="G829" i="3"/>
  <c r="G830" i="3"/>
  <c r="G831" i="3"/>
  <c r="G832" i="3"/>
  <c r="G833" i="3"/>
  <c r="G834" i="3"/>
  <c r="G835" i="3"/>
  <c r="G836" i="3"/>
  <c r="G837" i="3"/>
  <c r="G838" i="3"/>
  <c r="G839" i="3"/>
  <c r="G840" i="3"/>
  <c r="G841" i="3"/>
  <c r="G842" i="3"/>
  <c r="G843" i="3"/>
  <c r="G844" i="3"/>
  <c r="G845" i="3"/>
  <c r="G846" i="3"/>
  <c r="G847" i="3"/>
  <c r="G848" i="3"/>
  <c r="G849" i="3"/>
  <c r="G850" i="3"/>
  <c r="G851" i="3"/>
  <c r="G852" i="3"/>
  <c r="G853" i="3"/>
  <c r="G854" i="3"/>
  <c r="G855" i="3"/>
  <c r="G856" i="3"/>
  <c r="G857" i="3"/>
  <c r="G858" i="3"/>
  <c r="G859" i="3"/>
  <c r="G860" i="3"/>
  <c r="G861" i="3"/>
  <c r="G862" i="3"/>
  <c r="G863" i="3"/>
  <c r="G864" i="3"/>
  <c r="G865" i="3"/>
  <c r="G897" i="3"/>
  <c r="G898" i="3"/>
  <c r="G899" i="3"/>
  <c r="G900" i="3"/>
  <c r="G901" i="3"/>
  <c r="G902" i="3"/>
  <c r="G903" i="3"/>
  <c r="G904" i="3"/>
  <c r="G905" i="3"/>
  <c r="G906" i="3"/>
  <c r="G907" i="3"/>
  <c r="G908" i="3"/>
  <c r="G909" i="3"/>
  <c r="G910" i="3"/>
  <c r="G911" i="3"/>
  <c r="G912" i="3"/>
  <c r="G913" i="3"/>
  <c r="G914" i="3"/>
  <c r="G915" i="3"/>
  <c r="G916" i="3"/>
  <c r="G917" i="3"/>
  <c r="G918" i="3"/>
  <c r="G919" i="3"/>
  <c r="G920" i="3"/>
  <c r="G921" i="3"/>
  <c r="G922" i="3"/>
  <c r="G923" i="3"/>
  <c r="G924" i="3"/>
  <c r="G925" i="3"/>
  <c r="G926" i="3"/>
  <c r="G927" i="3"/>
  <c r="G928" i="3"/>
  <c r="G929" i="3"/>
  <c r="G930" i="3"/>
  <c r="G931" i="3"/>
  <c r="G932" i="3"/>
  <c r="G933" i="3"/>
  <c r="G934" i="3"/>
  <c r="G935" i="3"/>
  <c r="G936" i="3"/>
  <c r="G937" i="3"/>
  <c r="G938" i="3"/>
  <c r="G939" i="3"/>
  <c r="G940" i="3"/>
  <c r="G941" i="3"/>
  <c r="G942" i="3"/>
  <c r="G943" i="3"/>
  <c r="G944" i="3"/>
  <c r="G945" i="3"/>
  <c r="G946" i="3"/>
  <c r="G978" i="3"/>
  <c r="G979" i="3"/>
  <c r="G980" i="3"/>
  <c r="G981" i="3"/>
  <c r="G982" i="3"/>
  <c r="G983" i="3"/>
  <c r="G984" i="3"/>
  <c r="G985" i="3"/>
  <c r="G986" i="3"/>
  <c r="G987" i="3"/>
  <c r="G988" i="3"/>
  <c r="G989" i="3"/>
  <c r="G990" i="3"/>
  <c r="G991" i="3"/>
  <c r="G992" i="3"/>
  <c r="G993" i="3"/>
  <c r="G994" i="3"/>
  <c r="G995" i="3"/>
  <c r="G996" i="3"/>
  <c r="G997" i="3"/>
  <c r="G998" i="3"/>
  <c r="G999" i="3"/>
  <c r="G1000" i="3"/>
  <c r="G1001" i="3"/>
  <c r="G1002" i="3"/>
  <c r="G1003" i="3"/>
  <c r="G1004" i="3"/>
  <c r="G1005" i="3"/>
  <c r="G1006" i="3"/>
  <c r="G1007" i="3"/>
  <c r="G1008" i="3"/>
  <c r="G1009" i="3"/>
  <c r="G1010" i="3"/>
  <c r="G1011" i="3"/>
  <c r="G1012" i="3"/>
  <c r="G1013" i="3"/>
  <c r="G1014" i="3"/>
  <c r="G1015" i="3"/>
  <c r="G1016" i="3"/>
  <c r="G1017" i="3"/>
  <c r="G1018" i="3"/>
  <c r="G1019" i="3"/>
  <c r="G1020" i="3"/>
  <c r="G1021" i="3"/>
  <c r="G1022" i="3"/>
  <c r="G1023" i="3"/>
  <c r="G1024" i="3"/>
  <c r="G1025" i="3"/>
  <c r="G1026" i="3"/>
  <c r="G1027" i="3"/>
  <c r="G1028" i="3"/>
  <c r="G1029" i="3"/>
  <c r="G1030" i="3"/>
  <c r="G1031" i="3"/>
  <c r="G1032" i="3"/>
  <c r="G1033" i="3"/>
  <c r="G1034" i="3"/>
  <c r="G1035" i="3"/>
  <c r="G1036" i="3"/>
  <c r="G1037" i="3"/>
  <c r="G1038" i="3"/>
  <c r="G1039" i="3"/>
  <c r="G1040" i="3"/>
  <c r="G1041" i="3"/>
  <c r="G1042" i="3"/>
  <c r="G1043" i="3"/>
  <c r="G1044" i="3"/>
  <c r="G1045" i="3"/>
  <c r="G1046" i="3"/>
  <c r="G1047" i="3"/>
  <c r="G1048" i="3"/>
  <c r="G1049" i="3"/>
  <c r="G1050" i="3"/>
  <c r="G1051" i="3"/>
  <c r="G1052" i="3"/>
  <c r="G1053" i="3"/>
  <c r="G1054" i="3"/>
  <c r="G1055" i="3"/>
  <c r="G1056" i="3"/>
  <c r="G1057" i="3"/>
  <c r="G1058" i="3"/>
  <c r="G1059" i="3"/>
  <c r="G1060" i="3"/>
  <c r="G1093" i="3"/>
  <c r="G1094" i="3"/>
  <c r="G1095" i="3"/>
  <c r="G1096" i="3"/>
  <c r="G1097" i="3"/>
  <c r="G1098" i="3"/>
  <c r="G1099" i="3"/>
  <c r="G1100" i="3"/>
  <c r="G1101" i="3"/>
  <c r="G1102" i="3"/>
  <c r="G1103" i="3"/>
  <c r="G1104" i="3"/>
  <c r="G1105" i="3"/>
  <c r="G1106" i="3"/>
  <c r="G1107" i="3"/>
  <c r="G1108" i="3"/>
  <c r="G1109" i="3"/>
  <c r="G1110" i="3"/>
  <c r="G1111" i="3"/>
  <c r="G1112" i="3"/>
  <c r="G1113" i="3"/>
  <c r="G1114" i="3"/>
  <c r="G1115" i="3"/>
  <c r="G1116" i="3"/>
  <c r="G1117" i="3"/>
  <c r="G1118" i="3"/>
  <c r="G1119" i="3"/>
  <c r="G1120" i="3"/>
  <c r="G1121" i="3"/>
  <c r="G1122" i="3"/>
  <c r="G1123" i="3"/>
  <c r="G1124" i="3"/>
  <c r="G1125" i="3"/>
  <c r="G1126" i="3"/>
  <c r="G1127" i="3"/>
  <c r="G1128" i="3"/>
  <c r="G1129" i="3"/>
  <c r="G1130" i="3"/>
  <c r="G1131" i="3"/>
  <c r="G1132" i="3"/>
  <c r="G1133" i="3"/>
  <c r="G1134" i="3"/>
  <c r="G1135" i="3"/>
  <c r="G1136" i="3"/>
  <c r="G1137" i="3"/>
  <c r="G1138" i="3"/>
  <c r="G1139" i="3"/>
  <c r="G1140" i="3"/>
  <c r="G1141" i="3"/>
  <c r="G1142" i="3"/>
  <c r="G1143" i="3"/>
  <c r="G1144" i="3"/>
  <c r="G1145" i="3"/>
  <c r="G1146" i="3"/>
  <c r="G1147" i="3"/>
  <c r="G1148" i="3"/>
  <c r="G1149" i="3"/>
  <c r="G1150" i="3"/>
  <c r="G1151" i="3"/>
  <c r="G1152" i="3"/>
  <c r="G1153" i="3"/>
  <c r="G1154" i="3"/>
  <c r="G1155" i="3"/>
  <c r="G1156" i="3"/>
  <c r="G1157" i="3"/>
  <c r="G1158" i="3"/>
  <c r="G1159" i="3"/>
  <c r="G1160" i="3"/>
  <c r="G1161" i="3"/>
  <c r="G1162" i="3"/>
  <c r="G1163" i="3"/>
  <c r="G1164" i="3"/>
  <c r="G1165" i="3"/>
  <c r="G1166" i="3"/>
  <c r="G1167" i="3"/>
  <c r="G1168" i="3"/>
  <c r="G1169" i="3"/>
  <c r="G1170" i="3"/>
  <c r="G1171" i="3"/>
  <c r="G1172" i="3"/>
  <c r="G1173" i="3"/>
  <c r="G1174" i="3"/>
  <c r="G1175" i="3"/>
  <c r="G1176" i="3"/>
  <c r="G1177" i="3"/>
  <c r="G1178" i="3"/>
  <c r="G1179" i="3"/>
  <c r="G1180" i="3"/>
  <c r="G1181" i="3"/>
  <c r="G1182" i="3"/>
  <c r="G1183" i="3"/>
  <c r="G1184" i="3"/>
  <c r="G1185" i="3"/>
  <c r="G1186" i="3"/>
  <c r="G1187" i="3"/>
  <c r="G1188" i="3"/>
  <c r="G1189" i="3"/>
  <c r="G1190" i="3"/>
  <c r="G1191" i="3"/>
  <c r="G1192" i="3"/>
  <c r="G1193" i="3"/>
  <c r="G1194" i="3"/>
  <c r="G1195" i="3"/>
  <c r="G1196" i="3"/>
  <c r="G1197" i="3"/>
  <c r="G1198" i="3"/>
  <c r="G1199" i="3"/>
  <c r="G1200" i="3"/>
  <c r="G1201" i="3"/>
  <c r="G1202" i="3"/>
  <c r="G1203" i="3"/>
  <c r="G1204" i="3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G1217" i="3"/>
  <c r="G1218" i="3"/>
  <c r="G1219" i="3"/>
  <c r="G1220" i="3"/>
  <c r="G1221" i="3"/>
  <c r="G1222" i="3"/>
  <c r="G1223" i="3"/>
  <c r="G1224" i="3"/>
  <c r="G1225" i="3"/>
  <c r="G1226" i="3"/>
  <c r="G1227" i="3"/>
  <c r="G1228" i="3"/>
  <c r="G1229" i="3"/>
  <c r="G1230" i="3"/>
  <c r="G1231" i="3"/>
  <c r="G1232" i="3"/>
  <c r="G1233" i="3"/>
  <c r="G1234" i="3"/>
  <c r="G1235" i="3"/>
  <c r="G1236" i="3"/>
  <c r="G1237" i="3"/>
  <c r="G1238" i="3"/>
  <c r="G1239" i="3"/>
  <c r="G1240" i="3"/>
  <c r="G1241" i="3"/>
  <c r="G1242" i="3"/>
  <c r="G1243" i="3"/>
  <c r="G1244" i="3"/>
  <c r="G1245" i="3"/>
  <c r="G1246" i="3"/>
  <c r="G1247" i="3"/>
  <c r="G1248" i="3"/>
  <c r="G1249" i="3"/>
  <c r="G1250" i="3"/>
  <c r="G1251" i="3"/>
  <c r="G1252" i="3"/>
  <c r="G1253" i="3"/>
  <c r="G1254" i="3"/>
  <c r="G1255" i="3"/>
  <c r="G1256" i="3"/>
  <c r="G1257" i="3"/>
  <c r="G1258" i="3"/>
  <c r="G1259" i="3"/>
  <c r="G1260" i="3"/>
  <c r="G1294" i="3"/>
  <c r="G1295" i="3"/>
  <c r="G1296" i="3"/>
  <c r="G1297" i="3"/>
  <c r="G1298" i="3"/>
  <c r="G1299" i="3"/>
  <c r="G1300" i="3"/>
  <c r="G1301" i="3"/>
  <c r="G1302" i="3"/>
  <c r="G1303" i="3"/>
  <c r="G1304" i="3"/>
  <c r="G1305" i="3"/>
  <c r="G1306" i="3"/>
  <c r="G1307" i="3"/>
  <c r="G1308" i="3"/>
  <c r="G1309" i="3"/>
  <c r="G1310" i="3"/>
  <c r="G1311" i="3"/>
  <c r="G1312" i="3"/>
  <c r="G1313" i="3"/>
  <c r="G1314" i="3"/>
  <c r="G1315" i="3"/>
  <c r="G1316" i="3"/>
  <c r="G1317" i="3"/>
  <c r="G1318" i="3"/>
  <c r="G1319" i="3"/>
  <c r="G1320" i="3"/>
  <c r="G1321" i="3"/>
  <c r="G1322" i="3"/>
  <c r="G1323" i="3"/>
  <c r="G1324" i="3"/>
  <c r="G1325" i="3"/>
  <c r="G1326" i="3"/>
  <c r="G1327" i="3"/>
  <c r="G1328" i="3"/>
  <c r="G1329" i="3"/>
  <c r="G1330" i="3"/>
  <c r="G1331" i="3"/>
  <c r="G1332" i="3"/>
  <c r="G1333" i="3"/>
  <c r="G1334" i="3"/>
  <c r="G1335" i="3"/>
  <c r="G1336" i="3"/>
  <c r="G1337" i="3"/>
  <c r="G1338" i="3"/>
  <c r="G1339" i="3"/>
  <c r="G1340" i="3"/>
  <c r="G1341" i="3"/>
  <c r="G1342" i="3"/>
  <c r="G1343" i="3"/>
  <c r="G1344" i="3"/>
  <c r="G1345" i="3"/>
  <c r="G1346" i="3"/>
  <c r="G1347" i="3"/>
  <c r="G1348" i="3"/>
  <c r="G1349" i="3"/>
  <c r="G1350" i="3"/>
  <c r="G1351" i="3"/>
  <c r="G1437" i="3"/>
  <c r="G1438" i="3"/>
  <c r="G1439" i="3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G1459" i="3"/>
  <c r="G1460" i="3"/>
  <c r="G1461" i="3"/>
  <c r="G1462" i="3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G1483" i="3"/>
  <c r="G1484" i="3"/>
  <c r="G1485" i="3"/>
  <c r="G1486" i="3"/>
  <c r="G1487" i="3"/>
  <c r="G1488" i="3"/>
  <c r="G1489" i="3"/>
  <c r="G1490" i="3"/>
  <c r="G1491" i="3"/>
  <c r="G1492" i="3"/>
  <c r="G1493" i="3"/>
  <c r="G1494" i="3"/>
  <c r="G1495" i="3"/>
  <c r="G1496" i="3"/>
  <c r="G1497" i="3"/>
  <c r="G1498" i="3"/>
  <c r="G1499" i="3"/>
  <c r="G1500" i="3"/>
  <c r="G1501" i="3"/>
  <c r="G1502" i="3"/>
  <c r="G1503" i="3"/>
  <c r="G1504" i="3"/>
  <c r="G1505" i="3"/>
  <c r="G1506" i="3"/>
  <c r="G1507" i="3"/>
  <c r="G1508" i="3"/>
  <c r="G1509" i="3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G1524" i="3"/>
  <c r="G1525" i="3"/>
  <c r="G1526" i="3"/>
  <c r="G1527" i="3"/>
  <c r="G1528" i="3"/>
  <c r="G1529" i="3"/>
  <c r="G1530" i="3"/>
  <c r="G1608" i="3"/>
  <c r="G1609" i="3"/>
  <c r="G1610" i="3"/>
  <c r="G1611" i="3"/>
  <c r="G1612" i="3"/>
  <c r="G1613" i="3"/>
  <c r="G1614" i="3"/>
  <c r="G1615" i="3"/>
  <c r="G1616" i="3"/>
  <c r="G1617" i="3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G1633" i="3"/>
  <c r="G1634" i="3"/>
  <c r="G1635" i="3"/>
  <c r="G1636" i="3"/>
  <c r="G1637" i="3"/>
  <c r="G1638" i="3"/>
  <c r="G1639" i="3"/>
  <c r="G1640" i="3"/>
  <c r="G1641" i="3"/>
  <c r="G1642" i="3"/>
  <c r="G1643" i="3"/>
  <c r="G1644" i="3"/>
  <c r="G1645" i="3"/>
  <c r="G1646" i="3"/>
  <c r="G1647" i="3"/>
  <c r="G1648" i="3"/>
  <c r="G1649" i="3"/>
  <c r="G1650" i="3"/>
  <c r="G1651" i="3"/>
  <c r="G1652" i="3"/>
  <c r="G1653" i="3"/>
  <c r="G1654" i="3"/>
  <c r="G1684" i="3"/>
  <c r="G1685" i="3"/>
  <c r="G1686" i="3"/>
  <c r="G1687" i="3"/>
  <c r="G1688" i="3"/>
  <c r="G1689" i="3"/>
  <c r="G1690" i="3"/>
  <c r="G1691" i="3"/>
  <c r="G1692" i="3"/>
  <c r="G1693" i="3"/>
  <c r="G1694" i="3"/>
  <c r="G1695" i="3"/>
  <c r="G1696" i="3"/>
  <c r="G1697" i="3"/>
  <c r="G1698" i="3"/>
  <c r="G1699" i="3"/>
  <c r="G1700" i="3"/>
  <c r="G1701" i="3"/>
  <c r="G1702" i="3"/>
  <c r="G1703" i="3"/>
  <c r="G1704" i="3"/>
  <c r="G1705" i="3"/>
  <c r="G1706" i="3"/>
  <c r="G1707" i="3"/>
  <c r="G1708" i="3"/>
  <c r="G1709" i="3"/>
  <c r="G1710" i="3"/>
  <c r="G1711" i="3"/>
  <c r="G1712" i="3"/>
  <c r="G1713" i="3"/>
  <c r="G1714" i="3"/>
  <c r="G1715" i="3"/>
  <c r="G1716" i="3"/>
  <c r="G1717" i="3"/>
  <c r="G1718" i="3"/>
  <c r="G1719" i="3"/>
  <c r="G1720" i="3"/>
  <c r="G1721" i="3"/>
  <c r="G1722" i="3"/>
  <c r="G1723" i="3"/>
  <c r="G1724" i="3"/>
  <c r="G1725" i="3"/>
  <c r="G1726" i="3"/>
  <c r="G1727" i="3"/>
  <c r="G1728" i="3"/>
  <c r="G1729" i="3"/>
  <c r="G1730" i="3"/>
  <c r="G1731" i="3"/>
  <c r="G1732" i="3"/>
  <c r="G1733" i="3"/>
  <c r="G1734" i="3"/>
  <c r="G1735" i="3"/>
  <c r="G1736" i="3"/>
  <c r="G1737" i="3"/>
  <c r="G1738" i="3"/>
  <c r="G1739" i="3"/>
  <c r="G1740" i="3"/>
  <c r="G1741" i="3"/>
  <c r="G1742" i="3"/>
  <c r="G1743" i="3"/>
  <c r="G1744" i="3"/>
  <c r="G1745" i="3"/>
  <c r="G1746" i="3"/>
  <c r="G1747" i="3"/>
  <c r="G1748" i="3"/>
  <c r="G1749" i="3"/>
  <c r="G1750" i="3"/>
  <c r="G1751" i="3"/>
  <c r="G1752" i="3"/>
  <c r="G1753" i="3"/>
  <c r="G1754" i="3"/>
  <c r="G1755" i="3"/>
  <c r="G1756" i="3"/>
  <c r="G1757" i="3"/>
  <c r="G1758" i="3"/>
  <c r="G1759" i="3"/>
  <c r="G1760" i="3"/>
  <c r="G1761" i="3"/>
  <c r="G1762" i="3"/>
  <c r="G1763" i="3"/>
  <c r="G1764" i="3"/>
  <c r="G1765" i="3"/>
  <c r="G1766" i="3"/>
  <c r="G1767" i="3"/>
  <c r="G1768" i="3"/>
  <c r="G1769" i="3"/>
  <c r="G1770" i="3"/>
  <c r="G1771" i="3"/>
  <c r="G1772" i="3"/>
  <c r="G1773" i="3"/>
  <c r="G1774" i="3"/>
  <c r="G1775" i="3"/>
  <c r="G1776" i="3"/>
  <c r="G1777" i="3"/>
  <c r="G1778" i="3"/>
  <c r="G1779" i="3"/>
  <c r="G1780" i="3"/>
  <c r="G1781" i="3"/>
  <c r="G1782" i="3"/>
  <c r="G1783" i="3"/>
  <c r="G1784" i="3"/>
  <c r="G1785" i="3"/>
  <c r="G1786" i="3"/>
  <c r="G1787" i="3"/>
  <c r="G1788" i="3"/>
  <c r="G1789" i="3"/>
  <c r="G1790" i="3"/>
  <c r="G1791" i="3"/>
  <c r="G1792" i="3"/>
  <c r="G1793" i="3"/>
  <c r="G1794" i="3"/>
  <c r="G1937" i="3"/>
  <c r="G1938" i="3"/>
  <c r="G1939" i="3"/>
  <c r="G1940" i="3"/>
  <c r="G1941" i="3"/>
  <c r="G1942" i="3"/>
  <c r="G1943" i="3"/>
  <c r="G1944" i="3"/>
  <c r="G1945" i="3"/>
  <c r="G1946" i="3"/>
  <c r="G1947" i="3"/>
  <c r="G1948" i="3"/>
  <c r="G1949" i="3"/>
  <c r="G1950" i="3"/>
  <c r="G1951" i="3"/>
  <c r="G1952" i="3"/>
  <c r="G1953" i="3"/>
  <c r="G1954" i="3"/>
  <c r="G1955" i="3"/>
  <c r="G1956" i="3"/>
  <c r="G1957" i="3"/>
  <c r="G1958" i="3"/>
  <c r="G1959" i="3"/>
  <c r="G1960" i="3"/>
  <c r="G1961" i="3"/>
  <c r="G1962" i="3"/>
  <c r="G1963" i="3"/>
  <c r="G1964" i="3"/>
  <c r="G1965" i="3"/>
  <c r="G1966" i="3"/>
  <c r="G1967" i="3"/>
  <c r="G1968" i="3"/>
  <c r="G1969" i="3"/>
  <c r="G1970" i="3"/>
  <c r="G1971" i="3"/>
  <c r="G1972" i="3"/>
  <c r="G1973" i="3"/>
  <c r="G1974" i="3"/>
  <c r="G1975" i="3"/>
  <c r="G1976" i="3"/>
  <c r="G1977" i="3"/>
  <c r="G1978" i="3"/>
  <c r="G1979" i="3"/>
  <c r="G1980" i="3"/>
  <c r="G1981" i="3"/>
  <c r="G1982" i="3"/>
  <c r="G1983" i="3"/>
  <c r="G1984" i="3"/>
  <c r="G1985" i="3"/>
  <c r="G1986" i="3"/>
  <c r="G1987" i="3"/>
  <c r="G1988" i="3"/>
  <c r="G1989" i="3"/>
  <c r="G1990" i="3"/>
  <c r="G1991" i="3"/>
  <c r="G1992" i="3"/>
  <c r="G1993" i="3"/>
  <c r="G1994" i="3"/>
  <c r="G1995" i="3"/>
  <c r="G1996" i="3"/>
  <c r="G1997" i="3"/>
  <c r="G1998" i="3"/>
  <c r="G1999" i="3"/>
  <c r="G2000" i="3"/>
  <c r="G2001" i="3"/>
  <c r="G2002" i="3"/>
  <c r="G2003" i="3"/>
  <c r="G2004" i="3"/>
  <c r="G2005" i="3"/>
  <c r="G2006" i="3"/>
  <c r="G2007" i="3"/>
  <c r="G2008" i="3"/>
  <c r="G2009" i="3"/>
  <c r="G2010" i="3"/>
  <c r="G2011" i="3"/>
  <c r="G2012" i="3"/>
  <c r="G2013" i="3"/>
  <c r="G2014" i="3"/>
  <c r="G2015" i="3"/>
  <c r="G2016" i="3"/>
  <c r="G2017" i="3"/>
  <c r="G2018" i="3"/>
  <c r="G2019" i="3"/>
  <c r="G2020" i="3"/>
  <c r="G2021" i="3"/>
  <c r="G2022" i="3"/>
  <c r="G2023" i="3"/>
  <c r="G2024" i="3"/>
  <c r="G2025" i="3"/>
  <c r="G2026" i="3"/>
  <c r="G2027" i="3"/>
  <c r="G2028" i="3"/>
  <c r="G2029" i="3"/>
  <c r="G2030" i="3"/>
  <c r="G2031" i="3"/>
  <c r="G2032" i="3"/>
  <c r="G2033" i="3"/>
  <c r="G2034" i="3"/>
  <c r="G2035" i="3"/>
  <c r="G2036" i="3"/>
  <c r="G2037" i="3"/>
  <c r="G2038" i="3"/>
  <c r="G2039" i="3"/>
  <c r="G2040" i="3"/>
  <c r="G2041" i="3"/>
  <c r="G2042" i="3"/>
  <c r="G2043" i="3"/>
  <c r="G2044" i="3"/>
  <c r="G2045" i="3"/>
  <c r="G2046" i="3"/>
  <c r="G2047" i="3"/>
  <c r="G2048" i="3"/>
  <c r="G2049" i="3"/>
  <c r="G2050" i="3"/>
  <c r="G2051" i="3"/>
  <c r="G2052" i="3"/>
  <c r="G2053" i="3"/>
  <c r="G2054" i="3"/>
  <c r="G2055" i="3"/>
  <c r="G2056" i="3"/>
  <c r="G2057" i="3"/>
  <c r="G2058" i="3"/>
  <c r="G2059" i="3"/>
  <c r="G2060" i="3"/>
  <c r="G2061" i="3"/>
  <c r="G2062" i="3"/>
  <c r="G2063" i="3"/>
  <c r="G2064" i="3"/>
  <c r="G2065" i="3"/>
  <c r="G2066" i="3"/>
  <c r="G2067" i="3"/>
  <c r="G2068" i="3"/>
  <c r="G2069" i="3"/>
  <c r="G2070" i="3"/>
  <c r="G2071" i="3"/>
  <c r="G2072" i="3"/>
  <c r="G2073" i="3"/>
  <c r="G2074" i="3"/>
  <c r="G2075" i="3"/>
  <c r="G2076" i="3"/>
  <c r="G2077" i="3"/>
  <c r="G2078" i="3"/>
  <c r="G2079" i="3"/>
  <c r="G2080" i="3"/>
  <c r="G2081" i="3"/>
  <c r="G2082" i="3"/>
  <c r="G2083" i="3"/>
  <c r="G2084" i="3"/>
  <c r="G2085" i="3"/>
  <c r="G2086" i="3"/>
  <c r="G2087" i="3"/>
  <c r="G2088" i="3"/>
  <c r="G2089" i="3"/>
  <c r="G2090" i="3"/>
  <c r="G2091" i="3"/>
  <c r="G2092" i="3"/>
  <c r="G2093" i="3"/>
  <c r="G2094" i="3"/>
  <c r="G2095" i="3"/>
  <c r="G2096" i="3"/>
  <c r="G2097" i="3"/>
  <c r="G2098" i="3"/>
  <c r="G2099" i="3"/>
  <c r="G2100" i="3"/>
  <c r="G2101" i="3"/>
  <c r="G2102" i="3"/>
  <c r="G2103" i="3"/>
  <c r="G2104" i="3"/>
  <c r="G2105" i="3"/>
  <c r="G2106" i="3"/>
  <c r="G2107" i="3"/>
  <c r="G2108" i="3"/>
  <c r="G2109" i="3"/>
  <c r="G2110" i="3"/>
  <c r="G2111" i="3"/>
  <c r="G2112" i="3"/>
  <c r="G2113" i="3"/>
  <c r="G2114" i="3"/>
  <c r="G2115" i="3"/>
  <c r="G2116" i="3"/>
  <c r="G2117" i="3"/>
  <c r="G2118" i="3"/>
  <c r="G2119" i="3"/>
  <c r="G2120" i="3"/>
  <c r="G2121" i="3"/>
  <c r="G2122" i="3"/>
  <c r="G2123" i="3"/>
  <c r="G2124" i="3"/>
  <c r="G2125" i="3"/>
  <c r="G2126" i="3"/>
  <c r="G2127" i="3"/>
  <c r="G2128" i="3"/>
  <c r="G2129" i="3"/>
  <c r="G2130" i="3"/>
  <c r="G2131" i="3"/>
  <c r="G2132" i="3"/>
  <c r="G2133" i="3"/>
  <c r="G2134" i="3"/>
  <c r="G2135" i="3"/>
  <c r="G2136" i="3"/>
  <c r="G2137" i="3"/>
  <c r="G2138" i="3"/>
  <c r="G2139" i="3"/>
  <c r="G2140" i="3"/>
  <c r="G2141" i="3"/>
  <c r="G2142" i="3"/>
  <c r="G2143" i="3"/>
  <c r="G2144" i="3"/>
  <c r="G2145" i="3"/>
  <c r="G2146" i="3"/>
  <c r="G2147" i="3"/>
  <c r="G2148" i="3"/>
  <c r="G2149" i="3"/>
  <c r="G2150" i="3"/>
  <c r="G2151" i="3"/>
  <c r="G2152" i="3"/>
  <c r="G2153" i="3"/>
  <c r="G2154" i="3"/>
  <c r="G2155" i="3"/>
  <c r="G2156" i="3"/>
  <c r="G2157" i="3"/>
  <c r="G2158" i="3"/>
  <c r="G2159" i="3"/>
  <c r="G2160" i="3"/>
  <c r="G2479" i="3"/>
  <c r="G2480" i="3"/>
  <c r="G2481" i="3"/>
  <c r="G2482" i="3"/>
  <c r="G2483" i="3"/>
  <c r="G2484" i="3"/>
  <c r="G2485" i="3"/>
  <c r="G2486" i="3"/>
  <c r="G2487" i="3"/>
  <c r="G2488" i="3"/>
  <c r="G2489" i="3"/>
  <c r="G2490" i="3"/>
  <c r="G2491" i="3"/>
  <c r="G2492" i="3"/>
  <c r="G2493" i="3"/>
  <c r="G2494" i="3"/>
  <c r="G2495" i="3"/>
  <c r="G2496" i="3"/>
  <c r="G2497" i="3"/>
  <c r="G2498" i="3"/>
  <c r="G2499" i="3"/>
  <c r="G2500" i="3"/>
  <c r="G2501" i="3"/>
  <c r="G2502" i="3"/>
  <c r="G2503" i="3"/>
  <c r="G2504" i="3"/>
  <c r="G2505" i="3"/>
  <c r="G2506" i="3"/>
  <c r="G2507" i="3"/>
  <c r="G2508" i="3"/>
  <c r="G2509" i="3"/>
  <c r="G2510" i="3"/>
  <c r="G2511" i="3"/>
  <c r="G2512" i="3"/>
  <c r="G2513" i="3"/>
  <c r="G2514" i="3"/>
  <c r="G2515" i="3"/>
  <c r="G2516" i="3"/>
  <c r="G2517" i="3"/>
  <c r="G2518" i="3"/>
  <c r="G2519" i="3"/>
  <c r="G2520" i="3"/>
  <c r="G2521" i="3"/>
  <c r="G2522" i="3"/>
  <c r="G2523" i="3"/>
  <c r="G2524" i="3"/>
  <c r="G2525" i="3"/>
  <c r="G2526" i="3"/>
  <c r="G2527" i="3"/>
  <c r="G2528" i="3"/>
  <c r="G2529" i="3"/>
  <c r="G2530" i="3"/>
  <c r="G2531" i="3"/>
  <c r="G2532" i="3"/>
  <c r="G2533" i="3"/>
  <c r="G2534" i="3"/>
  <c r="G2535" i="3"/>
  <c r="G2536" i="3"/>
  <c r="G2537" i="3"/>
  <c r="G2538" i="3"/>
  <c r="G2539" i="3"/>
  <c r="G2540" i="3"/>
  <c r="G2541" i="3"/>
  <c r="G2542" i="3"/>
  <c r="G2543" i="3"/>
  <c r="G2544" i="3"/>
  <c r="G2545" i="3"/>
  <c r="G2546" i="3"/>
  <c r="G2547" i="3"/>
  <c r="G2548" i="3"/>
  <c r="G2549" i="3"/>
  <c r="G2550" i="3"/>
  <c r="G2551" i="3"/>
  <c r="G2552" i="3"/>
  <c r="G2553" i="3"/>
  <c r="G2554" i="3"/>
  <c r="G2555" i="3"/>
  <c r="G2556" i="3"/>
  <c r="G2557" i="3"/>
  <c r="G2558" i="3"/>
  <c r="G2559" i="3"/>
  <c r="G2560" i="3"/>
  <c r="G2561" i="3"/>
  <c r="G2562" i="3"/>
  <c r="G2563" i="3"/>
  <c r="G2564" i="3"/>
  <c r="G2565" i="3"/>
  <c r="G2566" i="3"/>
  <c r="G2567" i="3"/>
  <c r="G2568" i="3"/>
  <c r="G2569" i="3"/>
  <c r="G2570" i="3"/>
  <c r="G2571" i="3"/>
  <c r="G2572" i="3"/>
  <c r="G2573" i="3"/>
  <c r="G2574" i="3"/>
  <c r="G2575" i="3"/>
  <c r="G2576" i="3"/>
  <c r="G2577" i="3"/>
  <c r="G2578" i="3"/>
  <c r="G2579" i="3"/>
  <c r="G2580" i="3"/>
  <c r="G2581" i="3"/>
  <c r="G2582" i="3"/>
  <c r="G2583" i="3"/>
  <c r="G2584" i="3"/>
  <c r="G2585" i="3"/>
  <c r="G2586" i="3"/>
  <c r="G2587" i="3"/>
  <c r="G2588" i="3"/>
  <c r="G2589" i="3"/>
  <c r="G2590" i="3"/>
  <c r="G2591" i="3"/>
  <c r="G2592" i="3"/>
  <c r="G2593" i="3"/>
  <c r="G2594" i="3"/>
  <c r="G2595" i="3"/>
  <c r="G2596" i="3"/>
  <c r="G2597" i="3"/>
  <c r="G2598" i="3"/>
  <c r="G2599" i="3"/>
  <c r="G2760" i="3"/>
  <c r="G2761" i="3"/>
  <c r="G2762" i="3"/>
  <c r="G2763" i="3"/>
  <c r="G2764" i="3"/>
  <c r="G2765" i="3"/>
  <c r="G2766" i="3"/>
  <c r="G2767" i="3"/>
  <c r="G2768" i="3"/>
  <c r="G2769" i="3"/>
  <c r="G2770" i="3"/>
  <c r="G2771" i="3"/>
  <c r="G2772" i="3"/>
  <c r="G2773" i="3"/>
  <c r="G2774" i="3"/>
  <c r="G2775" i="3"/>
  <c r="G2776" i="3"/>
  <c r="G2777" i="3"/>
  <c r="G2778" i="3"/>
  <c r="G2779" i="3"/>
  <c r="G2780" i="3"/>
  <c r="G2781" i="3"/>
  <c r="G2782" i="3"/>
  <c r="G2783" i="3"/>
  <c r="G2784" i="3"/>
  <c r="G2785" i="3"/>
  <c r="G2786" i="3"/>
  <c r="G2787" i="3"/>
  <c r="G2788" i="3"/>
  <c r="G2789" i="3"/>
  <c r="G2790" i="3"/>
  <c r="G2791" i="3"/>
  <c r="G2792" i="3"/>
  <c r="G2793" i="3"/>
  <c r="G2794" i="3"/>
  <c r="G2795" i="3"/>
  <c r="G2796" i="3"/>
  <c r="G2797" i="3"/>
  <c r="G2798" i="3"/>
  <c r="G2799" i="3"/>
  <c r="G2800" i="3"/>
  <c r="G2801" i="3"/>
  <c r="G2802" i="3"/>
  <c r="G2803" i="3"/>
  <c r="G2804" i="3"/>
  <c r="G2805" i="3"/>
  <c r="G2806" i="3"/>
  <c r="G2807" i="3"/>
  <c r="G2808" i="3"/>
  <c r="G2809" i="3"/>
  <c r="G2810" i="3"/>
  <c r="G2811" i="3"/>
  <c r="G2812" i="3"/>
  <c r="G3039" i="3"/>
  <c r="G3040" i="3"/>
  <c r="G3041" i="3"/>
  <c r="G3042" i="3"/>
  <c r="G3043" i="3"/>
  <c r="G3044" i="3"/>
  <c r="G3045" i="3"/>
  <c r="G3046" i="3"/>
  <c r="G3047" i="3"/>
  <c r="G3048" i="3"/>
  <c r="G3049" i="3"/>
  <c r="G3050" i="3"/>
  <c r="G3051" i="3"/>
  <c r="G3052" i="3"/>
  <c r="G3053" i="3"/>
  <c r="G3054" i="3"/>
  <c r="G3055" i="3"/>
  <c r="G3056" i="3"/>
  <c r="G3057" i="3"/>
  <c r="G3058" i="3"/>
  <c r="G3059" i="3"/>
  <c r="G3060" i="3"/>
  <c r="G3061" i="3"/>
  <c r="G3062" i="3"/>
  <c r="G3063" i="3"/>
  <c r="G3064" i="3"/>
  <c r="G3065" i="3"/>
  <c r="G3066" i="3"/>
  <c r="G3067" i="3"/>
  <c r="G3068" i="3"/>
  <c r="G3069" i="3"/>
  <c r="G3070" i="3"/>
  <c r="G3071" i="3"/>
  <c r="G3072" i="3"/>
  <c r="G3073" i="3"/>
  <c r="G3074" i="3"/>
  <c r="G3075" i="3"/>
  <c r="G3076" i="3"/>
  <c r="G3077" i="3"/>
  <c r="G3078" i="3"/>
  <c r="G3079" i="3"/>
  <c r="G3080" i="3"/>
  <c r="G3081" i="3"/>
  <c r="G3082" i="3"/>
  <c r="G3083" i="3"/>
  <c r="G3084" i="3"/>
  <c r="G3085" i="3"/>
  <c r="G3086" i="3"/>
  <c r="G3087" i="3"/>
  <c r="G3088" i="3"/>
  <c r="G3089" i="3"/>
  <c r="G3090" i="3"/>
  <c r="G3091" i="3"/>
  <c r="G3092" i="3"/>
  <c r="G3093" i="3"/>
  <c r="G947" i="3"/>
  <c r="G948" i="3"/>
  <c r="G949" i="3"/>
  <c r="G950" i="3"/>
  <c r="G951" i="3"/>
  <c r="G952" i="3"/>
  <c r="G953" i="3"/>
  <c r="G954" i="3"/>
  <c r="G955" i="3"/>
  <c r="G956" i="3"/>
  <c r="G957" i="3"/>
  <c r="G958" i="3"/>
  <c r="G959" i="3"/>
  <c r="G960" i="3"/>
  <c r="G961" i="3"/>
  <c r="G962" i="3"/>
  <c r="G963" i="3"/>
  <c r="G964" i="3"/>
  <c r="G965" i="3"/>
  <c r="G966" i="3"/>
  <c r="G967" i="3"/>
  <c r="G968" i="3"/>
  <c r="G969" i="3"/>
  <c r="G970" i="3"/>
  <c r="G971" i="3"/>
  <c r="G972" i="3"/>
  <c r="G973" i="3"/>
  <c r="G974" i="3"/>
  <c r="G975" i="3"/>
  <c r="G976" i="3"/>
  <c r="G977" i="3"/>
  <c r="G866" i="3"/>
  <c r="G867" i="3"/>
  <c r="G868" i="3"/>
  <c r="G869" i="3"/>
  <c r="G870" i="3"/>
  <c r="G871" i="3"/>
  <c r="G872" i="3"/>
  <c r="G873" i="3"/>
  <c r="G874" i="3"/>
  <c r="G875" i="3"/>
  <c r="G876" i="3"/>
  <c r="G877" i="3"/>
  <c r="G878" i="3"/>
  <c r="G879" i="3"/>
  <c r="G880" i="3"/>
  <c r="G881" i="3"/>
  <c r="G882" i="3"/>
  <c r="G883" i="3"/>
  <c r="G884" i="3"/>
  <c r="G885" i="3"/>
  <c r="G886" i="3"/>
  <c r="G887" i="3"/>
  <c r="G888" i="3"/>
  <c r="G889" i="3"/>
  <c r="G890" i="3"/>
  <c r="G891" i="3"/>
  <c r="G892" i="3"/>
  <c r="G893" i="3"/>
  <c r="G894" i="3"/>
  <c r="G895" i="3"/>
  <c r="G896" i="3"/>
  <c r="G2728" i="3"/>
  <c r="G2729" i="3"/>
  <c r="G2730" i="3"/>
  <c r="G2731" i="3"/>
  <c r="G2732" i="3"/>
  <c r="G2733" i="3"/>
  <c r="G2734" i="3"/>
  <c r="G2735" i="3"/>
  <c r="G2736" i="3"/>
  <c r="G2737" i="3"/>
  <c r="G2738" i="3"/>
  <c r="G2739" i="3"/>
  <c r="G2740" i="3"/>
  <c r="G2741" i="3"/>
  <c r="G2742" i="3"/>
  <c r="G2743" i="3"/>
  <c r="G2744" i="3"/>
  <c r="G2745" i="3"/>
  <c r="G2746" i="3"/>
  <c r="G2747" i="3"/>
  <c r="G2748" i="3"/>
  <c r="G2749" i="3"/>
  <c r="G2750" i="3"/>
  <c r="G2751" i="3"/>
  <c r="G2752" i="3"/>
  <c r="G2753" i="3"/>
  <c r="G2754" i="3"/>
  <c r="G2755" i="3"/>
  <c r="G2756" i="3"/>
  <c r="G2757" i="3"/>
  <c r="G2758" i="3"/>
  <c r="G2759" i="3"/>
  <c r="G785" i="3"/>
  <c r="G786" i="3"/>
  <c r="G787" i="3"/>
  <c r="G788" i="3"/>
  <c r="G789" i="3"/>
  <c r="G790" i="3"/>
  <c r="G791" i="3"/>
  <c r="G792" i="3"/>
  <c r="G793" i="3"/>
  <c r="G794" i="3"/>
  <c r="G795" i="3"/>
  <c r="G796" i="3"/>
  <c r="G797" i="3"/>
  <c r="G798" i="3"/>
  <c r="G799" i="3"/>
  <c r="G800" i="3"/>
  <c r="G801" i="3"/>
  <c r="G802" i="3"/>
  <c r="G803" i="3"/>
  <c r="G804" i="3"/>
  <c r="G805" i="3"/>
  <c r="G806" i="3"/>
  <c r="G807" i="3"/>
  <c r="G808" i="3"/>
  <c r="G809" i="3"/>
  <c r="G810" i="3"/>
  <c r="G811" i="3"/>
  <c r="G812" i="3"/>
  <c r="G813" i="3"/>
  <c r="G814" i="3"/>
  <c r="G815" i="3"/>
  <c r="G816" i="3"/>
  <c r="G2371" i="3"/>
  <c r="G2372" i="3"/>
  <c r="G2373" i="3"/>
  <c r="G2374" i="3"/>
  <c r="G2375" i="3"/>
  <c r="G2376" i="3"/>
  <c r="G2377" i="3"/>
  <c r="G2378" i="3"/>
  <c r="G2379" i="3"/>
  <c r="G2380" i="3"/>
  <c r="G2381" i="3"/>
  <c r="G2382" i="3"/>
  <c r="G2383" i="3"/>
  <c r="G2384" i="3"/>
  <c r="G2385" i="3"/>
  <c r="G2386" i="3"/>
  <c r="G2387" i="3"/>
  <c r="G2388" i="3"/>
  <c r="G2389" i="3"/>
  <c r="G2390" i="3"/>
  <c r="G2391" i="3"/>
  <c r="G2392" i="3"/>
  <c r="G2393" i="3"/>
  <c r="G2394" i="3"/>
  <c r="G2395" i="3"/>
  <c r="G2396" i="3"/>
  <c r="G2397" i="3"/>
  <c r="G2398" i="3"/>
  <c r="G2399" i="3"/>
  <c r="G2400" i="3"/>
  <c r="G2401" i="3"/>
  <c r="G2402" i="3"/>
  <c r="G2403" i="3"/>
  <c r="G2404" i="3"/>
  <c r="G2405" i="3"/>
  <c r="G2406" i="3"/>
  <c r="G2407" i="3"/>
  <c r="G2408" i="3"/>
  <c r="G2409" i="3"/>
  <c r="G2410" i="3"/>
  <c r="G1795" i="3"/>
  <c r="G1796" i="3"/>
  <c r="G1797" i="3"/>
  <c r="G1798" i="3"/>
  <c r="G1799" i="3"/>
  <c r="G1800" i="3"/>
  <c r="G1801" i="3"/>
  <c r="G1802" i="3"/>
  <c r="G1803" i="3"/>
  <c r="G1804" i="3"/>
  <c r="G1805" i="3"/>
  <c r="G1806" i="3"/>
  <c r="G1807" i="3"/>
  <c r="G1808" i="3"/>
  <c r="G1809" i="3"/>
  <c r="G1810" i="3"/>
  <c r="G1811" i="3"/>
  <c r="G1812" i="3"/>
  <c r="G1813" i="3"/>
  <c r="G1814" i="3"/>
  <c r="G1815" i="3"/>
  <c r="G1816" i="3"/>
  <c r="G1817" i="3"/>
  <c r="G1818" i="3"/>
  <c r="G1819" i="3"/>
  <c r="G1820" i="3"/>
  <c r="G1821" i="3"/>
  <c r="G1822" i="3"/>
  <c r="G1823" i="3"/>
  <c r="G1824" i="3"/>
  <c r="G1825" i="3"/>
  <c r="G1826" i="3"/>
  <c r="G1261" i="3"/>
  <c r="G1262" i="3"/>
  <c r="G1263" i="3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G1276" i="3"/>
  <c r="G1277" i="3"/>
  <c r="G1278" i="3"/>
  <c r="G1279" i="3"/>
  <c r="G1280" i="3"/>
  <c r="G1281" i="3"/>
  <c r="G1282" i="3"/>
  <c r="G1283" i="3"/>
  <c r="G1284" i="3"/>
  <c r="G1285" i="3"/>
  <c r="G1286" i="3"/>
  <c r="G1287" i="3"/>
  <c r="G1288" i="3"/>
  <c r="G1289" i="3"/>
  <c r="G1290" i="3"/>
  <c r="G1291" i="3"/>
  <c r="G1292" i="3"/>
  <c r="G1293" i="3"/>
  <c r="G1655" i="3"/>
  <c r="G1656" i="3"/>
  <c r="G1657" i="3"/>
  <c r="G1658" i="3"/>
  <c r="G1659" i="3"/>
  <c r="G1660" i="3"/>
  <c r="G1661" i="3"/>
  <c r="G1662" i="3"/>
  <c r="G1663" i="3"/>
  <c r="G1664" i="3"/>
  <c r="G1665" i="3"/>
  <c r="G1666" i="3"/>
  <c r="G1667" i="3"/>
  <c r="G1668" i="3"/>
  <c r="G1669" i="3"/>
  <c r="G1670" i="3"/>
  <c r="G1671" i="3"/>
  <c r="G1672" i="3"/>
  <c r="G1673" i="3"/>
  <c r="G1674" i="3"/>
  <c r="G1675" i="3"/>
  <c r="G1676" i="3"/>
  <c r="G1677" i="3"/>
  <c r="G1678" i="3"/>
  <c r="G1679" i="3"/>
  <c r="G1680" i="3"/>
  <c r="G1681" i="3"/>
  <c r="G1682" i="3"/>
  <c r="G1683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3141" i="3"/>
  <c r="G3142" i="3"/>
  <c r="G3143" i="3"/>
  <c r="G3144" i="3"/>
  <c r="G3145" i="3"/>
  <c r="G3146" i="3"/>
  <c r="G3147" i="3"/>
  <c r="G3148" i="3"/>
  <c r="G3149" i="3"/>
  <c r="G3150" i="3"/>
  <c r="G3151" i="3"/>
  <c r="G3152" i="3"/>
  <c r="G3153" i="3"/>
  <c r="G3154" i="3"/>
  <c r="G3155" i="3"/>
  <c r="G3156" i="3"/>
  <c r="G3157" i="3"/>
  <c r="G3158" i="3"/>
  <c r="G3159" i="3"/>
  <c r="G3160" i="3"/>
  <c r="G3161" i="3"/>
  <c r="G3162" i="3"/>
  <c r="G3163" i="3"/>
  <c r="G3164" i="3"/>
  <c r="G3165" i="3"/>
  <c r="G3166" i="3"/>
  <c r="G3167" i="3"/>
  <c r="G3168" i="3"/>
  <c r="G3169" i="3"/>
  <c r="G657" i="3"/>
  <c r="G658" i="3"/>
  <c r="G659" i="3"/>
  <c r="G660" i="3"/>
  <c r="G661" i="3"/>
  <c r="G662" i="3"/>
  <c r="G663" i="3"/>
  <c r="G664" i="3"/>
  <c r="G665" i="3"/>
  <c r="G666" i="3"/>
  <c r="G667" i="3"/>
  <c r="G668" i="3"/>
  <c r="G669" i="3"/>
  <c r="G670" i="3"/>
  <c r="G671" i="3"/>
  <c r="G672" i="3"/>
  <c r="G673" i="3"/>
  <c r="G674" i="3"/>
  <c r="G675" i="3"/>
  <c r="G676" i="3"/>
  <c r="G677" i="3"/>
  <c r="G678" i="3"/>
  <c r="G679" i="3"/>
  <c r="G680" i="3"/>
  <c r="G681" i="3"/>
  <c r="G682" i="3"/>
  <c r="G683" i="3"/>
  <c r="G684" i="3"/>
  <c r="G685" i="3"/>
  <c r="G686" i="3"/>
  <c r="G687" i="3"/>
  <c r="G688" i="3"/>
  <c r="G572" i="3"/>
  <c r="G573" i="3"/>
  <c r="G574" i="3"/>
  <c r="G575" i="3"/>
  <c r="G576" i="3"/>
  <c r="G577" i="3"/>
  <c r="G578" i="3"/>
  <c r="G579" i="3"/>
  <c r="G580" i="3"/>
  <c r="G581" i="3"/>
  <c r="G582" i="3"/>
  <c r="G583" i="3"/>
  <c r="G584" i="3"/>
  <c r="G585" i="3"/>
  <c r="G586" i="3"/>
  <c r="G587" i="3"/>
  <c r="G588" i="3"/>
  <c r="G589" i="3"/>
  <c r="G590" i="3"/>
  <c r="G591" i="3"/>
  <c r="G592" i="3"/>
  <c r="G593" i="3"/>
  <c r="G594" i="3"/>
  <c r="G595" i="3"/>
  <c r="G596" i="3"/>
  <c r="G597" i="3"/>
  <c r="G598" i="3"/>
  <c r="G599" i="3"/>
  <c r="G600" i="3"/>
  <c r="G601" i="3"/>
  <c r="G602" i="3"/>
  <c r="G1555" i="3"/>
  <c r="G1556" i="3"/>
  <c r="G1557" i="3"/>
  <c r="G1558" i="3"/>
  <c r="G1559" i="3"/>
  <c r="G1560" i="3"/>
  <c r="G1561" i="3"/>
  <c r="G1562" i="3"/>
  <c r="G1563" i="3"/>
  <c r="G1564" i="3"/>
  <c r="G1565" i="3"/>
  <c r="G1566" i="3"/>
  <c r="G1567" i="3"/>
  <c r="G1568" i="3"/>
  <c r="G1569" i="3"/>
  <c r="G1570" i="3"/>
  <c r="G1571" i="3"/>
  <c r="G1572" i="3"/>
  <c r="G1573" i="3"/>
  <c r="G1574" i="3"/>
  <c r="G1575" i="3"/>
  <c r="G1576" i="3"/>
  <c r="G1577" i="3"/>
  <c r="G1578" i="3"/>
  <c r="G1579" i="3"/>
  <c r="G1580" i="3"/>
  <c r="G1581" i="3"/>
  <c r="G1582" i="3"/>
  <c r="G1583" i="3"/>
  <c r="G1584" i="3"/>
  <c r="G1585" i="3"/>
  <c r="G1586" i="3"/>
  <c r="G1587" i="3"/>
  <c r="G1588" i="3"/>
  <c r="G1589" i="3"/>
  <c r="G1590" i="3"/>
  <c r="G1591" i="3"/>
  <c r="G1592" i="3"/>
  <c r="G1593" i="3"/>
  <c r="G1594" i="3"/>
  <c r="G1595" i="3"/>
  <c r="G1596" i="3"/>
  <c r="G1597" i="3"/>
  <c r="G1598" i="3"/>
  <c r="G1599" i="3"/>
  <c r="G1600" i="3"/>
  <c r="G1601" i="3"/>
  <c r="G1602" i="3"/>
  <c r="G1603" i="3"/>
  <c r="G1604" i="3"/>
  <c r="G1605" i="3"/>
  <c r="G1606" i="3"/>
  <c r="G1607" i="3"/>
  <c r="G1392" i="3"/>
  <c r="G1393" i="3"/>
  <c r="G1394" i="3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G1412" i="3"/>
  <c r="G1413" i="3"/>
  <c r="G1414" i="3"/>
  <c r="G1415" i="3"/>
  <c r="G1416" i="3"/>
  <c r="G1417" i="3"/>
  <c r="G1418" i="3"/>
  <c r="G1419" i="3"/>
  <c r="G1420" i="3"/>
  <c r="G1421" i="3"/>
  <c r="G1422" i="3"/>
  <c r="G1423" i="3"/>
  <c r="G1424" i="3"/>
  <c r="G1425" i="3"/>
  <c r="G1426" i="3"/>
  <c r="G1427" i="3"/>
  <c r="G1428" i="3"/>
  <c r="G1429" i="3"/>
  <c r="G1430" i="3"/>
  <c r="G1431" i="3"/>
  <c r="G1432" i="3"/>
  <c r="G1433" i="3"/>
  <c r="G1434" i="3"/>
  <c r="G1435" i="3"/>
  <c r="G143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1061" i="3"/>
  <c r="G1062" i="3"/>
  <c r="G1063" i="3"/>
  <c r="G1064" i="3"/>
  <c r="G1065" i="3"/>
  <c r="G1066" i="3"/>
  <c r="G1067" i="3"/>
  <c r="G1068" i="3"/>
  <c r="G1069" i="3"/>
  <c r="G1070" i="3"/>
  <c r="G1071" i="3"/>
  <c r="G1072" i="3"/>
  <c r="G1073" i="3"/>
  <c r="G1074" i="3"/>
  <c r="G1075" i="3"/>
  <c r="G1076" i="3"/>
  <c r="G1077" i="3"/>
  <c r="G1078" i="3"/>
  <c r="G1079" i="3"/>
  <c r="G1080" i="3"/>
  <c r="G1081" i="3"/>
  <c r="G1082" i="3"/>
  <c r="G1083" i="3"/>
  <c r="G1084" i="3"/>
  <c r="G1085" i="3"/>
  <c r="G1086" i="3"/>
  <c r="G1087" i="3"/>
  <c r="G1088" i="3"/>
  <c r="G1089" i="3"/>
  <c r="G1090" i="3"/>
  <c r="G1091" i="3"/>
  <c r="G1092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2638" i="3"/>
  <c r="G2639" i="3"/>
  <c r="G2640" i="3"/>
  <c r="G2641" i="3"/>
  <c r="G2642" i="3"/>
  <c r="G2643" i="3"/>
  <c r="G2644" i="3"/>
  <c r="G2645" i="3"/>
  <c r="G2646" i="3"/>
  <c r="G2647" i="3"/>
  <c r="G2648" i="3"/>
  <c r="G2649" i="3"/>
  <c r="G2650" i="3"/>
  <c r="G2651" i="3"/>
  <c r="G2652" i="3"/>
  <c r="G2653" i="3"/>
  <c r="G2654" i="3"/>
  <c r="G2655" i="3"/>
  <c r="G2656" i="3"/>
  <c r="G2657" i="3"/>
  <c r="G2658" i="3"/>
  <c r="G2659" i="3"/>
  <c r="G2660" i="3"/>
  <c r="G2661" i="3"/>
  <c r="G2662" i="3"/>
  <c r="G2663" i="3"/>
  <c r="G2664" i="3"/>
  <c r="G2665" i="3"/>
  <c r="G2666" i="3"/>
  <c r="G2667" i="3"/>
  <c r="G2668" i="3"/>
  <c r="G2669" i="3"/>
  <c r="G2670" i="3"/>
  <c r="G2671" i="3"/>
  <c r="G2672" i="3"/>
  <c r="G2673" i="3"/>
  <c r="G2674" i="3"/>
  <c r="G2675" i="3"/>
  <c r="G2676" i="3"/>
  <c r="G2677" i="3"/>
  <c r="G2678" i="3"/>
  <c r="G2679" i="3"/>
  <c r="G2680" i="3"/>
  <c r="G2681" i="3"/>
  <c r="G2682" i="3"/>
  <c r="G2683" i="3"/>
  <c r="G2684" i="3"/>
  <c r="G2685" i="3"/>
  <c r="G2686" i="3"/>
  <c r="G2687" i="3"/>
  <c r="G2688" i="3"/>
  <c r="G2689" i="3"/>
  <c r="G2690" i="3"/>
  <c r="G2691" i="3"/>
  <c r="G2692" i="3"/>
  <c r="G2693" i="3"/>
  <c r="G2694" i="3"/>
  <c r="G2695" i="3"/>
  <c r="G2600" i="3"/>
  <c r="G2601" i="3"/>
  <c r="G2602" i="3"/>
  <c r="G2603" i="3"/>
  <c r="G2604" i="3"/>
  <c r="G2605" i="3"/>
  <c r="G2606" i="3"/>
  <c r="G2607" i="3"/>
  <c r="G2608" i="3"/>
  <c r="G2609" i="3"/>
  <c r="G2610" i="3"/>
  <c r="G2611" i="3"/>
  <c r="G2612" i="3"/>
  <c r="G2613" i="3"/>
  <c r="G2614" i="3"/>
  <c r="G2615" i="3"/>
  <c r="G2616" i="3"/>
  <c r="G2617" i="3"/>
  <c r="G2618" i="3"/>
  <c r="G2619" i="3"/>
  <c r="G2620" i="3"/>
  <c r="G2621" i="3"/>
  <c r="G2622" i="3"/>
  <c r="G2623" i="3"/>
  <c r="G2624" i="3"/>
  <c r="G2625" i="3"/>
  <c r="G2626" i="3"/>
  <c r="G2627" i="3"/>
  <c r="G2628" i="3"/>
  <c r="G2629" i="3"/>
  <c r="G2630" i="3"/>
  <c r="G2631" i="3"/>
  <c r="G2632" i="3"/>
  <c r="G2633" i="3"/>
  <c r="G2634" i="3"/>
  <c r="G2635" i="3"/>
  <c r="G2636" i="3"/>
  <c r="G2637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488" i="3"/>
  <c r="G489" i="3"/>
  <c r="G490" i="3"/>
  <c r="G491" i="3"/>
  <c r="G492" i="3"/>
  <c r="G493" i="3"/>
  <c r="G494" i="3"/>
  <c r="G495" i="3"/>
  <c r="G496" i="3"/>
  <c r="G497" i="3"/>
  <c r="G498" i="3"/>
  <c r="G499" i="3"/>
  <c r="G500" i="3"/>
  <c r="G501" i="3"/>
  <c r="G502" i="3"/>
  <c r="G503" i="3"/>
  <c r="G504" i="3"/>
  <c r="G505" i="3"/>
  <c r="G506" i="3"/>
  <c r="G507" i="3"/>
  <c r="G508" i="3"/>
  <c r="G509" i="3"/>
  <c r="G510" i="3"/>
  <c r="G511" i="3"/>
  <c r="G512" i="3"/>
  <c r="G513" i="3"/>
  <c r="G514" i="3"/>
  <c r="G515" i="3"/>
  <c r="G516" i="3"/>
  <c r="G517" i="3"/>
  <c r="G518" i="3"/>
  <c r="G519" i="3"/>
  <c r="G2813" i="3"/>
  <c r="G2814" i="3"/>
  <c r="G2815" i="3"/>
  <c r="G2816" i="3"/>
  <c r="G2817" i="3"/>
  <c r="G2818" i="3"/>
  <c r="G2819" i="3"/>
  <c r="G2820" i="3"/>
  <c r="G2821" i="3"/>
  <c r="G2822" i="3"/>
  <c r="G2823" i="3"/>
  <c r="G2824" i="3"/>
  <c r="G2825" i="3"/>
  <c r="G2826" i="3"/>
  <c r="G2827" i="3"/>
  <c r="G2828" i="3"/>
  <c r="G2829" i="3"/>
  <c r="G2830" i="3"/>
  <c r="G2831" i="3"/>
  <c r="G2832" i="3"/>
  <c r="G2833" i="3"/>
  <c r="G2834" i="3"/>
  <c r="G2835" i="3"/>
  <c r="G2836" i="3"/>
  <c r="G2837" i="3"/>
  <c r="G2838" i="3"/>
  <c r="G2839" i="3"/>
  <c r="G2840" i="3"/>
  <c r="G2841" i="3"/>
  <c r="G2842" i="3"/>
  <c r="G2843" i="3"/>
  <c r="G2844" i="3"/>
  <c r="G2845" i="3"/>
  <c r="G2846" i="3"/>
  <c r="G2847" i="3"/>
  <c r="G2848" i="3"/>
  <c r="G2849" i="3"/>
  <c r="G2850" i="3"/>
  <c r="G2851" i="3"/>
  <c r="G2852" i="3"/>
  <c r="G2853" i="3"/>
  <c r="G2854" i="3"/>
  <c r="G2855" i="3"/>
  <c r="G2856" i="3"/>
  <c r="G2857" i="3"/>
  <c r="G2858" i="3"/>
  <c r="G2859" i="3"/>
  <c r="G2860" i="3"/>
  <c r="G2861" i="3"/>
  <c r="G2862" i="3"/>
  <c r="G2863" i="3"/>
  <c r="G2864" i="3"/>
  <c r="G2865" i="3"/>
  <c r="G2866" i="3"/>
  <c r="G2867" i="3"/>
  <c r="G2868" i="3"/>
  <c r="G2869" i="3"/>
  <c r="G2870" i="3"/>
  <c r="G2871" i="3"/>
  <c r="G1905" i="3"/>
  <c r="G1906" i="3"/>
  <c r="G1907" i="3"/>
  <c r="G1908" i="3"/>
  <c r="G1909" i="3"/>
  <c r="G1910" i="3"/>
  <c r="G1911" i="3"/>
  <c r="G1912" i="3"/>
  <c r="G1913" i="3"/>
  <c r="G1914" i="3"/>
  <c r="G1915" i="3"/>
  <c r="G1916" i="3"/>
  <c r="G1917" i="3"/>
  <c r="G1918" i="3"/>
  <c r="G1919" i="3"/>
  <c r="G1920" i="3"/>
  <c r="G1921" i="3"/>
  <c r="G1922" i="3"/>
  <c r="G1923" i="3"/>
  <c r="G1924" i="3"/>
  <c r="G1925" i="3"/>
  <c r="G1926" i="3"/>
  <c r="G1927" i="3"/>
  <c r="G1928" i="3"/>
  <c r="G1929" i="3"/>
  <c r="G1930" i="3"/>
  <c r="G1931" i="3"/>
  <c r="G1932" i="3"/>
  <c r="G1933" i="3"/>
  <c r="G1934" i="3"/>
  <c r="G1935" i="3"/>
  <c r="G1936" i="3"/>
  <c r="G2908" i="3"/>
  <c r="G2909" i="3"/>
  <c r="G2910" i="3"/>
  <c r="G2911" i="3"/>
  <c r="G2912" i="3"/>
  <c r="G2913" i="3"/>
  <c r="G2914" i="3"/>
  <c r="G2915" i="3"/>
  <c r="G2916" i="3"/>
  <c r="G2917" i="3"/>
  <c r="G2918" i="3"/>
  <c r="G2919" i="3"/>
  <c r="G2920" i="3"/>
  <c r="G2921" i="3"/>
  <c r="G2922" i="3"/>
  <c r="G2923" i="3"/>
  <c r="G2924" i="3"/>
  <c r="G2925" i="3"/>
  <c r="G2926" i="3"/>
  <c r="G2927" i="3"/>
  <c r="G2928" i="3"/>
  <c r="G2929" i="3"/>
  <c r="G2930" i="3"/>
  <c r="G2931" i="3"/>
  <c r="G2932" i="3"/>
  <c r="G2933" i="3"/>
  <c r="G2934" i="3"/>
  <c r="G2935" i="3"/>
  <c r="G2936" i="3"/>
  <c r="G2937" i="3"/>
  <c r="G2938" i="3"/>
  <c r="G2939" i="3"/>
  <c r="G2940" i="3"/>
  <c r="G2941" i="3"/>
  <c r="G2942" i="3"/>
  <c r="G2943" i="3"/>
  <c r="G2944" i="3"/>
  <c r="G1352" i="3"/>
  <c r="G1353" i="3"/>
  <c r="G1354" i="3"/>
  <c r="G1355" i="3"/>
  <c r="G1356" i="3"/>
  <c r="G1357" i="3"/>
  <c r="G1358" i="3"/>
  <c r="G1359" i="3"/>
  <c r="G1360" i="3"/>
  <c r="G1361" i="3"/>
  <c r="G1362" i="3"/>
  <c r="G1363" i="3"/>
  <c r="G1364" i="3"/>
  <c r="G1365" i="3"/>
  <c r="G1366" i="3"/>
  <c r="G1367" i="3"/>
  <c r="G1368" i="3"/>
  <c r="G1369" i="3"/>
  <c r="G1370" i="3"/>
  <c r="G1371" i="3"/>
  <c r="G1372" i="3"/>
  <c r="G1373" i="3"/>
  <c r="G1374" i="3"/>
  <c r="G1375" i="3"/>
  <c r="G1376" i="3"/>
  <c r="G1377" i="3"/>
  <c r="G1378" i="3"/>
  <c r="G1379" i="3"/>
  <c r="G1380" i="3"/>
  <c r="G1381" i="3"/>
  <c r="G1382" i="3"/>
  <c r="G1383" i="3"/>
  <c r="G1384" i="3"/>
  <c r="G1385" i="3"/>
  <c r="G1386" i="3"/>
  <c r="G1387" i="3"/>
  <c r="G1388" i="3"/>
  <c r="G1389" i="3"/>
  <c r="G1390" i="3"/>
  <c r="G1391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G1545" i="3"/>
  <c r="G1546" i="3"/>
  <c r="G1547" i="3"/>
  <c r="G1548" i="3"/>
  <c r="G1549" i="3"/>
  <c r="G1550" i="3"/>
  <c r="G1551" i="3"/>
  <c r="G1552" i="3"/>
  <c r="G1553" i="3"/>
  <c r="G1554" i="3"/>
  <c r="G2269" i="3"/>
  <c r="G2270" i="3"/>
  <c r="G2271" i="3"/>
  <c r="G2272" i="3"/>
  <c r="G2273" i="3"/>
  <c r="G2274" i="3"/>
  <c r="G2275" i="3"/>
  <c r="G2276" i="3"/>
  <c r="G2277" i="3"/>
  <c r="G2278" i="3"/>
  <c r="G2279" i="3"/>
  <c r="G2280" i="3"/>
  <c r="G2281" i="3"/>
  <c r="G2282" i="3"/>
  <c r="G2283" i="3"/>
  <c r="G2284" i="3"/>
  <c r="G2285" i="3"/>
  <c r="G2286" i="3"/>
  <c r="G2287" i="3"/>
  <c r="G2288" i="3"/>
  <c r="G2289" i="3"/>
  <c r="G2290" i="3"/>
  <c r="G2291" i="3"/>
  <c r="G2292" i="3"/>
  <c r="G2293" i="3"/>
  <c r="G2294" i="3"/>
  <c r="G2295" i="3"/>
  <c r="G2296" i="3"/>
  <c r="G2297" i="3"/>
  <c r="G2298" i="3"/>
  <c r="G2299" i="3"/>
  <c r="G2300" i="3"/>
  <c r="G2301" i="3"/>
  <c r="G2302" i="3"/>
  <c r="G2303" i="3"/>
  <c r="G2304" i="3"/>
  <c r="G2305" i="3"/>
  <c r="G2306" i="3"/>
  <c r="G2307" i="3"/>
  <c r="G2308" i="3"/>
  <c r="G2309" i="3"/>
  <c r="G2310" i="3"/>
  <c r="G2311" i="3"/>
  <c r="G2312" i="3"/>
  <c r="G2313" i="3"/>
  <c r="G2314" i="3"/>
  <c r="G2315" i="3"/>
  <c r="G2316" i="3"/>
  <c r="G2317" i="3"/>
  <c r="G2318" i="3"/>
  <c r="G2319" i="3"/>
  <c r="G2320" i="3"/>
  <c r="G2321" i="3"/>
  <c r="G2322" i="3"/>
  <c r="G2323" i="3"/>
  <c r="G2324" i="3"/>
  <c r="G2325" i="3"/>
  <c r="G2326" i="3"/>
  <c r="G2327" i="3"/>
  <c r="G2328" i="3"/>
  <c r="G2329" i="3"/>
  <c r="G2330" i="3"/>
  <c r="G2331" i="3"/>
  <c r="G2332" i="3"/>
  <c r="G2333" i="3"/>
  <c r="G2334" i="3"/>
  <c r="G2335" i="3"/>
  <c r="G2336" i="3"/>
  <c r="G2337" i="3"/>
  <c r="G2338" i="3"/>
  <c r="G2339" i="3"/>
  <c r="G2340" i="3"/>
  <c r="G2341" i="3"/>
  <c r="G2342" i="3"/>
  <c r="G2343" i="3"/>
  <c r="G2344" i="3"/>
  <c r="G2345" i="3"/>
  <c r="G2346" i="3"/>
  <c r="G2347" i="3"/>
  <c r="G2348" i="3"/>
  <c r="G2349" i="3"/>
  <c r="G2350" i="3"/>
  <c r="G2351" i="3"/>
  <c r="G2352" i="3"/>
  <c r="G2353" i="3"/>
  <c r="G2354" i="3"/>
  <c r="G2355" i="3"/>
  <c r="G2356" i="3"/>
  <c r="G2357" i="3"/>
  <c r="G2358" i="3"/>
  <c r="G2359" i="3"/>
  <c r="G2360" i="3"/>
  <c r="G2361" i="3"/>
  <c r="G2362" i="3"/>
  <c r="G2363" i="3"/>
  <c r="G2364" i="3"/>
  <c r="G2365" i="3"/>
  <c r="G2366" i="3"/>
  <c r="G2367" i="3"/>
  <c r="G2368" i="3"/>
  <c r="G2369" i="3"/>
  <c r="G2370" i="3"/>
  <c r="G2696" i="3"/>
  <c r="G2697" i="3"/>
  <c r="G2698" i="3"/>
  <c r="G2699" i="3"/>
  <c r="G2700" i="3"/>
  <c r="G2701" i="3"/>
  <c r="G2702" i="3"/>
  <c r="G2703" i="3"/>
  <c r="G2704" i="3"/>
  <c r="G2705" i="3"/>
  <c r="G2706" i="3"/>
  <c r="G2707" i="3"/>
  <c r="G2708" i="3"/>
  <c r="G2709" i="3"/>
  <c r="G2710" i="3"/>
  <c r="G2711" i="3"/>
  <c r="G2712" i="3"/>
  <c r="G2713" i="3"/>
  <c r="G2714" i="3"/>
  <c r="G2715" i="3"/>
  <c r="G2716" i="3"/>
  <c r="G2717" i="3"/>
  <c r="G2718" i="3"/>
  <c r="G2719" i="3"/>
  <c r="G2720" i="3"/>
  <c r="G2721" i="3"/>
  <c r="G2722" i="3"/>
  <c r="G2723" i="3"/>
  <c r="G2724" i="3"/>
  <c r="G2725" i="3"/>
  <c r="G2726" i="3"/>
  <c r="G2727" i="3"/>
  <c r="I1827" i="3"/>
  <c r="I1828" i="3"/>
  <c r="I1829" i="3"/>
  <c r="I1830" i="3"/>
  <c r="I1831" i="3"/>
  <c r="I1832" i="3"/>
  <c r="I1833" i="3"/>
  <c r="I1834" i="3"/>
  <c r="I1835" i="3"/>
  <c r="I1836" i="3"/>
  <c r="I1837" i="3"/>
  <c r="I1838" i="3"/>
  <c r="I1839" i="3"/>
  <c r="I1840" i="3"/>
  <c r="I1841" i="3"/>
  <c r="I1842" i="3"/>
  <c r="I1843" i="3"/>
  <c r="I1844" i="3"/>
  <c r="I1845" i="3"/>
  <c r="I1846" i="3"/>
  <c r="I1847" i="3"/>
  <c r="I1848" i="3"/>
  <c r="I1849" i="3"/>
  <c r="I1850" i="3"/>
  <c r="I1851" i="3"/>
  <c r="I1852" i="3"/>
  <c r="I1853" i="3"/>
  <c r="I1854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67" i="3"/>
  <c r="I1868" i="3"/>
  <c r="I1869" i="3"/>
  <c r="I1870" i="3"/>
  <c r="I1871" i="3"/>
  <c r="I1872" i="3"/>
  <c r="I18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3202" i="3"/>
  <c r="I3203" i="3"/>
  <c r="I3204" i="3"/>
  <c r="I3205" i="3"/>
  <c r="I3206" i="3"/>
  <c r="I3207" i="3"/>
  <c r="I3208" i="3"/>
  <c r="I3209" i="3"/>
  <c r="I3210" i="3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223" i="3"/>
  <c r="I3224" i="3"/>
  <c r="I3225" i="3"/>
  <c r="I3226" i="3"/>
  <c r="I3227" i="3"/>
  <c r="I3228" i="3"/>
  <c r="I3229" i="3"/>
  <c r="I3230" i="3"/>
  <c r="I3231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2945" i="3"/>
  <c r="I2946" i="3"/>
  <c r="I2947" i="3"/>
  <c r="I2948" i="3"/>
  <c r="I2949" i="3"/>
  <c r="I2950" i="3"/>
  <c r="I2951" i="3"/>
  <c r="I2952" i="3"/>
  <c r="I2953" i="3"/>
  <c r="I2954" i="3"/>
  <c r="I2955" i="3"/>
  <c r="I2956" i="3"/>
  <c r="I2957" i="3"/>
  <c r="I2958" i="3"/>
  <c r="I2959" i="3"/>
  <c r="I2960" i="3"/>
  <c r="I2961" i="3"/>
  <c r="I2962" i="3"/>
  <c r="I2963" i="3"/>
  <c r="I2964" i="3"/>
  <c r="I2965" i="3"/>
  <c r="I2966" i="3"/>
  <c r="I2967" i="3"/>
  <c r="I2968" i="3"/>
  <c r="I2969" i="3"/>
  <c r="I2970" i="3"/>
  <c r="I2971" i="3"/>
  <c r="I2972" i="3"/>
  <c r="I2973" i="3"/>
  <c r="I2974" i="3"/>
  <c r="I2975" i="3"/>
  <c r="I2976" i="3"/>
  <c r="I2977" i="3"/>
  <c r="I2978" i="3"/>
  <c r="I2979" i="3"/>
  <c r="I2980" i="3"/>
  <c r="I2981" i="3"/>
  <c r="I2982" i="3"/>
  <c r="I2983" i="3"/>
  <c r="I2984" i="3"/>
  <c r="I2985" i="3"/>
  <c r="I2986" i="3"/>
  <c r="I2987" i="3"/>
  <c r="I2988" i="3"/>
  <c r="I2989" i="3"/>
  <c r="I3094" i="3"/>
  <c r="I3095" i="3"/>
  <c r="I3096" i="3"/>
  <c r="I3097" i="3"/>
  <c r="I3098" i="3"/>
  <c r="I3099" i="3"/>
  <c r="I3100" i="3"/>
  <c r="I3101" i="3"/>
  <c r="I3102" i="3"/>
  <c r="I3103" i="3"/>
  <c r="I3104" i="3"/>
  <c r="I3105" i="3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20" i="3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28" i="3"/>
  <c r="I2229" i="3"/>
  <c r="I2230" i="3"/>
  <c r="I2231" i="3"/>
  <c r="I2232" i="3"/>
  <c r="I2233" i="3"/>
  <c r="I2234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2990" i="3"/>
  <c r="I2991" i="3"/>
  <c r="I2992" i="3"/>
  <c r="I2993" i="3"/>
  <c r="I2994" i="3"/>
  <c r="I2995" i="3"/>
  <c r="I2996" i="3"/>
  <c r="I2997" i="3"/>
  <c r="I2998" i="3"/>
  <c r="I2999" i="3"/>
  <c r="I3000" i="3"/>
  <c r="I3001" i="3"/>
  <c r="I3002" i="3"/>
  <c r="I3003" i="3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21" i="3"/>
  <c r="I3022" i="3"/>
  <c r="I3023" i="3"/>
  <c r="I3024" i="3"/>
  <c r="I3025" i="3"/>
  <c r="I3026" i="3"/>
  <c r="I3027" i="3"/>
  <c r="I3028" i="3"/>
  <c r="I3029" i="3"/>
  <c r="I3030" i="3"/>
  <c r="I3031" i="3"/>
  <c r="I3032" i="3"/>
  <c r="I3033" i="3"/>
  <c r="I3034" i="3"/>
  <c r="I3035" i="3"/>
  <c r="I3036" i="3"/>
  <c r="I3037" i="3"/>
  <c r="I3038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90" i="3"/>
  <c r="I3191" i="3"/>
  <c r="I3192" i="3"/>
  <c r="I3193" i="3"/>
  <c r="I3194" i="3"/>
  <c r="I3195" i="3"/>
  <c r="I3196" i="3"/>
  <c r="I3197" i="3"/>
  <c r="I3198" i="3"/>
  <c r="I3199" i="3"/>
  <c r="I3200" i="3"/>
  <c r="I3201" i="3"/>
  <c r="I1874" i="3"/>
  <c r="I1875" i="3"/>
  <c r="I1876" i="3"/>
  <c r="I1877" i="3"/>
  <c r="I1878" i="3"/>
  <c r="I1879" i="3"/>
  <c r="I1880" i="3"/>
  <c r="I1881" i="3"/>
  <c r="I1882" i="3"/>
  <c r="I1883" i="3"/>
  <c r="I1884" i="3"/>
  <c r="I1885" i="3"/>
  <c r="I1886" i="3"/>
  <c r="I1887" i="3"/>
  <c r="I1888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2235" i="3"/>
  <c r="I2236" i="3"/>
  <c r="I2237" i="3"/>
  <c r="I2238" i="3"/>
  <c r="I2239" i="3"/>
  <c r="I2240" i="3"/>
  <c r="I2241" i="3"/>
  <c r="I2242" i="3"/>
  <c r="I2243" i="3"/>
  <c r="I2244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63" i="3"/>
  <c r="I2264" i="3"/>
  <c r="I2265" i="3"/>
  <c r="I2266" i="3"/>
  <c r="I2267" i="3"/>
  <c r="I2268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85" i="3"/>
  <c r="I2886" i="3"/>
  <c r="I2887" i="3"/>
  <c r="I2888" i="3"/>
  <c r="I2889" i="3"/>
  <c r="I2890" i="3"/>
  <c r="I2891" i="3"/>
  <c r="I2892" i="3"/>
  <c r="I2893" i="3"/>
  <c r="I2894" i="3"/>
  <c r="I2895" i="3"/>
  <c r="I2896" i="3"/>
  <c r="I2897" i="3"/>
  <c r="I2898" i="3"/>
  <c r="I2899" i="3"/>
  <c r="I2900" i="3"/>
  <c r="I2901" i="3"/>
  <c r="I2902" i="3"/>
  <c r="I2903" i="3"/>
  <c r="I2904" i="3"/>
  <c r="I2905" i="3"/>
  <c r="I2906" i="3"/>
  <c r="I2907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2411" i="3"/>
  <c r="I2412" i="3"/>
  <c r="I2413" i="3"/>
  <c r="I2414" i="3"/>
  <c r="I2415" i="3"/>
  <c r="I2416" i="3"/>
  <c r="I2417" i="3"/>
  <c r="I2418" i="3"/>
  <c r="I2419" i="3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54" i="3"/>
  <c r="I2455" i="3"/>
  <c r="I2456" i="3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76" i="3"/>
  <c r="I2477" i="3"/>
  <c r="I2478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93" i="3"/>
  <c r="I1494" i="3"/>
  <c r="I1495" i="3"/>
  <c r="I1496" i="3"/>
  <c r="I1497" i="3"/>
  <c r="I1498" i="3"/>
  <c r="I1499" i="3"/>
  <c r="I1500" i="3"/>
  <c r="I1501" i="3"/>
  <c r="I1502" i="3"/>
  <c r="I1503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28" i="3"/>
  <c r="I1529" i="3"/>
  <c r="I1530" i="3"/>
  <c r="I1608" i="3"/>
  <c r="I1609" i="3"/>
  <c r="I1610" i="3"/>
  <c r="I1611" i="3"/>
  <c r="I1612" i="3"/>
  <c r="I1613" i="3"/>
  <c r="I1614" i="3"/>
  <c r="I1615" i="3"/>
  <c r="I1616" i="3"/>
  <c r="I1617" i="3"/>
  <c r="I1618" i="3"/>
  <c r="I1619" i="3"/>
  <c r="I1620" i="3"/>
  <c r="I1621" i="3"/>
  <c r="I1622" i="3"/>
  <c r="I1623" i="3"/>
  <c r="I1624" i="3"/>
  <c r="I1625" i="3"/>
  <c r="I1626" i="3"/>
  <c r="I1627" i="3"/>
  <c r="I1628" i="3"/>
  <c r="I1629" i="3"/>
  <c r="I1630" i="3"/>
  <c r="I1631" i="3"/>
  <c r="I1632" i="3"/>
  <c r="I1633" i="3"/>
  <c r="I1634" i="3"/>
  <c r="I1635" i="3"/>
  <c r="I1636" i="3"/>
  <c r="I1637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84" i="3"/>
  <c r="I1685" i="3"/>
  <c r="I1686" i="3"/>
  <c r="I1687" i="3"/>
  <c r="I1688" i="3"/>
  <c r="I1689" i="3"/>
  <c r="I1690" i="3"/>
  <c r="I1691" i="3"/>
  <c r="I1692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708" i="3"/>
  <c r="I1709" i="3"/>
  <c r="I1710" i="3"/>
  <c r="I1711" i="3"/>
  <c r="I1712" i="3"/>
  <c r="I1713" i="3"/>
  <c r="I1714" i="3"/>
  <c r="I1715" i="3"/>
  <c r="I1716" i="3"/>
  <c r="I1717" i="3"/>
  <c r="I1718" i="3"/>
  <c r="I1719" i="3"/>
  <c r="I1720" i="3"/>
  <c r="I1721" i="3"/>
  <c r="I1722" i="3"/>
  <c r="I1723" i="3"/>
  <c r="I1724" i="3"/>
  <c r="I1725" i="3"/>
  <c r="I1726" i="3"/>
  <c r="I1727" i="3"/>
  <c r="I1728" i="3"/>
  <c r="I1729" i="3"/>
  <c r="I1730" i="3"/>
  <c r="I1731" i="3"/>
  <c r="I1732" i="3"/>
  <c r="I1733" i="3"/>
  <c r="I1734" i="3"/>
  <c r="I1735" i="3"/>
  <c r="I1736" i="3"/>
  <c r="I1737" i="3"/>
  <c r="I1738" i="3"/>
  <c r="I1739" i="3"/>
  <c r="I1740" i="3"/>
  <c r="I1741" i="3"/>
  <c r="I1742" i="3"/>
  <c r="I1743" i="3"/>
  <c r="I1744" i="3"/>
  <c r="I1745" i="3"/>
  <c r="I1746" i="3"/>
  <c r="I1747" i="3"/>
  <c r="I1748" i="3"/>
  <c r="I1749" i="3"/>
  <c r="I1750" i="3"/>
  <c r="I1751" i="3"/>
  <c r="I1752" i="3"/>
  <c r="I1753" i="3"/>
  <c r="I1754" i="3"/>
  <c r="I1755" i="3"/>
  <c r="I1756" i="3"/>
  <c r="I1757" i="3"/>
  <c r="I1758" i="3"/>
  <c r="I1759" i="3"/>
  <c r="I1760" i="3"/>
  <c r="I1761" i="3"/>
  <c r="I1762" i="3"/>
  <c r="I1763" i="3"/>
  <c r="I1764" i="3"/>
  <c r="I1765" i="3"/>
  <c r="I1766" i="3"/>
  <c r="I1767" i="3"/>
  <c r="I1768" i="3"/>
  <c r="I1769" i="3"/>
  <c r="I1770" i="3"/>
  <c r="I1771" i="3"/>
  <c r="I1772" i="3"/>
  <c r="I1773" i="3"/>
  <c r="I1774" i="3"/>
  <c r="I1775" i="3"/>
  <c r="I1776" i="3"/>
  <c r="I1777" i="3"/>
  <c r="I1778" i="3"/>
  <c r="I1779" i="3"/>
  <c r="I1780" i="3"/>
  <c r="I1781" i="3"/>
  <c r="I1782" i="3"/>
  <c r="I1783" i="3"/>
  <c r="I1784" i="3"/>
  <c r="I1785" i="3"/>
  <c r="I1786" i="3"/>
  <c r="I1787" i="3"/>
  <c r="I1788" i="3"/>
  <c r="I1789" i="3"/>
  <c r="I1790" i="3"/>
  <c r="I1791" i="3"/>
  <c r="I1792" i="3"/>
  <c r="I1793" i="3"/>
  <c r="I1794" i="3"/>
  <c r="I1937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2010" i="3"/>
  <c r="I2011" i="3"/>
  <c r="I2012" i="3"/>
  <c r="I2013" i="3"/>
  <c r="I2014" i="3"/>
  <c r="I2015" i="3"/>
  <c r="I2016" i="3"/>
  <c r="I2017" i="3"/>
  <c r="I2018" i="3"/>
  <c r="I2019" i="3"/>
  <c r="I2020" i="3"/>
  <c r="I2021" i="3"/>
  <c r="I2022" i="3"/>
  <c r="I2023" i="3"/>
  <c r="I2024" i="3"/>
  <c r="I2025" i="3"/>
  <c r="I2026" i="3"/>
  <c r="I2027" i="3"/>
  <c r="I2028" i="3"/>
  <c r="I2029" i="3"/>
  <c r="I2030" i="3"/>
  <c r="I2031" i="3"/>
  <c r="I2032" i="3"/>
  <c r="I2033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89" i="3"/>
  <c r="I2090" i="3"/>
  <c r="I2091" i="3"/>
  <c r="I2092" i="3"/>
  <c r="I2093" i="3"/>
  <c r="I2094" i="3"/>
  <c r="I2095" i="3"/>
  <c r="I2096" i="3"/>
  <c r="I2097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159" i="3"/>
  <c r="I2160" i="3"/>
  <c r="I2479" i="3"/>
  <c r="I2480" i="3"/>
  <c r="I2481" i="3"/>
  <c r="I2482" i="3"/>
  <c r="I2483" i="3"/>
  <c r="I2484" i="3"/>
  <c r="I2485" i="3"/>
  <c r="I2486" i="3"/>
  <c r="I2487" i="3"/>
  <c r="I2488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530" i="3"/>
  <c r="I2531" i="3"/>
  <c r="I2532" i="3"/>
  <c r="I2533" i="3"/>
  <c r="I2534" i="3"/>
  <c r="I2535" i="3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87" i="3"/>
  <c r="I2588" i="3"/>
  <c r="I2589" i="3"/>
  <c r="I2590" i="3"/>
  <c r="I2591" i="3"/>
  <c r="I2592" i="3"/>
  <c r="I2593" i="3"/>
  <c r="I2594" i="3"/>
  <c r="I2595" i="3"/>
  <c r="I2596" i="3"/>
  <c r="I2597" i="3"/>
  <c r="I2598" i="3"/>
  <c r="I2599" i="3"/>
  <c r="I2760" i="3"/>
  <c r="I2761" i="3"/>
  <c r="I2762" i="3"/>
  <c r="I2763" i="3"/>
  <c r="I2764" i="3"/>
  <c r="I2765" i="3"/>
  <c r="I2766" i="3"/>
  <c r="I2767" i="3"/>
  <c r="I2768" i="3"/>
  <c r="I2769" i="3"/>
  <c r="I2770" i="3"/>
  <c r="I2771" i="3"/>
  <c r="I2772" i="3"/>
  <c r="I2773" i="3"/>
  <c r="I2774" i="3"/>
  <c r="I2775" i="3"/>
  <c r="I2776" i="3"/>
  <c r="I2777" i="3"/>
  <c r="I2778" i="3"/>
  <c r="I2779" i="3"/>
  <c r="I2780" i="3"/>
  <c r="I2781" i="3"/>
  <c r="I2782" i="3"/>
  <c r="I2783" i="3"/>
  <c r="I2784" i="3"/>
  <c r="I2785" i="3"/>
  <c r="I2786" i="3"/>
  <c r="I2787" i="3"/>
  <c r="I2788" i="3"/>
  <c r="I2789" i="3"/>
  <c r="I2790" i="3"/>
  <c r="I2791" i="3"/>
  <c r="I2792" i="3"/>
  <c r="I2793" i="3"/>
  <c r="I2794" i="3"/>
  <c r="I2795" i="3"/>
  <c r="I2796" i="3"/>
  <c r="I2797" i="3"/>
  <c r="I2798" i="3"/>
  <c r="I2799" i="3"/>
  <c r="I2800" i="3"/>
  <c r="I2801" i="3"/>
  <c r="I2802" i="3"/>
  <c r="I2803" i="3"/>
  <c r="I2804" i="3"/>
  <c r="I2805" i="3"/>
  <c r="I2806" i="3"/>
  <c r="I2807" i="3"/>
  <c r="I2808" i="3"/>
  <c r="I2809" i="3"/>
  <c r="I2810" i="3"/>
  <c r="I2811" i="3"/>
  <c r="I2812" i="3"/>
  <c r="I3039" i="3"/>
  <c r="I3040" i="3"/>
  <c r="I3041" i="3"/>
  <c r="I3042" i="3"/>
  <c r="I3043" i="3"/>
  <c r="I3044" i="3"/>
  <c r="I3045" i="3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76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2728" i="3"/>
  <c r="I2729" i="3"/>
  <c r="I2730" i="3"/>
  <c r="I2731" i="3"/>
  <c r="I2732" i="3"/>
  <c r="I2733" i="3"/>
  <c r="I2734" i="3"/>
  <c r="I2735" i="3"/>
  <c r="I2736" i="3"/>
  <c r="I2737" i="3"/>
  <c r="I2738" i="3"/>
  <c r="I2739" i="3"/>
  <c r="I2740" i="3"/>
  <c r="I2741" i="3"/>
  <c r="I2742" i="3"/>
  <c r="I2743" i="3"/>
  <c r="I2744" i="3"/>
  <c r="I2745" i="3"/>
  <c r="I2746" i="3"/>
  <c r="I2747" i="3"/>
  <c r="I2748" i="3"/>
  <c r="I2749" i="3"/>
  <c r="I2750" i="3"/>
  <c r="I2751" i="3"/>
  <c r="I2752" i="3"/>
  <c r="I2753" i="3"/>
  <c r="I2754" i="3"/>
  <c r="I2755" i="3"/>
  <c r="I2756" i="3"/>
  <c r="I2757" i="3"/>
  <c r="I2758" i="3"/>
  <c r="I2759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2371" i="3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1795" i="3"/>
  <c r="I1796" i="3"/>
  <c r="I1797" i="3"/>
  <c r="I1798" i="3"/>
  <c r="I1799" i="3"/>
  <c r="I1800" i="3"/>
  <c r="I1801" i="3"/>
  <c r="I180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17" i="3"/>
  <c r="I1818" i="3"/>
  <c r="I1819" i="3"/>
  <c r="I1820" i="3"/>
  <c r="I1821" i="3"/>
  <c r="I1822" i="3"/>
  <c r="I1823" i="3"/>
  <c r="I1824" i="3"/>
  <c r="I1825" i="3"/>
  <c r="I1826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655" i="3"/>
  <c r="I1656" i="3"/>
  <c r="I1657" i="3"/>
  <c r="I1658" i="3"/>
  <c r="I1659" i="3"/>
  <c r="I1660" i="3"/>
  <c r="I1661" i="3"/>
  <c r="I1662" i="3"/>
  <c r="I1663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76" i="3"/>
  <c r="I1677" i="3"/>
  <c r="I1678" i="3"/>
  <c r="I1679" i="3"/>
  <c r="I1680" i="3"/>
  <c r="I1681" i="3"/>
  <c r="I1682" i="3"/>
  <c r="I1683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3141" i="3"/>
  <c r="I3142" i="3"/>
  <c r="I3143" i="3"/>
  <c r="I3144" i="3"/>
  <c r="I3145" i="3"/>
  <c r="I3146" i="3"/>
  <c r="I3147" i="3"/>
  <c r="I3148" i="3"/>
  <c r="I3149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605" i="3"/>
  <c r="I1606" i="3"/>
  <c r="I1607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2638" i="3"/>
  <c r="I2639" i="3"/>
  <c r="I2640" i="3"/>
  <c r="I2641" i="3"/>
  <c r="I2642" i="3"/>
  <c r="I2643" i="3"/>
  <c r="I2644" i="3"/>
  <c r="I2645" i="3"/>
  <c r="I2646" i="3"/>
  <c r="I2647" i="3"/>
  <c r="I2648" i="3"/>
  <c r="I2649" i="3"/>
  <c r="I2650" i="3"/>
  <c r="I2651" i="3"/>
  <c r="I2652" i="3"/>
  <c r="I2653" i="3"/>
  <c r="I2654" i="3"/>
  <c r="I2655" i="3"/>
  <c r="I2656" i="3"/>
  <c r="I2657" i="3"/>
  <c r="I2658" i="3"/>
  <c r="I2659" i="3"/>
  <c r="I2660" i="3"/>
  <c r="I2661" i="3"/>
  <c r="I2662" i="3"/>
  <c r="I2663" i="3"/>
  <c r="I2664" i="3"/>
  <c r="I2665" i="3"/>
  <c r="I2666" i="3"/>
  <c r="I2667" i="3"/>
  <c r="I2668" i="3"/>
  <c r="I2669" i="3"/>
  <c r="I2670" i="3"/>
  <c r="I2671" i="3"/>
  <c r="I2672" i="3"/>
  <c r="I2673" i="3"/>
  <c r="I2674" i="3"/>
  <c r="I2675" i="3"/>
  <c r="I2676" i="3"/>
  <c r="I2677" i="3"/>
  <c r="I2678" i="3"/>
  <c r="I2679" i="3"/>
  <c r="I2680" i="3"/>
  <c r="I2681" i="3"/>
  <c r="I2682" i="3"/>
  <c r="I2683" i="3"/>
  <c r="I2684" i="3"/>
  <c r="I2685" i="3"/>
  <c r="I2686" i="3"/>
  <c r="I2687" i="3"/>
  <c r="I2688" i="3"/>
  <c r="I2689" i="3"/>
  <c r="I2690" i="3"/>
  <c r="I2691" i="3"/>
  <c r="I2692" i="3"/>
  <c r="I2693" i="3"/>
  <c r="I2694" i="3"/>
  <c r="I2695" i="3"/>
  <c r="I2600" i="3"/>
  <c r="I2601" i="3"/>
  <c r="I2602" i="3"/>
  <c r="I2603" i="3"/>
  <c r="I2604" i="3"/>
  <c r="I2605" i="3"/>
  <c r="I2606" i="3"/>
  <c r="I2607" i="3"/>
  <c r="I2608" i="3"/>
  <c r="I2609" i="3"/>
  <c r="I2610" i="3"/>
  <c r="I2611" i="3"/>
  <c r="I2612" i="3"/>
  <c r="I2613" i="3"/>
  <c r="I2614" i="3"/>
  <c r="I2615" i="3"/>
  <c r="I2616" i="3"/>
  <c r="I2617" i="3"/>
  <c r="I2618" i="3"/>
  <c r="I2619" i="3"/>
  <c r="I2620" i="3"/>
  <c r="I2621" i="3"/>
  <c r="I2622" i="3"/>
  <c r="I2623" i="3"/>
  <c r="I2624" i="3"/>
  <c r="I2625" i="3"/>
  <c r="I2626" i="3"/>
  <c r="I2627" i="3"/>
  <c r="I2628" i="3"/>
  <c r="I2629" i="3"/>
  <c r="I2630" i="3"/>
  <c r="I2631" i="3"/>
  <c r="I2632" i="3"/>
  <c r="I2633" i="3"/>
  <c r="I2634" i="3"/>
  <c r="I2635" i="3"/>
  <c r="I2636" i="3"/>
  <c r="I2637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2813" i="3"/>
  <c r="I2814" i="3"/>
  <c r="I2815" i="3"/>
  <c r="I2816" i="3"/>
  <c r="I2817" i="3"/>
  <c r="I2818" i="3"/>
  <c r="I2819" i="3"/>
  <c r="I2820" i="3"/>
  <c r="I2821" i="3"/>
  <c r="I2822" i="3"/>
  <c r="I2823" i="3"/>
  <c r="I2824" i="3"/>
  <c r="I2825" i="3"/>
  <c r="I2826" i="3"/>
  <c r="I2827" i="3"/>
  <c r="I2828" i="3"/>
  <c r="I2829" i="3"/>
  <c r="I2830" i="3"/>
  <c r="I2831" i="3"/>
  <c r="I2832" i="3"/>
  <c r="I2833" i="3"/>
  <c r="I2834" i="3"/>
  <c r="I2835" i="3"/>
  <c r="I2836" i="3"/>
  <c r="I2837" i="3"/>
  <c r="I2838" i="3"/>
  <c r="I2839" i="3"/>
  <c r="I2840" i="3"/>
  <c r="I2841" i="3"/>
  <c r="I2842" i="3"/>
  <c r="I2843" i="3"/>
  <c r="I2844" i="3"/>
  <c r="I2845" i="3"/>
  <c r="I2846" i="3"/>
  <c r="I2847" i="3"/>
  <c r="I2848" i="3"/>
  <c r="I2849" i="3"/>
  <c r="I2850" i="3"/>
  <c r="I2851" i="3"/>
  <c r="I2852" i="3"/>
  <c r="I2853" i="3"/>
  <c r="I2854" i="3"/>
  <c r="I2855" i="3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69" i="3"/>
  <c r="I2870" i="3"/>
  <c r="I2871" i="3"/>
  <c r="I1905" i="3"/>
  <c r="I1906" i="3"/>
  <c r="I1907" i="3"/>
  <c r="I1908" i="3"/>
  <c r="I1909" i="3"/>
  <c r="I1910" i="3"/>
  <c r="I1911" i="3"/>
  <c r="I1912" i="3"/>
  <c r="I1913" i="3"/>
  <c r="I1914" i="3"/>
  <c r="I1915" i="3"/>
  <c r="I1916" i="3"/>
  <c r="I1917" i="3"/>
  <c r="I1918" i="3"/>
  <c r="I1919" i="3"/>
  <c r="I1920" i="3"/>
  <c r="I1921" i="3"/>
  <c r="I1922" i="3"/>
  <c r="I1923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2908" i="3"/>
  <c r="I2909" i="3"/>
  <c r="I2910" i="3"/>
  <c r="I2911" i="3"/>
  <c r="I2912" i="3"/>
  <c r="I2913" i="3"/>
  <c r="I2914" i="3"/>
  <c r="I2915" i="3"/>
  <c r="I2916" i="3"/>
  <c r="I2917" i="3"/>
  <c r="I2918" i="3"/>
  <c r="I2919" i="3"/>
  <c r="I2920" i="3"/>
  <c r="I2921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37" i="3"/>
  <c r="I2938" i="3"/>
  <c r="I2939" i="3"/>
  <c r="I2940" i="3"/>
  <c r="I2941" i="3"/>
  <c r="I2942" i="3"/>
  <c r="I2943" i="3"/>
  <c r="I2944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531" i="3"/>
  <c r="I1532" i="3"/>
  <c r="I1533" i="3"/>
  <c r="I1534" i="3"/>
  <c r="I1535" i="3"/>
  <c r="I1536" i="3"/>
  <c r="I1537" i="3"/>
  <c r="I1538" i="3"/>
  <c r="I1539" i="3"/>
  <c r="I1540" i="3"/>
  <c r="I1541" i="3"/>
  <c r="I1542" i="3"/>
  <c r="I1543" i="3"/>
  <c r="I1544" i="3"/>
  <c r="I1545" i="3"/>
  <c r="I1546" i="3"/>
  <c r="I1547" i="3"/>
  <c r="I1548" i="3"/>
  <c r="I1549" i="3"/>
  <c r="I1550" i="3"/>
  <c r="I1551" i="3"/>
  <c r="I1552" i="3"/>
  <c r="I1553" i="3"/>
  <c r="I1554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83" i="3"/>
  <c r="I2284" i="3"/>
  <c r="I2285" i="3"/>
  <c r="I2286" i="3"/>
  <c r="I2287" i="3"/>
  <c r="I2288" i="3"/>
  <c r="I2289" i="3"/>
  <c r="I2290" i="3"/>
  <c r="I2291" i="3"/>
  <c r="I2292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311" i="3"/>
  <c r="I2312" i="3"/>
  <c r="I2313" i="3"/>
  <c r="I2314" i="3"/>
  <c r="I2315" i="3"/>
  <c r="I2316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30" i="3"/>
  <c r="I2331" i="3"/>
  <c r="I2332" i="3"/>
  <c r="I2333" i="3"/>
  <c r="I2334" i="3"/>
  <c r="I2335" i="3"/>
  <c r="I2336" i="3"/>
  <c r="I2337" i="3"/>
  <c r="I2338" i="3"/>
  <c r="I2339" i="3"/>
  <c r="I2340" i="3"/>
  <c r="I2341" i="3"/>
  <c r="I2342" i="3"/>
  <c r="I2343" i="3"/>
  <c r="I2344" i="3"/>
  <c r="I2345" i="3"/>
  <c r="I2346" i="3"/>
  <c r="I2347" i="3"/>
  <c r="I2348" i="3"/>
  <c r="I2349" i="3"/>
  <c r="I2350" i="3"/>
  <c r="I2351" i="3"/>
  <c r="I2352" i="3"/>
  <c r="I2353" i="3"/>
  <c r="I2354" i="3"/>
  <c r="I2355" i="3"/>
  <c r="I2356" i="3"/>
  <c r="I2357" i="3"/>
  <c r="I2358" i="3"/>
  <c r="I2359" i="3"/>
  <c r="I2360" i="3"/>
  <c r="I2361" i="3"/>
  <c r="I2362" i="3"/>
  <c r="I2363" i="3"/>
  <c r="I2364" i="3"/>
  <c r="I2365" i="3"/>
  <c r="I2366" i="3"/>
  <c r="I2367" i="3"/>
  <c r="I2368" i="3"/>
  <c r="I2369" i="3"/>
  <c r="I2370" i="3"/>
  <c r="I2696" i="3"/>
  <c r="I2697" i="3"/>
  <c r="I2698" i="3"/>
  <c r="I2699" i="3"/>
  <c r="I2700" i="3"/>
  <c r="I2701" i="3"/>
  <c r="I2702" i="3"/>
  <c r="I2703" i="3"/>
  <c r="I2704" i="3"/>
  <c r="I2705" i="3"/>
  <c r="I2706" i="3"/>
  <c r="I2707" i="3"/>
  <c r="I2708" i="3"/>
  <c r="I2709" i="3"/>
  <c r="I2710" i="3"/>
  <c r="I2711" i="3"/>
  <c r="I2712" i="3"/>
  <c r="I2713" i="3"/>
  <c r="I2714" i="3"/>
  <c r="I2715" i="3"/>
  <c r="I2716" i="3"/>
  <c r="I2717" i="3"/>
  <c r="I2718" i="3"/>
  <c r="I2719" i="3"/>
  <c r="I2720" i="3"/>
  <c r="I2721" i="3"/>
  <c r="I2722" i="3"/>
  <c r="I2723" i="3"/>
  <c r="I2724" i="3"/>
  <c r="I2725" i="3"/>
  <c r="I2726" i="3"/>
  <c r="I2727" i="3"/>
  <c r="L1827" i="3"/>
  <c r="L1828" i="3"/>
  <c r="L1829" i="3"/>
  <c r="L1830" i="3"/>
  <c r="L1831" i="3"/>
  <c r="L1832" i="3"/>
  <c r="L1833" i="3"/>
  <c r="L1834" i="3"/>
  <c r="L1835" i="3"/>
  <c r="L1836" i="3"/>
  <c r="L1837" i="3"/>
  <c r="L1838" i="3"/>
  <c r="L1839" i="3"/>
  <c r="L1840" i="3"/>
  <c r="L1841" i="3"/>
  <c r="L1842" i="3"/>
  <c r="L1843" i="3"/>
  <c r="L1844" i="3"/>
  <c r="L1845" i="3"/>
  <c r="L1846" i="3"/>
  <c r="L1847" i="3"/>
  <c r="L1848" i="3"/>
  <c r="L1849" i="3"/>
  <c r="L1850" i="3"/>
  <c r="L1851" i="3"/>
  <c r="L1852" i="3"/>
  <c r="L1853" i="3"/>
  <c r="L1854" i="3"/>
  <c r="L1855" i="3"/>
  <c r="L1856" i="3"/>
  <c r="L1857" i="3"/>
  <c r="L1858" i="3"/>
  <c r="L1859" i="3"/>
  <c r="L1860" i="3"/>
  <c r="L1861" i="3"/>
  <c r="L1862" i="3"/>
  <c r="L1863" i="3"/>
  <c r="L1864" i="3"/>
  <c r="L1865" i="3"/>
  <c r="L1866" i="3"/>
  <c r="L1867" i="3"/>
  <c r="L1868" i="3"/>
  <c r="L1869" i="3"/>
  <c r="L1870" i="3"/>
  <c r="L1871" i="3"/>
  <c r="L1872" i="3"/>
  <c r="L18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3202" i="3"/>
  <c r="L3203" i="3"/>
  <c r="L3204" i="3"/>
  <c r="L3205" i="3"/>
  <c r="L3206" i="3"/>
  <c r="L3207" i="3"/>
  <c r="L3208" i="3"/>
  <c r="L3209" i="3"/>
  <c r="L3210" i="3"/>
  <c r="L3211" i="3"/>
  <c r="L3212" i="3"/>
  <c r="L3213" i="3"/>
  <c r="L3214" i="3"/>
  <c r="L3215" i="3"/>
  <c r="L3216" i="3"/>
  <c r="L3217" i="3"/>
  <c r="L3218" i="3"/>
  <c r="L3219" i="3"/>
  <c r="L3220" i="3"/>
  <c r="L3221" i="3"/>
  <c r="L3222" i="3"/>
  <c r="L3223" i="3"/>
  <c r="L3224" i="3"/>
  <c r="L3225" i="3"/>
  <c r="L3226" i="3"/>
  <c r="L3227" i="3"/>
  <c r="L3228" i="3"/>
  <c r="L3229" i="3"/>
  <c r="L3230" i="3"/>
  <c r="L3231" i="3"/>
  <c r="L3232" i="3"/>
  <c r="L3233" i="3"/>
  <c r="L3234" i="3"/>
  <c r="L3235" i="3"/>
  <c r="L3236" i="3"/>
  <c r="L3237" i="3"/>
  <c r="L3238" i="3"/>
  <c r="L3239" i="3"/>
  <c r="L3240" i="3"/>
  <c r="L3241" i="3"/>
  <c r="L3242" i="3"/>
  <c r="L3243" i="3"/>
  <c r="L3244" i="3"/>
  <c r="L3245" i="3"/>
  <c r="L2945" i="3"/>
  <c r="L2946" i="3"/>
  <c r="L2947" i="3"/>
  <c r="L2948" i="3"/>
  <c r="L2949" i="3"/>
  <c r="L2950" i="3"/>
  <c r="L2951" i="3"/>
  <c r="L2952" i="3"/>
  <c r="L2953" i="3"/>
  <c r="L2954" i="3"/>
  <c r="L2955" i="3"/>
  <c r="L2956" i="3"/>
  <c r="L2957" i="3"/>
  <c r="L2958" i="3"/>
  <c r="L2959" i="3"/>
  <c r="L2960" i="3"/>
  <c r="L2961" i="3"/>
  <c r="L2962" i="3"/>
  <c r="L2963" i="3"/>
  <c r="L2964" i="3"/>
  <c r="L2965" i="3"/>
  <c r="L2966" i="3"/>
  <c r="L2967" i="3"/>
  <c r="L2968" i="3"/>
  <c r="L2969" i="3"/>
  <c r="L2970" i="3"/>
  <c r="L2971" i="3"/>
  <c r="L2972" i="3"/>
  <c r="L2973" i="3"/>
  <c r="L2974" i="3"/>
  <c r="L2975" i="3"/>
  <c r="L2976" i="3"/>
  <c r="L2977" i="3"/>
  <c r="L2978" i="3"/>
  <c r="L2979" i="3"/>
  <c r="L2980" i="3"/>
  <c r="L2981" i="3"/>
  <c r="L2982" i="3"/>
  <c r="L2983" i="3"/>
  <c r="L2984" i="3"/>
  <c r="L2985" i="3"/>
  <c r="L2986" i="3"/>
  <c r="L2987" i="3"/>
  <c r="L2988" i="3"/>
  <c r="L2989" i="3"/>
  <c r="L3094" i="3"/>
  <c r="L3095" i="3"/>
  <c r="L3096" i="3"/>
  <c r="L3097" i="3"/>
  <c r="L3098" i="3"/>
  <c r="L3099" i="3"/>
  <c r="L3100" i="3"/>
  <c r="L3101" i="3"/>
  <c r="L3102" i="3"/>
  <c r="L3103" i="3"/>
  <c r="L3104" i="3"/>
  <c r="L3105" i="3"/>
  <c r="L3106" i="3"/>
  <c r="L3107" i="3"/>
  <c r="L3108" i="3"/>
  <c r="L3109" i="3"/>
  <c r="L3110" i="3"/>
  <c r="L3111" i="3"/>
  <c r="L3112" i="3"/>
  <c r="L3113" i="3"/>
  <c r="L3114" i="3"/>
  <c r="L3115" i="3"/>
  <c r="L3116" i="3"/>
  <c r="L3117" i="3"/>
  <c r="L3118" i="3"/>
  <c r="L3119" i="3"/>
  <c r="L3120" i="3"/>
  <c r="L3121" i="3"/>
  <c r="L3122" i="3"/>
  <c r="L3123" i="3"/>
  <c r="L3124" i="3"/>
  <c r="L3125" i="3"/>
  <c r="L3126" i="3"/>
  <c r="L3127" i="3"/>
  <c r="L3128" i="3"/>
  <c r="L3129" i="3"/>
  <c r="L3130" i="3"/>
  <c r="L3131" i="3"/>
  <c r="L3132" i="3"/>
  <c r="L3133" i="3"/>
  <c r="L3134" i="3"/>
  <c r="L3135" i="3"/>
  <c r="L3136" i="3"/>
  <c r="L3137" i="3"/>
  <c r="L3138" i="3"/>
  <c r="L3139" i="3"/>
  <c r="L3140" i="3"/>
  <c r="L2161" i="3"/>
  <c r="L2162" i="3"/>
  <c r="L2163" i="3"/>
  <c r="L2164" i="3"/>
  <c r="L2165" i="3"/>
  <c r="L2166" i="3"/>
  <c r="L2167" i="3"/>
  <c r="L2168" i="3"/>
  <c r="L2169" i="3"/>
  <c r="L2170" i="3"/>
  <c r="L2171" i="3"/>
  <c r="L2172" i="3"/>
  <c r="L2173" i="3"/>
  <c r="L2174" i="3"/>
  <c r="L2175" i="3"/>
  <c r="L2176" i="3"/>
  <c r="L2177" i="3"/>
  <c r="L2178" i="3"/>
  <c r="L2179" i="3"/>
  <c r="L2180" i="3"/>
  <c r="L2181" i="3"/>
  <c r="L2182" i="3"/>
  <c r="L2183" i="3"/>
  <c r="L2184" i="3"/>
  <c r="L2185" i="3"/>
  <c r="L2186" i="3"/>
  <c r="L2187" i="3"/>
  <c r="L2188" i="3"/>
  <c r="L2189" i="3"/>
  <c r="L2190" i="3"/>
  <c r="L2191" i="3"/>
  <c r="L2192" i="3"/>
  <c r="L2193" i="3"/>
  <c r="L2194" i="3"/>
  <c r="L2195" i="3"/>
  <c r="L2196" i="3"/>
  <c r="L2197" i="3"/>
  <c r="L2198" i="3"/>
  <c r="L2199" i="3"/>
  <c r="L2200" i="3"/>
  <c r="L2201" i="3"/>
  <c r="L2202" i="3"/>
  <c r="L2203" i="3"/>
  <c r="L2204" i="3"/>
  <c r="L2205" i="3"/>
  <c r="L2206" i="3"/>
  <c r="L2207" i="3"/>
  <c r="L2208" i="3"/>
  <c r="L2209" i="3"/>
  <c r="L2210" i="3"/>
  <c r="L2211" i="3"/>
  <c r="L2212" i="3"/>
  <c r="L2213" i="3"/>
  <c r="L2214" i="3"/>
  <c r="L2215" i="3"/>
  <c r="L2216" i="3"/>
  <c r="L2217" i="3"/>
  <c r="L2218" i="3"/>
  <c r="L2219" i="3"/>
  <c r="L2220" i="3"/>
  <c r="L2221" i="3"/>
  <c r="L2222" i="3"/>
  <c r="L2223" i="3"/>
  <c r="L2224" i="3"/>
  <c r="L2225" i="3"/>
  <c r="L2226" i="3"/>
  <c r="L2227" i="3"/>
  <c r="L2228" i="3"/>
  <c r="L2229" i="3"/>
  <c r="L2230" i="3"/>
  <c r="L2231" i="3"/>
  <c r="L2232" i="3"/>
  <c r="L2233" i="3"/>
  <c r="L2234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2990" i="3"/>
  <c r="L2991" i="3"/>
  <c r="L2992" i="3"/>
  <c r="L2993" i="3"/>
  <c r="L2994" i="3"/>
  <c r="L2995" i="3"/>
  <c r="L2996" i="3"/>
  <c r="L2997" i="3"/>
  <c r="L2998" i="3"/>
  <c r="L2999" i="3"/>
  <c r="L3000" i="3"/>
  <c r="L3001" i="3"/>
  <c r="L3002" i="3"/>
  <c r="L3003" i="3"/>
  <c r="L3004" i="3"/>
  <c r="L3005" i="3"/>
  <c r="L3006" i="3"/>
  <c r="L3007" i="3"/>
  <c r="L3008" i="3"/>
  <c r="L3009" i="3"/>
  <c r="L3010" i="3"/>
  <c r="L3011" i="3"/>
  <c r="L3012" i="3"/>
  <c r="L3013" i="3"/>
  <c r="L3014" i="3"/>
  <c r="L3015" i="3"/>
  <c r="L3016" i="3"/>
  <c r="L3017" i="3"/>
  <c r="L3018" i="3"/>
  <c r="L3019" i="3"/>
  <c r="L3020" i="3"/>
  <c r="L3021" i="3"/>
  <c r="L3022" i="3"/>
  <c r="L3023" i="3"/>
  <c r="L3024" i="3"/>
  <c r="L3025" i="3"/>
  <c r="L3026" i="3"/>
  <c r="L3027" i="3"/>
  <c r="L3028" i="3"/>
  <c r="L3029" i="3"/>
  <c r="L3030" i="3"/>
  <c r="L3031" i="3"/>
  <c r="L3032" i="3"/>
  <c r="L3033" i="3"/>
  <c r="L3034" i="3"/>
  <c r="L3035" i="3"/>
  <c r="L3036" i="3"/>
  <c r="L3037" i="3"/>
  <c r="L3038" i="3"/>
  <c r="L3170" i="3"/>
  <c r="L3171" i="3"/>
  <c r="L3172" i="3"/>
  <c r="L3173" i="3"/>
  <c r="L3174" i="3"/>
  <c r="L3175" i="3"/>
  <c r="L3176" i="3"/>
  <c r="L3177" i="3"/>
  <c r="L3178" i="3"/>
  <c r="L3179" i="3"/>
  <c r="L3180" i="3"/>
  <c r="L3181" i="3"/>
  <c r="L3182" i="3"/>
  <c r="L3183" i="3"/>
  <c r="L3184" i="3"/>
  <c r="L3185" i="3"/>
  <c r="L3186" i="3"/>
  <c r="L3187" i="3"/>
  <c r="L3188" i="3"/>
  <c r="L3189" i="3"/>
  <c r="L3190" i="3"/>
  <c r="L3191" i="3"/>
  <c r="L3192" i="3"/>
  <c r="L3193" i="3"/>
  <c r="L3194" i="3"/>
  <c r="L3195" i="3"/>
  <c r="L3196" i="3"/>
  <c r="L3197" i="3"/>
  <c r="L3198" i="3"/>
  <c r="L3199" i="3"/>
  <c r="L3200" i="3"/>
  <c r="L3201" i="3"/>
  <c r="L1874" i="3"/>
  <c r="L1875" i="3"/>
  <c r="L1876" i="3"/>
  <c r="L1877" i="3"/>
  <c r="L1878" i="3"/>
  <c r="L1879" i="3"/>
  <c r="L1880" i="3"/>
  <c r="L1881" i="3"/>
  <c r="L1882" i="3"/>
  <c r="L1883" i="3"/>
  <c r="L1884" i="3"/>
  <c r="L1885" i="3"/>
  <c r="L1886" i="3"/>
  <c r="L1887" i="3"/>
  <c r="L1888" i="3"/>
  <c r="L1889" i="3"/>
  <c r="L1890" i="3"/>
  <c r="L1891" i="3"/>
  <c r="L1892" i="3"/>
  <c r="L1893" i="3"/>
  <c r="L1894" i="3"/>
  <c r="L1895" i="3"/>
  <c r="L1896" i="3"/>
  <c r="L1897" i="3"/>
  <c r="L1898" i="3"/>
  <c r="L1899" i="3"/>
  <c r="L1900" i="3"/>
  <c r="L1901" i="3"/>
  <c r="L1902" i="3"/>
  <c r="L1903" i="3"/>
  <c r="L1904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2235" i="3"/>
  <c r="L2236" i="3"/>
  <c r="L2237" i="3"/>
  <c r="L2238" i="3"/>
  <c r="L2239" i="3"/>
  <c r="L2240" i="3"/>
  <c r="L2241" i="3"/>
  <c r="L2242" i="3"/>
  <c r="L2243" i="3"/>
  <c r="L2244" i="3"/>
  <c r="L2245" i="3"/>
  <c r="L2246" i="3"/>
  <c r="L2247" i="3"/>
  <c r="L2248" i="3"/>
  <c r="L2249" i="3"/>
  <c r="L2250" i="3"/>
  <c r="L2251" i="3"/>
  <c r="L2252" i="3"/>
  <c r="L2253" i="3"/>
  <c r="L2254" i="3"/>
  <c r="L2255" i="3"/>
  <c r="L2256" i="3"/>
  <c r="L2257" i="3"/>
  <c r="L2258" i="3"/>
  <c r="L2259" i="3"/>
  <c r="L2260" i="3"/>
  <c r="L2261" i="3"/>
  <c r="L2262" i="3"/>
  <c r="L2263" i="3"/>
  <c r="L2264" i="3"/>
  <c r="L2265" i="3"/>
  <c r="L2266" i="3"/>
  <c r="L2267" i="3"/>
  <c r="L2268" i="3"/>
  <c r="L2872" i="3"/>
  <c r="L2873" i="3"/>
  <c r="L2874" i="3"/>
  <c r="L2875" i="3"/>
  <c r="L2876" i="3"/>
  <c r="L2877" i="3"/>
  <c r="L2878" i="3"/>
  <c r="L2879" i="3"/>
  <c r="L2880" i="3"/>
  <c r="L2881" i="3"/>
  <c r="L2882" i="3"/>
  <c r="L2883" i="3"/>
  <c r="L2884" i="3"/>
  <c r="L2885" i="3"/>
  <c r="L2886" i="3"/>
  <c r="L2887" i="3"/>
  <c r="L2888" i="3"/>
  <c r="L2889" i="3"/>
  <c r="L2890" i="3"/>
  <c r="L2891" i="3"/>
  <c r="L2892" i="3"/>
  <c r="L2893" i="3"/>
  <c r="L2894" i="3"/>
  <c r="L2895" i="3"/>
  <c r="L2896" i="3"/>
  <c r="L2897" i="3"/>
  <c r="L2898" i="3"/>
  <c r="L2899" i="3"/>
  <c r="L2900" i="3"/>
  <c r="L2901" i="3"/>
  <c r="L2902" i="3"/>
  <c r="L2903" i="3"/>
  <c r="L2904" i="3"/>
  <c r="L2905" i="3"/>
  <c r="L2906" i="3"/>
  <c r="L2907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2411" i="3"/>
  <c r="L2412" i="3"/>
  <c r="L2413" i="3"/>
  <c r="L2414" i="3"/>
  <c r="L2415" i="3"/>
  <c r="L2416" i="3"/>
  <c r="L2417" i="3"/>
  <c r="L2418" i="3"/>
  <c r="L2419" i="3"/>
  <c r="L2420" i="3"/>
  <c r="L2421" i="3"/>
  <c r="L2422" i="3"/>
  <c r="L2423" i="3"/>
  <c r="L2424" i="3"/>
  <c r="L2425" i="3"/>
  <c r="L2426" i="3"/>
  <c r="L2427" i="3"/>
  <c r="L2428" i="3"/>
  <c r="L2429" i="3"/>
  <c r="L2430" i="3"/>
  <c r="L2431" i="3"/>
  <c r="L2432" i="3"/>
  <c r="L2433" i="3"/>
  <c r="L2434" i="3"/>
  <c r="L2435" i="3"/>
  <c r="L2436" i="3"/>
  <c r="L2437" i="3"/>
  <c r="L2438" i="3"/>
  <c r="L2439" i="3"/>
  <c r="L2440" i="3"/>
  <c r="L2441" i="3"/>
  <c r="L2442" i="3"/>
  <c r="L2443" i="3"/>
  <c r="L2444" i="3"/>
  <c r="L2445" i="3"/>
  <c r="L2446" i="3"/>
  <c r="L2447" i="3"/>
  <c r="L2448" i="3"/>
  <c r="L2449" i="3"/>
  <c r="L2450" i="3"/>
  <c r="L2451" i="3"/>
  <c r="L2452" i="3"/>
  <c r="L2453" i="3"/>
  <c r="L2454" i="3"/>
  <c r="L2455" i="3"/>
  <c r="L2456" i="3"/>
  <c r="L2457" i="3"/>
  <c r="L2458" i="3"/>
  <c r="L2459" i="3"/>
  <c r="L2460" i="3"/>
  <c r="L2461" i="3"/>
  <c r="L2462" i="3"/>
  <c r="L2463" i="3"/>
  <c r="L2464" i="3"/>
  <c r="L2465" i="3"/>
  <c r="L2466" i="3"/>
  <c r="L2467" i="3"/>
  <c r="L2468" i="3"/>
  <c r="L2469" i="3"/>
  <c r="L2470" i="3"/>
  <c r="L2471" i="3"/>
  <c r="L2472" i="3"/>
  <c r="L2473" i="3"/>
  <c r="L2474" i="3"/>
  <c r="L2475" i="3"/>
  <c r="L2476" i="3"/>
  <c r="L2477" i="3"/>
  <c r="L2478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L1472" i="3"/>
  <c r="L1473" i="3"/>
  <c r="L1474" i="3"/>
  <c r="L1475" i="3"/>
  <c r="L1476" i="3"/>
  <c r="L1477" i="3"/>
  <c r="L1478" i="3"/>
  <c r="L1479" i="3"/>
  <c r="L1480" i="3"/>
  <c r="L1481" i="3"/>
  <c r="L1482" i="3"/>
  <c r="L1483" i="3"/>
  <c r="L1484" i="3"/>
  <c r="L1485" i="3"/>
  <c r="L1486" i="3"/>
  <c r="L1487" i="3"/>
  <c r="L1488" i="3"/>
  <c r="L1489" i="3"/>
  <c r="L1490" i="3"/>
  <c r="L1491" i="3"/>
  <c r="L1492" i="3"/>
  <c r="L1493" i="3"/>
  <c r="L1494" i="3"/>
  <c r="L1495" i="3"/>
  <c r="L1496" i="3"/>
  <c r="L1497" i="3"/>
  <c r="L1498" i="3"/>
  <c r="L1499" i="3"/>
  <c r="L1500" i="3"/>
  <c r="L1501" i="3"/>
  <c r="L1502" i="3"/>
  <c r="L1503" i="3"/>
  <c r="L1504" i="3"/>
  <c r="L1505" i="3"/>
  <c r="L1506" i="3"/>
  <c r="L1507" i="3"/>
  <c r="L1508" i="3"/>
  <c r="L1509" i="3"/>
  <c r="L1510" i="3"/>
  <c r="L1511" i="3"/>
  <c r="L1512" i="3"/>
  <c r="L1513" i="3"/>
  <c r="L1514" i="3"/>
  <c r="L1515" i="3"/>
  <c r="L1516" i="3"/>
  <c r="L1517" i="3"/>
  <c r="L1518" i="3"/>
  <c r="L1519" i="3"/>
  <c r="L1520" i="3"/>
  <c r="L1521" i="3"/>
  <c r="L1522" i="3"/>
  <c r="L1523" i="3"/>
  <c r="L1524" i="3"/>
  <c r="L1525" i="3"/>
  <c r="L1526" i="3"/>
  <c r="L1527" i="3"/>
  <c r="L1528" i="3"/>
  <c r="L1529" i="3"/>
  <c r="L1530" i="3"/>
  <c r="L1608" i="3"/>
  <c r="L1609" i="3"/>
  <c r="L1610" i="3"/>
  <c r="L1611" i="3"/>
  <c r="L1612" i="3"/>
  <c r="L1613" i="3"/>
  <c r="L1614" i="3"/>
  <c r="L1615" i="3"/>
  <c r="L1616" i="3"/>
  <c r="L1617" i="3"/>
  <c r="L1618" i="3"/>
  <c r="L1619" i="3"/>
  <c r="L1620" i="3"/>
  <c r="L1621" i="3"/>
  <c r="L1622" i="3"/>
  <c r="L1623" i="3"/>
  <c r="L1624" i="3"/>
  <c r="L1625" i="3"/>
  <c r="L1626" i="3"/>
  <c r="L1627" i="3"/>
  <c r="L1628" i="3"/>
  <c r="L1629" i="3"/>
  <c r="L1630" i="3"/>
  <c r="L1631" i="3"/>
  <c r="L1632" i="3"/>
  <c r="L1633" i="3"/>
  <c r="L1634" i="3"/>
  <c r="L1635" i="3"/>
  <c r="L1636" i="3"/>
  <c r="L1637" i="3"/>
  <c r="L1638" i="3"/>
  <c r="L1639" i="3"/>
  <c r="L1640" i="3"/>
  <c r="L1641" i="3"/>
  <c r="L1642" i="3"/>
  <c r="L1643" i="3"/>
  <c r="L1644" i="3"/>
  <c r="L1645" i="3"/>
  <c r="L1646" i="3"/>
  <c r="L1647" i="3"/>
  <c r="L1648" i="3"/>
  <c r="L1649" i="3"/>
  <c r="L1650" i="3"/>
  <c r="L1651" i="3"/>
  <c r="L1652" i="3"/>
  <c r="L1653" i="3"/>
  <c r="L1654" i="3"/>
  <c r="L1684" i="3"/>
  <c r="L1685" i="3"/>
  <c r="L1686" i="3"/>
  <c r="L1687" i="3"/>
  <c r="L1688" i="3"/>
  <c r="L1689" i="3"/>
  <c r="L1690" i="3"/>
  <c r="L1691" i="3"/>
  <c r="L1692" i="3"/>
  <c r="L1693" i="3"/>
  <c r="L1694" i="3"/>
  <c r="L1695" i="3"/>
  <c r="L1696" i="3"/>
  <c r="L1697" i="3"/>
  <c r="L1698" i="3"/>
  <c r="L1699" i="3"/>
  <c r="L1700" i="3"/>
  <c r="L1701" i="3"/>
  <c r="L1702" i="3"/>
  <c r="L1703" i="3"/>
  <c r="L1704" i="3"/>
  <c r="L1705" i="3"/>
  <c r="L1706" i="3"/>
  <c r="L1707" i="3"/>
  <c r="L1708" i="3"/>
  <c r="L1709" i="3"/>
  <c r="L1710" i="3"/>
  <c r="L1711" i="3"/>
  <c r="L1712" i="3"/>
  <c r="L1713" i="3"/>
  <c r="L1714" i="3"/>
  <c r="L1715" i="3"/>
  <c r="L1716" i="3"/>
  <c r="L1717" i="3"/>
  <c r="L1718" i="3"/>
  <c r="L1719" i="3"/>
  <c r="L1720" i="3"/>
  <c r="L1721" i="3"/>
  <c r="L1722" i="3"/>
  <c r="L1723" i="3"/>
  <c r="L1724" i="3"/>
  <c r="L1725" i="3"/>
  <c r="L1726" i="3"/>
  <c r="L1727" i="3"/>
  <c r="L1728" i="3"/>
  <c r="L1729" i="3"/>
  <c r="L1730" i="3"/>
  <c r="L1731" i="3"/>
  <c r="L1732" i="3"/>
  <c r="L1733" i="3"/>
  <c r="L1734" i="3"/>
  <c r="L1735" i="3"/>
  <c r="L1736" i="3"/>
  <c r="L1737" i="3"/>
  <c r="L1738" i="3"/>
  <c r="L1739" i="3"/>
  <c r="L1740" i="3"/>
  <c r="L1741" i="3"/>
  <c r="L1742" i="3"/>
  <c r="L1743" i="3"/>
  <c r="L1744" i="3"/>
  <c r="L1745" i="3"/>
  <c r="L1746" i="3"/>
  <c r="L1747" i="3"/>
  <c r="L1748" i="3"/>
  <c r="L1749" i="3"/>
  <c r="L1750" i="3"/>
  <c r="L1751" i="3"/>
  <c r="L1752" i="3"/>
  <c r="L1753" i="3"/>
  <c r="L1754" i="3"/>
  <c r="L1755" i="3"/>
  <c r="L1756" i="3"/>
  <c r="L1757" i="3"/>
  <c r="L1758" i="3"/>
  <c r="L1759" i="3"/>
  <c r="L1760" i="3"/>
  <c r="L1761" i="3"/>
  <c r="L1762" i="3"/>
  <c r="L1763" i="3"/>
  <c r="L1764" i="3"/>
  <c r="L1765" i="3"/>
  <c r="L1766" i="3"/>
  <c r="L1767" i="3"/>
  <c r="L1768" i="3"/>
  <c r="L1769" i="3"/>
  <c r="L1770" i="3"/>
  <c r="L1771" i="3"/>
  <c r="L1772" i="3"/>
  <c r="L1773" i="3"/>
  <c r="L1774" i="3"/>
  <c r="L1775" i="3"/>
  <c r="L1776" i="3"/>
  <c r="L1777" i="3"/>
  <c r="L1778" i="3"/>
  <c r="L1779" i="3"/>
  <c r="L1780" i="3"/>
  <c r="L1781" i="3"/>
  <c r="L1782" i="3"/>
  <c r="L1783" i="3"/>
  <c r="L1784" i="3"/>
  <c r="L1785" i="3"/>
  <c r="L1786" i="3"/>
  <c r="L1787" i="3"/>
  <c r="L1788" i="3"/>
  <c r="L1789" i="3"/>
  <c r="L1790" i="3"/>
  <c r="L1791" i="3"/>
  <c r="L1792" i="3"/>
  <c r="L1793" i="3"/>
  <c r="L1794" i="3"/>
  <c r="L1937" i="3"/>
  <c r="L1938" i="3"/>
  <c r="L1939" i="3"/>
  <c r="L1940" i="3"/>
  <c r="L1941" i="3"/>
  <c r="L1942" i="3"/>
  <c r="L1943" i="3"/>
  <c r="L1944" i="3"/>
  <c r="L1945" i="3"/>
  <c r="L1946" i="3"/>
  <c r="L1947" i="3"/>
  <c r="L1948" i="3"/>
  <c r="L1949" i="3"/>
  <c r="L1950" i="3"/>
  <c r="L1951" i="3"/>
  <c r="L1952" i="3"/>
  <c r="L1953" i="3"/>
  <c r="L1954" i="3"/>
  <c r="L1955" i="3"/>
  <c r="L1956" i="3"/>
  <c r="L1957" i="3"/>
  <c r="L1958" i="3"/>
  <c r="L1959" i="3"/>
  <c r="L1960" i="3"/>
  <c r="L1961" i="3"/>
  <c r="L1962" i="3"/>
  <c r="L1963" i="3"/>
  <c r="L1964" i="3"/>
  <c r="L1965" i="3"/>
  <c r="L1966" i="3"/>
  <c r="L1967" i="3"/>
  <c r="L1968" i="3"/>
  <c r="L1969" i="3"/>
  <c r="L1970" i="3"/>
  <c r="L1971" i="3"/>
  <c r="L1972" i="3"/>
  <c r="L1973" i="3"/>
  <c r="L1974" i="3"/>
  <c r="L1975" i="3"/>
  <c r="L1976" i="3"/>
  <c r="L1977" i="3"/>
  <c r="L1978" i="3"/>
  <c r="L1979" i="3"/>
  <c r="L1980" i="3"/>
  <c r="L1981" i="3"/>
  <c r="L1982" i="3"/>
  <c r="L1983" i="3"/>
  <c r="L1984" i="3"/>
  <c r="L1985" i="3"/>
  <c r="L1986" i="3"/>
  <c r="L1987" i="3"/>
  <c r="L1988" i="3"/>
  <c r="L1989" i="3"/>
  <c r="L1990" i="3"/>
  <c r="L1991" i="3"/>
  <c r="L1992" i="3"/>
  <c r="L1993" i="3"/>
  <c r="L1994" i="3"/>
  <c r="L1995" i="3"/>
  <c r="L1996" i="3"/>
  <c r="L1997" i="3"/>
  <c r="L1998" i="3"/>
  <c r="L1999" i="3"/>
  <c r="L2000" i="3"/>
  <c r="L2001" i="3"/>
  <c r="L2002" i="3"/>
  <c r="L2003" i="3"/>
  <c r="L2004" i="3"/>
  <c r="L2005" i="3"/>
  <c r="L2006" i="3"/>
  <c r="L2007" i="3"/>
  <c r="L2008" i="3"/>
  <c r="L2009" i="3"/>
  <c r="L2010" i="3"/>
  <c r="L2011" i="3"/>
  <c r="L2012" i="3"/>
  <c r="L2013" i="3"/>
  <c r="L2014" i="3"/>
  <c r="L2015" i="3"/>
  <c r="L2016" i="3"/>
  <c r="L2017" i="3"/>
  <c r="L2018" i="3"/>
  <c r="L2019" i="3"/>
  <c r="L2020" i="3"/>
  <c r="L2021" i="3"/>
  <c r="L2022" i="3"/>
  <c r="L2023" i="3"/>
  <c r="L2024" i="3"/>
  <c r="L2025" i="3"/>
  <c r="L2026" i="3"/>
  <c r="L2027" i="3"/>
  <c r="L2028" i="3"/>
  <c r="L2029" i="3"/>
  <c r="L2030" i="3"/>
  <c r="L2031" i="3"/>
  <c r="L2032" i="3"/>
  <c r="L2033" i="3"/>
  <c r="L2034" i="3"/>
  <c r="L2035" i="3"/>
  <c r="L2036" i="3"/>
  <c r="L2037" i="3"/>
  <c r="L2038" i="3"/>
  <c r="L2039" i="3"/>
  <c r="L2040" i="3"/>
  <c r="L2041" i="3"/>
  <c r="L2042" i="3"/>
  <c r="L2043" i="3"/>
  <c r="L2044" i="3"/>
  <c r="L2045" i="3"/>
  <c r="L2046" i="3"/>
  <c r="L2047" i="3"/>
  <c r="L2048" i="3"/>
  <c r="L2049" i="3"/>
  <c r="L2050" i="3"/>
  <c r="L2051" i="3"/>
  <c r="L2052" i="3"/>
  <c r="L2053" i="3"/>
  <c r="L2054" i="3"/>
  <c r="L2055" i="3"/>
  <c r="L2056" i="3"/>
  <c r="L2057" i="3"/>
  <c r="L2058" i="3"/>
  <c r="L2059" i="3"/>
  <c r="L2060" i="3"/>
  <c r="L2061" i="3"/>
  <c r="L2062" i="3"/>
  <c r="L2063" i="3"/>
  <c r="L2064" i="3"/>
  <c r="L2065" i="3"/>
  <c r="L2066" i="3"/>
  <c r="L2067" i="3"/>
  <c r="L2068" i="3"/>
  <c r="L2069" i="3"/>
  <c r="L2070" i="3"/>
  <c r="L2071" i="3"/>
  <c r="L2072" i="3"/>
  <c r="L2073" i="3"/>
  <c r="L2074" i="3"/>
  <c r="L2075" i="3"/>
  <c r="L2076" i="3"/>
  <c r="L2077" i="3"/>
  <c r="L2078" i="3"/>
  <c r="L2079" i="3"/>
  <c r="L2080" i="3"/>
  <c r="L2081" i="3"/>
  <c r="L2082" i="3"/>
  <c r="L2083" i="3"/>
  <c r="L2084" i="3"/>
  <c r="L2085" i="3"/>
  <c r="L2086" i="3"/>
  <c r="L2087" i="3"/>
  <c r="L2088" i="3"/>
  <c r="L2089" i="3"/>
  <c r="L2090" i="3"/>
  <c r="L2091" i="3"/>
  <c r="L2092" i="3"/>
  <c r="L2093" i="3"/>
  <c r="L2094" i="3"/>
  <c r="L2095" i="3"/>
  <c r="L2096" i="3"/>
  <c r="L2097" i="3"/>
  <c r="L2098" i="3"/>
  <c r="L2099" i="3"/>
  <c r="L2100" i="3"/>
  <c r="L2101" i="3"/>
  <c r="L2102" i="3"/>
  <c r="L2103" i="3"/>
  <c r="L2104" i="3"/>
  <c r="L2105" i="3"/>
  <c r="L2106" i="3"/>
  <c r="L2107" i="3"/>
  <c r="L2108" i="3"/>
  <c r="L2109" i="3"/>
  <c r="L2110" i="3"/>
  <c r="L2111" i="3"/>
  <c r="L2112" i="3"/>
  <c r="L2113" i="3"/>
  <c r="L2114" i="3"/>
  <c r="L2115" i="3"/>
  <c r="L2116" i="3"/>
  <c r="L2117" i="3"/>
  <c r="L2118" i="3"/>
  <c r="L2119" i="3"/>
  <c r="L2120" i="3"/>
  <c r="L2121" i="3"/>
  <c r="L2122" i="3"/>
  <c r="L2123" i="3"/>
  <c r="L2124" i="3"/>
  <c r="L2125" i="3"/>
  <c r="L2126" i="3"/>
  <c r="L2127" i="3"/>
  <c r="L2128" i="3"/>
  <c r="L2129" i="3"/>
  <c r="L2130" i="3"/>
  <c r="L2131" i="3"/>
  <c r="L2132" i="3"/>
  <c r="L2133" i="3"/>
  <c r="L2134" i="3"/>
  <c r="L2135" i="3"/>
  <c r="L2136" i="3"/>
  <c r="L2137" i="3"/>
  <c r="L2138" i="3"/>
  <c r="L2139" i="3"/>
  <c r="L2140" i="3"/>
  <c r="L2141" i="3"/>
  <c r="L2142" i="3"/>
  <c r="L2143" i="3"/>
  <c r="L2144" i="3"/>
  <c r="L2145" i="3"/>
  <c r="L2146" i="3"/>
  <c r="L2147" i="3"/>
  <c r="L2148" i="3"/>
  <c r="L2149" i="3"/>
  <c r="L2150" i="3"/>
  <c r="L2151" i="3"/>
  <c r="L2152" i="3"/>
  <c r="L2153" i="3"/>
  <c r="L2154" i="3"/>
  <c r="L2155" i="3"/>
  <c r="L2156" i="3"/>
  <c r="L2157" i="3"/>
  <c r="L2158" i="3"/>
  <c r="L2159" i="3"/>
  <c r="L2160" i="3"/>
  <c r="L2479" i="3"/>
  <c r="L2480" i="3"/>
  <c r="L2481" i="3"/>
  <c r="L2482" i="3"/>
  <c r="L2483" i="3"/>
  <c r="L2484" i="3"/>
  <c r="L2485" i="3"/>
  <c r="L2486" i="3"/>
  <c r="L2487" i="3"/>
  <c r="L2488" i="3"/>
  <c r="L2489" i="3"/>
  <c r="L2490" i="3"/>
  <c r="L2491" i="3"/>
  <c r="L2492" i="3"/>
  <c r="L2493" i="3"/>
  <c r="L2494" i="3"/>
  <c r="L2495" i="3"/>
  <c r="L2496" i="3"/>
  <c r="L2497" i="3"/>
  <c r="L2498" i="3"/>
  <c r="L2499" i="3"/>
  <c r="L2500" i="3"/>
  <c r="L2501" i="3"/>
  <c r="L2502" i="3"/>
  <c r="L2503" i="3"/>
  <c r="L2504" i="3"/>
  <c r="L2505" i="3"/>
  <c r="L2506" i="3"/>
  <c r="L2507" i="3"/>
  <c r="L2508" i="3"/>
  <c r="L2509" i="3"/>
  <c r="L2510" i="3"/>
  <c r="L2511" i="3"/>
  <c r="L2512" i="3"/>
  <c r="L2513" i="3"/>
  <c r="L2514" i="3"/>
  <c r="L2515" i="3"/>
  <c r="L2516" i="3"/>
  <c r="L2517" i="3"/>
  <c r="L2518" i="3"/>
  <c r="L2519" i="3"/>
  <c r="L2520" i="3"/>
  <c r="L2521" i="3"/>
  <c r="L2522" i="3"/>
  <c r="L2523" i="3"/>
  <c r="L2524" i="3"/>
  <c r="L2525" i="3"/>
  <c r="L2526" i="3"/>
  <c r="L2527" i="3"/>
  <c r="L2528" i="3"/>
  <c r="L2529" i="3"/>
  <c r="L2530" i="3"/>
  <c r="L2531" i="3"/>
  <c r="L2532" i="3"/>
  <c r="L2533" i="3"/>
  <c r="L2534" i="3"/>
  <c r="L2535" i="3"/>
  <c r="L2536" i="3"/>
  <c r="L2537" i="3"/>
  <c r="L2538" i="3"/>
  <c r="L2539" i="3"/>
  <c r="L2540" i="3"/>
  <c r="L2541" i="3"/>
  <c r="L2542" i="3"/>
  <c r="L2543" i="3"/>
  <c r="L2544" i="3"/>
  <c r="L2545" i="3"/>
  <c r="L2546" i="3"/>
  <c r="L2547" i="3"/>
  <c r="L2548" i="3"/>
  <c r="L2549" i="3"/>
  <c r="L2550" i="3"/>
  <c r="L2551" i="3"/>
  <c r="L2552" i="3"/>
  <c r="L2553" i="3"/>
  <c r="L2554" i="3"/>
  <c r="L2555" i="3"/>
  <c r="L2556" i="3"/>
  <c r="L2557" i="3"/>
  <c r="L2558" i="3"/>
  <c r="L2559" i="3"/>
  <c r="L2560" i="3"/>
  <c r="L2561" i="3"/>
  <c r="L2562" i="3"/>
  <c r="L2563" i="3"/>
  <c r="L2564" i="3"/>
  <c r="L2565" i="3"/>
  <c r="L2566" i="3"/>
  <c r="L2567" i="3"/>
  <c r="L2568" i="3"/>
  <c r="L2569" i="3"/>
  <c r="L2570" i="3"/>
  <c r="L2571" i="3"/>
  <c r="L2572" i="3"/>
  <c r="L2573" i="3"/>
  <c r="L2574" i="3"/>
  <c r="L2575" i="3"/>
  <c r="L2576" i="3"/>
  <c r="L2577" i="3"/>
  <c r="L2578" i="3"/>
  <c r="L2579" i="3"/>
  <c r="L2580" i="3"/>
  <c r="L2581" i="3"/>
  <c r="L2582" i="3"/>
  <c r="L2583" i="3"/>
  <c r="L2584" i="3"/>
  <c r="L2585" i="3"/>
  <c r="L2586" i="3"/>
  <c r="L2587" i="3"/>
  <c r="L2588" i="3"/>
  <c r="L2589" i="3"/>
  <c r="L2590" i="3"/>
  <c r="L2591" i="3"/>
  <c r="L2592" i="3"/>
  <c r="L2593" i="3"/>
  <c r="L2594" i="3"/>
  <c r="L2595" i="3"/>
  <c r="L2596" i="3"/>
  <c r="L2597" i="3"/>
  <c r="L2598" i="3"/>
  <c r="L2599" i="3"/>
  <c r="L2760" i="3"/>
  <c r="L2761" i="3"/>
  <c r="L2762" i="3"/>
  <c r="L2763" i="3"/>
  <c r="L2764" i="3"/>
  <c r="L2765" i="3"/>
  <c r="L2766" i="3"/>
  <c r="L2767" i="3"/>
  <c r="L2768" i="3"/>
  <c r="L2769" i="3"/>
  <c r="L2770" i="3"/>
  <c r="L2771" i="3"/>
  <c r="L2772" i="3"/>
  <c r="L2773" i="3"/>
  <c r="L2774" i="3"/>
  <c r="L2775" i="3"/>
  <c r="L2776" i="3"/>
  <c r="L2777" i="3"/>
  <c r="L2778" i="3"/>
  <c r="L2779" i="3"/>
  <c r="L2780" i="3"/>
  <c r="L2781" i="3"/>
  <c r="L2782" i="3"/>
  <c r="L2783" i="3"/>
  <c r="L2784" i="3"/>
  <c r="L2785" i="3"/>
  <c r="L2786" i="3"/>
  <c r="L2787" i="3"/>
  <c r="L2788" i="3"/>
  <c r="L2789" i="3"/>
  <c r="L2790" i="3"/>
  <c r="L2791" i="3"/>
  <c r="L2792" i="3"/>
  <c r="L2793" i="3"/>
  <c r="L2794" i="3"/>
  <c r="L2795" i="3"/>
  <c r="L2796" i="3"/>
  <c r="L2797" i="3"/>
  <c r="L2798" i="3"/>
  <c r="L2799" i="3"/>
  <c r="L2800" i="3"/>
  <c r="L2801" i="3"/>
  <c r="L2802" i="3"/>
  <c r="L2803" i="3"/>
  <c r="L2804" i="3"/>
  <c r="L2805" i="3"/>
  <c r="L2806" i="3"/>
  <c r="L2807" i="3"/>
  <c r="L2808" i="3"/>
  <c r="L2809" i="3"/>
  <c r="L2810" i="3"/>
  <c r="L2811" i="3"/>
  <c r="L2812" i="3"/>
  <c r="L3039" i="3"/>
  <c r="L3040" i="3"/>
  <c r="L3041" i="3"/>
  <c r="L3042" i="3"/>
  <c r="L3043" i="3"/>
  <c r="L3044" i="3"/>
  <c r="L3045" i="3"/>
  <c r="L3046" i="3"/>
  <c r="L3047" i="3"/>
  <c r="L3048" i="3"/>
  <c r="L3049" i="3"/>
  <c r="L3050" i="3"/>
  <c r="L3051" i="3"/>
  <c r="L3052" i="3"/>
  <c r="L3053" i="3"/>
  <c r="L3054" i="3"/>
  <c r="L3055" i="3"/>
  <c r="L3056" i="3"/>
  <c r="L3057" i="3"/>
  <c r="L3058" i="3"/>
  <c r="L3059" i="3"/>
  <c r="L3060" i="3"/>
  <c r="L3061" i="3"/>
  <c r="L3062" i="3"/>
  <c r="L3063" i="3"/>
  <c r="L3064" i="3"/>
  <c r="L3065" i="3"/>
  <c r="L3066" i="3"/>
  <c r="L3067" i="3"/>
  <c r="L3068" i="3"/>
  <c r="L3069" i="3"/>
  <c r="L3070" i="3"/>
  <c r="L3071" i="3"/>
  <c r="L3072" i="3"/>
  <c r="L3073" i="3"/>
  <c r="L3074" i="3"/>
  <c r="L3075" i="3"/>
  <c r="L3076" i="3"/>
  <c r="L3077" i="3"/>
  <c r="L3078" i="3"/>
  <c r="L3079" i="3"/>
  <c r="L3080" i="3"/>
  <c r="L3081" i="3"/>
  <c r="L3082" i="3"/>
  <c r="L3083" i="3"/>
  <c r="L3084" i="3"/>
  <c r="L3085" i="3"/>
  <c r="L3086" i="3"/>
  <c r="L3087" i="3"/>
  <c r="L3088" i="3"/>
  <c r="L3089" i="3"/>
  <c r="L3090" i="3"/>
  <c r="L3091" i="3"/>
  <c r="L3092" i="3"/>
  <c r="L3093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2728" i="3"/>
  <c r="L2729" i="3"/>
  <c r="L2730" i="3"/>
  <c r="L2731" i="3"/>
  <c r="L2732" i="3"/>
  <c r="L2733" i="3"/>
  <c r="L2734" i="3"/>
  <c r="L2735" i="3"/>
  <c r="L2736" i="3"/>
  <c r="L2737" i="3"/>
  <c r="L2738" i="3"/>
  <c r="L2739" i="3"/>
  <c r="L2740" i="3"/>
  <c r="L2741" i="3"/>
  <c r="L2742" i="3"/>
  <c r="L2743" i="3"/>
  <c r="L2744" i="3"/>
  <c r="L2745" i="3"/>
  <c r="L2746" i="3"/>
  <c r="L2747" i="3"/>
  <c r="L2748" i="3"/>
  <c r="L2749" i="3"/>
  <c r="L2750" i="3"/>
  <c r="L2751" i="3"/>
  <c r="L2752" i="3"/>
  <c r="L2753" i="3"/>
  <c r="L2754" i="3"/>
  <c r="L2755" i="3"/>
  <c r="L2756" i="3"/>
  <c r="L2757" i="3"/>
  <c r="L2758" i="3"/>
  <c r="L2759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2371" i="3"/>
  <c r="L2372" i="3"/>
  <c r="L2373" i="3"/>
  <c r="L2374" i="3"/>
  <c r="L2375" i="3"/>
  <c r="L2376" i="3"/>
  <c r="L2377" i="3"/>
  <c r="L2378" i="3"/>
  <c r="L2379" i="3"/>
  <c r="L2380" i="3"/>
  <c r="L2381" i="3"/>
  <c r="L2382" i="3"/>
  <c r="L2383" i="3"/>
  <c r="L2384" i="3"/>
  <c r="L2385" i="3"/>
  <c r="L2386" i="3"/>
  <c r="L2387" i="3"/>
  <c r="L2388" i="3"/>
  <c r="L2389" i="3"/>
  <c r="L2390" i="3"/>
  <c r="L2391" i="3"/>
  <c r="L2392" i="3"/>
  <c r="L2393" i="3"/>
  <c r="L2394" i="3"/>
  <c r="L2395" i="3"/>
  <c r="L2396" i="3"/>
  <c r="L2397" i="3"/>
  <c r="L2398" i="3"/>
  <c r="L2399" i="3"/>
  <c r="L2400" i="3"/>
  <c r="L2401" i="3"/>
  <c r="L2402" i="3"/>
  <c r="L2403" i="3"/>
  <c r="L2404" i="3"/>
  <c r="L2405" i="3"/>
  <c r="L2406" i="3"/>
  <c r="L2407" i="3"/>
  <c r="L2408" i="3"/>
  <c r="L2409" i="3"/>
  <c r="L2410" i="3"/>
  <c r="L1795" i="3"/>
  <c r="L1796" i="3"/>
  <c r="L1797" i="3"/>
  <c r="L1798" i="3"/>
  <c r="L1799" i="3"/>
  <c r="L1800" i="3"/>
  <c r="L1801" i="3"/>
  <c r="L1802" i="3"/>
  <c r="L1803" i="3"/>
  <c r="L1804" i="3"/>
  <c r="L1805" i="3"/>
  <c r="L1806" i="3"/>
  <c r="L1807" i="3"/>
  <c r="L1808" i="3"/>
  <c r="L1809" i="3"/>
  <c r="L1810" i="3"/>
  <c r="L1811" i="3"/>
  <c r="L1812" i="3"/>
  <c r="L1813" i="3"/>
  <c r="L1814" i="3"/>
  <c r="L1815" i="3"/>
  <c r="L1816" i="3"/>
  <c r="L1817" i="3"/>
  <c r="L1818" i="3"/>
  <c r="L1819" i="3"/>
  <c r="L1820" i="3"/>
  <c r="L1821" i="3"/>
  <c r="L1822" i="3"/>
  <c r="L1823" i="3"/>
  <c r="L1824" i="3"/>
  <c r="L1825" i="3"/>
  <c r="L1826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655" i="3"/>
  <c r="L1656" i="3"/>
  <c r="L1657" i="3"/>
  <c r="L1658" i="3"/>
  <c r="L1659" i="3"/>
  <c r="L1660" i="3"/>
  <c r="L1661" i="3"/>
  <c r="L1662" i="3"/>
  <c r="L1663" i="3"/>
  <c r="L1664" i="3"/>
  <c r="L1665" i="3"/>
  <c r="L1666" i="3"/>
  <c r="L1667" i="3"/>
  <c r="L1668" i="3"/>
  <c r="L1669" i="3"/>
  <c r="L1670" i="3"/>
  <c r="L1671" i="3"/>
  <c r="L1672" i="3"/>
  <c r="L1673" i="3"/>
  <c r="L1674" i="3"/>
  <c r="L1675" i="3"/>
  <c r="L1676" i="3"/>
  <c r="L1677" i="3"/>
  <c r="L1678" i="3"/>
  <c r="L1679" i="3"/>
  <c r="L1680" i="3"/>
  <c r="L1681" i="3"/>
  <c r="L1682" i="3"/>
  <c r="L1683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3141" i="3"/>
  <c r="L3142" i="3"/>
  <c r="L3143" i="3"/>
  <c r="L3144" i="3"/>
  <c r="L3145" i="3"/>
  <c r="L3146" i="3"/>
  <c r="L3147" i="3"/>
  <c r="L3148" i="3"/>
  <c r="L3149" i="3"/>
  <c r="L3150" i="3"/>
  <c r="L3151" i="3"/>
  <c r="L3152" i="3"/>
  <c r="L3153" i="3"/>
  <c r="L3154" i="3"/>
  <c r="L3155" i="3"/>
  <c r="L3156" i="3"/>
  <c r="L3157" i="3"/>
  <c r="L3158" i="3"/>
  <c r="L3159" i="3"/>
  <c r="L3160" i="3"/>
  <c r="L3161" i="3"/>
  <c r="L3162" i="3"/>
  <c r="L3163" i="3"/>
  <c r="L3164" i="3"/>
  <c r="L3165" i="3"/>
  <c r="L3166" i="3"/>
  <c r="L3167" i="3"/>
  <c r="L3168" i="3"/>
  <c r="L3169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1555" i="3"/>
  <c r="L1556" i="3"/>
  <c r="L1557" i="3"/>
  <c r="L1558" i="3"/>
  <c r="L1559" i="3"/>
  <c r="L1560" i="3"/>
  <c r="L1561" i="3"/>
  <c r="L1562" i="3"/>
  <c r="L1563" i="3"/>
  <c r="L1564" i="3"/>
  <c r="L1565" i="3"/>
  <c r="L1566" i="3"/>
  <c r="L1567" i="3"/>
  <c r="L1568" i="3"/>
  <c r="L1569" i="3"/>
  <c r="L1570" i="3"/>
  <c r="L1571" i="3"/>
  <c r="L1572" i="3"/>
  <c r="L1573" i="3"/>
  <c r="L1574" i="3"/>
  <c r="L1575" i="3"/>
  <c r="L1576" i="3"/>
  <c r="L1577" i="3"/>
  <c r="L1578" i="3"/>
  <c r="L1579" i="3"/>
  <c r="L1580" i="3"/>
  <c r="L1581" i="3"/>
  <c r="L1582" i="3"/>
  <c r="L1583" i="3"/>
  <c r="L1584" i="3"/>
  <c r="L1585" i="3"/>
  <c r="L1586" i="3"/>
  <c r="L1587" i="3"/>
  <c r="L1588" i="3"/>
  <c r="L1589" i="3"/>
  <c r="L1590" i="3"/>
  <c r="L1591" i="3"/>
  <c r="L1592" i="3"/>
  <c r="L1593" i="3"/>
  <c r="L1594" i="3"/>
  <c r="L1595" i="3"/>
  <c r="L1596" i="3"/>
  <c r="L1597" i="3"/>
  <c r="L1598" i="3"/>
  <c r="L1599" i="3"/>
  <c r="L1600" i="3"/>
  <c r="L1601" i="3"/>
  <c r="L1602" i="3"/>
  <c r="L1603" i="3"/>
  <c r="L1604" i="3"/>
  <c r="L1605" i="3"/>
  <c r="L1606" i="3"/>
  <c r="L1607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2638" i="3"/>
  <c r="L2639" i="3"/>
  <c r="L2640" i="3"/>
  <c r="L2641" i="3"/>
  <c r="L2642" i="3"/>
  <c r="L2643" i="3"/>
  <c r="L2644" i="3"/>
  <c r="L2645" i="3"/>
  <c r="L2646" i="3"/>
  <c r="L2647" i="3"/>
  <c r="L2648" i="3"/>
  <c r="L2649" i="3"/>
  <c r="L2650" i="3"/>
  <c r="L2651" i="3"/>
  <c r="L2652" i="3"/>
  <c r="L2653" i="3"/>
  <c r="L2654" i="3"/>
  <c r="L2655" i="3"/>
  <c r="L2656" i="3"/>
  <c r="L2657" i="3"/>
  <c r="L2658" i="3"/>
  <c r="L2659" i="3"/>
  <c r="L2660" i="3"/>
  <c r="L2661" i="3"/>
  <c r="L2662" i="3"/>
  <c r="L2663" i="3"/>
  <c r="L2664" i="3"/>
  <c r="L2665" i="3"/>
  <c r="L2666" i="3"/>
  <c r="L2667" i="3"/>
  <c r="L2668" i="3"/>
  <c r="L2669" i="3"/>
  <c r="L2670" i="3"/>
  <c r="L2671" i="3"/>
  <c r="L2672" i="3"/>
  <c r="L2673" i="3"/>
  <c r="L2674" i="3"/>
  <c r="L2675" i="3"/>
  <c r="L2676" i="3"/>
  <c r="L2677" i="3"/>
  <c r="L2678" i="3"/>
  <c r="L2679" i="3"/>
  <c r="L2680" i="3"/>
  <c r="L2681" i="3"/>
  <c r="L2682" i="3"/>
  <c r="L2683" i="3"/>
  <c r="L2684" i="3"/>
  <c r="L2685" i="3"/>
  <c r="L2686" i="3"/>
  <c r="L2687" i="3"/>
  <c r="L2688" i="3"/>
  <c r="L2689" i="3"/>
  <c r="L2690" i="3"/>
  <c r="L2691" i="3"/>
  <c r="L2692" i="3"/>
  <c r="L2693" i="3"/>
  <c r="L2694" i="3"/>
  <c r="L2695" i="3"/>
  <c r="L2600" i="3"/>
  <c r="L2601" i="3"/>
  <c r="L2602" i="3"/>
  <c r="L2603" i="3"/>
  <c r="L2604" i="3"/>
  <c r="L2605" i="3"/>
  <c r="L2606" i="3"/>
  <c r="L2607" i="3"/>
  <c r="L2608" i="3"/>
  <c r="L2609" i="3"/>
  <c r="L2610" i="3"/>
  <c r="L2611" i="3"/>
  <c r="L2612" i="3"/>
  <c r="L2613" i="3"/>
  <c r="L2614" i="3"/>
  <c r="L2615" i="3"/>
  <c r="L2616" i="3"/>
  <c r="L2617" i="3"/>
  <c r="L2618" i="3"/>
  <c r="L2619" i="3"/>
  <c r="L2620" i="3"/>
  <c r="L2621" i="3"/>
  <c r="L2622" i="3"/>
  <c r="L2623" i="3"/>
  <c r="L2624" i="3"/>
  <c r="L2625" i="3"/>
  <c r="L2626" i="3"/>
  <c r="L2627" i="3"/>
  <c r="L2628" i="3"/>
  <c r="L2629" i="3"/>
  <c r="L2630" i="3"/>
  <c r="L2631" i="3"/>
  <c r="L2632" i="3"/>
  <c r="L2633" i="3"/>
  <c r="L2634" i="3"/>
  <c r="L2635" i="3"/>
  <c r="L2636" i="3"/>
  <c r="L2637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2813" i="3"/>
  <c r="L2814" i="3"/>
  <c r="L2815" i="3"/>
  <c r="L2816" i="3"/>
  <c r="L2817" i="3"/>
  <c r="L2818" i="3"/>
  <c r="L2819" i="3"/>
  <c r="L2820" i="3"/>
  <c r="L2821" i="3"/>
  <c r="L2822" i="3"/>
  <c r="L2823" i="3"/>
  <c r="L2824" i="3"/>
  <c r="L2825" i="3"/>
  <c r="L2826" i="3"/>
  <c r="L2827" i="3"/>
  <c r="L2828" i="3"/>
  <c r="L2829" i="3"/>
  <c r="L2830" i="3"/>
  <c r="L2831" i="3"/>
  <c r="L2832" i="3"/>
  <c r="L2833" i="3"/>
  <c r="L2834" i="3"/>
  <c r="L2835" i="3"/>
  <c r="L2836" i="3"/>
  <c r="L2837" i="3"/>
  <c r="L2838" i="3"/>
  <c r="L2839" i="3"/>
  <c r="L2840" i="3"/>
  <c r="L2841" i="3"/>
  <c r="L2842" i="3"/>
  <c r="L2843" i="3"/>
  <c r="L2844" i="3"/>
  <c r="L2845" i="3"/>
  <c r="L2846" i="3"/>
  <c r="L2847" i="3"/>
  <c r="L2848" i="3"/>
  <c r="L2849" i="3"/>
  <c r="L2850" i="3"/>
  <c r="L2851" i="3"/>
  <c r="L2852" i="3"/>
  <c r="L2853" i="3"/>
  <c r="L2854" i="3"/>
  <c r="L2855" i="3"/>
  <c r="L2856" i="3"/>
  <c r="L2857" i="3"/>
  <c r="L2858" i="3"/>
  <c r="L2859" i="3"/>
  <c r="L2860" i="3"/>
  <c r="L2861" i="3"/>
  <c r="L2862" i="3"/>
  <c r="L2863" i="3"/>
  <c r="L2864" i="3"/>
  <c r="L2865" i="3"/>
  <c r="L2866" i="3"/>
  <c r="L2867" i="3"/>
  <c r="L2868" i="3"/>
  <c r="L2869" i="3"/>
  <c r="L2870" i="3"/>
  <c r="L2871" i="3"/>
  <c r="L1905" i="3"/>
  <c r="L1906" i="3"/>
  <c r="L1907" i="3"/>
  <c r="L1908" i="3"/>
  <c r="L1909" i="3"/>
  <c r="L1910" i="3"/>
  <c r="L1911" i="3"/>
  <c r="L1912" i="3"/>
  <c r="L1913" i="3"/>
  <c r="L1914" i="3"/>
  <c r="L1915" i="3"/>
  <c r="L1916" i="3"/>
  <c r="L1917" i="3"/>
  <c r="L1918" i="3"/>
  <c r="L1919" i="3"/>
  <c r="L1920" i="3"/>
  <c r="L1921" i="3"/>
  <c r="L1922" i="3"/>
  <c r="L1923" i="3"/>
  <c r="L1924" i="3"/>
  <c r="L1925" i="3"/>
  <c r="L1926" i="3"/>
  <c r="L1927" i="3"/>
  <c r="L1928" i="3"/>
  <c r="L1929" i="3"/>
  <c r="L1930" i="3"/>
  <c r="L1931" i="3"/>
  <c r="L1932" i="3"/>
  <c r="L1933" i="3"/>
  <c r="L1934" i="3"/>
  <c r="L1935" i="3"/>
  <c r="L1936" i="3"/>
  <c r="L2908" i="3"/>
  <c r="L2909" i="3"/>
  <c r="L2910" i="3"/>
  <c r="L2911" i="3"/>
  <c r="L2912" i="3"/>
  <c r="L2913" i="3"/>
  <c r="L2914" i="3"/>
  <c r="L2915" i="3"/>
  <c r="L2916" i="3"/>
  <c r="L2917" i="3"/>
  <c r="L2918" i="3"/>
  <c r="L2919" i="3"/>
  <c r="L2920" i="3"/>
  <c r="L2921" i="3"/>
  <c r="L2922" i="3"/>
  <c r="L2923" i="3"/>
  <c r="L2924" i="3"/>
  <c r="L2925" i="3"/>
  <c r="L2926" i="3"/>
  <c r="L2927" i="3"/>
  <c r="L2928" i="3"/>
  <c r="L2929" i="3"/>
  <c r="L2930" i="3"/>
  <c r="L2931" i="3"/>
  <c r="L2932" i="3"/>
  <c r="L2933" i="3"/>
  <c r="L2934" i="3"/>
  <c r="L2935" i="3"/>
  <c r="L2936" i="3"/>
  <c r="L2937" i="3"/>
  <c r="L2938" i="3"/>
  <c r="L2939" i="3"/>
  <c r="L2940" i="3"/>
  <c r="L2941" i="3"/>
  <c r="L2942" i="3"/>
  <c r="L2943" i="3"/>
  <c r="L2944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531" i="3"/>
  <c r="L1532" i="3"/>
  <c r="L1533" i="3"/>
  <c r="L1534" i="3"/>
  <c r="L1535" i="3"/>
  <c r="L1536" i="3"/>
  <c r="L1537" i="3"/>
  <c r="L1538" i="3"/>
  <c r="L1539" i="3"/>
  <c r="L1540" i="3"/>
  <c r="L1541" i="3"/>
  <c r="L1542" i="3"/>
  <c r="L1543" i="3"/>
  <c r="L1544" i="3"/>
  <c r="L1545" i="3"/>
  <c r="L1546" i="3"/>
  <c r="L1547" i="3"/>
  <c r="L1548" i="3"/>
  <c r="L1549" i="3"/>
  <c r="L1550" i="3"/>
  <c r="L1551" i="3"/>
  <c r="L1552" i="3"/>
  <c r="L1553" i="3"/>
  <c r="L1554" i="3"/>
  <c r="L2269" i="3"/>
  <c r="L2270" i="3"/>
  <c r="L2271" i="3"/>
  <c r="L2272" i="3"/>
  <c r="L2273" i="3"/>
  <c r="L2274" i="3"/>
  <c r="L2275" i="3"/>
  <c r="L2276" i="3"/>
  <c r="L2277" i="3"/>
  <c r="L2278" i="3"/>
  <c r="L2279" i="3"/>
  <c r="L2280" i="3"/>
  <c r="L2281" i="3"/>
  <c r="L2282" i="3"/>
  <c r="L2283" i="3"/>
  <c r="L2284" i="3"/>
  <c r="L2285" i="3"/>
  <c r="L2286" i="3"/>
  <c r="L2287" i="3"/>
  <c r="L2288" i="3"/>
  <c r="L2289" i="3"/>
  <c r="L2290" i="3"/>
  <c r="L2291" i="3"/>
  <c r="L2292" i="3"/>
  <c r="L2293" i="3"/>
  <c r="L2294" i="3"/>
  <c r="L2295" i="3"/>
  <c r="L2296" i="3"/>
  <c r="L2297" i="3"/>
  <c r="L2298" i="3"/>
  <c r="L2299" i="3"/>
  <c r="L2300" i="3"/>
  <c r="L2301" i="3"/>
  <c r="L2302" i="3"/>
  <c r="L2303" i="3"/>
  <c r="L2304" i="3"/>
  <c r="L2305" i="3"/>
  <c r="L2306" i="3"/>
  <c r="L2307" i="3"/>
  <c r="L2308" i="3"/>
  <c r="L2309" i="3"/>
  <c r="L2310" i="3"/>
  <c r="L2311" i="3"/>
  <c r="L2312" i="3"/>
  <c r="L2313" i="3"/>
  <c r="L2314" i="3"/>
  <c r="L2315" i="3"/>
  <c r="L2316" i="3"/>
  <c r="L2317" i="3"/>
  <c r="L2318" i="3"/>
  <c r="L2319" i="3"/>
  <c r="L2320" i="3"/>
  <c r="L2321" i="3"/>
  <c r="L2322" i="3"/>
  <c r="L2323" i="3"/>
  <c r="L2324" i="3"/>
  <c r="L2325" i="3"/>
  <c r="L2326" i="3"/>
  <c r="L2327" i="3"/>
  <c r="L2328" i="3"/>
  <c r="L2329" i="3"/>
  <c r="L2330" i="3"/>
  <c r="L2331" i="3"/>
  <c r="L2332" i="3"/>
  <c r="L2333" i="3"/>
  <c r="L2334" i="3"/>
  <c r="L2335" i="3"/>
  <c r="L2336" i="3"/>
  <c r="L2337" i="3"/>
  <c r="L2338" i="3"/>
  <c r="L2339" i="3"/>
  <c r="L2340" i="3"/>
  <c r="L2341" i="3"/>
  <c r="L2342" i="3"/>
  <c r="L2343" i="3"/>
  <c r="L2344" i="3"/>
  <c r="L2345" i="3"/>
  <c r="L2346" i="3"/>
  <c r="L2347" i="3"/>
  <c r="L2348" i="3"/>
  <c r="L2349" i="3"/>
  <c r="L2350" i="3"/>
  <c r="L2351" i="3"/>
  <c r="L2352" i="3"/>
  <c r="L2353" i="3"/>
  <c r="L2354" i="3"/>
  <c r="L2355" i="3"/>
  <c r="L2356" i="3"/>
  <c r="L2357" i="3"/>
  <c r="L2358" i="3"/>
  <c r="L2359" i="3"/>
  <c r="L2360" i="3"/>
  <c r="L2361" i="3"/>
  <c r="L2362" i="3"/>
  <c r="L2363" i="3"/>
  <c r="L2364" i="3"/>
  <c r="L2365" i="3"/>
  <c r="L2366" i="3"/>
  <c r="L2367" i="3"/>
  <c r="L2368" i="3"/>
  <c r="L2369" i="3"/>
  <c r="L2370" i="3"/>
  <c r="L2696" i="3"/>
  <c r="L2697" i="3"/>
  <c r="L2698" i="3"/>
  <c r="L2699" i="3"/>
  <c r="L2700" i="3"/>
  <c r="L2701" i="3"/>
  <c r="L2702" i="3"/>
  <c r="L2703" i="3"/>
  <c r="L2704" i="3"/>
  <c r="L2705" i="3"/>
  <c r="L2706" i="3"/>
  <c r="L2707" i="3"/>
  <c r="L2708" i="3"/>
  <c r="L2709" i="3"/>
  <c r="L2710" i="3"/>
  <c r="L2711" i="3"/>
  <c r="L2712" i="3"/>
  <c r="L2713" i="3"/>
  <c r="L2714" i="3"/>
  <c r="L2715" i="3"/>
  <c r="L2716" i="3"/>
  <c r="L2717" i="3"/>
  <c r="L2718" i="3"/>
  <c r="L2719" i="3"/>
  <c r="L2720" i="3"/>
  <c r="L2721" i="3"/>
  <c r="L2722" i="3"/>
  <c r="L2723" i="3"/>
  <c r="L2724" i="3"/>
  <c r="L2725" i="3"/>
  <c r="L2726" i="3"/>
  <c r="L2727" i="3"/>
  <c r="E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3" i="7"/>
  <c r="G204" i="7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6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4" i="7"/>
  <c r="G335" i="7"/>
  <c r="G336" i="7"/>
  <c r="G337" i="7"/>
  <c r="G338" i="7"/>
  <c r="G339" i="7"/>
  <c r="G340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59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8" i="7"/>
  <c r="G379" i="7"/>
  <c r="G380" i="7"/>
  <c r="H175" i="7" l="1"/>
  <c r="F23" i="7"/>
  <c r="F328" i="7"/>
  <c r="F126" i="7"/>
  <c r="H60" i="7"/>
  <c r="H320" i="7"/>
  <c r="F227" i="7"/>
  <c r="H253" i="7"/>
  <c r="F19" i="7"/>
  <c r="F98" i="7"/>
  <c r="F174" i="7"/>
  <c r="F248" i="7"/>
  <c r="F327" i="7"/>
  <c r="F46" i="7"/>
  <c r="F120" i="7"/>
  <c r="F199" i="7"/>
  <c r="F275" i="7"/>
  <c r="F354" i="7"/>
  <c r="F71" i="7"/>
  <c r="F147" i="7"/>
  <c r="F226" i="7"/>
  <c r="F302" i="7"/>
  <c r="F376" i="7"/>
  <c r="H312" i="7"/>
  <c r="H244" i="7"/>
  <c r="H171" i="7"/>
  <c r="H59" i="7"/>
  <c r="F306" i="7"/>
  <c r="F200" i="7"/>
  <c r="F99" i="7"/>
  <c r="F8" i="7"/>
  <c r="H285" i="7"/>
  <c r="H120" i="7"/>
  <c r="H378" i="7"/>
  <c r="H370" i="7"/>
  <c r="H362" i="7"/>
  <c r="H354" i="7"/>
  <c r="H346" i="7"/>
  <c r="H338" i="7"/>
  <c r="H330" i="7"/>
  <c r="H322" i="7"/>
  <c r="H314" i="7"/>
  <c r="H306" i="7"/>
  <c r="H298" i="7"/>
  <c r="H290" i="7"/>
  <c r="H282" i="7"/>
  <c r="H274" i="7"/>
  <c r="H266" i="7"/>
  <c r="H258" i="7"/>
  <c r="H250" i="7"/>
  <c r="H242" i="7"/>
  <c r="H234" i="7"/>
  <c r="H226" i="7"/>
  <c r="H218" i="7"/>
  <c r="H210" i="7"/>
  <c r="H202" i="7"/>
  <c r="H194" i="7"/>
  <c r="H186" i="7"/>
  <c r="H178" i="7"/>
  <c r="H170" i="7"/>
  <c r="H162" i="7"/>
  <c r="H154" i="7"/>
  <c r="H146" i="7"/>
  <c r="H138" i="7"/>
  <c r="H134" i="7"/>
  <c r="H130" i="7"/>
  <c r="H126" i="7"/>
  <c r="H122" i="7"/>
  <c r="H118" i="7"/>
  <c r="H114" i="7"/>
  <c r="H106" i="7"/>
  <c r="H102" i="7"/>
  <c r="H98" i="7"/>
  <c r="H94" i="7"/>
  <c r="H90" i="7"/>
  <c r="H86" i="7"/>
  <c r="H82" i="7"/>
  <c r="H78" i="7"/>
  <c r="H74" i="7"/>
  <c r="H70" i="7"/>
  <c r="H66" i="7"/>
  <c r="H62" i="7"/>
  <c r="H58" i="7"/>
  <c r="H54" i="7"/>
  <c r="H50" i="7"/>
  <c r="H46" i="7"/>
  <c r="H42" i="7"/>
  <c r="H38" i="7"/>
  <c r="H34" i="7"/>
  <c r="H30" i="7"/>
  <c r="H26" i="7"/>
  <c r="H22" i="7"/>
  <c r="H18" i="7"/>
  <c r="H14" i="7"/>
  <c r="H10" i="7"/>
  <c r="H6" i="7"/>
  <c r="H2" i="7"/>
  <c r="F279" i="7"/>
  <c r="F178" i="7"/>
  <c r="F72" i="7"/>
  <c r="H360" i="7"/>
  <c r="H212" i="7"/>
  <c r="H8" i="7"/>
  <c r="H374" i="7"/>
  <c r="H366" i="7"/>
  <c r="H358" i="7"/>
  <c r="H350" i="7"/>
  <c r="H342" i="7"/>
  <c r="H334" i="7"/>
  <c r="H326" i="7"/>
  <c r="H318" i="7"/>
  <c r="H310" i="7"/>
  <c r="H302" i="7"/>
  <c r="H294" i="7"/>
  <c r="H286" i="7"/>
  <c r="H278" i="7"/>
  <c r="H270" i="7"/>
  <c r="H262" i="7"/>
  <c r="H254" i="7"/>
  <c r="H246" i="7"/>
  <c r="H238" i="7"/>
  <c r="H230" i="7"/>
  <c r="H222" i="7"/>
  <c r="H214" i="7"/>
  <c r="H206" i="7"/>
  <c r="H198" i="7"/>
  <c r="H190" i="7"/>
  <c r="H182" i="7"/>
  <c r="H174" i="7"/>
  <c r="H166" i="7"/>
  <c r="H158" i="7"/>
  <c r="H150" i="7"/>
  <c r="H142" i="7"/>
  <c r="H110" i="7"/>
  <c r="H348" i="7"/>
  <c r="H284" i="7"/>
  <c r="H196" i="7"/>
  <c r="H116" i="7"/>
  <c r="H4" i="7"/>
  <c r="H377" i="7"/>
  <c r="H369" i="7"/>
  <c r="H365" i="7"/>
  <c r="H357" i="7"/>
  <c r="F355" i="7"/>
  <c r="F254" i="7"/>
  <c r="F151" i="7"/>
  <c r="F50" i="7"/>
  <c r="H361" i="7"/>
  <c r="H345" i="7"/>
  <c r="H337" i="7"/>
  <c r="H321" i="7"/>
  <c r="H309" i="7"/>
  <c r="H297" i="7"/>
  <c r="H281" i="7"/>
  <c r="H269" i="7"/>
  <c r="H257" i="7"/>
  <c r="H241" i="7"/>
  <c r="H229" i="7"/>
  <c r="H217" i="7"/>
  <c r="H205" i="7"/>
  <c r="H193" i="7"/>
  <c r="H181" i="7"/>
  <c r="H169" i="7"/>
  <c r="H153" i="7"/>
  <c r="H141" i="7"/>
  <c r="H133" i="7"/>
  <c r="H121" i="7"/>
  <c r="H109" i="7"/>
  <c r="H93" i="7"/>
  <c r="H81" i="7"/>
  <c r="H73" i="7"/>
  <c r="H61" i="7"/>
  <c r="H49" i="7"/>
  <c r="H37" i="7"/>
  <c r="H25" i="7"/>
  <c r="H13" i="7"/>
  <c r="H349" i="7"/>
  <c r="H333" i="7"/>
  <c r="H325" i="7"/>
  <c r="H305" i="7"/>
  <c r="H293" i="7"/>
  <c r="H277" i="7"/>
  <c r="H265" i="7"/>
  <c r="H249" i="7"/>
  <c r="H237" i="7"/>
  <c r="H225" i="7"/>
  <c r="H213" i="7"/>
  <c r="H201" i="7"/>
  <c r="H189" i="7"/>
  <c r="H177" i="7"/>
  <c r="H165" i="7"/>
  <c r="H149" i="7"/>
  <c r="H129" i="7"/>
  <c r="H117" i="7"/>
  <c r="H105" i="7"/>
  <c r="H97" i="7"/>
  <c r="H85" i="7"/>
  <c r="H69" i="7"/>
  <c r="H57" i="7"/>
  <c r="H45" i="7"/>
  <c r="H33" i="7"/>
  <c r="H21" i="7"/>
  <c r="H9" i="7"/>
  <c r="H376" i="7"/>
  <c r="H336" i="7"/>
  <c r="H308" i="7"/>
  <c r="H272" i="7"/>
  <c r="H224" i="7"/>
  <c r="H192" i="7"/>
  <c r="H148" i="7"/>
  <c r="H88" i="7"/>
  <c r="H36" i="7"/>
  <c r="F370" i="7"/>
  <c r="F343" i="7"/>
  <c r="F318" i="7"/>
  <c r="F291" i="7"/>
  <c r="F264" i="7"/>
  <c r="F242" i="7"/>
  <c r="F215" i="7"/>
  <c r="F190" i="7"/>
  <c r="F163" i="7"/>
  <c r="F136" i="7"/>
  <c r="F114" i="7"/>
  <c r="F87" i="7"/>
  <c r="F62" i="7"/>
  <c r="F35" i="7"/>
  <c r="F14" i="7"/>
  <c r="H353" i="7"/>
  <c r="H341" i="7"/>
  <c r="H329" i="7"/>
  <c r="H313" i="7"/>
  <c r="H301" i="7"/>
  <c r="H289" i="7"/>
  <c r="H273" i="7"/>
  <c r="H261" i="7"/>
  <c r="H245" i="7"/>
  <c r="H233" i="7"/>
  <c r="H221" i="7"/>
  <c r="H209" i="7"/>
  <c r="H197" i="7"/>
  <c r="H185" i="7"/>
  <c r="H173" i="7"/>
  <c r="H161" i="7"/>
  <c r="H145" i="7"/>
  <c r="H137" i="7"/>
  <c r="H125" i="7"/>
  <c r="H113" i="7"/>
  <c r="H101" i="7"/>
  <c r="H89" i="7"/>
  <c r="H77" i="7"/>
  <c r="H65" i="7"/>
  <c r="H53" i="7"/>
  <c r="H41" i="7"/>
  <c r="H29" i="7"/>
  <c r="H17" i="7"/>
  <c r="H5" i="7"/>
  <c r="F30" i="7"/>
  <c r="F55" i="7"/>
  <c r="F82" i="7"/>
  <c r="F104" i="7"/>
  <c r="F131" i="7"/>
  <c r="F158" i="7"/>
  <c r="F183" i="7"/>
  <c r="F210" i="7"/>
  <c r="F232" i="7"/>
  <c r="F247" i="7"/>
  <c r="F259" i="7"/>
  <c r="F274" i="7"/>
  <c r="F286" i="7"/>
  <c r="F296" i="7"/>
  <c r="F311" i="7"/>
  <c r="F323" i="7"/>
  <c r="F338" i="7"/>
  <c r="F350" i="7"/>
  <c r="F360" i="7"/>
  <c r="F375" i="7"/>
  <c r="H24" i="7"/>
  <c r="H48" i="7"/>
  <c r="H72" i="7"/>
  <c r="H100" i="7"/>
  <c r="H132" i="7"/>
  <c r="H160" i="7"/>
  <c r="F18" i="7"/>
  <c r="F40" i="7"/>
  <c r="F67" i="7"/>
  <c r="F94" i="7"/>
  <c r="F119" i="7"/>
  <c r="F146" i="7"/>
  <c r="F168" i="7"/>
  <c r="F195" i="7"/>
  <c r="F222" i="7"/>
  <c r="H368" i="7"/>
  <c r="H335" i="7"/>
  <c r="H299" i="7"/>
  <c r="H256" i="7"/>
  <c r="H220" i="7"/>
  <c r="H187" i="7"/>
  <c r="H144" i="7"/>
  <c r="H84" i="7"/>
  <c r="H32" i="7"/>
  <c r="F366" i="7"/>
  <c r="F339" i="7"/>
  <c r="F312" i="7"/>
  <c r="F290" i="7"/>
  <c r="F263" i="7"/>
  <c r="F238" i="7"/>
  <c r="F211" i="7"/>
  <c r="F184" i="7"/>
  <c r="F162" i="7"/>
  <c r="F135" i="7"/>
  <c r="F110" i="7"/>
  <c r="F83" i="7"/>
  <c r="F56" i="7"/>
  <c r="F34" i="7"/>
  <c r="F6" i="7"/>
  <c r="F2" i="7"/>
  <c r="F372" i="7"/>
  <c r="F364" i="7"/>
  <c r="F352" i="7"/>
  <c r="F340" i="7"/>
  <c r="F332" i="7"/>
  <c r="F324" i="7"/>
  <c r="F316" i="7"/>
  <c r="F308" i="7"/>
  <c r="F304" i="7"/>
  <c r="F300" i="7"/>
  <c r="F288" i="7"/>
  <c r="F284" i="7"/>
  <c r="F276" i="7"/>
  <c r="F272" i="7"/>
  <c r="F268" i="7"/>
  <c r="F260" i="7"/>
  <c r="F256" i="7"/>
  <c r="F252" i="7"/>
  <c r="F244" i="7"/>
  <c r="F240" i="7"/>
  <c r="F236" i="7"/>
  <c r="F228" i="7"/>
  <c r="F224" i="7"/>
  <c r="F220" i="7"/>
  <c r="F212" i="7"/>
  <c r="F208" i="7"/>
  <c r="F204" i="7"/>
  <c r="F196" i="7"/>
  <c r="F192" i="7"/>
  <c r="F188" i="7"/>
  <c r="F180" i="7"/>
  <c r="F176" i="7"/>
  <c r="F172" i="7"/>
  <c r="F164" i="7"/>
  <c r="F380" i="7"/>
  <c r="F368" i="7"/>
  <c r="F356" i="7"/>
  <c r="F348" i="7"/>
  <c r="F336" i="7"/>
  <c r="F320" i="7"/>
  <c r="F292" i="7"/>
  <c r="H373" i="7"/>
  <c r="H347" i="7"/>
  <c r="H317" i="7"/>
  <c r="H296" i="7"/>
  <c r="H267" i="7"/>
  <c r="H240" i="7"/>
  <c r="H208" i="7"/>
  <c r="H184" i="7"/>
  <c r="H157" i="7"/>
  <c r="H128" i="7"/>
  <c r="H96" i="7"/>
  <c r="H68" i="7"/>
  <c r="H47" i="7"/>
  <c r="H20" i="7"/>
  <c r="H219" i="7"/>
  <c r="H207" i="7"/>
  <c r="H139" i="7"/>
  <c r="H43" i="7"/>
  <c r="F371" i="7"/>
  <c r="F359" i="7"/>
  <c r="F344" i="7"/>
  <c r="F334" i="7"/>
  <c r="F322" i="7"/>
  <c r="F307" i="7"/>
  <c r="F295" i="7"/>
  <c r="F280" i="7"/>
  <c r="F270" i="7"/>
  <c r="F258" i="7"/>
  <c r="F243" i="7"/>
  <c r="F231" i="7"/>
  <c r="F216" i="7"/>
  <c r="F206" i="7"/>
  <c r="F194" i="7"/>
  <c r="F179" i="7"/>
  <c r="F167" i="7"/>
  <c r="F152" i="7"/>
  <c r="F142" i="7"/>
  <c r="F130" i="7"/>
  <c r="F115" i="7"/>
  <c r="F103" i="7"/>
  <c r="F88" i="7"/>
  <c r="F78" i="7"/>
  <c r="F66" i="7"/>
  <c r="F51" i="7"/>
  <c r="F39" i="7"/>
  <c r="F24" i="7"/>
  <c r="F379" i="7"/>
  <c r="F367" i="7"/>
  <c r="F363" i="7"/>
  <c r="F351" i="7"/>
  <c r="F347" i="7"/>
  <c r="F335" i="7"/>
  <c r="F331" i="7"/>
  <c r="F319" i="7"/>
  <c r="F315" i="7"/>
  <c r="F303" i="7"/>
  <c r="F299" i="7"/>
  <c r="F287" i="7"/>
  <c r="F283" i="7"/>
  <c r="F271" i="7"/>
  <c r="F267" i="7"/>
  <c r="F255" i="7"/>
  <c r="F251" i="7"/>
  <c r="F239" i="7"/>
  <c r="F235" i="7"/>
  <c r="F223" i="7"/>
  <c r="F219" i="7"/>
  <c r="F207" i="7"/>
  <c r="F203" i="7"/>
  <c r="F191" i="7"/>
  <c r="F187" i="7"/>
  <c r="F175" i="7"/>
  <c r="F171" i="7"/>
  <c r="F159" i="7"/>
  <c r="F155" i="7"/>
  <c r="F143" i="7"/>
  <c r="F139" i="7"/>
  <c r="F127" i="7"/>
  <c r="F123" i="7"/>
  <c r="F111" i="7"/>
  <c r="F107" i="7"/>
  <c r="F95" i="7"/>
  <c r="F91" i="7"/>
  <c r="F79" i="7"/>
  <c r="F75" i="7"/>
  <c r="F63" i="7"/>
  <c r="F59" i="7"/>
  <c r="F47" i="7"/>
  <c r="F43" i="7"/>
  <c r="F31" i="7"/>
  <c r="F27" i="7"/>
  <c r="F15" i="7"/>
  <c r="F11" i="7"/>
  <c r="F7" i="7"/>
  <c r="F3" i="7"/>
  <c r="F160" i="7"/>
  <c r="F156" i="7"/>
  <c r="F148" i="7"/>
  <c r="F144" i="7"/>
  <c r="F140" i="7"/>
  <c r="F132" i="7"/>
  <c r="F128" i="7"/>
  <c r="F124" i="7"/>
  <c r="F116" i="7"/>
  <c r="F112" i="7"/>
  <c r="F108" i="7"/>
  <c r="F100" i="7"/>
  <c r="F96" i="7"/>
  <c r="F92" i="7"/>
  <c r="F84" i="7"/>
  <c r="F80" i="7"/>
  <c r="F76" i="7"/>
  <c r="F68" i="7"/>
  <c r="F64" i="7"/>
  <c r="F60" i="7"/>
  <c r="F52" i="7"/>
  <c r="F48" i="7"/>
  <c r="F44" i="7"/>
  <c r="F36" i="7"/>
  <c r="F32" i="7"/>
  <c r="F28" i="7"/>
  <c r="F20" i="7"/>
  <c r="F16" i="7"/>
  <c r="F12" i="7"/>
  <c r="F4" i="7"/>
  <c r="H372" i="7"/>
  <c r="H356" i="7"/>
  <c r="H344" i="7"/>
  <c r="H328" i="7"/>
  <c r="H316" i="7"/>
  <c r="H304" i="7"/>
  <c r="H292" i="7"/>
  <c r="H280" i="7"/>
  <c r="H264" i="7"/>
  <c r="H252" i="7"/>
  <c r="H232" i="7"/>
  <c r="H180" i="7"/>
  <c r="H168" i="7"/>
  <c r="H156" i="7"/>
  <c r="H112" i="7"/>
  <c r="H92" i="7"/>
  <c r="H80" i="7"/>
  <c r="H64" i="7"/>
  <c r="H56" i="7"/>
  <c r="H16" i="7"/>
  <c r="H380" i="7"/>
  <c r="H364" i="7"/>
  <c r="H332" i="7"/>
  <c r="H300" i="7"/>
  <c r="H268" i="7"/>
  <c r="H236" i="7"/>
  <c r="H204" i="7"/>
  <c r="H172" i="7"/>
  <c r="H140" i="7"/>
  <c r="H108" i="7"/>
  <c r="H76" i="7"/>
  <c r="H44" i="7"/>
  <c r="H12" i="7"/>
  <c r="F374" i="7"/>
  <c r="F358" i="7"/>
  <c r="F342" i="7"/>
  <c r="F326" i="7"/>
  <c r="F310" i="7"/>
  <c r="F294" i="7"/>
  <c r="F278" i="7"/>
  <c r="F262" i="7"/>
  <c r="F246" i="7"/>
  <c r="F230" i="7"/>
  <c r="F214" i="7"/>
  <c r="F198" i="7"/>
  <c r="F182" i="7"/>
  <c r="F166" i="7"/>
  <c r="F150" i="7"/>
  <c r="F134" i="7"/>
  <c r="F118" i="7"/>
  <c r="F102" i="7"/>
  <c r="F86" i="7"/>
  <c r="F70" i="7"/>
  <c r="F54" i="7"/>
  <c r="F38" i="7"/>
  <c r="F22" i="7"/>
  <c r="H379" i="7"/>
  <c r="H371" i="7"/>
  <c r="H352" i="7"/>
  <c r="H340" i="7"/>
  <c r="H324" i="7"/>
  <c r="H315" i="7"/>
  <c r="H303" i="7"/>
  <c r="H288" i="7"/>
  <c r="H276" i="7"/>
  <c r="H260" i="7"/>
  <c r="H248" i="7"/>
  <c r="H228" i="7"/>
  <c r="H216" i="7"/>
  <c r="H200" i="7"/>
  <c r="H188" i="7"/>
  <c r="H176" i="7"/>
  <c r="H164" i="7"/>
  <c r="H152" i="7"/>
  <c r="H136" i="7"/>
  <c r="H124" i="7"/>
  <c r="H104" i="7"/>
  <c r="H91" i="7"/>
  <c r="H79" i="7"/>
  <c r="H52" i="7"/>
  <c r="H40" i="7"/>
  <c r="H28" i="7"/>
  <c r="H11" i="7"/>
  <c r="H375" i="7"/>
  <c r="H367" i="7"/>
  <c r="H363" i="7"/>
  <c r="H359" i="7"/>
  <c r="H355" i="7"/>
  <c r="H351" i="7"/>
  <c r="H343" i="7"/>
  <c r="H339" i="7"/>
  <c r="H331" i="7"/>
  <c r="H327" i="7"/>
  <c r="H323" i="7"/>
  <c r="H319" i="7"/>
  <c r="H311" i="7"/>
  <c r="H307" i="7"/>
  <c r="H295" i="7"/>
  <c r="H291" i="7"/>
  <c r="H287" i="7"/>
  <c r="H283" i="7"/>
  <c r="H279" i="7"/>
  <c r="H275" i="7"/>
  <c r="H271" i="7"/>
  <c r="H263" i="7"/>
  <c r="H259" i="7"/>
  <c r="H255" i="7"/>
  <c r="H251" i="7"/>
  <c r="H247" i="7"/>
  <c r="H243" i="7"/>
  <c r="H239" i="7"/>
  <c r="H235" i="7"/>
  <c r="H231" i="7"/>
  <c r="H227" i="7"/>
  <c r="H223" i="7"/>
  <c r="H215" i="7"/>
  <c r="H211" i="7"/>
  <c r="H203" i="7"/>
  <c r="H199" i="7"/>
  <c r="H195" i="7"/>
  <c r="H191" i="7"/>
  <c r="H183" i="7"/>
  <c r="H179" i="7"/>
  <c r="H167" i="7"/>
  <c r="H163" i="7"/>
  <c r="H159" i="7"/>
  <c r="H155" i="7"/>
  <c r="H151" i="7"/>
  <c r="H147" i="7"/>
  <c r="H143" i="7"/>
  <c r="H135" i="7"/>
  <c r="H131" i="7"/>
  <c r="H127" i="7"/>
  <c r="H123" i="7"/>
  <c r="H119" i="7"/>
  <c r="H115" i="7"/>
  <c r="H111" i="7"/>
  <c r="H107" i="7"/>
  <c r="H103" i="7"/>
  <c r="H99" i="7"/>
  <c r="H95" i="7"/>
  <c r="H87" i="7"/>
  <c r="H83" i="7"/>
  <c r="H75" i="7"/>
  <c r="H71" i="7"/>
  <c r="H67" i="7"/>
  <c r="H63" i="7"/>
  <c r="H55" i="7"/>
  <c r="H51" i="7"/>
  <c r="H39" i="7"/>
  <c r="H35" i="7"/>
  <c r="H31" i="7"/>
  <c r="H27" i="7"/>
  <c r="H23" i="7"/>
  <c r="H19" i="7"/>
  <c r="H15" i="7"/>
  <c r="H7" i="7"/>
  <c r="H3" i="7"/>
  <c r="F378" i="7"/>
  <c r="F362" i="7"/>
  <c r="F346" i="7"/>
  <c r="F330" i="7"/>
  <c r="F314" i="7"/>
  <c r="F298" i="7"/>
  <c r="F282" i="7"/>
  <c r="F266" i="7"/>
  <c r="F250" i="7"/>
  <c r="F234" i="7"/>
  <c r="F218" i="7"/>
  <c r="F202" i="7"/>
  <c r="F186" i="7"/>
  <c r="F170" i="7"/>
  <c r="F154" i="7"/>
  <c r="F138" i="7"/>
  <c r="F122" i="7"/>
  <c r="F106" i="7"/>
  <c r="F90" i="7"/>
  <c r="F74" i="7"/>
  <c r="F58" i="7"/>
  <c r="F42" i="7"/>
  <c r="F26" i="7"/>
  <c r="F10" i="7"/>
  <c r="F377" i="7"/>
  <c r="F373" i="7"/>
  <c r="F369" i="7"/>
  <c r="F365" i="7"/>
  <c r="F361" i="7"/>
  <c r="F357" i="7"/>
  <c r="F353" i="7"/>
  <c r="F349" i="7"/>
  <c r="F345" i="7"/>
  <c r="F341" i="7"/>
  <c r="F337" i="7"/>
  <c r="F333" i="7"/>
  <c r="F329" i="7"/>
  <c r="F325" i="7"/>
  <c r="F321" i="7"/>
  <c r="F317" i="7"/>
  <c r="F313" i="7"/>
  <c r="F309" i="7"/>
  <c r="F305" i="7"/>
  <c r="F301" i="7"/>
  <c r="F297" i="7"/>
  <c r="F293" i="7"/>
  <c r="F289" i="7"/>
  <c r="F285" i="7"/>
  <c r="F281" i="7"/>
  <c r="F277" i="7"/>
  <c r="F273" i="7"/>
  <c r="F269" i="7"/>
  <c r="F265" i="7"/>
  <c r="F261" i="7"/>
  <c r="F257" i="7"/>
  <c r="F253" i="7"/>
  <c r="F249" i="7"/>
  <c r="F245" i="7"/>
  <c r="F241" i="7"/>
  <c r="F237" i="7"/>
  <c r="F233" i="7"/>
  <c r="F229" i="7"/>
  <c r="F225" i="7"/>
  <c r="F221" i="7"/>
  <c r="F217" i="7"/>
  <c r="F213" i="7"/>
  <c r="F209" i="7"/>
  <c r="F205" i="7"/>
  <c r="F201" i="7"/>
  <c r="F197" i="7"/>
  <c r="F193" i="7"/>
  <c r="F189" i="7"/>
  <c r="F185" i="7"/>
  <c r="F181" i="7"/>
  <c r="F177" i="7"/>
  <c r="F173" i="7"/>
  <c r="F169" i="7"/>
  <c r="F165" i="7"/>
  <c r="F161" i="7"/>
  <c r="F157" i="7"/>
  <c r="F153" i="7"/>
  <c r="F149" i="7"/>
  <c r="F145" i="7"/>
  <c r="F141" i="7"/>
  <c r="F137" i="7"/>
  <c r="F133" i="7"/>
  <c r="F129" i="7"/>
  <c r="F125" i="7"/>
  <c r="F121" i="7"/>
  <c r="F117" i="7"/>
  <c r="F113" i="7"/>
  <c r="F109" i="7"/>
  <c r="F105" i="7"/>
  <c r="F101" i="7"/>
  <c r="F97" i="7"/>
  <c r="F93" i="7"/>
  <c r="F89" i="7"/>
  <c r="F85" i="7"/>
  <c r="F81" i="7"/>
  <c r="F77" i="7"/>
  <c r="F73" i="7"/>
  <c r="F69" i="7"/>
  <c r="F65" i="7"/>
  <c r="F61" i="7"/>
  <c r="F57" i="7"/>
  <c r="F53" i="7"/>
  <c r="F49" i="7"/>
  <c r="F45" i="7"/>
  <c r="F41" i="7"/>
  <c r="F37" i="7"/>
  <c r="F33" i="7"/>
  <c r="F29" i="7"/>
  <c r="F25" i="7"/>
  <c r="F21" i="7"/>
  <c r="F17" i="7"/>
  <c r="F13" i="7"/>
  <c r="F9" i="7"/>
  <c r="F5" i="7"/>
  <c r="D9" i="15"/>
  <c r="E9" i="15"/>
  <c r="F9" i="15" s="1"/>
  <c r="D58" i="15"/>
  <c r="E58" i="15"/>
  <c r="F58" i="15" s="1"/>
  <c r="D424" i="15"/>
  <c r="E424" i="15"/>
  <c r="F424" i="15" s="1"/>
  <c r="D143" i="15"/>
  <c r="E143" i="15"/>
  <c r="F143" i="15" s="1"/>
  <c r="D69" i="15"/>
  <c r="E69" i="15"/>
  <c r="F69" i="15" s="1"/>
  <c r="D200" i="15"/>
  <c r="E200" i="15"/>
  <c r="F200" i="15" s="1"/>
  <c r="D208" i="15"/>
  <c r="E208" i="15"/>
  <c r="F208" i="15" s="1"/>
  <c r="D237" i="15"/>
  <c r="E237" i="15"/>
  <c r="F237" i="15" s="1"/>
  <c r="D294" i="15"/>
  <c r="E294" i="15"/>
  <c r="F294" i="15" s="1"/>
  <c r="D364" i="15"/>
  <c r="E364" i="15"/>
  <c r="F364" i="15" s="1"/>
  <c r="D475" i="15"/>
  <c r="E475" i="15"/>
  <c r="F475" i="15" s="1"/>
  <c r="D615" i="15"/>
  <c r="E615" i="15"/>
  <c r="F615" i="15" s="1"/>
  <c r="D636" i="15"/>
  <c r="E636" i="15"/>
  <c r="F636" i="15" s="1"/>
  <c r="D680" i="15"/>
  <c r="E680" i="15"/>
  <c r="F680" i="15" s="1"/>
  <c r="D359" i="15"/>
  <c r="E359" i="15"/>
  <c r="F359" i="15" s="1"/>
  <c r="D703" i="15"/>
  <c r="E703" i="15"/>
  <c r="F703" i="15" s="1"/>
  <c r="D425" i="15"/>
  <c r="E425" i="15"/>
  <c r="F425" i="15" s="1"/>
  <c r="D144" i="15"/>
  <c r="E144" i="15"/>
  <c r="F144" i="15" s="1"/>
  <c r="D70" i="15"/>
  <c r="E70" i="15"/>
  <c r="F70" i="15" s="1"/>
  <c r="D201" i="15"/>
  <c r="E201" i="15"/>
  <c r="F201" i="15" s="1"/>
  <c r="D209" i="15"/>
  <c r="E209" i="15"/>
  <c r="F209" i="15" s="1"/>
  <c r="D238" i="15"/>
  <c r="E238" i="15"/>
  <c r="F238" i="15" s="1"/>
  <c r="D295" i="15"/>
  <c r="E295" i="15"/>
  <c r="F295" i="15" s="1"/>
  <c r="D365" i="15"/>
  <c r="E365" i="15"/>
  <c r="F365" i="15" s="1"/>
  <c r="D476" i="15"/>
  <c r="E476" i="15"/>
  <c r="F476" i="15" s="1"/>
  <c r="D616" i="15"/>
  <c r="E616" i="15"/>
  <c r="F616" i="15" s="1"/>
  <c r="D637" i="15"/>
  <c r="E637" i="15"/>
  <c r="F637" i="15" s="1"/>
  <c r="D681" i="15"/>
  <c r="E681" i="15"/>
  <c r="F681" i="15" s="1"/>
  <c r="D360" i="15"/>
  <c r="E360" i="15"/>
  <c r="F360" i="15" s="1"/>
  <c r="D704" i="15"/>
  <c r="E704" i="15"/>
  <c r="F704" i="15" s="1"/>
  <c r="D45" i="15"/>
  <c r="E45" i="15"/>
  <c r="F45" i="15" s="1"/>
  <c r="D524" i="15"/>
  <c r="E524" i="15"/>
  <c r="F524" i="15" s="1"/>
  <c r="D591" i="15"/>
  <c r="E591" i="15"/>
  <c r="F591" i="15" s="1"/>
  <c r="D492" i="15"/>
  <c r="E492" i="15"/>
  <c r="F492" i="15" s="1"/>
  <c r="D659" i="15"/>
  <c r="E659" i="15"/>
  <c r="F659" i="15" s="1"/>
  <c r="D46" i="15"/>
  <c r="E46" i="15"/>
  <c r="F46" i="15" s="1"/>
  <c r="D525" i="15"/>
  <c r="E525" i="15"/>
  <c r="F525" i="15" s="1"/>
  <c r="D592" i="15"/>
  <c r="E592" i="15"/>
  <c r="F592" i="15" s="1"/>
  <c r="D493" i="15"/>
  <c r="E493" i="15"/>
  <c r="F493" i="15" s="1"/>
  <c r="D660" i="15"/>
  <c r="E660" i="15"/>
  <c r="F660" i="15" s="1"/>
  <c r="D426" i="15"/>
  <c r="E426" i="15"/>
  <c r="F426" i="15" s="1"/>
  <c r="D47" i="15"/>
  <c r="E47" i="15"/>
  <c r="F47" i="15" s="1"/>
  <c r="D779" i="15"/>
  <c r="E779" i="15"/>
  <c r="F779" i="15" s="1"/>
  <c r="D526" i="15"/>
  <c r="E526" i="15"/>
  <c r="F526" i="15" s="1"/>
  <c r="D104" i="15"/>
  <c r="E104" i="15"/>
  <c r="F104" i="15" s="1"/>
  <c r="D593" i="15"/>
  <c r="E593" i="15"/>
  <c r="F593" i="15" s="1"/>
  <c r="D494" i="15"/>
  <c r="E494" i="15"/>
  <c r="F494" i="15" s="1"/>
  <c r="D320" i="15"/>
  <c r="E320" i="15"/>
  <c r="F320" i="15" s="1"/>
  <c r="D30" i="15"/>
  <c r="E30" i="15"/>
  <c r="F30" i="15" s="1"/>
  <c r="D427" i="15"/>
  <c r="E427" i="15"/>
  <c r="F427" i="15" s="1"/>
  <c r="D48" i="15"/>
  <c r="E48" i="15"/>
  <c r="F48" i="15" s="1"/>
  <c r="D780" i="15"/>
  <c r="E780" i="15"/>
  <c r="F780" i="15" s="1"/>
  <c r="D527" i="15"/>
  <c r="E527" i="15"/>
  <c r="F527" i="15" s="1"/>
  <c r="D105" i="15"/>
  <c r="E105" i="15"/>
  <c r="F105" i="15" s="1"/>
  <c r="D594" i="15"/>
  <c r="E594" i="15"/>
  <c r="F594" i="15" s="1"/>
  <c r="D495" i="15"/>
  <c r="E495" i="15"/>
  <c r="F495" i="15" s="1"/>
  <c r="D321" i="15"/>
  <c r="E321" i="15"/>
  <c r="F321" i="15" s="1"/>
  <c r="D31" i="15"/>
  <c r="E31" i="15"/>
  <c r="F31" i="15" s="1"/>
  <c r="D428" i="15"/>
  <c r="E428" i="15"/>
  <c r="F428" i="15" s="1"/>
  <c r="D49" i="15"/>
  <c r="E49" i="15"/>
  <c r="F49" i="15" s="1"/>
  <c r="D781" i="15"/>
  <c r="E781" i="15"/>
  <c r="F781" i="15" s="1"/>
  <c r="D528" i="15"/>
  <c r="E528" i="15"/>
  <c r="F528" i="15" s="1"/>
  <c r="D106" i="15"/>
  <c r="E106" i="15"/>
  <c r="F106" i="15" s="1"/>
  <c r="D595" i="15"/>
  <c r="E595" i="15"/>
  <c r="F595" i="15" s="1"/>
  <c r="D496" i="15"/>
  <c r="E496" i="15"/>
  <c r="F496" i="15" s="1"/>
  <c r="D322" i="15"/>
  <c r="E322" i="15"/>
  <c r="F322" i="15" s="1"/>
  <c r="D32" i="15"/>
  <c r="E32" i="15"/>
  <c r="F32" i="15" s="1"/>
  <c r="D429" i="15"/>
  <c r="E429" i="15"/>
  <c r="F429" i="15" s="1"/>
  <c r="D782" i="15"/>
  <c r="E782" i="15"/>
  <c r="F782" i="15" s="1"/>
  <c r="D529" i="15"/>
  <c r="E529" i="15"/>
  <c r="F529" i="15" s="1"/>
  <c r="D107" i="15"/>
  <c r="E107" i="15"/>
  <c r="F107" i="15" s="1"/>
  <c r="D596" i="15"/>
  <c r="E596" i="15"/>
  <c r="F596" i="15" s="1"/>
  <c r="D497" i="15"/>
  <c r="E497" i="15"/>
  <c r="F497" i="15" s="1"/>
  <c r="D323" i="15"/>
  <c r="E323" i="15"/>
  <c r="F323" i="15" s="1"/>
  <c r="D530" i="15"/>
  <c r="E530" i="15"/>
  <c r="F530" i="15" s="1"/>
  <c r="D731" i="15"/>
  <c r="E731" i="15"/>
  <c r="F731" i="15" s="1"/>
  <c r="D597" i="15"/>
  <c r="E597" i="15"/>
  <c r="F597" i="15" s="1"/>
  <c r="D85" i="15"/>
  <c r="E85" i="15"/>
  <c r="F85" i="15" s="1"/>
  <c r="D116" i="15"/>
  <c r="E116" i="15"/>
  <c r="F116" i="15" s="1"/>
  <c r="D162" i="15"/>
  <c r="E162" i="15"/>
  <c r="F162" i="15" s="1"/>
  <c r="D178" i="15"/>
  <c r="E178" i="15"/>
  <c r="F178" i="15" s="1"/>
  <c r="D214" i="15"/>
  <c r="E214" i="15"/>
  <c r="F214" i="15" s="1"/>
  <c r="D239" i="15"/>
  <c r="E239" i="15"/>
  <c r="F239" i="15" s="1"/>
  <c r="D253" i="15"/>
  <c r="E253" i="15"/>
  <c r="F253" i="15" s="1"/>
  <c r="D271" i="15"/>
  <c r="E271" i="15"/>
  <c r="F271" i="15" s="1"/>
  <c r="D296" i="15"/>
  <c r="E296" i="15"/>
  <c r="F296" i="15" s="1"/>
  <c r="D326" i="15"/>
  <c r="E326" i="15"/>
  <c r="F326" i="15" s="1"/>
  <c r="D341" i="15"/>
  <c r="E341" i="15"/>
  <c r="F341" i="15" s="1"/>
  <c r="D366" i="15"/>
  <c r="E366" i="15"/>
  <c r="F366" i="15" s="1"/>
  <c r="D384" i="15"/>
  <c r="E384" i="15"/>
  <c r="F384" i="15" s="1"/>
  <c r="D402" i="15"/>
  <c r="E402" i="15"/>
  <c r="F402" i="15" s="1"/>
  <c r="D437" i="15"/>
  <c r="E437" i="15"/>
  <c r="F437" i="15" s="1"/>
  <c r="D455" i="15"/>
  <c r="E455" i="15"/>
  <c r="F455" i="15" s="1"/>
  <c r="D498" i="15"/>
  <c r="E498" i="15"/>
  <c r="F498" i="15" s="1"/>
  <c r="D617" i="15"/>
  <c r="E617" i="15"/>
  <c r="F617" i="15" s="1"/>
  <c r="D638" i="15"/>
  <c r="E638" i="15"/>
  <c r="F638" i="15" s="1"/>
  <c r="D682" i="15"/>
  <c r="E682" i="15"/>
  <c r="F682" i="15" s="1"/>
  <c r="D744" i="15"/>
  <c r="E744" i="15"/>
  <c r="F744" i="15" s="1"/>
  <c r="D12" i="15"/>
  <c r="E12" i="15"/>
  <c r="F12" i="15" s="1"/>
  <c r="D661" i="15"/>
  <c r="E661" i="15"/>
  <c r="F661" i="15" s="1"/>
  <c r="D705" i="15"/>
  <c r="E705" i="15"/>
  <c r="F705" i="15" s="1"/>
  <c r="D551" i="15"/>
  <c r="E551" i="15"/>
  <c r="F551" i="15" s="1"/>
  <c r="D566" i="15"/>
  <c r="E566" i="15"/>
  <c r="F566" i="15" s="1"/>
  <c r="D531" i="15"/>
  <c r="E531" i="15"/>
  <c r="F531" i="15" s="1"/>
  <c r="D732" i="15"/>
  <c r="E732" i="15"/>
  <c r="F732" i="15" s="1"/>
  <c r="D598" i="15"/>
  <c r="E598" i="15"/>
  <c r="F598" i="15" s="1"/>
  <c r="D86" i="15"/>
  <c r="E86" i="15"/>
  <c r="F86" i="15" s="1"/>
  <c r="D117" i="15"/>
  <c r="E117" i="15"/>
  <c r="F117" i="15" s="1"/>
  <c r="D163" i="15"/>
  <c r="E163" i="15"/>
  <c r="F163" i="15" s="1"/>
  <c r="D179" i="15"/>
  <c r="E179" i="15"/>
  <c r="F179" i="15" s="1"/>
  <c r="D215" i="15"/>
  <c r="E215" i="15"/>
  <c r="F215" i="15" s="1"/>
  <c r="D240" i="15"/>
  <c r="E240" i="15"/>
  <c r="F240" i="15" s="1"/>
  <c r="D254" i="15"/>
  <c r="E254" i="15"/>
  <c r="F254" i="15" s="1"/>
  <c r="D272" i="15"/>
  <c r="E272" i="15"/>
  <c r="F272" i="15" s="1"/>
  <c r="D297" i="15"/>
  <c r="E297" i="15"/>
  <c r="F297" i="15" s="1"/>
  <c r="D327" i="15"/>
  <c r="E327" i="15"/>
  <c r="F327" i="15" s="1"/>
  <c r="D342" i="15"/>
  <c r="E342" i="15"/>
  <c r="F342" i="15" s="1"/>
  <c r="D367" i="15"/>
  <c r="E367" i="15"/>
  <c r="F367" i="15" s="1"/>
  <c r="D385" i="15"/>
  <c r="E385" i="15"/>
  <c r="F385" i="15" s="1"/>
  <c r="D403" i="15"/>
  <c r="E403" i="15"/>
  <c r="F403" i="15" s="1"/>
  <c r="D438" i="15"/>
  <c r="E438" i="15"/>
  <c r="F438" i="15" s="1"/>
  <c r="D456" i="15"/>
  <c r="E456" i="15"/>
  <c r="F456" i="15" s="1"/>
  <c r="D499" i="15"/>
  <c r="E499" i="15"/>
  <c r="F499" i="15" s="1"/>
  <c r="D618" i="15"/>
  <c r="E618" i="15"/>
  <c r="F618" i="15" s="1"/>
  <c r="D639" i="15"/>
  <c r="E639" i="15"/>
  <c r="F639" i="15" s="1"/>
  <c r="D683" i="15"/>
  <c r="E683" i="15"/>
  <c r="F683" i="15" s="1"/>
  <c r="D745" i="15"/>
  <c r="E745" i="15"/>
  <c r="F745" i="15" s="1"/>
  <c r="D13" i="15"/>
  <c r="E13" i="15"/>
  <c r="F13" i="15" s="1"/>
  <c r="D662" i="15"/>
  <c r="E662" i="15"/>
  <c r="F662" i="15" s="1"/>
  <c r="D706" i="15"/>
  <c r="E706" i="15"/>
  <c r="F706" i="15" s="1"/>
  <c r="D552" i="15"/>
  <c r="E552" i="15"/>
  <c r="F552" i="15" s="1"/>
  <c r="D567" i="15"/>
  <c r="E567" i="15"/>
  <c r="F567" i="15" s="1"/>
  <c r="D765" i="15"/>
  <c r="E765" i="15"/>
  <c r="F765" i="15" s="1"/>
  <c r="D532" i="15"/>
  <c r="E532" i="15"/>
  <c r="F532" i="15" s="1"/>
  <c r="D145" i="15"/>
  <c r="E145" i="15"/>
  <c r="F145" i="15" s="1"/>
  <c r="D766" i="15"/>
  <c r="E766" i="15"/>
  <c r="F766" i="15" s="1"/>
  <c r="D533" i="15"/>
  <c r="E533" i="15"/>
  <c r="F533" i="15" s="1"/>
  <c r="D146" i="15"/>
  <c r="E146" i="15"/>
  <c r="F146" i="15" s="1"/>
  <c r="D767" i="15"/>
  <c r="E767" i="15"/>
  <c r="F767" i="15" s="1"/>
  <c r="D147" i="15"/>
  <c r="E147" i="15"/>
  <c r="F147" i="15" s="1"/>
  <c r="D87" i="15"/>
  <c r="E87" i="15"/>
  <c r="F87" i="15" s="1"/>
  <c r="D71" i="15"/>
  <c r="E71" i="15"/>
  <c r="F71" i="15" s="1"/>
  <c r="D118" i="15"/>
  <c r="E118" i="15"/>
  <c r="F118" i="15" s="1"/>
  <c r="D156" i="15"/>
  <c r="E156" i="15"/>
  <c r="F156" i="15" s="1"/>
  <c r="D164" i="15"/>
  <c r="E164" i="15"/>
  <c r="F164" i="15" s="1"/>
  <c r="D180" i="15"/>
  <c r="E180" i="15"/>
  <c r="F180" i="15" s="1"/>
  <c r="D202" i="15"/>
  <c r="E202" i="15"/>
  <c r="F202" i="15" s="1"/>
  <c r="D210" i="15"/>
  <c r="E210" i="15"/>
  <c r="F210" i="15" s="1"/>
  <c r="D216" i="15"/>
  <c r="E216" i="15"/>
  <c r="F216" i="15" s="1"/>
  <c r="D241" i="15"/>
  <c r="E241" i="15"/>
  <c r="F241" i="15" s="1"/>
  <c r="D255" i="15"/>
  <c r="E255" i="15"/>
  <c r="F255" i="15" s="1"/>
  <c r="D273" i="15"/>
  <c r="E273" i="15"/>
  <c r="F273" i="15" s="1"/>
  <c r="D298" i="15"/>
  <c r="E298" i="15"/>
  <c r="F298" i="15" s="1"/>
  <c r="D328" i="15"/>
  <c r="E328" i="15"/>
  <c r="F328" i="15" s="1"/>
  <c r="D343" i="15"/>
  <c r="E343" i="15"/>
  <c r="F343" i="15" s="1"/>
  <c r="D368" i="15"/>
  <c r="E368" i="15"/>
  <c r="F368" i="15" s="1"/>
  <c r="D386" i="15"/>
  <c r="E386" i="15"/>
  <c r="F386" i="15" s="1"/>
  <c r="D404" i="15"/>
  <c r="E404" i="15"/>
  <c r="F404" i="15" s="1"/>
  <c r="D439" i="15"/>
  <c r="E439" i="15"/>
  <c r="F439" i="15" s="1"/>
  <c r="D457" i="15"/>
  <c r="E457" i="15"/>
  <c r="F457" i="15" s="1"/>
  <c r="D477" i="15"/>
  <c r="E477" i="15"/>
  <c r="F477" i="15" s="1"/>
  <c r="D619" i="15"/>
  <c r="E619" i="15"/>
  <c r="F619" i="15" s="1"/>
  <c r="D640" i="15"/>
  <c r="E640" i="15"/>
  <c r="F640" i="15" s="1"/>
  <c r="D684" i="15"/>
  <c r="E684" i="15"/>
  <c r="F684" i="15" s="1"/>
  <c r="D746" i="15"/>
  <c r="E746" i="15"/>
  <c r="F746" i="15" s="1"/>
  <c r="D33" i="15"/>
  <c r="E33" i="15"/>
  <c r="F33" i="15" s="1"/>
  <c r="D663" i="15"/>
  <c r="E663" i="15"/>
  <c r="F663" i="15" s="1"/>
  <c r="D59" i="15"/>
  <c r="E59" i="15"/>
  <c r="F59" i="15" s="1"/>
  <c r="D707" i="15"/>
  <c r="E707" i="15"/>
  <c r="F707" i="15" s="1"/>
  <c r="D553" i="15"/>
  <c r="E553" i="15"/>
  <c r="F553" i="15" s="1"/>
  <c r="D568" i="15"/>
  <c r="E568" i="15"/>
  <c r="F568" i="15" s="1"/>
  <c r="D768" i="15"/>
  <c r="E768" i="15"/>
  <c r="F768" i="15" s="1"/>
  <c r="D148" i="15"/>
  <c r="E148" i="15"/>
  <c r="F148" i="15" s="1"/>
  <c r="D88" i="15"/>
  <c r="E88" i="15"/>
  <c r="F88" i="15" s="1"/>
  <c r="D119" i="15"/>
  <c r="E119" i="15"/>
  <c r="F119" i="15" s="1"/>
  <c r="D157" i="15"/>
  <c r="E157" i="15"/>
  <c r="F157" i="15" s="1"/>
  <c r="D203" i="15"/>
  <c r="E203" i="15"/>
  <c r="F203" i="15" s="1"/>
  <c r="D211" i="15"/>
  <c r="E211" i="15"/>
  <c r="F211" i="15" s="1"/>
  <c r="D217" i="15"/>
  <c r="E217" i="15"/>
  <c r="F217" i="15" s="1"/>
  <c r="D242" i="15"/>
  <c r="E242" i="15"/>
  <c r="F242" i="15" s="1"/>
  <c r="D256" i="15"/>
  <c r="E256" i="15"/>
  <c r="F256" i="15" s="1"/>
  <c r="D274" i="15"/>
  <c r="E274" i="15"/>
  <c r="F274" i="15" s="1"/>
  <c r="D299" i="15"/>
  <c r="E299" i="15"/>
  <c r="F299" i="15" s="1"/>
  <c r="D387" i="15"/>
  <c r="E387" i="15"/>
  <c r="F387" i="15" s="1"/>
  <c r="D405" i="15"/>
  <c r="E405" i="15"/>
  <c r="F405" i="15" s="1"/>
  <c r="D440" i="15"/>
  <c r="E440" i="15"/>
  <c r="F440" i="15" s="1"/>
  <c r="D458" i="15"/>
  <c r="E458" i="15"/>
  <c r="F458" i="15" s="1"/>
  <c r="D641" i="15"/>
  <c r="E641" i="15"/>
  <c r="F641" i="15" s="1"/>
  <c r="D34" i="15"/>
  <c r="E34" i="15"/>
  <c r="F34" i="15" s="1"/>
  <c r="D664" i="15"/>
  <c r="E664" i="15"/>
  <c r="F664" i="15" s="1"/>
  <c r="D60" i="15"/>
  <c r="E60" i="15"/>
  <c r="F60" i="15" s="1"/>
  <c r="D708" i="15"/>
  <c r="E708" i="15"/>
  <c r="F708" i="15" s="1"/>
  <c r="D769" i="15"/>
  <c r="E769" i="15"/>
  <c r="F769" i="15" s="1"/>
  <c r="D149" i="15"/>
  <c r="E149" i="15"/>
  <c r="F149" i="15" s="1"/>
  <c r="D89" i="15"/>
  <c r="E89" i="15"/>
  <c r="F89" i="15" s="1"/>
  <c r="D72" i="15"/>
  <c r="E72" i="15"/>
  <c r="F72" i="15" s="1"/>
  <c r="D120" i="15"/>
  <c r="E120" i="15"/>
  <c r="F120" i="15" s="1"/>
  <c r="D158" i="15"/>
  <c r="E158" i="15"/>
  <c r="F158" i="15" s="1"/>
  <c r="D165" i="15"/>
  <c r="E165" i="15"/>
  <c r="F165" i="15" s="1"/>
  <c r="D181" i="15"/>
  <c r="E181" i="15"/>
  <c r="F181" i="15" s="1"/>
  <c r="D204" i="15"/>
  <c r="E204" i="15"/>
  <c r="F204" i="15" s="1"/>
  <c r="D212" i="15"/>
  <c r="E212" i="15"/>
  <c r="F212" i="15" s="1"/>
  <c r="D218" i="15"/>
  <c r="E218" i="15"/>
  <c r="F218" i="15" s="1"/>
  <c r="D243" i="15"/>
  <c r="E243" i="15"/>
  <c r="F243" i="15" s="1"/>
  <c r="D257" i="15"/>
  <c r="E257" i="15"/>
  <c r="F257" i="15" s="1"/>
  <c r="D275" i="15"/>
  <c r="E275" i="15"/>
  <c r="F275" i="15" s="1"/>
  <c r="D300" i="15"/>
  <c r="E300" i="15"/>
  <c r="F300" i="15" s="1"/>
  <c r="D329" i="15"/>
  <c r="E329" i="15"/>
  <c r="F329" i="15" s="1"/>
  <c r="D344" i="15"/>
  <c r="E344" i="15"/>
  <c r="F344" i="15" s="1"/>
  <c r="D369" i="15"/>
  <c r="E369" i="15"/>
  <c r="F369" i="15" s="1"/>
  <c r="D388" i="15"/>
  <c r="E388" i="15"/>
  <c r="F388" i="15" s="1"/>
  <c r="D406" i="15"/>
  <c r="E406" i="15"/>
  <c r="F406" i="15" s="1"/>
  <c r="D441" i="15"/>
  <c r="E441" i="15"/>
  <c r="F441" i="15" s="1"/>
  <c r="D459" i="15"/>
  <c r="E459" i="15"/>
  <c r="F459" i="15" s="1"/>
  <c r="D478" i="15"/>
  <c r="E478" i="15"/>
  <c r="F478" i="15" s="1"/>
  <c r="D620" i="15"/>
  <c r="E620" i="15"/>
  <c r="F620" i="15" s="1"/>
  <c r="D642" i="15"/>
  <c r="E642" i="15"/>
  <c r="F642" i="15" s="1"/>
  <c r="D685" i="15"/>
  <c r="E685" i="15"/>
  <c r="F685" i="15" s="1"/>
  <c r="D747" i="15"/>
  <c r="E747" i="15"/>
  <c r="F747" i="15" s="1"/>
  <c r="D35" i="15"/>
  <c r="E35" i="15"/>
  <c r="F35" i="15" s="1"/>
  <c r="D665" i="15"/>
  <c r="E665" i="15"/>
  <c r="F665" i="15" s="1"/>
  <c r="D61" i="15"/>
  <c r="E61" i="15"/>
  <c r="F61" i="15" s="1"/>
  <c r="D709" i="15"/>
  <c r="E709" i="15"/>
  <c r="F709" i="15" s="1"/>
  <c r="D554" i="15"/>
  <c r="E554" i="15"/>
  <c r="F554" i="15" s="1"/>
  <c r="D569" i="15"/>
  <c r="E569" i="15"/>
  <c r="F569" i="15" s="1"/>
  <c r="D555" i="15"/>
  <c r="E555" i="15"/>
  <c r="F555" i="15" s="1"/>
  <c r="D556" i="15"/>
  <c r="E556" i="15"/>
  <c r="F556" i="15" s="1"/>
  <c r="D557" i="15"/>
  <c r="E557" i="15"/>
  <c r="F557" i="15" s="1"/>
  <c r="D558" i="15"/>
  <c r="E558" i="15"/>
  <c r="F558" i="15" s="1"/>
  <c r="D559" i="15"/>
  <c r="E559" i="15"/>
  <c r="F559" i="15" s="1"/>
  <c r="D560" i="15"/>
  <c r="E560" i="15"/>
  <c r="F560" i="15" s="1"/>
  <c r="D561" i="15"/>
  <c r="E561" i="15"/>
  <c r="F561" i="15" s="1"/>
  <c r="D562" i="15"/>
  <c r="E562" i="15"/>
  <c r="F562" i="15" s="1"/>
  <c r="D563" i="15"/>
  <c r="E563" i="15"/>
  <c r="F563" i="15" s="1"/>
  <c r="D564" i="15"/>
  <c r="E564" i="15"/>
  <c r="F564" i="15" s="1"/>
  <c r="D570" i="15"/>
  <c r="E570" i="15"/>
  <c r="F570" i="15" s="1"/>
  <c r="D571" i="15"/>
  <c r="E571" i="15"/>
  <c r="F571" i="15" s="1"/>
  <c r="D572" i="15"/>
  <c r="E572" i="15"/>
  <c r="F572" i="15" s="1"/>
  <c r="D573" i="15"/>
  <c r="E573" i="15"/>
  <c r="F573" i="15" s="1"/>
  <c r="D574" i="15"/>
  <c r="E574" i="15"/>
  <c r="F574" i="15" s="1"/>
  <c r="D575" i="15"/>
  <c r="E575" i="15"/>
  <c r="F575" i="15" s="1"/>
  <c r="D576" i="15"/>
  <c r="E576" i="15"/>
  <c r="F576" i="15" s="1"/>
  <c r="D577" i="15"/>
  <c r="E577" i="15"/>
  <c r="F577" i="15" s="1"/>
  <c r="D579" i="15"/>
  <c r="E579" i="15"/>
  <c r="F579" i="15" s="1"/>
  <c r="D580" i="15"/>
  <c r="E580" i="15"/>
  <c r="F580" i="15" s="1"/>
  <c r="D581" i="15"/>
  <c r="E581" i="15"/>
  <c r="F581" i="15" s="1"/>
  <c r="D582" i="15"/>
  <c r="E582" i="15"/>
  <c r="F582" i="15" s="1"/>
  <c r="D583" i="15"/>
  <c r="E583" i="15"/>
  <c r="F583" i="15" s="1"/>
  <c r="D584" i="15"/>
  <c r="E584" i="15"/>
  <c r="F584" i="15" s="1"/>
  <c r="D585" i="15"/>
  <c r="E585" i="15"/>
  <c r="F585" i="15" s="1"/>
  <c r="D586" i="15"/>
  <c r="E586" i="15"/>
  <c r="F586" i="15" s="1"/>
  <c r="D599" i="15"/>
  <c r="E599" i="15"/>
  <c r="F599" i="15" s="1"/>
  <c r="D600" i="15"/>
  <c r="E600" i="15"/>
  <c r="F600" i="15" s="1"/>
  <c r="D601" i="15"/>
  <c r="E601" i="15"/>
  <c r="F601" i="15" s="1"/>
  <c r="D602" i="15"/>
  <c r="E602" i="15"/>
  <c r="F602" i="15" s="1"/>
  <c r="D603" i="15"/>
  <c r="E603" i="15"/>
  <c r="F603" i="15" s="1"/>
  <c r="D604" i="15"/>
  <c r="E604" i="15"/>
  <c r="F604" i="15" s="1"/>
  <c r="D605" i="15"/>
  <c r="E605" i="15"/>
  <c r="F605" i="15" s="1"/>
  <c r="D606" i="15"/>
  <c r="E606" i="15"/>
  <c r="F606" i="15" s="1"/>
  <c r="D608" i="15"/>
  <c r="E608" i="15"/>
  <c r="F608" i="15" s="1"/>
  <c r="D609" i="15"/>
  <c r="E609" i="15"/>
  <c r="F609" i="15" s="1"/>
  <c r="D610" i="15"/>
  <c r="E610" i="15"/>
  <c r="F610" i="15" s="1"/>
  <c r="D611" i="15"/>
  <c r="E611" i="15"/>
  <c r="F611" i="15" s="1"/>
  <c r="D612" i="15"/>
  <c r="E612" i="15"/>
  <c r="F612" i="15" s="1"/>
  <c r="D621" i="15"/>
  <c r="E621" i="15"/>
  <c r="F621" i="15" s="1"/>
  <c r="D622" i="15"/>
  <c r="E622" i="15"/>
  <c r="F622" i="15" s="1"/>
  <c r="D623" i="15"/>
  <c r="E623" i="15"/>
  <c r="F623" i="15" s="1"/>
  <c r="D624" i="15"/>
  <c r="E624" i="15"/>
  <c r="F624" i="15" s="1"/>
  <c r="D625" i="15"/>
  <c r="E625" i="15"/>
  <c r="F625" i="15" s="1"/>
  <c r="D626" i="15"/>
  <c r="E626" i="15"/>
  <c r="F626" i="15" s="1"/>
  <c r="D627" i="15"/>
  <c r="E627" i="15"/>
  <c r="F627" i="15" s="1"/>
  <c r="D628" i="15"/>
  <c r="E628" i="15"/>
  <c r="F628" i="15" s="1"/>
  <c r="D629" i="15"/>
  <c r="E629" i="15"/>
  <c r="F629" i="15" s="1"/>
  <c r="D630" i="15"/>
  <c r="E630" i="15"/>
  <c r="F630" i="15" s="1"/>
  <c r="D631" i="15"/>
  <c r="E631" i="15"/>
  <c r="F631" i="15" s="1"/>
  <c r="D632" i="15"/>
  <c r="E632" i="15"/>
  <c r="F632" i="15" s="1"/>
  <c r="D633" i="15"/>
  <c r="E633" i="15"/>
  <c r="F633" i="15" s="1"/>
  <c r="D643" i="15"/>
  <c r="E643" i="15"/>
  <c r="F643" i="15" s="1"/>
  <c r="D644" i="15"/>
  <c r="E644" i="15"/>
  <c r="F644" i="15" s="1"/>
  <c r="D645" i="15"/>
  <c r="E645" i="15"/>
  <c r="F645" i="15" s="1"/>
  <c r="D646" i="15"/>
  <c r="E646" i="15"/>
  <c r="F646" i="15" s="1"/>
  <c r="D647" i="15"/>
  <c r="E647" i="15"/>
  <c r="F647" i="15" s="1"/>
  <c r="D648" i="15"/>
  <c r="E648" i="15"/>
  <c r="F648" i="15" s="1"/>
  <c r="D649" i="15"/>
  <c r="E649" i="15"/>
  <c r="F649" i="15" s="1"/>
  <c r="D650" i="15"/>
  <c r="E650" i="15"/>
  <c r="F650" i="15" s="1"/>
  <c r="D652" i="15"/>
  <c r="E652" i="15"/>
  <c r="F652" i="15" s="1"/>
  <c r="D653" i="15"/>
  <c r="E653" i="15"/>
  <c r="F653" i="15" s="1"/>
  <c r="D654" i="15"/>
  <c r="E654" i="15"/>
  <c r="F654" i="15" s="1"/>
  <c r="D655" i="15"/>
  <c r="E655" i="15"/>
  <c r="F655" i="15" s="1"/>
  <c r="D656" i="15"/>
  <c r="E656" i="15"/>
  <c r="F656" i="15" s="1"/>
  <c r="D657" i="15"/>
  <c r="E657" i="15"/>
  <c r="F657" i="15" s="1"/>
  <c r="D666" i="15"/>
  <c r="E666" i="15"/>
  <c r="F666" i="15" s="1"/>
  <c r="D667" i="15"/>
  <c r="E667" i="15"/>
  <c r="F667" i="15" s="1"/>
  <c r="D668" i="15"/>
  <c r="E668" i="15"/>
  <c r="F668" i="15" s="1"/>
  <c r="D669" i="15"/>
  <c r="E669" i="15"/>
  <c r="F669" i="15" s="1"/>
  <c r="D670" i="15"/>
  <c r="E670" i="15"/>
  <c r="F670" i="15" s="1"/>
  <c r="D671" i="15"/>
  <c r="E671" i="15"/>
  <c r="F671" i="15" s="1"/>
  <c r="D672" i="15"/>
  <c r="E672" i="15"/>
  <c r="F672" i="15" s="1"/>
  <c r="D728" i="15"/>
  <c r="E728" i="15"/>
  <c r="F728" i="15" s="1"/>
  <c r="D673" i="15"/>
  <c r="E673" i="15"/>
  <c r="F673" i="15" s="1"/>
  <c r="D676" i="15"/>
  <c r="E676" i="15"/>
  <c r="F676" i="15" s="1"/>
  <c r="D677" i="15"/>
  <c r="E677" i="15"/>
  <c r="F677" i="15" s="1"/>
  <c r="D686" i="15"/>
  <c r="E686" i="15"/>
  <c r="F686" i="15" s="1"/>
  <c r="D687" i="15"/>
  <c r="E687" i="15"/>
  <c r="F687" i="15" s="1"/>
  <c r="D688" i="15"/>
  <c r="E688" i="15"/>
  <c r="F688" i="15" s="1"/>
  <c r="D689" i="15"/>
  <c r="E689" i="15"/>
  <c r="F689" i="15" s="1"/>
  <c r="D690" i="15"/>
  <c r="E690" i="15"/>
  <c r="F690" i="15" s="1"/>
  <c r="D691" i="15"/>
  <c r="E691" i="15"/>
  <c r="F691" i="15" s="1"/>
  <c r="D692" i="15"/>
  <c r="E692" i="15"/>
  <c r="F692" i="15" s="1"/>
  <c r="D693" i="15"/>
  <c r="E693" i="15"/>
  <c r="F693" i="15" s="1"/>
  <c r="D694" i="15"/>
  <c r="E694" i="15"/>
  <c r="F694" i="15" s="1"/>
  <c r="D695" i="15"/>
  <c r="E695" i="15"/>
  <c r="F695" i="15" s="1"/>
  <c r="D696" i="15"/>
  <c r="E696" i="15"/>
  <c r="F696" i="15" s="1"/>
  <c r="D697" i="15"/>
  <c r="E697" i="15"/>
  <c r="F697" i="15" s="1"/>
  <c r="D698" i="15"/>
  <c r="E698" i="15"/>
  <c r="F698" i="15" s="1"/>
  <c r="D699" i="15"/>
  <c r="E699" i="15"/>
  <c r="F699" i="15" s="1"/>
  <c r="D700" i="15"/>
  <c r="E700" i="15"/>
  <c r="F700" i="15" s="1"/>
  <c r="D710" i="15"/>
  <c r="E710" i="15"/>
  <c r="F710" i="15" s="1"/>
  <c r="D711" i="15"/>
  <c r="E711" i="15"/>
  <c r="F711" i="15" s="1"/>
  <c r="D712" i="15"/>
  <c r="E712" i="15"/>
  <c r="F712" i="15" s="1"/>
  <c r="D713" i="15"/>
  <c r="E713" i="15"/>
  <c r="F713" i="15" s="1"/>
  <c r="D714" i="15"/>
  <c r="E714" i="15"/>
  <c r="F714" i="15" s="1"/>
  <c r="D715" i="15"/>
  <c r="E715" i="15"/>
  <c r="F715" i="15" s="1"/>
  <c r="D716" i="15"/>
  <c r="E716" i="15"/>
  <c r="F716" i="15" s="1"/>
  <c r="D717" i="15"/>
  <c r="E717" i="15"/>
  <c r="F717" i="15" s="1"/>
  <c r="D718" i="15"/>
  <c r="E718" i="15"/>
  <c r="F718" i="15" s="1"/>
  <c r="D733" i="15"/>
  <c r="E733" i="15"/>
  <c r="F733" i="15" s="1"/>
  <c r="D734" i="15"/>
  <c r="E734" i="15"/>
  <c r="F734" i="15" s="1"/>
  <c r="D735" i="15"/>
  <c r="E735" i="15"/>
  <c r="F735" i="15" s="1"/>
  <c r="D736" i="15"/>
  <c r="E736" i="15"/>
  <c r="F736" i="15" s="1"/>
  <c r="D737" i="15"/>
  <c r="E737" i="15"/>
  <c r="F737" i="15" s="1"/>
  <c r="D738" i="15"/>
  <c r="E738" i="15"/>
  <c r="F738" i="15" s="1"/>
  <c r="D739" i="15"/>
  <c r="E739" i="15"/>
  <c r="F739" i="15" s="1"/>
  <c r="D740" i="15"/>
  <c r="E740" i="15"/>
  <c r="F740" i="15" s="1"/>
  <c r="D741" i="15"/>
  <c r="E741" i="15"/>
  <c r="F741" i="15" s="1"/>
  <c r="D742" i="15"/>
  <c r="E742" i="15"/>
  <c r="F742" i="15" s="1"/>
  <c r="D748" i="15"/>
  <c r="E748" i="15"/>
  <c r="F748" i="15" s="1"/>
  <c r="D749" i="15"/>
  <c r="E749" i="15"/>
  <c r="F749" i="15" s="1"/>
  <c r="D750" i="15"/>
  <c r="E750" i="15"/>
  <c r="F750" i="15" s="1"/>
  <c r="D751" i="15"/>
  <c r="E751" i="15"/>
  <c r="F751" i="15" s="1"/>
  <c r="D752" i="15"/>
  <c r="E752" i="15"/>
  <c r="F752" i="15" s="1"/>
  <c r="D753" i="15"/>
  <c r="E753" i="15"/>
  <c r="F753" i="15" s="1"/>
  <c r="D754" i="15"/>
  <c r="E754" i="15"/>
  <c r="F754" i="15" s="1"/>
  <c r="D755" i="15"/>
  <c r="E755" i="15"/>
  <c r="F755" i="15" s="1"/>
  <c r="D756" i="15"/>
  <c r="E756" i="15"/>
  <c r="F756" i="15" s="1"/>
  <c r="D757" i="15"/>
  <c r="E757" i="15"/>
  <c r="F757" i="15" s="1"/>
  <c r="D758" i="15"/>
  <c r="E758" i="15"/>
  <c r="F758" i="15" s="1"/>
  <c r="D759" i="15"/>
  <c r="E759" i="15"/>
  <c r="F759" i="15" s="1"/>
  <c r="D760" i="15"/>
  <c r="E760" i="15"/>
  <c r="F760" i="15" s="1"/>
  <c r="D761" i="15"/>
  <c r="E761" i="15"/>
  <c r="F761" i="15" s="1"/>
  <c r="D762" i="15"/>
  <c r="E762" i="15"/>
  <c r="F762" i="15" s="1"/>
  <c r="D772" i="15"/>
  <c r="E772" i="15"/>
  <c r="F772" i="15" s="1"/>
  <c r="D773" i="15"/>
  <c r="E773" i="15"/>
  <c r="F773" i="15" s="1"/>
  <c r="D774" i="15"/>
  <c r="E774" i="15"/>
  <c r="F774" i="15" s="1"/>
  <c r="D775" i="15"/>
  <c r="E775" i="15"/>
  <c r="F775" i="15" s="1"/>
  <c r="D729" i="15"/>
  <c r="E729" i="15"/>
  <c r="F729" i="15" s="1"/>
  <c r="D542" i="15"/>
  <c r="E542" i="15"/>
  <c r="F542" i="15" s="1"/>
  <c r="D607" i="15"/>
  <c r="E607" i="15"/>
  <c r="F607" i="15" s="1"/>
  <c r="E400" i="15"/>
  <c r="F400" i="15" s="1"/>
  <c r="E407" i="15"/>
  <c r="F407" i="15" s="1"/>
  <c r="E408" i="15"/>
  <c r="F408" i="15" s="1"/>
  <c r="E24" i="15"/>
  <c r="F24" i="15" s="1"/>
  <c r="E25" i="15"/>
  <c r="F25" i="15" s="1"/>
  <c r="E26" i="15"/>
  <c r="F26" i="15" s="1"/>
  <c r="E27" i="15"/>
  <c r="F27" i="15" s="1"/>
  <c r="E28" i="15"/>
  <c r="F28" i="15" s="1"/>
  <c r="E36" i="15"/>
  <c r="F36" i="15" s="1"/>
  <c r="E590" i="15"/>
  <c r="F590" i="15" s="1"/>
  <c r="E84" i="15"/>
  <c r="F84" i="15" s="1"/>
  <c r="E491" i="15"/>
  <c r="F491" i="15" s="1"/>
  <c r="E358" i="15"/>
  <c r="F358" i="15" s="1"/>
  <c r="E635" i="15"/>
  <c r="F635" i="15" s="1"/>
  <c r="E679" i="15"/>
  <c r="F679" i="15" s="1"/>
  <c r="E357" i="15"/>
  <c r="F357" i="15" s="1"/>
  <c r="E8" i="15"/>
  <c r="F8" i="15" s="1"/>
  <c r="E57" i="15"/>
  <c r="F57" i="15" s="1"/>
  <c r="E702" i="15"/>
  <c r="F702" i="15" s="1"/>
  <c r="E523" i="15"/>
  <c r="F523" i="15" s="1"/>
  <c r="E508" i="15"/>
  <c r="F508" i="15" s="1"/>
  <c r="E517" i="15"/>
  <c r="F517" i="15" s="1"/>
  <c r="E486" i="15"/>
  <c r="F486" i="15" s="1"/>
  <c r="E500" i="15"/>
  <c r="F500" i="15" s="1"/>
  <c r="E501" i="15"/>
  <c r="F501" i="15" s="1"/>
  <c r="E502" i="15"/>
  <c r="F502" i="15" s="1"/>
  <c r="E503" i="15"/>
  <c r="F503" i="15" s="1"/>
  <c r="E504" i="15"/>
  <c r="F504" i="15" s="1"/>
  <c r="E505" i="15"/>
  <c r="F505" i="15" s="1"/>
  <c r="E506" i="15"/>
  <c r="F506" i="15" s="1"/>
  <c r="E507" i="15"/>
  <c r="F507" i="15" s="1"/>
  <c r="E515" i="15"/>
  <c r="F515" i="15" s="1"/>
  <c r="E514" i="15"/>
  <c r="F514" i="15" s="1"/>
  <c r="E511" i="15"/>
  <c r="F511" i="15" s="1"/>
  <c r="E512" i="15"/>
  <c r="F512" i="15" s="1"/>
  <c r="E516" i="15"/>
  <c r="F516" i="15" s="1"/>
  <c r="E513" i="15"/>
  <c r="F513" i="15" s="1"/>
  <c r="E509" i="15"/>
  <c r="F509" i="15" s="1"/>
  <c r="E510" i="15"/>
  <c r="F510" i="15" s="1"/>
  <c r="E125" i="15"/>
  <c r="F125" i="15" s="1"/>
  <c r="E123" i="15"/>
  <c r="F123" i="15" s="1"/>
  <c r="E126" i="15"/>
  <c r="F126" i="15" s="1"/>
  <c r="E127" i="15"/>
  <c r="F127" i="15" s="1"/>
  <c r="E128" i="15"/>
  <c r="F128" i="15" s="1"/>
  <c r="E124" i="15"/>
  <c r="F124" i="15" s="1"/>
  <c r="E130" i="15"/>
  <c r="F130" i="15" s="1"/>
  <c r="E131" i="15"/>
  <c r="F131" i="15" s="1"/>
  <c r="E132" i="15"/>
  <c r="F132" i="15" s="1"/>
  <c r="E133" i="15"/>
  <c r="F133" i="15" s="1"/>
  <c r="E142" i="15"/>
  <c r="F142" i="15" s="1"/>
  <c r="E423" i="15"/>
  <c r="F423" i="15" s="1"/>
  <c r="E103" i="15"/>
  <c r="F103" i="15" s="1"/>
  <c r="E82" i="15"/>
  <c r="F82" i="15" s="1"/>
  <c r="E589" i="15"/>
  <c r="F589" i="15" s="1"/>
  <c r="E522" i="15"/>
  <c r="F522" i="15" s="1"/>
  <c r="E489" i="15"/>
  <c r="F489" i="15" s="1"/>
  <c r="E319" i="15"/>
  <c r="F319" i="15" s="1"/>
  <c r="E518" i="15"/>
  <c r="F518" i="15" s="1"/>
  <c r="E720" i="15"/>
  <c r="F720" i="15" s="1"/>
  <c r="E93" i="15"/>
  <c r="F93" i="15" s="1"/>
  <c r="E94" i="15"/>
  <c r="F94" i="15" s="1"/>
  <c r="E95" i="15"/>
  <c r="F95" i="15" s="1"/>
  <c r="E96" i="15"/>
  <c r="F96" i="15" s="1"/>
  <c r="E252" i="15"/>
  <c r="F252" i="15" s="1"/>
  <c r="E155" i="15"/>
  <c r="F155" i="15" s="1"/>
  <c r="E161" i="15"/>
  <c r="F161" i="15" s="1"/>
  <c r="E177" i="15"/>
  <c r="F177" i="15" s="1"/>
  <c r="E198" i="15"/>
  <c r="F198" i="15" s="1"/>
  <c r="E206" i="15"/>
  <c r="F206" i="15" s="1"/>
  <c r="E213" i="15"/>
  <c r="F213" i="15" s="1"/>
  <c r="E235" i="15"/>
  <c r="F235" i="15" s="1"/>
  <c r="E67" i="15"/>
  <c r="F67" i="15" s="1"/>
  <c r="E587" i="15"/>
  <c r="F587" i="15" s="1"/>
  <c r="E109" i="15"/>
  <c r="F109" i="15" s="1"/>
  <c r="E544" i="15"/>
  <c r="F544" i="15" s="1"/>
  <c r="E115" i="15"/>
  <c r="F115" i="15" s="1"/>
  <c r="E80" i="15"/>
  <c r="F80" i="15" s="1"/>
  <c r="E719" i="15"/>
  <c r="F719" i="15" s="1"/>
  <c r="E102" i="15"/>
  <c r="F102" i="15" s="1"/>
  <c r="E78" i="15"/>
  <c r="F78" i="15" s="1"/>
  <c r="E76" i="15"/>
  <c r="F76" i="15" s="1"/>
  <c r="E77" i="15"/>
  <c r="F77" i="15" s="1"/>
  <c r="E79" i="15"/>
  <c r="F79" i="15" s="1"/>
  <c r="E90" i="15"/>
  <c r="F90" i="15" s="1"/>
  <c r="E91" i="15"/>
  <c r="F91" i="15" s="1"/>
  <c r="E92" i="15"/>
  <c r="F92" i="15" s="1"/>
  <c r="E74" i="15"/>
  <c r="F74" i="15" s="1"/>
  <c r="E66" i="15"/>
  <c r="F66" i="15" s="1"/>
  <c r="E62" i="15"/>
  <c r="F62" i="15" s="1"/>
  <c r="E63" i="15"/>
  <c r="F63" i="15" s="1"/>
  <c r="E75" i="15"/>
  <c r="F75" i="15" s="1"/>
  <c r="E73" i="15"/>
  <c r="F73" i="15" s="1"/>
  <c r="E64" i="15"/>
  <c r="F64" i="15" s="1"/>
  <c r="E65" i="15"/>
  <c r="F65" i="15" s="1"/>
  <c r="E51" i="15"/>
  <c r="F51" i="15" s="1"/>
  <c r="E52" i="15"/>
  <c r="F52" i="15" s="1"/>
  <c r="E53" i="15"/>
  <c r="F53" i="15" s="1"/>
  <c r="E54" i="15"/>
  <c r="F54" i="15" s="1"/>
  <c r="E55" i="15"/>
  <c r="F55" i="15" s="1"/>
  <c r="E113" i="15"/>
  <c r="F113" i="15" s="1"/>
  <c r="E114" i="15"/>
  <c r="F114" i="15" s="1"/>
  <c r="E121" i="15"/>
  <c r="F121" i="15" s="1"/>
  <c r="E122" i="15"/>
  <c r="F122" i="15" s="1"/>
  <c r="E111" i="15"/>
  <c r="F111" i="15" s="1"/>
  <c r="E101" i="15"/>
  <c r="F101" i="15" s="1"/>
  <c r="E97" i="15"/>
  <c r="F97" i="15" s="1"/>
  <c r="E98" i="15"/>
  <c r="F98" i="15" s="1"/>
  <c r="E112" i="15"/>
  <c r="F112" i="15" s="1"/>
  <c r="E99" i="15"/>
  <c r="F99" i="15" s="1"/>
  <c r="E100" i="15"/>
  <c r="F100" i="15" s="1"/>
  <c r="E134" i="15"/>
  <c r="F134" i="15" s="1"/>
  <c r="E135" i="15"/>
  <c r="F135" i="15" s="1"/>
  <c r="E136" i="15"/>
  <c r="F136" i="15" s="1"/>
  <c r="E137" i="15"/>
  <c r="F137" i="15" s="1"/>
  <c r="E160" i="15"/>
  <c r="F160" i="15" s="1"/>
  <c r="E166" i="15"/>
  <c r="F166" i="15" s="1"/>
  <c r="E154" i="15"/>
  <c r="F154" i="15" s="1"/>
  <c r="E152" i="15"/>
  <c r="F152" i="15" s="1"/>
  <c r="E138" i="15"/>
  <c r="F138" i="15" s="1"/>
  <c r="E727" i="15"/>
  <c r="F727" i="15" s="1"/>
  <c r="E159" i="15"/>
  <c r="F159" i="15" s="1"/>
  <c r="E153" i="15"/>
  <c r="F153" i="15" s="1"/>
  <c r="E139" i="15"/>
  <c r="F139" i="15" s="1"/>
  <c r="E151" i="15"/>
  <c r="F151" i="15" s="1"/>
  <c r="E175" i="15"/>
  <c r="F175" i="15" s="1"/>
  <c r="E176" i="15"/>
  <c r="F176" i="15" s="1"/>
  <c r="E173" i="15"/>
  <c r="F173" i="15" s="1"/>
  <c r="E171" i="15"/>
  <c r="F171" i="15" s="1"/>
  <c r="E167" i="15"/>
  <c r="F167" i="15" s="1"/>
  <c r="E168" i="15"/>
  <c r="F168" i="15" s="1"/>
  <c r="E172" i="15"/>
  <c r="F172" i="15" s="1"/>
  <c r="E169" i="15"/>
  <c r="F169" i="15" s="1"/>
  <c r="E170" i="15"/>
  <c r="F170" i="15" s="1"/>
  <c r="E182" i="15"/>
  <c r="F182" i="15" s="1"/>
  <c r="E183" i="15"/>
  <c r="F183" i="15" s="1"/>
  <c r="E184" i="15"/>
  <c r="F184" i="15" s="1"/>
  <c r="E185" i="15"/>
  <c r="F185" i="15" s="1"/>
  <c r="E186" i="15"/>
  <c r="F186" i="15" s="1"/>
  <c r="E187" i="15"/>
  <c r="F187" i="15" s="1"/>
  <c r="E188" i="15"/>
  <c r="F188" i="15" s="1"/>
  <c r="E196" i="15"/>
  <c r="F196" i="15" s="1"/>
  <c r="E194" i="15"/>
  <c r="F194" i="15" s="1"/>
  <c r="E189" i="15"/>
  <c r="F189" i="15" s="1"/>
  <c r="E191" i="15"/>
  <c r="F191" i="15" s="1"/>
  <c r="E197" i="15"/>
  <c r="F197" i="15" s="1"/>
  <c r="E195" i="15"/>
  <c r="F195" i="15" s="1"/>
  <c r="E192" i="15"/>
  <c r="F192" i="15" s="1"/>
  <c r="E193" i="15"/>
  <c r="F193" i="15" s="1"/>
  <c r="E228" i="15"/>
  <c r="F228" i="15" s="1"/>
  <c r="E229" i="15"/>
  <c r="F229" i="15" s="1"/>
  <c r="E230" i="15"/>
  <c r="F230" i="15" s="1"/>
  <c r="E231" i="15"/>
  <c r="F231" i="15" s="1"/>
  <c r="E232" i="15"/>
  <c r="F232" i="15" s="1"/>
  <c r="E233" i="15"/>
  <c r="F233" i="15" s="1"/>
  <c r="E234" i="15"/>
  <c r="F234" i="15" s="1"/>
  <c r="E219" i="15"/>
  <c r="F219" i="15" s="1"/>
  <c r="E220" i="15"/>
  <c r="F220" i="15" s="1"/>
  <c r="E221" i="15"/>
  <c r="F221" i="15" s="1"/>
  <c r="E222" i="15"/>
  <c r="F222" i="15" s="1"/>
  <c r="E223" i="15"/>
  <c r="F223" i="15" s="1"/>
  <c r="E224" i="15"/>
  <c r="F224" i="15" s="1"/>
  <c r="E225" i="15"/>
  <c r="F225" i="15" s="1"/>
  <c r="E226" i="15"/>
  <c r="F226" i="15" s="1"/>
  <c r="E250" i="15"/>
  <c r="F250" i="15" s="1"/>
  <c r="E248" i="15"/>
  <c r="F248" i="15" s="1"/>
  <c r="E244" i="15"/>
  <c r="F244" i="15" s="1"/>
  <c r="E245" i="15"/>
  <c r="F245" i="15" s="1"/>
  <c r="E251" i="15"/>
  <c r="F251" i="15" s="1"/>
  <c r="E249" i="15"/>
  <c r="F249" i="15" s="1"/>
  <c r="E246" i="15"/>
  <c r="F246" i="15" s="1"/>
  <c r="E247" i="15"/>
  <c r="F247" i="15" s="1"/>
  <c r="E266" i="15"/>
  <c r="F266" i="15" s="1"/>
  <c r="E267" i="15"/>
  <c r="F267" i="15" s="1"/>
  <c r="E268" i="15"/>
  <c r="F268" i="15" s="1"/>
  <c r="E269" i="15"/>
  <c r="F269" i="15" s="1"/>
  <c r="E264" i="15"/>
  <c r="F264" i="15" s="1"/>
  <c r="E262" i="15"/>
  <c r="F262" i="15" s="1"/>
  <c r="E258" i="15"/>
  <c r="F258" i="15" s="1"/>
  <c r="E259" i="15"/>
  <c r="F259" i="15" s="1"/>
  <c r="E265" i="15"/>
  <c r="F265" i="15" s="1"/>
  <c r="E263" i="15"/>
  <c r="F263" i="15" s="1"/>
  <c r="E260" i="15"/>
  <c r="F260" i="15" s="1"/>
  <c r="E261" i="15"/>
  <c r="F261" i="15" s="1"/>
  <c r="E285" i="15"/>
  <c r="F285" i="15" s="1"/>
  <c r="E286" i="15"/>
  <c r="F286" i="15" s="1"/>
  <c r="E287" i="15"/>
  <c r="F287" i="15" s="1"/>
  <c r="E288" i="15"/>
  <c r="F288" i="15" s="1"/>
  <c r="E289" i="15"/>
  <c r="F289" i="15" s="1"/>
  <c r="E290" i="15"/>
  <c r="F290" i="15" s="1"/>
  <c r="E282" i="15"/>
  <c r="F282" i="15" s="1"/>
  <c r="E280" i="15"/>
  <c r="F280" i="15" s="1"/>
  <c r="E276" i="15"/>
  <c r="F276" i="15" s="1"/>
  <c r="E277" i="15"/>
  <c r="F277" i="15" s="1"/>
  <c r="E283" i="15"/>
  <c r="F283" i="15" s="1"/>
  <c r="E281" i="15"/>
  <c r="F281" i="15" s="1"/>
  <c r="E278" i="15"/>
  <c r="F278" i="15" s="1"/>
  <c r="E279" i="15"/>
  <c r="F279" i="15" s="1"/>
  <c r="E314" i="15"/>
  <c r="F314" i="15" s="1"/>
  <c r="E312" i="15"/>
  <c r="F312" i="15" s="1"/>
  <c r="E306" i="15"/>
  <c r="F306" i="15" s="1"/>
  <c r="E307" i="15"/>
  <c r="F307" i="15" s="1"/>
  <c r="E315" i="15"/>
  <c r="F315" i="15" s="1"/>
  <c r="E313" i="15"/>
  <c r="F313" i="15" s="1"/>
  <c r="E308" i="15"/>
  <c r="F308" i="15" s="1"/>
  <c r="E309" i="15"/>
  <c r="F309" i="15" s="1"/>
  <c r="E337" i="15"/>
  <c r="F337" i="15" s="1"/>
  <c r="E338" i="15"/>
  <c r="F338" i="15" s="1"/>
  <c r="E335" i="15"/>
  <c r="F335" i="15" s="1"/>
  <c r="E333" i="15"/>
  <c r="F333" i="15" s="1"/>
  <c r="E316" i="15"/>
  <c r="F316" i="15" s="1"/>
  <c r="E330" i="15"/>
  <c r="F330" i="15" s="1"/>
  <c r="E336" i="15"/>
  <c r="F336" i="15" s="1"/>
  <c r="E334" i="15"/>
  <c r="F334" i="15" s="1"/>
  <c r="E331" i="15"/>
  <c r="F331" i="15" s="1"/>
  <c r="E332" i="15"/>
  <c r="F332" i="15" s="1"/>
  <c r="E353" i="15"/>
  <c r="F353" i="15" s="1"/>
  <c r="E351" i="15"/>
  <c r="F351" i="15" s="1"/>
  <c r="E347" i="15"/>
  <c r="F347" i="15" s="1"/>
  <c r="E348" i="15"/>
  <c r="F348" i="15" s="1"/>
  <c r="E354" i="15"/>
  <c r="F354" i="15" s="1"/>
  <c r="E352" i="15"/>
  <c r="F352" i="15" s="1"/>
  <c r="E349" i="15"/>
  <c r="F349" i="15" s="1"/>
  <c r="E350" i="15"/>
  <c r="F350" i="15" s="1"/>
  <c r="E377" i="15"/>
  <c r="F377" i="15" s="1"/>
  <c r="E379" i="15"/>
  <c r="F379" i="15" s="1"/>
  <c r="E380" i="15"/>
  <c r="F380" i="15" s="1"/>
  <c r="E381" i="15"/>
  <c r="F381" i="15" s="1"/>
  <c r="E375" i="15"/>
  <c r="F375" i="15" s="1"/>
  <c r="E373" i="15"/>
  <c r="F373" i="15" s="1"/>
  <c r="E355" i="15"/>
  <c r="F355" i="15" s="1"/>
  <c r="E370" i="15"/>
  <c r="F370" i="15" s="1"/>
  <c r="E376" i="15"/>
  <c r="F376" i="15" s="1"/>
  <c r="E374" i="15"/>
  <c r="F374" i="15" s="1"/>
  <c r="E371" i="15"/>
  <c r="F371" i="15" s="1"/>
  <c r="E372" i="15"/>
  <c r="F372" i="15" s="1"/>
  <c r="E396" i="15"/>
  <c r="F396" i="15" s="1"/>
  <c r="E397" i="15"/>
  <c r="F397" i="15" s="1"/>
  <c r="E398" i="15"/>
  <c r="F398" i="15" s="1"/>
  <c r="E399" i="15"/>
  <c r="F399" i="15" s="1"/>
  <c r="E394" i="15"/>
  <c r="F394" i="15" s="1"/>
  <c r="E392" i="15"/>
  <c r="F392" i="15" s="1"/>
  <c r="E382" i="15"/>
  <c r="F382" i="15" s="1"/>
  <c r="E389" i="15"/>
  <c r="F389" i="15" s="1"/>
  <c r="E395" i="15"/>
  <c r="F395" i="15" s="1"/>
  <c r="E393" i="15"/>
  <c r="F393" i="15" s="1"/>
  <c r="E390" i="15"/>
  <c r="F390" i="15" s="1"/>
  <c r="E391" i="15"/>
  <c r="F391" i="15" s="1"/>
  <c r="E419" i="15"/>
  <c r="F419" i="15" s="1"/>
  <c r="E432" i="15"/>
  <c r="F432" i="15" s="1"/>
  <c r="E433" i="15"/>
  <c r="F433" i="15" s="1"/>
  <c r="E434" i="15"/>
  <c r="F434" i="15" s="1"/>
  <c r="E417" i="15"/>
  <c r="F417" i="15" s="1"/>
  <c r="E414" i="15"/>
  <c r="F414" i="15" s="1"/>
  <c r="E410" i="15"/>
  <c r="F410" i="15" s="1"/>
  <c r="E411" i="15"/>
  <c r="F411" i="15" s="1"/>
  <c r="E418" i="15"/>
  <c r="F418" i="15" s="1"/>
  <c r="E416" i="15"/>
  <c r="F416" i="15" s="1"/>
  <c r="E412" i="15"/>
  <c r="F412" i="15" s="1"/>
  <c r="E413" i="15"/>
  <c r="F413" i="15" s="1"/>
  <c r="E449" i="15"/>
  <c r="F449" i="15" s="1"/>
  <c r="E450" i="15"/>
  <c r="F450" i="15" s="1"/>
  <c r="E451" i="15"/>
  <c r="F451" i="15" s="1"/>
  <c r="E452" i="15"/>
  <c r="F452" i="15" s="1"/>
  <c r="E447" i="15"/>
  <c r="F447" i="15" s="1"/>
  <c r="E445" i="15"/>
  <c r="F445" i="15" s="1"/>
  <c r="E435" i="15"/>
  <c r="F435" i="15" s="1"/>
  <c r="E442" i="15"/>
  <c r="F442" i="15" s="1"/>
  <c r="E448" i="15"/>
  <c r="F448" i="15" s="1"/>
  <c r="E446" i="15"/>
  <c r="F446" i="15" s="1"/>
  <c r="E443" i="15"/>
  <c r="F443" i="15" s="1"/>
  <c r="E444" i="15"/>
  <c r="F444" i="15" s="1"/>
  <c r="E453" i="15"/>
  <c r="F453" i="15" s="1"/>
  <c r="E460" i="15"/>
  <c r="F460" i="15" s="1"/>
  <c r="E461" i="15"/>
  <c r="F461" i="15" s="1"/>
  <c r="E462" i="15"/>
  <c r="F462" i="15" s="1"/>
  <c r="E463" i="15"/>
  <c r="F463" i="15" s="1"/>
  <c r="E485" i="15"/>
  <c r="F485" i="15" s="1"/>
  <c r="E472" i="15"/>
  <c r="F472" i="15" s="1"/>
  <c r="E479" i="15"/>
  <c r="F479" i="15" s="1"/>
  <c r="E480" i="15"/>
  <c r="F480" i="15" s="1"/>
  <c r="E481" i="15"/>
  <c r="F481" i="15" s="1"/>
  <c r="E482" i="15"/>
  <c r="F482" i="15" s="1"/>
  <c r="E483" i="15"/>
  <c r="F483" i="15" s="1"/>
  <c r="E484" i="15"/>
  <c r="F484" i="15" s="1"/>
  <c r="E470" i="15"/>
  <c r="F470" i="15" s="1"/>
  <c r="E468" i="15"/>
  <c r="F468" i="15" s="1"/>
  <c r="E464" i="15"/>
  <c r="F464" i="15" s="1"/>
  <c r="E465" i="15"/>
  <c r="F465" i="15" s="1"/>
  <c r="E471" i="15"/>
  <c r="F471" i="15" s="1"/>
  <c r="E469" i="15"/>
  <c r="F469" i="15" s="1"/>
  <c r="E466" i="15"/>
  <c r="F466" i="15" s="1"/>
  <c r="E467" i="15"/>
  <c r="F467" i="15" s="1"/>
  <c r="E454" i="15"/>
  <c r="F454" i="15" s="1"/>
  <c r="E473" i="15"/>
  <c r="F473" i="15" s="1"/>
  <c r="E487" i="15"/>
  <c r="F487" i="15" s="1"/>
  <c r="E613" i="15"/>
  <c r="F613" i="15" s="1"/>
  <c r="E634" i="15"/>
  <c r="F634" i="15" s="1"/>
  <c r="E401" i="15"/>
  <c r="F401" i="15" s="1"/>
  <c r="E361" i="15"/>
  <c r="F361" i="15" s="1"/>
  <c r="E270" i="15"/>
  <c r="F270" i="15" s="1"/>
  <c r="E292" i="15"/>
  <c r="F292" i="15" s="1"/>
  <c r="E436" i="15"/>
  <c r="F436" i="15" s="1"/>
  <c r="E383" i="15"/>
  <c r="F383" i="15" s="1"/>
  <c r="E324" i="15"/>
  <c r="F324" i="15" s="1"/>
  <c r="E340" i="15"/>
  <c r="F340" i="15" s="1"/>
  <c r="E284" i="15"/>
  <c r="F284" i="15" s="1"/>
  <c r="E378" i="15"/>
  <c r="F378" i="15" s="1"/>
  <c r="E108" i="15"/>
  <c r="F108" i="15" s="1"/>
  <c r="E770" i="15"/>
  <c r="F770" i="15" s="1"/>
  <c r="E150" i="15"/>
  <c r="F150" i="15" s="1"/>
  <c r="E578" i="15"/>
  <c r="F578" i="15" s="1"/>
  <c r="E675" i="15"/>
  <c r="F675" i="15" s="1"/>
  <c r="E678" i="15"/>
  <c r="F678" i="15" s="1"/>
  <c r="E743" i="15"/>
  <c r="F743" i="15" s="1"/>
  <c r="E415" i="15"/>
  <c r="F415" i="15" s="1"/>
  <c r="E174" i="15"/>
  <c r="F174" i="15" s="1"/>
  <c r="E205" i="15"/>
  <c r="F205" i="15" s="1"/>
  <c r="E190" i="15"/>
  <c r="F190" i="15" s="1"/>
  <c r="E520" i="15"/>
  <c r="F520" i="15" s="1"/>
  <c r="E545" i="15"/>
  <c r="F545" i="15" s="1"/>
  <c r="E43" i="15"/>
  <c r="F43" i="15" s="1"/>
  <c r="E674" i="15"/>
  <c r="F674" i="15" s="1"/>
  <c r="E721" i="15"/>
  <c r="F721" i="15" s="1"/>
  <c r="E310" i="15"/>
  <c r="F310" i="15" s="1"/>
  <c r="E777" i="15"/>
  <c r="F777" i="15" s="1"/>
  <c r="E421" i="15"/>
  <c r="F421" i="15" s="1"/>
  <c r="E549" i="15"/>
  <c r="F549" i="15" s="1"/>
  <c r="E565" i="15"/>
  <c r="F565" i="15" s="1"/>
  <c r="E490" i="15"/>
  <c r="F490" i="15" s="1"/>
  <c r="E614" i="15"/>
  <c r="F614" i="15" s="1"/>
  <c r="E363" i="15"/>
  <c r="F363" i="15" s="1"/>
  <c r="E236" i="15"/>
  <c r="F236" i="15" s="1"/>
  <c r="E83" i="15"/>
  <c r="F83" i="15" s="1"/>
  <c r="E68" i="15"/>
  <c r="F68" i="15" s="1"/>
  <c r="E474" i="15"/>
  <c r="F474" i="15" s="1"/>
  <c r="E293" i="15"/>
  <c r="F293" i="15" s="1"/>
  <c r="E199" i="15"/>
  <c r="F199" i="15" s="1"/>
  <c r="E207" i="15"/>
  <c r="F207" i="15" s="1"/>
  <c r="E339" i="15"/>
  <c r="F339" i="15" s="1"/>
  <c r="E345" i="15"/>
  <c r="F345" i="15" s="1"/>
  <c r="E346" i="15"/>
  <c r="F346" i="15" s="1"/>
  <c r="E305" i="15"/>
  <c r="F305" i="15" s="1"/>
  <c r="E301" i="15"/>
  <c r="F301" i="15" s="1"/>
  <c r="E302" i="15"/>
  <c r="F302" i="15" s="1"/>
  <c r="E303" i="15"/>
  <c r="F303" i="15" s="1"/>
  <c r="E304" i="15"/>
  <c r="F304" i="15" s="1"/>
  <c r="E17" i="15"/>
  <c r="F17" i="15" s="1"/>
  <c r="E18" i="15"/>
  <c r="F18" i="15" s="1"/>
  <c r="E19" i="15"/>
  <c r="F19" i="15" s="1"/>
  <c r="E20" i="15"/>
  <c r="F20" i="15" s="1"/>
  <c r="E21" i="15"/>
  <c r="F21" i="15" s="1"/>
  <c r="E22" i="15"/>
  <c r="F22" i="15" s="1"/>
  <c r="E23" i="15"/>
  <c r="F23" i="15" s="1"/>
  <c r="E722" i="15"/>
  <c r="F722" i="15" s="1"/>
  <c r="E723" i="15"/>
  <c r="F723" i="15" s="1"/>
  <c r="E15" i="15"/>
  <c r="F15" i="15" s="1"/>
  <c r="E6" i="15"/>
  <c r="F6" i="15" s="1"/>
  <c r="E724" i="15"/>
  <c r="F724" i="15" s="1"/>
  <c r="E725" i="15"/>
  <c r="F725" i="15" s="1"/>
  <c r="E16" i="15"/>
  <c r="F16" i="15" s="1"/>
  <c r="E14" i="15"/>
  <c r="F14" i="15" s="1"/>
  <c r="E726" i="15"/>
  <c r="F726" i="15" s="1"/>
  <c r="E5" i="15"/>
  <c r="F5" i="15" s="1"/>
  <c r="E658" i="15"/>
  <c r="F658" i="15" s="1"/>
  <c r="E651" i="15"/>
  <c r="F651" i="15" s="1"/>
  <c r="E56" i="15"/>
  <c r="F56" i="15" s="1"/>
  <c r="E110" i="15"/>
  <c r="F110" i="15" s="1"/>
  <c r="E701" i="15"/>
  <c r="F701" i="15" s="1"/>
  <c r="E431" i="15"/>
  <c r="F431" i="15" s="1"/>
  <c r="E10" i="15"/>
  <c r="F10" i="15" s="1"/>
  <c r="E7" i="15"/>
  <c r="F7" i="15" s="1"/>
  <c r="E129" i="15"/>
  <c r="F129" i="15" s="1"/>
  <c r="E356" i="15"/>
  <c r="F356" i="15" s="1"/>
  <c r="E4" i="15"/>
  <c r="F4" i="15" s="1"/>
  <c r="E227" i="15"/>
  <c r="F227" i="15" s="1"/>
  <c r="E317" i="15"/>
  <c r="F317" i="15" s="1"/>
  <c r="E29" i="15"/>
  <c r="F29" i="15" s="1"/>
  <c r="E37" i="15"/>
  <c r="F37" i="15" s="1"/>
  <c r="E38" i="15"/>
  <c r="F38" i="15" s="1"/>
  <c r="E39" i="15"/>
  <c r="F39" i="15" s="1"/>
  <c r="E40" i="15"/>
  <c r="F40" i="15" s="1"/>
  <c r="E41" i="15"/>
  <c r="F41" i="15" s="1"/>
  <c r="E50" i="15"/>
  <c r="F50" i="15" s="1"/>
  <c r="E550" i="15"/>
  <c r="F550" i="15" s="1"/>
  <c r="E422" i="15"/>
  <c r="F422" i="15" s="1"/>
  <c r="E44" i="15"/>
  <c r="F44" i="15" s="1"/>
  <c r="E778" i="15"/>
  <c r="F778" i="15" s="1"/>
  <c r="E764" i="15"/>
  <c r="F764" i="15" s="1"/>
  <c r="E521" i="15"/>
  <c r="F521" i="15" s="1"/>
  <c r="E141" i="15"/>
  <c r="F141" i="15" s="1"/>
  <c r="E11" i="15"/>
  <c r="F11" i="15" s="1"/>
  <c r="E488" i="15"/>
  <c r="F488" i="15" s="1"/>
  <c r="E588" i="15"/>
  <c r="F588" i="15" s="1"/>
  <c r="E81" i="15"/>
  <c r="F81" i="15" s="1"/>
  <c r="E311" i="15"/>
  <c r="F311" i="15" s="1"/>
  <c r="E318" i="15"/>
  <c r="F318" i="15" s="1"/>
  <c r="E325" i="15"/>
  <c r="F325" i="15" s="1"/>
  <c r="E362" i="15"/>
  <c r="F362" i="15" s="1"/>
  <c r="E291" i="15"/>
  <c r="F291" i="15" s="1"/>
  <c r="E543" i="15"/>
  <c r="F543" i="15" s="1"/>
  <c r="E546" i="15"/>
  <c r="F546" i="15" s="1"/>
  <c r="E547" i="15"/>
  <c r="F547" i="15" s="1"/>
  <c r="E540" i="15"/>
  <c r="F540" i="15" s="1"/>
  <c r="E538" i="15"/>
  <c r="F538" i="15" s="1"/>
  <c r="E534" i="15"/>
  <c r="F534" i="15" s="1"/>
  <c r="E535" i="15"/>
  <c r="F535" i="15" s="1"/>
  <c r="E541" i="15"/>
  <c r="F541" i="15" s="1"/>
  <c r="E539" i="15"/>
  <c r="F539" i="15" s="1"/>
  <c r="E536" i="15"/>
  <c r="F536" i="15" s="1"/>
  <c r="E537" i="15"/>
  <c r="F537" i="15" s="1"/>
  <c r="E771" i="15"/>
  <c r="F771" i="15" s="1"/>
  <c r="E430" i="15"/>
  <c r="F430" i="15" s="1"/>
  <c r="E140" i="15"/>
  <c r="F140" i="15" s="1"/>
  <c r="E763" i="15"/>
  <c r="F763" i="15" s="1"/>
  <c r="E548" i="15"/>
  <c r="F548" i="15" s="1"/>
  <c r="E420" i="15"/>
  <c r="F420" i="15" s="1"/>
  <c r="E730" i="15"/>
  <c r="F730" i="15" s="1"/>
  <c r="E519" i="15"/>
  <c r="F519" i="15" s="1"/>
  <c r="E42" i="15"/>
  <c r="F42" i="15" s="1"/>
  <c r="E776" i="15"/>
  <c r="F776" i="15" s="1"/>
  <c r="E409" i="15"/>
  <c r="F409" i="15" s="1"/>
  <c r="D251" i="15"/>
  <c r="D504" i="15"/>
  <c r="D505" i="15"/>
  <c r="D506" i="15"/>
  <c r="D96" i="15"/>
  <c r="D252" i="15"/>
  <c r="D155" i="15"/>
  <c r="D161" i="15"/>
  <c r="D177" i="15"/>
  <c r="D198" i="15"/>
  <c r="D349" i="15"/>
  <c r="D350" i="15"/>
  <c r="D377" i="15"/>
  <c r="D379" i="15"/>
  <c r="D332" i="15"/>
  <c r="D353" i="15"/>
  <c r="D351" i="15"/>
  <c r="D347" i="15"/>
  <c r="D348" i="15"/>
  <c r="D354" i="15"/>
  <c r="D352" i="15"/>
  <c r="D501" i="15"/>
  <c r="D381" i="15"/>
  <c r="D679" i="15"/>
  <c r="D357" i="15"/>
  <c r="D8" i="15"/>
  <c r="D57" i="15"/>
  <c r="D702" i="15"/>
  <c r="D523" i="15"/>
  <c r="D508" i="15"/>
  <c r="D517" i="15"/>
  <c r="D486" i="15"/>
  <c r="D339" i="15"/>
  <c r="D345" i="15"/>
  <c r="D346" i="15"/>
  <c r="D305" i="15"/>
  <c r="D301" i="15"/>
  <c r="D302" i="15"/>
  <c r="D98" i="15"/>
  <c r="D513" i="15"/>
  <c r="D509" i="15"/>
  <c r="D510" i="15"/>
  <c r="D125" i="15"/>
  <c r="D123" i="15"/>
  <c r="D112" i="15"/>
  <c r="D99" i="15"/>
  <c r="D100" i="15"/>
  <c r="D536" i="15"/>
  <c r="D537" i="15"/>
  <c r="D771" i="15"/>
  <c r="D430" i="15"/>
  <c r="D140" i="15"/>
  <c r="D763" i="15"/>
  <c r="D548" i="15"/>
  <c r="D420" i="15"/>
  <c r="D375" i="15"/>
  <c r="D336" i="15"/>
  <c r="D75" i="15"/>
  <c r="D73" i="15"/>
  <c r="D64" i="15"/>
  <c r="D65" i="15"/>
  <c r="D500" i="15"/>
  <c r="D400" i="15"/>
  <c r="D407" i="15"/>
  <c r="D408" i="15"/>
  <c r="D24" i="15"/>
  <c r="D25" i="15"/>
  <c r="D26" i="15"/>
  <c r="D27" i="15"/>
  <c r="D14" i="15"/>
  <c r="D726" i="15"/>
  <c r="D5" i="15"/>
  <c r="D658" i="15"/>
  <c r="D651" i="15"/>
  <c r="D56" i="15"/>
  <c r="D110" i="15"/>
  <c r="D701" i="15"/>
  <c r="D719" i="15"/>
  <c r="D502" i="15"/>
  <c r="D503" i="15"/>
  <c r="D102" i="15"/>
  <c r="D78" i="15"/>
  <c r="D76" i="15"/>
  <c r="D77" i="15"/>
  <c r="D79" i="15"/>
  <c r="D90" i="15"/>
  <c r="D91" i="15"/>
  <c r="D92" i="15"/>
  <c r="D74" i="15"/>
  <c r="D66" i="15"/>
  <c r="D62" i="15"/>
  <c r="D63" i="15"/>
  <c r="D587" i="15"/>
  <c r="D109" i="15"/>
  <c r="D544" i="15"/>
  <c r="D115" i="15"/>
  <c r="D80" i="15"/>
  <c r="D51" i="15"/>
  <c r="D52" i="15"/>
  <c r="D53" i="15"/>
  <c r="D54" i="15"/>
  <c r="D55" i="15"/>
  <c r="D113" i="15"/>
  <c r="D114" i="15"/>
  <c r="D121" i="15"/>
  <c r="D122" i="15"/>
  <c r="D111" i="15"/>
  <c r="D101" i="15"/>
  <c r="D97" i="15"/>
  <c r="D134" i="15"/>
  <c r="D135" i="15"/>
  <c r="D136" i="15"/>
  <c r="D137" i="15"/>
  <c r="D160" i="15"/>
  <c r="D166" i="15"/>
  <c r="D355" i="15"/>
  <c r="D370" i="15"/>
  <c r="D376" i="15"/>
  <c r="D374" i="15"/>
  <c r="D371" i="15"/>
  <c r="D372" i="15"/>
  <c r="D396" i="15"/>
  <c r="D397" i="15"/>
  <c r="D154" i="15"/>
  <c r="D152" i="15"/>
  <c r="D398" i="15"/>
  <c r="D399" i="15"/>
  <c r="D394" i="15"/>
  <c r="D392" i="15"/>
  <c r="D382" i="15"/>
  <c r="D389" i="15"/>
  <c r="D395" i="15"/>
  <c r="D393" i="15"/>
  <c r="D138" i="15"/>
  <c r="D727" i="15"/>
  <c r="D159" i="15"/>
  <c r="D153" i="15"/>
  <c r="D139" i="15"/>
  <c r="D151" i="15"/>
  <c r="D175" i="15"/>
  <c r="D390" i="15"/>
  <c r="D391" i="15"/>
  <c r="D419" i="15"/>
  <c r="D432" i="15"/>
  <c r="D433" i="15"/>
  <c r="D434" i="15"/>
  <c r="D417" i="15"/>
  <c r="D414" i="15"/>
  <c r="D176" i="15"/>
  <c r="D173" i="15"/>
  <c r="D171" i="15"/>
  <c r="D167" i="15"/>
  <c r="D168" i="15"/>
  <c r="D172" i="15"/>
  <c r="D410" i="15"/>
  <c r="D411" i="15"/>
  <c r="D418" i="15"/>
  <c r="D416" i="15"/>
  <c r="D412" i="15"/>
  <c r="D413" i="15"/>
  <c r="D449" i="15"/>
  <c r="D450" i="15"/>
  <c r="D451" i="15"/>
  <c r="D452" i="15"/>
  <c r="D447" i="15"/>
  <c r="D445" i="15"/>
  <c r="D435" i="15"/>
  <c r="D442" i="15"/>
  <c r="D448" i="15"/>
  <c r="D446" i="15"/>
  <c r="D169" i="15"/>
  <c r="D170" i="15"/>
  <c r="D182" i="15"/>
  <c r="D183" i="15"/>
  <c r="D443" i="15"/>
  <c r="D444" i="15"/>
  <c r="D453" i="15"/>
  <c r="D460" i="15"/>
  <c r="D461" i="15"/>
  <c r="D462" i="15"/>
  <c r="D463" i="15"/>
  <c r="D485" i="15"/>
  <c r="D184" i="15"/>
  <c r="D185" i="15"/>
  <c r="D186" i="15"/>
  <c r="D187" i="15"/>
  <c r="D188" i="15"/>
  <c r="D196" i="15"/>
  <c r="D194" i="15"/>
  <c r="D472" i="15"/>
  <c r="D479" i="15"/>
  <c r="D480" i="15"/>
  <c r="D481" i="15"/>
  <c r="D482" i="15"/>
  <c r="D483" i="15"/>
  <c r="D484" i="15"/>
  <c r="D470" i="15"/>
  <c r="D468" i="15"/>
  <c r="D464" i="15"/>
  <c r="D465" i="15"/>
  <c r="D471" i="15"/>
  <c r="D469" i="15"/>
  <c r="D466" i="15"/>
  <c r="D467" i="15"/>
  <c r="D454" i="15"/>
  <c r="D192" i="15"/>
  <c r="D193" i="15"/>
  <c r="D473" i="15"/>
  <c r="D487" i="15"/>
  <c r="D613" i="15"/>
  <c r="D634" i="15"/>
  <c r="D401" i="15"/>
  <c r="D361" i="15"/>
  <c r="D270" i="15"/>
  <c r="D292" i="15"/>
  <c r="D436" i="15"/>
  <c r="D383" i="15"/>
  <c r="D324" i="15"/>
  <c r="D340" i="15"/>
  <c r="D284" i="15"/>
  <c r="D378" i="15"/>
  <c r="D108" i="15"/>
  <c r="D770" i="15"/>
  <c r="D231" i="15"/>
  <c r="D232" i="15"/>
  <c r="D233" i="15"/>
  <c r="D234" i="15"/>
  <c r="D150" i="15"/>
  <c r="D578" i="15"/>
  <c r="D675" i="15"/>
  <c r="D678" i="15"/>
  <c r="D743" i="15"/>
  <c r="D415" i="15"/>
  <c r="D174" i="15"/>
  <c r="D205" i="15"/>
  <c r="D250" i="15"/>
  <c r="D248" i="15"/>
  <c r="D244" i="15"/>
  <c r="D245" i="15"/>
  <c r="D225" i="15"/>
  <c r="D223" i="15"/>
  <c r="D219" i="15"/>
  <c r="D220" i="15"/>
  <c r="D226" i="15"/>
  <c r="D224" i="15"/>
  <c r="D221" i="15"/>
  <c r="D222" i="15"/>
  <c r="D249" i="15"/>
  <c r="D246" i="15"/>
  <c r="D247" i="15"/>
  <c r="D266" i="15"/>
  <c r="D190" i="15"/>
  <c r="D520" i="15"/>
  <c r="D545" i="15"/>
  <c r="D43" i="15"/>
  <c r="D674" i="15"/>
  <c r="D721" i="15"/>
  <c r="D310" i="15"/>
  <c r="D777" i="15"/>
  <c r="D267" i="15"/>
  <c r="D268" i="15"/>
  <c r="D269" i="15"/>
  <c r="D264" i="15"/>
  <c r="D421" i="15"/>
  <c r="D549" i="15"/>
  <c r="D565" i="15"/>
  <c r="D490" i="15"/>
  <c r="D614" i="15"/>
  <c r="D363" i="15"/>
  <c r="D236" i="15"/>
  <c r="D83" i="15"/>
  <c r="D262" i="15"/>
  <c r="D258" i="15"/>
  <c r="D259" i="15"/>
  <c r="D265" i="15"/>
  <c r="D263" i="15"/>
  <c r="D260" i="15"/>
  <c r="D28" i="15"/>
  <c r="D36" i="15"/>
  <c r="D590" i="15"/>
  <c r="D84" i="15"/>
  <c r="D491" i="15"/>
  <c r="D358" i="15"/>
  <c r="D635" i="15"/>
  <c r="D68" i="15"/>
  <c r="D474" i="15"/>
  <c r="D293" i="15"/>
  <c r="D199" i="15"/>
  <c r="D207" i="15"/>
  <c r="D287" i="15"/>
  <c r="D288" i="15"/>
  <c r="D289" i="15"/>
  <c r="D290" i="15"/>
  <c r="D282" i="15"/>
  <c r="D431" i="15"/>
  <c r="D10" i="15"/>
  <c r="D7" i="15"/>
  <c r="D129" i="15"/>
  <c r="D356" i="15"/>
  <c r="D4" i="15"/>
  <c r="D227" i="15"/>
  <c r="D317" i="15"/>
  <c r="D280" i="15"/>
  <c r="D276" i="15"/>
  <c r="D277" i="15"/>
  <c r="D283" i="15"/>
  <c r="D281" i="15"/>
  <c r="D29" i="15"/>
  <c r="D37" i="15"/>
  <c r="D38" i="15"/>
  <c r="D39" i="15"/>
  <c r="D40" i="15"/>
  <c r="D41" i="15"/>
  <c r="D50" i="15"/>
  <c r="D550" i="15"/>
  <c r="D313" i="15"/>
  <c r="D308" i="15"/>
  <c r="D588" i="15"/>
  <c r="D81" i="15"/>
  <c r="D311" i="15"/>
  <c r="D318" i="15"/>
  <c r="D325" i="15"/>
  <c r="D362" i="15"/>
  <c r="D291" i="15"/>
  <c r="D543" i="15"/>
  <c r="D334" i="15"/>
  <c r="D331" i="15"/>
  <c r="D730" i="15"/>
  <c r="D519" i="15"/>
  <c r="D42" i="15"/>
  <c r="D776" i="15"/>
  <c r="D126" i="15"/>
  <c r="D127" i="15"/>
  <c r="D128" i="15"/>
  <c r="D228" i="15"/>
  <c r="D229" i="15"/>
  <c r="D230" i="15"/>
  <c r="D373" i="15"/>
  <c r="D189" i="15"/>
  <c r="D191" i="15"/>
  <c r="D197" i="15"/>
  <c r="D195" i="15"/>
  <c r="D489" i="15"/>
  <c r="D319" i="15"/>
  <c r="D518" i="15"/>
  <c r="D720" i="15"/>
  <c r="D93" i="15"/>
  <c r="D94" i="15"/>
  <c r="D95" i="15"/>
  <c r="D514" i="15"/>
  <c r="D511" i="15"/>
  <c r="D132" i="15"/>
  <c r="D133" i="15"/>
  <c r="D142" i="15"/>
  <c r="D423" i="15"/>
  <c r="D103" i="15"/>
  <c r="D82" i="15"/>
  <c r="D589" i="15"/>
  <c r="D522" i="15"/>
  <c r="D124" i="15"/>
  <c r="D130" i="15"/>
  <c r="D131" i="15"/>
  <c r="D507" i="15"/>
  <c r="D515" i="15"/>
  <c r="D312" i="15"/>
  <c r="D306" i="15"/>
  <c r="D307" i="15"/>
  <c r="D315" i="15"/>
  <c r="D422" i="15"/>
  <c r="D44" i="15"/>
  <c r="D778" i="15"/>
  <c r="D764" i="15"/>
  <c r="D521" i="15"/>
  <c r="D141" i="15"/>
  <c r="D11" i="15"/>
  <c r="D488" i="15"/>
  <c r="D278" i="15"/>
  <c r="D279" i="15"/>
  <c r="D314" i="15"/>
  <c r="D512" i="15"/>
  <c r="D516" i="15"/>
  <c r="D206" i="15"/>
  <c r="D213" i="15"/>
  <c r="D235" i="15"/>
  <c r="D67" i="15"/>
  <c r="D309" i="15"/>
  <c r="D337" i="15"/>
  <c r="D338" i="15"/>
  <c r="D335" i="15"/>
  <c r="D333" i="15"/>
  <c r="D316" i="15"/>
  <c r="D330" i="15"/>
  <c r="D546" i="15"/>
  <c r="D547" i="15"/>
  <c r="D540" i="15"/>
  <c r="D538" i="15"/>
  <c r="D534" i="15"/>
  <c r="D535" i="15"/>
  <c r="D541" i="15"/>
  <c r="D539" i="15"/>
  <c r="D380" i="15"/>
  <c r="D409" i="15"/>
  <c r="D261" i="15"/>
  <c r="D303" i="15"/>
  <c r="D304" i="15"/>
  <c r="D17" i="15"/>
  <c r="D18" i="15"/>
  <c r="D19" i="15"/>
  <c r="D20" i="15"/>
  <c r="D21" i="15"/>
  <c r="D22" i="15"/>
  <c r="D285" i="15"/>
  <c r="D286" i="15"/>
  <c r="D23" i="15"/>
  <c r="D722" i="15"/>
  <c r="D723" i="15"/>
  <c r="D15" i="15"/>
  <c r="D6" i="15"/>
  <c r="D724" i="15"/>
  <c r="D725" i="15"/>
  <c r="D16" i="15"/>
  <c r="K20" i="4"/>
  <c r="C20" i="4"/>
  <c r="J4" i="8"/>
  <c r="J5" i="8"/>
  <c r="J7" i="8"/>
  <c r="J8" i="8"/>
  <c r="J12" i="8"/>
  <c r="J13" i="8"/>
  <c r="J15" i="8"/>
  <c r="J16" i="8"/>
  <c r="J19" i="8"/>
  <c r="J21" i="8"/>
  <c r="J14" i="8"/>
  <c r="J10" i="8"/>
  <c r="J2" i="8"/>
  <c r="J3" i="8"/>
  <c r="J17" i="8"/>
  <c r="J9" i="8"/>
  <c r="J18" i="8"/>
  <c r="E1202" i="4"/>
  <c r="S1440" i="4"/>
  <c r="C1440" i="4"/>
  <c r="S1439" i="4"/>
  <c r="S1438" i="4"/>
  <c r="S1437" i="4"/>
  <c r="S1436" i="4"/>
  <c r="S1435" i="4"/>
  <c r="S1434" i="4"/>
  <c r="S1433" i="4"/>
  <c r="S1432" i="4"/>
  <c r="S1431" i="4"/>
  <c r="S1430" i="4"/>
  <c r="S1429" i="4"/>
  <c r="S1428" i="4"/>
  <c r="S1427" i="4"/>
  <c r="S1426" i="4"/>
  <c r="F1426" i="4"/>
  <c r="F1427" i="4" s="1"/>
  <c r="U1425" i="4"/>
  <c r="S1425" i="4"/>
  <c r="G1425" i="4"/>
  <c r="U1424" i="4"/>
  <c r="S1424" i="4"/>
  <c r="G1424" i="4"/>
  <c r="U1423" i="4"/>
  <c r="S1423" i="4"/>
  <c r="G1423" i="4"/>
  <c r="U1422" i="4"/>
  <c r="S1422" i="4"/>
  <c r="G1422" i="4"/>
  <c r="E1422" i="4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G1426" i="4" l="1"/>
  <c r="G1427" i="4"/>
  <c r="F1428" i="4"/>
  <c r="F1429" i="4" l="1"/>
  <c r="G1428" i="4"/>
  <c r="G43" i="4"/>
  <c r="G45" i="4"/>
  <c r="G44" i="4"/>
  <c r="G5" i="4"/>
  <c r="G4" i="4"/>
  <c r="G584" i="4"/>
  <c r="G3" i="4"/>
  <c r="G2" i="4"/>
  <c r="F1430" i="4" l="1"/>
  <c r="G1429" i="4"/>
  <c r="A2775" i="3"/>
  <c r="A2841" i="3"/>
  <c r="A2842" i="3"/>
  <c r="A2843" i="3"/>
  <c r="A2844" i="3"/>
  <c r="A2845" i="3"/>
  <c r="A2846" i="3"/>
  <c r="A2847" i="3"/>
  <c r="A2848" i="3"/>
  <c r="A2849" i="3"/>
  <c r="A2850" i="3"/>
  <c r="A2851" i="3"/>
  <c r="A2852" i="3"/>
  <c r="A2853" i="3"/>
  <c r="A2854" i="3"/>
  <c r="A2855" i="3"/>
  <c r="A2856" i="3"/>
  <c r="A2857" i="3"/>
  <c r="A2858" i="3"/>
  <c r="A2859" i="3"/>
  <c r="A2860" i="3"/>
  <c r="A2861" i="3"/>
  <c r="A2862" i="3"/>
  <c r="A2863" i="3"/>
  <c r="A2864" i="3"/>
  <c r="A2865" i="3"/>
  <c r="A2866" i="3"/>
  <c r="A2867" i="3"/>
  <c r="A2868" i="3"/>
  <c r="A2869" i="3"/>
  <c r="A2870" i="3"/>
  <c r="A2871" i="3"/>
  <c r="A2872" i="3"/>
  <c r="A2873" i="3"/>
  <c r="A2874" i="3"/>
  <c r="A2875" i="3"/>
  <c r="A2876" i="3"/>
  <c r="A2877" i="3"/>
  <c r="A2878" i="3"/>
  <c r="A2879" i="3"/>
  <c r="A2880" i="3"/>
  <c r="A2881" i="3"/>
  <c r="A2882" i="3"/>
  <c r="A2883" i="3"/>
  <c r="A2884" i="3"/>
  <c r="A2885" i="3"/>
  <c r="A2886" i="3"/>
  <c r="A2887" i="3"/>
  <c r="A2888" i="3"/>
  <c r="A2889" i="3"/>
  <c r="A2890" i="3"/>
  <c r="A2891" i="3"/>
  <c r="A2892" i="3"/>
  <c r="A2893" i="3"/>
  <c r="A2894" i="3"/>
  <c r="A2895" i="3"/>
  <c r="A2896" i="3"/>
  <c r="A2897" i="3"/>
  <c r="A2898" i="3"/>
  <c r="A2899" i="3"/>
  <c r="A2900" i="3"/>
  <c r="A2901" i="3"/>
  <c r="A2902" i="3"/>
  <c r="A2903" i="3"/>
  <c r="A2904" i="3"/>
  <c r="A2905" i="3"/>
  <c r="A2906" i="3"/>
  <c r="A2907" i="3"/>
  <c r="A2908" i="3"/>
  <c r="A2909" i="3"/>
  <c r="A2910" i="3"/>
  <c r="A2911" i="3"/>
  <c r="A2912" i="3"/>
  <c r="A2913" i="3"/>
  <c r="A2914" i="3"/>
  <c r="A2915" i="3"/>
  <c r="A2916" i="3"/>
  <c r="A2917" i="3"/>
  <c r="A2918" i="3"/>
  <c r="A2919" i="3"/>
  <c r="A2920" i="3"/>
  <c r="A2921" i="3"/>
  <c r="A2922" i="3"/>
  <c r="A2923" i="3"/>
  <c r="A2924" i="3"/>
  <c r="A2925" i="3"/>
  <c r="A2926" i="3"/>
  <c r="A2927" i="3"/>
  <c r="A2928" i="3"/>
  <c r="A2929" i="3"/>
  <c r="A2930" i="3"/>
  <c r="A2931" i="3"/>
  <c r="A2932" i="3"/>
  <c r="A2933" i="3"/>
  <c r="A2934" i="3"/>
  <c r="A2935" i="3"/>
  <c r="A2936" i="3"/>
  <c r="A2937" i="3"/>
  <c r="A2938" i="3"/>
  <c r="A2939" i="3"/>
  <c r="A2940" i="3"/>
  <c r="A2941" i="3"/>
  <c r="A2942" i="3"/>
  <c r="A2943" i="3"/>
  <c r="A2944" i="3"/>
  <c r="A2945" i="3"/>
  <c r="A2946" i="3"/>
  <c r="A2947" i="3"/>
  <c r="A2948" i="3"/>
  <c r="A2949" i="3"/>
  <c r="A2950" i="3"/>
  <c r="A2951" i="3"/>
  <c r="A2952" i="3"/>
  <c r="A2953" i="3"/>
  <c r="A2954" i="3"/>
  <c r="A2955" i="3"/>
  <c r="A2956" i="3"/>
  <c r="A2957" i="3"/>
  <c r="A2958" i="3"/>
  <c r="A2959" i="3"/>
  <c r="A2960" i="3"/>
  <c r="A2961" i="3"/>
  <c r="A2962" i="3"/>
  <c r="A2963" i="3"/>
  <c r="A2964" i="3"/>
  <c r="A2965" i="3"/>
  <c r="A2966" i="3"/>
  <c r="A2967" i="3"/>
  <c r="A2968" i="3"/>
  <c r="A2969" i="3"/>
  <c r="A2970" i="3"/>
  <c r="A2971" i="3"/>
  <c r="A2972" i="3"/>
  <c r="A2973" i="3"/>
  <c r="A2974" i="3"/>
  <c r="A2975" i="3"/>
  <c r="A2976" i="3"/>
  <c r="A2977" i="3"/>
  <c r="A2978" i="3"/>
  <c r="A2979" i="3"/>
  <c r="A2980" i="3"/>
  <c r="A2981" i="3"/>
  <c r="A2982" i="3"/>
  <c r="A2983" i="3"/>
  <c r="A2984" i="3"/>
  <c r="A2985" i="3"/>
  <c r="A2986" i="3"/>
  <c r="A2987" i="3"/>
  <c r="A2988" i="3"/>
  <c r="A2989" i="3"/>
  <c r="A2990" i="3"/>
  <c r="A2991" i="3"/>
  <c r="A2992" i="3"/>
  <c r="A2993" i="3"/>
  <c r="A2994" i="3"/>
  <c r="A2995" i="3"/>
  <c r="A2996" i="3"/>
  <c r="A2997" i="3"/>
  <c r="A2998" i="3"/>
  <c r="A2999" i="3"/>
  <c r="A3000" i="3"/>
  <c r="A3001" i="3"/>
  <c r="A3002" i="3"/>
  <c r="A3003" i="3"/>
  <c r="A3004" i="3"/>
  <c r="A3005" i="3"/>
  <c r="A3006" i="3"/>
  <c r="A3007" i="3"/>
  <c r="A3008" i="3"/>
  <c r="A3009" i="3"/>
  <c r="A3010" i="3"/>
  <c r="A3011" i="3"/>
  <c r="A3012" i="3"/>
  <c r="A3013" i="3"/>
  <c r="A3014" i="3"/>
  <c r="A3015" i="3"/>
  <c r="A3016" i="3"/>
  <c r="A3017" i="3"/>
  <c r="A3018" i="3"/>
  <c r="A3019" i="3"/>
  <c r="A3020" i="3"/>
  <c r="A3021" i="3"/>
  <c r="A3022" i="3"/>
  <c r="A3023" i="3"/>
  <c r="A3024" i="3"/>
  <c r="A3025" i="3"/>
  <c r="A3026" i="3"/>
  <c r="F46" i="4"/>
  <c r="E1402" i="4"/>
  <c r="E1403" i="4" s="1"/>
  <c r="E1404" i="4" s="1"/>
  <c r="E1405" i="4" s="1"/>
  <c r="E1406" i="4" s="1"/>
  <c r="E1407" i="4" s="1"/>
  <c r="E1408" i="4" s="1"/>
  <c r="E1409" i="4" s="1"/>
  <c r="E1410" i="4" s="1"/>
  <c r="E1411" i="4" s="1"/>
  <c r="C1420" i="4"/>
  <c r="F1406" i="4"/>
  <c r="F1407" i="4" s="1"/>
  <c r="G1402" i="4"/>
  <c r="F1431" i="4" l="1"/>
  <c r="G1430" i="4"/>
  <c r="E1412" i="4"/>
  <c r="E1413" i="4" s="1"/>
  <c r="E1414" i="4" s="1"/>
  <c r="E1415" i="4" s="1"/>
  <c r="E1416" i="4" s="1"/>
  <c r="E1417" i="4" s="1"/>
  <c r="E1418" i="4" s="1"/>
  <c r="E1419" i="4" s="1"/>
  <c r="E1420" i="4" s="1"/>
  <c r="G1406" i="4"/>
  <c r="G1407" i="4"/>
  <c r="F1408" i="4"/>
  <c r="A3" i="3"/>
  <c r="A5" i="3"/>
  <c r="A8" i="3"/>
  <c r="A9" i="3"/>
  <c r="A13" i="3"/>
  <c r="A17" i="3"/>
  <c r="A19" i="3"/>
  <c r="A21" i="3"/>
  <c r="A24" i="3"/>
  <c r="A29" i="3"/>
  <c r="A33" i="3"/>
  <c r="A35" i="3"/>
  <c r="A37" i="3"/>
  <c r="A40" i="3"/>
  <c r="A45" i="3"/>
  <c r="A48" i="3"/>
  <c r="A49" i="3"/>
  <c r="A51" i="3"/>
  <c r="A53" i="3"/>
  <c r="A56" i="3"/>
  <c r="A57" i="3"/>
  <c r="A61" i="3"/>
  <c r="A64" i="3"/>
  <c r="A65" i="3"/>
  <c r="A67" i="3"/>
  <c r="A69" i="3"/>
  <c r="A72" i="3"/>
  <c r="A73" i="3"/>
  <c r="A75" i="3"/>
  <c r="A77" i="3"/>
  <c r="A83" i="3"/>
  <c r="A85" i="3"/>
  <c r="A88" i="3"/>
  <c r="A89" i="3"/>
  <c r="A93" i="3"/>
  <c r="A96" i="3"/>
  <c r="A97" i="3"/>
  <c r="A99" i="3"/>
  <c r="A101" i="3"/>
  <c r="A104" i="3"/>
  <c r="A105" i="3"/>
  <c r="A109" i="3"/>
  <c r="A112" i="3"/>
  <c r="A113" i="3"/>
  <c r="A115" i="3"/>
  <c r="A117" i="3"/>
  <c r="A120" i="3"/>
  <c r="A125" i="3"/>
  <c r="A129" i="3"/>
  <c r="A131" i="3"/>
  <c r="A133" i="3"/>
  <c r="A136" i="3"/>
  <c r="A137" i="3"/>
  <c r="A139" i="3"/>
  <c r="A141" i="3"/>
  <c r="A144" i="3"/>
  <c r="A145" i="3"/>
  <c r="A147" i="3"/>
  <c r="A149" i="3"/>
  <c r="A153" i="3"/>
  <c r="A155" i="3"/>
  <c r="A157" i="3"/>
  <c r="A160" i="3"/>
  <c r="A161" i="3"/>
  <c r="A163" i="3"/>
  <c r="A165" i="3"/>
  <c r="A168" i="3"/>
  <c r="A169" i="3"/>
  <c r="A173" i="3"/>
  <c r="A177" i="3"/>
  <c r="A179" i="3"/>
  <c r="A181" i="3"/>
  <c r="A184" i="3"/>
  <c r="A189" i="3"/>
  <c r="A192" i="3"/>
  <c r="A193" i="3"/>
  <c r="A195" i="3"/>
  <c r="A197" i="3"/>
  <c r="A201" i="3"/>
  <c r="A205" i="3"/>
  <c r="A208" i="3"/>
  <c r="A209" i="3"/>
  <c r="A211" i="3"/>
  <c r="A213" i="3"/>
  <c r="A216" i="3"/>
  <c r="A217" i="3"/>
  <c r="A221" i="3"/>
  <c r="A225" i="3"/>
  <c r="A227" i="3"/>
  <c r="A229" i="3"/>
  <c r="A232" i="3"/>
  <c r="A233" i="3"/>
  <c r="A235" i="3"/>
  <c r="A237" i="3"/>
  <c r="A240" i="3"/>
  <c r="A243" i="3"/>
  <c r="A245" i="3"/>
  <c r="A248" i="3"/>
  <c r="A249" i="3"/>
  <c r="A253" i="3"/>
  <c r="A257" i="3"/>
  <c r="A259" i="3"/>
  <c r="A261" i="3"/>
  <c r="A264" i="3"/>
  <c r="A265" i="3"/>
  <c r="A269" i="3"/>
  <c r="A273" i="3"/>
  <c r="A275" i="3"/>
  <c r="A277" i="3"/>
  <c r="A280" i="3"/>
  <c r="A285" i="3"/>
  <c r="A288" i="3"/>
  <c r="A289" i="3"/>
  <c r="A291" i="3"/>
  <c r="A293" i="3"/>
  <c r="A296" i="3"/>
  <c r="A299" i="3"/>
  <c r="A301" i="3"/>
  <c r="A304" i="3"/>
  <c r="A305" i="3"/>
  <c r="A309" i="3"/>
  <c r="A313" i="3"/>
  <c r="A315" i="3"/>
  <c r="A317" i="3"/>
  <c r="A320" i="3"/>
  <c r="A321" i="3"/>
  <c r="A323" i="3"/>
  <c r="A325" i="3"/>
  <c r="A328" i="3"/>
  <c r="A329" i="3"/>
  <c r="A331" i="3"/>
  <c r="A333" i="3"/>
  <c r="A336" i="3"/>
  <c r="A337" i="3"/>
  <c r="A339" i="3"/>
  <c r="A341" i="3"/>
  <c r="A345" i="3"/>
  <c r="A349" i="3"/>
  <c r="A352" i="3"/>
  <c r="A353" i="3"/>
  <c r="A355" i="3"/>
  <c r="A357" i="3"/>
  <c r="A360" i="3"/>
  <c r="A361" i="3"/>
  <c r="A365" i="3"/>
  <c r="A368" i="3"/>
  <c r="A369" i="3"/>
  <c r="A371" i="3"/>
  <c r="A373" i="3"/>
  <c r="A376" i="3"/>
  <c r="A377" i="3"/>
  <c r="A379" i="3"/>
  <c r="A381" i="3"/>
  <c r="A384" i="3"/>
  <c r="A385" i="3"/>
  <c r="A387" i="3"/>
  <c r="A389" i="3"/>
  <c r="A393" i="3"/>
  <c r="A395" i="3"/>
  <c r="A397" i="3"/>
  <c r="A400" i="3"/>
  <c r="A401" i="3"/>
  <c r="A403" i="3"/>
  <c r="A405" i="3"/>
  <c r="A408" i="3"/>
  <c r="A409" i="3"/>
  <c r="A413" i="3"/>
  <c r="A416" i="3"/>
  <c r="A417" i="3"/>
  <c r="A419" i="3"/>
  <c r="A421" i="3"/>
  <c r="A424" i="3"/>
  <c r="A425" i="3"/>
  <c r="A427" i="3"/>
  <c r="A429" i="3"/>
  <c r="A432" i="3"/>
  <c r="A433" i="3"/>
  <c r="A435" i="3"/>
  <c r="A437" i="3"/>
  <c r="A441" i="3"/>
  <c r="A443" i="3"/>
  <c r="A445" i="3"/>
  <c r="A448" i="3"/>
  <c r="A449" i="3"/>
  <c r="A451" i="3"/>
  <c r="A453" i="3"/>
  <c r="A457" i="3"/>
  <c r="A461" i="3"/>
  <c r="A464" i="3"/>
  <c r="A465" i="3"/>
  <c r="A467" i="3"/>
  <c r="A469" i="3"/>
  <c r="A472" i="3"/>
  <c r="A477" i="3"/>
  <c r="A480" i="3"/>
  <c r="A481" i="3"/>
  <c r="A483" i="3"/>
  <c r="A485" i="3"/>
  <c r="A489" i="3"/>
  <c r="A491" i="3"/>
  <c r="A493" i="3"/>
  <c r="A496" i="3"/>
  <c r="A501" i="3"/>
  <c r="A504" i="3"/>
  <c r="A505" i="3"/>
  <c r="A507" i="3"/>
  <c r="A509" i="3"/>
  <c r="A512" i="3"/>
  <c r="A513" i="3"/>
  <c r="A515" i="3"/>
  <c r="A517" i="3"/>
  <c r="A520" i="3"/>
  <c r="A521" i="3"/>
  <c r="A525" i="3"/>
  <c r="A528" i="3"/>
  <c r="A529" i="3"/>
  <c r="A531" i="3"/>
  <c r="A533" i="3"/>
  <c r="A539" i="3"/>
  <c r="A541" i="3"/>
  <c r="A544" i="3"/>
  <c r="A545" i="3"/>
  <c r="A549" i="3"/>
  <c r="A552" i="3"/>
  <c r="A553" i="3"/>
  <c r="A557" i="3"/>
  <c r="A561" i="3"/>
  <c r="A565" i="3"/>
  <c r="A568" i="3"/>
  <c r="A569" i="3"/>
  <c r="A573" i="3"/>
  <c r="A576" i="3"/>
  <c r="A577" i="3"/>
  <c r="A579" i="3"/>
  <c r="A581" i="3"/>
  <c r="A585" i="3"/>
  <c r="A589" i="3"/>
  <c r="A592" i="3"/>
  <c r="A595" i="3"/>
  <c r="A597" i="3"/>
  <c r="A600" i="3"/>
  <c r="A601" i="3"/>
  <c r="A605" i="3"/>
  <c r="A609" i="3"/>
  <c r="A611" i="3"/>
  <c r="A613" i="3"/>
  <c r="A616" i="3"/>
  <c r="A619" i="3"/>
  <c r="A621" i="3"/>
  <c r="A624" i="3"/>
  <c r="A625" i="3"/>
  <c r="A629" i="3"/>
  <c r="A632" i="3"/>
  <c r="A633" i="3"/>
  <c r="A635" i="3"/>
  <c r="A637" i="3"/>
  <c r="A645" i="3"/>
  <c r="A648" i="3"/>
  <c r="A649" i="3"/>
  <c r="A651" i="3"/>
  <c r="A653" i="3"/>
  <c r="A656" i="3"/>
  <c r="A657" i="3"/>
  <c r="A661" i="3"/>
  <c r="A665" i="3"/>
  <c r="A667" i="3"/>
  <c r="A669" i="3"/>
  <c r="A672" i="3"/>
  <c r="A673" i="3"/>
  <c r="A677" i="3"/>
  <c r="A680" i="3"/>
  <c r="A683" i="3"/>
  <c r="A685" i="3"/>
  <c r="A689" i="3"/>
  <c r="A693" i="3"/>
  <c r="A696" i="3"/>
  <c r="A697" i="3"/>
  <c r="A699" i="3"/>
  <c r="A701" i="3"/>
  <c r="A704" i="3"/>
  <c r="A705" i="3"/>
  <c r="A709" i="3"/>
  <c r="A712" i="3"/>
  <c r="A713" i="3"/>
  <c r="A715" i="3"/>
  <c r="A717" i="3"/>
  <c r="A721" i="3"/>
  <c r="A723" i="3"/>
  <c r="A725" i="3"/>
  <c r="A728" i="3"/>
  <c r="A729" i="3"/>
  <c r="A731" i="3"/>
  <c r="A733" i="3"/>
  <c r="A736" i="3"/>
  <c r="A737" i="3"/>
  <c r="A741" i="3"/>
  <c r="A745" i="3"/>
  <c r="A747" i="3"/>
  <c r="A749" i="3"/>
  <c r="A752" i="3"/>
  <c r="A753" i="3"/>
  <c r="A755" i="3"/>
  <c r="A757" i="3"/>
  <c r="A760" i="3"/>
  <c r="A761" i="3"/>
  <c r="A763" i="3"/>
  <c r="A765" i="3"/>
  <c r="A769" i="3"/>
  <c r="A773" i="3"/>
  <c r="A776" i="3"/>
  <c r="A777" i="3"/>
  <c r="A779" i="3"/>
  <c r="A781" i="3"/>
  <c r="A784" i="3"/>
  <c r="A785" i="3"/>
  <c r="A789" i="3"/>
  <c r="A793" i="3"/>
  <c r="A795" i="3"/>
  <c r="A797" i="3"/>
  <c r="A800" i="3"/>
  <c r="A801" i="3"/>
  <c r="A805" i="3"/>
  <c r="A808" i="3"/>
  <c r="A809" i="3"/>
  <c r="A813" i="3"/>
  <c r="A816" i="3"/>
  <c r="A817" i="3"/>
  <c r="A821" i="3"/>
  <c r="A825" i="3"/>
  <c r="A829" i="3"/>
  <c r="A832" i="3"/>
  <c r="A833" i="3"/>
  <c r="A837" i="3"/>
  <c r="A840" i="3"/>
  <c r="A841" i="3"/>
  <c r="A843" i="3"/>
  <c r="A845" i="3"/>
  <c r="A848" i="3"/>
  <c r="A849" i="3"/>
  <c r="A851" i="3"/>
  <c r="A853" i="3"/>
  <c r="A856" i="3"/>
  <c r="A857" i="3"/>
  <c r="A859" i="3"/>
  <c r="A861" i="3"/>
  <c r="A864" i="3"/>
  <c r="A869" i="3"/>
  <c r="A873" i="3"/>
  <c r="A875" i="3"/>
  <c r="A877" i="3"/>
  <c r="A880" i="3"/>
  <c r="A881" i="3"/>
  <c r="A883" i="3"/>
  <c r="A885" i="3"/>
  <c r="A888" i="3"/>
  <c r="A889" i="3"/>
  <c r="A891" i="3"/>
  <c r="A893" i="3"/>
  <c r="A896" i="3"/>
  <c r="A897" i="3"/>
  <c r="A899" i="3"/>
  <c r="A901" i="3"/>
  <c r="A904" i="3"/>
  <c r="A905" i="3"/>
  <c r="A909" i="3"/>
  <c r="A913" i="3"/>
  <c r="A915" i="3"/>
  <c r="A917" i="3"/>
  <c r="A920" i="3"/>
  <c r="A921" i="3"/>
  <c r="A923" i="3"/>
  <c r="A925" i="3"/>
  <c r="A929" i="3"/>
  <c r="A931" i="3"/>
  <c r="A933" i="3"/>
  <c r="A936" i="3"/>
  <c r="A937" i="3"/>
  <c r="A939" i="3"/>
  <c r="A941" i="3"/>
  <c r="A944" i="3"/>
  <c r="A945" i="3"/>
  <c r="A949" i="3"/>
  <c r="A955" i="3"/>
  <c r="A957" i="3"/>
  <c r="A960" i="3"/>
  <c r="A961" i="3"/>
  <c r="A965" i="3"/>
  <c r="A968" i="3"/>
  <c r="A969" i="3"/>
  <c r="A973" i="3"/>
  <c r="A976" i="3"/>
  <c r="A977" i="3"/>
  <c r="A981" i="3"/>
  <c r="A984" i="3"/>
  <c r="A985" i="3"/>
  <c r="A987" i="3"/>
  <c r="A989" i="3"/>
  <c r="A992" i="3"/>
  <c r="A997" i="3"/>
  <c r="A1001" i="3"/>
  <c r="A1003" i="3"/>
  <c r="A1005" i="3"/>
  <c r="A1008" i="3"/>
  <c r="A1009" i="3"/>
  <c r="A1013" i="3"/>
  <c r="A1016" i="3"/>
  <c r="A1017" i="3"/>
  <c r="A1019" i="3"/>
  <c r="A1021" i="3"/>
  <c r="A1024" i="3"/>
  <c r="A1025" i="3"/>
  <c r="A1029" i="3"/>
  <c r="A1032" i="3"/>
  <c r="A1033" i="3"/>
  <c r="A1035" i="3"/>
  <c r="A1037" i="3"/>
  <c r="A1041" i="3"/>
  <c r="A1043" i="3"/>
  <c r="A1045" i="3"/>
  <c r="A1048" i="3"/>
  <c r="A1051" i="3"/>
  <c r="A1053" i="3"/>
  <c r="A1056" i="3"/>
  <c r="A1057" i="3"/>
  <c r="A1061" i="3"/>
  <c r="A1065" i="3"/>
  <c r="A1067" i="3"/>
  <c r="A1069" i="3"/>
  <c r="A1077" i="3"/>
  <c r="A1080" i="3"/>
  <c r="A1081" i="3"/>
  <c r="A1083" i="3"/>
  <c r="A1085" i="3"/>
  <c r="A1089" i="3"/>
  <c r="A1091" i="3"/>
  <c r="A1093" i="3"/>
  <c r="A1096" i="3"/>
  <c r="A1097" i="3"/>
  <c r="A1099" i="3"/>
  <c r="A1101" i="3"/>
  <c r="A1104" i="3"/>
  <c r="A1105" i="3"/>
  <c r="A1107" i="3"/>
  <c r="A1109" i="3"/>
  <c r="A1113" i="3"/>
  <c r="A1115" i="3"/>
  <c r="A1117" i="3"/>
  <c r="A1120" i="3"/>
  <c r="A1121" i="3"/>
  <c r="A1123" i="3"/>
  <c r="A1125" i="3"/>
  <c r="A1128" i="3"/>
  <c r="A1129" i="3"/>
  <c r="A1133" i="3"/>
  <c r="A1137" i="3"/>
  <c r="A1139" i="3"/>
  <c r="A1141" i="3"/>
  <c r="A1144" i="3"/>
  <c r="A1145" i="3"/>
  <c r="A1149" i="3"/>
  <c r="A1152" i="3"/>
  <c r="A1153" i="3"/>
  <c r="A1155" i="3"/>
  <c r="A1157" i="3"/>
  <c r="A1160" i="3"/>
  <c r="A1161" i="3"/>
  <c r="A1165" i="3"/>
  <c r="A1168" i="3"/>
  <c r="A1169" i="3"/>
  <c r="A1171" i="3"/>
  <c r="A1173" i="3"/>
  <c r="A1176" i="3"/>
  <c r="A1177" i="3"/>
  <c r="A1181" i="3"/>
  <c r="A1185" i="3"/>
  <c r="A1187" i="3"/>
  <c r="A1189" i="3"/>
  <c r="A1192" i="3"/>
  <c r="A1193" i="3"/>
  <c r="A1197" i="3"/>
  <c r="A1200" i="3"/>
  <c r="A1201" i="3"/>
  <c r="A1203" i="3"/>
  <c r="A1205" i="3"/>
  <c r="A1209" i="3"/>
  <c r="A1213" i="3"/>
  <c r="A1216" i="3"/>
  <c r="A1217" i="3"/>
  <c r="A1219" i="3"/>
  <c r="A1221" i="3"/>
  <c r="A1224" i="3"/>
  <c r="A1225" i="3"/>
  <c r="A1229" i="3"/>
  <c r="A1233" i="3"/>
  <c r="A1235" i="3"/>
  <c r="A1237" i="3"/>
  <c r="A1240" i="3"/>
  <c r="A1241" i="3"/>
  <c r="A1243" i="3"/>
  <c r="A1245" i="3"/>
  <c r="A1248" i="3"/>
  <c r="A1249" i="3"/>
  <c r="A1251" i="3"/>
  <c r="A1253" i="3"/>
  <c r="A1257" i="3"/>
  <c r="A1259" i="3"/>
  <c r="A1261" i="3"/>
  <c r="A1264" i="3"/>
  <c r="A1265" i="3"/>
  <c r="A1267" i="3"/>
  <c r="A1269" i="3"/>
  <c r="A1272" i="3"/>
  <c r="A1273" i="3"/>
  <c r="A1277" i="3"/>
  <c r="A1280" i="3"/>
  <c r="A1281" i="3"/>
  <c r="A1283" i="3"/>
  <c r="A1285" i="3"/>
  <c r="A1291" i="3"/>
  <c r="A1293" i="3"/>
  <c r="A1297" i="3"/>
  <c r="A1299" i="3"/>
  <c r="A1301" i="3"/>
  <c r="A1305" i="3"/>
  <c r="A1307" i="3"/>
  <c r="A1309" i="3"/>
  <c r="A1312" i="3"/>
  <c r="A1313" i="3"/>
  <c r="A1315" i="3"/>
  <c r="A1317" i="3"/>
  <c r="A1320" i="3"/>
  <c r="A1321" i="3"/>
  <c r="A1323" i="3"/>
  <c r="A1325" i="3"/>
  <c r="A1329" i="3"/>
  <c r="A1333" i="3"/>
  <c r="A1336" i="3"/>
  <c r="A1337" i="3"/>
  <c r="A1339" i="3"/>
  <c r="A1341" i="3"/>
  <c r="A1344" i="3"/>
  <c r="A1345" i="3"/>
  <c r="A1347" i="3"/>
  <c r="A1349" i="3"/>
  <c r="A1352" i="3"/>
  <c r="A1353" i="3"/>
  <c r="A1355" i="3"/>
  <c r="A1357" i="3"/>
  <c r="A1360" i="3"/>
  <c r="A1361" i="3"/>
  <c r="A1363" i="3"/>
  <c r="A1365" i="3"/>
  <c r="A1369" i="3"/>
  <c r="A1371" i="3"/>
  <c r="A1373" i="3"/>
  <c r="A1376" i="3"/>
  <c r="A1377" i="3"/>
  <c r="A1379" i="3"/>
  <c r="A1381" i="3"/>
  <c r="A1385" i="3"/>
  <c r="A1387" i="3"/>
  <c r="A1389" i="3"/>
  <c r="A1392" i="3"/>
  <c r="A1393" i="3"/>
  <c r="A1397" i="3"/>
  <c r="A1400" i="3"/>
  <c r="A1401" i="3"/>
  <c r="A1403" i="3"/>
  <c r="A1405" i="3"/>
  <c r="A1408" i="3"/>
  <c r="A1409" i="3"/>
  <c r="A1413" i="3"/>
  <c r="A1416" i="3"/>
  <c r="A1417" i="3"/>
  <c r="A1421" i="3"/>
  <c r="A1427" i="3"/>
  <c r="A1429" i="3"/>
  <c r="A1432" i="3"/>
  <c r="A1433" i="3"/>
  <c r="A1437" i="3"/>
  <c r="A1443" i="3"/>
  <c r="A1445" i="3"/>
  <c r="A1448" i="3"/>
  <c r="A1449" i="3"/>
  <c r="A1453" i="3"/>
  <c r="A1456" i="3"/>
  <c r="A1459" i="3"/>
  <c r="A1461" i="3"/>
  <c r="A1465" i="3"/>
  <c r="A1469" i="3"/>
  <c r="A1472" i="3"/>
  <c r="A1473" i="3"/>
  <c r="A1475" i="3"/>
  <c r="A1477" i="3"/>
  <c r="A1480" i="3"/>
  <c r="A1481" i="3"/>
  <c r="A1485" i="3"/>
  <c r="A1489" i="3"/>
  <c r="A1491" i="3"/>
  <c r="A1493" i="3"/>
  <c r="A1496" i="3"/>
  <c r="A1497" i="3"/>
  <c r="A1501" i="3"/>
  <c r="A1504" i="3"/>
  <c r="A1505" i="3"/>
  <c r="A1507" i="3"/>
  <c r="A1509" i="3"/>
  <c r="A1512" i="3"/>
  <c r="A1513" i="3"/>
  <c r="A1517" i="3"/>
  <c r="A1520" i="3"/>
  <c r="A1521" i="3"/>
  <c r="A1525" i="3"/>
  <c r="A1528" i="3"/>
  <c r="A1529" i="3"/>
  <c r="A1531" i="3"/>
  <c r="A1533" i="3"/>
  <c r="A1536" i="3"/>
  <c r="A1537" i="3"/>
  <c r="A1541" i="3"/>
  <c r="A1544" i="3"/>
  <c r="A1545" i="3"/>
  <c r="A1547" i="3"/>
  <c r="A1549" i="3"/>
  <c r="A1552" i="3"/>
  <c r="A1553" i="3"/>
  <c r="A1557" i="3"/>
  <c r="A1560" i="3"/>
  <c r="A1561" i="3"/>
  <c r="A1563" i="3"/>
  <c r="A1565" i="3"/>
  <c r="A1568" i="3"/>
  <c r="A1569" i="3"/>
  <c r="A1571" i="3"/>
  <c r="A1573" i="3"/>
  <c r="A1576" i="3"/>
  <c r="A1577" i="3"/>
  <c r="A1581" i="3"/>
  <c r="A1584" i="3"/>
  <c r="A1585" i="3"/>
  <c r="A1587" i="3"/>
  <c r="A1589" i="3"/>
  <c r="A1592" i="3"/>
  <c r="A1593" i="3"/>
  <c r="A1595" i="3"/>
  <c r="A1597" i="3"/>
  <c r="A1600" i="3"/>
  <c r="A1601" i="3"/>
  <c r="A1603" i="3"/>
  <c r="A1605" i="3"/>
  <c r="A1608" i="3"/>
  <c r="A1609" i="3"/>
  <c r="A1611" i="3"/>
  <c r="A1613" i="3"/>
  <c r="A1616" i="3"/>
  <c r="A1617" i="3"/>
  <c r="A1619" i="3"/>
  <c r="A1621" i="3"/>
  <c r="A1625" i="3"/>
  <c r="A1627" i="3"/>
  <c r="A1629" i="3"/>
  <c r="A1632" i="3"/>
  <c r="A1633" i="3"/>
  <c r="A1637" i="3"/>
  <c r="A1641" i="3"/>
  <c r="A1643" i="3"/>
  <c r="A1645" i="3"/>
  <c r="A1648" i="3"/>
  <c r="A1649" i="3"/>
  <c r="A1653" i="3"/>
  <c r="A1656" i="3"/>
  <c r="A1657" i="3"/>
  <c r="A1659" i="3"/>
  <c r="A1661" i="3"/>
  <c r="A1664" i="3"/>
  <c r="A1665" i="3"/>
  <c r="A1669" i="3"/>
  <c r="A1673" i="3"/>
  <c r="A1675" i="3"/>
  <c r="A1677" i="3"/>
  <c r="A1680" i="3"/>
  <c r="A1683" i="3"/>
  <c r="A1685" i="3"/>
  <c r="A1688" i="3"/>
  <c r="A1689" i="3"/>
  <c r="A1693" i="3"/>
  <c r="A1697" i="3"/>
  <c r="A1699" i="3"/>
  <c r="A1701" i="3"/>
  <c r="A1704" i="3"/>
  <c r="A1705" i="3"/>
  <c r="A1707" i="3"/>
  <c r="A1709" i="3"/>
  <c r="A1712" i="3"/>
  <c r="A1713" i="3"/>
  <c r="A1717" i="3"/>
  <c r="A1720" i="3"/>
  <c r="A1721" i="3"/>
  <c r="A1723" i="3"/>
  <c r="A1725" i="3"/>
  <c r="A1728" i="3"/>
  <c r="A1729" i="3"/>
  <c r="A1731" i="3"/>
  <c r="A1733" i="3"/>
  <c r="A1739" i="3"/>
  <c r="A1741" i="3"/>
  <c r="A1744" i="3"/>
  <c r="A1745" i="3"/>
  <c r="A1749" i="3"/>
  <c r="A1752" i="3"/>
  <c r="A1753" i="3"/>
  <c r="A1755" i="3"/>
  <c r="A1757" i="3"/>
  <c r="A1761" i="3"/>
  <c r="A1763" i="3"/>
  <c r="A1765" i="3"/>
  <c r="A1768" i="3"/>
  <c r="A1769" i="3"/>
  <c r="A1773" i="3"/>
  <c r="A1776" i="3"/>
  <c r="A1777" i="3"/>
  <c r="A1779" i="3"/>
  <c r="A1781" i="3"/>
  <c r="A1785" i="3"/>
  <c r="A1787" i="3"/>
  <c r="A1789" i="3"/>
  <c r="A1792" i="3"/>
  <c r="A1793" i="3"/>
  <c r="A1795" i="3"/>
  <c r="A1797" i="3"/>
  <c r="A1800" i="3"/>
  <c r="A1801" i="3"/>
  <c r="A1803" i="3"/>
  <c r="A1805" i="3"/>
  <c r="A1809" i="3"/>
  <c r="A1811" i="3"/>
  <c r="A1813" i="3"/>
  <c r="A1816" i="3"/>
  <c r="A1817" i="3"/>
  <c r="A1821" i="3"/>
  <c r="A1824" i="3"/>
  <c r="A1825" i="3"/>
  <c r="A1827" i="3"/>
  <c r="A1829" i="3"/>
  <c r="A1832" i="3"/>
  <c r="A1833" i="3"/>
  <c r="A1835" i="3"/>
  <c r="A1837" i="3"/>
  <c r="A1840" i="3"/>
  <c r="A1841" i="3"/>
  <c r="A1845" i="3"/>
  <c r="A1848" i="3"/>
  <c r="A1849" i="3"/>
  <c r="A1853" i="3"/>
  <c r="A1856" i="3"/>
  <c r="A1859" i="3"/>
  <c r="A1861" i="3"/>
  <c r="A1864" i="3"/>
  <c r="A1865" i="3"/>
  <c r="A1869" i="3"/>
  <c r="A1872" i="3"/>
  <c r="A1875" i="3"/>
  <c r="A1877" i="3"/>
  <c r="A1881" i="3"/>
  <c r="A1885" i="3"/>
  <c r="A1888" i="3"/>
  <c r="A1889" i="3"/>
  <c r="A1891" i="3"/>
  <c r="A1896" i="3"/>
  <c r="A1897" i="3"/>
  <c r="A1899" i="3"/>
  <c r="A1901" i="3"/>
  <c r="A1905" i="3"/>
  <c r="A1907" i="3"/>
  <c r="A1909" i="3"/>
  <c r="A1912" i="3"/>
  <c r="A1913" i="3"/>
  <c r="A1917" i="3"/>
  <c r="A1920" i="3"/>
  <c r="A1921" i="3"/>
  <c r="A1923" i="3"/>
  <c r="A1925" i="3"/>
  <c r="A1929" i="3"/>
  <c r="A1933" i="3"/>
  <c r="A1936" i="3"/>
  <c r="A1937" i="3"/>
  <c r="A1939" i="3"/>
  <c r="A1941" i="3"/>
  <c r="A1944" i="3"/>
  <c r="A1945" i="3"/>
  <c r="A1949" i="3"/>
  <c r="A1953" i="3"/>
  <c r="A1955" i="3"/>
  <c r="A1957" i="3"/>
  <c r="A1960" i="3"/>
  <c r="A1961" i="3"/>
  <c r="A1965" i="3"/>
  <c r="A1968" i="3"/>
  <c r="A1969" i="3"/>
  <c r="A1971" i="3"/>
  <c r="A1973" i="3"/>
  <c r="A1977" i="3"/>
  <c r="A1981" i="3"/>
  <c r="A1984" i="3"/>
  <c r="A1985" i="3"/>
  <c r="A1987" i="3"/>
  <c r="A1989" i="3"/>
  <c r="A1992" i="3"/>
  <c r="A1993" i="3"/>
  <c r="A1997" i="3"/>
  <c r="A2000" i="3"/>
  <c r="A2001" i="3"/>
  <c r="A2003" i="3"/>
  <c r="A2005" i="3"/>
  <c r="A2008" i="3"/>
  <c r="A2009" i="3"/>
  <c r="A2013" i="3"/>
  <c r="A2016" i="3"/>
  <c r="A2019" i="3"/>
  <c r="A2021" i="3"/>
  <c r="A2024" i="3"/>
  <c r="A2025" i="3"/>
  <c r="A2029" i="3"/>
  <c r="A2032" i="3"/>
  <c r="A2035" i="3"/>
  <c r="A2037" i="3"/>
  <c r="A2041" i="3"/>
  <c r="A2045" i="3"/>
  <c r="A2048" i="3"/>
  <c r="A2049" i="3"/>
  <c r="A2053" i="3"/>
  <c r="A2057" i="3"/>
  <c r="A2059" i="3"/>
  <c r="A2061" i="3"/>
  <c r="A2065" i="3"/>
  <c r="A2069" i="3"/>
  <c r="A2072" i="3"/>
  <c r="A2073" i="3"/>
  <c r="A2075" i="3"/>
  <c r="A2077" i="3"/>
  <c r="A2080" i="3"/>
  <c r="A2081" i="3"/>
  <c r="A2085" i="3"/>
  <c r="A2088" i="3"/>
  <c r="A2091" i="3"/>
  <c r="A2093" i="3"/>
  <c r="A2097" i="3"/>
  <c r="A2101" i="3"/>
  <c r="A2104" i="3"/>
  <c r="A2105" i="3"/>
  <c r="A2107" i="3"/>
  <c r="A2109" i="3"/>
  <c r="A2112" i="3"/>
  <c r="A2113" i="3"/>
  <c r="A2117" i="3"/>
  <c r="A2120" i="3"/>
  <c r="A2121" i="3"/>
  <c r="A2123" i="3"/>
  <c r="A2125" i="3"/>
  <c r="A2128" i="3"/>
  <c r="A2129" i="3"/>
  <c r="A2133" i="3"/>
  <c r="A2136" i="3"/>
  <c r="A2137" i="3"/>
  <c r="A2139" i="3"/>
  <c r="A2141" i="3"/>
  <c r="A2145" i="3"/>
  <c r="A2149" i="3"/>
  <c r="A2152" i="3"/>
  <c r="A2153" i="3"/>
  <c r="A2155" i="3"/>
  <c r="A2156" i="3"/>
  <c r="A2157" i="3"/>
  <c r="A2160" i="3"/>
  <c r="A2161" i="3"/>
  <c r="A2163" i="3"/>
  <c r="A2165" i="3"/>
  <c r="A2169" i="3"/>
  <c r="A2173" i="3"/>
  <c r="A2176" i="3"/>
  <c r="A2177" i="3"/>
  <c r="A2179" i="3"/>
  <c r="A2181" i="3"/>
  <c r="A2184" i="3"/>
  <c r="A2187" i="3"/>
  <c r="A2189" i="3"/>
  <c r="A2193" i="3"/>
  <c r="A2197" i="3"/>
  <c r="A2200" i="3"/>
  <c r="A2201" i="3"/>
  <c r="A2203" i="3"/>
  <c r="A2205" i="3"/>
  <c r="A2208" i="3"/>
  <c r="A2213" i="3"/>
  <c r="A2216" i="3"/>
  <c r="A2217" i="3"/>
  <c r="A2219" i="3"/>
  <c r="A2221" i="3"/>
  <c r="A2224" i="3"/>
  <c r="A2225" i="3"/>
  <c r="A2227" i="3"/>
  <c r="A2229" i="3"/>
  <c r="A2232" i="3"/>
  <c r="A2233" i="3"/>
  <c r="A2235" i="3"/>
  <c r="A2237" i="3"/>
  <c r="A2240" i="3"/>
  <c r="A2241" i="3"/>
  <c r="A2243" i="3"/>
  <c r="A2245" i="3"/>
  <c r="A2248" i="3"/>
  <c r="A2249" i="3"/>
  <c r="A2251" i="3"/>
  <c r="A2252" i="3"/>
  <c r="A2253" i="3"/>
  <c r="A2257" i="3"/>
  <c r="A2259" i="3"/>
  <c r="A2261" i="3"/>
  <c r="A2264" i="3"/>
  <c r="A2265" i="3"/>
  <c r="A2267" i="3"/>
  <c r="A2269" i="3"/>
  <c r="A2273" i="3"/>
  <c r="A2275" i="3"/>
  <c r="A2277" i="3"/>
  <c r="A2280" i="3"/>
  <c r="A2281" i="3"/>
  <c r="A2283" i="3"/>
  <c r="A2285" i="3"/>
  <c r="A2288" i="3"/>
  <c r="A2289" i="3"/>
  <c r="A2293" i="3"/>
  <c r="A2296" i="3"/>
  <c r="A2297" i="3"/>
  <c r="A2299" i="3"/>
  <c r="A2301" i="3"/>
  <c r="A2304" i="3"/>
  <c r="A2305" i="3"/>
  <c r="A2309" i="3"/>
  <c r="A2312" i="3"/>
  <c r="A2313" i="3"/>
  <c r="A2316" i="3"/>
  <c r="A2317" i="3"/>
  <c r="A2320" i="3"/>
  <c r="A2321" i="3"/>
  <c r="A2323" i="3"/>
  <c r="A2325" i="3"/>
  <c r="A2328" i="3"/>
  <c r="A2329" i="3"/>
  <c r="A2333" i="3"/>
  <c r="A2336" i="3"/>
  <c r="A2337" i="3"/>
  <c r="A2340" i="3"/>
  <c r="A2341" i="3"/>
  <c r="A2344" i="3"/>
  <c r="A2345" i="3"/>
  <c r="A2347" i="3"/>
  <c r="A2349" i="3"/>
  <c r="A2352" i="3"/>
  <c r="A2353" i="3"/>
  <c r="A2355" i="3"/>
  <c r="A2357" i="3"/>
  <c r="A2361" i="3"/>
  <c r="A2363" i="3"/>
  <c r="A2365" i="3"/>
  <c r="A2368" i="3"/>
  <c r="A2369" i="3"/>
  <c r="A2371" i="3"/>
  <c r="A2373" i="3"/>
  <c r="A2376" i="3"/>
  <c r="A2377" i="3"/>
  <c r="A2379" i="3"/>
  <c r="A2381" i="3"/>
  <c r="A2387" i="3"/>
  <c r="A2388" i="3"/>
  <c r="A2389" i="3"/>
  <c r="A2392" i="3"/>
  <c r="A2393" i="3"/>
  <c r="A2395" i="3"/>
  <c r="A2397" i="3"/>
  <c r="A2403" i="3"/>
  <c r="A2405" i="3"/>
  <c r="A2408" i="3"/>
  <c r="A2409" i="3"/>
  <c r="A2411" i="3"/>
  <c r="A2413" i="3"/>
  <c r="A2416" i="3"/>
  <c r="A2417" i="3"/>
  <c r="A2421" i="3"/>
  <c r="A2424" i="3"/>
  <c r="A2425" i="3"/>
  <c r="A2427" i="3"/>
  <c r="A2429" i="3"/>
  <c r="A2432" i="3"/>
  <c r="A2433" i="3"/>
  <c r="A2436" i="3"/>
  <c r="A2437" i="3"/>
  <c r="A2440" i="3"/>
  <c r="A2441" i="3"/>
  <c r="A2443" i="3"/>
  <c r="A2445" i="3"/>
  <c r="A2449" i="3"/>
  <c r="A2453" i="3"/>
  <c r="A2456" i="3"/>
  <c r="A2457" i="3"/>
  <c r="A2459" i="3"/>
  <c r="A2461" i="3"/>
  <c r="A2464" i="3"/>
  <c r="A2465" i="3"/>
  <c r="A2469" i="3"/>
  <c r="A2473" i="3"/>
  <c r="A2475" i="3"/>
  <c r="A2476" i="3"/>
  <c r="A2477" i="3"/>
  <c r="A2480" i="3"/>
  <c r="A2481" i="3"/>
  <c r="A2485" i="3"/>
  <c r="A2488" i="3"/>
  <c r="A2489" i="3"/>
  <c r="A2491" i="3"/>
  <c r="A2493" i="3"/>
  <c r="A2497" i="3"/>
  <c r="A2500" i="3"/>
  <c r="A2501" i="3"/>
  <c r="A2504" i="3"/>
  <c r="A2505" i="3"/>
  <c r="A2507" i="3"/>
  <c r="A2509" i="3"/>
  <c r="A2512" i="3"/>
  <c r="A2513" i="3"/>
  <c r="A2517" i="3"/>
  <c r="A2521" i="3"/>
  <c r="A2523" i="3"/>
  <c r="A2524" i="3"/>
  <c r="A2525" i="3"/>
  <c r="A2528" i="3"/>
  <c r="A2529" i="3"/>
  <c r="A2533" i="3"/>
  <c r="A2536" i="3"/>
  <c r="A2537" i="3"/>
  <c r="A2539" i="3"/>
  <c r="A2541" i="3"/>
  <c r="A2545" i="3"/>
  <c r="A2547" i="3"/>
  <c r="A2548" i="3"/>
  <c r="A2549" i="3"/>
  <c r="A2552" i="3"/>
  <c r="A2553" i="3"/>
  <c r="A2557" i="3"/>
  <c r="A2561" i="3"/>
  <c r="A2563" i="3"/>
  <c r="A2565" i="3"/>
  <c r="A2568" i="3"/>
  <c r="A2569" i="3"/>
  <c r="A2573" i="3"/>
  <c r="A2577" i="3"/>
  <c r="A2579" i="3"/>
  <c r="A2580" i="3"/>
  <c r="A2581" i="3"/>
  <c r="A2584" i="3"/>
  <c r="A2585" i="3"/>
  <c r="A2587" i="3"/>
  <c r="A2589" i="3"/>
  <c r="A2595" i="3"/>
  <c r="A2596" i="3"/>
  <c r="A2597" i="3"/>
  <c r="A2601" i="3"/>
  <c r="A2605" i="3"/>
  <c r="A2608" i="3"/>
  <c r="A2609" i="3"/>
  <c r="A2613" i="3"/>
  <c r="A2616" i="3"/>
  <c r="A2617" i="3"/>
  <c r="A2621" i="3"/>
  <c r="A2624" i="3"/>
  <c r="A2625" i="3"/>
  <c r="A2629" i="3"/>
  <c r="A2633" i="3"/>
  <c r="A2637" i="3"/>
  <c r="A2640" i="3"/>
  <c r="A2641" i="3"/>
  <c r="A2643" i="3"/>
  <c r="A2645" i="3"/>
  <c r="A2648" i="3"/>
  <c r="A2649" i="3"/>
  <c r="A2651" i="3"/>
  <c r="A2653" i="3"/>
  <c r="A2656" i="3"/>
  <c r="A2657" i="3"/>
  <c r="A2661" i="3"/>
  <c r="A2664" i="3"/>
  <c r="A2665" i="3"/>
  <c r="A2667" i="3"/>
  <c r="A2668" i="3"/>
  <c r="A2669" i="3"/>
  <c r="A2673" i="3"/>
  <c r="A2677" i="3"/>
  <c r="A2680" i="3"/>
  <c r="A2681" i="3"/>
  <c r="A2683" i="3"/>
  <c r="A2685" i="3"/>
  <c r="A2688" i="3"/>
  <c r="A2689" i="3"/>
  <c r="A2691" i="3"/>
  <c r="A2693" i="3"/>
  <c r="A2697" i="3"/>
  <c r="A2701" i="3"/>
  <c r="A2704" i="3"/>
  <c r="A2709" i="3"/>
  <c r="A2712" i="3"/>
  <c r="A2713" i="3"/>
  <c r="A2715" i="3"/>
  <c r="A2717" i="3"/>
  <c r="A2720" i="3"/>
  <c r="A2721" i="3"/>
  <c r="A2723" i="3"/>
  <c r="A2725" i="3"/>
  <c r="A2728" i="3"/>
  <c r="A2729" i="3"/>
  <c r="A2732" i="3"/>
  <c r="A2733" i="3"/>
  <c r="A2737" i="3"/>
  <c r="A2739" i="3"/>
  <c r="A2741" i="3"/>
  <c r="A2744" i="3"/>
  <c r="A2745" i="3"/>
  <c r="A2749" i="3"/>
  <c r="A2752" i="3"/>
  <c r="A2753" i="3"/>
  <c r="A2755" i="3"/>
  <c r="A2757" i="3"/>
  <c r="A2761" i="3"/>
  <c r="A2763" i="3"/>
  <c r="A2765" i="3"/>
  <c r="A2768" i="3"/>
  <c r="A2769" i="3"/>
  <c r="A2771" i="3"/>
  <c r="A2772" i="3"/>
  <c r="A2773" i="3"/>
  <c r="A2776" i="3"/>
  <c r="A2777" i="3"/>
  <c r="A2779" i="3"/>
  <c r="A2781" i="3"/>
  <c r="A2785" i="3"/>
  <c r="A2787" i="3"/>
  <c r="A2789" i="3"/>
  <c r="A2792" i="3"/>
  <c r="A2793" i="3"/>
  <c r="A2797" i="3"/>
  <c r="A2800" i="3"/>
  <c r="A2803" i="3"/>
  <c r="A2805" i="3"/>
  <c r="A2808" i="3"/>
  <c r="A2809" i="3"/>
  <c r="A2813" i="3"/>
  <c r="A2816" i="3"/>
  <c r="A2819" i="3"/>
  <c r="A2820" i="3"/>
  <c r="A2821" i="3"/>
  <c r="A2825" i="3"/>
  <c r="A2827" i="3"/>
  <c r="A2829" i="3"/>
  <c r="A2832" i="3"/>
  <c r="A2833" i="3"/>
  <c r="A2835" i="3"/>
  <c r="A2836" i="3"/>
  <c r="A2837" i="3"/>
  <c r="A2840" i="3"/>
  <c r="A12" i="3"/>
  <c r="A20" i="3"/>
  <c r="A28" i="3"/>
  <c r="A36" i="3"/>
  <c r="A44" i="3"/>
  <c r="A52" i="3"/>
  <c r="A60" i="3"/>
  <c r="A68" i="3"/>
  <c r="A76" i="3"/>
  <c r="A84" i="3"/>
  <c r="A92" i="3"/>
  <c r="A100" i="3"/>
  <c r="A108" i="3"/>
  <c r="A116" i="3"/>
  <c r="A124" i="3"/>
  <c r="A132" i="3"/>
  <c r="A140" i="3"/>
  <c r="A148" i="3"/>
  <c r="A156" i="3"/>
  <c r="A164" i="3"/>
  <c r="A172" i="3"/>
  <c r="A180" i="3"/>
  <c r="A188" i="3"/>
  <c r="A196" i="3"/>
  <c r="A204" i="3"/>
  <c r="A212" i="3"/>
  <c r="A220" i="3"/>
  <c r="A228" i="3"/>
  <c r="A236" i="3"/>
  <c r="A244" i="3"/>
  <c r="A252" i="3"/>
  <c r="A260" i="3"/>
  <c r="A268" i="3"/>
  <c r="A276" i="3"/>
  <c r="A284" i="3"/>
  <c r="A292" i="3"/>
  <c r="A300" i="3"/>
  <c r="A308" i="3"/>
  <c r="A316" i="3"/>
  <c r="A324" i="3"/>
  <c r="A332" i="3"/>
  <c r="A340" i="3"/>
  <c r="A348" i="3"/>
  <c r="A356" i="3"/>
  <c r="A364" i="3"/>
  <c r="A372" i="3"/>
  <c r="A380" i="3"/>
  <c r="A388" i="3"/>
  <c r="A396" i="3"/>
  <c r="A404" i="3"/>
  <c r="A412" i="3"/>
  <c r="A420" i="3"/>
  <c r="A428" i="3"/>
  <c r="A436" i="3"/>
  <c r="A444" i="3"/>
  <c r="A452" i="3"/>
  <c r="A460" i="3"/>
  <c r="A468" i="3"/>
  <c r="A476" i="3"/>
  <c r="A484" i="3"/>
  <c r="A492" i="3"/>
  <c r="A500" i="3"/>
  <c r="A508" i="3"/>
  <c r="A516" i="3"/>
  <c r="A524" i="3"/>
  <c r="A532" i="3"/>
  <c r="A540" i="3"/>
  <c r="A548" i="3"/>
  <c r="A556" i="3"/>
  <c r="A564" i="3"/>
  <c r="A572" i="3"/>
  <c r="A580" i="3"/>
  <c r="A588" i="3"/>
  <c r="A596" i="3"/>
  <c r="A604" i="3"/>
  <c r="A612" i="3"/>
  <c r="A620" i="3"/>
  <c r="A628" i="3"/>
  <c r="A636" i="3"/>
  <c r="A644" i="3"/>
  <c r="A652" i="3"/>
  <c r="A660" i="3"/>
  <c r="A668" i="3"/>
  <c r="A676" i="3"/>
  <c r="A684" i="3"/>
  <c r="A692" i="3"/>
  <c r="A700" i="3"/>
  <c r="A708" i="3"/>
  <c r="A716" i="3"/>
  <c r="A724" i="3"/>
  <c r="A732" i="3"/>
  <c r="A740" i="3"/>
  <c r="A748" i="3"/>
  <c r="A756" i="3"/>
  <c r="A764" i="3"/>
  <c r="A772" i="3"/>
  <c r="A780" i="3"/>
  <c r="A788" i="3"/>
  <c r="A796" i="3"/>
  <c r="A804" i="3"/>
  <c r="A812" i="3"/>
  <c r="A820" i="3"/>
  <c r="A828" i="3"/>
  <c r="A836" i="3"/>
  <c r="A844" i="3"/>
  <c r="A852" i="3"/>
  <c r="A860" i="3"/>
  <c r="A868" i="3"/>
  <c r="A876" i="3"/>
  <c r="A884" i="3"/>
  <c r="A892" i="3"/>
  <c r="A900" i="3"/>
  <c r="A908" i="3"/>
  <c r="A916" i="3"/>
  <c r="A924" i="3"/>
  <c r="A932" i="3"/>
  <c r="A940" i="3"/>
  <c r="A948" i="3"/>
  <c r="A956" i="3"/>
  <c r="A972" i="3"/>
  <c r="A980" i="3"/>
  <c r="A988" i="3"/>
  <c r="A996" i="3"/>
  <c r="A1004" i="3"/>
  <c r="A1012" i="3"/>
  <c r="A1020" i="3"/>
  <c r="A1028" i="3"/>
  <c r="A1036" i="3"/>
  <c r="A1044" i="3"/>
  <c r="A1052" i="3"/>
  <c r="A1060" i="3"/>
  <c r="A1068" i="3"/>
  <c r="A1076" i="3"/>
  <c r="A1084" i="3"/>
  <c r="A1092" i="3"/>
  <c r="A1100" i="3"/>
  <c r="A1108" i="3"/>
  <c r="A1116" i="3"/>
  <c r="A1124" i="3"/>
  <c r="A1132" i="3"/>
  <c r="A1140" i="3"/>
  <c r="A1148" i="3"/>
  <c r="A1156" i="3"/>
  <c r="A1164" i="3"/>
  <c r="A1172" i="3"/>
  <c r="A1180" i="3"/>
  <c r="A1188" i="3"/>
  <c r="A1196" i="3"/>
  <c r="A1204" i="3"/>
  <c r="A1212" i="3"/>
  <c r="A1220" i="3"/>
  <c r="A1228" i="3"/>
  <c r="A1236" i="3"/>
  <c r="A1244" i="3"/>
  <c r="A1252" i="3"/>
  <c r="A1258" i="3"/>
  <c r="A1276" i="3"/>
  <c r="A1282" i="3"/>
  <c r="A1284" i="3"/>
  <c r="A1290" i="3"/>
  <c r="A1292" i="3"/>
  <c r="A1300" i="3"/>
  <c r="A1306" i="3"/>
  <c r="A1308" i="3"/>
  <c r="A1316" i="3"/>
  <c r="A1324" i="3"/>
  <c r="A1330" i="3"/>
  <c r="A1332" i="3"/>
  <c r="A1338" i="3"/>
  <c r="A1340" i="3"/>
  <c r="A1348" i="3"/>
  <c r="A1356" i="3"/>
  <c r="A1364" i="3"/>
  <c r="A1372" i="3"/>
  <c r="A1380" i="3"/>
  <c r="A1388" i="3"/>
  <c r="A1394" i="3"/>
  <c r="A1396" i="3"/>
  <c r="A1402" i="3"/>
  <c r="A1404" i="3"/>
  <c r="A1412" i="3"/>
  <c r="A1420" i="3"/>
  <c r="A1426" i="3"/>
  <c r="A1428" i="3"/>
  <c r="A1436" i="3"/>
  <c r="A1444" i="3"/>
  <c r="A1452" i="3"/>
  <c r="A1458" i="3"/>
  <c r="A1460" i="3"/>
  <c r="A1468" i="3"/>
  <c r="A1476" i="3"/>
  <c r="A1484" i="3"/>
  <c r="A1492" i="3"/>
  <c r="A1498" i="3"/>
  <c r="A1500" i="3"/>
  <c r="A1508" i="3"/>
  <c r="A1514" i="3"/>
  <c r="A1516" i="3"/>
  <c r="A1522" i="3"/>
  <c r="A1524" i="3"/>
  <c r="A1532" i="3"/>
  <c r="A1538" i="3"/>
  <c r="A1540" i="3"/>
  <c r="A1548" i="3"/>
  <c r="A1556" i="3"/>
  <c r="A1562" i="3"/>
  <c r="A1564" i="3"/>
  <c r="A1572" i="3"/>
  <c r="A1580" i="3"/>
  <c r="A1588" i="3"/>
  <c r="A1594" i="3"/>
  <c r="A1596" i="3"/>
  <c r="A1604" i="3"/>
  <c r="A1612" i="3"/>
  <c r="A1620" i="3"/>
  <c r="A1626" i="3"/>
  <c r="A1628" i="3"/>
  <c r="A1636" i="3"/>
  <c r="A1644" i="3"/>
  <c r="A1652" i="3"/>
  <c r="A1660" i="3"/>
  <c r="A1666" i="3"/>
  <c r="A1668" i="3"/>
  <c r="A1676" i="3"/>
  <c r="A1692" i="3"/>
  <c r="A1700" i="3"/>
  <c r="A1708" i="3"/>
  <c r="A1716" i="3"/>
  <c r="A1722" i="3"/>
  <c r="A1724" i="3"/>
  <c r="A1732" i="3"/>
  <c r="A1738" i="3"/>
  <c r="A1740" i="3"/>
  <c r="A1748" i="3"/>
  <c r="A1756" i="3"/>
  <c r="A1764" i="3"/>
  <c r="A1770" i="3"/>
  <c r="A1772" i="3"/>
  <c r="A1780" i="3"/>
  <c r="A1788" i="3"/>
  <c r="A1796" i="3"/>
  <c r="A1802" i="3"/>
  <c r="A1804" i="3"/>
  <c r="A1812" i="3"/>
  <c r="A1820" i="3"/>
  <c r="A1828" i="3"/>
  <c r="A1834" i="3"/>
  <c r="A1836" i="3"/>
  <c r="A1842" i="3"/>
  <c r="A1844" i="3"/>
  <c r="A1852" i="3"/>
  <c r="A1858" i="3"/>
  <c r="A1868" i="3"/>
  <c r="A1874" i="3"/>
  <c r="A1876" i="3"/>
  <c r="A1884" i="3"/>
  <c r="A1892" i="3"/>
  <c r="A1893" i="3"/>
  <c r="A1900" i="3"/>
  <c r="A1908" i="3"/>
  <c r="A1914" i="3"/>
  <c r="A1916" i="3"/>
  <c r="A1924" i="3"/>
  <c r="A1930" i="3"/>
  <c r="A1932" i="3"/>
  <c r="A1938" i="3"/>
  <c r="A1940" i="3"/>
  <c r="A1948" i="3"/>
  <c r="A1956" i="3"/>
  <c r="A1964" i="3"/>
  <c r="A1972" i="3"/>
  <c r="A1980" i="3"/>
  <c r="A1986" i="3"/>
  <c r="A1988" i="3"/>
  <c r="A1996" i="3"/>
  <c r="A2004" i="3"/>
  <c r="A2012" i="3"/>
  <c r="A2020" i="3"/>
  <c r="A2028" i="3"/>
  <c r="A2034" i="3"/>
  <c r="A2036" i="3"/>
  <c r="A2042" i="3"/>
  <c r="A2044" i="3"/>
  <c r="A2052" i="3"/>
  <c r="A2060" i="3"/>
  <c r="A2066" i="3"/>
  <c r="A2068" i="3"/>
  <c r="A2076" i="3"/>
  <c r="A2084" i="3"/>
  <c r="A2092" i="3"/>
  <c r="A2098" i="3"/>
  <c r="A2100" i="3"/>
  <c r="A2108" i="3"/>
  <c r="A2114" i="3"/>
  <c r="A2116" i="3"/>
  <c r="A2124" i="3"/>
  <c r="A2132" i="3"/>
  <c r="A2140" i="3"/>
  <c r="A2148" i="3"/>
  <c r="A2154" i="3"/>
  <c r="A2164" i="3"/>
  <c r="A2170" i="3"/>
  <c r="A2172" i="3"/>
  <c r="A2180" i="3"/>
  <c r="A2188" i="3"/>
  <c r="A2196" i="3"/>
  <c r="A2204" i="3"/>
  <c r="A2210" i="3"/>
  <c r="A2212" i="3"/>
  <c r="A2220" i="3"/>
  <c r="A2226" i="3"/>
  <c r="A2228" i="3"/>
  <c r="A2236" i="3"/>
  <c r="A2244" i="3"/>
  <c r="A2250" i="3"/>
  <c r="A2258" i="3"/>
  <c r="A2260" i="3"/>
  <c r="A2268" i="3"/>
  <c r="A2276" i="3"/>
  <c r="A2284" i="3"/>
  <c r="A2292" i="3"/>
  <c r="A2298" i="3"/>
  <c r="A2300" i="3"/>
  <c r="A2308" i="3"/>
  <c r="A2314" i="3"/>
  <c r="A2324" i="3"/>
  <c r="A2332" i="3"/>
  <c r="A2348" i="3"/>
  <c r="A2356" i="3"/>
  <c r="A2362" i="3"/>
  <c r="A2364" i="3"/>
  <c r="A2372" i="3"/>
  <c r="A2380" i="3"/>
  <c r="A2396" i="3"/>
  <c r="A2404" i="3"/>
  <c r="A2412" i="3"/>
  <c r="A2418" i="3"/>
  <c r="A2420" i="3"/>
  <c r="A2428" i="3"/>
  <c r="A2444" i="3"/>
  <c r="A2452" i="3"/>
  <c r="A2460" i="3"/>
  <c r="A2468" i="3"/>
  <c r="A2484" i="3"/>
  <c r="A2492" i="3"/>
  <c r="A2508" i="3"/>
  <c r="A2514" i="3"/>
  <c r="A2516" i="3"/>
  <c r="A2532" i="3"/>
  <c r="A2540" i="3"/>
  <c r="A2556" i="3"/>
  <c r="A2564" i="3"/>
  <c r="A2572" i="3"/>
  <c r="A2588" i="3"/>
  <c r="A2604" i="3"/>
  <c r="A2610" i="3"/>
  <c r="A2612" i="3"/>
  <c r="A2620" i="3"/>
  <c r="A2626" i="3"/>
  <c r="A2628" i="3"/>
  <c r="A2636" i="3"/>
  <c r="A2644" i="3"/>
  <c r="A2652" i="3"/>
  <c r="A2660" i="3"/>
  <c r="A2666" i="3"/>
  <c r="A2676" i="3"/>
  <c r="A2684" i="3"/>
  <c r="A2690" i="3"/>
  <c r="A2692" i="3"/>
  <c r="A2700" i="3"/>
  <c r="A2708" i="3"/>
  <c r="A2714" i="3"/>
  <c r="A2716" i="3"/>
  <c r="A2724" i="3"/>
  <c r="A2740" i="3"/>
  <c r="A2748" i="3"/>
  <c r="A2756" i="3"/>
  <c r="A2764" i="3"/>
  <c r="A2780" i="3"/>
  <c r="A2788" i="3"/>
  <c r="A2794" i="3"/>
  <c r="A2796" i="3"/>
  <c r="A2804" i="3"/>
  <c r="A2812" i="3"/>
  <c r="A2826" i="3"/>
  <c r="A2828" i="3"/>
  <c r="E82" i="4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F86" i="4"/>
  <c r="F87" i="4" s="1"/>
  <c r="F88" i="4" s="1"/>
  <c r="G88" i="4" s="1"/>
  <c r="E102" i="4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F106" i="4"/>
  <c r="F107" i="4" s="1"/>
  <c r="E122" i="4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F126" i="4"/>
  <c r="F127" i="4" s="1"/>
  <c r="F128" i="4" s="1"/>
  <c r="G128" i="4" s="1"/>
  <c r="E142" i="4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G144" i="4"/>
  <c r="F146" i="4"/>
  <c r="F147" i="4" s="1"/>
  <c r="E162" i="4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F166" i="4"/>
  <c r="F167" i="4" s="1"/>
  <c r="F168" i="4" s="1"/>
  <c r="G168" i="4" s="1"/>
  <c r="E182" i="4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G184" i="4"/>
  <c r="F186" i="4"/>
  <c r="F187" i="4" s="1"/>
  <c r="E202" i="4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F206" i="4"/>
  <c r="F207" i="4" s="1"/>
  <c r="F208" i="4" s="1"/>
  <c r="G208" i="4" s="1"/>
  <c r="E222" i="4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G224" i="4"/>
  <c r="F226" i="4"/>
  <c r="F227" i="4" s="1"/>
  <c r="E242" i="4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F246" i="4"/>
  <c r="F247" i="4" s="1"/>
  <c r="G247" i="4" s="1"/>
  <c r="E262" i="4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F266" i="4"/>
  <c r="F267" i="4" s="1"/>
  <c r="G267" i="4" s="1"/>
  <c r="E282" i="4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G283" i="4"/>
  <c r="F286" i="4"/>
  <c r="F287" i="4" s="1"/>
  <c r="F288" i="4" s="1"/>
  <c r="E302" i="4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G303" i="4"/>
  <c r="F306" i="4"/>
  <c r="F307" i="4" s="1"/>
  <c r="G307" i="4" s="1"/>
  <c r="E322" i="4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G322" i="4"/>
  <c r="F326" i="4"/>
  <c r="E342" i="4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G342" i="4"/>
  <c r="F346" i="4"/>
  <c r="F347" i="4" s="1"/>
  <c r="G347" i="4" s="1"/>
  <c r="E362" i="4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G363" i="4"/>
  <c r="F366" i="4"/>
  <c r="G366" i="4" s="1"/>
  <c r="E382" i="4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G382" i="4"/>
  <c r="F386" i="4"/>
  <c r="F387" i="4" s="1"/>
  <c r="G387" i="4" s="1"/>
  <c r="E402" i="4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G403" i="4"/>
  <c r="F406" i="4"/>
  <c r="G406" i="4" s="1"/>
  <c r="E422" i="4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G422" i="4"/>
  <c r="F426" i="4"/>
  <c r="E442" i="4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G443" i="4"/>
  <c r="F446" i="4"/>
  <c r="E462" i="4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F466" i="4"/>
  <c r="E482" i="4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G482" i="4"/>
  <c r="F486" i="4"/>
  <c r="E502" i="4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F506" i="4"/>
  <c r="G506" i="4" s="1"/>
  <c r="E522" i="4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G522" i="4"/>
  <c r="F526" i="4"/>
  <c r="E542" i="4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F546" i="4"/>
  <c r="E562" i="4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F566" i="4"/>
  <c r="G566" i="4" s="1"/>
  <c r="E582" i="4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G582" i="4"/>
  <c r="F586" i="4"/>
  <c r="G586" i="4" s="1"/>
  <c r="E602" i="4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G602" i="4"/>
  <c r="F606" i="4"/>
  <c r="G606" i="4" s="1"/>
  <c r="E622" i="4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G623" i="4"/>
  <c r="F626" i="4"/>
  <c r="F627" i="4" s="1"/>
  <c r="G627" i="4" s="1"/>
  <c r="E642" i="4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F646" i="4"/>
  <c r="E662" i="4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G664" i="4"/>
  <c r="F666" i="4"/>
  <c r="F667" i="4" s="1"/>
  <c r="G667" i="4" s="1"/>
  <c r="E682" i="4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F686" i="4"/>
  <c r="F687" i="4" s="1"/>
  <c r="G687" i="4" s="1"/>
  <c r="E702" i="4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G703" i="4"/>
  <c r="F706" i="4"/>
  <c r="F707" i="4" s="1"/>
  <c r="G707" i="4" s="1"/>
  <c r="E722" i="4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F726" i="4"/>
  <c r="E742" i="4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G743" i="4"/>
  <c r="F746" i="4"/>
  <c r="F747" i="4" s="1"/>
  <c r="G747" i="4" s="1"/>
  <c r="E762" i="4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F766" i="4"/>
  <c r="F767" i="4" s="1"/>
  <c r="E782" i="4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G782" i="4"/>
  <c r="F786" i="4"/>
  <c r="E802" i="4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F806" i="4"/>
  <c r="F807" i="4" s="1"/>
  <c r="F808" i="4" s="1"/>
  <c r="G808" i="4" s="1"/>
  <c r="E822" i="4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G822" i="4"/>
  <c r="F826" i="4"/>
  <c r="E842" i="4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F846" i="4"/>
  <c r="F847" i="4" s="1"/>
  <c r="E862" i="4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G862" i="4"/>
  <c r="F866" i="4"/>
  <c r="E882" i="4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F886" i="4"/>
  <c r="G886" i="4" s="1"/>
  <c r="E902" i="4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G902" i="4"/>
  <c r="F906" i="4"/>
  <c r="E922" i="4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F926" i="4"/>
  <c r="F927" i="4" s="1"/>
  <c r="G927" i="4" s="1"/>
  <c r="E942" i="4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G942" i="4"/>
  <c r="F946" i="4"/>
  <c r="E962" i="4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G962" i="4"/>
  <c r="F966" i="4"/>
  <c r="G966" i="4" s="1"/>
  <c r="E982" i="4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F986" i="4"/>
  <c r="F987" i="4" s="1"/>
  <c r="E1002" i="4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G1002" i="4"/>
  <c r="F1006" i="4"/>
  <c r="F1007" i="4" s="1"/>
  <c r="E1022" i="4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F1026" i="4"/>
  <c r="G1026" i="4" s="1"/>
  <c r="E1042" i="4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G1042" i="4"/>
  <c r="F1046" i="4"/>
  <c r="F1047" i="4" s="1"/>
  <c r="E1062" i="4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F1066" i="4"/>
  <c r="F1067" i="4" s="1"/>
  <c r="G1067" i="4" s="1"/>
  <c r="E1082" i="4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G1082" i="4"/>
  <c r="F1086" i="4"/>
  <c r="F1087" i="4" s="1"/>
  <c r="E1102" i="4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F1106" i="4"/>
  <c r="F1107" i="4" s="1"/>
  <c r="E1122" i="4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G1122" i="4"/>
  <c r="F1126" i="4"/>
  <c r="F1127" i="4" s="1"/>
  <c r="E1142" i="4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2" i="4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G1162" i="4"/>
  <c r="F1166" i="4"/>
  <c r="F1167" i="4" s="1"/>
  <c r="E1182" i="4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F1186" i="4"/>
  <c r="G1186" i="4" s="1"/>
  <c r="E1203" i="4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F1206" i="4"/>
  <c r="E1222" i="4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F1226" i="4"/>
  <c r="F1227" i="4" s="1"/>
  <c r="E1242" i="4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G1242" i="4"/>
  <c r="F1246" i="4"/>
  <c r="E1262" i="4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F1266" i="4"/>
  <c r="F1267" i="4" s="1"/>
  <c r="E1282" i="4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G1283" i="4"/>
  <c r="F1286" i="4"/>
  <c r="E1302" i="4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F1306" i="4"/>
  <c r="G1306" i="4" s="1"/>
  <c r="E1322" i="4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G1322" i="4"/>
  <c r="F1326" i="4"/>
  <c r="F1327" i="4" s="1"/>
  <c r="E1342" i="4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F1346" i="4"/>
  <c r="E1362" i="4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G1362" i="4"/>
  <c r="F1366" i="4"/>
  <c r="F1367" i="4" s="1"/>
  <c r="E1382" i="4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F1386" i="4"/>
  <c r="G1386" i="4" s="1"/>
  <c r="E62" i="4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G63" i="4"/>
  <c r="F66" i="4"/>
  <c r="G66" i="4" s="1"/>
  <c r="A2" i="3"/>
  <c r="A6" i="3"/>
  <c r="A7" i="3"/>
  <c r="A10" i="3"/>
  <c r="A11" i="3"/>
  <c r="A14" i="3"/>
  <c r="A15" i="3"/>
  <c r="A16" i="3"/>
  <c r="A18" i="3"/>
  <c r="A22" i="3"/>
  <c r="A23" i="3"/>
  <c r="A25" i="3"/>
  <c r="A26" i="3"/>
  <c r="A27" i="3"/>
  <c r="A31" i="3"/>
  <c r="A34" i="3"/>
  <c r="A39" i="3"/>
  <c r="A41" i="3"/>
  <c r="A42" i="3"/>
  <c r="A43" i="3"/>
  <c r="A47" i="3"/>
  <c r="A50" i="3"/>
  <c r="A54" i="3"/>
  <c r="A55" i="3"/>
  <c r="A58" i="3"/>
  <c r="A62" i="3"/>
  <c r="A63" i="3"/>
  <c r="A66" i="3"/>
  <c r="A70" i="3"/>
  <c r="A71" i="3"/>
  <c r="A74" i="3"/>
  <c r="A78" i="3"/>
  <c r="A79" i="3"/>
  <c r="A80" i="3"/>
  <c r="A81" i="3"/>
  <c r="A82" i="3"/>
  <c r="A86" i="3"/>
  <c r="A87" i="3"/>
  <c r="A90" i="3"/>
  <c r="A91" i="3"/>
  <c r="A94" i="3"/>
  <c r="A95" i="3"/>
  <c r="A98" i="3"/>
  <c r="A102" i="3"/>
  <c r="A103" i="3"/>
  <c r="A106" i="3"/>
  <c r="A107" i="3"/>
  <c r="A110" i="3"/>
  <c r="A111" i="3"/>
  <c r="A114" i="3"/>
  <c r="A118" i="3"/>
  <c r="A119" i="3"/>
  <c r="A121" i="3"/>
  <c r="A122" i="3"/>
  <c r="A123" i="3"/>
  <c r="A126" i="3"/>
  <c r="A127" i="3"/>
  <c r="A128" i="3"/>
  <c r="A130" i="3"/>
  <c r="A134" i="3"/>
  <c r="A135" i="3"/>
  <c r="A138" i="3"/>
  <c r="A142" i="3"/>
  <c r="A143" i="3"/>
  <c r="A146" i="3"/>
  <c r="A150" i="3"/>
  <c r="A151" i="3"/>
  <c r="A152" i="3"/>
  <c r="A154" i="3"/>
  <c r="A158" i="3"/>
  <c r="A159" i="3"/>
  <c r="A162" i="3"/>
  <c r="A166" i="3"/>
  <c r="A167" i="3"/>
  <c r="A170" i="3"/>
  <c r="A171" i="3"/>
  <c r="A175" i="3"/>
  <c r="A176" i="3"/>
  <c r="A178" i="3"/>
  <c r="A182" i="3"/>
  <c r="A183" i="3"/>
  <c r="A185" i="3"/>
  <c r="A186" i="3"/>
  <c r="A187" i="3"/>
  <c r="A191" i="3"/>
  <c r="A194" i="3"/>
  <c r="A198" i="3"/>
  <c r="A199" i="3"/>
  <c r="A200" i="3"/>
  <c r="A202" i="3"/>
  <c r="A203" i="3"/>
  <c r="A206" i="3"/>
  <c r="A207" i="3"/>
  <c r="A210" i="3"/>
  <c r="A214" i="3"/>
  <c r="A215" i="3"/>
  <c r="A218" i="3"/>
  <c r="A222" i="3"/>
  <c r="A223" i="3"/>
  <c r="A226" i="3"/>
  <c r="A230" i="3"/>
  <c r="A231" i="3"/>
  <c r="A234" i="3"/>
  <c r="A238" i="3"/>
  <c r="A239" i="3"/>
  <c r="A241" i="3"/>
  <c r="A242" i="3"/>
  <c r="A246" i="3"/>
  <c r="A247" i="3"/>
  <c r="A250" i="3"/>
  <c r="A251" i="3"/>
  <c r="A254" i="3"/>
  <c r="A255" i="3"/>
  <c r="A256" i="3"/>
  <c r="A258" i="3"/>
  <c r="A263" i="3"/>
  <c r="A266" i="3"/>
  <c r="A267" i="3"/>
  <c r="A271" i="3"/>
  <c r="A272" i="3"/>
  <c r="A274" i="3"/>
  <c r="A279" i="3"/>
  <c r="A281" i="3"/>
  <c r="A282" i="3"/>
  <c r="A283" i="3"/>
  <c r="A287" i="3"/>
  <c r="A290" i="3"/>
  <c r="A295" i="3"/>
  <c r="A297" i="3"/>
  <c r="A298" i="3"/>
  <c r="A303" i="3"/>
  <c r="A306" i="3"/>
  <c r="A307" i="3"/>
  <c r="A310" i="3"/>
  <c r="A311" i="3"/>
  <c r="A312" i="3"/>
  <c r="A314" i="3"/>
  <c r="A318" i="3"/>
  <c r="A319" i="3"/>
  <c r="A322" i="3"/>
  <c r="A326" i="3"/>
  <c r="A327" i="3"/>
  <c r="A330" i="3"/>
  <c r="A334" i="3"/>
  <c r="A335" i="3"/>
  <c r="A338" i="3"/>
  <c r="A342" i="3"/>
  <c r="A343" i="3"/>
  <c r="A344" i="3"/>
  <c r="A346" i="3"/>
  <c r="A347" i="3"/>
  <c r="A350" i="3"/>
  <c r="A351" i="3"/>
  <c r="A354" i="3"/>
  <c r="A358" i="3"/>
  <c r="A359" i="3"/>
  <c r="A362" i="3"/>
  <c r="A363" i="3"/>
  <c r="A366" i="3"/>
  <c r="A367" i="3"/>
  <c r="A370" i="3"/>
  <c r="A374" i="3"/>
  <c r="A375" i="3"/>
  <c r="A378" i="3"/>
  <c r="A382" i="3"/>
  <c r="A383" i="3"/>
  <c r="A386" i="3"/>
  <c r="A390" i="3"/>
  <c r="A391" i="3"/>
  <c r="A392" i="3"/>
  <c r="A394" i="3"/>
  <c r="A398" i="3"/>
  <c r="A399" i="3"/>
  <c r="A402" i="3"/>
  <c r="A407" i="3"/>
  <c r="A410" i="3"/>
  <c r="A418" i="3"/>
  <c r="A422" i="3"/>
  <c r="A423" i="3"/>
  <c r="A426" i="3"/>
  <c r="A430" i="3"/>
  <c r="A431" i="3"/>
  <c r="A434" i="3"/>
  <c r="A438" i="3"/>
  <c r="A439" i="3"/>
  <c r="A440" i="3"/>
  <c r="A442" i="3"/>
  <c r="A447" i="3"/>
  <c r="A450" i="3"/>
  <c r="A455" i="3"/>
  <c r="A458" i="3"/>
  <c r="A459" i="3"/>
  <c r="A462" i="3"/>
  <c r="A463" i="3"/>
  <c r="A466" i="3"/>
  <c r="A470" i="3"/>
  <c r="A471" i="3"/>
  <c r="A473" i="3"/>
  <c r="A474" i="3"/>
  <c r="A475" i="3"/>
  <c r="A478" i="3"/>
  <c r="A479" i="3"/>
  <c r="A482" i="3"/>
  <c r="A486" i="3"/>
  <c r="A487" i="3"/>
  <c r="A488" i="3"/>
  <c r="A490" i="3"/>
  <c r="A494" i="3"/>
  <c r="A495" i="3"/>
  <c r="A497" i="3"/>
  <c r="A498" i="3"/>
  <c r="A499" i="3"/>
  <c r="A502" i="3"/>
  <c r="A506" i="3"/>
  <c r="A510" i="3"/>
  <c r="A511" i="3"/>
  <c r="A514" i="3"/>
  <c r="A518" i="3"/>
  <c r="A519" i="3"/>
  <c r="A522" i="3"/>
  <c r="A523" i="3"/>
  <c r="A526" i="3"/>
  <c r="A527" i="3"/>
  <c r="A530" i="3"/>
  <c r="A534" i="3"/>
  <c r="A535" i="3"/>
  <c r="A536" i="3"/>
  <c r="A537" i="3"/>
  <c r="A538" i="3"/>
  <c r="A542" i="3"/>
  <c r="A543" i="3"/>
  <c r="A546" i="3"/>
  <c r="A547" i="3"/>
  <c r="A550" i="3"/>
  <c r="A551" i="3"/>
  <c r="A554" i="3"/>
  <c r="A558" i="3"/>
  <c r="A559" i="3"/>
  <c r="A560" i="3"/>
  <c r="A562" i="3"/>
  <c r="A563" i="3"/>
  <c r="A567" i="3"/>
  <c r="A570" i="3"/>
  <c r="A574" i="3"/>
  <c r="A575" i="3"/>
  <c r="A578" i="3"/>
  <c r="A583" i="3"/>
  <c r="A584" i="3"/>
  <c r="A586" i="3"/>
  <c r="A587" i="3"/>
  <c r="A591" i="3"/>
  <c r="A593" i="3"/>
  <c r="A594" i="3"/>
  <c r="A598" i="3"/>
  <c r="A599" i="3"/>
  <c r="A602" i="3"/>
  <c r="A603" i="3"/>
  <c r="A606" i="3"/>
  <c r="A607" i="3"/>
  <c r="A608" i="3"/>
  <c r="A610" i="3"/>
  <c r="A614" i="3"/>
  <c r="A615" i="3"/>
  <c r="A617" i="3"/>
  <c r="A618" i="3"/>
  <c r="A622" i="3"/>
  <c r="A623" i="3"/>
  <c r="A626" i="3"/>
  <c r="A627" i="3"/>
  <c r="A630" i="3"/>
  <c r="A631" i="3"/>
  <c r="A634" i="3"/>
  <c r="A638" i="3"/>
  <c r="A639" i="3"/>
  <c r="A640" i="3"/>
  <c r="A641" i="3"/>
  <c r="A642" i="3"/>
  <c r="A643" i="3"/>
  <c r="A646" i="3"/>
  <c r="A647" i="3"/>
  <c r="A650" i="3"/>
  <c r="A654" i="3"/>
  <c r="A655" i="3"/>
  <c r="A658" i="3"/>
  <c r="A659" i="3"/>
  <c r="A663" i="3"/>
  <c r="A664" i="3"/>
  <c r="A666" i="3"/>
  <c r="A671" i="3"/>
  <c r="A674" i="3"/>
  <c r="A675" i="3"/>
  <c r="A678" i="3"/>
  <c r="A679" i="3"/>
  <c r="A681" i="3"/>
  <c r="A682" i="3"/>
  <c r="A686" i="3"/>
  <c r="A687" i="3"/>
  <c r="A688" i="3"/>
  <c r="A690" i="3"/>
  <c r="A691" i="3"/>
  <c r="A694" i="3"/>
  <c r="A695" i="3"/>
  <c r="A698" i="3"/>
  <c r="A702" i="3"/>
  <c r="A703" i="3"/>
  <c r="A706" i="3"/>
  <c r="A707" i="3"/>
  <c r="A710" i="3"/>
  <c r="A711" i="3"/>
  <c r="A714" i="3"/>
  <c r="A718" i="3"/>
  <c r="A719" i="3"/>
  <c r="A720" i="3"/>
  <c r="A722" i="3"/>
  <c r="A727" i="3"/>
  <c r="A730" i="3"/>
  <c r="A734" i="3"/>
  <c r="A735" i="3"/>
  <c r="A738" i="3"/>
  <c r="A739" i="3"/>
  <c r="A742" i="3"/>
  <c r="A743" i="3"/>
  <c r="A744" i="3"/>
  <c r="A746" i="3"/>
  <c r="A750" i="3"/>
  <c r="A751" i="3"/>
  <c r="A754" i="3"/>
  <c r="A759" i="3"/>
  <c r="A762" i="3"/>
  <c r="A767" i="3"/>
  <c r="A768" i="3"/>
  <c r="A770" i="3"/>
  <c r="A771" i="3"/>
  <c r="A774" i="3"/>
  <c r="A775" i="3"/>
  <c r="A778" i="3"/>
  <c r="A782" i="3"/>
  <c r="A783" i="3"/>
  <c r="A786" i="3"/>
  <c r="A787" i="3"/>
  <c r="A790" i="3"/>
  <c r="A791" i="3"/>
  <c r="A794" i="3"/>
  <c r="A798" i="3"/>
  <c r="A799" i="3"/>
  <c r="A802" i="3"/>
  <c r="A803" i="3"/>
  <c r="A806" i="3"/>
  <c r="A807" i="3"/>
  <c r="A810" i="3"/>
  <c r="A814" i="3"/>
  <c r="A815" i="3"/>
  <c r="A818" i="3"/>
  <c r="A819" i="3"/>
  <c r="A822" i="3"/>
  <c r="A823" i="3"/>
  <c r="A824" i="3"/>
  <c r="A826" i="3"/>
  <c r="A830" i="3"/>
  <c r="A831" i="3"/>
  <c r="A834" i="3"/>
  <c r="A835" i="3"/>
  <c r="A838" i="3"/>
  <c r="A839" i="3"/>
  <c r="A842" i="3"/>
  <c r="A846" i="3"/>
  <c r="A847" i="3"/>
  <c r="A850" i="3"/>
  <c r="A854" i="3"/>
  <c r="A855" i="3"/>
  <c r="A858" i="3"/>
  <c r="A862" i="3"/>
  <c r="A863" i="3"/>
  <c r="A865" i="3"/>
  <c r="A866" i="3"/>
  <c r="A867" i="3"/>
  <c r="A870" i="3"/>
  <c r="A871" i="3"/>
  <c r="A872" i="3"/>
  <c r="A874" i="3"/>
  <c r="A878" i="3"/>
  <c r="A879" i="3"/>
  <c r="A882" i="3"/>
  <c r="A887" i="3"/>
  <c r="A890" i="3"/>
  <c r="A895" i="3"/>
  <c r="A898" i="3"/>
  <c r="A903" i="3"/>
  <c r="A906" i="3"/>
  <c r="A907" i="3"/>
  <c r="A911" i="3"/>
  <c r="A912" i="3"/>
  <c r="A914" i="3"/>
  <c r="A919" i="3"/>
  <c r="A922" i="3"/>
  <c r="A927" i="3"/>
  <c r="A928" i="3"/>
  <c r="A930" i="3"/>
  <c r="A935" i="3"/>
  <c r="A938" i="3"/>
  <c r="A942" i="3"/>
  <c r="A943" i="3"/>
  <c r="A946" i="3"/>
  <c r="A947" i="3"/>
  <c r="A950" i="3"/>
  <c r="A951" i="3"/>
  <c r="A952" i="3"/>
  <c r="A953" i="3"/>
  <c r="A954" i="3"/>
  <c r="A958" i="3"/>
  <c r="A959" i="3"/>
  <c r="A962" i="3"/>
  <c r="A963" i="3"/>
  <c r="A966" i="3"/>
  <c r="A967" i="3"/>
  <c r="A970" i="3"/>
  <c r="A974" i="3"/>
  <c r="A975" i="3"/>
  <c r="A978" i="3"/>
  <c r="A979" i="3"/>
  <c r="A982" i="3"/>
  <c r="A983" i="3"/>
  <c r="A986" i="3"/>
  <c r="A990" i="3"/>
  <c r="A991" i="3"/>
  <c r="A993" i="3"/>
  <c r="A994" i="3"/>
  <c r="A995" i="3"/>
  <c r="A998" i="3"/>
  <c r="A999" i="3"/>
  <c r="A1000" i="3"/>
  <c r="A1002" i="3"/>
  <c r="A1007" i="3"/>
  <c r="A1010" i="3"/>
  <c r="A1011" i="3"/>
  <c r="A1014" i="3"/>
  <c r="A1015" i="3"/>
  <c r="A1018" i="3"/>
  <c r="A1023" i="3"/>
  <c r="A1026" i="3"/>
  <c r="A1027" i="3"/>
  <c r="A1031" i="3"/>
  <c r="A1034" i="3"/>
  <c r="A1039" i="3"/>
  <c r="A1040" i="3"/>
  <c r="A1042" i="3"/>
  <c r="A1046" i="3"/>
  <c r="A1047" i="3"/>
  <c r="A1049" i="3"/>
  <c r="A1050" i="3"/>
  <c r="A1054" i="3"/>
  <c r="A1055" i="3"/>
  <c r="A1058" i="3"/>
  <c r="A1059" i="3"/>
  <c r="A1062" i="3"/>
  <c r="A1063" i="3"/>
  <c r="A1066" i="3"/>
  <c r="A1070" i="3"/>
  <c r="A1071" i="3"/>
  <c r="A1072" i="3"/>
  <c r="A1073" i="3"/>
  <c r="A1074" i="3"/>
  <c r="A1075" i="3"/>
  <c r="A1078" i="3"/>
  <c r="A1079" i="3"/>
  <c r="A1082" i="3"/>
  <c r="A1086" i="3"/>
  <c r="A1087" i="3"/>
  <c r="A1090" i="3"/>
  <c r="A1095" i="3"/>
  <c r="A1098" i="3"/>
  <c r="A1103" i="3"/>
  <c r="A1106" i="3"/>
  <c r="A1111" i="3"/>
  <c r="A1112" i="3"/>
  <c r="A1114" i="3"/>
  <c r="A1119" i="3"/>
  <c r="A1122" i="3"/>
  <c r="A1127" i="3"/>
  <c r="A1130" i="3"/>
  <c r="A1131" i="3"/>
  <c r="A1134" i="3"/>
  <c r="A1135" i="3"/>
  <c r="A1136" i="3"/>
  <c r="A1138" i="3"/>
  <c r="A1142" i="3"/>
  <c r="A1143" i="3"/>
  <c r="A1146" i="3"/>
  <c r="A1147" i="3"/>
  <c r="A1150" i="3"/>
  <c r="A1151" i="3"/>
  <c r="A1154" i="3"/>
  <c r="A1158" i="3"/>
  <c r="A1159" i="3"/>
  <c r="A1162" i="3"/>
  <c r="A1163" i="3"/>
  <c r="A1166" i="3"/>
  <c r="A1170" i="3"/>
  <c r="A1174" i="3"/>
  <c r="A1175" i="3"/>
  <c r="A1178" i="3"/>
  <c r="A1182" i="3"/>
  <c r="A1183" i="3"/>
  <c r="A1184" i="3"/>
  <c r="A1186" i="3"/>
  <c r="A1190" i="3"/>
  <c r="A1191" i="3"/>
  <c r="A1194" i="3"/>
  <c r="A1195" i="3"/>
  <c r="A1198" i="3"/>
  <c r="A1199" i="3"/>
  <c r="A1202" i="3"/>
  <c r="A1207" i="3"/>
  <c r="A1208" i="3"/>
  <c r="A1210" i="3"/>
  <c r="A1211" i="3"/>
  <c r="A1214" i="3"/>
  <c r="A1215" i="3"/>
  <c r="A1218" i="3"/>
  <c r="A1222" i="3"/>
  <c r="A1223" i="3"/>
  <c r="A1226" i="3"/>
  <c r="A1230" i="3"/>
  <c r="A1231" i="3"/>
  <c r="A1232" i="3"/>
  <c r="A1234" i="3"/>
  <c r="A1238" i="3"/>
  <c r="A1242" i="3"/>
  <c r="A1246" i="3"/>
  <c r="A1247" i="3"/>
  <c r="A1250" i="3"/>
  <c r="A1254" i="3"/>
  <c r="A1255" i="3"/>
  <c r="A1256" i="3"/>
  <c r="A1260" i="3"/>
  <c r="A1262" i="3"/>
  <c r="A1263" i="3"/>
  <c r="A1266" i="3"/>
  <c r="A1270" i="3"/>
  <c r="A1271" i="3"/>
  <c r="A1274" i="3"/>
  <c r="A1275" i="3"/>
  <c r="A1278" i="3"/>
  <c r="A1279" i="3"/>
  <c r="A1286" i="3"/>
  <c r="A1287" i="3"/>
  <c r="A1289" i="3"/>
  <c r="A1294" i="3"/>
  <c r="A1295" i="3"/>
  <c r="A1298" i="3"/>
  <c r="A1302" i="3"/>
  <c r="A1303" i="3"/>
  <c r="A1304" i="3"/>
  <c r="A1310" i="3"/>
  <c r="A1311" i="3"/>
  <c r="A1314" i="3"/>
  <c r="A1319" i="3"/>
  <c r="A1322" i="3"/>
  <c r="A1327" i="3"/>
  <c r="A1328" i="3"/>
  <c r="A1331" i="3"/>
  <c r="A1335" i="3"/>
  <c r="A1343" i="3"/>
  <c r="A1346" i="3"/>
  <c r="A1350" i="3"/>
  <c r="A1351" i="3"/>
  <c r="A1354" i="3"/>
  <c r="A1358" i="3"/>
  <c r="A1359" i="3"/>
  <c r="A1362" i="3"/>
  <c r="A1366" i="3"/>
  <c r="A1367" i="3"/>
  <c r="A1368" i="3"/>
  <c r="A1370" i="3"/>
  <c r="A1374" i="3"/>
  <c r="A1375" i="3"/>
  <c r="A1378" i="3"/>
  <c r="A1383" i="3"/>
  <c r="A1386" i="3"/>
  <c r="A1391" i="3"/>
  <c r="A1395" i="3"/>
  <c r="A1398" i="3"/>
  <c r="A1399" i="3"/>
  <c r="A1406" i="3"/>
  <c r="A1407" i="3"/>
  <c r="A1410" i="3"/>
  <c r="A1411" i="3"/>
  <c r="A1414" i="3"/>
  <c r="A1415" i="3"/>
  <c r="A1418" i="3"/>
  <c r="A1423" i="3"/>
  <c r="A1424" i="3"/>
  <c r="A1425" i="3"/>
  <c r="A1431" i="3"/>
  <c r="A1434" i="3"/>
  <c r="A1435" i="3"/>
  <c r="A1439" i="3"/>
  <c r="A1440" i="3"/>
  <c r="A1441" i="3"/>
  <c r="A1442" i="3"/>
  <c r="A1447" i="3"/>
  <c r="A1450" i="3"/>
  <c r="A1451" i="3"/>
  <c r="A1455" i="3"/>
  <c r="A1457" i="3"/>
  <c r="A1462" i="3"/>
  <c r="A1463" i="3"/>
  <c r="A1464" i="3"/>
  <c r="A1466" i="3"/>
  <c r="A1470" i="3"/>
  <c r="A1471" i="3"/>
  <c r="A1474" i="3"/>
  <c r="A1478" i="3"/>
  <c r="A1479" i="3"/>
  <c r="A1482" i="3"/>
  <c r="A1483" i="3"/>
  <c r="A1486" i="3"/>
  <c r="A1487" i="3"/>
  <c r="A1488" i="3"/>
  <c r="A1490" i="3"/>
  <c r="A1494" i="3"/>
  <c r="A1495" i="3"/>
  <c r="A1499" i="3"/>
  <c r="A1502" i="3"/>
  <c r="A1503" i="3"/>
  <c r="A1506" i="3"/>
  <c r="A1510" i="3"/>
  <c r="A1511" i="3"/>
  <c r="A1515" i="3"/>
  <c r="A1519" i="3"/>
  <c r="A1523" i="3"/>
  <c r="A1526" i="3"/>
  <c r="A1527" i="3"/>
  <c r="A1530" i="3"/>
  <c r="A1534" i="3"/>
  <c r="A1535" i="3"/>
  <c r="A1539" i="3"/>
  <c r="A1542" i="3"/>
  <c r="A1543" i="3"/>
  <c r="A1546" i="3"/>
  <c r="A1550" i="3"/>
  <c r="A1551" i="3"/>
  <c r="A1554" i="3"/>
  <c r="A1558" i="3"/>
  <c r="A1559" i="3"/>
  <c r="A1566" i="3"/>
  <c r="A1567" i="3"/>
  <c r="A1570" i="3"/>
  <c r="A1578" i="3"/>
  <c r="A1579" i="3"/>
  <c r="A1583" i="3"/>
  <c r="A1586" i="3"/>
  <c r="A1590" i="3"/>
  <c r="A1591" i="3"/>
  <c r="A1598" i="3"/>
  <c r="A1599" i="3"/>
  <c r="A1602" i="3"/>
  <c r="A1606" i="3"/>
  <c r="A1607" i="3"/>
  <c r="A1610" i="3"/>
  <c r="A1614" i="3"/>
  <c r="A1615" i="3"/>
  <c r="A1618" i="3"/>
  <c r="A1622" i="3"/>
  <c r="A1623" i="3"/>
  <c r="A1624" i="3"/>
  <c r="A1630" i="3"/>
  <c r="A1631" i="3"/>
  <c r="A1634" i="3"/>
  <c r="A1635" i="3"/>
  <c r="A1638" i="3"/>
  <c r="A1639" i="3"/>
  <c r="A1642" i="3"/>
  <c r="A1646" i="3"/>
  <c r="A1647" i="3"/>
  <c r="A1650" i="3"/>
  <c r="A1651" i="3"/>
  <c r="A1654" i="3"/>
  <c r="A1655" i="3"/>
  <c r="A1658" i="3"/>
  <c r="A1662" i="3"/>
  <c r="A1663" i="3"/>
  <c r="A1667" i="3"/>
  <c r="A1670" i="3"/>
  <c r="A1671" i="3"/>
  <c r="A1672" i="3"/>
  <c r="A1674" i="3"/>
  <c r="A1678" i="3"/>
  <c r="A1679" i="3"/>
  <c r="A1681" i="3"/>
  <c r="A1682" i="3"/>
  <c r="A1684" i="3"/>
  <c r="A1686" i="3"/>
  <c r="A1687" i="3"/>
  <c r="A1690" i="3"/>
  <c r="A1691" i="3"/>
  <c r="A1695" i="3"/>
  <c r="A1696" i="3"/>
  <c r="A1698" i="3"/>
  <c r="A1703" i="3"/>
  <c r="A1706" i="3"/>
  <c r="A1711" i="3"/>
  <c r="A1714" i="3"/>
  <c r="A1715" i="3"/>
  <c r="A1719" i="3"/>
  <c r="A1726" i="3"/>
  <c r="A1730" i="3"/>
  <c r="A1734" i="3"/>
  <c r="A1735" i="3"/>
  <c r="A1736" i="3"/>
  <c r="A1737" i="3"/>
  <c r="A1742" i="3"/>
  <c r="A1743" i="3"/>
  <c r="A1746" i="3"/>
  <c r="A1747" i="3"/>
  <c r="A1750" i="3"/>
  <c r="A1751" i="3"/>
  <c r="A1754" i="3"/>
  <c r="A1758" i="3"/>
  <c r="A1759" i="3"/>
  <c r="A1762" i="3"/>
  <c r="A1766" i="3"/>
  <c r="A1767" i="3"/>
  <c r="A1771" i="3"/>
  <c r="A1774" i="3"/>
  <c r="A1775" i="3"/>
  <c r="A1778" i="3"/>
  <c r="A1782" i="3"/>
  <c r="A1783" i="3"/>
  <c r="A1784" i="3"/>
  <c r="A1786" i="3"/>
  <c r="A1790" i="3"/>
  <c r="A1791" i="3"/>
  <c r="A1794" i="3"/>
  <c r="A1798" i="3"/>
  <c r="A1799" i="3"/>
  <c r="A1806" i="3"/>
  <c r="A1807" i="3"/>
  <c r="A1808" i="3"/>
  <c r="A1810" i="3"/>
  <c r="A1814" i="3"/>
  <c r="A1815" i="3"/>
  <c r="A1818" i="3"/>
  <c r="A1819" i="3"/>
  <c r="A1823" i="3"/>
  <c r="A1826" i="3"/>
  <c r="A1831" i="3"/>
  <c r="A1839" i="3"/>
  <c r="A1843" i="3"/>
  <c r="A1847" i="3"/>
  <c r="A1850" i="3"/>
  <c r="A1855" i="3"/>
  <c r="A1857" i="3"/>
  <c r="A1860" i="3"/>
  <c r="A1863" i="3"/>
  <c r="A1866" i="3"/>
  <c r="A1867" i="3"/>
  <c r="A1870" i="3"/>
  <c r="A1871" i="3"/>
  <c r="A1873" i="3"/>
  <c r="A1878" i="3"/>
  <c r="A1879" i="3"/>
  <c r="A1880" i="3"/>
  <c r="A1882" i="3"/>
  <c r="A1883" i="3"/>
  <c r="A1886" i="3"/>
  <c r="A1887" i="3"/>
  <c r="A1890" i="3"/>
  <c r="A1894" i="3"/>
  <c r="A1895" i="3"/>
  <c r="A1898" i="3"/>
  <c r="A1902" i="3"/>
  <c r="A1903" i="3"/>
  <c r="A1904" i="3"/>
  <c r="A1906" i="3"/>
  <c r="A1910" i="3"/>
  <c r="A1911" i="3"/>
  <c r="A1915" i="3"/>
  <c r="A1918" i="3"/>
  <c r="A1919" i="3"/>
  <c r="A1922" i="3"/>
  <c r="A1926" i="3"/>
  <c r="A1927" i="3"/>
  <c r="A1928" i="3"/>
  <c r="A1931" i="3"/>
  <c r="A1934" i="3"/>
  <c r="A1935" i="3"/>
  <c r="A1942" i="3"/>
  <c r="A1943" i="3"/>
  <c r="A1946" i="3"/>
  <c r="A1947" i="3"/>
  <c r="A1950" i="3"/>
  <c r="A1951" i="3"/>
  <c r="A1952" i="3"/>
  <c r="A1954" i="3"/>
  <c r="A1958" i="3"/>
  <c r="A1959" i="3"/>
  <c r="A1962" i="3"/>
  <c r="A1963" i="3"/>
  <c r="A1966" i="3"/>
  <c r="A1967" i="3"/>
  <c r="A1970" i="3"/>
  <c r="A1974" i="3"/>
  <c r="A1975" i="3"/>
  <c r="A1976" i="3"/>
  <c r="A1978" i="3"/>
  <c r="A1979" i="3"/>
  <c r="A1982" i="3"/>
  <c r="A1983" i="3"/>
  <c r="A1990" i="3"/>
  <c r="A1991" i="3"/>
  <c r="A1994" i="3"/>
  <c r="A1995" i="3"/>
  <c r="A1998" i="3"/>
  <c r="A1999" i="3"/>
  <c r="A2002" i="3"/>
  <c r="A2006" i="3"/>
  <c r="A2010" i="3"/>
  <c r="A2011" i="3"/>
  <c r="A2014" i="3"/>
  <c r="A2015" i="3"/>
  <c r="A2017" i="3"/>
  <c r="A2018" i="3"/>
  <c r="A2023" i="3"/>
  <c r="A2026" i="3"/>
  <c r="A2027" i="3"/>
  <c r="A2031" i="3"/>
  <c r="A2033" i="3"/>
  <c r="A2038" i="3"/>
  <c r="A2039" i="3"/>
  <c r="A2046" i="3"/>
  <c r="A2047" i="3"/>
  <c r="A2050" i="3"/>
  <c r="A2051" i="3"/>
  <c r="A2054" i="3"/>
  <c r="A2055" i="3"/>
  <c r="A2058" i="3"/>
  <c r="A2062" i="3"/>
  <c r="A2063" i="3"/>
  <c r="A2064" i="3"/>
  <c r="A2067" i="3"/>
  <c r="A2070" i="3"/>
  <c r="A2071" i="3"/>
  <c r="A2074" i="3"/>
  <c r="A2078" i="3"/>
  <c r="A2079" i="3"/>
  <c r="A2082" i="3"/>
  <c r="A2083" i="3"/>
  <c r="A2086" i="3"/>
  <c r="A2087" i="3"/>
  <c r="A2089" i="3"/>
  <c r="A2090" i="3"/>
  <c r="A2094" i="3"/>
  <c r="A2095" i="3"/>
  <c r="A2096" i="3"/>
  <c r="A2102" i="3"/>
  <c r="A2103" i="3"/>
  <c r="A2106" i="3"/>
  <c r="A2110" i="3"/>
  <c r="A2111" i="3"/>
  <c r="A2115" i="3"/>
  <c r="A2118" i="3"/>
  <c r="A2119" i="3"/>
  <c r="A2122" i="3"/>
  <c r="A2126" i="3"/>
  <c r="A2127" i="3"/>
  <c r="A2130" i="3"/>
  <c r="A2131" i="3"/>
  <c r="A2134" i="3"/>
  <c r="A2135" i="3"/>
  <c r="A2138" i="3"/>
  <c r="A2142" i="3"/>
  <c r="A2143" i="3"/>
  <c r="A2146" i="3"/>
  <c r="A2147" i="3"/>
  <c r="A2150" i="3"/>
  <c r="A2151" i="3"/>
  <c r="A2158" i="3"/>
  <c r="A2159" i="3"/>
  <c r="A2162" i="3"/>
  <c r="A2166" i="3"/>
  <c r="A2167" i="3"/>
  <c r="A2168" i="3"/>
  <c r="A2171" i="3"/>
  <c r="A2174" i="3"/>
  <c r="A2175" i="3"/>
  <c r="A2178" i="3"/>
  <c r="A2182" i="3"/>
  <c r="A2183" i="3"/>
  <c r="A2185" i="3"/>
  <c r="A2186" i="3"/>
  <c r="A2190" i="3"/>
  <c r="A2191" i="3"/>
  <c r="A2192" i="3"/>
  <c r="A2194" i="3"/>
  <c r="A2195" i="3"/>
  <c r="A2198" i="3"/>
  <c r="A2199" i="3"/>
  <c r="A2202" i="3"/>
  <c r="A2206" i="3"/>
  <c r="A2207" i="3"/>
  <c r="A2209" i="3"/>
  <c r="A2211" i="3"/>
  <c r="A2214" i="3"/>
  <c r="A2215" i="3"/>
  <c r="A2218" i="3"/>
  <c r="A2222" i="3"/>
  <c r="A2223" i="3"/>
  <c r="A2230" i="3"/>
  <c r="A2231" i="3"/>
  <c r="A2234" i="3"/>
  <c r="A2238" i="3"/>
  <c r="A2239" i="3"/>
  <c r="A2242" i="3"/>
  <c r="A2246" i="3"/>
  <c r="A2247" i="3"/>
  <c r="A2254" i="3"/>
  <c r="A2255" i="3"/>
  <c r="A2256" i="3"/>
  <c r="A2263" i="3"/>
  <c r="A2266" i="3"/>
  <c r="A2271" i="3"/>
  <c r="A2272" i="3"/>
  <c r="A2274" i="3"/>
  <c r="A2279" i="3"/>
  <c r="A2282" i="3"/>
  <c r="A2286" i="3"/>
  <c r="A2287" i="3"/>
  <c r="A2290" i="3"/>
  <c r="A2291" i="3"/>
  <c r="A2295" i="3"/>
  <c r="A2302" i="3"/>
  <c r="A2303" i="3"/>
  <c r="A2306" i="3"/>
  <c r="A2310" i="3"/>
  <c r="A2311" i="3"/>
  <c r="A2315" i="3"/>
  <c r="A2318" i="3"/>
  <c r="A2319" i="3"/>
  <c r="A2322" i="3"/>
  <c r="A2327" i="3"/>
  <c r="A2330" i="3"/>
  <c r="A2331" i="3"/>
  <c r="A2335" i="3"/>
  <c r="A2338" i="3"/>
  <c r="A2342" i="3"/>
  <c r="A2343" i="3"/>
  <c r="A2346" i="3"/>
  <c r="A2350" i="3"/>
  <c r="A2351" i="3"/>
  <c r="A2354" i="3"/>
  <c r="A2358" i="3"/>
  <c r="A2359" i="3"/>
  <c r="A2360" i="3"/>
  <c r="A2366" i="3"/>
  <c r="A2367" i="3"/>
  <c r="A2370" i="3"/>
  <c r="A2374" i="3"/>
  <c r="A2375" i="3"/>
  <c r="A2378" i="3"/>
  <c r="A2383" i="3"/>
  <c r="A2384" i="3"/>
  <c r="A2385" i="3"/>
  <c r="A2386" i="3"/>
  <c r="A2391" i="3"/>
  <c r="A2394" i="3"/>
  <c r="A2399" i="3"/>
  <c r="A2400" i="3"/>
  <c r="A2401" i="3"/>
  <c r="A2402" i="3"/>
  <c r="A2406" i="3"/>
  <c r="A2407" i="3"/>
  <c r="A2410" i="3"/>
  <c r="A2414" i="3"/>
  <c r="A2415" i="3"/>
  <c r="A2419" i="3"/>
  <c r="A2422" i="3"/>
  <c r="A2423" i="3"/>
  <c r="A2426" i="3"/>
  <c r="A2431" i="3"/>
  <c r="A2434" i="3"/>
  <c r="A2435" i="3"/>
  <c r="A2438" i="3"/>
  <c r="A2439" i="3"/>
  <c r="A2442" i="3"/>
  <c r="A2446" i="3"/>
  <c r="A2447" i="3"/>
  <c r="A2448" i="3"/>
  <c r="A2450" i="3"/>
  <c r="A2454" i="3"/>
  <c r="A2455" i="3"/>
  <c r="A2458" i="3"/>
  <c r="A2462" i="3"/>
  <c r="A2463" i="3"/>
  <c r="A2466" i="3"/>
  <c r="A2467" i="3"/>
  <c r="A2470" i="3"/>
  <c r="A2471" i="3"/>
  <c r="A2472" i="3"/>
  <c r="A2474" i="3"/>
  <c r="A2478" i="3"/>
  <c r="A2479" i="3"/>
  <c r="A2482" i="3"/>
  <c r="A2483" i="3"/>
  <c r="A2487" i="3"/>
  <c r="A2490" i="3"/>
  <c r="A2495" i="3"/>
  <c r="A2496" i="3"/>
  <c r="A2498" i="3"/>
  <c r="A2499" i="3"/>
  <c r="A2502" i="3"/>
  <c r="A2503" i="3"/>
  <c r="A2506" i="3"/>
  <c r="A2510" i="3"/>
  <c r="A2511" i="3"/>
  <c r="A2515" i="3"/>
  <c r="A2518" i="3"/>
  <c r="A2519" i="3"/>
  <c r="A2520" i="3"/>
  <c r="A2522" i="3"/>
  <c r="A2526" i="3"/>
  <c r="A2527" i="3"/>
  <c r="A2530" i="3"/>
  <c r="A2531" i="3"/>
  <c r="A2535" i="3"/>
  <c r="A2538" i="3"/>
  <c r="A2543" i="3"/>
  <c r="A2546" i="3"/>
  <c r="A2551" i="3"/>
  <c r="A2554" i="3"/>
  <c r="A2555" i="3"/>
  <c r="A2559" i="3"/>
  <c r="A2562" i="3"/>
  <c r="A2567" i="3"/>
  <c r="A2570" i="3"/>
  <c r="A2575" i="3"/>
  <c r="A2576" i="3"/>
  <c r="A2578" i="3"/>
  <c r="A2582" i="3"/>
  <c r="A2583" i="3"/>
  <c r="A2586" i="3"/>
  <c r="A2590" i="3"/>
  <c r="A2591" i="3"/>
  <c r="A2593" i="3"/>
  <c r="A2594" i="3"/>
  <c r="A2599" i="3"/>
  <c r="A2600" i="3"/>
  <c r="A2602" i="3"/>
  <c r="A2603" i="3"/>
  <c r="A2607" i="3"/>
  <c r="A2611" i="3"/>
  <c r="A2615" i="3"/>
  <c r="A2618" i="3"/>
  <c r="A2623" i="3"/>
  <c r="A2631" i="3"/>
  <c r="A2632" i="3"/>
  <c r="A2634" i="3"/>
  <c r="A2635" i="3"/>
  <c r="A2639" i="3"/>
  <c r="A2642" i="3"/>
  <c r="A2647" i="3"/>
  <c r="A2650" i="3"/>
  <c r="A2655" i="3"/>
  <c r="A2658" i="3"/>
  <c r="A2659" i="3"/>
  <c r="A2663" i="3"/>
  <c r="A2670" i="3"/>
  <c r="A2671" i="3"/>
  <c r="A2672" i="3"/>
  <c r="A2674" i="3"/>
  <c r="A2675" i="3"/>
  <c r="A2679" i="3"/>
  <c r="A2682" i="3"/>
  <c r="A2686" i="3"/>
  <c r="A2687" i="3"/>
  <c r="A2694" i="3"/>
  <c r="A2695" i="3"/>
  <c r="A2696" i="3"/>
  <c r="A2698" i="3"/>
  <c r="A2702" i="3"/>
  <c r="A2703" i="3"/>
  <c r="A2705" i="3"/>
  <c r="A2706" i="3"/>
  <c r="A2707" i="3"/>
  <c r="A2710" i="3"/>
  <c r="A2711" i="3"/>
  <c r="A2718" i="3"/>
  <c r="A2719" i="3"/>
  <c r="A2722" i="3"/>
  <c r="A2726" i="3"/>
  <c r="A2727" i="3"/>
  <c r="A2730" i="3"/>
  <c r="A2734" i="3"/>
  <c r="A2735" i="3"/>
  <c r="A2738" i="3"/>
  <c r="A2742" i="3"/>
  <c r="A2743" i="3"/>
  <c r="A2746" i="3"/>
  <c r="A2747" i="3"/>
  <c r="A2751" i="3"/>
  <c r="A2754" i="3"/>
  <c r="A2758" i="3"/>
  <c r="A2759" i="3"/>
  <c r="A2760" i="3"/>
  <c r="A2762" i="3"/>
  <c r="A2766" i="3"/>
  <c r="A2767" i="3"/>
  <c r="A2770" i="3"/>
  <c r="A2774" i="3"/>
  <c r="A2778" i="3"/>
  <c r="A2782" i="3"/>
  <c r="A2783" i="3"/>
  <c r="A2784" i="3"/>
  <c r="A2786" i="3"/>
  <c r="A2790" i="3"/>
  <c r="A2791" i="3"/>
  <c r="A2795" i="3"/>
  <c r="A2798" i="3"/>
  <c r="A2799" i="3"/>
  <c r="A2801" i="3"/>
  <c r="A2802" i="3"/>
  <c r="A2806" i="3"/>
  <c r="A2807" i="3"/>
  <c r="A2810" i="3"/>
  <c r="A2811" i="3"/>
  <c r="A2814" i="3"/>
  <c r="A2817" i="3"/>
  <c r="A2818" i="3"/>
  <c r="A2823" i="3"/>
  <c r="A2824" i="3"/>
  <c r="A2830" i="3"/>
  <c r="A2831" i="3"/>
  <c r="A2834" i="3"/>
  <c r="A2838" i="3"/>
  <c r="A2839" i="3"/>
  <c r="A4" i="3"/>
  <c r="A30" i="3"/>
  <c r="A38" i="3"/>
  <c r="A46" i="3"/>
  <c r="A59" i="3"/>
  <c r="A174" i="3"/>
  <c r="A190" i="3"/>
  <c r="A219" i="3"/>
  <c r="A262" i="3"/>
  <c r="A270" i="3"/>
  <c r="A278" i="3"/>
  <c r="A286" i="3"/>
  <c r="A294" i="3"/>
  <c r="A302" i="3"/>
  <c r="A406" i="3"/>
  <c r="A411" i="3"/>
  <c r="A414" i="3"/>
  <c r="A415" i="3"/>
  <c r="A446" i="3"/>
  <c r="A454" i="3"/>
  <c r="A555" i="3"/>
  <c r="A566" i="3"/>
  <c r="A582" i="3"/>
  <c r="A590" i="3"/>
  <c r="A662" i="3"/>
  <c r="A670" i="3"/>
  <c r="A726" i="3"/>
  <c r="A758" i="3"/>
  <c r="A811" i="3"/>
  <c r="A827" i="3"/>
  <c r="A886" i="3"/>
  <c r="A894" i="3"/>
  <c r="A902" i="3"/>
  <c r="A910" i="3"/>
  <c r="A918" i="3"/>
  <c r="A926" i="3"/>
  <c r="A934" i="3"/>
  <c r="A964" i="3"/>
  <c r="A971" i="3"/>
  <c r="A1006" i="3"/>
  <c r="A1022" i="3"/>
  <c r="A1030" i="3"/>
  <c r="A1038" i="3"/>
  <c r="A1094" i="3"/>
  <c r="A1102" i="3"/>
  <c r="A1110" i="3"/>
  <c r="A1118" i="3"/>
  <c r="A1126" i="3"/>
  <c r="A1167" i="3"/>
  <c r="A1206" i="3"/>
  <c r="A1239" i="3"/>
  <c r="A1268" i="3"/>
  <c r="A1318" i="3"/>
  <c r="A1326" i="3"/>
  <c r="A1334" i="3"/>
  <c r="A1342" i="3"/>
  <c r="A1382" i="3"/>
  <c r="A1384" i="3"/>
  <c r="A1390" i="3"/>
  <c r="A1419" i="3"/>
  <c r="A1422" i="3"/>
  <c r="A1430" i="3"/>
  <c r="A1438" i="3"/>
  <c r="A1446" i="3"/>
  <c r="A1454" i="3"/>
  <c r="A1467" i="3"/>
  <c r="A1518" i="3"/>
  <c r="A1555" i="3"/>
  <c r="A1574" i="3"/>
  <c r="A1582" i="3"/>
  <c r="A1640" i="3"/>
  <c r="A1694" i="3"/>
  <c r="A1702" i="3"/>
  <c r="A1710" i="3"/>
  <c r="A1718" i="3"/>
  <c r="A1727" i="3"/>
  <c r="A1822" i="3"/>
  <c r="A1830" i="3"/>
  <c r="A1838" i="3"/>
  <c r="A1846" i="3"/>
  <c r="A1851" i="3"/>
  <c r="A1854" i="3"/>
  <c r="A1862" i="3"/>
  <c r="A2007" i="3"/>
  <c r="A2022" i="3"/>
  <c r="A2030" i="3"/>
  <c r="A2043" i="3"/>
  <c r="A2056" i="3"/>
  <c r="A2099" i="3"/>
  <c r="A2262" i="3"/>
  <c r="A2270" i="3"/>
  <c r="A2278" i="3"/>
  <c r="A2294" i="3"/>
  <c r="A2307" i="3"/>
  <c r="A2326" i="3"/>
  <c r="A2334" i="3"/>
  <c r="A2382" i="3"/>
  <c r="A2390" i="3"/>
  <c r="A2398" i="3"/>
  <c r="A2430" i="3"/>
  <c r="A2451" i="3"/>
  <c r="A2486" i="3"/>
  <c r="A2494" i="3"/>
  <c r="A2534" i="3"/>
  <c r="A2542" i="3"/>
  <c r="A2550" i="3"/>
  <c r="A2558" i="3"/>
  <c r="A2566" i="3"/>
  <c r="A2571" i="3"/>
  <c r="A2574" i="3"/>
  <c r="A2592" i="3"/>
  <c r="A2598" i="3"/>
  <c r="A2606" i="3"/>
  <c r="A2614" i="3"/>
  <c r="A2619" i="3"/>
  <c r="A2622" i="3"/>
  <c r="A2627" i="3"/>
  <c r="A2630" i="3"/>
  <c r="A2638" i="3"/>
  <c r="A2646" i="3"/>
  <c r="A2654" i="3"/>
  <c r="A2662" i="3"/>
  <c r="A2678" i="3"/>
  <c r="A2699" i="3"/>
  <c r="A2731" i="3"/>
  <c r="A2736" i="3"/>
  <c r="A2750" i="3"/>
  <c r="A2815" i="3"/>
  <c r="A2822" i="3"/>
  <c r="A32" i="3"/>
  <c r="A224" i="3"/>
  <c r="A456" i="3"/>
  <c r="A503" i="3"/>
  <c r="A571" i="3"/>
  <c r="A766" i="3"/>
  <c r="A792" i="3"/>
  <c r="A1064" i="3"/>
  <c r="A1088" i="3"/>
  <c r="A1179" i="3"/>
  <c r="A1227" i="3"/>
  <c r="A1288" i="3"/>
  <c r="A1296" i="3"/>
  <c r="A1575" i="3"/>
  <c r="A1760" i="3"/>
  <c r="A2040" i="3"/>
  <c r="A2144" i="3"/>
  <c r="A2339" i="3"/>
  <c r="A2544" i="3"/>
  <c r="A2560" i="3"/>
  <c r="K775" i="15" l="1"/>
  <c r="K715" i="15"/>
  <c r="K657" i="15"/>
  <c r="K606" i="15"/>
  <c r="K556" i="15"/>
  <c r="K89" i="15"/>
  <c r="K640" i="15"/>
  <c r="K552" i="15"/>
  <c r="K12" i="15"/>
  <c r="K32" i="15"/>
  <c r="K659" i="15"/>
  <c r="K424" i="15"/>
  <c r="K607" i="15"/>
  <c r="K718" i="15"/>
  <c r="K668" i="15"/>
  <c r="K610" i="15"/>
  <c r="K559" i="15"/>
  <c r="K158" i="15"/>
  <c r="K33" i="15"/>
  <c r="K532" i="15"/>
  <c r="K551" i="15"/>
  <c r="K529" i="15"/>
  <c r="K592" i="15"/>
  <c r="K200" i="15"/>
  <c r="K752" i="15"/>
  <c r="K692" i="15"/>
  <c r="K633" i="15"/>
  <c r="K580" i="15"/>
  <c r="K441" i="15"/>
  <c r="K256" i="15"/>
  <c r="K216" i="15"/>
  <c r="K342" i="15"/>
  <c r="K271" i="15"/>
  <c r="K527" i="15"/>
  <c r="K209" i="15"/>
  <c r="K734" i="15"/>
  <c r="K670" i="15"/>
  <c r="K612" i="15"/>
  <c r="K561" i="15"/>
  <c r="K181" i="15"/>
  <c r="K59" i="15"/>
  <c r="K766" i="15"/>
  <c r="K531" i="15"/>
  <c r="K596" i="15"/>
  <c r="K660" i="15"/>
  <c r="K237" i="15"/>
  <c r="K762" i="15"/>
  <c r="K711" i="15"/>
  <c r="K653" i="15"/>
  <c r="K602" i="15"/>
  <c r="K709" i="15"/>
  <c r="K60" i="15"/>
  <c r="K439" i="15"/>
  <c r="K745" i="15"/>
  <c r="K617" i="15"/>
  <c r="K106" i="15"/>
  <c r="K45" i="15"/>
  <c r="K774" i="15"/>
  <c r="K714" i="15"/>
  <c r="K656" i="15"/>
  <c r="K605" i="15"/>
  <c r="K555" i="15"/>
  <c r="K149" i="15"/>
  <c r="K619" i="15"/>
  <c r="K706" i="15"/>
  <c r="K744" i="15"/>
  <c r="K322" i="15"/>
  <c r="K492" i="15"/>
  <c r="K58" i="15"/>
  <c r="K748" i="15"/>
  <c r="K688" i="15"/>
  <c r="K629" i="15"/>
  <c r="K575" i="15"/>
  <c r="K344" i="15"/>
  <c r="K203" i="15"/>
  <c r="K164" i="15"/>
  <c r="K254" i="15"/>
  <c r="K178" i="15"/>
  <c r="K30" i="15"/>
  <c r="K425" i="15"/>
  <c r="K729" i="15"/>
  <c r="K716" i="15"/>
  <c r="K666" i="15"/>
  <c r="K608" i="15"/>
  <c r="K557" i="15"/>
  <c r="K72" i="15"/>
  <c r="K684" i="15"/>
  <c r="K567" i="15"/>
  <c r="K661" i="15"/>
  <c r="K429" i="15"/>
  <c r="K46" i="15"/>
  <c r="K143" i="15"/>
  <c r="K758" i="15"/>
  <c r="K698" i="15"/>
  <c r="K648" i="15"/>
  <c r="K586" i="15"/>
  <c r="K747" i="15"/>
  <c r="K458" i="15"/>
  <c r="K343" i="15"/>
  <c r="K499" i="15"/>
  <c r="K402" i="15"/>
  <c r="K428" i="15"/>
  <c r="K637" i="15"/>
  <c r="K761" i="15"/>
  <c r="K710" i="15"/>
  <c r="K652" i="15"/>
  <c r="K601" i="15"/>
  <c r="K61" i="15"/>
  <c r="K664" i="15"/>
  <c r="K404" i="15"/>
  <c r="K683" i="15"/>
  <c r="K498" i="15"/>
  <c r="K528" i="15"/>
  <c r="K704" i="15"/>
  <c r="K739" i="15"/>
  <c r="K676" i="15"/>
  <c r="K625" i="15"/>
  <c r="K571" i="15"/>
  <c r="K257" i="15"/>
  <c r="K148" i="15"/>
  <c r="K87" i="15"/>
  <c r="K163" i="15"/>
  <c r="K597" i="15"/>
  <c r="K104" i="15"/>
  <c r="K636" i="15"/>
  <c r="K772" i="15"/>
  <c r="K712" i="15"/>
  <c r="K654" i="15"/>
  <c r="K603" i="15"/>
  <c r="K554" i="15"/>
  <c r="K708" i="15"/>
  <c r="K457" i="15"/>
  <c r="K13" i="15"/>
  <c r="K638" i="15"/>
  <c r="K595" i="15"/>
  <c r="K524" i="15"/>
  <c r="K754" i="15"/>
  <c r="K694" i="15"/>
  <c r="K644" i="15"/>
  <c r="K582" i="15"/>
  <c r="K478" i="15"/>
  <c r="K299" i="15"/>
  <c r="K255" i="15"/>
  <c r="K385" i="15"/>
  <c r="K326" i="15"/>
  <c r="K594" i="15"/>
  <c r="K295" i="15"/>
  <c r="K757" i="15"/>
  <c r="K697" i="15"/>
  <c r="K647" i="15"/>
  <c r="K585" i="15"/>
  <c r="K685" i="15"/>
  <c r="K440" i="15"/>
  <c r="K328" i="15"/>
  <c r="K456" i="15"/>
  <c r="K384" i="15"/>
  <c r="K31" i="15"/>
  <c r="K616" i="15"/>
  <c r="K735" i="15"/>
  <c r="K671" i="15"/>
  <c r="K621" i="15"/>
  <c r="K562" i="15"/>
  <c r="K204" i="15"/>
  <c r="K707" i="15"/>
  <c r="K533" i="15"/>
  <c r="K732" i="15"/>
  <c r="K497" i="15"/>
  <c r="K426" i="15"/>
  <c r="K294" i="15"/>
  <c r="K759" i="15"/>
  <c r="K699" i="15"/>
  <c r="K649" i="15"/>
  <c r="K599" i="15"/>
  <c r="K35" i="15"/>
  <c r="K641" i="15"/>
  <c r="K368" i="15"/>
  <c r="K618" i="15"/>
  <c r="K437" i="15"/>
  <c r="K49" i="15"/>
  <c r="K681" i="15"/>
  <c r="K750" i="15"/>
  <c r="K690" i="15"/>
  <c r="K631" i="15"/>
  <c r="K577" i="15"/>
  <c r="K388" i="15"/>
  <c r="K217" i="15"/>
  <c r="K202" i="15"/>
  <c r="K297" i="15"/>
  <c r="K239" i="15"/>
  <c r="K48" i="15"/>
  <c r="K70" i="15"/>
  <c r="K753" i="15"/>
  <c r="K693" i="15"/>
  <c r="K643" i="15"/>
  <c r="K581" i="15"/>
  <c r="K459" i="15"/>
  <c r="K274" i="15"/>
  <c r="K241" i="15"/>
  <c r="K367" i="15"/>
  <c r="K296" i="15"/>
  <c r="K105" i="15"/>
  <c r="K238" i="15"/>
  <c r="K542" i="15"/>
  <c r="K717" i="15"/>
  <c r="K667" i="15"/>
  <c r="K609" i="15"/>
  <c r="K558" i="15"/>
  <c r="K120" i="15"/>
  <c r="K746" i="15"/>
  <c r="K765" i="15"/>
  <c r="K705" i="15"/>
  <c r="K782" i="15"/>
  <c r="K525" i="15"/>
  <c r="K69" i="15"/>
  <c r="K755" i="15"/>
  <c r="K695" i="15"/>
  <c r="K645" i="15"/>
  <c r="K583" i="15"/>
  <c r="K620" i="15"/>
  <c r="K387" i="15"/>
  <c r="K273" i="15"/>
  <c r="K403" i="15"/>
  <c r="K341" i="15"/>
  <c r="K495" i="15"/>
  <c r="K365" i="15"/>
  <c r="K741" i="15"/>
  <c r="K686" i="15"/>
  <c r="K627" i="15"/>
  <c r="K573" i="15"/>
  <c r="K300" i="15"/>
  <c r="K119" i="15"/>
  <c r="K118" i="15"/>
  <c r="K215" i="15"/>
  <c r="K116" i="15"/>
  <c r="K494" i="15"/>
  <c r="K359" i="15"/>
  <c r="K749" i="15"/>
  <c r="K689" i="15"/>
  <c r="K630" i="15"/>
  <c r="K576" i="15"/>
  <c r="K369" i="15"/>
  <c r="K211" i="15"/>
  <c r="K180" i="15"/>
  <c r="K272" i="15"/>
  <c r="K214" i="15"/>
  <c r="K427" i="15"/>
  <c r="K144" i="15"/>
  <c r="K773" i="15"/>
  <c r="K713" i="15"/>
  <c r="K655" i="15"/>
  <c r="K604" i="15"/>
  <c r="K569" i="15"/>
  <c r="K769" i="15"/>
  <c r="K477" i="15"/>
  <c r="K662" i="15"/>
  <c r="K682" i="15"/>
  <c r="K496" i="15"/>
  <c r="K591" i="15"/>
  <c r="K9" i="15"/>
  <c r="K751" i="15"/>
  <c r="K691" i="15"/>
  <c r="K632" i="15"/>
  <c r="K579" i="15"/>
  <c r="K406" i="15"/>
  <c r="K242" i="15"/>
  <c r="K210" i="15"/>
  <c r="K327" i="15"/>
  <c r="K253" i="15"/>
  <c r="K780" i="15"/>
  <c r="K201" i="15"/>
  <c r="K733" i="15"/>
  <c r="K669" i="15"/>
  <c r="K611" i="15"/>
  <c r="K560" i="15"/>
  <c r="K165" i="15"/>
  <c r="K663" i="15"/>
  <c r="K145" i="15"/>
  <c r="K566" i="15"/>
  <c r="K107" i="15"/>
  <c r="K493" i="15"/>
  <c r="K208" i="15"/>
  <c r="K736" i="15"/>
  <c r="K672" i="15"/>
  <c r="K622" i="15"/>
  <c r="K563" i="15"/>
  <c r="K212" i="15"/>
  <c r="K553" i="15"/>
  <c r="K146" i="15"/>
  <c r="K598" i="15"/>
  <c r="K323" i="15"/>
  <c r="K47" i="15"/>
  <c r="K364" i="15"/>
  <c r="K756" i="15"/>
  <c r="K696" i="15"/>
  <c r="K646" i="15"/>
  <c r="K584" i="15"/>
  <c r="K642" i="15"/>
  <c r="K405" i="15"/>
  <c r="K298" i="15"/>
  <c r="K438" i="15"/>
  <c r="K366" i="15"/>
  <c r="K321" i="15"/>
  <c r="K476" i="15"/>
  <c r="K738" i="15"/>
  <c r="K673" i="15"/>
  <c r="K624" i="15"/>
  <c r="K570" i="15"/>
  <c r="K243" i="15"/>
  <c r="K768" i="15"/>
  <c r="K147" i="15"/>
  <c r="K117" i="15"/>
  <c r="K731" i="15"/>
  <c r="K526" i="15"/>
  <c r="K615" i="15"/>
  <c r="K737" i="15"/>
  <c r="K530" i="15"/>
  <c r="K71" i="15"/>
  <c r="K700" i="15"/>
  <c r="K781" i="15"/>
  <c r="K574" i="15"/>
  <c r="K728" i="15"/>
  <c r="K779" i="15"/>
  <c r="K179" i="15"/>
  <c r="K650" i="15"/>
  <c r="K329" i="15"/>
  <c r="K623" i="15"/>
  <c r="K475" i="15"/>
  <c r="K740" i="15"/>
  <c r="K85" i="15"/>
  <c r="K600" i="15"/>
  <c r="K157" i="15"/>
  <c r="K564" i="15"/>
  <c r="K677" i="15"/>
  <c r="K593" i="15"/>
  <c r="K665" i="15"/>
  <c r="K156" i="15"/>
  <c r="K218" i="15"/>
  <c r="K626" i="15"/>
  <c r="K680" i="15"/>
  <c r="K34" i="15"/>
  <c r="K240" i="15"/>
  <c r="K568" i="15"/>
  <c r="K572" i="15"/>
  <c r="K386" i="15"/>
  <c r="K742" i="15"/>
  <c r="K162" i="15"/>
  <c r="K767" i="15"/>
  <c r="K275" i="15"/>
  <c r="K639" i="15"/>
  <c r="K687" i="15"/>
  <c r="K320" i="15"/>
  <c r="K86" i="15"/>
  <c r="K88" i="15"/>
  <c r="K760" i="15"/>
  <c r="K455" i="15"/>
  <c r="K628" i="15"/>
  <c r="K703" i="15"/>
  <c r="K360" i="15"/>
  <c r="K722" i="15"/>
  <c r="K132" i="15"/>
  <c r="K289" i="15"/>
  <c r="K678" i="15"/>
  <c r="K435" i="15"/>
  <c r="K509" i="15"/>
  <c r="K550" i="15"/>
  <c r="K472" i="15"/>
  <c r="K400" i="15"/>
  <c r="K535" i="15"/>
  <c r="K128" i="15"/>
  <c r="K260" i="15"/>
  <c r="K361" i="15"/>
  <c r="K173" i="15"/>
  <c r="K90" i="15"/>
  <c r="K357" i="15"/>
  <c r="K303" i="15"/>
  <c r="K197" i="15"/>
  <c r="K635" i="15"/>
  <c r="K284" i="15"/>
  <c r="K411" i="15"/>
  <c r="K587" i="15"/>
  <c r="K486" i="15"/>
  <c r="K338" i="15"/>
  <c r="K730" i="15"/>
  <c r="K490" i="15"/>
  <c r="K466" i="15"/>
  <c r="K175" i="15"/>
  <c r="K110" i="15"/>
  <c r="K332" i="15"/>
  <c r="K307" i="15"/>
  <c r="K244" i="15"/>
  <c r="K374" i="15"/>
  <c r="K6" i="15"/>
  <c r="K423" i="15"/>
  <c r="K431" i="15"/>
  <c r="K174" i="15"/>
  <c r="K446" i="15"/>
  <c r="K111" i="15"/>
  <c r="K123" i="15"/>
  <c r="K348" i="15"/>
  <c r="K131" i="15"/>
  <c r="K317" i="15"/>
  <c r="K223" i="15"/>
  <c r="K453" i="15"/>
  <c r="K160" i="15"/>
  <c r="K771" i="15"/>
  <c r="K503" i="15"/>
  <c r="K422" i="15"/>
  <c r="K37" i="15"/>
  <c r="K249" i="15"/>
  <c r="K185" i="15"/>
  <c r="K372" i="15"/>
  <c r="K336" i="15"/>
  <c r="K349" i="15"/>
  <c r="K18" i="15"/>
  <c r="K319" i="15"/>
  <c r="K293" i="15"/>
  <c r="K770" i="15"/>
  <c r="K412" i="15"/>
  <c r="K505" i="15"/>
  <c r="K356" i="15"/>
  <c r="K183" i="15"/>
  <c r="K100" i="15"/>
  <c r="K333" i="15"/>
  <c r="K42" i="15"/>
  <c r="K363" i="15"/>
  <c r="K454" i="15"/>
  <c r="K391" i="15"/>
  <c r="K719" i="15"/>
  <c r="K351" i="15"/>
  <c r="K534" i="15"/>
  <c r="K127" i="15"/>
  <c r="K263" i="15"/>
  <c r="K401" i="15"/>
  <c r="K176" i="15"/>
  <c r="K79" i="15"/>
  <c r="K679" i="15"/>
  <c r="K512" i="15"/>
  <c r="K311" i="15"/>
  <c r="K777" i="15"/>
  <c r="K483" i="15"/>
  <c r="K395" i="15"/>
  <c r="K26" i="15"/>
  <c r="K155" i="15"/>
  <c r="K511" i="15"/>
  <c r="K108" i="15"/>
  <c r="K113" i="15"/>
  <c r="K21" i="15"/>
  <c r="K93" i="15"/>
  <c r="K233" i="15"/>
  <c r="K450" i="15"/>
  <c r="K52" i="15"/>
  <c r="K305" i="15"/>
  <c r="K15" i="15"/>
  <c r="K142" i="15"/>
  <c r="K282" i="15"/>
  <c r="K415" i="15"/>
  <c r="K448" i="15"/>
  <c r="K122" i="15"/>
  <c r="K125" i="15"/>
  <c r="K339" i="15"/>
  <c r="K130" i="15"/>
  <c r="K227" i="15"/>
  <c r="K225" i="15"/>
  <c r="K444" i="15"/>
  <c r="K137" i="15"/>
  <c r="K537" i="15"/>
  <c r="K539" i="15"/>
  <c r="K229" i="15"/>
  <c r="K36" i="15"/>
  <c r="K292" i="15"/>
  <c r="K167" i="15"/>
  <c r="K17" i="15"/>
  <c r="K474" i="15"/>
  <c r="K416" i="15"/>
  <c r="K206" i="15"/>
  <c r="K325" i="15"/>
  <c r="K268" i="15"/>
  <c r="K470" i="15"/>
  <c r="K138" i="15"/>
  <c r="K14" i="15"/>
  <c r="K177" i="15"/>
  <c r="K335" i="15"/>
  <c r="K519" i="15"/>
  <c r="K614" i="15"/>
  <c r="K467" i="15"/>
  <c r="K390" i="15"/>
  <c r="K701" i="15"/>
  <c r="K353" i="15"/>
  <c r="K764" i="15"/>
  <c r="K40" i="15"/>
  <c r="K266" i="15"/>
  <c r="K188" i="15"/>
  <c r="K154" i="15"/>
  <c r="K64" i="15"/>
  <c r="K92" i="15"/>
  <c r="K228" i="15"/>
  <c r="K270" i="15"/>
  <c r="K91" i="15"/>
  <c r="K261" i="15"/>
  <c r="K189" i="15"/>
  <c r="K491" i="15"/>
  <c r="K324" i="15"/>
  <c r="K172" i="15"/>
  <c r="K62" i="15"/>
  <c r="K508" i="15"/>
  <c r="K20" i="15"/>
  <c r="K720" i="15"/>
  <c r="K207" i="15"/>
  <c r="K232" i="15"/>
  <c r="K449" i="15"/>
  <c r="K51" i="15"/>
  <c r="K346" i="15"/>
  <c r="K723" i="15"/>
  <c r="K133" i="15"/>
  <c r="K290" i="15"/>
  <c r="K743" i="15"/>
  <c r="K442" i="15"/>
  <c r="K121" i="15"/>
  <c r="K510" i="15"/>
  <c r="K330" i="15"/>
  <c r="K83" i="15"/>
  <c r="K193" i="15"/>
  <c r="K432" i="15"/>
  <c r="K316" i="15"/>
  <c r="K236" i="15"/>
  <c r="K419" i="15"/>
  <c r="K8" i="15"/>
  <c r="K141" i="15"/>
  <c r="K50" i="15"/>
  <c r="K520" i="15"/>
  <c r="K194" i="15"/>
  <c r="K398" i="15"/>
  <c r="K500" i="15"/>
  <c r="K251" i="15"/>
  <c r="K516" i="15"/>
  <c r="K318" i="15"/>
  <c r="K267" i="15"/>
  <c r="K484" i="15"/>
  <c r="K393" i="15"/>
  <c r="K27" i="15"/>
  <c r="K161" i="15"/>
  <c r="K515" i="15"/>
  <c r="K276" i="15"/>
  <c r="K220" i="15"/>
  <c r="K461" i="15"/>
  <c r="K355" i="15"/>
  <c r="K140" i="15"/>
  <c r="K375" i="15"/>
  <c r="K362" i="15"/>
  <c r="K468" i="15"/>
  <c r="K726" i="15"/>
  <c r="K540" i="15"/>
  <c r="K259" i="15"/>
  <c r="K613" i="15"/>
  <c r="K417" i="15"/>
  <c r="K76" i="15"/>
  <c r="K501" i="15"/>
  <c r="K409" i="15"/>
  <c r="K373" i="15"/>
  <c r="K84" i="15"/>
  <c r="K383" i="15"/>
  <c r="K66" i="15"/>
  <c r="K523" i="15"/>
  <c r="K19" i="15"/>
  <c r="K518" i="15"/>
  <c r="K199" i="15"/>
  <c r="K231" i="15"/>
  <c r="K413" i="15"/>
  <c r="K80" i="15"/>
  <c r="K345" i="15"/>
  <c r="K235" i="15"/>
  <c r="K291" i="15"/>
  <c r="K264" i="15"/>
  <c r="K464" i="15"/>
  <c r="K159" i="15"/>
  <c r="K11" i="15"/>
  <c r="K269" i="15"/>
  <c r="K399" i="15"/>
  <c r="K504" i="15"/>
  <c r="K306" i="15"/>
  <c r="K283" i="15"/>
  <c r="K224" i="15"/>
  <c r="K463" i="15"/>
  <c r="K376" i="15"/>
  <c r="K548" i="15"/>
  <c r="K114" i="15"/>
  <c r="K521" i="15"/>
  <c r="K41" i="15"/>
  <c r="K190" i="15"/>
  <c r="K196" i="15"/>
  <c r="K152" i="15"/>
  <c r="K65" i="15"/>
  <c r="K724" i="15"/>
  <c r="K103" i="15"/>
  <c r="K10" i="15"/>
  <c r="K205" i="15"/>
  <c r="K169" i="15"/>
  <c r="K101" i="15"/>
  <c r="K112" i="15"/>
  <c r="K57" i="15"/>
  <c r="K281" i="15"/>
  <c r="K485" i="15"/>
  <c r="K420" i="15"/>
  <c r="K337" i="15"/>
  <c r="K331" i="15"/>
  <c r="K565" i="15"/>
  <c r="K469" i="15"/>
  <c r="K151" i="15"/>
  <c r="K56" i="15"/>
  <c r="K379" i="15"/>
  <c r="K547" i="15"/>
  <c r="K258" i="15"/>
  <c r="K487" i="15"/>
  <c r="K434" i="15"/>
  <c r="K78" i="15"/>
  <c r="K352" i="15"/>
  <c r="K380" i="15"/>
  <c r="K230" i="15"/>
  <c r="K590" i="15"/>
  <c r="K436" i="15"/>
  <c r="K168" i="15"/>
  <c r="K74" i="15"/>
  <c r="K702" i="15"/>
  <c r="K488" i="15"/>
  <c r="K313" i="15"/>
  <c r="K43" i="15"/>
  <c r="K479" i="15"/>
  <c r="K394" i="15"/>
  <c r="K522" i="15"/>
  <c r="K221" i="15"/>
  <c r="K135" i="15"/>
  <c r="K16" i="15"/>
  <c r="K589" i="15"/>
  <c r="K129" i="15"/>
  <c r="K248" i="15"/>
  <c r="K182" i="15"/>
  <c r="K134" i="15"/>
  <c r="K99" i="15"/>
  <c r="K536" i="15"/>
  <c r="K312" i="15"/>
  <c r="K277" i="15"/>
  <c r="K226" i="15"/>
  <c r="K462" i="15"/>
  <c r="K370" i="15"/>
  <c r="K763" i="15"/>
  <c r="K22" i="15"/>
  <c r="K94" i="15"/>
  <c r="K234" i="15"/>
  <c r="K451" i="15"/>
  <c r="K53" i="15"/>
  <c r="K301" i="15"/>
  <c r="K23" i="15"/>
  <c r="K288" i="15"/>
  <c r="K445" i="15"/>
  <c r="K513" i="15"/>
  <c r="K314" i="15"/>
  <c r="K81" i="15"/>
  <c r="K310" i="15"/>
  <c r="K482" i="15"/>
  <c r="K389" i="15"/>
  <c r="K25" i="15"/>
  <c r="K252" i="15"/>
  <c r="K309" i="15"/>
  <c r="K334" i="15"/>
  <c r="K549" i="15"/>
  <c r="K471" i="15"/>
  <c r="K139" i="15"/>
  <c r="K651" i="15"/>
  <c r="K377" i="15"/>
  <c r="K546" i="15"/>
  <c r="K262" i="15"/>
  <c r="K473" i="15"/>
  <c r="K433" i="15"/>
  <c r="K102" i="15"/>
  <c r="K354" i="15"/>
  <c r="K315" i="15"/>
  <c r="K29" i="15"/>
  <c r="K222" i="15"/>
  <c r="K184" i="15"/>
  <c r="K115" i="15"/>
  <c r="K489" i="15"/>
  <c r="K675" i="15"/>
  <c r="K544" i="15"/>
  <c r="K286" i="15"/>
  <c r="K514" i="15"/>
  <c r="K287" i="15"/>
  <c r="K578" i="15"/>
  <c r="K447" i="15"/>
  <c r="K55" i="15"/>
  <c r="K98" i="15"/>
  <c r="K725" i="15"/>
  <c r="K82" i="15"/>
  <c r="K7" i="15"/>
  <c r="K250" i="15"/>
  <c r="K170" i="15"/>
  <c r="K97" i="15"/>
  <c r="K191" i="15"/>
  <c r="K358" i="15"/>
  <c r="K340" i="15"/>
  <c r="K410" i="15"/>
  <c r="K63" i="15"/>
  <c r="K517" i="15"/>
  <c r="K541" i="15"/>
  <c r="K28" i="15"/>
  <c r="K171" i="15"/>
  <c r="K347" i="15"/>
  <c r="K778" i="15"/>
  <c r="K39" i="15"/>
  <c r="K247" i="15"/>
  <c r="K187" i="15"/>
  <c r="K397" i="15"/>
  <c r="K73" i="15"/>
  <c r="K136" i="15"/>
  <c r="K279" i="15"/>
  <c r="K588" i="15"/>
  <c r="K721" i="15"/>
  <c r="K481" i="15"/>
  <c r="K382" i="15"/>
  <c r="K24" i="15"/>
  <c r="K124" i="15"/>
  <c r="K4" i="15"/>
  <c r="K245" i="15"/>
  <c r="K443" i="15"/>
  <c r="K407" i="15"/>
  <c r="K776" i="15"/>
  <c r="K192" i="15"/>
  <c r="K502" i="15"/>
  <c r="K304" i="15"/>
  <c r="K195" i="15"/>
  <c r="K68" i="15"/>
  <c r="K378" i="15"/>
  <c r="K418" i="15"/>
  <c r="K109" i="15"/>
  <c r="K285" i="15"/>
  <c r="K95" i="15"/>
  <c r="K150" i="15"/>
  <c r="K452" i="15"/>
  <c r="K54" i="15"/>
  <c r="K302" i="15"/>
  <c r="K538" i="15"/>
  <c r="K126" i="15"/>
  <c r="K265" i="15"/>
  <c r="K634" i="15"/>
  <c r="K414" i="15"/>
  <c r="K77" i="15"/>
  <c r="K381" i="15"/>
  <c r="K213" i="15"/>
  <c r="K545" i="15"/>
  <c r="K727" i="15"/>
  <c r="K198" i="15"/>
  <c r="K507" i="15"/>
  <c r="K280" i="15"/>
  <c r="K219" i="15"/>
  <c r="K460" i="15"/>
  <c r="K166" i="15"/>
  <c r="K430" i="15"/>
  <c r="K5" i="15"/>
  <c r="K44" i="15"/>
  <c r="K38" i="15"/>
  <c r="K246" i="15"/>
  <c r="K186" i="15"/>
  <c r="K396" i="15"/>
  <c r="K75" i="15"/>
  <c r="K371" i="15"/>
  <c r="K278" i="15"/>
  <c r="K308" i="15"/>
  <c r="K674" i="15"/>
  <c r="K480" i="15"/>
  <c r="K392" i="15"/>
  <c r="K408" i="15"/>
  <c r="K506" i="15"/>
  <c r="K96" i="15"/>
  <c r="K67" i="15"/>
  <c r="K543" i="15"/>
  <c r="K421" i="15"/>
  <c r="K465" i="15"/>
  <c r="K153" i="15"/>
  <c r="K658" i="15"/>
  <c r="K350" i="15"/>
  <c r="T1424" i="4"/>
  <c r="T1422" i="4"/>
  <c r="T1425" i="4"/>
  <c r="T1423" i="4"/>
  <c r="T1427" i="4"/>
  <c r="U1427" i="4" s="1"/>
  <c r="T1426" i="4"/>
  <c r="U1426" i="4" s="1"/>
  <c r="T1428" i="4"/>
  <c r="U1428" i="4" s="1"/>
  <c r="T1430" i="4"/>
  <c r="U1430" i="4" s="1"/>
  <c r="T1429" i="4"/>
  <c r="U1429" i="4" s="1"/>
  <c r="G1431" i="4"/>
  <c r="T1431" i="4" s="1"/>
  <c r="U1431" i="4" s="1"/>
  <c r="F1432" i="4"/>
  <c r="G1346" i="4"/>
  <c r="T1346" i="4" s="1"/>
  <c r="U1346" i="4" s="1"/>
  <c r="F1347" i="4"/>
  <c r="T21" i="4"/>
  <c r="T1402" i="4"/>
  <c r="T1407" i="4"/>
  <c r="U1407" i="4" s="1"/>
  <c r="T1406" i="4"/>
  <c r="U1406" i="4" s="1"/>
  <c r="G1408" i="4"/>
  <c r="T1408" i="4" s="1"/>
  <c r="U1408" i="4" s="1"/>
  <c r="F1409" i="4"/>
  <c r="G1403" i="4"/>
  <c r="T1403" i="4" s="1"/>
  <c r="G1066" i="4"/>
  <c r="T1066" i="4" s="1"/>
  <c r="U1066" i="4" s="1"/>
  <c r="G1123" i="4"/>
  <c r="G1083" i="4"/>
  <c r="G926" i="4"/>
  <c r="T926" i="4" s="1"/>
  <c r="U926" i="4" s="1"/>
  <c r="G143" i="4"/>
  <c r="G206" i="4"/>
  <c r="F1027" i="4"/>
  <c r="G1027" i="4" s="1"/>
  <c r="G686" i="4"/>
  <c r="F1187" i="4"/>
  <c r="G1187" i="4" s="1"/>
  <c r="G824" i="4"/>
  <c r="G1266" i="4"/>
  <c r="G306" i="4"/>
  <c r="G1164" i="4"/>
  <c r="G626" i="4"/>
  <c r="G386" i="4"/>
  <c r="G362" i="4"/>
  <c r="T362" i="4" s="1"/>
  <c r="F887" i="4"/>
  <c r="F888" i="4" s="1"/>
  <c r="G846" i="4"/>
  <c r="F688" i="4"/>
  <c r="G688" i="4" s="1"/>
  <c r="G663" i="4"/>
  <c r="G62" i="4"/>
  <c r="G1146" i="4"/>
  <c r="G722" i="4"/>
  <c r="G302" i="4"/>
  <c r="T302" i="4" s="1"/>
  <c r="G1106" i="4"/>
  <c r="T1106" i="4" s="1"/>
  <c r="U1106" i="4" s="1"/>
  <c r="G1004" i="4"/>
  <c r="G806" i="4"/>
  <c r="F169" i="4"/>
  <c r="G169" i="4" s="1"/>
  <c r="G746" i="4"/>
  <c r="G706" i="4"/>
  <c r="G364" i="4"/>
  <c r="G286" i="4"/>
  <c r="T286" i="4" s="1"/>
  <c r="U286" i="4" s="1"/>
  <c r="G986" i="4"/>
  <c r="T986" i="4" s="1"/>
  <c r="U986" i="4" s="1"/>
  <c r="G864" i="4"/>
  <c r="G166" i="4"/>
  <c r="T166" i="4" s="1"/>
  <c r="U166" i="4" s="1"/>
  <c r="F67" i="4"/>
  <c r="F68" i="4" s="1"/>
  <c r="G68" i="4" s="1"/>
  <c r="G943" i="4"/>
  <c r="G346" i="4"/>
  <c r="G126" i="4"/>
  <c r="T126" i="4" s="1"/>
  <c r="U126" i="4" s="1"/>
  <c r="G1363" i="4"/>
  <c r="G1202" i="4"/>
  <c r="T1202" i="4" s="1"/>
  <c r="G642" i="4"/>
  <c r="G603" i="4"/>
  <c r="F668" i="4"/>
  <c r="G668" i="4" s="1"/>
  <c r="G442" i="4"/>
  <c r="G266" i="4"/>
  <c r="T266" i="4" s="1"/>
  <c r="U266" i="4" s="1"/>
  <c r="G1226" i="4"/>
  <c r="G766" i="4"/>
  <c r="G666" i="4"/>
  <c r="G525" i="4"/>
  <c r="F388" i="4"/>
  <c r="G388" i="4" s="1"/>
  <c r="G183" i="4"/>
  <c r="F768" i="4"/>
  <c r="G768" i="4" s="1"/>
  <c r="G767" i="4"/>
  <c r="G1227" i="4"/>
  <c r="F1228" i="4"/>
  <c r="G1228" i="4" s="1"/>
  <c r="G1147" i="4"/>
  <c r="G1148" i="4"/>
  <c r="G987" i="4"/>
  <c r="F988" i="4"/>
  <c r="G988" i="4" s="1"/>
  <c r="F848" i="4"/>
  <c r="G848" i="4" s="1"/>
  <c r="G847" i="4"/>
  <c r="G1107" i="4"/>
  <c r="F1108" i="4"/>
  <c r="F1109" i="4" s="1"/>
  <c r="G1205" i="4"/>
  <c r="G1203" i="4"/>
  <c r="G1267" i="4"/>
  <c r="F1268" i="4"/>
  <c r="G1268" i="4" s="1"/>
  <c r="G1366" i="4"/>
  <c r="T1366" i="4" s="1"/>
  <c r="U1366" i="4" s="1"/>
  <c r="G1342" i="4"/>
  <c r="G1282" i="4"/>
  <c r="T1282" i="4" s="1"/>
  <c r="F928" i="4"/>
  <c r="G744" i="4"/>
  <c r="G404" i="4"/>
  <c r="G167" i="4"/>
  <c r="G142" i="4"/>
  <c r="G102" i="4"/>
  <c r="T102" i="4" s="1"/>
  <c r="F1307" i="4"/>
  <c r="G1307" i="4" s="1"/>
  <c r="G723" i="4"/>
  <c r="G643" i="4"/>
  <c r="G622" i="4"/>
  <c r="T622" i="4" s="1"/>
  <c r="G287" i="4"/>
  <c r="G263" i="4"/>
  <c r="G222" i="4"/>
  <c r="G702" i="4"/>
  <c r="F587" i="4"/>
  <c r="G587" i="4" s="1"/>
  <c r="F567" i="4"/>
  <c r="F507" i="4"/>
  <c r="G484" i="4"/>
  <c r="G402" i="4"/>
  <c r="T402" i="4" s="1"/>
  <c r="F1387" i="4"/>
  <c r="G1387" i="4" s="1"/>
  <c r="G1326" i="4"/>
  <c r="T1326" i="4" s="1"/>
  <c r="U1326" i="4" s="1"/>
  <c r="G202" i="4"/>
  <c r="T202" i="4" s="1"/>
  <c r="F89" i="4"/>
  <c r="G89" i="4" s="1"/>
  <c r="G1302" i="4"/>
  <c r="F1068" i="4"/>
  <c r="G1068" i="4" s="1"/>
  <c r="F809" i="4"/>
  <c r="F748" i="4"/>
  <c r="G748" i="4" s="1"/>
  <c r="F607" i="4"/>
  <c r="F608" i="4" s="1"/>
  <c r="F308" i="4"/>
  <c r="F309" i="4" s="1"/>
  <c r="G285" i="4"/>
  <c r="F209" i="4"/>
  <c r="G209" i="4" s="1"/>
  <c r="G182" i="4"/>
  <c r="G145" i="4"/>
  <c r="F129" i="4"/>
  <c r="G87" i="4"/>
  <c r="G1382" i="4"/>
  <c r="G1323" i="4"/>
  <c r="G807" i="4"/>
  <c r="F268" i="4"/>
  <c r="G226" i="4"/>
  <c r="G127" i="4"/>
  <c r="G86" i="4"/>
  <c r="T86" i="4" s="1"/>
  <c r="U86" i="4" s="1"/>
  <c r="G1383" i="4"/>
  <c r="G1367" i="4"/>
  <c r="F1368" i="4"/>
  <c r="G1343" i="4"/>
  <c r="G1327" i="4"/>
  <c r="F1328" i="4"/>
  <c r="G1303" i="4"/>
  <c r="F1247" i="4"/>
  <c r="G1246" i="4"/>
  <c r="T1246" i="4" s="1"/>
  <c r="U1246" i="4" s="1"/>
  <c r="G983" i="4"/>
  <c r="G1087" i="4"/>
  <c r="F1088" i="4"/>
  <c r="F1287" i="4"/>
  <c r="G1286" i="4"/>
  <c r="T1286" i="4" s="1"/>
  <c r="U1286" i="4" s="1"/>
  <c r="G1222" i="4"/>
  <c r="G1183" i="4"/>
  <c r="G1167" i="4"/>
  <c r="F1168" i="4"/>
  <c r="G1103" i="4"/>
  <c r="G1063" i="4"/>
  <c r="G1047" i="4"/>
  <c r="F1048" i="4"/>
  <c r="G1262" i="4"/>
  <c r="G786" i="4"/>
  <c r="F787" i="4"/>
  <c r="G1143" i="4"/>
  <c r="G1127" i="4"/>
  <c r="T1127" i="4" s="1"/>
  <c r="U1127" i="4" s="1"/>
  <c r="F1128" i="4"/>
  <c r="F647" i="4"/>
  <c r="G646" i="4"/>
  <c r="T646" i="4" s="1"/>
  <c r="U646" i="4" s="1"/>
  <c r="G1023" i="4"/>
  <c r="G1007" i="4"/>
  <c r="F1008" i="4"/>
  <c r="F1207" i="4"/>
  <c r="G1206" i="4"/>
  <c r="G466" i="4"/>
  <c r="T466" i="4" s="1"/>
  <c r="U466" i="4" s="1"/>
  <c r="F467" i="4"/>
  <c r="G1182" i="4"/>
  <c r="G1166" i="4"/>
  <c r="G1142" i="4"/>
  <c r="T1142" i="4" s="1"/>
  <c r="G1126" i="4"/>
  <c r="G1102" i="4"/>
  <c r="T1102" i="4" s="1"/>
  <c r="G1086" i="4"/>
  <c r="G1062" i="4"/>
  <c r="T1062" i="4" s="1"/>
  <c r="G1046" i="4"/>
  <c r="G1022" i="4"/>
  <c r="T1022" i="4" s="1"/>
  <c r="G1006" i="4"/>
  <c r="T1006" i="4" s="1"/>
  <c r="U1006" i="4" s="1"/>
  <c r="G982" i="4"/>
  <c r="T982" i="4" s="1"/>
  <c r="G842" i="4"/>
  <c r="T842" i="4" s="1"/>
  <c r="G762" i="4"/>
  <c r="T762" i="4" s="1"/>
  <c r="G542" i="4"/>
  <c r="G906" i="4"/>
  <c r="F907" i="4"/>
  <c r="G826" i="4"/>
  <c r="T826" i="4" s="1"/>
  <c r="U826" i="4" s="1"/>
  <c r="F827" i="4"/>
  <c r="G802" i="4"/>
  <c r="G724" i="4"/>
  <c r="G725" i="4"/>
  <c r="F967" i="4"/>
  <c r="G682" i="4"/>
  <c r="T682" i="4" s="1"/>
  <c r="G922" i="4"/>
  <c r="G644" i="4"/>
  <c r="G645" i="4"/>
  <c r="F727" i="4"/>
  <c r="G726" i="4"/>
  <c r="T726" i="4" s="1"/>
  <c r="U726" i="4" s="1"/>
  <c r="G526" i="4"/>
  <c r="F527" i="4"/>
  <c r="G946" i="4"/>
  <c r="T946" i="4" s="1"/>
  <c r="U946" i="4" s="1"/>
  <c r="F947" i="4"/>
  <c r="G882" i="4"/>
  <c r="T882" i="4" s="1"/>
  <c r="G866" i="4"/>
  <c r="F867" i="4"/>
  <c r="G486" i="4"/>
  <c r="F487" i="4"/>
  <c r="F708" i="4"/>
  <c r="F628" i="4"/>
  <c r="G546" i="4"/>
  <c r="F547" i="4"/>
  <c r="G742" i="4"/>
  <c r="G662" i="4"/>
  <c r="G562" i="4"/>
  <c r="G462" i="4"/>
  <c r="G665" i="4"/>
  <c r="G502" i="4"/>
  <c r="T502" i="4" s="1"/>
  <c r="G446" i="4"/>
  <c r="T446" i="4" s="1"/>
  <c r="U446" i="4" s="1"/>
  <c r="F447" i="4"/>
  <c r="F427" i="4"/>
  <c r="G426" i="4"/>
  <c r="G242" i="4"/>
  <c r="G103" i="4"/>
  <c r="F348" i="4"/>
  <c r="G326" i="4"/>
  <c r="T326" i="4" s="1"/>
  <c r="U326" i="4" s="1"/>
  <c r="F327" i="4"/>
  <c r="G288" i="4"/>
  <c r="F289" i="4"/>
  <c r="G264" i="4"/>
  <c r="G265" i="4"/>
  <c r="F407" i="4"/>
  <c r="F367" i="4"/>
  <c r="G262" i="4"/>
  <c r="T262" i="4" s="1"/>
  <c r="G227" i="4"/>
  <c r="F228" i="4"/>
  <c r="G207" i="4"/>
  <c r="T207" i="4" s="1"/>
  <c r="U207" i="4" s="1"/>
  <c r="G203" i="4"/>
  <c r="G106" i="4"/>
  <c r="G82" i="4"/>
  <c r="T82" i="4" s="1"/>
  <c r="F248" i="4"/>
  <c r="G225" i="4"/>
  <c r="G107" i="4"/>
  <c r="F108" i="4"/>
  <c r="G83" i="4"/>
  <c r="G282" i="4"/>
  <c r="G186" i="4"/>
  <c r="G162" i="4"/>
  <c r="T162" i="4" s="1"/>
  <c r="G223" i="4"/>
  <c r="G187" i="4"/>
  <c r="F188" i="4"/>
  <c r="G163" i="4"/>
  <c r="G185" i="4"/>
  <c r="G246" i="4"/>
  <c r="G146" i="4"/>
  <c r="T146" i="4" s="1"/>
  <c r="U146" i="4" s="1"/>
  <c r="G122" i="4"/>
  <c r="T122" i="4" s="1"/>
  <c r="G147" i="4"/>
  <c r="F148" i="4"/>
  <c r="G123" i="4"/>
  <c r="E42" i="4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22" i="4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G22" i="4"/>
  <c r="T22" i="4" s="1"/>
  <c r="F26" i="4"/>
  <c r="F27" i="4" s="1"/>
  <c r="G46" i="4"/>
  <c r="T46" i="4" s="1"/>
  <c r="U46" i="4" s="1"/>
  <c r="T66" i="4"/>
  <c r="U66" i="4" s="1"/>
  <c r="T144" i="4"/>
  <c r="T347" i="4"/>
  <c r="U347" i="4" s="1"/>
  <c r="T366" i="4"/>
  <c r="U366" i="4" s="1"/>
  <c r="T422" i="4"/>
  <c r="T506" i="4"/>
  <c r="U506" i="4" s="1"/>
  <c r="T586" i="4"/>
  <c r="U586" i="4" s="1"/>
  <c r="T602" i="4"/>
  <c r="T627" i="4"/>
  <c r="U627" i="4" s="1"/>
  <c r="T782" i="4"/>
  <c r="T902" i="4"/>
  <c r="T942" i="4"/>
  <c r="T962" i="4"/>
  <c r="T1026" i="4"/>
  <c r="U1026" i="4" s="1"/>
  <c r="T1042" i="4"/>
  <c r="T1122" i="4"/>
  <c r="T1162" i="4"/>
  <c r="T1186" i="4"/>
  <c r="U1186" i="4" s="1"/>
  <c r="T1322" i="4"/>
  <c r="T1362" i="4"/>
  <c r="F6" i="4"/>
  <c r="F7" i="4" s="1"/>
  <c r="E3" i="4"/>
  <c r="E4" i="4" s="1"/>
  <c r="E5" i="4" s="1"/>
  <c r="E6" i="4" s="1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2" i="4"/>
  <c r="C1400" i="4"/>
  <c r="C1380" i="4"/>
  <c r="C1360" i="4"/>
  <c r="C1300" i="4"/>
  <c r="C1280" i="4"/>
  <c r="C1260" i="4"/>
  <c r="C1220" i="4"/>
  <c r="C1180" i="4"/>
  <c r="C1160" i="4"/>
  <c r="C1140" i="4"/>
  <c r="C1120" i="4"/>
  <c r="C1100" i="4"/>
  <c r="C1080" i="4"/>
  <c r="C1060" i="4"/>
  <c r="C1040" i="4"/>
  <c r="C1020" i="4"/>
  <c r="C1000" i="4"/>
  <c r="C980" i="4"/>
  <c r="C960" i="4"/>
  <c r="K948" i="4"/>
  <c r="C940" i="4"/>
  <c r="C920" i="4"/>
  <c r="K908" i="4"/>
  <c r="C900" i="4"/>
  <c r="K887" i="4"/>
  <c r="C880" i="4"/>
  <c r="C860" i="4"/>
  <c r="C840" i="4"/>
  <c r="C820" i="4"/>
  <c r="C800" i="4"/>
  <c r="C780" i="4"/>
  <c r="C760" i="4"/>
  <c r="C740" i="4"/>
  <c r="C700" i="4"/>
  <c r="C680" i="4"/>
  <c r="C660" i="4"/>
  <c r="C640" i="4"/>
  <c r="C620" i="4"/>
  <c r="K600" i="4"/>
  <c r="C600" i="4"/>
  <c r="K599" i="4"/>
  <c r="K598" i="4"/>
  <c r="K597" i="4"/>
  <c r="K596" i="4"/>
  <c r="K595" i="4"/>
  <c r="K594" i="4"/>
  <c r="K592" i="4"/>
  <c r="K590" i="4"/>
  <c r="K589" i="4"/>
  <c r="K588" i="4"/>
  <c r="K587" i="4"/>
  <c r="K586" i="4"/>
  <c r="C580" i="4"/>
  <c r="K575" i="4"/>
  <c r="K574" i="4"/>
  <c r="K572" i="4"/>
  <c r="C560" i="4"/>
  <c r="K559" i="4"/>
  <c r="K555" i="4"/>
  <c r="K554" i="4"/>
  <c r="K553" i="4"/>
  <c r="K551" i="4"/>
  <c r="K550" i="4"/>
  <c r="K549" i="4"/>
  <c r="K548" i="4"/>
  <c r="K547" i="4"/>
  <c r="K546" i="4"/>
  <c r="C540" i="4"/>
  <c r="K539" i="4"/>
  <c r="K535" i="4"/>
  <c r="K534" i="4"/>
  <c r="K529" i="4"/>
  <c r="K528" i="4"/>
  <c r="K527" i="4"/>
  <c r="K526" i="4"/>
  <c r="C520" i="4"/>
  <c r="K519" i="4"/>
  <c r="K513" i="4"/>
  <c r="K511" i="4"/>
  <c r="K510" i="4"/>
  <c r="K509" i="4"/>
  <c r="K508" i="4"/>
  <c r="K507" i="4"/>
  <c r="K506" i="4"/>
  <c r="C500" i="4"/>
  <c r="K499" i="4"/>
  <c r="K495" i="4"/>
  <c r="K488" i="4"/>
  <c r="C480" i="4"/>
  <c r="K479" i="4"/>
  <c r="K475" i="4"/>
  <c r="K474" i="4"/>
  <c r="K473" i="4"/>
  <c r="K472" i="4"/>
  <c r="K471" i="4"/>
  <c r="K470" i="4"/>
  <c r="K469" i="4"/>
  <c r="K468" i="4"/>
  <c r="K467" i="4"/>
  <c r="K466" i="4"/>
  <c r="C460" i="4"/>
  <c r="K459" i="4"/>
  <c r="K455" i="4"/>
  <c r="K454" i="4"/>
  <c r="C440" i="4"/>
  <c r="K439" i="4"/>
  <c r="K435" i="4"/>
  <c r="K434" i="4"/>
  <c r="K432" i="4"/>
  <c r="K430" i="4"/>
  <c r="K428" i="4"/>
  <c r="K426" i="4"/>
  <c r="C420" i="4"/>
  <c r="K419" i="4"/>
  <c r="K415" i="4"/>
  <c r="K414" i="4"/>
  <c r="K412" i="4"/>
  <c r="K410" i="4"/>
  <c r="K408" i="4"/>
  <c r="K406" i="4"/>
  <c r="C400" i="4"/>
  <c r="K399" i="4"/>
  <c r="K393" i="4"/>
  <c r="K392" i="4"/>
  <c r="K391" i="4"/>
  <c r="K390" i="4"/>
  <c r="K389" i="4"/>
  <c r="K388" i="4"/>
  <c r="K387" i="4"/>
  <c r="K386" i="4"/>
  <c r="C380" i="4"/>
  <c r="K379" i="4"/>
  <c r="K373" i="4"/>
  <c r="K372" i="4"/>
  <c r="K371" i="4"/>
  <c r="K370" i="4"/>
  <c r="K369" i="4"/>
  <c r="K368" i="4"/>
  <c r="K367" i="4"/>
  <c r="K366" i="4"/>
  <c r="C360" i="4"/>
  <c r="C340" i="4"/>
  <c r="C320" i="4"/>
  <c r="C300" i="4"/>
  <c r="C280" i="4"/>
  <c r="C260" i="4"/>
  <c r="C240" i="4"/>
  <c r="C220" i="4"/>
  <c r="C200" i="4"/>
  <c r="C180" i="4"/>
  <c r="C160" i="4"/>
  <c r="C140" i="4"/>
  <c r="C120" i="4"/>
  <c r="K115" i="4"/>
  <c r="K114" i="4"/>
  <c r="C100" i="4"/>
  <c r="C80" i="4"/>
  <c r="K74" i="4"/>
  <c r="C60" i="4"/>
  <c r="C40" i="4"/>
  <c r="K19" i="4"/>
  <c r="K18" i="4"/>
  <c r="K17" i="4"/>
  <c r="K16" i="4"/>
  <c r="K15" i="4"/>
  <c r="K14" i="4"/>
  <c r="K12" i="4"/>
  <c r="K10" i="4"/>
  <c r="K8" i="4"/>
  <c r="K6" i="4"/>
  <c r="E19" i="4" l="1"/>
  <c r="E20" i="4"/>
  <c r="G1432" i="4"/>
  <c r="T1432" i="4" s="1"/>
  <c r="U1432" i="4" s="1"/>
  <c r="F1433" i="4"/>
  <c r="F1348" i="4"/>
  <c r="G1347" i="4"/>
  <c r="T1206" i="4"/>
  <c r="U1206" i="4" s="1"/>
  <c r="F849" i="4"/>
  <c r="F850" i="4" s="1"/>
  <c r="F749" i="4"/>
  <c r="G749" i="4" s="1"/>
  <c r="F588" i="4"/>
  <c r="G588" i="4" s="1"/>
  <c r="F1308" i="4"/>
  <c r="F1309" i="4" s="1"/>
  <c r="F689" i="4"/>
  <c r="G689" i="4" s="1"/>
  <c r="G1084" i="4"/>
  <c r="G607" i="4"/>
  <c r="T607" i="4" s="1"/>
  <c r="U607" i="4" s="1"/>
  <c r="G1005" i="4"/>
  <c r="G1364" i="4"/>
  <c r="G1405" i="4"/>
  <c r="T1405" i="4" s="1"/>
  <c r="G1404" i="4"/>
  <c r="T1404" i="4" s="1"/>
  <c r="G1409" i="4"/>
  <c r="T1409" i="4" s="1"/>
  <c r="U1409" i="4" s="1"/>
  <c r="F1410" i="4"/>
  <c r="G284" i="4"/>
  <c r="G583" i="4"/>
  <c r="T583" i="4" s="1"/>
  <c r="F170" i="4"/>
  <c r="F171" i="4" s="1"/>
  <c r="G1204" i="4"/>
  <c r="G67" i="4"/>
  <c r="T67" i="4" s="1"/>
  <c r="U67" i="4" s="1"/>
  <c r="G605" i="4"/>
  <c r="T605" i="4" s="1"/>
  <c r="F389" i="4"/>
  <c r="G389" i="4" s="1"/>
  <c r="G825" i="4"/>
  <c r="F769" i="4"/>
  <c r="G769" i="4" s="1"/>
  <c r="G1108" i="4"/>
  <c r="G1124" i="4"/>
  <c r="G485" i="4"/>
  <c r="G483" i="4"/>
  <c r="F69" i="4"/>
  <c r="G69" i="4" s="1"/>
  <c r="G405" i="4"/>
  <c r="F1388" i="4"/>
  <c r="G1388" i="4" s="1"/>
  <c r="F1229" i="4"/>
  <c r="G1229" i="4" s="1"/>
  <c r="G887" i="4"/>
  <c r="T887" i="4" s="1"/>
  <c r="U887" i="4" s="1"/>
  <c r="F989" i="4"/>
  <c r="G989" i="4" s="1"/>
  <c r="F210" i="4"/>
  <c r="F211" i="4" s="1"/>
  <c r="G524" i="4"/>
  <c r="T524" i="4" s="1"/>
  <c r="G1149" i="4"/>
  <c r="G523" i="4"/>
  <c r="T523" i="4" s="1"/>
  <c r="G308" i="4"/>
  <c r="T308" i="4" s="1"/>
  <c r="U308" i="4" s="1"/>
  <c r="F1028" i="4"/>
  <c r="G1028" i="4" s="1"/>
  <c r="F669" i="4"/>
  <c r="G669" i="4" s="1"/>
  <c r="F1188" i="4"/>
  <c r="F1069" i="4"/>
  <c r="G1069" i="4" s="1"/>
  <c r="G1325" i="4"/>
  <c r="G1165" i="4"/>
  <c r="G863" i="4"/>
  <c r="T863" i="4" s="1"/>
  <c r="G823" i="4"/>
  <c r="T823" i="4" s="1"/>
  <c r="G365" i="4"/>
  <c r="G1243" i="4"/>
  <c r="T1243" i="4" s="1"/>
  <c r="F90" i="4"/>
  <c r="F91" i="4" s="1"/>
  <c r="G745" i="4"/>
  <c r="G865" i="4"/>
  <c r="G1003" i="4"/>
  <c r="T1003" i="4" s="1"/>
  <c r="G1163" i="4"/>
  <c r="G783" i="4"/>
  <c r="T783" i="4" s="1"/>
  <c r="G1043" i="4"/>
  <c r="G268" i="4"/>
  <c r="F269" i="4"/>
  <c r="G129" i="4"/>
  <c r="F130" i="4"/>
  <c r="G323" i="4"/>
  <c r="T323" i="4" s="1"/>
  <c r="F508" i="4"/>
  <c r="G507" i="4"/>
  <c r="E35" i="4"/>
  <c r="E36" i="4" s="1"/>
  <c r="E37" i="4" s="1"/>
  <c r="E38" i="4" s="1"/>
  <c r="E39" i="4" s="1"/>
  <c r="E40" i="4" s="1"/>
  <c r="F1269" i="4"/>
  <c r="F1270" i="4" s="1"/>
  <c r="G809" i="4"/>
  <c r="F810" i="4"/>
  <c r="F568" i="4"/>
  <c r="G567" i="4"/>
  <c r="G928" i="4"/>
  <c r="F929" i="4"/>
  <c r="G445" i="4"/>
  <c r="G444" i="4"/>
  <c r="G304" i="4"/>
  <c r="G305" i="4"/>
  <c r="T305" i="4" s="1"/>
  <c r="G84" i="4"/>
  <c r="G85" i="4"/>
  <c r="F368" i="4"/>
  <c r="G367" i="4"/>
  <c r="G309" i="4"/>
  <c r="T309" i="4" s="1"/>
  <c r="U309" i="4" s="1"/>
  <c r="F310" i="4"/>
  <c r="G704" i="4"/>
  <c r="G705" i="4"/>
  <c r="G188" i="4"/>
  <c r="F189" i="4"/>
  <c r="G204" i="4"/>
  <c r="G205" i="4"/>
  <c r="G383" i="4"/>
  <c r="T383" i="4" s="1"/>
  <c r="F448" i="4"/>
  <c r="G447" i="4"/>
  <c r="T447" i="4" s="1"/>
  <c r="U447" i="4" s="1"/>
  <c r="G585" i="4"/>
  <c r="F528" i="4"/>
  <c r="G527" i="4"/>
  <c r="T527" i="4" s="1"/>
  <c r="U527" i="4" s="1"/>
  <c r="G967" i="4"/>
  <c r="T967" i="4" s="1"/>
  <c r="U967" i="4" s="1"/>
  <c r="F968" i="4"/>
  <c r="G903" i="4"/>
  <c r="G1223" i="4"/>
  <c r="T1223" i="4" s="1"/>
  <c r="G427" i="4"/>
  <c r="T427" i="4" s="1"/>
  <c r="U427" i="4" s="1"/>
  <c r="F428" i="4"/>
  <c r="F488" i="4"/>
  <c r="G487" i="4"/>
  <c r="T487" i="4" s="1"/>
  <c r="U487" i="4" s="1"/>
  <c r="G963" i="4"/>
  <c r="F609" i="4"/>
  <c r="G608" i="4"/>
  <c r="G683" i="4"/>
  <c r="G827" i="4"/>
  <c r="T827" i="4" s="1"/>
  <c r="U827" i="4" s="1"/>
  <c r="F828" i="4"/>
  <c r="G543" i="4"/>
  <c r="G888" i="4"/>
  <c r="F889" i="4"/>
  <c r="G1048" i="4"/>
  <c r="F1049" i="4"/>
  <c r="G1104" i="4"/>
  <c r="G1105" i="4"/>
  <c r="G1328" i="4"/>
  <c r="F1329" i="4"/>
  <c r="G108" i="4"/>
  <c r="T108" i="4" s="1"/>
  <c r="U108" i="4" s="1"/>
  <c r="F109" i="4"/>
  <c r="F408" i="4"/>
  <c r="G407" i="4"/>
  <c r="G289" i="4"/>
  <c r="F290" i="4"/>
  <c r="G348" i="4"/>
  <c r="F349" i="4"/>
  <c r="F548" i="4"/>
  <c r="G547" i="4"/>
  <c r="F868" i="4"/>
  <c r="G867" i="4"/>
  <c r="T867" i="4" s="1"/>
  <c r="U867" i="4" s="1"/>
  <c r="F908" i="4"/>
  <c r="G907" i="4"/>
  <c r="T907" i="4" s="1"/>
  <c r="U907" i="4" s="1"/>
  <c r="G763" i="4"/>
  <c r="G1008" i="4"/>
  <c r="T1008" i="4" s="1"/>
  <c r="U1008" i="4" s="1"/>
  <c r="F1009" i="4"/>
  <c r="G1064" i="4"/>
  <c r="G1065" i="4"/>
  <c r="G1088" i="4"/>
  <c r="T1088" i="4" s="1"/>
  <c r="U1088" i="4" s="1"/>
  <c r="F1089" i="4"/>
  <c r="G1109" i="4"/>
  <c r="F1110" i="4"/>
  <c r="G1345" i="4"/>
  <c r="G1344" i="4"/>
  <c r="G124" i="4"/>
  <c r="G125" i="4"/>
  <c r="G423" i="4"/>
  <c r="T423" i="4" s="1"/>
  <c r="G503" i="4"/>
  <c r="F648" i="4"/>
  <c r="G647" i="4"/>
  <c r="G228" i="4"/>
  <c r="T228" i="4" s="1"/>
  <c r="U228" i="4" s="1"/>
  <c r="F229" i="4"/>
  <c r="G327" i="4"/>
  <c r="F328" i="4"/>
  <c r="G104" i="4"/>
  <c r="G105" i="4"/>
  <c r="G563" i="4"/>
  <c r="T563" i="4" s="1"/>
  <c r="G628" i="4"/>
  <c r="T628" i="4" s="1"/>
  <c r="U628" i="4" s="1"/>
  <c r="F629" i="4"/>
  <c r="G883" i="4"/>
  <c r="F728" i="4"/>
  <c r="G727" i="4"/>
  <c r="G803" i="4"/>
  <c r="T803" i="4" s="1"/>
  <c r="G1024" i="4"/>
  <c r="G1025" i="4"/>
  <c r="G1128" i="4"/>
  <c r="T1128" i="4" s="1"/>
  <c r="U1128" i="4" s="1"/>
  <c r="F1129" i="4"/>
  <c r="G1263" i="4"/>
  <c r="G1168" i="4"/>
  <c r="F1169" i="4"/>
  <c r="F1369" i="4"/>
  <c r="G1368" i="4"/>
  <c r="G148" i="4"/>
  <c r="F149" i="4"/>
  <c r="G248" i="4"/>
  <c r="F249" i="4"/>
  <c r="G708" i="4"/>
  <c r="F709" i="4"/>
  <c r="G923" i="4"/>
  <c r="T923" i="4" s="1"/>
  <c r="G1207" i="4"/>
  <c r="F1208" i="4"/>
  <c r="G787" i="4"/>
  <c r="T787" i="4" s="1"/>
  <c r="U787" i="4" s="1"/>
  <c r="F788" i="4"/>
  <c r="G1247" i="4"/>
  <c r="T1247" i="4" s="1"/>
  <c r="U1247" i="4" s="1"/>
  <c r="F1248" i="4"/>
  <c r="G243" i="4"/>
  <c r="T243" i="4" s="1"/>
  <c r="G624" i="4"/>
  <c r="G625" i="4"/>
  <c r="F948" i="4"/>
  <c r="G947" i="4"/>
  <c r="T947" i="4" s="1"/>
  <c r="U947" i="4" s="1"/>
  <c r="G843" i="4"/>
  <c r="F468" i="4"/>
  <c r="G467" i="4"/>
  <c r="G1144" i="4"/>
  <c r="G1145" i="4"/>
  <c r="G1184" i="4"/>
  <c r="G1185" i="4"/>
  <c r="G984" i="4"/>
  <c r="G985" i="4"/>
  <c r="G1305" i="4"/>
  <c r="G1304" i="4"/>
  <c r="G1384" i="4"/>
  <c r="T1384" i="4" s="1"/>
  <c r="G1385" i="4"/>
  <c r="G164" i="4"/>
  <c r="G165" i="4"/>
  <c r="G343" i="4"/>
  <c r="T343" i="4" s="1"/>
  <c r="G463" i="4"/>
  <c r="T463" i="4" s="1"/>
  <c r="G1284" i="4"/>
  <c r="G1285" i="4"/>
  <c r="G1287" i="4"/>
  <c r="F1288" i="4"/>
  <c r="G65" i="4"/>
  <c r="G64" i="4"/>
  <c r="K949" i="4"/>
  <c r="K888" i="4"/>
  <c r="K909" i="4"/>
  <c r="T746" i="4"/>
  <c r="U746" i="4" s="1"/>
  <c r="T666" i="4"/>
  <c r="U666" i="4" s="1"/>
  <c r="T786" i="4"/>
  <c r="U786" i="4" s="1"/>
  <c r="T702" i="4"/>
  <c r="T342" i="4"/>
  <c r="T206" i="4"/>
  <c r="U206" i="4" s="1"/>
  <c r="T1382" i="4"/>
  <c r="T182" i="4"/>
  <c r="T1046" i="4"/>
  <c r="U1046" i="4" s="1"/>
  <c r="T246" i="4"/>
  <c r="U246" i="4" s="1"/>
  <c r="T987" i="4"/>
  <c r="U987" i="4" s="1"/>
  <c r="T87" i="4"/>
  <c r="U87" i="4" s="1"/>
  <c r="K489" i="4"/>
  <c r="T1107" i="4"/>
  <c r="U1107" i="4" s="1"/>
  <c r="T1023" i="4"/>
  <c r="T62" i="4"/>
  <c r="T163" i="4"/>
  <c r="T242" i="4"/>
  <c r="T1086" i="4"/>
  <c r="U1086" i="4" s="1"/>
  <c r="T147" i="4"/>
  <c r="U147" i="4" s="1"/>
  <c r="T106" i="4"/>
  <c r="U106" i="4" s="1"/>
  <c r="T1222" i="4"/>
  <c r="T906" i="4"/>
  <c r="U906" i="4" s="1"/>
  <c r="T802" i="4"/>
  <c r="T526" i="4"/>
  <c r="U526" i="4" s="1"/>
  <c r="T462" i="4"/>
  <c r="T263" i="4"/>
  <c r="F47" i="4"/>
  <c r="G47" i="4" s="1"/>
  <c r="T47" i="4" s="1"/>
  <c r="U47" i="4" s="1"/>
  <c r="T83" i="4"/>
  <c r="T1242" i="4"/>
  <c r="T862" i="4"/>
  <c r="T623" i="4"/>
  <c r="G42" i="4"/>
  <c r="T42" i="4" s="1"/>
  <c r="T1266" i="4"/>
  <c r="U1266" i="4" s="1"/>
  <c r="T142" i="4"/>
  <c r="G7" i="4"/>
  <c r="T7" i="4" s="1"/>
  <c r="U7" i="4" s="1"/>
  <c r="F8" i="4"/>
  <c r="G6" i="4"/>
  <c r="T1367" i="4"/>
  <c r="U1367" i="4" s="1"/>
  <c r="T382" i="4"/>
  <c r="T203" i="4"/>
  <c r="T1126" i="4"/>
  <c r="U1126" i="4" s="1"/>
  <c r="T822" i="4"/>
  <c r="T582" i="4"/>
  <c r="T322" i="4"/>
  <c r="T145" i="4"/>
  <c r="T866" i="4"/>
  <c r="U866" i="4" s="1"/>
  <c r="T767" i="4"/>
  <c r="U767" i="4" s="1"/>
  <c r="T143" i="4"/>
  <c r="T107" i="4"/>
  <c r="U107" i="4" s="1"/>
  <c r="T1268" i="4"/>
  <c r="U1268" i="4" s="1"/>
  <c r="T1267" i="4"/>
  <c r="U1267" i="4" s="1"/>
  <c r="T1383" i="4"/>
  <c r="T1063" i="4"/>
  <c r="T1302" i="4"/>
  <c r="T1103" i="4"/>
  <c r="T847" i="4"/>
  <c r="U847" i="4" s="1"/>
  <c r="T706" i="4"/>
  <c r="U706" i="4" s="1"/>
  <c r="T662" i="4"/>
  <c r="T626" i="4"/>
  <c r="U626" i="4" s="1"/>
  <c r="T482" i="4"/>
  <c r="T404" i="4"/>
  <c r="T227" i="4"/>
  <c r="U227" i="4" s="1"/>
  <c r="T768" i="4"/>
  <c r="U768" i="4" s="1"/>
  <c r="T966" i="4"/>
  <c r="U966" i="4" s="1"/>
  <c r="T846" i="4"/>
  <c r="U846" i="4" s="1"/>
  <c r="T742" i="4"/>
  <c r="T663" i="4"/>
  <c r="T665" i="4"/>
  <c r="T226" i="4"/>
  <c r="U226" i="4" s="1"/>
  <c r="T186" i="4"/>
  <c r="U186" i="4" s="1"/>
  <c r="T1087" i="4"/>
  <c r="U1087" i="4" s="1"/>
  <c r="T922" i="4"/>
  <c r="T566" i="4"/>
  <c r="U566" i="4" s="1"/>
  <c r="F28" i="4"/>
  <c r="G27" i="4"/>
  <c r="T27" i="4" s="1"/>
  <c r="U27" i="4" s="1"/>
  <c r="T1303" i="4"/>
  <c r="T1182" i="4"/>
  <c r="T1146" i="4"/>
  <c r="U1146" i="4" s="1"/>
  <c r="T686" i="4"/>
  <c r="U686" i="4" s="1"/>
  <c r="T1342" i="4"/>
  <c r="T1226" i="4"/>
  <c r="U1226" i="4" s="1"/>
  <c r="T1166" i="4"/>
  <c r="U1166" i="4" s="1"/>
  <c r="T1262" i="4"/>
  <c r="T1386" i="4"/>
  <c r="U1386" i="4" s="1"/>
  <c r="T1082" i="4"/>
  <c r="T1306" i="4"/>
  <c r="U1306" i="4" s="1"/>
  <c r="T806" i="4"/>
  <c r="U806" i="4" s="1"/>
  <c r="T722" i="4"/>
  <c r="T1002" i="4"/>
  <c r="T886" i="4"/>
  <c r="U886" i="4" s="1"/>
  <c r="T848" i="4"/>
  <c r="U848" i="4" s="1"/>
  <c r="T1047" i="4"/>
  <c r="U1047" i="4" s="1"/>
  <c r="T703" i="4"/>
  <c r="T667" i="4"/>
  <c r="U667" i="4" s="1"/>
  <c r="T486" i="4"/>
  <c r="U486" i="4" s="1"/>
  <c r="T546" i="4"/>
  <c r="U546" i="4" s="1"/>
  <c r="T766" i="4"/>
  <c r="U766" i="4" s="1"/>
  <c r="T747" i="4"/>
  <c r="U747" i="4" s="1"/>
  <c r="T642" i="4"/>
  <c r="T606" i="4"/>
  <c r="U606" i="4" s="1"/>
  <c r="T643" i="4"/>
  <c r="T542" i="4"/>
  <c r="T406" i="4"/>
  <c r="U406" i="4" s="1"/>
  <c r="T562" i="4"/>
  <c r="T442" i="4"/>
  <c r="T522" i="4"/>
  <c r="T223" i="4"/>
  <c r="T386" i="4"/>
  <c r="U386" i="4" s="1"/>
  <c r="T63" i="4"/>
  <c r="T43" i="4"/>
  <c r="T282" i="4"/>
  <c r="T307" i="4"/>
  <c r="U307" i="4" s="1"/>
  <c r="T247" i="4"/>
  <c r="U247" i="4" s="1"/>
  <c r="T426" i="4"/>
  <c r="U426" i="4" s="1"/>
  <c r="T346" i="4"/>
  <c r="U346" i="4" s="1"/>
  <c r="T306" i="4"/>
  <c r="U306" i="4" s="1"/>
  <c r="T222" i="4"/>
  <c r="T183" i="4"/>
  <c r="T187" i="4"/>
  <c r="U187" i="4" s="1"/>
  <c r="G26" i="4"/>
  <c r="T26" i="4" s="1"/>
  <c r="U26" i="4" s="1"/>
  <c r="M2769" i="3" l="1"/>
  <c r="M2768" i="3"/>
  <c r="T6" i="4"/>
  <c r="U6" i="4" s="1"/>
  <c r="F1434" i="4"/>
  <c r="G1433" i="4"/>
  <c r="T1433" i="4" s="1"/>
  <c r="U1433" i="4" s="1"/>
  <c r="F1349" i="4"/>
  <c r="G1348" i="4"/>
  <c r="G849" i="4"/>
  <c r="T849" i="4" s="1"/>
  <c r="U849" i="4" s="1"/>
  <c r="F589" i="4"/>
  <c r="G589" i="4" s="1"/>
  <c r="F750" i="4"/>
  <c r="F751" i="4" s="1"/>
  <c r="G1308" i="4"/>
  <c r="F390" i="4"/>
  <c r="G390" i="4" s="1"/>
  <c r="G1085" i="4"/>
  <c r="G170" i="4"/>
  <c r="F690" i="4"/>
  <c r="F691" i="4" s="1"/>
  <c r="G691" i="4" s="1"/>
  <c r="G1365" i="4"/>
  <c r="G1410" i="4"/>
  <c r="T1410" i="4" s="1"/>
  <c r="U1410" i="4" s="1"/>
  <c r="F1411" i="4"/>
  <c r="F70" i="4"/>
  <c r="F71" i="4" s="1"/>
  <c r="G604" i="4"/>
  <c r="T604" i="4" s="1"/>
  <c r="G90" i="4"/>
  <c r="F770" i="4"/>
  <c r="F771" i="4" s="1"/>
  <c r="F1389" i="4"/>
  <c r="G1389" i="4" s="1"/>
  <c r="F990" i="4"/>
  <c r="G990" i="4" s="1"/>
  <c r="T990" i="4" s="1"/>
  <c r="U990" i="4" s="1"/>
  <c r="F670" i="4"/>
  <c r="F671" i="4" s="1"/>
  <c r="G1125" i="4"/>
  <c r="G210" i="4"/>
  <c r="F1070" i="4"/>
  <c r="G1070" i="4" s="1"/>
  <c r="F1230" i="4"/>
  <c r="F1231" i="4" s="1"/>
  <c r="G1269" i="4"/>
  <c r="G1324" i="4"/>
  <c r="F1029" i="4"/>
  <c r="G1029" i="4" s="1"/>
  <c r="F1189" i="4"/>
  <c r="G1188" i="4"/>
  <c r="G944" i="4"/>
  <c r="G945" i="4"/>
  <c r="G1244" i="4"/>
  <c r="T1244" i="4" s="1"/>
  <c r="G1245" i="4"/>
  <c r="T1245" i="4" s="1"/>
  <c r="G1044" i="4"/>
  <c r="G1045" i="4"/>
  <c r="G784" i="4"/>
  <c r="T784" i="4" s="1"/>
  <c r="G785" i="4"/>
  <c r="F569" i="4"/>
  <c r="G568" i="4"/>
  <c r="G810" i="4"/>
  <c r="F811" i="4"/>
  <c r="G324" i="4"/>
  <c r="T324" i="4" s="1"/>
  <c r="G325" i="4"/>
  <c r="T325" i="4" s="1"/>
  <c r="G508" i="4"/>
  <c r="F509" i="4"/>
  <c r="F131" i="4"/>
  <c r="G130" i="4"/>
  <c r="G929" i="4"/>
  <c r="F930" i="4"/>
  <c r="G269" i="4"/>
  <c r="T269" i="4" s="1"/>
  <c r="U269" i="4" s="1"/>
  <c r="F270" i="4"/>
  <c r="G1224" i="4"/>
  <c r="T1224" i="4" s="1"/>
  <c r="G1225" i="4"/>
  <c r="T1225" i="4" s="1"/>
  <c r="F969" i="4"/>
  <c r="G968" i="4"/>
  <c r="T968" i="4" s="1"/>
  <c r="U968" i="4" s="1"/>
  <c r="G465" i="4"/>
  <c r="T465" i="4" s="1"/>
  <c r="G464" i="4"/>
  <c r="T464" i="4" s="1"/>
  <c r="G244" i="4"/>
  <c r="T244" i="4" s="1"/>
  <c r="G245" i="4"/>
  <c r="T245" i="4" s="1"/>
  <c r="F789" i="4"/>
  <c r="G788" i="4"/>
  <c r="T788" i="4" s="1"/>
  <c r="U788" i="4" s="1"/>
  <c r="G149" i="4"/>
  <c r="F150" i="4"/>
  <c r="G629" i="4"/>
  <c r="T629" i="4" s="1"/>
  <c r="U629" i="4" s="1"/>
  <c r="F630" i="4"/>
  <c r="G229" i="4"/>
  <c r="T229" i="4" s="1"/>
  <c r="U229" i="4" s="1"/>
  <c r="F230" i="4"/>
  <c r="G889" i="4"/>
  <c r="F890" i="4"/>
  <c r="G684" i="4"/>
  <c r="T684" i="4" s="1"/>
  <c r="G685" i="4"/>
  <c r="T685" i="4" s="1"/>
  <c r="G428" i="4"/>
  <c r="T428" i="4" s="1"/>
  <c r="U428" i="4" s="1"/>
  <c r="F429" i="4"/>
  <c r="F311" i="4"/>
  <c r="G310" i="4"/>
  <c r="G885" i="4"/>
  <c r="T885" i="4" s="1"/>
  <c r="G884" i="4"/>
  <c r="T884" i="4" s="1"/>
  <c r="G648" i="4"/>
  <c r="F649" i="4"/>
  <c r="F869" i="4"/>
  <c r="G868" i="4"/>
  <c r="T868" i="4" s="1"/>
  <c r="U868" i="4" s="1"/>
  <c r="F489" i="4"/>
  <c r="G488" i="4"/>
  <c r="T488" i="4" s="1"/>
  <c r="U488" i="4" s="1"/>
  <c r="G384" i="4"/>
  <c r="T384" i="4" s="1"/>
  <c r="G385" i="4"/>
  <c r="T385" i="4" s="1"/>
  <c r="G344" i="4"/>
  <c r="T344" i="4" s="1"/>
  <c r="G345" i="4"/>
  <c r="T345" i="4" s="1"/>
  <c r="G408" i="4"/>
  <c r="F409" i="4"/>
  <c r="F529" i="4"/>
  <c r="G528" i="4"/>
  <c r="T528" i="4" s="1"/>
  <c r="U528" i="4" s="1"/>
  <c r="G1288" i="4"/>
  <c r="F1289" i="4"/>
  <c r="G1208" i="4"/>
  <c r="F1209" i="4"/>
  <c r="G709" i="4"/>
  <c r="F710" i="4"/>
  <c r="F1130" i="4"/>
  <c r="G1129" i="4"/>
  <c r="G805" i="4"/>
  <c r="T805" i="4" s="1"/>
  <c r="G804" i="4"/>
  <c r="T804" i="4" s="1"/>
  <c r="F1111" i="4"/>
  <c r="G1110" i="4"/>
  <c r="G765" i="4"/>
  <c r="G764" i="4"/>
  <c r="G109" i="4"/>
  <c r="T109" i="4" s="1"/>
  <c r="U109" i="4" s="1"/>
  <c r="F110" i="4"/>
  <c r="F1050" i="4"/>
  <c r="G1049" i="4"/>
  <c r="G850" i="4"/>
  <c r="F851" i="4"/>
  <c r="G189" i="4"/>
  <c r="F190" i="4"/>
  <c r="G468" i="4"/>
  <c r="F469" i="4"/>
  <c r="F949" i="4"/>
  <c r="G948" i="4"/>
  <c r="T948" i="4" s="1"/>
  <c r="U948" i="4" s="1"/>
  <c r="G91" i="4"/>
  <c r="F92" i="4"/>
  <c r="G1369" i="4"/>
  <c r="F1370" i="4"/>
  <c r="G565" i="4"/>
  <c r="T565" i="4" s="1"/>
  <c r="G564" i="4"/>
  <c r="T564" i="4" s="1"/>
  <c r="G505" i="4"/>
  <c r="G504" i="4"/>
  <c r="F549" i="4"/>
  <c r="G548" i="4"/>
  <c r="G609" i="4"/>
  <c r="F610" i="4"/>
  <c r="G368" i="4"/>
  <c r="F369" i="4"/>
  <c r="F1271" i="4"/>
  <c r="G1270" i="4"/>
  <c r="G1264" i="4"/>
  <c r="G1265" i="4"/>
  <c r="F329" i="4"/>
  <c r="G328" i="4"/>
  <c r="T328" i="4" s="1"/>
  <c r="U328" i="4" s="1"/>
  <c r="F1010" i="4"/>
  <c r="G1009" i="4"/>
  <c r="T1009" i="4" s="1"/>
  <c r="U1009" i="4" s="1"/>
  <c r="F291" i="4"/>
  <c r="G290" i="4"/>
  <c r="F829" i="4"/>
  <c r="G828" i="4"/>
  <c r="G845" i="4"/>
  <c r="G844" i="4"/>
  <c r="G1248" i="4"/>
  <c r="F1249" i="4"/>
  <c r="G249" i="4"/>
  <c r="F250" i="4"/>
  <c r="F1170" i="4"/>
  <c r="G1169" i="4"/>
  <c r="F1090" i="4"/>
  <c r="G1089" i="4"/>
  <c r="T1089" i="4" s="1"/>
  <c r="U1089" i="4" s="1"/>
  <c r="G349" i="4"/>
  <c r="F350" i="4"/>
  <c r="G1329" i="4"/>
  <c r="F1330" i="4"/>
  <c r="F1310" i="4"/>
  <c r="G1309" i="4"/>
  <c r="G965" i="4"/>
  <c r="T965" i="4" s="1"/>
  <c r="G964" i="4"/>
  <c r="T964" i="4" s="1"/>
  <c r="G925" i="4"/>
  <c r="T925" i="4" s="1"/>
  <c r="G924" i="4"/>
  <c r="T924" i="4" s="1"/>
  <c r="G728" i="4"/>
  <c r="F729" i="4"/>
  <c r="G424" i="4"/>
  <c r="T424" i="4" s="1"/>
  <c r="G425" i="4"/>
  <c r="F909" i="4"/>
  <c r="G908" i="4"/>
  <c r="T908" i="4" s="1"/>
  <c r="U908" i="4" s="1"/>
  <c r="G545" i="4"/>
  <c r="G544" i="4"/>
  <c r="G171" i="4"/>
  <c r="F172" i="4"/>
  <c r="G904" i="4"/>
  <c r="T904" i="4" s="1"/>
  <c r="G905" i="4"/>
  <c r="T905" i="4" s="1"/>
  <c r="F449" i="4"/>
  <c r="G448" i="4"/>
  <c r="G211" i="4"/>
  <c r="F212" i="4"/>
  <c r="K950" i="4"/>
  <c r="T989" i="4"/>
  <c r="U989" i="4" s="1"/>
  <c r="K490" i="4"/>
  <c r="K910" i="4"/>
  <c r="K889" i="4"/>
  <c r="T167" i="4"/>
  <c r="U167" i="4" s="1"/>
  <c r="T1025" i="4"/>
  <c r="T267" i="4"/>
  <c r="U267" i="4" s="1"/>
  <c r="T268" i="4"/>
  <c r="U268" i="4" s="1"/>
  <c r="T265" i="4"/>
  <c r="T1007" i="4"/>
  <c r="U1007" i="4" s="1"/>
  <c r="T405" i="4"/>
  <c r="T983" i="4"/>
  <c r="T963" i="4"/>
  <c r="T525" i="4"/>
  <c r="T903" i="4"/>
  <c r="T1108" i="4"/>
  <c r="U1108" i="4" s="1"/>
  <c r="T1027" i="4"/>
  <c r="U1027" i="4" s="1"/>
  <c r="F48" i="4"/>
  <c r="G48" i="4" s="1"/>
  <c r="T48" i="4" s="1"/>
  <c r="U48" i="4" s="1"/>
  <c r="T303" i="4"/>
  <c r="T883" i="4"/>
  <c r="T624" i="4"/>
  <c r="T664" i="4"/>
  <c r="T165" i="4"/>
  <c r="T327" i="4"/>
  <c r="U327" i="4" s="1"/>
  <c r="T103" i="4"/>
  <c r="T363" i="4"/>
  <c r="T683" i="4"/>
  <c r="T287" i="4"/>
  <c r="U287" i="4" s="1"/>
  <c r="T1385" i="4"/>
  <c r="G23" i="4"/>
  <c r="T23" i="4" s="1"/>
  <c r="T123" i="4"/>
  <c r="T205" i="4"/>
  <c r="T348" i="4"/>
  <c r="U348" i="4" s="1"/>
  <c r="T1207" i="4"/>
  <c r="U1207" i="4" s="1"/>
  <c r="T1287" i="4"/>
  <c r="U1287" i="4" s="1"/>
  <c r="T943" i="4"/>
  <c r="T927" i="4"/>
  <c r="U927" i="4" s="1"/>
  <c r="T1163" i="4"/>
  <c r="T403" i="4"/>
  <c r="T483" i="4"/>
  <c r="G8" i="4"/>
  <c r="F9" i="4"/>
  <c r="T1067" i="4"/>
  <c r="U1067" i="4" s="1"/>
  <c r="T208" i="4"/>
  <c r="U208" i="4" s="1"/>
  <c r="T1187" i="4"/>
  <c r="U1187" i="4" s="1"/>
  <c r="T647" i="4"/>
  <c r="U647" i="4" s="1"/>
  <c r="T367" i="4"/>
  <c r="U367" i="4" s="1"/>
  <c r="T707" i="4"/>
  <c r="U707" i="4" s="1"/>
  <c r="T1143" i="4"/>
  <c r="T988" i="4"/>
  <c r="U988" i="4" s="1"/>
  <c r="T1064" i="4"/>
  <c r="T727" i="4"/>
  <c r="U727" i="4" s="1"/>
  <c r="T743" i="4"/>
  <c r="T769" i="4"/>
  <c r="U769" i="4" s="1"/>
  <c r="T1347" i="4"/>
  <c r="U1347" i="4" s="1"/>
  <c r="T1323" i="4"/>
  <c r="T127" i="4"/>
  <c r="U127" i="4" s="1"/>
  <c r="T1105" i="4"/>
  <c r="T507" i="4"/>
  <c r="U507" i="4" s="1"/>
  <c r="T567" i="4"/>
  <c r="U567" i="4" s="1"/>
  <c r="T1043" i="4"/>
  <c r="T304" i="4"/>
  <c r="T603" i="4"/>
  <c r="G28" i="4"/>
  <c r="T28" i="4" s="1"/>
  <c r="U28" i="4" s="1"/>
  <c r="F29" i="4"/>
  <c r="T807" i="4"/>
  <c r="U807" i="4" s="1"/>
  <c r="T1167" i="4"/>
  <c r="U1167" i="4" s="1"/>
  <c r="T687" i="4"/>
  <c r="U687" i="4" s="1"/>
  <c r="T105" i="4"/>
  <c r="T104" i="4"/>
  <c r="T288" i="4"/>
  <c r="U288" i="4" s="1"/>
  <c r="T587" i="4"/>
  <c r="U587" i="4" s="1"/>
  <c r="T608" i="4"/>
  <c r="U608" i="4" s="1"/>
  <c r="T584" i="4"/>
  <c r="T585" i="4"/>
  <c r="T824" i="4"/>
  <c r="T825" i="4"/>
  <c r="T1203" i="4"/>
  <c r="T1227" i="4"/>
  <c r="U1227" i="4" s="1"/>
  <c r="T547" i="4"/>
  <c r="U547" i="4" s="1"/>
  <c r="T1048" i="4"/>
  <c r="U1048" i="4" s="1"/>
  <c r="T1004" i="4"/>
  <c r="T1005" i="4"/>
  <c r="T1307" i="4"/>
  <c r="U1307" i="4" s="1"/>
  <c r="T124" i="4"/>
  <c r="T125" i="4"/>
  <c r="T44" i="4"/>
  <c r="T45" i="4"/>
  <c r="T644" i="4"/>
  <c r="T645" i="4"/>
  <c r="T763" i="4"/>
  <c r="T1028" i="4"/>
  <c r="U1028" i="4" s="1"/>
  <c r="T1283" i="4"/>
  <c r="T1147" i="4"/>
  <c r="U1147" i="4" s="1"/>
  <c r="T467" i="4"/>
  <c r="U467" i="4" s="1"/>
  <c r="T1387" i="4"/>
  <c r="U1387" i="4" s="1"/>
  <c r="T503" i="4"/>
  <c r="T748" i="4"/>
  <c r="U748" i="4" s="1"/>
  <c r="T843" i="4"/>
  <c r="T1123" i="4"/>
  <c r="T1343" i="4"/>
  <c r="T1183" i="4"/>
  <c r="T283" i="4"/>
  <c r="T387" i="4"/>
  <c r="U387" i="4" s="1"/>
  <c r="T668" i="4"/>
  <c r="U668" i="4" s="1"/>
  <c r="T1363" i="4"/>
  <c r="T188" i="4"/>
  <c r="U188" i="4" s="1"/>
  <c r="T64" i="4"/>
  <c r="T65" i="4"/>
  <c r="T365" i="4"/>
  <c r="T364" i="4"/>
  <c r="T407" i="4"/>
  <c r="U407" i="4" s="1"/>
  <c r="T484" i="4"/>
  <c r="T485" i="4"/>
  <c r="T704" i="4"/>
  <c r="T705" i="4"/>
  <c r="T984" i="4"/>
  <c r="T985" i="4"/>
  <c r="T1083" i="4"/>
  <c r="T248" i="4"/>
  <c r="U248" i="4" s="1"/>
  <c r="T168" i="4"/>
  <c r="U168" i="4" s="1"/>
  <c r="T888" i="4"/>
  <c r="U888" i="4" s="1"/>
  <c r="T1327" i="4"/>
  <c r="U1327" i="4" s="1"/>
  <c r="T185" i="4"/>
  <c r="T184" i="4"/>
  <c r="T443" i="4"/>
  <c r="T543" i="4"/>
  <c r="T723" i="4"/>
  <c r="T1304" i="4"/>
  <c r="T1305" i="4"/>
  <c r="T224" i="4"/>
  <c r="T225" i="4"/>
  <c r="T864" i="4"/>
  <c r="T865" i="4"/>
  <c r="T1263" i="4"/>
  <c r="M2770" i="3" l="1"/>
  <c r="T8" i="4"/>
  <c r="U8" i="4" s="1"/>
  <c r="F590" i="4"/>
  <c r="G590" i="4" s="1"/>
  <c r="F1435" i="4"/>
  <c r="G1434" i="4"/>
  <c r="F1350" i="4"/>
  <c r="G1349" i="4"/>
  <c r="F692" i="4"/>
  <c r="G692" i="4" s="1"/>
  <c r="G750" i="4"/>
  <c r="G770" i="4"/>
  <c r="T770" i="4" s="1"/>
  <c r="U770" i="4" s="1"/>
  <c r="F391" i="4"/>
  <c r="F392" i="4" s="1"/>
  <c r="G1150" i="4"/>
  <c r="G690" i="4"/>
  <c r="F1390" i="4"/>
  <c r="F1391" i="4" s="1"/>
  <c r="G1411" i="4"/>
  <c r="T1411" i="4" s="1"/>
  <c r="U1411" i="4" s="1"/>
  <c r="F1412" i="4"/>
  <c r="G70" i="4"/>
  <c r="F1071" i="4"/>
  <c r="F1072" i="4" s="1"/>
  <c r="F991" i="4"/>
  <c r="G991" i="4" s="1"/>
  <c r="T991" i="4" s="1"/>
  <c r="U991" i="4" s="1"/>
  <c r="K491" i="4"/>
  <c r="G670" i="4"/>
  <c r="G1230" i="4"/>
  <c r="F1030" i="4"/>
  <c r="G1189" i="4"/>
  <c r="F1190" i="4"/>
  <c r="G509" i="4"/>
  <c r="F510" i="4"/>
  <c r="F271" i="4"/>
  <c r="G270" i="4"/>
  <c r="T270" i="4" s="1"/>
  <c r="U270" i="4" s="1"/>
  <c r="G930" i="4"/>
  <c r="F931" i="4"/>
  <c r="G811" i="4"/>
  <c r="F812" i="4"/>
  <c r="G71" i="4"/>
  <c r="F72" i="4"/>
  <c r="G131" i="4"/>
  <c r="F132" i="4"/>
  <c r="G569" i="4"/>
  <c r="F570" i="4"/>
  <c r="G909" i="4"/>
  <c r="T909" i="4" s="1"/>
  <c r="U909" i="4" s="1"/>
  <c r="F910" i="4"/>
  <c r="G829" i="4"/>
  <c r="T829" i="4" s="1"/>
  <c r="U829" i="4" s="1"/>
  <c r="F830" i="4"/>
  <c r="G350" i="4"/>
  <c r="F351" i="4"/>
  <c r="F251" i="4"/>
  <c r="G250" i="4"/>
  <c r="G92" i="4"/>
  <c r="F93" i="4"/>
  <c r="F711" i="4"/>
  <c r="G710" i="4"/>
  <c r="G409" i="4"/>
  <c r="F410" i="4"/>
  <c r="G890" i="4"/>
  <c r="F891" i="4"/>
  <c r="F151" i="4"/>
  <c r="G150" i="4"/>
  <c r="G449" i="4"/>
  <c r="T449" i="4" s="1"/>
  <c r="U449" i="4" s="1"/>
  <c r="F450" i="4"/>
  <c r="G1010" i="4"/>
  <c r="F1011" i="4"/>
  <c r="F752" i="4"/>
  <c r="G751" i="4"/>
  <c r="G489" i="4"/>
  <c r="T489" i="4" s="1"/>
  <c r="U489" i="4" s="1"/>
  <c r="F490" i="4"/>
  <c r="G311" i="4"/>
  <c r="T311" i="4" s="1"/>
  <c r="U311" i="4" s="1"/>
  <c r="F312" i="4"/>
  <c r="F672" i="4"/>
  <c r="G671" i="4"/>
  <c r="F1250" i="4"/>
  <c r="G1249" i="4"/>
  <c r="G369" i="4"/>
  <c r="F370" i="4"/>
  <c r="G851" i="4"/>
  <c r="F852" i="4"/>
  <c r="F1210" i="4"/>
  <c r="G1209" i="4"/>
  <c r="F231" i="4"/>
  <c r="G230" i="4"/>
  <c r="T230" i="4" s="1"/>
  <c r="U230" i="4" s="1"/>
  <c r="G1151" i="4"/>
  <c r="G1231" i="4"/>
  <c r="F1232" i="4"/>
  <c r="G949" i="4"/>
  <c r="F950" i="4"/>
  <c r="G1111" i="4"/>
  <c r="F1112" i="4"/>
  <c r="G869" i="4"/>
  <c r="T869" i="4" s="1"/>
  <c r="U869" i="4" s="1"/>
  <c r="F870" i="4"/>
  <c r="G172" i="4"/>
  <c r="F173" i="4"/>
  <c r="F730" i="4"/>
  <c r="G729" i="4"/>
  <c r="G610" i="4"/>
  <c r="F611" i="4"/>
  <c r="G469" i="4"/>
  <c r="F470" i="4"/>
  <c r="F1290" i="4"/>
  <c r="G1289" i="4"/>
  <c r="F650" i="4"/>
  <c r="G649" i="4"/>
  <c r="G429" i="4"/>
  <c r="T429" i="4" s="1"/>
  <c r="U429" i="4" s="1"/>
  <c r="F430" i="4"/>
  <c r="F631" i="4"/>
  <c r="G630" i="4"/>
  <c r="G1310" i="4"/>
  <c r="F1311" i="4"/>
  <c r="G1090" i="4"/>
  <c r="T1090" i="4" s="1"/>
  <c r="U1090" i="4" s="1"/>
  <c r="F1091" i="4"/>
  <c r="G329" i="4"/>
  <c r="T329" i="4" s="1"/>
  <c r="U329" i="4" s="1"/>
  <c r="F330" i="4"/>
  <c r="G1050" i="4"/>
  <c r="F1051" i="4"/>
  <c r="G789" i="4"/>
  <c r="T789" i="4" s="1"/>
  <c r="U789" i="4" s="1"/>
  <c r="F790" i="4"/>
  <c r="G969" i="4"/>
  <c r="T969" i="4" s="1"/>
  <c r="U969" i="4" s="1"/>
  <c r="F970" i="4"/>
  <c r="G212" i="4"/>
  <c r="F213" i="4"/>
  <c r="F1331" i="4"/>
  <c r="G1330" i="4"/>
  <c r="G771" i="4"/>
  <c r="F772" i="4"/>
  <c r="G1370" i="4"/>
  <c r="F1371" i="4"/>
  <c r="F191" i="4"/>
  <c r="G190" i="4"/>
  <c r="F111" i="4"/>
  <c r="G110" i="4"/>
  <c r="T110" i="4" s="1"/>
  <c r="U110" i="4" s="1"/>
  <c r="G1170" i="4"/>
  <c r="F1171" i="4"/>
  <c r="F292" i="4"/>
  <c r="G291" i="4"/>
  <c r="G1271" i="4"/>
  <c r="F1272" i="4"/>
  <c r="G549" i="4"/>
  <c r="F550" i="4"/>
  <c r="G1130" i="4"/>
  <c r="T1130" i="4" s="1"/>
  <c r="U1130" i="4" s="1"/>
  <c r="F1131" i="4"/>
  <c r="G529" i="4"/>
  <c r="T529" i="4" s="1"/>
  <c r="U529" i="4" s="1"/>
  <c r="F530" i="4"/>
  <c r="K951" i="4"/>
  <c r="T88" i="4"/>
  <c r="U88" i="4" s="1"/>
  <c r="K890" i="4"/>
  <c r="K911" i="4"/>
  <c r="T425" i="4"/>
  <c r="T1129" i="4"/>
  <c r="U1129" i="4" s="1"/>
  <c r="T828" i="4"/>
  <c r="U828" i="4" s="1"/>
  <c r="T1024" i="4"/>
  <c r="F49" i="4"/>
  <c r="G49" i="4" s="1"/>
  <c r="T49" i="4" s="1"/>
  <c r="U49" i="4" s="1"/>
  <c r="T148" i="4"/>
  <c r="U148" i="4" s="1"/>
  <c r="T264" i="4"/>
  <c r="T68" i="4"/>
  <c r="U68" i="4" s="1"/>
  <c r="T310" i="4"/>
  <c r="U310" i="4" s="1"/>
  <c r="T204" i="4"/>
  <c r="T625" i="4"/>
  <c r="T448" i="4"/>
  <c r="U448" i="4" s="1"/>
  <c r="T1269" i="4"/>
  <c r="U1269" i="4" s="1"/>
  <c r="T164" i="4"/>
  <c r="T785" i="4"/>
  <c r="T1104" i="4"/>
  <c r="T1368" i="4"/>
  <c r="U1368" i="4" s="1"/>
  <c r="T84" i="4"/>
  <c r="T85" i="4"/>
  <c r="T349" i="4"/>
  <c r="U349" i="4" s="1"/>
  <c r="G24" i="4"/>
  <c r="T24" i="4" s="1"/>
  <c r="G25" i="4"/>
  <c r="T25" i="4" s="1"/>
  <c r="T1208" i="4"/>
  <c r="U1208" i="4" s="1"/>
  <c r="T1248" i="4"/>
  <c r="U1248" i="4" s="1"/>
  <c r="G9" i="4"/>
  <c r="F10" i="4"/>
  <c r="T928" i="4"/>
  <c r="U928" i="4" s="1"/>
  <c r="T945" i="4"/>
  <c r="T944" i="4"/>
  <c r="T1288" i="4"/>
  <c r="U1288" i="4" s="1"/>
  <c r="T1068" i="4"/>
  <c r="U1068" i="4" s="1"/>
  <c r="T1164" i="4"/>
  <c r="T1165" i="4"/>
  <c r="T1369" i="4"/>
  <c r="U1369" i="4" s="1"/>
  <c r="T1065" i="4"/>
  <c r="T1324" i="4"/>
  <c r="T1325" i="4"/>
  <c r="T744" i="4"/>
  <c r="T745" i="4"/>
  <c r="T368" i="4"/>
  <c r="U368" i="4" s="1"/>
  <c r="T568" i="4"/>
  <c r="U568" i="4" s="1"/>
  <c r="T209" i="4"/>
  <c r="U209" i="4" s="1"/>
  <c r="G29" i="4"/>
  <c r="T29" i="4" s="1"/>
  <c r="U29" i="4" s="1"/>
  <c r="F30" i="4"/>
  <c r="T648" i="4"/>
  <c r="U648" i="4" s="1"/>
  <c r="T508" i="4"/>
  <c r="U508" i="4" s="1"/>
  <c r="T728" i="4"/>
  <c r="U728" i="4" s="1"/>
  <c r="T1144" i="4"/>
  <c r="T1145" i="4"/>
  <c r="T1188" i="4"/>
  <c r="U1188" i="4" s="1"/>
  <c r="T128" i="4"/>
  <c r="U128" i="4" s="1"/>
  <c r="T1044" i="4"/>
  <c r="T1045" i="4"/>
  <c r="T1348" i="4"/>
  <c r="U1348" i="4" s="1"/>
  <c r="T708" i="4"/>
  <c r="U708" i="4" s="1"/>
  <c r="T249" i="4"/>
  <c r="U249" i="4" s="1"/>
  <c r="T89" i="4"/>
  <c r="U89" i="4" s="1"/>
  <c r="T1029" i="4"/>
  <c r="U1029" i="4" s="1"/>
  <c r="T69" i="4"/>
  <c r="U69" i="4" s="1"/>
  <c r="T1049" i="4"/>
  <c r="U1049" i="4" s="1"/>
  <c r="T289" i="4"/>
  <c r="U289" i="4" s="1"/>
  <c r="T149" i="4"/>
  <c r="U149" i="4" s="1"/>
  <c r="T1270" i="4"/>
  <c r="U1270" i="4" s="1"/>
  <c r="T724" i="4"/>
  <c r="T725" i="4"/>
  <c r="T545" i="4"/>
  <c r="T544" i="4"/>
  <c r="T1328" i="4"/>
  <c r="U1328" i="4" s="1"/>
  <c r="T169" i="4"/>
  <c r="U169" i="4" s="1"/>
  <c r="T1084" i="4"/>
  <c r="T1085" i="4"/>
  <c r="T1364" i="4"/>
  <c r="T1365" i="4"/>
  <c r="T504" i="4"/>
  <c r="T505" i="4"/>
  <c r="T468" i="4"/>
  <c r="U468" i="4" s="1"/>
  <c r="T845" i="4"/>
  <c r="T844" i="4"/>
  <c r="T764" i="4"/>
  <c r="T765" i="4"/>
  <c r="T548" i="4"/>
  <c r="U548" i="4" s="1"/>
  <c r="T808" i="4"/>
  <c r="U808" i="4" s="1"/>
  <c r="T1345" i="4"/>
  <c r="T1344" i="4"/>
  <c r="T889" i="4"/>
  <c r="U889" i="4" s="1"/>
  <c r="T850" i="4"/>
  <c r="U850" i="4" s="1"/>
  <c r="T669" i="4"/>
  <c r="U669" i="4" s="1"/>
  <c r="T284" i="4"/>
  <c r="T285" i="4"/>
  <c r="T1124" i="4"/>
  <c r="T1125" i="4"/>
  <c r="T749" i="4"/>
  <c r="U749" i="4" s="1"/>
  <c r="T1148" i="4"/>
  <c r="U1148" i="4" s="1"/>
  <c r="T588" i="4"/>
  <c r="U588" i="4" s="1"/>
  <c r="T688" i="4"/>
  <c r="U688" i="4" s="1"/>
  <c r="T1265" i="4"/>
  <c r="T1264" i="4"/>
  <c r="T1308" i="4"/>
  <c r="U1308" i="4" s="1"/>
  <c r="T1228" i="4"/>
  <c r="U1228" i="4" s="1"/>
  <c r="T444" i="4"/>
  <c r="T445" i="4"/>
  <c r="T408" i="4"/>
  <c r="U408" i="4" s="1"/>
  <c r="T189" i="4"/>
  <c r="U189" i="4" s="1"/>
  <c r="T388" i="4"/>
  <c r="U388" i="4" s="1"/>
  <c r="T1185" i="4"/>
  <c r="T1184" i="4"/>
  <c r="T1284" i="4"/>
  <c r="T1285" i="4"/>
  <c r="T1204" i="4"/>
  <c r="T1205" i="4"/>
  <c r="T609" i="4"/>
  <c r="U609" i="4" s="1"/>
  <c r="T1168" i="4"/>
  <c r="U1168" i="4" s="1"/>
  <c r="T1388" i="4"/>
  <c r="U1388" i="4" s="1"/>
  <c r="M2771" i="3" l="1"/>
  <c r="T1434" i="4"/>
  <c r="U1434" i="4" s="1"/>
  <c r="T9" i="4"/>
  <c r="U9" i="4" s="1"/>
  <c r="F591" i="4"/>
  <c r="F592" i="4" s="1"/>
  <c r="G1435" i="4"/>
  <c r="T1435" i="4" s="1"/>
  <c r="U1435" i="4" s="1"/>
  <c r="F1436" i="4"/>
  <c r="F1351" i="4"/>
  <c r="G1350" i="4"/>
  <c r="G391" i="4"/>
  <c r="F693" i="4"/>
  <c r="F694" i="4" s="1"/>
  <c r="G1071" i="4"/>
  <c r="F992" i="4"/>
  <c r="F993" i="4" s="1"/>
  <c r="G1390" i="4"/>
  <c r="G1412" i="4"/>
  <c r="T1412" i="4" s="1"/>
  <c r="U1412" i="4" s="1"/>
  <c r="F1413" i="4"/>
  <c r="K492" i="4"/>
  <c r="F1031" i="4"/>
  <c r="G1030" i="4"/>
  <c r="T1030" i="4" s="1"/>
  <c r="U1030" i="4" s="1"/>
  <c r="F1191" i="4"/>
  <c r="G1190" i="4"/>
  <c r="F813" i="4"/>
  <c r="G812" i="4"/>
  <c r="G570" i="4"/>
  <c r="F571" i="4"/>
  <c r="F932" i="4"/>
  <c r="G931" i="4"/>
  <c r="G132" i="4"/>
  <c r="F133" i="4"/>
  <c r="G271" i="4"/>
  <c r="T271" i="4" s="1"/>
  <c r="U271" i="4" s="1"/>
  <c r="F272" i="4"/>
  <c r="G72" i="4"/>
  <c r="F73" i="4"/>
  <c r="G510" i="4"/>
  <c r="F511" i="4"/>
  <c r="G1131" i="4"/>
  <c r="T1131" i="4" s="1"/>
  <c r="U1131" i="4" s="1"/>
  <c r="F1132" i="4"/>
  <c r="G1371" i="4"/>
  <c r="F1372" i="4"/>
  <c r="G970" i="4"/>
  <c r="T970" i="4" s="1"/>
  <c r="U970" i="4" s="1"/>
  <c r="F971" i="4"/>
  <c r="G330" i="4"/>
  <c r="T330" i="4" s="1"/>
  <c r="U330" i="4" s="1"/>
  <c r="F331" i="4"/>
  <c r="G470" i="4"/>
  <c r="F471" i="4"/>
  <c r="G173" i="4"/>
  <c r="F174" i="4"/>
  <c r="G1112" i="4"/>
  <c r="F1113" i="4"/>
  <c r="G312" i="4"/>
  <c r="T312" i="4" s="1"/>
  <c r="U312" i="4" s="1"/>
  <c r="F313" i="4"/>
  <c r="G450" i="4"/>
  <c r="T450" i="4" s="1"/>
  <c r="U450" i="4" s="1"/>
  <c r="F451" i="4"/>
  <c r="F352" i="4"/>
  <c r="G351" i="4"/>
  <c r="G1391" i="4"/>
  <c r="F1392" i="4"/>
  <c r="G550" i="4"/>
  <c r="F551" i="4"/>
  <c r="G1171" i="4"/>
  <c r="F1172" i="4"/>
  <c r="F773" i="4"/>
  <c r="G772" i="4"/>
  <c r="F791" i="4"/>
  <c r="G790" i="4"/>
  <c r="T790" i="4" s="1"/>
  <c r="U790" i="4" s="1"/>
  <c r="G430" i="4"/>
  <c r="T430" i="4" s="1"/>
  <c r="U430" i="4" s="1"/>
  <c r="F431" i="4"/>
  <c r="F612" i="4"/>
  <c r="G611" i="4"/>
  <c r="G1072" i="4"/>
  <c r="F1073" i="4"/>
  <c r="G950" i="4"/>
  <c r="T950" i="4" s="1"/>
  <c r="U950" i="4" s="1"/>
  <c r="F951" i="4"/>
  <c r="F853" i="4"/>
  <c r="G852" i="4"/>
  <c r="G490" i="4"/>
  <c r="T490" i="4" s="1"/>
  <c r="U490" i="4" s="1"/>
  <c r="F491" i="4"/>
  <c r="G631" i="4"/>
  <c r="T631" i="4" s="1"/>
  <c r="U631" i="4" s="1"/>
  <c r="F632" i="4"/>
  <c r="G1210" i="4"/>
  <c r="F1211" i="4"/>
  <c r="G711" i="4"/>
  <c r="F712" i="4"/>
  <c r="G1250" i="4"/>
  <c r="F1251" i="4"/>
  <c r="F152" i="4"/>
  <c r="G151" i="4"/>
  <c r="G1272" i="4"/>
  <c r="F1273" i="4"/>
  <c r="G1091" i="4"/>
  <c r="T1091" i="4" s="1"/>
  <c r="U1091" i="4" s="1"/>
  <c r="F1092" i="4"/>
  <c r="G870" i="4"/>
  <c r="T870" i="4" s="1"/>
  <c r="U870" i="4" s="1"/>
  <c r="F871" i="4"/>
  <c r="G1232" i="4"/>
  <c r="F1233" i="4"/>
  <c r="F892" i="4"/>
  <c r="G891" i="4"/>
  <c r="G93" i="4"/>
  <c r="F94" i="4"/>
  <c r="G830" i="4"/>
  <c r="T830" i="4" s="1"/>
  <c r="U830" i="4" s="1"/>
  <c r="F831" i="4"/>
  <c r="F112" i="4"/>
  <c r="G111" i="4"/>
  <c r="T111" i="4" s="1"/>
  <c r="U111" i="4" s="1"/>
  <c r="G1331" i="4"/>
  <c r="F1332" i="4"/>
  <c r="F651" i="4"/>
  <c r="G650" i="4"/>
  <c r="G392" i="4"/>
  <c r="F393" i="4"/>
  <c r="F232" i="4"/>
  <c r="G231" i="4"/>
  <c r="T231" i="4" s="1"/>
  <c r="U231" i="4" s="1"/>
  <c r="G752" i="4"/>
  <c r="F753" i="4"/>
  <c r="G530" i="4"/>
  <c r="T530" i="4" s="1"/>
  <c r="U530" i="4" s="1"/>
  <c r="F531" i="4"/>
  <c r="G213" i="4"/>
  <c r="F214" i="4"/>
  <c r="G1051" i="4"/>
  <c r="F1052" i="4"/>
  <c r="G1311" i="4"/>
  <c r="F1312" i="4"/>
  <c r="G1152" i="4"/>
  <c r="F371" i="4"/>
  <c r="G370" i="4"/>
  <c r="G1011" i="4"/>
  <c r="T1011" i="4" s="1"/>
  <c r="U1011" i="4" s="1"/>
  <c r="F1012" i="4"/>
  <c r="F411" i="4"/>
  <c r="G410" i="4"/>
  <c r="G910" i="4"/>
  <c r="T910" i="4" s="1"/>
  <c r="U910" i="4" s="1"/>
  <c r="F911" i="4"/>
  <c r="G292" i="4"/>
  <c r="F293" i="4"/>
  <c r="F192" i="4"/>
  <c r="G191" i="4"/>
  <c r="F1291" i="4"/>
  <c r="G1290" i="4"/>
  <c r="F731" i="4"/>
  <c r="G730" i="4"/>
  <c r="G672" i="4"/>
  <c r="F673" i="4"/>
  <c r="G251" i="4"/>
  <c r="F252" i="4"/>
  <c r="K952" i="4"/>
  <c r="K912" i="4"/>
  <c r="K891" i="4"/>
  <c r="T1109" i="4"/>
  <c r="U1109" i="4" s="1"/>
  <c r="F50" i="4"/>
  <c r="G50" i="4" s="1"/>
  <c r="T50" i="4" s="1"/>
  <c r="U50" i="4" s="1"/>
  <c r="T630" i="4"/>
  <c r="U630" i="4" s="1"/>
  <c r="T1010" i="4"/>
  <c r="U1010" i="4" s="1"/>
  <c r="T949" i="4"/>
  <c r="U949" i="4" s="1"/>
  <c r="T1249" i="4"/>
  <c r="U1249" i="4" s="1"/>
  <c r="T1209" i="4"/>
  <c r="U1209" i="4" s="1"/>
  <c r="T350" i="4"/>
  <c r="U350" i="4" s="1"/>
  <c r="T1069" i="4"/>
  <c r="U1069" i="4" s="1"/>
  <c r="T1289" i="4"/>
  <c r="U1289" i="4" s="1"/>
  <c r="G10" i="4"/>
  <c r="F11" i="4"/>
  <c r="T929" i="4"/>
  <c r="U929" i="4" s="1"/>
  <c r="T1370" i="4"/>
  <c r="U1370" i="4" s="1"/>
  <c r="T729" i="4"/>
  <c r="U729" i="4" s="1"/>
  <c r="T569" i="4"/>
  <c r="U569" i="4" s="1"/>
  <c r="T709" i="4"/>
  <c r="U709" i="4" s="1"/>
  <c r="T129" i="4"/>
  <c r="U129" i="4" s="1"/>
  <c r="T369" i="4"/>
  <c r="U369" i="4" s="1"/>
  <c r="F31" i="4"/>
  <c r="G30" i="4"/>
  <c r="T30" i="4" s="1"/>
  <c r="U30" i="4" s="1"/>
  <c r="T1189" i="4"/>
  <c r="U1189" i="4" s="1"/>
  <c r="T509" i="4"/>
  <c r="U509" i="4" s="1"/>
  <c r="T210" i="4"/>
  <c r="U210" i="4" s="1"/>
  <c r="T771" i="4"/>
  <c r="U771" i="4" s="1"/>
  <c r="T649" i="4"/>
  <c r="U649" i="4" s="1"/>
  <c r="T1349" i="4"/>
  <c r="U1349" i="4" s="1"/>
  <c r="T290" i="4"/>
  <c r="U290" i="4" s="1"/>
  <c r="T1229" i="4"/>
  <c r="U1229" i="4" s="1"/>
  <c r="T670" i="4"/>
  <c r="U670" i="4" s="1"/>
  <c r="T1110" i="4"/>
  <c r="U1110" i="4" s="1"/>
  <c r="T90" i="4"/>
  <c r="U90" i="4" s="1"/>
  <c r="T809" i="4"/>
  <c r="U809" i="4" s="1"/>
  <c r="T409" i="4"/>
  <c r="U409" i="4" s="1"/>
  <c r="T150" i="4"/>
  <c r="U150" i="4" s="1"/>
  <c r="T689" i="4"/>
  <c r="U689" i="4" s="1"/>
  <c r="T750" i="4"/>
  <c r="U750" i="4" s="1"/>
  <c r="T549" i="4"/>
  <c r="U549" i="4" s="1"/>
  <c r="T1169" i="4"/>
  <c r="U1169" i="4" s="1"/>
  <c r="T389" i="4"/>
  <c r="U389" i="4" s="1"/>
  <c r="T851" i="4"/>
  <c r="U851" i="4" s="1"/>
  <c r="T469" i="4"/>
  <c r="U469" i="4" s="1"/>
  <c r="T70" i="4"/>
  <c r="U70" i="4" s="1"/>
  <c r="T610" i="4"/>
  <c r="U610" i="4" s="1"/>
  <c r="T1389" i="4"/>
  <c r="U1389" i="4" s="1"/>
  <c r="T1309" i="4"/>
  <c r="U1309" i="4" s="1"/>
  <c r="T589" i="4"/>
  <c r="U589" i="4" s="1"/>
  <c r="T170" i="4"/>
  <c r="U170" i="4" s="1"/>
  <c r="T250" i="4"/>
  <c r="U250" i="4" s="1"/>
  <c r="T190" i="4"/>
  <c r="U190" i="4" s="1"/>
  <c r="T1149" i="4"/>
  <c r="U1149" i="4" s="1"/>
  <c r="T890" i="4"/>
  <c r="U890" i="4" s="1"/>
  <c r="T1329" i="4"/>
  <c r="U1329" i="4" s="1"/>
  <c r="T1271" i="4"/>
  <c r="U1271" i="4" s="1"/>
  <c r="T1050" i="4"/>
  <c r="U1050" i="4" s="1"/>
  <c r="M2772" i="3" l="1"/>
  <c r="G591" i="4"/>
  <c r="T10" i="4"/>
  <c r="U10" i="4" s="1"/>
  <c r="G1436" i="4"/>
  <c r="T1436" i="4" s="1"/>
  <c r="U1436" i="4" s="1"/>
  <c r="F1437" i="4"/>
  <c r="F1352" i="4"/>
  <c r="G1351" i="4"/>
  <c r="G693" i="4"/>
  <c r="G992" i="4"/>
  <c r="T992" i="4" s="1"/>
  <c r="U992" i="4" s="1"/>
  <c r="G1413" i="4"/>
  <c r="T1413" i="4" s="1"/>
  <c r="U1413" i="4" s="1"/>
  <c r="F1414" i="4"/>
  <c r="K493" i="4"/>
  <c r="G1031" i="4"/>
  <c r="T1031" i="4" s="1"/>
  <c r="U1031" i="4" s="1"/>
  <c r="F1032" i="4"/>
  <c r="G1191" i="4"/>
  <c r="F1192" i="4"/>
  <c r="G133" i="4"/>
  <c r="F134" i="4"/>
  <c r="F512" i="4"/>
  <c r="G511" i="4"/>
  <c r="F933" i="4"/>
  <c r="G932" i="4"/>
  <c r="G73" i="4"/>
  <c r="F74" i="4"/>
  <c r="F572" i="4"/>
  <c r="G571" i="4"/>
  <c r="G272" i="4"/>
  <c r="T272" i="4" s="1"/>
  <c r="U272" i="4" s="1"/>
  <c r="F273" i="4"/>
  <c r="G813" i="4"/>
  <c r="F814" i="4"/>
  <c r="G911" i="4"/>
  <c r="T911" i="4" s="1"/>
  <c r="U911" i="4" s="1"/>
  <c r="F912" i="4"/>
  <c r="F215" i="4"/>
  <c r="G214" i="4"/>
  <c r="G393" i="4"/>
  <c r="F394" i="4"/>
  <c r="F832" i="4"/>
  <c r="G831" i="4"/>
  <c r="T831" i="4" s="1"/>
  <c r="U831" i="4" s="1"/>
  <c r="F1074" i="4"/>
  <c r="G1073" i="4"/>
  <c r="F1114" i="4"/>
  <c r="G1113" i="4"/>
  <c r="F972" i="4"/>
  <c r="G971" i="4"/>
  <c r="T971" i="4" s="1"/>
  <c r="U971" i="4" s="1"/>
  <c r="G731" i="4"/>
  <c r="F732" i="4"/>
  <c r="G773" i="4"/>
  <c r="F774" i="4"/>
  <c r="G352" i="4"/>
  <c r="F353" i="4"/>
  <c r="G1153" i="4"/>
  <c r="G632" i="4"/>
  <c r="T632" i="4" s="1"/>
  <c r="U632" i="4" s="1"/>
  <c r="F633" i="4"/>
  <c r="G252" i="4"/>
  <c r="F253" i="4"/>
  <c r="F695" i="4"/>
  <c r="G694" i="4"/>
  <c r="F532" i="4"/>
  <c r="G531" i="4"/>
  <c r="T531" i="4" s="1"/>
  <c r="U531" i="4" s="1"/>
  <c r="F95" i="4"/>
  <c r="G94" i="4"/>
  <c r="F1234" i="4"/>
  <c r="G1233" i="4"/>
  <c r="F1274" i="4"/>
  <c r="G1273" i="4"/>
  <c r="G712" i="4"/>
  <c r="F713" i="4"/>
  <c r="F492" i="4"/>
  <c r="G491" i="4"/>
  <c r="T491" i="4" s="1"/>
  <c r="U491" i="4" s="1"/>
  <c r="G1172" i="4"/>
  <c r="F1173" i="4"/>
  <c r="F452" i="4"/>
  <c r="G451" i="4"/>
  <c r="T451" i="4" s="1"/>
  <c r="U451" i="4" s="1"/>
  <c r="F175" i="4"/>
  <c r="G174" i="4"/>
  <c r="G1372" i="4"/>
  <c r="F1373" i="4"/>
  <c r="G1291" i="4"/>
  <c r="F1292" i="4"/>
  <c r="G411" i="4"/>
  <c r="F412" i="4"/>
  <c r="G651" i="4"/>
  <c r="F652" i="4"/>
  <c r="G152" i="4"/>
  <c r="F153" i="4"/>
  <c r="G612" i="4"/>
  <c r="F613" i="4"/>
  <c r="G673" i="4"/>
  <c r="F674" i="4"/>
  <c r="G1012" i="4"/>
  <c r="T1012" i="4" s="1"/>
  <c r="U1012" i="4" s="1"/>
  <c r="F1013" i="4"/>
  <c r="F1313" i="4"/>
  <c r="G1312" i="4"/>
  <c r="G753" i="4"/>
  <c r="F754" i="4"/>
  <c r="G1332" i="4"/>
  <c r="F1333" i="4"/>
  <c r="F872" i="4"/>
  <c r="G871" i="4"/>
  <c r="T871" i="4" s="1"/>
  <c r="U871" i="4" s="1"/>
  <c r="F994" i="4"/>
  <c r="G993" i="4"/>
  <c r="T993" i="4" s="1"/>
  <c r="U993" i="4" s="1"/>
  <c r="G1251" i="4"/>
  <c r="F1252" i="4"/>
  <c r="F432" i="4"/>
  <c r="G431" i="4"/>
  <c r="T431" i="4" s="1"/>
  <c r="U431" i="4" s="1"/>
  <c r="F552" i="4"/>
  <c r="G551" i="4"/>
  <c r="G313" i="4"/>
  <c r="T313" i="4" s="1"/>
  <c r="U313" i="4" s="1"/>
  <c r="F314" i="4"/>
  <c r="F472" i="4"/>
  <c r="G471" i="4"/>
  <c r="G192" i="4"/>
  <c r="F193" i="4"/>
  <c r="F893" i="4"/>
  <c r="G892" i="4"/>
  <c r="G853" i="4"/>
  <c r="F854" i="4"/>
  <c r="F294" i="4"/>
  <c r="G293" i="4"/>
  <c r="G1052" i="4"/>
  <c r="F1053" i="4"/>
  <c r="G1092" i="4"/>
  <c r="T1092" i="4" s="1"/>
  <c r="U1092" i="4" s="1"/>
  <c r="F1093" i="4"/>
  <c r="G1211" i="4"/>
  <c r="F1212" i="4"/>
  <c r="G951" i="4"/>
  <c r="T951" i="4" s="1"/>
  <c r="U951" i="4" s="1"/>
  <c r="F952" i="4"/>
  <c r="F1393" i="4"/>
  <c r="G1392" i="4"/>
  <c r="F332" i="4"/>
  <c r="G331" i="4"/>
  <c r="T331" i="4" s="1"/>
  <c r="U331" i="4" s="1"/>
  <c r="G1132" i="4"/>
  <c r="T1132" i="4" s="1"/>
  <c r="U1132" i="4" s="1"/>
  <c r="F1133" i="4"/>
  <c r="G371" i="4"/>
  <c r="F372" i="4"/>
  <c r="G232" i="4"/>
  <c r="T232" i="4" s="1"/>
  <c r="U232" i="4" s="1"/>
  <c r="F233" i="4"/>
  <c r="G112" i="4"/>
  <c r="T112" i="4" s="1"/>
  <c r="U112" i="4" s="1"/>
  <c r="F113" i="4"/>
  <c r="G592" i="4"/>
  <c r="F593" i="4"/>
  <c r="F792" i="4"/>
  <c r="G791" i="4"/>
  <c r="T791" i="4" s="1"/>
  <c r="U791" i="4" s="1"/>
  <c r="K953" i="4"/>
  <c r="K892" i="4"/>
  <c r="K913" i="4"/>
  <c r="F51" i="4"/>
  <c r="G51" i="4" s="1"/>
  <c r="T51" i="4" s="1"/>
  <c r="U51" i="4" s="1"/>
  <c r="T1250" i="4"/>
  <c r="U1250" i="4" s="1"/>
  <c r="T351" i="4"/>
  <c r="U351" i="4" s="1"/>
  <c r="T1210" i="4"/>
  <c r="U1210" i="4" s="1"/>
  <c r="G11" i="4"/>
  <c r="F12" i="4"/>
  <c r="T1290" i="4"/>
  <c r="U1290" i="4" s="1"/>
  <c r="T930" i="4"/>
  <c r="U930" i="4" s="1"/>
  <c r="T1070" i="4"/>
  <c r="U1070" i="4" s="1"/>
  <c r="T510" i="4"/>
  <c r="U510" i="4" s="1"/>
  <c r="T1350" i="4"/>
  <c r="U1350" i="4" s="1"/>
  <c r="T370" i="4"/>
  <c r="U370" i="4" s="1"/>
  <c r="T650" i="4"/>
  <c r="U650" i="4" s="1"/>
  <c r="T1190" i="4"/>
  <c r="U1190" i="4" s="1"/>
  <c r="T1371" i="4"/>
  <c r="U1371" i="4" s="1"/>
  <c r="T211" i="4"/>
  <c r="U211" i="4" s="1"/>
  <c r="F32" i="4"/>
  <c r="G31" i="4"/>
  <c r="T31" i="4" s="1"/>
  <c r="U31" i="4" s="1"/>
  <c r="T710" i="4"/>
  <c r="U710" i="4" s="1"/>
  <c r="T730" i="4"/>
  <c r="U730" i="4" s="1"/>
  <c r="T772" i="4"/>
  <c r="U772" i="4" s="1"/>
  <c r="T570" i="4"/>
  <c r="U570" i="4" s="1"/>
  <c r="T130" i="4"/>
  <c r="U130" i="4" s="1"/>
  <c r="T470" i="4"/>
  <c r="U470" i="4" s="1"/>
  <c r="T390" i="4"/>
  <c r="U390" i="4" s="1"/>
  <c r="T891" i="4"/>
  <c r="U891" i="4" s="1"/>
  <c r="T1170" i="4"/>
  <c r="U1170" i="4" s="1"/>
  <c r="T590" i="4"/>
  <c r="U590" i="4" s="1"/>
  <c r="T1390" i="4"/>
  <c r="U1390" i="4" s="1"/>
  <c r="T810" i="4"/>
  <c r="U810" i="4" s="1"/>
  <c r="T1150" i="4"/>
  <c r="U1150" i="4" s="1"/>
  <c r="T71" i="4"/>
  <c r="U71" i="4" s="1"/>
  <c r="T1230" i="4"/>
  <c r="U1230" i="4" s="1"/>
  <c r="T191" i="4"/>
  <c r="U191" i="4" s="1"/>
  <c r="T1310" i="4"/>
  <c r="U1310" i="4" s="1"/>
  <c r="T611" i="4"/>
  <c r="U611" i="4" s="1"/>
  <c r="T852" i="4"/>
  <c r="U852" i="4" s="1"/>
  <c r="T1111" i="4"/>
  <c r="U1111" i="4" s="1"/>
  <c r="T1272" i="4"/>
  <c r="U1272" i="4" s="1"/>
  <c r="T251" i="4"/>
  <c r="U251" i="4" s="1"/>
  <c r="T1330" i="4"/>
  <c r="U1330" i="4" s="1"/>
  <c r="T550" i="4"/>
  <c r="U550" i="4" s="1"/>
  <c r="T410" i="4"/>
  <c r="U410" i="4" s="1"/>
  <c r="T690" i="4"/>
  <c r="U690" i="4" s="1"/>
  <c r="T171" i="4"/>
  <c r="U171" i="4" s="1"/>
  <c r="T751" i="4"/>
  <c r="U751" i="4" s="1"/>
  <c r="T151" i="4"/>
  <c r="U151" i="4" s="1"/>
  <c r="T91" i="4"/>
  <c r="U91" i="4" s="1"/>
  <c r="T671" i="4"/>
  <c r="U671" i="4" s="1"/>
  <c r="T1051" i="4"/>
  <c r="U1051" i="4" s="1"/>
  <c r="T291" i="4"/>
  <c r="U291" i="4" s="1"/>
  <c r="M2773" i="3" l="1"/>
  <c r="T11" i="4"/>
  <c r="U11" i="4" s="1"/>
  <c r="F1438" i="4"/>
  <c r="G1437" i="4"/>
  <c r="T1437" i="4" s="1"/>
  <c r="U1437" i="4" s="1"/>
  <c r="F1353" i="4"/>
  <c r="G1352" i="4"/>
  <c r="G1414" i="4"/>
  <c r="T1414" i="4" s="1"/>
  <c r="U1414" i="4" s="1"/>
  <c r="F1415" i="4"/>
  <c r="G1032" i="4"/>
  <c r="T1032" i="4" s="1"/>
  <c r="U1032" i="4" s="1"/>
  <c r="F1033" i="4"/>
  <c r="G1192" i="4"/>
  <c r="F1193" i="4"/>
  <c r="F75" i="4"/>
  <c r="G74" i="4"/>
  <c r="F815" i="4"/>
  <c r="G814" i="4"/>
  <c r="F934" i="4"/>
  <c r="G933" i="4"/>
  <c r="G273" i="4"/>
  <c r="T273" i="4" s="1"/>
  <c r="U273" i="4" s="1"/>
  <c r="F274" i="4"/>
  <c r="F513" i="4"/>
  <c r="G512" i="4"/>
  <c r="F135" i="4"/>
  <c r="G134" i="4"/>
  <c r="F573" i="4"/>
  <c r="G572" i="4"/>
  <c r="G1053" i="4"/>
  <c r="F1054" i="4"/>
  <c r="G314" i="4"/>
  <c r="T314" i="4" s="1"/>
  <c r="U314" i="4" s="1"/>
  <c r="F315" i="4"/>
  <c r="G153" i="4"/>
  <c r="F154" i="4"/>
  <c r="F1374" i="4"/>
  <c r="G1373" i="4"/>
  <c r="F634" i="4"/>
  <c r="G633" i="4"/>
  <c r="T633" i="4" s="1"/>
  <c r="U633" i="4" s="1"/>
  <c r="G1393" i="4"/>
  <c r="F1394" i="4"/>
  <c r="G893" i="4"/>
  <c r="F894" i="4"/>
  <c r="G994" i="4"/>
  <c r="T994" i="4" s="1"/>
  <c r="U994" i="4" s="1"/>
  <c r="F995" i="4"/>
  <c r="G1313" i="4"/>
  <c r="F1314" i="4"/>
  <c r="G492" i="4"/>
  <c r="T492" i="4" s="1"/>
  <c r="U492" i="4" s="1"/>
  <c r="F493" i="4"/>
  <c r="F96" i="4"/>
  <c r="G95" i="4"/>
  <c r="G1074" i="4"/>
  <c r="F1075" i="4"/>
  <c r="G832" i="4"/>
  <c r="T832" i="4" s="1"/>
  <c r="U832" i="4" s="1"/>
  <c r="F833" i="4"/>
  <c r="G113" i="4"/>
  <c r="T113" i="4" s="1"/>
  <c r="U113" i="4" s="1"/>
  <c r="F114" i="4"/>
  <c r="G1133" i="4"/>
  <c r="T1133" i="4" s="1"/>
  <c r="U1133" i="4" s="1"/>
  <c r="F1134" i="4"/>
  <c r="G952" i="4"/>
  <c r="T952" i="4" s="1"/>
  <c r="U952" i="4" s="1"/>
  <c r="F953" i="4"/>
  <c r="G193" i="4"/>
  <c r="F194" i="4"/>
  <c r="G1013" i="4"/>
  <c r="T1013" i="4" s="1"/>
  <c r="U1013" i="4" s="1"/>
  <c r="F1014" i="4"/>
  <c r="G652" i="4"/>
  <c r="F653" i="4"/>
  <c r="F714" i="4"/>
  <c r="G713" i="4"/>
  <c r="G732" i="4"/>
  <c r="F733" i="4"/>
  <c r="F395" i="4"/>
  <c r="G394" i="4"/>
  <c r="G792" i="4"/>
  <c r="T792" i="4" s="1"/>
  <c r="U792" i="4" s="1"/>
  <c r="F793" i="4"/>
  <c r="F295" i="4"/>
  <c r="G294" i="4"/>
  <c r="F553" i="4"/>
  <c r="G552" i="4"/>
  <c r="G872" i="4"/>
  <c r="T872" i="4" s="1"/>
  <c r="U872" i="4" s="1"/>
  <c r="F873" i="4"/>
  <c r="F176" i="4"/>
  <c r="G175" i="4"/>
  <c r="F533" i="4"/>
  <c r="G532" i="4"/>
  <c r="T532" i="4" s="1"/>
  <c r="U532" i="4" s="1"/>
  <c r="G1154" i="4"/>
  <c r="G233" i="4"/>
  <c r="T233" i="4" s="1"/>
  <c r="U233" i="4" s="1"/>
  <c r="F234" i="4"/>
  <c r="G1212" i="4"/>
  <c r="F1213" i="4"/>
  <c r="G854" i="4"/>
  <c r="F855" i="4"/>
  <c r="F1334" i="4"/>
  <c r="G1333" i="4"/>
  <c r="F675" i="4"/>
  <c r="G674" i="4"/>
  <c r="G412" i="4"/>
  <c r="F413" i="4"/>
  <c r="G353" i="4"/>
  <c r="F354" i="4"/>
  <c r="G332" i="4"/>
  <c r="T332" i="4" s="1"/>
  <c r="U332" i="4" s="1"/>
  <c r="F333" i="4"/>
  <c r="G432" i="4"/>
  <c r="T432" i="4" s="1"/>
  <c r="U432" i="4" s="1"/>
  <c r="F433" i="4"/>
  <c r="G452" i="4"/>
  <c r="T452" i="4" s="1"/>
  <c r="U452" i="4" s="1"/>
  <c r="F453" i="4"/>
  <c r="G1274" i="4"/>
  <c r="F1275" i="4"/>
  <c r="G695" i="4"/>
  <c r="T695" i="4" s="1"/>
  <c r="U695" i="4" s="1"/>
  <c r="F696" i="4"/>
  <c r="F973" i="4"/>
  <c r="G972" i="4"/>
  <c r="T972" i="4" s="1"/>
  <c r="U972" i="4" s="1"/>
  <c r="F216" i="4"/>
  <c r="G215" i="4"/>
  <c r="F594" i="4"/>
  <c r="G593" i="4"/>
  <c r="G372" i="4"/>
  <c r="F373" i="4"/>
  <c r="G1093" i="4"/>
  <c r="T1093" i="4" s="1"/>
  <c r="U1093" i="4" s="1"/>
  <c r="F1094" i="4"/>
  <c r="G1252" i="4"/>
  <c r="F1253" i="4"/>
  <c r="F755" i="4"/>
  <c r="G754" i="4"/>
  <c r="G613" i="4"/>
  <c r="F614" i="4"/>
  <c r="G1292" i="4"/>
  <c r="F1293" i="4"/>
  <c r="G1173" i="4"/>
  <c r="F1174" i="4"/>
  <c r="G253" i="4"/>
  <c r="F254" i="4"/>
  <c r="F775" i="4"/>
  <c r="G774" i="4"/>
  <c r="G912" i="4"/>
  <c r="T912" i="4" s="1"/>
  <c r="U912" i="4" s="1"/>
  <c r="F913" i="4"/>
  <c r="F473" i="4"/>
  <c r="G472" i="4"/>
  <c r="G1234" i="4"/>
  <c r="F1235" i="4"/>
  <c r="G1114" i="4"/>
  <c r="F1115" i="4"/>
  <c r="K893" i="4"/>
  <c r="F52" i="4"/>
  <c r="G52" i="4" s="1"/>
  <c r="T52" i="4" s="1"/>
  <c r="U52" i="4" s="1"/>
  <c r="T1211" i="4"/>
  <c r="U1211" i="4" s="1"/>
  <c r="T352" i="4"/>
  <c r="U352" i="4" s="1"/>
  <c r="T1251" i="4"/>
  <c r="U1251" i="4" s="1"/>
  <c r="T931" i="4"/>
  <c r="U931" i="4" s="1"/>
  <c r="T1291" i="4"/>
  <c r="U1291" i="4" s="1"/>
  <c r="T1071" i="4"/>
  <c r="U1071" i="4" s="1"/>
  <c r="F13" i="4"/>
  <c r="G12" i="4"/>
  <c r="T212" i="4"/>
  <c r="U212" i="4" s="1"/>
  <c r="T511" i="4"/>
  <c r="U511" i="4" s="1"/>
  <c r="T773" i="4"/>
  <c r="U773" i="4" s="1"/>
  <c r="T1372" i="4"/>
  <c r="U1372" i="4" s="1"/>
  <c r="T131" i="4"/>
  <c r="U131" i="4" s="1"/>
  <c r="T731" i="4"/>
  <c r="U731" i="4" s="1"/>
  <c r="T711" i="4"/>
  <c r="U711" i="4" s="1"/>
  <c r="T371" i="4"/>
  <c r="U371" i="4" s="1"/>
  <c r="T571" i="4"/>
  <c r="U571" i="4" s="1"/>
  <c r="T1191" i="4"/>
  <c r="U1191" i="4" s="1"/>
  <c r="T1351" i="4"/>
  <c r="U1351" i="4" s="1"/>
  <c r="G32" i="4"/>
  <c r="T32" i="4" s="1"/>
  <c r="U32" i="4" s="1"/>
  <c r="F33" i="4"/>
  <c r="T651" i="4"/>
  <c r="U651" i="4" s="1"/>
  <c r="T172" i="4"/>
  <c r="U172" i="4" s="1"/>
  <c r="T152" i="4"/>
  <c r="U152" i="4" s="1"/>
  <c r="T612" i="4"/>
  <c r="U612" i="4" s="1"/>
  <c r="T192" i="4"/>
  <c r="U192" i="4" s="1"/>
  <c r="T811" i="4"/>
  <c r="U811" i="4" s="1"/>
  <c r="T672" i="4"/>
  <c r="U672" i="4" s="1"/>
  <c r="T691" i="4"/>
  <c r="U691" i="4" s="1"/>
  <c r="T411" i="4"/>
  <c r="U411" i="4" s="1"/>
  <c r="T1112" i="4"/>
  <c r="U1112" i="4" s="1"/>
  <c r="T1311" i="4"/>
  <c r="U1311" i="4" s="1"/>
  <c r="T1231" i="4"/>
  <c r="U1231" i="4" s="1"/>
  <c r="T1331" i="4"/>
  <c r="U1331" i="4" s="1"/>
  <c r="T892" i="4"/>
  <c r="U892" i="4" s="1"/>
  <c r="T1273" i="4"/>
  <c r="U1273" i="4" s="1"/>
  <c r="T551" i="4"/>
  <c r="U551" i="4" s="1"/>
  <c r="T1391" i="4"/>
  <c r="U1391" i="4" s="1"/>
  <c r="T853" i="4"/>
  <c r="U853" i="4" s="1"/>
  <c r="T72" i="4"/>
  <c r="U72" i="4" s="1"/>
  <c r="T391" i="4"/>
  <c r="U391" i="4" s="1"/>
  <c r="T252" i="4"/>
  <c r="U252" i="4" s="1"/>
  <c r="T92" i="4"/>
  <c r="U92" i="4" s="1"/>
  <c r="T752" i="4"/>
  <c r="U752" i="4" s="1"/>
  <c r="T1171" i="4"/>
  <c r="U1171" i="4" s="1"/>
  <c r="T1052" i="4"/>
  <c r="U1052" i="4" s="1"/>
  <c r="T292" i="4"/>
  <c r="U292" i="4" s="1"/>
  <c r="T1151" i="4"/>
  <c r="U1151" i="4" s="1"/>
  <c r="T591" i="4"/>
  <c r="U591" i="4" s="1"/>
  <c r="T471" i="4"/>
  <c r="U471" i="4" s="1"/>
  <c r="T12" i="4" l="1"/>
  <c r="U12" i="4" s="1"/>
  <c r="F1439" i="4"/>
  <c r="G1438" i="4"/>
  <c r="T1438" i="4" s="1"/>
  <c r="U1438" i="4" s="1"/>
  <c r="F1354" i="4"/>
  <c r="G1353" i="4"/>
  <c r="G1415" i="4"/>
  <c r="T1415" i="4" s="1"/>
  <c r="U1415" i="4" s="1"/>
  <c r="F1416" i="4"/>
  <c r="F1034" i="4"/>
  <c r="G1033" i="4"/>
  <c r="T1033" i="4" s="1"/>
  <c r="U1033" i="4" s="1"/>
  <c r="F1194" i="4"/>
  <c r="G1193" i="4"/>
  <c r="F275" i="4"/>
  <c r="G274" i="4"/>
  <c r="T274" i="4" s="1"/>
  <c r="U274" i="4" s="1"/>
  <c r="G573" i="4"/>
  <c r="F574" i="4"/>
  <c r="G934" i="4"/>
  <c r="F935" i="4"/>
  <c r="F136" i="4"/>
  <c r="G135" i="4"/>
  <c r="F816" i="4"/>
  <c r="G815" i="4"/>
  <c r="G513" i="4"/>
  <c r="F514" i="4"/>
  <c r="G75" i="4"/>
  <c r="F76" i="4"/>
  <c r="F255" i="4"/>
  <c r="G254" i="4"/>
  <c r="G373" i="4"/>
  <c r="F374" i="4"/>
  <c r="F434" i="4"/>
  <c r="G433" i="4"/>
  <c r="T433" i="4" s="1"/>
  <c r="U433" i="4" s="1"/>
  <c r="G413" i="4"/>
  <c r="F414" i="4"/>
  <c r="G1213" i="4"/>
  <c r="F1214" i="4"/>
  <c r="G733" i="4"/>
  <c r="F734" i="4"/>
  <c r="F195" i="4"/>
  <c r="G194" i="4"/>
  <c r="G833" i="4"/>
  <c r="T833" i="4" s="1"/>
  <c r="U833" i="4" s="1"/>
  <c r="F834" i="4"/>
  <c r="F1315" i="4"/>
  <c r="G1314" i="4"/>
  <c r="F155" i="4"/>
  <c r="G154" i="4"/>
  <c r="G473" i="4"/>
  <c r="F474" i="4"/>
  <c r="F756" i="4"/>
  <c r="G755" i="4"/>
  <c r="G973" i="4"/>
  <c r="T973" i="4" s="1"/>
  <c r="U973" i="4" s="1"/>
  <c r="F974" i="4"/>
  <c r="G533" i="4"/>
  <c r="T533" i="4" s="1"/>
  <c r="U533" i="4" s="1"/>
  <c r="F534" i="4"/>
  <c r="G295" i="4"/>
  <c r="F296" i="4"/>
  <c r="F1175" i="4"/>
  <c r="G1174" i="4"/>
  <c r="T1174" i="4" s="1"/>
  <c r="U1174" i="4" s="1"/>
  <c r="G1253" i="4"/>
  <c r="F1254" i="4"/>
  <c r="G696" i="4"/>
  <c r="F697" i="4"/>
  <c r="F235" i="4"/>
  <c r="G234" i="4"/>
  <c r="T234" i="4" s="1"/>
  <c r="U234" i="4" s="1"/>
  <c r="G793" i="4"/>
  <c r="T793" i="4" s="1"/>
  <c r="U793" i="4" s="1"/>
  <c r="F794" i="4"/>
  <c r="G953" i="4"/>
  <c r="T953" i="4" s="1"/>
  <c r="U953" i="4" s="1"/>
  <c r="F954" i="4"/>
  <c r="G1075" i="4"/>
  <c r="F1076" i="4"/>
  <c r="G995" i="4"/>
  <c r="F996" i="4"/>
  <c r="F316" i="4"/>
  <c r="G315" i="4"/>
  <c r="G594" i="4"/>
  <c r="F595" i="4"/>
  <c r="F676" i="4"/>
  <c r="G675" i="4"/>
  <c r="G176" i="4"/>
  <c r="F177" i="4"/>
  <c r="F715" i="4"/>
  <c r="G714" i="4"/>
  <c r="T714" i="4" s="1"/>
  <c r="U714" i="4" s="1"/>
  <c r="G1115" i="4"/>
  <c r="F1116" i="4"/>
  <c r="G913" i="4"/>
  <c r="T913" i="4" s="1"/>
  <c r="U913" i="4" s="1"/>
  <c r="F914" i="4"/>
  <c r="G1293" i="4"/>
  <c r="F1294" i="4"/>
  <c r="G1275" i="4"/>
  <c r="F1276" i="4"/>
  <c r="G333" i="4"/>
  <c r="T333" i="4" s="1"/>
  <c r="U333" i="4" s="1"/>
  <c r="F334" i="4"/>
  <c r="G873" i="4"/>
  <c r="T873" i="4" s="1"/>
  <c r="U873" i="4" s="1"/>
  <c r="F874" i="4"/>
  <c r="G653" i="4"/>
  <c r="F654" i="4"/>
  <c r="F1135" i="4"/>
  <c r="G1134" i="4"/>
  <c r="T1134" i="4" s="1"/>
  <c r="U1134" i="4" s="1"/>
  <c r="G894" i="4"/>
  <c r="F895" i="4"/>
  <c r="F1055" i="4"/>
  <c r="G1054" i="4"/>
  <c r="G216" i="4"/>
  <c r="F217" i="4"/>
  <c r="G1334" i="4"/>
  <c r="F1335" i="4"/>
  <c r="G395" i="4"/>
  <c r="F396" i="4"/>
  <c r="G96" i="4"/>
  <c r="F97" i="4"/>
  <c r="F635" i="4"/>
  <c r="G634" i="4"/>
  <c r="T634" i="4" s="1"/>
  <c r="U634" i="4" s="1"/>
  <c r="G1235" i="4"/>
  <c r="F1236" i="4"/>
  <c r="F615" i="4"/>
  <c r="G614" i="4"/>
  <c r="F1095" i="4"/>
  <c r="G1094" i="4"/>
  <c r="T1094" i="4" s="1"/>
  <c r="U1094" i="4" s="1"/>
  <c r="G453" i="4"/>
  <c r="T453" i="4" s="1"/>
  <c r="U453" i="4" s="1"/>
  <c r="F454" i="4"/>
  <c r="F355" i="4"/>
  <c r="G354" i="4"/>
  <c r="F856" i="4"/>
  <c r="G855" i="4"/>
  <c r="G1155" i="4"/>
  <c r="F1015" i="4"/>
  <c r="G1014" i="4"/>
  <c r="T1014" i="4" s="1"/>
  <c r="U1014" i="4" s="1"/>
  <c r="F115" i="4"/>
  <c r="G114" i="4"/>
  <c r="T114" i="4" s="1"/>
  <c r="U114" i="4" s="1"/>
  <c r="G493" i="4"/>
  <c r="T493" i="4" s="1"/>
  <c r="U493" i="4" s="1"/>
  <c r="F494" i="4"/>
  <c r="G1394" i="4"/>
  <c r="F1395" i="4"/>
  <c r="F776" i="4"/>
  <c r="G775" i="4"/>
  <c r="G553" i="4"/>
  <c r="F554" i="4"/>
  <c r="G1374" i="4"/>
  <c r="F1375" i="4"/>
  <c r="F53" i="4"/>
  <c r="G53" i="4" s="1"/>
  <c r="T53" i="4" s="1"/>
  <c r="U53" i="4" s="1"/>
  <c r="T1252" i="4"/>
  <c r="U1252" i="4" s="1"/>
  <c r="T353" i="4"/>
  <c r="U353" i="4" s="1"/>
  <c r="T1212" i="4"/>
  <c r="U1212" i="4" s="1"/>
  <c r="G13" i="4"/>
  <c r="F14" i="4"/>
  <c r="F15" i="4" s="1"/>
  <c r="T1072" i="4"/>
  <c r="U1072" i="4" s="1"/>
  <c r="T1292" i="4"/>
  <c r="U1292" i="4" s="1"/>
  <c r="T932" i="4"/>
  <c r="U932" i="4" s="1"/>
  <c r="T712" i="4"/>
  <c r="U712" i="4" s="1"/>
  <c r="G33" i="4"/>
  <c r="T33" i="4" s="1"/>
  <c r="U33" i="4" s="1"/>
  <c r="F34" i="4"/>
  <c r="F35" i="4" s="1"/>
  <c r="T572" i="4"/>
  <c r="U572" i="4" s="1"/>
  <c r="T132" i="4"/>
  <c r="U132" i="4" s="1"/>
  <c r="T512" i="4"/>
  <c r="U512" i="4" s="1"/>
  <c r="T652" i="4"/>
  <c r="U652" i="4" s="1"/>
  <c r="T1192" i="4"/>
  <c r="U1192" i="4" s="1"/>
  <c r="T1373" i="4"/>
  <c r="U1373" i="4" s="1"/>
  <c r="T732" i="4"/>
  <c r="U732" i="4" s="1"/>
  <c r="T1352" i="4"/>
  <c r="U1352" i="4" s="1"/>
  <c r="T372" i="4"/>
  <c r="U372" i="4" s="1"/>
  <c r="T774" i="4"/>
  <c r="U774" i="4" s="1"/>
  <c r="T213" i="4"/>
  <c r="U213" i="4" s="1"/>
  <c r="T692" i="4"/>
  <c r="U692" i="4" s="1"/>
  <c r="T253" i="4"/>
  <c r="U253" i="4" s="1"/>
  <c r="T73" i="4"/>
  <c r="U73" i="4" s="1"/>
  <c r="T854" i="4"/>
  <c r="U854" i="4" s="1"/>
  <c r="T592" i="4"/>
  <c r="U592" i="4" s="1"/>
  <c r="T673" i="4"/>
  <c r="U673" i="4" s="1"/>
  <c r="T1053" i="4"/>
  <c r="U1053" i="4" s="1"/>
  <c r="T893" i="4"/>
  <c r="U893" i="4" s="1"/>
  <c r="T173" i="4"/>
  <c r="U173" i="4" s="1"/>
  <c r="T753" i="4"/>
  <c r="U753" i="4" s="1"/>
  <c r="T1113" i="4"/>
  <c r="U1113" i="4" s="1"/>
  <c r="T153" i="4"/>
  <c r="U153" i="4" s="1"/>
  <c r="T392" i="4"/>
  <c r="U392" i="4" s="1"/>
  <c r="T552" i="4"/>
  <c r="U552" i="4" s="1"/>
  <c r="T412" i="4"/>
  <c r="U412" i="4" s="1"/>
  <c r="T193" i="4"/>
  <c r="U193" i="4" s="1"/>
  <c r="T293" i="4"/>
  <c r="U293" i="4" s="1"/>
  <c r="T93" i="4"/>
  <c r="U93" i="4" s="1"/>
  <c r="T1332" i="4"/>
  <c r="U1332" i="4" s="1"/>
  <c r="T1232" i="4"/>
  <c r="U1232" i="4" s="1"/>
  <c r="T1172" i="4"/>
  <c r="U1172" i="4" s="1"/>
  <c r="T1274" i="4"/>
  <c r="U1274" i="4" s="1"/>
  <c r="T812" i="4"/>
  <c r="U812" i="4" s="1"/>
  <c r="T472" i="4"/>
  <c r="U472" i="4" s="1"/>
  <c r="T1152" i="4"/>
  <c r="U1152" i="4" s="1"/>
  <c r="T1392" i="4"/>
  <c r="U1392" i="4" s="1"/>
  <c r="T1312" i="4"/>
  <c r="U1312" i="4" s="1"/>
  <c r="T613" i="4"/>
  <c r="U613" i="4" s="1"/>
  <c r="T13" i="4" l="1"/>
  <c r="U13" i="4" s="1"/>
  <c r="G1439" i="4"/>
  <c r="T1439" i="4" s="1"/>
  <c r="U1439" i="4" s="1"/>
  <c r="F1440" i="4"/>
  <c r="G1440" i="4" s="1"/>
  <c r="F1355" i="4"/>
  <c r="G1354" i="4"/>
  <c r="G1416" i="4"/>
  <c r="T1416" i="4" s="1"/>
  <c r="U1416" i="4" s="1"/>
  <c r="F1417" i="4"/>
  <c r="G1034" i="4"/>
  <c r="T1034" i="4" s="1"/>
  <c r="U1034" i="4" s="1"/>
  <c r="F1035" i="4"/>
  <c r="G1194" i="4"/>
  <c r="F1195" i="4"/>
  <c r="G35" i="4"/>
  <c r="F36" i="4"/>
  <c r="G136" i="4"/>
  <c r="F137" i="4"/>
  <c r="G76" i="4"/>
  <c r="F77" i="4"/>
  <c r="G935" i="4"/>
  <c r="F936" i="4"/>
  <c r="G514" i="4"/>
  <c r="F515" i="4"/>
  <c r="G574" i="4"/>
  <c r="F575" i="4"/>
  <c r="F16" i="4"/>
  <c r="G15" i="4"/>
  <c r="G816" i="4"/>
  <c r="F817" i="4"/>
  <c r="G275" i="4"/>
  <c r="F276" i="4"/>
  <c r="G396" i="4"/>
  <c r="F397" i="4"/>
  <c r="F896" i="4"/>
  <c r="G895" i="4"/>
  <c r="F1295" i="4"/>
  <c r="G1294" i="4"/>
  <c r="G177" i="4"/>
  <c r="F178" i="4"/>
  <c r="G954" i="4"/>
  <c r="T954" i="4" s="1"/>
  <c r="U954" i="4" s="1"/>
  <c r="F955" i="4"/>
  <c r="G697" i="4"/>
  <c r="F698" i="4"/>
  <c r="G296" i="4"/>
  <c r="F297" i="4"/>
  <c r="G474" i="4"/>
  <c r="F475" i="4"/>
  <c r="G834" i="4"/>
  <c r="T834" i="4" s="1"/>
  <c r="U834" i="4" s="1"/>
  <c r="F835" i="4"/>
  <c r="G414" i="4"/>
  <c r="F415" i="4"/>
  <c r="G776" i="4"/>
  <c r="F777" i="4"/>
  <c r="G115" i="4"/>
  <c r="F116" i="4"/>
  <c r="G355" i="4"/>
  <c r="F356" i="4"/>
  <c r="G615" i="4"/>
  <c r="F616" i="4"/>
  <c r="G316" i="4"/>
  <c r="F317" i="4"/>
  <c r="G1375" i="4"/>
  <c r="F1376" i="4"/>
  <c r="G454" i="4"/>
  <c r="T454" i="4" s="1"/>
  <c r="U454" i="4" s="1"/>
  <c r="F455" i="4"/>
  <c r="G1236" i="4"/>
  <c r="F1237" i="4"/>
  <c r="G1335" i="4"/>
  <c r="F1336" i="4"/>
  <c r="G334" i="4"/>
  <c r="T334" i="4" s="1"/>
  <c r="U334" i="4" s="1"/>
  <c r="F335" i="4"/>
  <c r="G914" i="4"/>
  <c r="T914" i="4" s="1"/>
  <c r="U914" i="4" s="1"/>
  <c r="F915" i="4"/>
  <c r="G794" i="4"/>
  <c r="T794" i="4" s="1"/>
  <c r="U794" i="4" s="1"/>
  <c r="F795" i="4"/>
  <c r="F1255" i="4"/>
  <c r="G1254" i="4"/>
  <c r="G534" i="4"/>
  <c r="T534" i="4" s="1"/>
  <c r="U534" i="4" s="1"/>
  <c r="F535" i="4"/>
  <c r="G1015" i="4"/>
  <c r="F1016" i="4"/>
  <c r="G1135" i="4"/>
  <c r="F1136" i="4"/>
  <c r="G1395" i="4"/>
  <c r="F1396" i="4"/>
  <c r="G1156" i="4"/>
  <c r="G217" i="4"/>
  <c r="F218" i="4"/>
  <c r="F655" i="4"/>
  <c r="G654" i="4"/>
  <c r="G1276" i="4"/>
  <c r="F1277" i="4"/>
  <c r="G1116" i="4"/>
  <c r="F1117" i="4"/>
  <c r="F596" i="4"/>
  <c r="G595" i="4"/>
  <c r="G996" i="4"/>
  <c r="F997" i="4"/>
  <c r="F975" i="4"/>
  <c r="G974" i="4"/>
  <c r="T974" i="4" s="1"/>
  <c r="U974" i="4" s="1"/>
  <c r="F735" i="4"/>
  <c r="G734" i="4"/>
  <c r="G374" i="4"/>
  <c r="F375" i="4"/>
  <c r="G155" i="4"/>
  <c r="F156" i="4"/>
  <c r="G195" i="4"/>
  <c r="F196" i="4"/>
  <c r="F435" i="4"/>
  <c r="G434" i="4"/>
  <c r="T434" i="4" s="1"/>
  <c r="U434" i="4" s="1"/>
  <c r="G635" i="4"/>
  <c r="F636" i="4"/>
  <c r="F236" i="4"/>
  <c r="G235" i="4"/>
  <c r="G1175" i="4"/>
  <c r="F1176" i="4"/>
  <c r="G676" i="4"/>
  <c r="F677" i="4"/>
  <c r="G554" i="4"/>
  <c r="F555" i="4"/>
  <c r="G494" i="4"/>
  <c r="T494" i="4" s="1"/>
  <c r="U494" i="4" s="1"/>
  <c r="F495" i="4"/>
  <c r="G97" i="4"/>
  <c r="F98" i="4"/>
  <c r="G874" i="4"/>
  <c r="T874" i="4" s="1"/>
  <c r="U874" i="4" s="1"/>
  <c r="F875" i="4"/>
  <c r="G1076" i="4"/>
  <c r="F1077" i="4"/>
  <c r="F1215" i="4"/>
  <c r="G1214" i="4"/>
  <c r="G856" i="4"/>
  <c r="F857" i="4"/>
  <c r="G1095" i="4"/>
  <c r="F1096" i="4"/>
  <c r="G1055" i="4"/>
  <c r="F1056" i="4"/>
  <c r="G715" i="4"/>
  <c r="T715" i="4" s="1"/>
  <c r="U715" i="4" s="1"/>
  <c r="F716" i="4"/>
  <c r="G756" i="4"/>
  <c r="F757" i="4"/>
  <c r="G1315" i="4"/>
  <c r="F1316" i="4"/>
  <c r="G255" i="4"/>
  <c r="F256" i="4"/>
  <c r="F54" i="4"/>
  <c r="T1213" i="4"/>
  <c r="U1213" i="4" s="1"/>
  <c r="T354" i="4"/>
  <c r="U354" i="4" s="1"/>
  <c r="T1253" i="4"/>
  <c r="U1253" i="4" s="1"/>
  <c r="T1293" i="4"/>
  <c r="U1293" i="4" s="1"/>
  <c r="T1073" i="4"/>
  <c r="U1073" i="4" s="1"/>
  <c r="G14" i="4"/>
  <c r="T14" i="4" s="1"/>
  <c r="U14" i="4" s="1"/>
  <c r="T933" i="4"/>
  <c r="U933" i="4" s="1"/>
  <c r="T1353" i="4"/>
  <c r="U1353" i="4" s="1"/>
  <c r="T733" i="4"/>
  <c r="U733" i="4" s="1"/>
  <c r="T573" i="4"/>
  <c r="U573" i="4" s="1"/>
  <c r="G34" i="4"/>
  <c r="T34" i="4" s="1"/>
  <c r="U34" i="4" s="1"/>
  <c r="T1374" i="4"/>
  <c r="U1374" i="4" s="1"/>
  <c r="T653" i="4"/>
  <c r="U653" i="4" s="1"/>
  <c r="T373" i="4"/>
  <c r="U373" i="4" s="1"/>
  <c r="T214" i="4"/>
  <c r="U214" i="4" s="1"/>
  <c r="T1193" i="4"/>
  <c r="U1193" i="4" s="1"/>
  <c r="T513" i="4"/>
  <c r="U513" i="4" s="1"/>
  <c r="T133" i="4"/>
  <c r="U133" i="4" s="1"/>
  <c r="T713" i="4"/>
  <c r="U713" i="4" s="1"/>
  <c r="T74" i="4"/>
  <c r="U74" i="4" s="1"/>
  <c r="T254" i="4"/>
  <c r="U254" i="4" s="1"/>
  <c r="T553" i="4"/>
  <c r="U553" i="4" s="1"/>
  <c r="T1114" i="4"/>
  <c r="U1114" i="4" s="1"/>
  <c r="T174" i="4"/>
  <c r="U174" i="4" s="1"/>
  <c r="T94" i="4"/>
  <c r="U94" i="4" s="1"/>
  <c r="T1173" i="4"/>
  <c r="U1173" i="4" s="1"/>
  <c r="T614" i="4"/>
  <c r="U614" i="4" s="1"/>
  <c r="T813" i="4"/>
  <c r="U813" i="4" s="1"/>
  <c r="T894" i="4"/>
  <c r="U894" i="4" s="1"/>
  <c r="T1313" i="4"/>
  <c r="U1313" i="4" s="1"/>
  <c r="T1233" i="4"/>
  <c r="U1233" i="4" s="1"/>
  <c r="T194" i="4"/>
  <c r="U194" i="4" s="1"/>
  <c r="T1054" i="4"/>
  <c r="U1054" i="4" s="1"/>
  <c r="T593" i="4"/>
  <c r="U593" i="4" s="1"/>
  <c r="T693" i="4"/>
  <c r="U693" i="4" s="1"/>
  <c r="T393" i="4"/>
  <c r="U393" i="4" s="1"/>
  <c r="T674" i="4"/>
  <c r="U674" i="4" s="1"/>
  <c r="T1393" i="4"/>
  <c r="U1393" i="4" s="1"/>
  <c r="T1153" i="4"/>
  <c r="U1153" i="4" s="1"/>
  <c r="T754" i="4"/>
  <c r="U754" i="4" s="1"/>
  <c r="T154" i="4"/>
  <c r="U154" i="4" s="1"/>
  <c r="T473" i="4"/>
  <c r="U473" i="4" s="1"/>
  <c r="T1333" i="4"/>
  <c r="U1333" i="4" s="1"/>
  <c r="T294" i="4"/>
  <c r="U294" i="4" s="1"/>
  <c r="T413" i="4"/>
  <c r="U413" i="4" s="1"/>
  <c r="M2808" i="3" l="1"/>
  <c r="M2761" i="3"/>
  <c r="M2775" i="3"/>
  <c r="M2774" i="3"/>
  <c r="M2807" i="3"/>
  <c r="M2762" i="3"/>
  <c r="H685" i="15"/>
  <c r="J685" i="15" s="1"/>
  <c r="L685" i="15" s="1"/>
  <c r="H681" i="15"/>
  <c r="J681" i="15" s="1"/>
  <c r="L681" i="15" s="1"/>
  <c r="J679" i="15"/>
  <c r="L679" i="15" s="1"/>
  <c r="J678" i="15"/>
  <c r="L678" i="15" s="1"/>
  <c r="J680" i="15"/>
  <c r="L680" i="15" s="1"/>
  <c r="J676" i="15"/>
  <c r="L676" i="15" s="1"/>
  <c r="J677" i="15"/>
  <c r="L677" i="15" s="1"/>
  <c r="T1440" i="4"/>
  <c r="U1440" i="4" s="1"/>
  <c r="T1354" i="4"/>
  <c r="U1354" i="4" s="1"/>
  <c r="F1356" i="4"/>
  <c r="G1355" i="4"/>
  <c r="G1417" i="4"/>
  <c r="T1417" i="4" s="1"/>
  <c r="U1417" i="4" s="1"/>
  <c r="F1418" i="4"/>
  <c r="G1035" i="4"/>
  <c r="F1036" i="4"/>
  <c r="F1196" i="4"/>
  <c r="G1195" i="4"/>
  <c r="G817" i="4"/>
  <c r="F818" i="4"/>
  <c r="G936" i="4"/>
  <c r="F937" i="4"/>
  <c r="G54" i="4"/>
  <c r="T54" i="4" s="1"/>
  <c r="U54" i="4" s="1"/>
  <c r="F55" i="4"/>
  <c r="G77" i="4"/>
  <c r="F78" i="4"/>
  <c r="G16" i="4"/>
  <c r="F17" i="4"/>
  <c r="F576" i="4"/>
  <c r="G575" i="4"/>
  <c r="G137" i="4"/>
  <c r="F138" i="4"/>
  <c r="G276" i="4"/>
  <c r="F277" i="4"/>
  <c r="F516" i="4"/>
  <c r="G515" i="4"/>
  <c r="G36" i="4"/>
  <c r="F37" i="4"/>
  <c r="F758" i="4"/>
  <c r="G757" i="4"/>
  <c r="G1096" i="4"/>
  <c r="F1097" i="4"/>
  <c r="F496" i="4"/>
  <c r="G495" i="4"/>
  <c r="G196" i="4"/>
  <c r="F197" i="4"/>
  <c r="G1117" i="4"/>
  <c r="F1118" i="4"/>
  <c r="G1016" i="4"/>
  <c r="F1017" i="4"/>
  <c r="G795" i="4"/>
  <c r="F796" i="4"/>
  <c r="F1337" i="4"/>
  <c r="G1336" i="4"/>
  <c r="G317" i="4"/>
  <c r="F318" i="4"/>
  <c r="G116" i="4"/>
  <c r="F117" i="4"/>
  <c r="F476" i="4"/>
  <c r="G475" i="4"/>
  <c r="F179" i="4"/>
  <c r="G178" i="4"/>
  <c r="G236" i="4"/>
  <c r="F237" i="4"/>
  <c r="G716" i="4"/>
  <c r="T716" i="4" s="1"/>
  <c r="U716" i="4" s="1"/>
  <c r="F717" i="4"/>
  <c r="F718" i="4" s="1"/>
  <c r="F719" i="4" s="1"/>
  <c r="F720" i="4" s="1"/>
  <c r="G857" i="4"/>
  <c r="F858" i="4"/>
  <c r="G1077" i="4"/>
  <c r="F1078" i="4"/>
  <c r="F556" i="4"/>
  <c r="G555" i="4"/>
  <c r="G636" i="4"/>
  <c r="F637" i="4"/>
  <c r="G156" i="4"/>
  <c r="F157" i="4"/>
  <c r="G1277" i="4"/>
  <c r="F1278" i="4"/>
  <c r="G1157" i="4"/>
  <c r="G1237" i="4"/>
  <c r="F1238" i="4"/>
  <c r="G777" i="4"/>
  <c r="F778" i="4"/>
  <c r="G297" i="4"/>
  <c r="F298" i="4"/>
  <c r="G975" i="4"/>
  <c r="F976" i="4"/>
  <c r="G1295" i="4"/>
  <c r="F1296" i="4"/>
  <c r="G256" i="4"/>
  <c r="F257" i="4"/>
  <c r="F876" i="4"/>
  <c r="G875" i="4"/>
  <c r="T875" i="4" s="1"/>
  <c r="U875" i="4" s="1"/>
  <c r="F678" i="4"/>
  <c r="G677" i="4"/>
  <c r="F376" i="4"/>
  <c r="G375" i="4"/>
  <c r="G997" i="4"/>
  <c r="F998" i="4"/>
  <c r="G1396" i="4"/>
  <c r="F1397" i="4"/>
  <c r="F536" i="4"/>
  <c r="G535" i="4"/>
  <c r="T535" i="4" s="1"/>
  <c r="U535" i="4" s="1"/>
  <c r="F916" i="4"/>
  <c r="G915" i="4"/>
  <c r="F456" i="4"/>
  <c r="G455" i="4"/>
  <c r="G616" i="4"/>
  <c r="F617" i="4"/>
  <c r="F416" i="4"/>
  <c r="G415" i="4"/>
  <c r="F699" i="4"/>
  <c r="G698" i="4"/>
  <c r="G1215" i="4"/>
  <c r="F1216" i="4"/>
  <c r="G655" i="4"/>
  <c r="F656" i="4"/>
  <c r="G896" i="4"/>
  <c r="F897" i="4"/>
  <c r="G1316" i="4"/>
  <c r="F1317" i="4"/>
  <c r="G1056" i="4"/>
  <c r="F1057" i="4"/>
  <c r="F99" i="4"/>
  <c r="G98" i="4"/>
  <c r="G1176" i="4"/>
  <c r="F1177" i="4"/>
  <c r="F219" i="4"/>
  <c r="G218" i="4"/>
  <c r="G1136" i="4"/>
  <c r="F1137" i="4"/>
  <c r="G335" i="4"/>
  <c r="F336" i="4"/>
  <c r="G1376" i="4"/>
  <c r="F1377" i="4"/>
  <c r="G356" i="4"/>
  <c r="F357" i="4"/>
  <c r="G835" i="4"/>
  <c r="F836" i="4"/>
  <c r="F956" i="4"/>
  <c r="G955" i="4"/>
  <c r="G397" i="4"/>
  <c r="F398" i="4"/>
  <c r="G435" i="4"/>
  <c r="T435" i="4" s="1"/>
  <c r="U435" i="4" s="1"/>
  <c r="F436" i="4"/>
  <c r="G735" i="4"/>
  <c r="F736" i="4"/>
  <c r="F597" i="4"/>
  <c r="G596" i="4"/>
  <c r="G1255" i="4"/>
  <c r="F1256" i="4"/>
  <c r="T1254" i="4"/>
  <c r="U1254" i="4" s="1"/>
  <c r="T1214" i="4"/>
  <c r="U1214" i="4" s="1"/>
  <c r="T1074" i="4"/>
  <c r="U1074" i="4" s="1"/>
  <c r="T934" i="4"/>
  <c r="U934" i="4" s="1"/>
  <c r="T1294" i="4"/>
  <c r="U1294" i="4" s="1"/>
  <c r="T134" i="4"/>
  <c r="U134" i="4" s="1"/>
  <c r="T514" i="4"/>
  <c r="U514" i="4" s="1"/>
  <c r="T374" i="4"/>
  <c r="U374" i="4" s="1"/>
  <c r="T574" i="4"/>
  <c r="U574" i="4" s="1"/>
  <c r="T1194" i="4"/>
  <c r="U1194" i="4" s="1"/>
  <c r="T654" i="4"/>
  <c r="U654" i="4" s="1"/>
  <c r="T734" i="4"/>
  <c r="U734" i="4" s="1"/>
  <c r="T1334" i="4"/>
  <c r="U1334" i="4" s="1"/>
  <c r="T554" i="4"/>
  <c r="U554" i="4" s="1"/>
  <c r="T1015" i="4"/>
  <c r="U1015" i="4" s="1"/>
  <c r="T235" i="4"/>
  <c r="U235" i="4" s="1"/>
  <c r="T1314" i="4"/>
  <c r="U1314" i="4" s="1"/>
  <c r="T315" i="4"/>
  <c r="U315" i="4" s="1"/>
  <c r="T275" i="4"/>
  <c r="U275" i="4" s="1"/>
  <c r="T414" i="4"/>
  <c r="U414" i="4" s="1"/>
  <c r="T474" i="4"/>
  <c r="U474" i="4" s="1"/>
  <c r="T1154" i="4"/>
  <c r="U1154" i="4" s="1"/>
  <c r="T394" i="4"/>
  <c r="U394" i="4" s="1"/>
  <c r="T995" i="4"/>
  <c r="U995" i="4" s="1"/>
  <c r="T1394" i="4"/>
  <c r="U1394" i="4" s="1"/>
  <c r="T694" i="4"/>
  <c r="U694" i="4" s="1"/>
  <c r="T594" i="4"/>
  <c r="U594" i="4" s="1"/>
  <c r="T1234" i="4"/>
  <c r="U1234" i="4" s="1"/>
  <c r="T814" i="4"/>
  <c r="U814" i="4" s="1"/>
  <c r="F1357" i="4" l="1"/>
  <c r="G1356" i="4"/>
  <c r="G1418" i="4"/>
  <c r="T1418" i="4" s="1"/>
  <c r="U1418" i="4" s="1"/>
  <c r="F1419" i="4"/>
  <c r="F1037" i="4"/>
  <c r="G1036" i="4"/>
  <c r="G1196" i="4"/>
  <c r="F1197" i="4"/>
  <c r="F278" i="4"/>
  <c r="G277" i="4"/>
  <c r="F79" i="4"/>
  <c r="G78" i="4"/>
  <c r="G138" i="4"/>
  <c r="F139" i="4"/>
  <c r="G55" i="4"/>
  <c r="F56" i="4"/>
  <c r="G37" i="4"/>
  <c r="F38" i="4"/>
  <c r="G937" i="4"/>
  <c r="F938" i="4"/>
  <c r="F577" i="4"/>
  <c r="G576" i="4"/>
  <c r="G17" i="4"/>
  <c r="F18" i="4"/>
  <c r="F20" i="4" s="1"/>
  <c r="G20" i="4" s="1"/>
  <c r="T20" i="4" s="1"/>
  <c r="U20" i="4" s="1"/>
  <c r="G818" i="4"/>
  <c r="F819" i="4"/>
  <c r="G516" i="4"/>
  <c r="F517" i="4"/>
  <c r="G736" i="4"/>
  <c r="F737" i="4"/>
  <c r="F837" i="4"/>
  <c r="G836" i="4"/>
  <c r="F1138" i="4"/>
  <c r="G1137" i="4"/>
  <c r="G656" i="4"/>
  <c r="F657" i="4"/>
  <c r="G617" i="4"/>
  <c r="F618" i="4"/>
  <c r="F1398" i="4"/>
  <c r="G1397" i="4"/>
  <c r="G1296" i="4"/>
  <c r="F1297" i="4"/>
  <c r="G778" i="4"/>
  <c r="F779" i="4"/>
  <c r="G1158" i="4"/>
  <c r="G237" i="4"/>
  <c r="F238" i="4"/>
  <c r="G318" i="4"/>
  <c r="F319" i="4"/>
  <c r="F679" i="4"/>
  <c r="G678" i="4"/>
  <c r="F557" i="4"/>
  <c r="G556" i="4"/>
  <c r="F497" i="4"/>
  <c r="G496" i="4"/>
  <c r="G436" i="4"/>
  <c r="T436" i="4" s="1"/>
  <c r="U436" i="4" s="1"/>
  <c r="F437" i="4"/>
  <c r="G357" i="4"/>
  <c r="F358" i="4"/>
  <c r="F1058" i="4"/>
  <c r="G1057" i="4"/>
  <c r="G1216" i="4"/>
  <c r="F1217" i="4"/>
  <c r="F999" i="4"/>
  <c r="G998" i="4"/>
  <c r="F1239" i="4"/>
  <c r="G1238" i="4"/>
  <c r="F1279" i="4"/>
  <c r="G1278" i="4"/>
  <c r="F1079" i="4"/>
  <c r="G1078" i="4"/>
  <c r="F1119" i="4"/>
  <c r="G1118" i="4"/>
  <c r="G219" i="4"/>
  <c r="F220" i="4"/>
  <c r="F457" i="4"/>
  <c r="G456" i="4"/>
  <c r="F877" i="4"/>
  <c r="G876" i="4"/>
  <c r="T876" i="4" s="1"/>
  <c r="U876" i="4" s="1"/>
  <c r="G179" i="4"/>
  <c r="F180" i="4"/>
  <c r="G1337" i="4"/>
  <c r="F1338" i="4"/>
  <c r="G1256" i="4"/>
  <c r="F1257" i="4"/>
  <c r="G398" i="4"/>
  <c r="F399" i="4"/>
  <c r="G1377" i="4"/>
  <c r="F1378" i="4"/>
  <c r="F1178" i="4"/>
  <c r="G1177" i="4"/>
  <c r="F1318" i="4"/>
  <c r="G1317" i="4"/>
  <c r="G976" i="4"/>
  <c r="F977" i="4"/>
  <c r="G157" i="4"/>
  <c r="F158" i="4"/>
  <c r="G858" i="4"/>
  <c r="F859" i="4"/>
  <c r="F797" i="4"/>
  <c r="G796" i="4"/>
  <c r="F1098" i="4"/>
  <c r="G1097" i="4"/>
  <c r="F700" i="4"/>
  <c r="G699" i="4"/>
  <c r="F917" i="4"/>
  <c r="G916" i="4"/>
  <c r="G376" i="4"/>
  <c r="F377" i="4"/>
  <c r="G476" i="4"/>
  <c r="F477" i="4"/>
  <c r="F337" i="4"/>
  <c r="G336" i="4"/>
  <c r="G897" i="4"/>
  <c r="F898" i="4"/>
  <c r="G257" i="4"/>
  <c r="F258" i="4"/>
  <c r="F299" i="4"/>
  <c r="G298" i="4"/>
  <c r="G637" i="4"/>
  <c r="F638" i="4"/>
  <c r="G717" i="4"/>
  <c r="T717" i="4" s="1"/>
  <c r="U717" i="4" s="1"/>
  <c r="G117" i="4"/>
  <c r="F118" i="4"/>
  <c r="F1018" i="4"/>
  <c r="G1017" i="4"/>
  <c r="G197" i="4"/>
  <c r="F198" i="4"/>
  <c r="G597" i="4"/>
  <c r="F598" i="4"/>
  <c r="F957" i="4"/>
  <c r="G956" i="4"/>
  <c r="G99" i="4"/>
  <c r="F100" i="4"/>
  <c r="G416" i="4"/>
  <c r="F417" i="4"/>
  <c r="F537" i="4"/>
  <c r="G536" i="4"/>
  <c r="T536" i="4" s="1"/>
  <c r="U536" i="4" s="1"/>
  <c r="F759" i="4"/>
  <c r="G758" i="4"/>
  <c r="T775" i="4"/>
  <c r="U775" i="4" s="1"/>
  <c r="T236" i="4"/>
  <c r="U236" i="4" s="1"/>
  <c r="T1135" i="4"/>
  <c r="U1135" i="4" s="1"/>
  <c r="T855" i="4"/>
  <c r="U855" i="4" s="1"/>
  <c r="T1275" i="4"/>
  <c r="U1275" i="4" s="1"/>
  <c r="T495" i="4"/>
  <c r="U495" i="4" s="1"/>
  <c r="T996" i="4"/>
  <c r="U996" i="4" s="1"/>
  <c r="T276" i="4"/>
  <c r="U276" i="4" s="1"/>
  <c r="T115" i="4"/>
  <c r="U115" i="4" s="1"/>
  <c r="T316" i="4"/>
  <c r="U316" i="4" s="1"/>
  <c r="T1016" i="4"/>
  <c r="U1016" i="4" s="1"/>
  <c r="T1095" i="4"/>
  <c r="U1095" i="4" s="1"/>
  <c r="T635" i="4"/>
  <c r="U635" i="4" s="1"/>
  <c r="M2765" i="3" l="1"/>
  <c r="F1358" i="4"/>
  <c r="G1357" i="4"/>
  <c r="G1419" i="4"/>
  <c r="T1419" i="4" s="1"/>
  <c r="U1419" i="4" s="1"/>
  <c r="F1420" i="4"/>
  <c r="G1420" i="4" s="1"/>
  <c r="G1037" i="4"/>
  <c r="F1038" i="4"/>
  <c r="G1197" i="4"/>
  <c r="F1198" i="4"/>
  <c r="F19" i="4"/>
  <c r="G18" i="4"/>
  <c r="G56" i="4"/>
  <c r="F57" i="4"/>
  <c r="G139" i="4"/>
  <c r="F140" i="4"/>
  <c r="G577" i="4"/>
  <c r="F578" i="4"/>
  <c r="G517" i="4"/>
  <c r="F518" i="4"/>
  <c r="G938" i="4"/>
  <c r="F939" i="4"/>
  <c r="F80" i="4"/>
  <c r="G79" i="4"/>
  <c r="G819" i="4"/>
  <c r="F820" i="4"/>
  <c r="G38" i="4"/>
  <c r="F39" i="4"/>
  <c r="F279" i="4"/>
  <c r="G278" i="4"/>
  <c r="F119" i="4"/>
  <c r="G118" i="4"/>
  <c r="G477" i="4"/>
  <c r="F478" i="4"/>
  <c r="F159" i="4"/>
  <c r="G158" i="4"/>
  <c r="F1339" i="4"/>
  <c r="G1338" i="4"/>
  <c r="G220" i="4"/>
  <c r="F1218" i="4"/>
  <c r="G1217" i="4"/>
  <c r="G319" i="4"/>
  <c r="F320" i="4"/>
  <c r="F1298" i="4"/>
  <c r="G1297" i="4"/>
  <c r="G759" i="4"/>
  <c r="F760" i="4"/>
  <c r="G957" i="4"/>
  <c r="F958" i="4"/>
  <c r="G299" i="4"/>
  <c r="F300" i="4"/>
  <c r="G1098" i="4"/>
  <c r="F1099" i="4"/>
  <c r="G1178" i="4"/>
  <c r="F1179" i="4"/>
  <c r="G1279" i="4"/>
  <c r="F1280" i="4"/>
  <c r="G497" i="4"/>
  <c r="F498" i="4"/>
  <c r="G598" i="4"/>
  <c r="F599" i="4"/>
  <c r="G718" i="4"/>
  <c r="T718" i="4" s="1"/>
  <c r="U718" i="4" s="1"/>
  <c r="F259" i="4"/>
  <c r="G258" i="4"/>
  <c r="G377" i="4"/>
  <c r="F378" i="4"/>
  <c r="F1379" i="4"/>
  <c r="G1378" i="4"/>
  <c r="G180" i="4"/>
  <c r="F239" i="4"/>
  <c r="G238" i="4"/>
  <c r="G537" i="4"/>
  <c r="T537" i="4" s="1"/>
  <c r="U537" i="4" s="1"/>
  <c r="F538" i="4"/>
  <c r="G1239" i="4"/>
  <c r="F1240" i="4"/>
  <c r="G1058" i="4"/>
  <c r="F1059" i="4"/>
  <c r="G557" i="4"/>
  <c r="F558" i="4"/>
  <c r="G1398" i="4"/>
  <c r="F1399" i="4"/>
  <c r="G1138" i="4"/>
  <c r="F1139" i="4"/>
  <c r="F418" i="4"/>
  <c r="G417" i="4"/>
  <c r="F199" i="4"/>
  <c r="G198" i="4"/>
  <c r="F639" i="4"/>
  <c r="G638" i="4"/>
  <c r="G898" i="4"/>
  <c r="F899" i="4"/>
  <c r="F978" i="4"/>
  <c r="G977" i="4"/>
  <c r="F400" i="4"/>
  <c r="G399" i="4"/>
  <c r="G358" i="4"/>
  <c r="F359" i="4"/>
  <c r="F619" i="4"/>
  <c r="G618" i="4"/>
  <c r="G917" i="4"/>
  <c r="F918" i="4"/>
  <c r="G797" i="4"/>
  <c r="F798" i="4"/>
  <c r="G877" i="4"/>
  <c r="T877" i="4" s="1"/>
  <c r="U877" i="4" s="1"/>
  <c r="F878" i="4"/>
  <c r="G1119" i="4"/>
  <c r="F1120" i="4"/>
  <c r="G679" i="4"/>
  <c r="F680" i="4"/>
  <c r="G1159" i="4"/>
  <c r="F1160" i="4"/>
  <c r="G837" i="4"/>
  <c r="F838" i="4"/>
  <c r="G100" i="4"/>
  <c r="F860" i="4"/>
  <c r="G859" i="4"/>
  <c r="F1258" i="4"/>
  <c r="G1257" i="4"/>
  <c r="G437" i="4"/>
  <c r="T437" i="4" s="1"/>
  <c r="U437" i="4" s="1"/>
  <c r="F438" i="4"/>
  <c r="G779" i="4"/>
  <c r="F780" i="4"/>
  <c r="G657" i="4"/>
  <c r="F658" i="4"/>
  <c r="G737" i="4"/>
  <c r="F738" i="4"/>
  <c r="G1018" i="4"/>
  <c r="F1019" i="4"/>
  <c r="G337" i="4"/>
  <c r="F338" i="4"/>
  <c r="G700" i="4"/>
  <c r="G1318" i="4"/>
  <c r="F1319" i="4"/>
  <c r="G457" i="4"/>
  <c r="F458" i="4"/>
  <c r="G1079" i="4"/>
  <c r="F1080" i="4"/>
  <c r="G999" i="4"/>
  <c r="F1000" i="4"/>
  <c r="T355" i="4"/>
  <c r="U355" i="4" s="1"/>
  <c r="T915" i="4"/>
  <c r="U915" i="4" s="1"/>
  <c r="T15" i="4"/>
  <c r="U15" i="4" s="1"/>
  <c r="T1375" i="4"/>
  <c r="U1375" i="4" s="1"/>
  <c r="T35" i="4"/>
  <c r="U35" i="4" s="1"/>
  <c r="T776" i="4"/>
  <c r="U776" i="4" s="1"/>
  <c r="T795" i="4"/>
  <c r="U795" i="4" s="1"/>
  <c r="T215" i="4"/>
  <c r="U215" i="4" s="1"/>
  <c r="T277" i="4"/>
  <c r="U277" i="4" s="1"/>
  <c r="T636" i="4"/>
  <c r="U636" i="4" s="1"/>
  <c r="T1096" i="4"/>
  <c r="U1096" i="4" s="1"/>
  <c r="T675" i="4"/>
  <c r="U675" i="4" s="1"/>
  <c r="T496" i="4"/>
  <c r="U496" i="4" s="1"/>
  <c r="T856" i="4"/>
  <c r="U856" i="4" s="1"/>
  <c r="T55" i="4"/>
  <c r="U55" i="4" s="1"/>
  <c r="T237" i="4"/>
  <c r="U237" i="4" s="1"/>
  <c r="T1115" i="4"/>
  <c r="U1115" i="4" s="1"/>
  <c r="T155" i="4"/>
  <c r="U155" i="4" s="1"/>
  <c r="T255" i="4"/>
  <c r="U255" i="4" s="1"/>
  <c r="T1017" i="4"/>
  <c r="U1017" i="4" s="1"/>
  <c r="T295" i="4"/>
  <c r="U295" i="4" s="1"/>
  <c r="T1035" i="4"/>
  <c r="U1035" i="4" s="1"/>
  <c r="T895" i="4"/>
  <c r="U895" i="4" s="1"/>
  <c r="T1276" i="4"/>
  <c r="U1276" i="4" s="1"/>
  <c r="T975" i="4"/>
  <c r="U975" i="4" s="1"/>
  <c r="T1136" i="4"/>
  <c r="U1136" i="4" s="1"/>
  <c r="T195" i="4"/>
  <c r="U195" i="4" s="1"/>
  <c r="T455" i="4"/>
  <c r="U455" i="4" s="1"/>
  <c r="T335" i="4"/>
  <c r="U335" i="4" s="1"/>
  <c r="T317" i="4"/>
  <c r="U317" i="4" s="1"/>
  <c r="T175" i="4"/>
  <c r="U175" i="4" s="1"/>
  <c r="T1055" i="4"/>
  <c r="U1055" i="4" s="1"/>
  <c r="T75" i="4"/>
  <c r="U75" i="4" s="1"/>
  <c r="T116" i="4"/>
  <c r="U116" i="4" s="1"/>
  <c r="T997" i="4"/>
  <c r="U997" i="4" s="1"/>
  <c r="T755" i="4"/>
  <c r="U755" i="4" s="1"/>
  <c r="T615" i="4"/>
  <c r="U615" i="4" s="1"/>
  <c r="T95" i="4"/>
  <c r="U95" i="4" s="1"/>
  <c r="T835" i="4"/>
  <c r="U835" i="4" s="1"/>
  <c r="T955" i="4"/>
  <c r="U955" i="4" s="1"/>
  <c r="T1420" i="4" l="1"/>
  <c r="U1420" i="4" s="1"/>
  <c r="F1359" i="4"/>
  <c r="G1358" i="4"/>
  <c r="F1039" i="4"/>
  <c r="G1038" i="4"/>
  <c r="F1199" i="4"/>
  <c r="G1198" i="4"/>
  <c r="G140" i="4"/>
  <c r="G820" i="4"/>
  <c r="G80" i="4"/>
  <c r="F940" i="4"/>
  <c r="G939" i="4"/>
  <c r="G57" i="4"/>
  <c r="F58" i="4"/>
  <c r="G279" i="4"/>
  <c r="F280" i="4"/>
  <c r="F40" i="4"/>
  <c r="G40" i="4" s="1"/>
  <c r="G39" i="4"/>
  <c r="G518" i="4"/>
  <c r="F519" i="4"/>
  <c r="G578" i="4"/>
  <c r="F579" i="4"/>
  <c r="G19" i="4"/>
  <c r="G458" i="4"/>
  <c r="F459" i="4"/>
  <c r="G1019" i="4"/>
  <c r="F1020" i="4"/>
  <c r="G438" i="4"/>
  <c r="T438" i="4" s="1"/>
  <c r="U438" i="4" s="1"/>
  <c r="F439" i="4"/>
  <c r="G1120" i="4"/>
  <c r="G1059" i="4"/>
  <c r="F1060" i="4"/>
  <c r="G538" i="4"/>
  <c r="T538" i="4" s="1"/>
  <c r="U538" i="4" s="1"/>
  <c r="F539" i="4"/>
  <c r="F379" i="4"/>
  <c r="G378" i="4"/>
  <c r="G1099" i="4"/>
  <c r="F1100" i="4"/>
  <c r="F620" i="4"/>
  <c r="G619" i="4"/>
  <c r="G978" i="4"/>
  <c r="F979" i="4"/>
  <c r="F419" i="4"/>
  <c r="G418" i="4"/>
  <c r="F1299" i="4"/>
  <c r="G1298" i="4"/>
  <c r="G1339" i="4"/>
  <c r="F1340" i="4"/>
  <c r="G1319" i="4"/>
  <c r="F1320" i="4"/>
  <c r="F739" i="4"/>
  <c r="G738" i="4"/>
  <c r="G838" i="4"/>
  <c r="F839" i="4"/>
  <c r="G878" i="4"/>
  <c r="T878" i="4" s="1"/>
  <c r="U878" i="4" s="1"/>
  <c r="F879" i="4"/>
  <c r="F360" i="4"/>
  <c r="G359" i="4"/>
  <c r="F900" i="4"/>
  <c r="G899" i="4"/>
  <c r="G1139" i="4"/>
  <c r="F1140" i="4"/>
  <c r="G1240" i="4"/>
  <c r="G498" i="4"/>
  <c r="F499" i="4"/>
  <c r="G300" i="4"/>
  <c r="G320" i="4"/>
  <c r="G1258" i="4"/>
  <c r="F1259" i="4"/>
  <c r="G239" i="4"/>
  <c r="F240" i="4"/>
  <c r="F260" i="4"/>
  <c r="G259" i="4"/>
  <c r="F160" i="4"/>
  <c r="G159" i="4"/>
  <c r="G1000" i="4"/>
  <c r="F659" i="4"/>
  <c r="G658" i="4"/>
  <c r="G1160" i="4"/>
  <c r="F799" i="4"/>
  <c r="G798" i="4"/>
  <c r="G1399" i="4"/>
  <c r="F1400" i="4"/>
  <c r="G1400" i="4" s="1"/>
  <c r="M2737" i="3" s="1"/>
  <c r="G1280" i="4"/>
  <c r="F959" i="4"/>
  <c r="G958" i="4"/>
  <c r="G478" i="4"/>
  <c r="F479" i="4"/>
  <c r="G860" i="4"/>
  <c r="F640" i="4"/>
  <c r="G639" i="4"/>
  <c r="G720" i="4"/>
  <c r="T720" i="4" s="1"/>
  <c r="U720" i="4" s="1"/>
  <c r="G719" i="4"/>
  <c r="T719" i="4" s="1"/>
  <c r="U719" i="4" s="1"/>
  <c r="G1218" i="4"/>
  <c r="F1219" i="4"/>
  <c r="G1080" i="4"/>
  <c r="G338" i="4"/>
  <c r="F339" i="4"/>
  <c r="G780" i="4"/>
  <c r="G680" i="4"/>
  <c r="G918" i="4"/>
  <c r="F919" i="4"/>
  <c r="G558" i="4"/>
  <c r="F559" i="4"/>
  <c r="F600" i="4"/>
  <c r="G599" i="4"/>
  <c r="G1179" i="4"/>
  <c r="F1180" i="4"/>
  <c r="G760" i="4"/>
  <c r="G400" i="4"/>
  <c r="F200" i="4"/>
  <c r="G199" i="4"/>
  <c r="G1379" i="4"/>
  <c r="F1380" i="4"/>
  <c r="F120" i="4"/>
  <c r="G119" i="4"/>
  <c r="T916" i="4"/>
  <c r="U916" i="4" s="1"/>
  <c r="T1215" i="4"/>
  <c r="U1215" i="4" s="1"/>
  <c r="T356" i="4"/>
  <c r="U356" i="4" s="1"/>
  <c r="T1255" i="4"/>
  <c r="U1255" i="4" s="1"/>
  <c r="T16" i="4"/>
  <c r="U16" i="4" s="1"/>
  <c r="T1075" i="4"/>
  <c r="U1075" i="4" s="1"/>
  <c r="T935" i="4"/>
  <c r="U935" i="4" s="1"/>
  <c r="T1295" i="4"/>
  <c r="U1295" i="4" s="1"/>
  <c r="T735" i="4"/>
  <c r="U735" i="4" s="1"/>
  <c r="T135" i="4"/>
  <c r="U135" i="4" s="1"/>
  <c r="T655" i="4"/>
  <c r="U655" i="4" s="1"/>
  <c r="T1195" i="4"/>
  <c r="U1195" i="4" s="1"/>
  <c r="T777" i="4"/>
  <c r="U777" i="4" s="1"/>
  <c r="T796" i="4"/>
  <c r="U796" i="4" s="1"/>
  <c r="T375" i="4"/>
  <c r="U375" i="4" s="1"/>
  <c r="T515" i="4"/>
  <c r="U515" i="4" s="1"/>
  <c r="T1376" i="4"/>
  <c r="U1376" i="4" s="1"/>
  <c r="T36" i="4"/>
  <c r="U36" i="4" s="1"/>
  <c r="T575" i="4"/>
  <c r="U575" i="4" s="1"/>
  <c r="T1355" i="4"/>
  <c r="U1355" i="4" s="1"/>
  <c r="T216" i="4"/>
  <c r="U216" i="4" s="1"/>
  <c r="T76" i="4"/>
  <c r="U76" i="4" s="1"/>
  <c r="T196" i="4"/>
  <c r="U196" i="4" s="1"/>
  <c r="T857" i="4"/>
  <c r="U857" i="4" s="1"/>
  <c r="T96" i="4"/>
  <c r="U96" i="4" s="1"/>
  <c r="T336" i="4"/>
  <c r="U336" i="4" s="1"/>
  <c r="T256" i="4"/>
  <c r="U256" i="4" s="1"/>
  <c r="T815" i="4"/>
  <c r="U815" i="4" s="1"/>
  <c r="T595" i="4"/>
  <c r="U595" i="4" s="1"/>
  <c r="T616" i="4"/>
  <c r="U616" i="4" s="1"/>
  <c r="T475" i="4"/>
  <c r="U475" i="4" s="1"/>
  <c r="T1335" i="4"/>
  <c r="U1335" i="4" s="1"/>
  <c r="T1277" i="4"/>
  <c r="U1277" i="4" s="1"/>
  <c r="T156" i="4"/>
  <c r="U156" i="4" s="1"/>
  <c r="T1116" i="4"/>
  <c r="U1116" i="4" s="1"/>
  <c r="T497" i="4"/>
  <c r="U497" i="4" s="1"/>
  <c r="T1155" i="4"/>
  <c r="U1155" i="4" s="1"/>
  <c r="T296" i="4"/>
  <c r="U296" i="4" s="1"/>
  <c r="T956" i="4"/>
  <c r="U956" i="4" s="1"/>
  <c r="T1175" i="4"/>
  <c r="U1175" i="4" s="1"/>
  <c r="T896" i="4"/>
  <c r="U896" i="4" s="1"/>
  <c r="T456" i="4"/>
  <c r="U456" i="4" s="1"/>
  <c r="T278" i="4"/>
  <c r="U278" i="4" s="1"/>
  <c r="T998" i="4"/>
  <c r="U998" i="4" s="1"/>
  <c r="T415" i="4"/>
  <c r="U415" i="4" s="1"/>
  <c r="T395" i="4"/>
  <c r="U395" i="4" s="1"/>
  <c r="T1395" i="4"/>
  <c r="U1395" i="4" s="1"/>
  <c r="T1137" i="4"/>
  <c r="U1137" i="4" s="1"/>
  <c r="T1056" i="4"/>
  <c r="U1056" i="4" s="1"/>
  <c r="T1018" i="4"/>
  <c r="U1018" i="4" s="1"/>
  <c r="T756" i="4"/>
  <c r="U756" i="4" s="1"/>
  <c r="T318" i="4"/>
  <c r="U318" i="4" s="1"/>
  <c r="T555" i="4"/>
  <c r="U555" i="4" s="1"/>
  <c r="T238" i="4"/>
  <c r="U238" i="4" s="1"/>
  <c r="T676" i="4"/>
  <c r="U676" i="4" s="1"/>
  <c r="T836" i="4"/>
  <c r="U836" i="4" s="1"/>
  <c r="T117" i="4"/>
  <c r="U117" i="4" s="1"/>
  <c r="T176" i="4"/>
  <c r="U176" i="4" s="1"/>
  <c r="T1315" i="4"/>
  <c r="U1315" i="4" s="1"/>
  <c r="T56" i="4"/>
  <c r="U56" i="4" s="1"/>
  <c r="T1097" i="4"/>
  <c r="U1097" i="4" s="1"/>
  <c r="T976" i="4"/>
  <c r="U976" i="4" s="1"/>
  <c r="T637" i="4"/>
  <c r="U637" i="4" s="1"/>
  <c r="T1235" i="4"/>
  <c r="U1235" i="4" s="1"/>
  <c r="T1036" i="4"/>
  <c r="U1036" i="4" s="1"/>
  <c r="M2759" i="3" l="1"/>
  <c r="M2740" i="3"/>
  <c r="M2729" i="3"/>
  <c r="M2730" i="3"/>
  <c r="M2734" i="3"/>
  <c r="M1738" i="3"/>
  <c r="M1789" i="3"/>
  <c r="M2741" i="3"/>
  <c r="M1788" i="3"/>
  <c r="M1753" i="3"/>
  <c r="M2731" i="3"/>
  <c r="M1746" i="3"/>
  <c r="M1752" i="3"/>
  <c r="M1749" i="3"/>
  <c r="M2758" i="3"/>
  <c r="M1737" i="3"/>
  <c r="M1747" i="3"/>
  <c r="M2802" i="3"/>
  <c r="M2756" i="3"/>
  <c r="M1751" i="3"/>
  <c r="M2739" i="3"/>
  <c r="M1748" i="3"/>
  <c r="M2735" i="3"/>
  <c r="M1750" i="3"/>
  <c r="M1743" i="3"/>
  <c r="M2736" i="3"/>
  <c r="M2738" i="3"/>
  <c r="J399" i="15"/>
  <c r="L399" i="15" s="1"/>
  <c r="J398" i="15"/>
  <c r="L398" i="15" s="1"/>
  <c r="J397" i="15"/>
  <c r="L397" i="15" s="1"/>
  <c r="J675" i="15"/>
  <c r="L675" i="15" s="1"/>
  <c r="J400" i="15"/>
  <c r="L400" i="15" s="1"/>
  <c r="J401" i="15"/>
  <c r="H406" i="15"/>
  <c r="J406" i="15" s="1"/>
  <c r="L406" i="15" s="1"/>
  <c r="F1360" i="4"/>
  <c r="G1360" i="4" s="1"/>
  <c r="G1359" i="4"/>
  <c r="G1039" i="4"/>
  <c r="F1040" i="4"/>
  <c r="G1199" i="4"/>
  <c r="F1200" i="4"/>
  <c r="F520" i="4"/>
  <c r="G519" i="4"/>
  <c r="G940" i="4"/>
  <c r="G280" i="4"/>
  <c r="G579" i="4"/>
  <c r="F580" i="4"/>
  <c r="G58" i="4"/>
  <c r="F59" i="4"/>
  <c r="G200" i="4"/>
  <c r="G659" i="4"/>
  <c r="F660" i="4"/>
  <c r="G360" i="4"/>
  <c r="G419" i="4"/>
  <c r="F420" i="4"/>
  <c r="F480" i="4"/>
  <c r="G479" i="4"/>
  <c r="G1259" i="4"/>
  <c r="F1260" i="4"/>
  <c r="F880" i="4"/>
  <c r="G879" i="4"/>
  <c r="T879" i="4" s="1"/>
  <c r="U879" i="4" s="1"/>
  <c r="G979" i="4"/>
  <c r="F980" i="4"/>
  <c r="F440" i="4"/>
  <c r="G439" i="4"/>
  <c r="T439" i="4" s="1"/>
  <c r="U439" i="4" s="1"/>
  <c r="G600" i="4"/>
  <c r="G379" i="4"/>
  <c r="F380" i="4"/>
  <c r="F560" i="4"/>
  <c r="G559" i="4"/>
  <c r="F340" i="4"/>
  <c r="G339" i="4"/>
  <c r="G1140" i="4"/>
  <c r="F840" i="4"/>
  <c r="G839" i="4"/>
  <c r="G1340" i="4"/>
  <c r="F540" i="4"/>
  <c r="G539" i="4"/>
  <c r="T539" i="4" s="1"/>
  <c r="U539" i="4" s="1"/>
  <c r="G1020" i="4"/>
  <c r="G120" i="4"/>
  <c r="G640" i="4"/>
  <c r="G959" i="4"/>
  <c r="F960" i="4"/>
  <c r="F800" i="4"/>
  <c r="G799" i="4"/>
  <c r="G160" i="4"/>
  <c r="G620" i="4"/>
  <c r="G1380" i="4"/>
  <c r="G919" i="4"/>
  <c r="F920" i="4"/>
  <c r="G1100" i="4"/>
  <c r="G1060" i="4"/>
  <c r="F460" i="4"/>
  <c r="G459" i="4"/>
  <c r="G1180" i="4"/>
  <c r="G1219" i="4"/>
  <c r="F1220" i="4"/>
  <c r="G240" i="4"/>
  <c r="F500" i="4"/>
  <c r="G499" i="4"/>
  <c r="G1320" i="4"/>
  <c r="G260" i="4"/>
  <c r="G900" i="4"/>
  <c r="G739" i="4"/>
  <c r="F740" i="4"/>
  <c r="G1299" i="4"/>
  <c r="F1300" i="4"/>
  <c r="T1256" i="4"/>
  <c r="U1256" i="4" s="1"/>
  <c r="T357" i="4"/>
  <c r="U357" i="4" s="1"/>
  <c r="T1216" i="4"/>
  <c r="U1216" i="4" s="1"/>
  <c r="T917" i="4"/>
  <c r="U917" i="4" s="1"/>
  <c r="T936" i="4"/>
  <c r="U936" i="4" s="1"/>
  <c r="T1076" i="4"/>
  <c r="U1076" i="4" s="1"/>
  <c r="T17" i="4"/>
  <c r="U17" i="4" s="1"/>
  <c r="T1296" i="4"/>
  <c r="U1296" i="4" s="1"/>
  <c r="T1377" i="4"/>
  <c r="U1377" i="4" s="1"/>
  <c r="T1196" i="4"/>
  <c r="U1196" i="4" s="1"/>
  <c r="T217" i="4"/>
  <c r="U217" i="4" s="1"/>
  <c r="T37" i="4"/>
  <c r="U37" i="4" s="1"/>
  <c r="T376" i="4"/>
  <c r="U376" i="4" s="1"/>
  <c r="T656" i="4"/>
  <c r="U656" i="4" s="1"/>
  <c r="T1356" i="4"/>
  <c r="U1356" i="4" s="1"/>
  <c r="T778" i="4"/>
  <c r="U778" i="4" s="1"/>
  <c r="T136" i="4"/>
  <c r="U136" i="4" s="1"/>
  <c r="T736" i="4"/>
  <c r="U736" i="4" s="1"/>
  <c r="T576" i="4"/>
  <c r="U576" i="4" s="1"/>
  <c r="T516" i="4"/>
  <c r="U516" i="4" s="1"/>
  <c r="T797" i="4"/>
  <c r="U797" i="4" s="1"/>
  <c r="T1037" i="4"/>
  <c r="U1037" i="4" s="1"/>
  <c r="T1098" i="4"/>
  <c r="U1098" i="4" s="1"/>
  <c r="T1316" i="4"/>
  <c r="U1316" i="4" s="1"/>
  <c r="T1156" i="4"/>
  <c r="U1156" i="4" s="1"/>
  <c r="T239" i="4"/>
  <c r="U239" i="4" s="1"/>
  <c r="T396" i="4"/>
  <c r="U396" i="4" s="1"/>
  <c r="T897" i="4"/>
  <c r="U897" i="4" s="1"/>
  <c r="T957" i="4"/>
  <c r="U957" i="4" s="1"/>
  <c r="T337" i="4"/>
  <c r="U337" i="4" s="1"/>
  <c r="T1236" i="4"/>
  <c r="U1236" i="4" s="1"/>
  <c r="T57" i="4"/>
  <c r="U57" i="4" s="1"/>
  <c r="T177" i="4"/>
  <c r="U177" i="4" s="1"/>
  <c r="T1019" i="4"/>
  <c r="U1019" i="4" s="1"/>
  <c r="T279" i="4"/>
  <c r="U279" i="4" s="1"/>
  <c r="T498" i="4"/>
  <c r="U498" i="4" s="1"/>
  <c r="T1278" i="4"/>
  <c r="U1278" i="4" s="1"/>
  <c r="T476" i="4"/>
  <c r="U476" i="4" s="1"/>
  <c r="T617" i="4"/>
  <c r="U617" i="4" s="1"/>
  <c r="T858" i="4"/>
  <c r="U858" i="4" s="1"/>
  <c r="T416" i="4"/>
  <c r="U416" i="4" s="1"/>
  <c r="T1117" i="4"/>
  <c r="U1117" i="4" s="1"/>
  <c r="T118" i="4"/>
  <c r="U118" i="4" s="1"/>
  <c r="T297" i="4"/>
  <c r="U297" i="4" s="1"/>
  <c r="T1336" i="4"/>
  <c r="U1336" i="4" s="1"/>
  <c r="T257" i="4"/>
  <c r="U257" i="4" s="1"/>
  <c r="T977" i="4"/>
  <c r="U977" i="4" s="1"/>
  <c r="T319" i="4"/>
  <c r="U319" i="4" s="1"/>
  <c r="T1396" i="4"/>
  <c r="U1396" i="4" s="1"/>
  <c r="T457" i="4"/>
  <c r="U457" i="4" s="1"/>
  <c r="T1176" i="4"/>
  <c r="U1176" i="4" s="1"/>
  <c r="T157" i="4"/>
  <c r="U157" i="4" s="1"/>
  <c r="T197" i="4"/>
  <c r="U197" i="4" s="1"/>
  <c r="T638" i="4"/>
  <c r="U638" i="4" s="1"/>
  <c r="T556" i="4"/>
  <c r="U556" i="4" s="1"/>
  <c r="T1138" i="4"/>
  <c r="U1138" i="4" s="1"/>
  <c r="T837" i="4"/>
  <c r="U837" i="4" s="1"/>
  <c r="T596" i="4"/>
  <c r="U596" i="4" s="1"/>
  <c r="T677" i="4"/>
  <c r="U677" i="4" s="1"/>
  <c r="T757" i="4"/>
  <c r="U757" i="4" s="1"/>
  <c r="T1057" i="4"/>
  <c r="U1057" i="4" s="1"/>
  <c r="T999" i="4"/>
  <c r="U999" i="4" s="1"/>
  <c r="T696" i="4"/>
  <c r="U696" i="4" s="1"/>
  <c r="T816" i="4"/>
  <c r="U816" i="4" s="1"/>
  <c r="T97" i="4"/>
  <c r="U97" i="4" s="1"/>
  <c r="T77" i="4"/>
  <c r="U77" i="4" s="1"/>
  <c r="G1040" i="4" l="1"/>
  <c r="G1200" i="4"/>
  <c r="G580" i="4"/>
  <c r="F60" i="4"/>
  <c r="F61" i="4" s="1"/>
  <c r="G59" i="4"/>
  <c r="G520" i="4"/>
  <c r="G1300" i="4"/>
  <c r="G1220" i="4"/>
  <c r="G380" i="4"/>
  <c r="G980" i="4"/>
  <c r="G420" i="4"/>
  <c r="G840" i="4"/>
  <c r="G740" i="4"/>
  <c r="G920" i="4"/>
  <c r="G800" i="4"/>
  <c r="G880" i="4"/>
  <c r="T880" i="4" s="1"/>
  <c r="U880" i="4" s="1"/>
  <c r="T881" i="4"/>
  <c r="G960" i="4"/>
  <c r="G1260" i="4"/>
  <c r="G660" i="4"/>
  <c r="G500" i="4"/>
  <c r="G460" i="4"/>
  <c r="T541" i="4"/>
  <c r="G540" i="4"/>
  <c r="T540" i="4" s="1"/>
  <c r="U540" i="4" s="1"/>
  <c r="G340" i="4"/>
  <c r="G560" i="4"/>
  <c r="G440" i="4"/>
  <c r="T440" i="4" s="1"/>
  <c r="U440" i="4" s="1"/>
  <c r="T441" i="4"/>
  <c r="G480" i="4"/>
  <c r="T918" i="4"/>
  <c r="U918" i="4" s="1"/>
  <c r="T1217" i="4"/>
  <c r="U1217" i="4" s="1"/>
  <c r="T358" i="4"/>
  <c r="U358" i="4" s="1"/>
  <c r="T1257" i="4"/>
  <c r="U1257" i="4" s="1"/>
  <c r="T1297" i="4"/>
  <c r="U1297" i="4" s="1"/>
  <c r="T18" i="4"/>
  <c r="U18" i="4" s="1"/>
  <c r="T1077" i="4"/>
  <c r="U1077" i="4" s="1"/>
  <c r="T937" i="4"/>
  <c r="U937" i="4" s="1"/>
  <c r="T779" i="4"/>
  <c r="U779" i="4" s="1"/>
  <c r="T218" i="4"/>
  <c r="U218" i="4" s="1"/>
  <c r="T1197" i="4"/>
  <c r="U1197" i="4" s="1"/>
  <c r="T577" i="4"/>
  <c r="U577" i="4" s="1"/>
  <c r="T798" i="4"/>
  <c r="U798" i="4" s="1"/>
  <c r="T1378" i="4"/>
  <c r="U1378" i="4" s="1"/>
  <c r="T1357" i="4"/>
  <c r="U1357" i="4" s="1"/>
  <c r="T657" i="4"/>
  <c r="U657" i="4" s="1"/>
  <c r="T737" i="4"/>
  <c r="U737" i="4" s="1"/>
  <c r="T377" i="4"/>
  <c r="U377" i="4" s="1"/>
  <c r="T517" i="4"/>
  <c r="U517" i="4" s="1"/>
  <c r="T137" i="4"/>
  <c r="U137" i="4" s="1"/>
  <c r="T38" i="4"/>
  <c r="U38" i="4" s="1"/>
  <c r="T98" i="4"/>
  <c r="U98" i="4" s="1"/>
  <c r="T697" i="4"/>
  <c r="U697" i="4" s="1"/>
  <c r="T597" i="4"/>
  <c r="U597" i="4" s="1"/>
  <c r="T639" i="4"/>
  <c r="U639" i="4" s="1"/>
  <c r="T321" i="4"/>
  <c r="T320" i="4"/>
  <c r="U320" i="4" s="1"/>
  <c r="T1118" i="4"/>
  <c r="U1118" i="4" s="1"/>
  <c r="T280" i="4"/>
  <c r="U280" i="4" s="1"/>
  <c r="T281" i="4"/>
  <c r="T1237" i="4"/>
  <c r="U1237" i="4" s="1"/>
  <c r="T1157" i="4"/>
  <c r="U1157" i="4" s="1"/>
  <c r="T1038" i="4"/>
  <c r="U1038" i="4" s="1"/>
  <c r="T158" i="4"/>
  <c r="U158" i="4" s="1"/>
  <c r="T1337" i="4"/>
  <c r="U1337" i="4" s="1"/>
  <c r="T618" i="4"/>
  <c r="U618" i="4" s="1"/>
  <c r="T898" i="4"/>
  <c r="U898" i="4" s="1"/>
  <c r="T838" i="4"/>
  <c r="U838" i="4" s="1"/>
  <c r="T477" i="4"/>
  <c r="U477" i="4" s="1"/>
  <c r="T1020" i="4"/>
  <c r="U1020" i="4" s="1"/>
  <c r="T1021" i="4"/>
  <c r="T198" i="4"/>
  <c r="U198" i="4" s="1"/>
  <c r="T397" i="4"/>
  <c r="U397" i="4" s="1"/>
  <c r="T817" i="4"/>
  <c r="U817" i="4" s="1"/>
  <c r="T758" i="4"/>
  <c r="U758" i="4" s="1"/>
  <c r="T1139" i="4"/>
  <c r="U1139" i="4" s="1"/>
  <c r="T417" i="4"/>
  <c r="U417" i="4" s="1"/>
  <c r="T178" i="4"/>
  <c r="U178" i="4" s="1"/>
  <c r="T119" i="4"/>
  <c r="U119" i="4" s="1"/>
  <c r="T678" i="4"/>
  <c r="U678" i="4" s="1"/>
  <c r="T557" i="4"/>
  <c r="U557" i="4" s="1"/>
  <c r="T458" i="4"/>
  <c r="U458" i="4" s="1"/>
  <c r="T258" i="4"/>
  <c r="U258" i="4" s="1"/>
  <c r="T499" i="4"/>
  <c r="U499" i="4" s="1"/>
  <c r="T58" i="4"/>
  <c r="U58" i="4" s="1"/>
  <c r="T958" i="4"/>
  <c r="U958" i="4" s="1"/>
  <c r="T240" i="4"/>
  <c r="U240" i="4" s="1"/>
  <c r="T241" i="4"/>
  <c r="T1058" i="4"/>
  <c r="U1058" i="4" s="1"/>
  <c r="T298" i="4"/>
  <c r="U298" i="4" s="1"/>
  <c r="T1397" i="4"/>
  <c r="U1397" i="4" s="1"/>
  <c r="T338" i="4"/>
  <c r="U338" i="4" s="1"/>
  <c r="T1000" i="4"/>
  <c r="U1000" i="4" s="1"/>
  <c r="T1001" i="4"/>
  <c r="T1177" i="4"/>
  <c r="U1177" i="4" s="1"/>
  <c r="T978" i="4"/>
  <c r="U978" i="4" s="1"/>
  <c r="T1279" i="4"/>
  <c r="U1279" i="4" s="1"/>
  <c r="T1317" i="4"/>
  <c r="U1317" i="4" s="1"/>
  <c r="T78" i="4"/>
  <c r="U78" i="4" s="1"/>
  <c r="T859" i="4"/>
  <c r="U859" i="4" s="1"/>
  <c r="T1099" i="4"/>
  <c r="U1099" i="4" s="1"/>
  <c r="G60" i="4" l="1"/>
  <c r="G61" i="4"/>
  <c r="T1258" i="4"/>
  <c r="U1258" i="4" s="1"/>
  <c r="T359" i="4"/>
  <c r="U359" i="4" s="1"/>
  <c r="T1218" i="4"/>
  <c r="U1218" i="4" s="1"/>
  <c r="T919" i="4"/>
  <c r="U919" i="4" s="1"/>
  <c r="T1078" i="4"/>
  <c r="U1078" i="4" s="1"/>
  <c r="T19" i="4"/>
  <c r="U19" i="4" s="1"/>
  <c r="T938" i="4"/>
  <c r="U938" i="4" s="1"/>
  <c r="T1298" i="4"/>
  <c r="U1298" i="4" s="1"/>
  <c r="T39" i="4"/>
  <c r="U39" i="4" s="1"/>
  <c r="T578" i="4"/>
  <c r="U578" i="4" s="1"/>
  <c r="T138" i="4"/>
  <c r="U138" i="4" s="1"/>
  <c r="T658" i="4"/>
  <c r="U658" i="4" s="1"/>
  <c r="T799" i="4"/>
  <c r="U799" i="4" s="1"/>
  <c r="T1198" i="4"/>
  <c r="U1198" i="4" s="1"/>
  <c r="T378" i="4"/>
  <c r="U378" i="4" s="1"/>
  <c r="T518" i="4"/>
  <c r="U518" i="4" s="1"/>
  <c r="T219" i="4"/>
  <c r="U219" i="4" s="1"/>
  <c r="T1379" i="4"/>
  <c r="U1379" i="4" s="1"/>
  <c r="T1358" i="4"/>
  <c r="U1358" i="4" s="1"/>
  <c r="T738" i="4"/>
  <c r="U738" i="4" s="1"/>
  <c r="T781" i="4"/>
  <c r="T780" i="4"/>
  <c r="U780" i="4" s="1"/>
  <c r="T1100" i="4"/>
  <c r="U1100" i="4" s="1"/>
  <c r="T1101" i="4"/>
  <c r="T979" i="4"/>
  <c r="U979" i="4" s="1"/>
  <c r="T1059" i="4"/>
  <c r="U1059" i="4" s="1"/>
  <c r="T501" i="4"/>
  <c r="T500" i="4"/>
  <c r="U500" i="4" s="1"/>
  <c r="T121" i="4"/>
  <c r="T120" i="4"/>
  <c r="U120" i="4" s="1"/>
  <c r="T899" i="4"/>
  <c r="U899" i="4" s="1"/>
  <c r="T159" i="4"/>
  <c r="U159" i="4" s="1"/>
  <c r="T1238" i="4"/>
  <c r="U1238" i="4" s="1"/>
  <c r="T459" i="4"/>
  <c r="U459" i="4" s="1"/>
  <c r="T79" i="4"/>
  <c r="U79" i="4" s="1"/>
  <c r="T179" i="4"/>
  <c r="U179" i="4" s="1"/>
  <c r="T619" i="4"/>
  <c r="U619" i="4" s="1"/>
  <c r="T598" i="4"/>
  <c r="U598" i="4" s="1"/>
  <c r="T199" i="4"/>
  <c r="U199" i="4" s="1"/>
  <c r="T640" i="4"/>
  <c r="U640" i="4" s="1"/>
  <c r="T641" i="4"/>
  <c r="T860" i="4"/>
  <c r="U860" i="4" s="1"/>
  <c r="T861" i="4"/>
  <c r="T1178" i="4"/>
  <c r="U1178" i="4" s="1"/>
  <c r="T339" i="4"/>
  <c r="U339" i="4" s="1"/>
  <c r="T299" i="4"/>
  <c r="U299" i="4" s="1"/>
  <c r="T818" i="4"/>
  <c r="U818" i="4" s="1"/>
  <c r="T759" i="4"/>
  <c r="U759" i="4" s="1"/>
  <c r="T1318" i="4"/>
  <c r="U1318" i="4" s="1"/>
  <c r="T1398" i="4"/>
  <c r="U1398" i="4" s="1"/>
  <c r="T259" i="4"/>
  <c r="U259" i="4" s="1"/>
  <c r="T558" i="4"/>
  <c r="U558" i="4" s="1"/>
  <c r="T418" i="4"/>
  <c r="U418" i="4" s="1"/>
  <c r="T839" i="4"/>
  <c r="U839" i="4" s="1"/>
  <c r="T1338" i="4"/>
  <c r="U1338" i="4" s="1"/>
  <c r="T959" i="4"/>
  <c r="U959" i="4" s="1"/>
  <c r="T698" i="4"/>
  <c r="U698" i="4" s="1"/>
  <c r="T398" i="4"/>
  <c r="U398" i="4" s="1"/>
  <c r="T1039" i="4"/>
  <c r="U1039" i="4" s="1"/>
  <c r="T1119" i="4"/>
  <c r="U1119" i="4" s="1"/>
  <c r="T1280" i="4"/>
  <c r="U1280" i="4" s="1"/>
  <c r="T1281" i="4"/>
  <c r="T59" i="4"/>
  <c r="U59" i="4" s="1"/>
  <c r="T1140" i="4"/>
  <c r="U1140" i="4" s="1"/>
  <c r="T1141" i="4"/>
  <c r="T478" i="4"/>
  <c r="U478" i="4" s="1"/>
  <c r="T1158" i="4"/>
  <c r="U1158" i="4" s="1"/>
  <c r="T99" i="4"/>
  <c r="U99" i="4" s="1"/>
  <c r="T679" i="4"/>
  <c r="U679" i="4" s="1"/>
  <c r="M1365" i="3" l="1"/>
  <c r="M2707" i="3"/>
  <c r="M2051" i="3"/>
  <c r="M1437" i="3"/>
  <c r="M2583" i="3"/>
  <c r="M1736" i="3"/>
  <c r="M2061" i="3"/>
  <c r="M2098" i="3"/>
  <c r="M2540" i="3"/>
  <c r="M1787" i="3"/>
  <c r="M1490" i="3"/>
  <c r="M1014" i="3"/>
  <c r="M1392" i="3"/>
  <c r="M2219" i="3"/>
  <c r="M1644" i="3"/>
  <c r="M2412" i="3"/>
  <c r="M3113" i="3"/>
  <c r="M2090" i="3"/>
  <c r="M3051" i="3"/>
  <c r="M2228" i="3"/>
  <c r="M187" i="3"/>
  <c r="M2108" i="3"/>
  <c r="M322" i="3"/>
  <c r="M949" i="3"/>
  <c r="M1496" i="3"/>
  <c r="M1704" i="3"/>
  <c r="M3175" i="3"/>
  <c r="M635" i="3"/>
  <c r="M3204" i="3"/>
  <c r="M1851" i="3"/>
  <c r="M2604" i="3"/>
  <c r="M2265" i="3"/>
  <c r="M3011" i="3"/>
  <c r="M3150" i="3"/>
  <c r="M863" i="3"/>
  <c r="M2712" i="3"/>
  <c r="M2900" i="3"/>
  <c r="M472" i="3"/>
  <c r="M2832" i="3"/>
  <c r="M451" i="3"/>
  <c r="M1110" i="3"/>
  <c r="M2144" i="3"/>
  <c r="M1215" i="3"/>
  <c r="M2104" i="3"/>
  <c r="M1840" i="3"/>
  <c r="M2578" i="3"/>
  <c r="M1485" i="3"/>
  <c r="M1418" i="3"/>
  <c r="M2655" i="3"/>
  <c r="M2882" i="3"/>
  <c r="M2815" i="3"/>
  <c r="M280" i="3"/>
  <c r="M2726" i="3"/>
  <c r="M2188" i="3"/>
  <c r="M3036" i="3"/>
  <c r="M803" i="3"/>
  <c r="M1042" i="3"/>
  <c r="M1860" i="3"/>
  <c r="M957" i="3"/>
  <c r="M3165" i="3"/>
  <c r="M1712" i="3"/>
  <c r="M2190" i="3"/>
  <c r="M731" i="3"/>
  <c r="M687" i="3"/>
  <c r="M2886" i="3"/>
  <c r="M2192" i="3"/>
  <c r="M2359" i="3"/>
  <c r="M1146" i="3"/>
  <c r="M491" i="3"/>
  <c r="M482" i="3"/>
  <c r="M1297" i="3"/>
  <c r="M1624" i="3"/>
  <c r="M3055" i="3"/>
  <c r="M2286" i="3"/>
  <c r="M2757" i="3"/>
  <c r="M2486" i="3"/>
  <c r="M2241" i="3"/>
  <c r="M2285" i="3"/>
  <c r="M1697" i="3"/>
  <c r="M1456" i="3"/>
  <c r="M2187" i="3"/>
  <c r="M1046" i="3"/>
  <c r="M2801" i="3"/>
  <c r="M3206" i="3"/>
  <c r="M2920" i="3"/>
  <c r="M791" i="3"/>
  <c r="M1183" i="3"/>
  <c r="M2690" i="3"/>
  <c r="M349" i="3"/>
  <c r="M828" i="3"/>
  <c r="M2473" i="3"/>
  <c r="M3235" i="3"/>
  <c r="M913" i="3"/>
  <c r="M464" i="3"/>
  <c r="M1627" i="3"/>
  <c r="M363" i="3"/>
  <c r="M477" i="3"/>
  <c r="M2238" i="3"/>
  <c r="M2306" i="3"/>
  <c r="M456" i="3"/>
  <c r="M2817" i="3"/>
  <c r="M1639" i="3"/>
  <c r="M2506" i="3"/>
  <c r="M2760" i="3"/>
  <c r="M1546" i="3"/>
  <c r="M1966" i="3"/>
  <c r="M992" i="3"/>
  <c r="M1694" i="3"/>
  <c r="M2910" i="3"/>
  <c r="M1313" i="3"/>
  <c r="M381" i="3"/>
  <c r="M2398" i="3"/>
  <c r="M3033" i="3"/>
  <c r="M937" i="3"/>
  <c r="M1030" i="3"/>
  <c r="M2591" i="3"/>
  <c r="M923" i="3"/>
  <c r="M1104" i="3"/>
  <c r="M988" i="3"/>
  <c r="M1112" i="3"/>
  <c r="M77" i="3"/>
  <c r="M2830" i="3"/>
  <c r="M1238" i="3"/>
  <c r="M2871" i="3"/>
  <c r="M2814" i="3"/>
  <c r="M453" i="3"/>
  <c r="M389" i="3"/>
  <c r="M2892" i="3"/>
  <c r="M2946" i="3"/>
  <c r="M1764" i="3"/>
  <c r="M1321" i="3"/>
  <c r="M2597" i="3"/>
  <c r="M1266" i="3"/>
  <c r="M266" i="3"/>
  <c r="M2825" i="3"/>
  <c r="M1915" i="3"/>
  <c r="M163" i="3"/>
  <c r="M1068" i="3"/>
  <c r="M2810" i="3"/>
  <c r="M483" i="3"/>
  <c r="M341" i="3"/>
  <c r="M25" i="3"/>
  <c r="M1847" i="3"/>
  <c r="M896" i="3"/>
  <c r="M153" i="3"/>
  <c r="M3017" i="3"/>
  <c r="M1952" i="3"/>
  <c r="M530" i="3"/>
  <c r="M755" i="3"/>
  <c r="M1816" i="3"/>
  <c r="M2941" i="3"/>
  <c r="M3056" i="3"/>
  <c r="M485" i="3"/>
  <c r="M1849" i="3"/>
  <c r="M1432" i="3"/>
  <c r="M2524" i="3"/>
  <c r="M337" i="3"/>
  <c r="M1211" i="3"/>
  <c r="M2985" i="3"/>
  <c r="M659" i="3"/>
  <c r="M2052" i="3"/>
  <c r="M1983" i="3"/>
  <c r="M1904" i="3"/>
  <c r="M368" i="3"/>
  <c r="M1601" i="3"/>
  <c r="M1537" i="3"/>
  <c r="M3092" i="3"/>
  <c r="M76" i="3"/>
  <c r="M2171" i="3"/>
  <c r="M3209" i="3"/>
  <c r="M1480" i="3"/>
  <c r="M1219" i="3"/>
  <c r="M692" i="3"/>
  <c r="M701" i="3"/>
  <c r="M91" i="3"/>
  <c r="M1680" i="3"/>
  <c r="M1047" i="3"/>
  <c r="M2534" i="3"/>
  <c r="M320" i="3"/>
  <c r="M3030" i="3"/>
  <c r="M2106" i="3"/>
  <c r="M2337" i="3"/>
  <c r="M2856" i="3"/>
  <c r="M708" i="3"/>
  <c r="M634" i="3"/>
  <c r="M2227" i="3"/>
  <c r="M2037" i="3"/>
  <c r="M1797" i="3"/>
  <c r="M1939" i="3"/>
  <c r="M2267" i="3"/>
  <c r="M3007" i="3"/>
  <c r="M1599" i="3"/>
  <c r="M1498" i="3"/>
  <c r="M3133" i="3"/>
  <c r="M6" i="3"/>
  <c r="M425" i="3"/>
  <c r="M571" i="3"/>
  <c r="M2243" i="3"/>
  <c r="M1708" i="3"/>
  <c r="M1699" i="3"/>
  <c r="M1597" i="3"/>
  <c r="M981" i="3"/>
  <c r="M844" i="3"/>
  <c r="M357" i="3"/>
  <c r="M2086" i="3"/>
  <c r="M3075" i="3"/>
  <c r="M833" i="3"/>
  <c r="M164" i="3"/>
  <c r="M1262" i="3"/>
  <c r="M1016" i="3"/>
  <c r="M2250" i="3"/>
  <c r="M1870" i="3"/>
  <c r="M1436" i="3"/>
  <c r="M2898" i="3"/>
  <c r="M188" i="3"/>
  <c r="M2490" i="3"/>
  <c r="M1234" i="3"/>
  <c r="M859" i="3"/>
  <c r="M750" i="3"/>
  <c r="M1649" i="3"/>
  <c r="M2999" i="3"/>
  <c r="M2554" i="3"/>
  <c r="M1976" i="3"/>
  <c r="M2280" i="3"/>
  <c r="M1509" i="3"/>
  <c r="M775" i="3"/>
  <c r="M1352" i="3"/>
  <c r="M3086" i="3"/>
  <c r="M1455" i="3"/>
  <c r="M964" i="3"/>
  <c r="M1572" i="3"/>
  <c r="M1671" i="3"/>
  <c r="M1950" i="3"/>
  <c r="M1136" i="3"/>
  <c r="M496" i="3"/>
  <c r="M2980" i="3"/>
  <c r="M1792" i="3"/>
  <c r="M2420" i="3"/>
  <c r="M267" i="3"/>
  <c r="M1129" i="3"/>
  <c r="M2442" i="3"/>
  <c r="M2805" i="3"/>
  <c r="M842" i="3"/>
  <c r="M2138" i="3"/>
  <c r="M2779" i="3"/>
  <c r="M1880" i="3"/>
  <c r="M515" i="3"/>
  <c r="M248" i="3"/>
  <c r="M1637" i="3"/>
  <c r="M3129" i="3"/>
  <c r="M633" i="3"/>
  <c r="M774" i="3"/>
  <c r="M939" i="3"/>
  <c r="M3224" i="3"/>
  <c r="M1867" i="3"/>
  <c r="M744" i="3"/>
  <c r="M2347" i="3"/>
  <c r="M976" i="3"/>
  <c r="M1120" i="3"/>
  <c r="M2029" i="3"/>
  <c r="M7" i="3"/>
  <c r="M2964" i="3"/>
  <c r="M2895" i="3"/>
  <c r="M1805" i="3"/>
  <c r="M2200" i="3"/>
  <c r="M1784" i="3"/>
  <c r="M1447" i="3"/>
  <c r="M2030" i="3"/>
  <c r="M1879" i="3"/>
  <c r="M2008" i="3"/>
  <c r="M3198" i="3"/>
  <c r="M2064" i="3"/>
  <c r="M1706" i="3"/>
  <c r="M1214" i="3"/>
  <c r="M2226" i="3"/>
  <c r="M653" i="3"/>
  <c r="M2161" i="3"/>
  <c r="M2397" i="3"/>
  <c r="M2325" i="3"/>
  <c r="M54" i="3"/>
  <c r="M2203" i="3"/>
  <c r="M252" i="3"/>
  <c r="M130" i="3"/>
  <c r="M1507" i="3"/>
  <c r="M1351" i="3"/>
  <c r="M1971" i="3"/>
  <c r="M1510" i="3"/>
  <c r="M2450" i="3"/>
  <c r="M911" i="3"/>
  <c r="M2899" i="3"/>
  <c r="M2725" i="3"/>
  <c r="M2151" i="3"/>
  <c r="M1821" i="3"/>
  <c r="M1611" i="3"/>
  <c r="M2272" i="3"/>
  <c r="M1085" i="3"/>
  <c r="M1941" i="3"/>
  <c r="M936" i="3"/>
  <c r="M1011" i="3"/>
  <c r="M2174" i="3"/>
  <c r="M2955" i="3"/>
  <c r="M1932" i="3"/>
  <c r="M144" i="3"/>
  <c r="M446" i="3"/>
  <c r="M246" i="3"/>
  <c r="M2564" i="3"/>
  <c r="M2636" i="3"/>
  <c r="M707" i="3"/>
  <c r="M534" i="3"/>
  <c r="M612" i="3"/>
  <c r="M764" i="3"/>
  <c r="M1337" i="3"/>
  <c r="M2699" i="3"/>
  <c r="M1181" i="3"/>
  <c r="M2259" i="3"/>
  <c r="M1126" i="3"/>
  <c r="M703" i="3"/>
  <c r="M645" i="3"/>
  <c r="M354" i="3"/>
  <c r="M2275" i="3"/>
  <c r="M124" i="3"/>
  <c r="M202" i="3"/>
  <c r="M403" i="3"/>
  <c r="M1535" i="3"/>
  <c r="M1101" i="3"/>
  <c r="M1274" i="3"/>
  <c r="M1489" i="3"/>
  <c r="M1701" i="3"/>
  <c r="M2380" i="3"/>
  <c r="M2140" i="3"/>
  <c r="M1796" i="3"/>
  <c r="M1179" i="3"/>
  <c r="M2382" i="3"/>
  <c r="M1957" i="3"/>
  <c r="M3189" i="3"/>
  <c r="M1594" i="3"/>
  <c r="M1682" i="3"/>
  <c r="M2581" i="3"/>
  <c r="M624" i="3"/>
  <c r="M2361" i="3"/>
  <c r="M428" i="3"/>
  <c r="M2313" i="3"/>
  <c r="M1258" i="3"/>
  <c r="M1098" i="3"/>
  <c r="M679" i="3"/>
  <c r="M2491" i="3"/>
  <c r="M197" i="3"/>
  <c r="M226" i="3"/>
  <c r="M3121" i="3"/>
  <c r="M2748" i="3"/>
  <c r="M2448" i="3"/>
  <c r="M789" i="3"/>
  <c r="M2698" i="3"/>
  <c r="M2113" i="3"/>
  <c r="M1353" i="3"/>
  <c r="M1088" i="3"/>
  <c r="M2557" i="3"/>
  <c r="M1540" i="3"/>
  <c r="M973" i="3"/>
  <c r="M3212" i="3"/>
  <c r="M990" i="3"/>
  <c r="M2950" i="3"/>
  <c r="M1176" i="3"/>
  <c r="M3201" i="3"/>
  <c r="M2582" i="3"/>
  <c r="M2479" i="3"/>
  <c r="M1854" i="3"/>
  <c r="M31" i="3"/>
  <c r="M2404" i="3"/>
  <c r="M2204" i="3"/>
  <c r="M2245" i="3"/>
  <c r="M1495" i="3"/>
  <c r="M550" i="3"/>
  <c r="M2546" i="3"/>
  <c r="M2146" i="3"/>
  <c r="M1924" i="3"/>
  <c r="M2746" i="3"/>
  <c r="M3081" i="3"/>
  <c r="M2105" i="3"/>
  <c r="M3059" i="3"/>
  <c r="M1203" i="3"/>
  <c r="M2727" i="3"/>
  <c r="M891" i="3"/>
  <c r="M2935" i="3"/>
  <c r="M338" i="3"/>
  <c r="M1050" i="3"/>
  <c r="M620" i="3"/>
  <c r="M2838" i="3"/>
  <c r="M1253" i="3"/>
  <c r="M1552" i="3"/>
  <c r="M2372" i="3"/>
  <c r="M3025" i="3"/>
  <c r="M3143" i="3"/>
  <c r="M1328" i="3"/>
  <c r="M2041" i="3"/>
  <c r="M1023" i="3"/>
  <c r="M475" i="3"/>
  <c r="M2497" i="3"/>
  <c r="M3122" i="3"/>
  <c r="M1974" i="3"/>
  <c r="M658" i="3"/>
  <c r="M2405" i="3"/>
  <c r="M3105" i="3"/>
  <c r="M2087" i="3"/>
  <c r="M2975" i="3"/>
  <c r="M1348" i="3"/>
  <c r="M839" i="3"/>
  <c r="M528" i="3"/>
  <c r="M2231" i="3"/>
  <c r="M1202" i="3"/>
  <c r="M2881" i="3"/>
  <c r="M1431" i="3"/>
  <c r="M754" i="3"/>
  <c r="M2933" i="3"/>
  <c r="M2661" i="3"/>
  <c r="M1082" i="3"/>
  <c r="M333" i="3"/>
  <c r="M2896" i="3"/>
  <c r="M1898" i="3"/>
  <c r="M1921" i="3"/>
  <c r="M1823" i="3"/>
  <c r="M1482" i="3"/>
  <c r="M82" i="3"/>
  <c r="M1464" i="3"/>
  <c r="M1602" i="3"/>
  <c r="M2019" i="3"/>
  <c r="M2421" i="3"/>
  <c r="M154" i="3"/>
  <c r="M2630" i="3"/>
  <c r="M959" i="3"/>
  <c r="M1658" i="3"/>
  <c r="M1186" i="3"/>
  <c r="M2906" i="3"/>
  <c r="M2548" i="3"/>
  <c r="M1109" i="3"/>
  <c r="M490" i="3"/>
  <c r="M173" i="3"/>
  <c r="M2159" i="3"/>
  <c r="M2855" i="3"/>
  <c r="M2452" i="3"/>
  <c r="M1387" i="3"/>
  <c r="M790" i="3"/>
  <c r="M1928" i="3"/>
  <c r="M4" i="3"/>
  <c r="M2471" i="3"/>
  <c r="M2668" i="3"/>
  <c r="M795" i="3"/>
  <c r="M1878" i="3"/>
  <c r="M677" i="3"/>
  <c r="M893" i="3"/>
  <c r="M2861" i="3"/>
  <c r="M2924" i="3"/>
  <c r="M512" i="3"/>
  <c r="M2128" i="3"/>
  <c r="M1815" i="3"/>
  <c r="M2723" i="3"/>
  <c r="M2605" i="3"/>
  <c r="M232" i="3"/>
  <c r="M590" i="3"/>
  <c r="M2629" i="3"/>
  <c r="M2432" i="3"/>
  <c r="M2020" i="3"/>
  <c r="M2305" i="3"/>
  <c r="M643" i="3"/>
  <c r="M2258" i="3"/>
  <c r="M776" i="3"/>
  <c r="M749" i="3"/>
  <c r="M1776" i="3"/>
  <c r="M193" i="3"/>
  <c r="M2055" i="3"/>
  <c r="M1578" i="3"/>
  <c r="M1573" i="3"/>
  <c r="M3141" i="3"/>
  <c r="M926" i="3"/>
  <c r="M698" i="3"/>
  <c r="M1332" i="3"/>
  <c r="M2535" i="3"/>
  <c r="M1457" i="3"/>
  <c r="M2406" i="3"/>
  <c r="M2058" i="3"/>
  <c r="M2845" i="3"/>
  <c r="M1007" i="3"/>
  <c r="M1344" i="3"/>
  <c r="M93" i="3"/>
  <c r="M2447" i="3"/>
  <c r="M2035" i="3"/>
  <c r="M2288" i="3"/>
  <c r="M2824" i="3"/>
  <c r="M1166" i="3"/>
  <c r="M2586" i="3"/>
  <c r="M1382" i="3"/>
  <c r="M2704" i="3"/>
  <c r="M1911" i="3"/>
  <c r="M418" i="3"/>
  <c r="M1735" i="3"/>
  <c r="M1580" i="3"/>
  <c r="M508" i="3"/>
  <c r="M1091" i="3"/>
  <c r="M257" i="3"/>
  <c r="M1271" i="3"/>
  <c r="M1887" i="3"/>
  <c r="M3038" i="3"/>
  <c r="M2332" i="3"/>
  <c r="M1948" i="3"/>
  <c r="M2904" i="3"/>
  <c r="M1992" i="3"/>
  <c r="M1920" i="3"/>
  <c r="M1524" i="3"/>
  <c r="M2932" i="3"/>
  <c r="M2476" i="3"/>
  <c r="M1006" i="3"/>
  <c r="M2956" i="3"/>
  <c r="M2678" i="3"/>
  <c r="M509" i="3"/>
  <c r="M258" i="3"/>
  <c r="M420" i="3"/>
  <c r="M2970" i="3"/>
  <c r="M2351" i="3"/>
  <c r="M3019" i="3"/>
  <c r="M75" i="3"/>
  <c r="M502" i="3"/>
  <c r="M1710" i="3"/>
  <c r="M3140" i="3"/>
  <c r="M2431" i="3"/>
  <c r="M92" i="3"/>
  <c r="M1775" i="3"/>
  <c r="M3054" i="3"/>
  <c r="M963" i="3"/>
  <c r="M2435" i="3"/>
  <c r="M1243" i="3"/>
  <c r="M2990" i="3"/>
  <c r="M2835" i="3"/>
  <c r="M2877" i="3"/>
  <c r="M2866" i="3"/>
  <c r="M2705" i="3"/>
  <c r="M2531" i="3"/>
  <c r="M1013" i="3"/>
  <c r="M2121" i="3"/>
  <c r="M743" i="3"/>
  <c r="M520" i="3"/>
  <c r="M1160" i="3"/>
  <c r="M2233" i="3"/>
  <c r="M3214" i="3"/>
  <c r="M1260" i="3"/>
  <c r="M1754" i="3"/>
  <c r="M1144" i="3"/>
  <c r="M3130" i="3"/>
  <c r="M2349" i="3"/>
  <c r="M285" i="3"/>
  <c r="M2646" i="3"/>
  <c r="M1934" i="3"/>
  <c r="M1141" i="3"/>
  <c r="M1961" i="3"/>
  <c r="M1171" i="3"/>
  <c r="M2907" i="3"/>
  <c r="M24" i="3"/>
  <c r="M1479" i="3"/>
  <c r="M678" i="3"/>
  <c r="M2434" i="3"/>
  <c r="M2709" i="3"/>
  <c r="M1838" i="3"/>
  <c r="M3096" i="3"/>
  <c r="M2407" i="3"/>
  <c r="M1901" i="3"/>
  <c r="M2588" i="3"/>
  <c r="M1791" i="3"/>
  <c r="M2446" i="3"/>
  <c r="M1629" i="3"/>
  <c r="M2997" i="3"/>
  <c r="M1153" i="3"/>
  <c r="M1463" i="3"/>
  <c r="M2439" i="3"/>
  <c r="M871" i="3"/>
  <c r="M583" i="3"/>
  <c r="M408" i="3"/>
  <c r="M260" i="3"/>
  <c r="M2834" i="3"/>
  <c r="M1310" i="3"/>
  <c r="M3050" i="3"/>
  <c r="M824" i="3"/>
  <c r="M1497" i="3"/>
  <c r="M993" i="3"/>
  <c r="M2544" i="3"/>
  <c r="M394" i="3"/>
  <c r="M615" i="3"/>
  <c r="M801" i="3"/>
  <c r="M2510" i="3"/>
  <c r="M3157" i="3"/>
  <c r="M3109" i="3"/>
  <c r="M2060" i="3"/>
  <c r="M240" i="3"/>
  <c r="M52" i="3"/>
  <c r="M346" i="3"/>
  <c r="M28" i="3"/>
  <c r="M272" i="3"/>
  <c r="M2945" i="3"/>
  <c r="M1232" i="3"/>
  <c r="M2309" i="3"/>
  <c r="M1520" i="3"/>
  <c r="M2042" i="3"/>
  <c r="M2961" i="3"/>
  <c r="M2677" i="3"/>
  <c r="M1835" i="3"/>
  <c r="M2073" i="3"/>
  <c r="M2445" i="3"/>
  <c r="M2237" i="3"/>
  <c r="M1918" i="3"/>
  <c r="M1413" i="3"/>
  <c r="M905" i="3"/>
  <c r="M307" i="3"/>
  <c r="M1139" i="3"/>
  <c r="M3068" i="3"/>
  <c r="M251" i="3"/>
  <c r="M1373" i="3"/>
  <c r="M1434" i="3"/>
  <c r="M2627" i="3"/>
  <c r="M2514" i="3"/>
  <c r="M1338" i="3"/>
  <c r="M290" i="3"/>
  <c r="M954" i="3"/>
  <c r="M668" i="3"/>
  <c r="M527" i="3"/>
  <c r="M1873" i="3"/>
  <c r="M927" i="3"/>
  <c r="M3213" i="3"/>
  <c r="M2747" i="3"/>
  <c r="M2670" i="3"/>
  <c r="M3176" i="3"/>
  <c r="M998" i="3"/>
  <c r="M1837" i="3"/>
  <c r="M2109" i="3"/>
  <c r="M1700" i="3"/>
  <c r="M2293" i="3"/>
  <c r="M1312" i="3"/>
  <c r="M1027" i="3"/>
  <c r="M1541" i="3"/>
  <c r="M1028" i="3"/>
  <c r="M1429" i="3"/>
  <c r="M1669" i="3"/>
  <c r="M3083" i="3"/>
  <c r="M351" i="3"/>
  <c r="M2449" i="3"/>
  <c r="M1349" i="3"/>
  <c r="M1257" i="3"/>
  <c r="M2038" i="3"/>
  <c r="M2163" i="3"/>
  <c r="M356" i="3"/>
  <c r="M1937" i="3"/>
  <c r="M1970" i="3"/>
  <c r="M1265" i="3"/>
  <c r="M2706" i="3"/>
  <c r="M609" i="3"/>
  <c r="M1117" i="3"/>
  <c r="M2927" i="3"/>
  <c r="M1810" i="3"/>
  <c r="M2264" i="3"/>
  <c r="M3225" i="3"/>
  <c r="M125" i="3"/>
  <c r="M1314" i="3"/>
  <c r="M962" i="3"/>
  <c r="M1832" i="3"/>
  <c r="M3239" i="3"/>
  <c r="M1427" i="3"/>
  <c r="M3044" i="3"/>
  <c r="M2093" i="3"/>
  <c r="M1675" i="3"/>
  <c r="M2044" i="3"/>
  <c r="M2685" i="3"/>
  <c r="M2221" i="3"/>
  <c r="M2493" i="3"/>
  <c r="M2905" i="3"/>
  <c r="M2919" i="3"/>
  <c r="M522" i="3"/>
  <c r="M1803" i="3"/>
  <c r="M1152" i="3"/>
  <c r="M857" i="3"/>
  <c r="M2831" i="3"/>
  <c r="M2977" i="3"/>
  <c r="M2614" i="3"/>
  <c r="M991" i="3"/>
  <c r="M575" i="3"/>
  <c r="M1655" i="3"/>
  <c r="M1209" i="3"/>
  <c r="M104" i="3"/>
  <c r="M1036" i="3"/>
  <c r="M2036" i="3"/>
  <c r="M1401" i="3"/>
  <c r="M3032" i="3"/>
  <c r="M1935" i="3"/>
  <c r="M2917" i="3"/>
  <c r="M3244" i="3"/>
  <c r="M2468" i="3"/>
  <c r="M463" i="3"/>
  <c r="M1363" i="3"/>
  <c r="M309" i="3"/>
  <c r="M2863" i="3"/>
  <c r="M2345" i="3"/>
  <c r="M2986" i="3"/>
  <c r="M1374" i="3"/>
  <c r="M928" i="3"/>
  <c r="M596" i="3"/>
  <c r="M898" i="3"/>
  <c r="M1099" i="3"/>
  <c r="M1782" i="3"/>
  <c r="M2374" i="3"/>
  <c r="M1625" i="3"/>
  <c r="M2485" i="3"/>
  <c r="M1628" i="3"/>
  <c r="M1954" i="3"/>
  <c r="M2843" i="3"/>
  <c r="M646" i="3"/>
  <c r="M3243" i="3"/>
  <c r="M99" i="3"/>
  <c r="M126" i="3"/>
  <c r="M584" i="3"/>
  <c r="M785" i="3"/>
  <c r="M185" i="3"/>
  <c r="M1756" i="3"/>
  <c r="M47" i="3"/>
  <c r="M2139" i="3"/>
  <c r="M273" i="3"/>
  <c r="M1877" i="3"/>
  <c r="M868" i="3"/>
  <c r="M765" i="3"/>
  <c r="M1336" i="3"/>
  <c r="M2018" i="3"/>
  <c r="M655" i="3"/>
  <c r="M745" i="3"/>
  <c r="M2150" i="3"/>
  <c r="M2615" i="3"/>
  <c r="M1468" i="3"/>
  <c r="M1536" i="3"/>
  <c r="M1931" i="3"/>
  <c r="M1402" i="3"/>
  <c r="M2536" i="3"/>
  <c r="M2017" i="3"/>
  <c r="M644" i="3"/>
  <c r="M693" i="3"/>
  <c r="M1000" i="3"/>
  <c r="M1223" i="3"/>
  <c r="M2987" i="3"/>
  <c r="M1997" i="3"/>
  <c r="M3112" i="3"/>
  <c r="M2938" i="3"/>
  <c r="M1634" i="3"/>
  <c r="M429" i="3"/>
  <c r="M1306" i="3"/>
  <c r="M243" i="3"/>
  <c r="M1400" i="3"/>
  <c r="M1190" i="3"/>
  <c r="M2914" i="3"/>
  <c r="M27" i="3"/>
  <c r="M1071" i="3"/>
  <c r="M1600" i="3"/>
  <c r="M2783" i="3"/>
  <c r="M379" i="3"/>
  <c r="M410" i="3"/>
  <c r="M875" i="3"/>
  <c r="M17" i="3"/>
  <c r="M783" i="3"/>
  <c r="M286" i="3"/>
  <c r="M57" i="3"/>
  <c r="M79" i="3"/>
  <c r="M2040" i="3"/>
  <c r="M2252" i="3"/>
  <c r="M2958" i="3"/>
  <c r="M2094" i="3"/>
  <c r="M560" i="3"/>
  <c r="M1277" i="3"/>
  <c r="M1785" i="3"/>
  <c r="M821" i="3"/>
  <c r="M681" i="3"/>
  <c r="M1910" i="3"/>
  <c r="M1407" i="3"/>
  <c r="M2785" i="3"/>
  <c r="M2867" i="3"/>
  <c r="M325" i="3"/>
  <c r="M2885" i="3"/>
  <c r="M2602" i="3"/>
  <c r="M2346" i="3"/>
  <c r="M179" i="3"/>
  <c r="M580" i="3"/>
  <c r="M1376" i="3"/>
  <c r="M3115" i="3"/>
  <c r="M2601" i="3"/>
  <c r="M521" i="3"/>
  <c r="M1936" i="3"/>
  <c r="M288" i="3"/>
  <c r="M440" i="3"/>
  <c r="M626" i="3"/>
  <c r="M1684" i="3"/>
  <c r="M567" i="3"/>
  <c r="M161" i="3"/>
  <c r="M1886" i="3"/>
  <c r="M1595" i="3"/>
  <c r="M1212" i="3"/>
  <c r="M3233" i="3"/>
  <c r="M308" i="3"/>
  <c r="M2952" i="3"/>
  <c r="M2839" i="3"/>
  <c r="M2499" i="3"/>
  <c r="M2558" i="3"/>
  <c r="M2926" i="3"/>
  <c r="M1130" i="3"/>
  <c r="M2508" i="3"/>
  <c r="M1868" i="3"/>
  <c r="M1371" i="3"/>
  <c r="M2590" i="3"/>
  <c r="M602" i="3"/>
  <c r="M238" i="3"/>
  <c r="M967" i="3"/>
  <c r="M3040" i="3"/>
  <c r="M152" i="3"/>
  <c r="M466" i="3"/>
  <c r="M200" i="3"/>
  <c r="M862" i="3"/>
  <c r="M1250" i="3"/>
  <c r="M1812" i="3"/>
  <c r="M2879" i="3"/>
  <c r="M994" i="3"/>
  <c r="M1996" i="3"/>
  <c r="M474" i="3"/>
  <c r="M1044" i="3"/>
  <c r="M2901" i="3"/>
  <c r="M2682" i="3"/>
  <c r="M856" i="3"/>
  <c r="M2032" i="3"/>
  <c r="M1636" i="3"/>
  <c r="M121" i="3"/>
  <c r="M877" i="3"/>
  <c r="M712" i="3"/>
  <c r="M2119" i="3"/>
  <c r="M1483" i="3"/>
  <c r="M595" i="3"/>
  <c r="M2461" i="3"/>
  <c r="M316" i="3"/>
  <c r="M111" i="3"/>
  <c r="M3057" i="3"/>
  <c r="M1142" i="3"/>
  <c r="M3089" i="3"/>
  <c r="M384" i="3"/>
  <c r="M1876" i="3"/>
  <c r="M2378" i="3"/>
  <c r="M1435" i="3"/>
  <c r="M2503" i="3"/>
  <c r="M1872" i="3"/>
  <c r="M2968" i="3"/>
  <c r="M888" i="3"/>
  <c r="M1929" i="3"/>
  <c r="M479" i="3"/>
  <c r="M3222" i="3"/>
  <c r="M603" i="3"/>
  <c r="M892" i="3"/>
  <c r="M3041" i="3"/>
  <c r="M350" i="3"/>
  <c r="M810" i="3"/>
  <c r="M914" i="3"/>
  <c r="M819" i="3"/>
  <c r="M2532" i="3"/>
  <c r="M1375" i="3"/>
  <c r="M3172" i="3"/>
  <c r="M938" i="3"/>
  <c r="M2520" i="3"/>
  <c r="M2189" i="3"/>
  <c r="M940" i="3"/>
  <c r="M1075" i="3"/>
  <c r="M2279" i="3"/>
  <c r="M533" i="3"/>
  <c r="M3199" i="3"/>
  <c r="M1316" i="3"/>
  <c r="M2327" i="3"/>
  <c r="M234" i="3"/>
  <c r="M2013" i="3"/>
  <c r="M2103" i="3"/>
  <c r="M2816" i="3"/>
  <c r="M562" i="3"/>
  <c r="M1657" i="3"/>
  <c r="M2624" i="3"/>
  <c r="M2929" i="3"/>
  <c r="M1999" i="3"/>
  <c r="M894" i="3"/>
  <c r="M1612" i="3"/>
  <c r="M2244" i="3"/>
  <c r="M2505" i="3"/>
  <c r="M162" i="3"/>
  <c r="M1826" i="3"/>
  <c r="M30" i="3"/>
  <c r="M2862" i="3"/>
  <c r="M2194" i="3"/>
  <c r="M1565" i="3"/>
  <c r="M22" i="3"/>
  <c r="M1191" i="3"/>
  <c r="M2890" i="3"/>
  <c r="M1741" i="3"/>
  <c r="M1709" i="3"/>
  <c r="M1061" i="3"/>
  <c r="M588" i="3"/>
  <c r="M958" i="3"/>
  <c r="M2021" i="3"/>
  <c r="M1947" i="3"/>
  <c r="M2329" i="3"/>
  <c r="M499" i="3"/>
  <c r="M732" i="3"/>
  <c r="M1145" i="3"/>
  <c r="M1054" i="3"/>
  <c r="M2425" i="3"/>
  <c r="M319" i="3"/>
  <c r="M1855" i="3"/>
  <c r="M2549" i="3"/>
  <c r="M3022" i="3"/>
  <c r="M1545" i="3"/>
  <c r="M339" i="3"/>
  <c r="M2078" i="3"/>
  <c r="M1530" i="3"/>
  <c r="M2664" i="3"/>
  <c r="M2214" i="3"/>
  <c r="M1089" i="3"/>
  <c r="M1817" i="3"/>
  <c r="M2251" i="3"/>
  <c r="M2373" i="3"/>
  <c r="M3126" i="3"/>
  <c r="M1672" i="3"/>
  <c r="M2790" i="3"/>
  <c r="M1199" i="3"/>
  <c r="M592" i="3"/>
  <c r="M378" i="3"/>
  <c r="M2701" i="3"/>
  <c r="M221" i="3"/>
  <c r="M90" i="3"/>
  <c r="M2576" i="3"/>
  <c r="M3042" i="3"/>
  <c r="M1831" i="3"/>
  <c r="M1208" i="3"/>
  <c r="M835" i="3"/>
  <c r="M212" i="3"/>
  <c r="M610" i="3"/>
  <c r="M133" i="3"/>
  <c r="M3120" i="3"/>
  <c r="M667" i="3"/>
  <c r="M21" i="3"/>
  <c r="M1894" i="3"/>
  <c r="M1794" i="3"/>
  <c r="M431" i="3"/>
  <c r="M2631" i="3"/>
  <c r="M3230" i="3"/>
  <c r="M706" i="3"/>
  <c r="M1598" i="3"/>
  <c r="M1610" i="3"/>
  <c r="M1583" i="3"/>
  <c r="M2256" i="3"/>
  <c r="M224" i="3"/>
  <c r="M930" i="3"/>
  <c r="M122" i="3"/>
  <c r="M364" i="3"/>
  <c r="M2477" i="3"/>
  <c r="M2934" i="3"/>
  <c r="M2976" i="3"/>
  <c r="M2070" i="3"/>
  <c r="M2598" i="3"/>
  <c r="M192" i="3"/>
  <c r="M782" i="3"/>
  <c r="M2118" i="3"/>
  <c r="M340" i="3"/>
  <c r="M3192" i="3"/>
  <c r="M563" i="3"/>
  <c r="M3146" i="3"/>
  <c r="M2274" i="3"/>
  <c r="M2123" i="3"/>
  <c r="M3194" i="3"/>
  <c r="M1242" i="3"/>
  <c r="M1083" i="3"/>
  <c r="M324" i="3"/>
  <c r="M398" i="3"/>
  <c r="M1547" i="3"/>
  <c r="M445" i="3"/>
  <c r="M1280" i="3"/>
  <c r="M920" i="3"/>
  <c r="M3167" i="3"/>
  <c r="M847" i="3"/>
  <c r="M1293" i="3"/>
  <c r="M829" i="3"/>
  <c r="M3116" i="3"/>
  <c r="M2818" i="3"/>
  <c r="M2868" i="3"/>
  <c r="M1560" i="3"/>
  <c r="M2124" i="3"/>
  <c r="M2509" i="3"/>
  <c r="M2572" i="3"/>
  <c r="M956" i="3"/>
  <c r="M298" i="3"/>
  <c r="M3070" i="3"/>
  <c r="M1309" i="3"/>
  <c r="M887" i="3"/>
  <c r="M63" i="3"/>
  <c r="M275" i="3"/>
  <c r="M2417" i="3"/>
  <c r="M1040" i="3"/>
  <c r="M1577" i="3"/>
  <c r="M2011" i="3"/>
  <c r="M1517" i="3"/>
  <c r="M1795" i="3"/>
  <c r="M101" i="3"/>
  <c r="M1651" i="3"/>
  <c r="M2033" i="3"/>
  <c r="M864" i="3"/>
  <c r="M2022" i="3"/>
  <c r="M2469" i="3"/>
  <c r="M170" i="3"/>
  <c r="M934" i="3"/>
  <c r="M1818" i="3"/>
  <c r="M2099" i="3"/>
  <c r="M2096" i="3"/>
  <c r="M688" i="3"/>
  <c r="M818" i="3"/>
  <c r="M848" i="3"/>
  <c r="M119" i="3"/>
  <c r="M3134" i="3"/>
  <c r="M1003" i="3"/>
  <c r="M3003" i="3"/>
  <c r="M723" i="3"/>
  <c r="M1654" i="3"/>
  <c r="M1002" i="3"/>
  <c r="M2303" i="3"/>
  <c r="M107" i="3"/>
  <c r="M1646" i="3"/>
  <c r="M459" i="3"/>
  <c r="M3117" i="3"/>
  <c r="M2480" i="3"/>
  <c r="M1108" i="3"/>
  <c r="M766" i="3"/>
  <c r="M3052" i="3"/>
  <c r="M1841" i="3"/>
  <c r="M2143" i="3"/>
  <c r="M9" i="3"/>
  <c r="M1229" i="3"/>
  <c r="M108" i="3"/>
  <c r="M1516" i="3"/>
  <c r="M2786" i="3"/>
  <c r="M2823" i="3"/>
  <c r="M2278" i="3"/>
  <c r="M1220" i="3"/>
  <c r="M2331" i="3"/>
  <c r="M2939" i="3"/>
  <c r="M2182" i="3"/>
  <c r="M2897" i="3"/>
  <c r="M543" i="3"/>
  <c r="M1616" i="3"/>
  <c r="M736" i="3"/>
  <c r="M2012" i="3"/>
  <c r="M541" i="3"/>
  <c r="M2455" i="3"/>
  <c r="M2561" i="3"/>
  <c r="M1553" i="3"/>
  <c r="M471" i="3"/>
  <c r="M3073" i="3"/>
  <c r="M751" i="3"/>
  <c r="M1765" i="3"/>
  <c r="M573" i="3"/>
  <c r="M2922" i="3"/>
  <c r="M1256" i="3"/>
  <c r="M1678" i="3"/>
  <c r="M908" i="3"/>
  <c r="M2015" i="3"/>
  <c r="M2007" i="3"/>
  <c r="M169" i="3"/>
  <c r="M3205" i="3"/>
  <c r="M2809" i="3"/>
  <c r="M1718" i="3"/>
  <c r="M2335" i="3"/>
  <c r="M61" i="3"/>
  <c r="M850" i="3"/>
  <c r="M2864" i="3"/>
  <c r="M2884" i="3"/>
  <c r="M2719" i="3"/>
  <c r="M2767" i="3"/>
  <c r="M950" i="3"/>
  <c r="M413" i="3"/>
  <c r="M233" i="3"/>
  <c r="M1615" i="3"/>
  <c r="M2220" i="3"/>
  <c r="M328" i="3"/>
  <c r="M2026" i="3"/>
  <c r="M3006" i="3"/>
  <c r="M978" i="3"/>
  <c r="M977" i="3"/>
  <c r="M1814" i="3"/>
  <c r="M2930" i="3"/>
  <c r="M2559" i="3"/>
  <c r="M1372" i="3"/>
  <c r="M672" i="3"/>
  <c r="M16" i="3"/>
  <c r="M606" i="3"/>
  <c r="M2091" i="3"/>
  <c r="M2733" i="3"/>
  <c r="M1289" i="3"/>
  <c r="M1296" i="3"/>
  <c r="M1668" i="3"/>
  <c r="M1613" i="3"/>
  <c r="M20" i="3"/>
  <c r="M3024" i="3"/>
  <c r="M1334" i="3"/>
  <c r="M1859" i="3"/>
  <c r="M1505" i="3"/>
  <c r="M2076" i="3"/>
  <c r="M3029" i="3"/>
  <c r="M1980" i="3"/>
  <c r="M3053" i="3"/>
  <c r="M1973" i="3"/>
  <c r="M458" i="3"/>
  <c r="M23" i="3"/>
  <c r="M2638" i="3"/>
  <c r="M1621" i="3"/>
  <c r="M2665" i="3"/>
  <c r="M2792" i="3"/>
  <c r="M250" i="3"/>
  <c r="M177" i="3"/>
  <c r="M467" i="3"/>
  <c r="M171" i="3"/>
  <c r="M1252" i="3"/>
  <c r="M726" i="3"/>
  <c r="M198" i="3"/>
  <c r="M1925" i="3"/>
  <c r="M2795" i="3"/>
  <c r="M2755" i="3"/>
  <c r="M1404" i="3"/>
  <c r="M2797" i="3"/>
  <c r="M14" i="3"/>
  <c r="M3179" i="3"/>
  <c r="M594" i="3"/>
  <c r="M519" i="3"/>
  <c r="M2122" i="3"/>
  <c r="M391" i="3"/>
  <c r="M516" i="3"/>
  <c r="M2428" i="3"/>
  <c r="M2829" i="3"/>
  <c r="M715" i="3"/>
  <c r="M1930" i="3"/>
  <c r="M1717" i="3"/>
  <c r="M306" i="3"/>
  <c r="M2110" i="3"/>
  <c r="M443" i="3"/>
  <c r="M2894" i="3"/>
  <c r="M2908" i="3"/>
  <c r="M773" i="3"/>
  <c r="M2587" i="3"/>
  <c r="M2016" i="3"/>
  <c r="M2426" i="3"/>
  <c r="M2454" i="3"/>
  <c r="M3018" i="3"/>
  <c r="M1415" i="3"/>
  <c r="M49" i="3"/>
  <c r="M607" i="3"/>
  <c r="M1528" i="3"/>
  <c r="M1476" i="3"/>
  <c r="M2050" i="3"/>
  <c r="M614" i="3"/>
  <c r="M1441" i="3"/>
  <c r="M874" i="3"/>
  <c r="M2916" i="3"/>
  <c r="M2555" i="3"/>
  <c r="M752" i="3"/>
  <c r="M2507" i="3"/>
  <c r="M156" i="3"/>
  <c r="M3020" i="3"/>
  <c r="M1596" i="3"/>
  <c r="M2722" i="3"/>
  <c r="M2993" i="3"/>
  <c r="M2751" i="3"/>
  <c r="M2836" i="3"/>
  <c r="M1169" i="3"/>
  <c r="M1986" i="3"/>
  <c r="M503" i="3"/>
  <c r="M867" i="3"/>
  <c r="M2147" i="3"/>
  <c r="M1193" i="3"/>
  <c r="M1062" i="3"/>
  <c r="M1207" i="3"/>
  <c r="M2780" i="3"/>
  <c r="M1090" i="3"/>
  <c r="M2302" i="3"/>
  <c r="M1519" i="3"/>
  <c r="M780" i="3"/>
  <c r="M1820" i="3"/>
  <c r="M2619" i="3"/>
  <c r="M437" i="3"/>
  <c r="M1287" i="3"/>
  <c r="M2539" i="3"/>
  <c r="M19" i="3"/>
  <c r="M616" i="3"/>
  <c r="M2870" i="3"/>
  <c r="M254" i="3"/>
  <c r="M1137" i="3"/>
  <c r="M329" i="3"/>
  <c r="M434" i="3"/>
  <c r="M1688" i="3"/>
  <c r="M3078" i="3"/>
  <c r="M2483" i="3"/>
  <c r="M2089" i="3"/>
  <c r="M2083" i="3"/>
  <c r="M1453" i="3"/>
  <c r="M2208" i="3"/>
  <c r="M2937" i="3"/>
  <c r="M189" i="3"/>
  <c r="M2475" i="3"/>
  <c r="M3090" i="3"/>
  <c r="M2575" i="3"/>
  <c r="M3128" i="3"/>
  <c r="M1405" i="3"/>
  <c r="M2239" i="3"/>
  <c r="M1670" i="3"/>
  <c r="M34" i="3"/>
  <c r="M3132" i="3"/>
  <c r="M1570" i="3"/>
  <c r="M904" i="3"/>
  <c r="M1836" i="3"/>
  <c r="M2648" i="3"/>
  <c r="M1892" i="3"/>
  <c r="M2039" i="3"/>
  <c r="M281" i="3"/>
  <c r="M719" i="3"/>
  <c r="M1972" i="3"/>
  <c r="M1539" i="3"/>
  <c r="M1419" i="3"/>
  <c r="M1979" i="3"/>
  <c r="M236" i="3"/>
  <c r="M55" i="3"/>
  <c r="M3173" i="3"/>
  <c r="M2318" i="3"/>
  <c r="M2436" i="3"/>
  <c r="M1128" i="3"/>
  <c r="M1862" i="3"/>
  <c r="M2364" i="3"/>
  <c r="M1899" i="3"/>
  <c r="M3154" i="3"/>
  <c r="M1172" i="3"/>
  <c r="M980" i="3"/>
  <c r="M2954" i="3"/>
  <c r="M1388" i="3"/>
  <c r="M2902" i="3"/>
  <c r="M2828" i="3"/>
  <c r="M2632" i="3"/>
  <c r="M3123" i="3"/>
  <c r="M683" i="3"/>
  <c r="M1523" i="3"/>
  <c r="M80" i="3"/>
  <c r="M1158" i="3"/>
  <c r="M2991" i="3"/>
  <c r="M178" i="3"/>
  <c r="M1094" i="3"/>
  <c r="M2444" i="3"/>
  <c r="M2659" i="3"/>
  <c r="M2236" i="3"/>
  <c r="M1216" i="3"/>
  <c r="M1322" i="3"/>
  <c r="M1529" i="3"/>
  <c r="M1667" i="3"/>
  <c r="M2158" i="3"/>
  <c r="M1307" i="3"/>
  <c r="M3021" i="3"/>
  <c r="M1991" i="3"/>
  <c r="M3182" i="3"/>
  <c r="M2662" i="3"/>
  <c r="M1603" i="3"/>
  <c r="M549" i="3"/>
  <c r="M332" i="3"/>
  <c r="M2515" i="3"/>
  <c r="M2683" i="3"/>
  <c r="M794" i="3"/>
  <c r="M518" i="3"/>
  <c r="M1728" i="3"/>
  <c r="M2154" i="3"/>
  <c r="M3220" i="3"/>
  <c r="M742" i="3"/>
  <c r="M2846" i="3"/>
  <c r="M98" i="3"/>
  <c r="M3108" i="3"/>
  <c r="M269" i="3"/>
  <c r="M1661" i="3"/>
  <c r="M2167" i="3"/>
  <c r="M1051" i="3"/>
  <c r="M970" i="3"/>
  <c r="M2010" i="3"/>
  <c r="M690" i="3"/>
  <c r="M1607" i="3"/>
  <c r="M3114" i="3"/>
  <c r="M696" i="3"/>
  <c r="M2511" i="3"/>
  <c r="M3137" i="3"/>
  <c r="M1041" i="3"/>
  <c r="M3166" i="3"/>
  <c r="M1923" i="3"/>
  <c r="M3028" i="3"/>
  <c r="M1780" i="3"/>
  <c r="M1226" i="3"/>
  <c r="M1430" i="3"/>
  <c r="M798" i="3"/>
  <c r="M816" i="3"/>
  <c r="M2962" i="3"/>
  <c r="M2667" i="3"/>
  <c r="M1959" i="3"/>
  <c r="M1342" i="3"/>
  <c r="M1522" i="3"/>
  <c r="M2923" i="3"/>
  <c r="M851" i="3"/>
  <c r="M861" i="3"/>
  <c r="M1263" i="3"/>
  <c r="M2481" i="3"/>
  <c r="M974" i="3"/>
  <c r="M1903" i="3"/>
  <c r="M822" i="3"/>
  <c r="M2842" i="3"/>
  <c r="M94" i="3"/>
  <c r="M2724" i="3"/>
  <c r="M901" i="3"/>
  <c r="M131" i="3"/>
  <c r="M2465" i="3"/>
  <c r="M72" i="3"/>
  <c r="M656" i="3"/>
  <c r="M2312" i="3"/>
  <c r="M2459" i="3"/>
  <c r="M1689" i="3"/>
  <c r="M157" i="3"/>
  <c r="M1156" i="3"/>
  <c r="M2394" i="3"/>
  <c r="M3069" i="3"/>
  <c r="M670" i="3"/>
  <c r="M1386" i="3"/>
  <c r="M2074" i="3"/>
  <c r="M1151" i="3"/>
  <c r="M808" i="3"/>
  <c r="M2840" i="3"/>
  <c r="M2360" i="3"/>
  <c r="M832" i="3"/>
  <c r="M576" i="3"/>
  <c r="M367" i="3"/>
  <c r="M86" i="3"/>
  <c r="M1239" i="3"/>
  <c r="M2688" i="3"/>
  <c r="M1272" i="3"/>
  <c r="M1105" i="3"/>
  <c r="M39" i="3"/>
  <c r="M987" i="3"/>
  <c r="M1626" i="3"/>
  <c r="M1477" i="3"/>
  <c r="M2311" i="3"/>
  <c r="M2384" i="3"/>
  <c r="M469" i="3"/>
  <c r="M1467" i="3"/>
  <c r="M569" i="3"/>
  <c r="M1609" i="3"/>
  <c r="M487" i="3"/>
  <c r="M1617" i="3"/>
  <c r="M1420" i="3"/>
  <c r="M18" i="3"/>
  <c r="M2943" i="3"/>
  <c r="M2005" i="3"/>
  <c r="M1659" i="3"/>
  <c r="M3240" i="3"/>
  <c r="M805" i="3"/>
  <c r="M181" i="3"/>
  <c r="M740" i="3"/>
  <c r="M2716" i="3"/>
  <c r="M2437" i="3"/>
  <c r="M1122" i="3"/>
  <c r="M10" i="3"/>
  <c r="M2240" i="3"/>
  <c r="M2869" i="3"/>
  <c r="M51" i="3"/>
  <c r="M2854" i="3"/>
  <c r="M3138" i="3"/>
  <c r="M1515" i="3"/>
  <c r="M1846" i="3"/>
  <c r="M2566" i="3"/>
  <c r="M1438" i="3"/>
  <c r="M2641" i="3"/>
  <c r="M2141" i="3"/>
  <c r="M514" i="3"/>
  <c r="M2697" i="3"/>
  <c r="M1900" i="3"/>
  <c r="M1755" i="3"/>
  <c r="M74" i="3"/>
  <c r="M3200" i="3"/>
  <c r="M2496" i="3"/>
  <c r="M2876" i="3"/>
  <c r="M2196" i="3"/>
  <c r="M296" i="3"/>
  <c r="M1488" i="3"/>
  <c r="M1446" i="3"/>
  <c r="M2095" i="3"/>
  <c r="M1079" i="3"/>
  <c r="M623" i="3"/>
  <c r="M2197" i="3"/>
  <c r="M1975" i="3"/>
  <c r="M209" i="3"/>
  <c r="M2732" i="3"/>
  <c r="M1452" i="3"/>
  <c r="M1916" i="3"/>
  <c r="M2319" i="3"/>
  <c r="M1643" i="3"/>
  <c r="M2441" i="3"/>
  <c r="M1425" i="3"/>
  <c r="M2812" i="3"/>
  <c r="M87" i="3"/>
  <c r="M1273" i="3"/>
  <c r="M2949" i="3"/>
  <c r="M3087" i="3"/>
  <c r="M2199" i="3"/>
  <c r="M889" i="3"/>
  <c r="M2215" i="3"/>
  <c r="M406" i="3"/>
  <c r="M2000" i="3"/>
  <c r="M2743" i="3"/>
  <c r="M3119" i="3"/>
  <c r="M1905" i="3"/>
  <c r="M593" i="3"/>
  <c r="M2674" i="3"/>
  <c r="M2263" i="3"/>
  <c r="M1951" i="3"/>
  <c r="M1633" i="3"/>
  <c r="M2971" i="3"/>
  <c r="M2409" i="3"/>
  <c r="M1320" i="3"/>
  <c r="M636" i="3"/>
  <c r="M2513" i="3"/>
  <c r="M814" i="3"/>
  <c r="M1069" i="3"/>
  <c r="M2207" i="3"/>
  <c r="M1532" i="3"/>
  <c r="M1691" i="3"/>
  <c r="M900" i="3"/>
  <c r="M2715" i="3"/>
  <c r="M505" i="3"/>
  <c r="M1097" i="3"/>
  <c r="M117" i="3"/>
  <c r="M12" i="3"/>
  <c r="M3169" i="3"/>
  <c r="M201" i="3"/>
  <c r="M1106" i="3"/>
  <c r="M2528" i="3"/>
  <c r="M2484" i="3"/>
  <c r="M1914" i="3"/>
  <c r="M2065" i="3"/>
  <c r="M2198" i="3"/>
  <c r="M2872" i="3"/>
  <c r="M2205" i="3"/>
  <c r="M1525" i="3"/>
  <c r="M1009" i="3"/>
  <c r="M3104" i="3"/>
  <c r="M2213" i="3"/>
  <c r="M2054" i="3"/>
  <c r="M2168" i="3"/>
  <c r="M1829" i="3"/>
  <c r="M730" i="3"/>
  <c r="M247" i="3"/>
  <c r="M2326" i="3"/>
  <c r="M1692" i="3"/>
  <c r="M2728" i="3"/>
  <c r="M40" i="3"/>
  <c r="M2028" i="3"/>
  <c r="M317" i="3"/>
  <c r="M1205" i="3"/>
  <c r="M3014" i="3"/>
  <c r="M2356" i="3"/>
  <c r="M245" i="3"/>
  <c r="M2340" i="3"/>
  <c r="M1026" i="3"/>
  <c r="M1390" i="3"/>
  <c r="M716" i="3"/>
  <c r="M1969" i="3"/>
  <c r="M32" i="3"/>
  <c r="M2004" i="3"/>
  <c r="M2963" i="3"/>
  <c r="M617" i="3"/>
  <c r="M565" i="3"/>
  <c r="M2371" i="3"/>
  <c r="M1116" i="3"/>
  <c r="M1582" i="3"/>
  <c r="M1161" i="3"/>
  <c r="M969" i="3"/>
  <c r="M35" i="3"/>
  <c r="M1608" i="3"/>
  <c r="M3188" i="3"/>
  <c r="M1474" i="3"/>
  <c r="M255" i="3"/>
  <c r="M204" i="3"/>
  <c r="M1383" i="3"/>
  <c r="M1721" i="3"/>
  <c r="M362" i="3"/>
  <c r="M757" i="3"/>
  <c r="M3082" i="3"/>
  <c r="M1902" i="3"/>
  <c r="M1066" i="3"/>
  <c r="M1800" i="3"/>
  <c r="M2663" i="3"/>
  <c r="M1004" i="3"/>
  <c r="M717" i="3"/>
  <c r="M628" i="3"/>
  <c r="M1919" i="3"/>
  <c r="M718" i="3"/>
  <c r="M2837" i="3"/>
  <c r="M1703" i="3"/>
  <c r="M925" i="3"/>
  <c r="M3111" i="3"/>
  <c r="M1403" i="3"/>
  <c r="M264" i="3"/>
  <c r="M2338" i="3"/>
  <c r="M1035" i="3"/>
  <c r="M1563" i="3"/>
  <c r="M2323" i="3"/>
  <c r="M1127" i="3"/>
  <c r="M1327" i="3"/>
  <c r="M132" i="3"/>
  <c r="M1414" i="3"/>
  <c r="M294" i="3"/>
  <c r="M1640" i="3"/>
  <c r="M2281" i="3"/>
  <c r="M347" i="3"/>
  <c r="M158" i="3"/>
  <c r="M2112" i="3"/>
  <c r="M537" i="3"/>
  <c r="M902" i="3"/>
  <c r="M561" i="3"/>
  <c r="M3162" i="3"/>
  <c r="M2057" i="3"/>
  <c r="M1501" i="3"/>
  <c r="M1739" i="3"/>
  <c r="M961" i="3"/>
  <c r="M42" i="3"/>
  <c r="M2153" i="3"/>
  <c r="M2960" i="3"/>
  <c r="M586" i="3"/>
  <c r="M2292" i="3"/>
  <c r="M165" i="3"/>
  <c r="M2464" i="3"/>
  <c r="M2594" i="3"/>
  <c r="M1270" i="3"/>
  <c r="M470" i="3"/>
  <c r="M3229" i="3"/>
  <c r="M1074" i="3"/>
  <c r="M1031" i="3"/>
  <c r="M1538" i="3"/>
  <c r="M405" i="3"/>
  <c r="M2606" i="3"/>
  <c r="M2813" i="3"/>
  <c r="M2067" i="3"/>
  <c r="M323" i="3"/>
  <c r="M2822" i="3"/>
  <c r="M2500" i="3"/>
  <c r="M1192" i="3"/>
  <c r="M1591" i="3"/>
  <c r="M1660" i="3"/>
  <c r="M3094" i="3"/>
  <c r="M409" i="3"/>
  <c r="M2666" i="3"/>
  <c r="M480" i="3"/>
  <c r="M1180" i="3"/>
  <c r="M1822" i="3"/>
  <c r="M2216" i="3"/>
  <c r="M414" i="3"/>
  <c r="M2248" i="3"/>
  <c r="M1745" i="3"/>
  <c r="M1269" i="3"/>
  <c r="M1282" i="3"/>
  <c r="M1566" i="3"/>
  <c r="M36" i="3"/>
  <c r="M2951" i="3"/>
  <c r="M2647" i="3"/>
  <c r="M2891" i="3"/>
  <c r="M1440" i="3"/>
  <c r="M3159" i="3"/>
  <c r="M2717" i="3"/>
  <c r="M1757" i="3"/>
  <c r="M301" i="3"/>
  <c r="M918" i="3"/>
  <c r="M139" i="3"/>
  <c r="M761" i="3"/>
  <c r="M2658" i="3"/>
  <c r="M1308" i="3"/>
  <c r="M15" i="3"/>
  <c r="M2149" i="3"/>
  <c r="M1559" i="3"/>
  <c r="M1630" i="3"/>
  <c r="M29" i="3"/>
  <c r="M972" i="3"/>
  <c r="M1988" i="3"/>
  <c r="M140" i="3"/>
  <c r="M3196" i="3"/>
  <c r="M37" i="3"/>
  <c r="M1944" i="3"/>
  <c r="M2918" i="3"/>
  <c r="M3144" i="3"/>
  <c r="M38" i="3"/>
  <c r="M1492" i="3"/>
  <c r="M439" i="3"/>
  <c r="M1679" i="3"/>
  <c r="M2858" i="3"/>
  <c r="M886" i="3"/>
  <c r="M1358" i="3"/>
  <c r="M199" i="3"/>
  <c r="M53" i="3"/>
  <c r="M1981" i="3"/>
  <c r="M3181" i="3"/>
  <c r="M985" i="3"/>
  <c r="M2781" i="3"/>
  <c r="M1770" i="3"/>
  <c r="M709" i="3"/>
  <c r="M1033" i="3"/>
  <c r="M2804" i="3"/>
  <c r="M2341" i="3"/>
  <c r="M2657" i="3"/>
  <c r="M872" i="3"/>
  <c r="M3147" i="3"/>
  <c r="M1367" i="3"/>
  <c r="M1465" i="3"/>
  <c r="M3160" i="3"/>
  <c r="M2225" i="3"/>
  <c r="M2242" i="3"/>
  <c r="M585" i="3"/>
  <c r="M2936" i="3"/>
  <c r="M478" i="3"/>
  <c r="M2249" i="3"/>
  <c r="M866" i="3"/>
  <c r="M720" i="3"/>
  <c r="M665" i="3"/>
  <c r="M2794" i="3"/>
  <c r="M2260" i="3"/>
  <c r="M2383" i="3"/>
  <c r="M2277" i="3"/>
  <c r="M890" i="3"/>
  <c r="M1276" i="3"/>
  <c r="M2569" i="3"/>
  <c r="M989" i="3"/>
  <c r="M589" i="3"/>
  <c r="M112" i="3"/>
  <c r="M210" i="3"/>
  <c r="M952" i="3"/>
  <c r="M975" i="3"/>
  <c r="M361" i="3"/>
  <c r="M2742" i="3"/>
  <c r="M383" i="3"/>
  <c r="M649" i="3"/>
  <c r="M1673" i="3"/>
  <c r="M174" i="3"/>
  <c r="M235" i="3"/>
  <c r="M1469" i="3"/>
  <c r="M2887" i="3"/>
  <c r="M1406" i="3"/>
  <c r="M846" i="3"/>
  <c r="M2423" i="3"/>
  <c r="M369" i="3"/>
  <c r="M1295" i="3"/>
  <c r="M2931" i="3"/>
  <c r="M65" i="3"/>
  <c r="M1882" i="3"/>
  <c r="M2229" i="3"/>
  <c r="M2234" i="3"/>
  <c r="M1885" i="3"/>
  <c r="M2133" i="3"/>
  <c r="M1956" i="3"/>
  <c r="M461" i="3"/>
  <c r="M1576" i="3"/>
  <c r="M217" i="3"/>
  <c r="M2049" i="3"/>
  <c r="M1592" i="3"/>
  <c r="M2592" i="3"/>
  <c r="M2793" i="3"/>
  <c r="M2100" i="3"/>
  <c r="M1174" i="3"/>
  <c r="M2517" i="3"/>
  <c r="M2075" i="3"/>
  <c r="M807" i="3"/>
  <c r="M2784" i="3"/>
  <c r="M481" i="3"/>
  <c r="M1301" i="3"/>
  <c r="M3098" i="3"/>
  <c r="M2377" i="3"/>
  <c r="M412" i="3"/>
  <c r="M836" i="3"/>
  <c r="M2315" i="3"/>
  <c r="M2478" i="3"/>
  <c r="M489" i="3"/>
  <c r="M2253" i="3"/>
  <c r="M3013" i="3"/>
  <c r="M2599" i="3"/>
  <c r="M342" i="3"/>
  <c r="M2928" i="3"/>
  <c r="M1206" i="3"/>
  <c r="M2" i="3"/>
  <c r="M544" i="3"/>
  <c r="M903" i="3"/>
  <c r="M1844" i="3"/>
  <c r="M2571" i="3"/>
  <c r="M1291" i="3"/>
  <c r="M682" i="3"/>
  <c r="M8" i="3"/>
  <c r="M310" i="3"/>
  <c r="M1021" i="3"/>
  <c r="M2749" i="3"/>
  <c r="M1200" i="3"/>
  <c r="M622" i="3"/>
  <c r="M1381" i="3"/>
  <c r="M2419" i="3"/>
  <c r="M1908" i="3"/>
  <c r="M591" i="3"/>
  <c r="M1319" i="3"/>
  <c r="M1622" i="3"/>
  <c r="M3072" i="3"/>
  <c r="M2613" i="3"/>
  <c r="M2512" i="3"/>
  <c r="M1173" i="3"/>
  <c r="M2460" i="3"/>
  <c r="M1411" i="3"/>
  <c r="M661" i="3"/>
  <c r="M1355" i="3"/>
  <c r="M710" i="3"/>
  <c r="M684" i="3"/>
  <c r="M3236" i="3"/>
  <c r="M605" i="3"/>
  <c r="M532" i="3"/>
  <c r="M1426" i="3"/>
  <c r="M1025" i="3"/>
  <c r="M1345" i="3"/>
  <c r="M2467" i="3"/>
  <c r="M919" i="3"/>
  <c r="M348" i="3"/>
  <c r="M1231" i="3"/>
  <c r="M1246" i="3"/>
  <c r="M146" i="3"/>
  <c r="M578" i="3"/>
  <c r="M3161" i="3"/>
  <c r="M1299" i="3"/>
  <c r="M1864" i="3"/>
  <c r="M1194" i="3"/>
  <c r="M231" i="3"/>
  <c r="M931" i="3"/>
  <c r="M1445" i="3"/>
  <c r="M180" i="3"/>
  <c r="M2482" i="3"/>
  <c r="M796" i="3"/>
  <c r="M214" i="3"/>
  <c r="M2295" i="3"/>
  <c r="M883" i="3"/>
  <c r="M2126" i="3"/>
  <c r="M3064" i="3"/>
  <c r="M1175" i="3"/>
  <c r="M184" i="3"/>
  <c r="M559" i="3"/>
  <c r="M539" i="3"/>
  <c r="M1674" i="3"/>
  <c r="M411" i="3"/>
  <c r="M1819" i="3"/>
  <c r="M436" i="3"/>
  <c r="M2799" i="3"/>
  <c r="M2596" i="3"/>
  <c r="M722" i="3"/>
  <c r="M1391" i="3"/>
  <c r="M3142" i="3"/>
  <c r="M770" i="3"/>
  <c r="M218" i="3"/>
  <c r="M3197" i="3"/>
  <c r="M84" i="3"/>
  <c r="M83" i="3"/>
  <c r="M1045" i="3"/>
  <c r="M1379" i="3"/>
  <c r="M427" i="3"/>
  <c r="M542" i="3"/>
  <c r="M507" i="3"/>
  <c r="M1990" i="3"/>
  <c r="M1461" i="3"/>
  <c r="M421" i="3"/>
  <c r="M3077" i="3"/>
  <c r="M2700" i="3"/>
  <c r="M2643" i="3"/>
  <c r="M2257" i="3"/>
  <c r="M2584" i="3"/>
  <c r="M404" i="3"/>
  <c r="M222" i="3"/>
  <c r="M689" i="3"/>
  <c r="M608" i="3"/>
  <c r="M1236" i="3"/>
  <c r="M1235" i="3"/>
  <c r="M1092" i="3"/>
  <c r="M1058" i="3"/>
  <c r="M1589" i="3"/>
  <c r="M60" i="3"/>
  <c r="M205" i="3"/>
  <c r="M3037" i="3"/>
  <c r="M2589" i="3"/>
  <c r="M2713" i="3"/>
  <c r="M1767" i="3"/>
  <c r="M1590" i="3"/>
  <c r="M2097" i="3"/>
  <c r="M113" i="3"/>
  <c r="M1585" i="3"/>
  <c r="M2611" i="3"/>
  <c r="M68" i="3"/>
  <c r="M3100" i="3"/>
  <c r="M2129" i="3"/>
  <c r="M455" i="3"/>
  <c r="M535" i="3"/>
  <c r="M1076" i="3"/>
  <c r="M1994" i="3"/>
  <c r="M1284" i="3"/>
  <c r="M3190" i="3"/>
  <c r="M2847" i="3"/>
  <c r="M432" i="3"/>
  <c r="M3102" i="3"/>
  <c r="M1702" i="3"/>
  <c r="M2145" i="3"/>
  <c r="M1734" i="3"/>
  <c r="M2368" i="3"/>
  <c r="M1201" i="3"/>
  <c r="M1698" i="3"/>
  <c r="M2645" i="3"/>
  <c r="M662" i="3"/>
  <c r="M465" i="3"/>
  <c r="M2223" i="3"/>
  <c r="M657" i="3"/>
  <c r="M2992" i="3"/>
  <c r="M1288" i="3"/>
  <c r="M3215" i="3"/>
  <c r="M59" i="3"/>
  <c r="M779" i="3"/>
  <c r="M2710" i="3"/>
  <c r="M1113" i="3"/>
  <c r="M1370" i="3"/>
  <c r="M1953" i="3"/>
  <c r="M813" i="3"/>
  <c r="M1188" i="3"/>
  <c r="M1182" i="3"/>
  <c r="M1421" i="3"/>
  <c r="M2806" i="3"/>
  <c r="M225" i="3"/>
  <c r="M358" i="3"/>
  <c r="M2996" i="3"/>
  <c r="M513" i="3"/>
  <c r="M2965" i="3"/>
  <c r="M336" i="3"/>
  <c r="M1686" i="3"/>
  <c r="M2903" i="3"/>
  <c r="M134" i="3"/>
  <c r="M2166" i="3"/>
  <c r="M2676" i="3"/>
  <c r="M551" i="3"/>
  <c r="M2874" i="3"/>
  <c r="M1178" i="3"/>
  <c r="M1311" i="3"/>
  <c r="M2909" i="3"/>
  <c r="M3097" i="3"/>
  <c r="M811" i="3"/>
  <c r="M46" i="3"/>
  <c r="M1665" i="3"/>
  <c r="M1842" i="3"/>
  <c r="M2333" i="3"/>
  <c r="M2413" i="3"/>
  <c r="M116" i="3"/>
  <c r="M876" i="3"/>
  <c r="M625" i="3"/>
  <c r="M284" i="3"/>
  <c r="M1778" i="3"/>
  <c r="M190" i="3"/>
  <c r="M486" i="3"/>
  <c r="M700" i="3"/>
  <c r="M879" i="3"/>
  <c r="M2694" i="3"/>
  <c r="M423" i="3"/>
  <c r="M334" i="3"/>
  <c r="M2947" i="3"/>
  <c r="M141" i="3"/>
  <c r="M2348" i="3"/>
  <c r="M1222" i="3"/>
  <c r="M2649" i="3"/>
  <c r="M2071" i="3"/>
  <c r="M1511" i="3"/>
  <c r="M1177" i="3"/>
  <c r="M407" i="3"/>
  <c r="M2526" i="3"/>
  <c r="M277" i="3"/>
  <c r="M400" i="3"/>
  <c r="M2673" i="3"/>
  <c r="M1839" i="3"/>
  <c r="M2953" i="3"/>
  <c r="M1339" i="3"/>
  <c r="M1159" i="3"/>
  <c r="M1034" i="3"/>
  <c r="M1825" i="3"/>
  <c r="M2672" i="3"/>
  <c r="M43" i="3"/>
  <c r="M1730" i="3"/>
  <c r="M1394" i="3"/>
  <c r="M1727" i="3"/>
  <c r="M1121" i="3"/>
  <c r="M2270" i="3"/>
  <c r="M3071" i="3"/>
  <c r="M2317" i="3"/>
  <c r="M2689" i="3"/>
  <c r="M2639" i="3"/>
  <c r="M2453" i="3"/>
  <c r="M802" i="3"/>
  <c r="M2686" i="3"/>
  <c r="M2681" i="3"/>
  <c r="M2266" i="3"/>
  <c r="M220" i="3"/>
  <c r="M2366" i="3"/>
  <c r="M2131" i="3"/>
  <c r="M1503" i="3"/>
  <c r="M820" i="3"/>
  <c r="M3153" i="3"/>
  <c r="M1984" i="3"/>
  <c r="M1330" i="3"/>
  <c r="M849" i="3"/>
  <c r="M344" i="3"/>
  <c r="M145" i="3"/>
  <c r="M3076" i="3"/>
  <c r="M1267" i="3"/>
  <c r="M388" i="3"/>
  <c r="M395" i="3"/>
  <c r="M1989" i="3"/>
  <c r="M525" i="3"/>
  <c r="M601" i="3"/>
  <c r="M2525" i="3"/>
  <c r="M2411" i="3"/>
  <c r="M1759" i="3"/>
  <c r="M1439" i="3"/>
  <c r="M1828" i="3"/>
  <c r="M2981" i="3"/>
  <c r="M1774" i="3"/>
  <c r="M3202" i="3"/>
  <c r="M781" i="3"/>
  <c r="M2336" i="3"/>
  <c r="M1133" i="3"/>
  <c r="M793" i="3"/>
  <c r="M1802" i="3"/>
  <c r="M1029" i="3"/>
  <c r="M1662" i="3"/>
  <c r="M213" i="3"/>
  <c r="M1806" i="3"/>
  <c r="M600" i="3"/>
  <c r="M3125" i="3"/>
  <c r="M2642" i="3"/>
  <c r="M570" i="3"/>
  <c r="M366" i="3"/>
  <c r="M3186" i="3"/>
  <c r="M1531" i="3"/>
  <c r="M1037" i="3"/>
  <c r="M1762" i="3"/>
  <c r="M1138" i="3"/>
  <c r="M1574" i="3"/>
  <c r="M2703" i="3"/>
  <c r="M182" i="3"/>
  <c r="M1285" i="3"/>
  <c r="M1093" i="3"/>
  <c r="M1635" i="3"/>
  <c r="M1693" i="3"/>
  <c r="M734" i="3"/>
  <c r="M396" i="3"/>
  <c r="M289" i="3"/>
  <c r="M2386" i="3"/>
  <c r="M2988" i="3"/>
  <c r="M2389" i="3"/>
  <c r="M2127" i="3"/>
  <c r="M582" i="3"/>
  <c r="M2056" i="3"/>
  <c r="M2046" i="3"/>
  <c r="M2616" i="3"/>
  <c r="M3091" i="3"/>
  <c r="M1681" i="3"/>
  <c r="M259" i="3"/>
  <c r="M292" i="3"/>
  <c r="M62" i="3"/>
  <c r="M1955" i="3"/>
  <c r="M3027" i="3"/>
  <c r="M166" i="3"/>
  <c r="M2568" i="3"/>
  <c r="M517" i="3"/>
  <c r="M402" i="3"/>
  <c r="M771" i="3"/>
  <c r="M1070" i="3"/>
  <c r="M1834" i="3"/>
  <c r="M1623" i="3"/>
  <c r="M2080" i="3"/>
  <c r="M3180" i="3"/>
  <c r="M96" i="3"/>
  <c r="M3060" i="3"/>
  <c r="M1283" i="3"/>
  <c r="M1478" i="3"/>
  <c r="M1356" i="3"/>
  <c r="M1362" i="3"/>
  <c r="M630" i="3"/>
  <c r="M702" i="3"/>
  <c r="M686" i="3"/>
  <c r="M855" i="3"/>
  <c r="M714" i="3"/>
  <c r="M1807" i="3"/>
  <c r="M812" i="3"/>
  <c r="M135" i="3"/>
  <c r="M168" i="3"/>
  <c r="M1123" i="3"/>
  <c r="M912" i="3"/>
  <c r="M1360" i="3"/>
  <c r="M772" i="3"/>
  <c r="M1218" i="3"/>
  <c r="M2687" i="3"/>
  <c r="M675" i="3"/>
  <c r="M41" i="3"/>
  <c r="M1809" i="3"/>
  <c r="M1967" i="3"/>
  <c r="M186" i="3"/>
  <c r="M2304" i="3"/>
  <c r="M882" i="3"/>
  <c r="M1642" i="3"/>
  <c r="M2291" i="3"/>
  <c r="M838" i="3"/>
  <c r="M3241" i="3"/>
  <c r="M114" i="3"/>
  <c r="M2911" i="3"/>
  <c r="M274" i="3"/>
  <c r="M115" i="3"/>
  <c r="M2401" i="3"/>
  <c r="M618" i="3"/>
  <c r="M2750" i="3"/>
  <c r="M1393" i="3"/>
  <c r="M1683" i="3"/>
  <c r="M538" i="3"/>
  <c r="M136" i="3"/>
  <c r="M270" i="3"/>
  <c r="M215" i="3"/>
  <c r="M129" i="3"/>
  <c r="M1556" i="3"/>
  <c r="M2135" i="3"/>
  <c r="M2702" i="3"/>
  <c r="M2418" i="3"/>
  <c r="M2635" i="3"/>
  <c r="M666" i="3"/>
  <c r="M2800" i="3"/>
  <c r="M95" i="3"/>
  <c r="M1487" i="3"/>
  <c r="M3103" i="3"/>
  <c r="M2456" i="3"/>
  <c r="M1131" i="3"/>
  <c r="M1713" i="3"/>
  <c r="M809" i="3"/>
  <c r="M2232" i="3"/>
  <c r="M1909" i="3"/>
  <c r="M151" i="3"/>
  <c r="M2696" i="3"/>
  <c r="M2430" i="3"/>
  <c r="M792" i="3"/>
  <c r="M3049" i="3"/>
  <c r="M2556" i="3"/>
  <c r="M2764" i="3"/>
  <c r="M2047" i="3"/>
  <c r="M64" i="3"/>
  <c r="M2115" i="3"/>
  <c r="M921" i="3"/>
  <c r="M2392" i="3"/>
  <c r="M942" i="3"/>
  <c r="M493" i="3"/>
  <c r="M256" i="3"/>
  <c r="M1687" i="3"/>
  <c r="M834" i="3"/>
  <c r="M2210" i="3"/>
  <c r="M769" i="3"/>
  <c r="M1551" i="3"/>
  <c r="M2487" i="3"/>
  <c r="M738" i="3"/>
  <c r="M1248" i="3"/>
  <c r="M293" i="3"/>
  <c r="M2754" i="3"/>
  <c r="M2031" i="3"/>
  <c r="M1225" i="3"/>
  <c r="M2577" i="3"/>
  <c r="M1020" i="3"/>
  <c r="M906" i="3"/>
  <c r="M910" i="3"/>
  <c r="M2330" i="3"/>
  <c r="M387" i="3"/>
  <c r="M89" i="3"/>
  <c r="M1357" i="3"/>
  <c r="M3216" i="3"/>
  <c r="M1049" i="3"/>
  <c r="M1663" i="3"/>
  <c r="M2585" i="3"/>
  <c r="M1917" i="3"/>
  <c r="M1518" i="3"/>
  <c r="M1143" i="3"/>
  <c r="M1584" i="3"/>
  <c r="M385" i="3"/>
  <c r="M647" i="3"/>
  <c r="M664" i="3"/>
  <c r="M1115" i="3"/>
  <c r="M511" i="3"/>
  <c r="M1343" i="3"/>
  <c r="M825" i="3"/>
  <c r="M2538" i="3"/>
  <c r="M1742" i="3"/>
  <c r="M577" i="3"/>
  <c r="M501" i="3"/>
  <c r="M1331" i="3"/>
  <c r="M1114" i="3"/>
  <c r="M137" i="3"/>
  <c r="M447" i="3"/>
  <c r="M1783" i="3"/>
  <c r="M2433" i="3"/>
  <c r="M1290" i="3"/>
  <c r="M311" i="3"/>
  <c r="M843" i="3"/>
  <c r="M2634" i="3"/>
  <c r="M1761" i="3"/>
  <c r="M995" i="3"/>
  <c r="M3061" i="3"/>
  <c r="M1960" i="3"/>
  <c r="M943" i="3"/>
  <c r="M1213" i="3"/>
  <c r="M191" i="3"/>
  <c r="M219" i="3"/>
  <c r="M1715" i="3"/>
  <c r="M1861" i="3"/>
  <c r="M1481" i="3"/>
  <c r="M1977" i="3"/>
  <c r="M2422" i="3"/>
  <c r="M2002" i="3"/>
  <c r="M1346" i="3"/>
  <c r="M983" i="3"/>
  <c r="M853" i="3"/>
  <c r="M1470" i="3"/>
  <c r="M2376" i="3"/>
  <c r="M1562" i="3"/>
  <c r="M1228" i="3"/>
  <c r="M1716" i="3"/>
  <c r="M11" i="3"/>
  <c r="M2652" i="3"/>
  <c r="M2527" i="3"/>
  <c r="M1773" i="3"/>
  <c r="M1557" i="3"/>
  <c r="M2826" i="3"/>
  <c r="M1766" i="3"/>
  <c r="M2390" i="3"/>
  <c r="M685" i="3"/>
  <c r="M651" i="3"/>
  <c r="M2940" i="3"/>
  <c r="M2994" i="3"/>
  <c r="M2466" i="3"/>
  <c r="M2344" i="3"/>
  <c r="M44" i="3"/>
  <c r="M2695" i="3"/>
  <c r="M128" i="3"/>
  <c r="M1185" i="3"/>
  <c r="M3231" i="3"/>
  <c r="M1377" i="3"/>
  <c r="M1168" i="3"/>
  <c r="M2142" i="3"/>
  <c r="M435" i="3"/>
  <c r="M2711" i="3"/>
  <c r="M497" i="3"/>
  <c r="M1648" i="3"/>
  <c r="M1005" i="3"/>
  <c r="M1195" i="3"/>
  <c r="M444" i="3"/>
  <c r="M2156" i="3"/>
  <c r="M1579" i="3"/>
  <c r="M2114" i="3"/>
  <c r="M3101" i="3"/>
  <c r="M2579" i="3"/>
  <c r="M102" i="3"/>
  <c r="M572" i="3"/>
  <c r="M1653" i="3"/>
  <c r="M2708" i="3"/>
  <c r="M26" i="3"/>
  <c r="M3170" i="3"/>
  <c r="M2354" i="3"/>
  <c r="M2246" i="3"/>
  <c r="M2092" i="3"/>
  <c r="M800" i="3"/>
  <c r="M3095" i="3"/>
  <c r="M1779" i="3"/>
  <c r="M492" i="3"/>
  <c r="M1055" i="3"/>
  <c r="M2684" i="3"/>
  <c r="M947" i="3"/>
  <c r="M2164" i="3"/>
  <c r="M2622" i="3"/>
  <c r="M1913" i="3"/>
  <c r="M56" i="3"/>
  <c r="M1568" i="3"/>
  <c r="M1533" i="3"/>
  <c r="M1286" i="3"/>
  <c r="M1569" i="3"/>
  <c r="M1341" i="3"/>
  <c r="M2878" i="3"/>
  <c r="M1084" i="3"/>
  <c r="M568" i="3"/>
  <c r="M3156" i="3"/>
  <c r="M1140" i="3"/>
  <c r="M1396" i="3"/>
  <c r="M261" i="3"/>
  <c r="M2247" i="3"/>
  <c r="M1350" i="3"/>
  <c r="M1399" i="3"/>
  <c r="M2982" i="3"/>
  <c r="M2489" i="3"/>
  <c r="M1760" i="3"/>
  <c r="M1410" i="3"/>
  <c r="M2625" i="3"/>
  <c r="M2387" i="3"/>
  <c r="M2209" i="3"/>
  <c r="M1466" i="3"/>
  <c r="M1856" i="3"/>
  <c r="M1052" i="3"/>
  <c r="M1369" i="3"/>
  <c r="M3184" i="3"/>
  <c r="M1790" i="3"/>
  <c r="M2001" i="3"/>
  <c r="M3226" i="3"/>
  <c r="M3062" i="3"/>
  <c r="M100" i="3"/>
  <c r="M2644" i="3"/>
  <c r="M239" i="3"/>
  <c r="M1958" i="3"/>
  <c r="M2593" i="3"/>
  <c r="M2402" i="3"/>
  <c r="M2403" i="3"/>
  <c r="M1227" i="3"/>
  <c r="M695" i="3"/>
  <c r="M1933" i="3"/>
  <c r="M417" i="3"/>
  <c r="M711" i="3"/>
  <c r="M106" i="3"/>
  <c r="M880" i="3"/>
  <c r="M3237" i="3"/>
  <c r="M271" i="3"/>
  <c r="M1448" i="3"/>
  <c r="M1170" i="3"/>
  <c r="M2191" i="3"/>
  <c r="M2177" i="3"/>
  <c r="M506" i="3"/>
  <c r="M2201" i="3"/>
  <c r="M2983" i="3"/>
  <c r="M263" i="3"/>
  <c r="M1912" i="3"/>
  <c r="M1364" i="3"/>
  <c r="M282" i="3"/>
  <c r="M2081" i="3"/>
  <c r="M5" i="3"/>
  <c r="M2913" i="3"/>
  <c r="M419" i="3"/>
  <c r="M2551" i="3"/>
  <c r="M1987" i="3"/>
  <c r="M1279" i="3"/>
  <c r="M2363" i="3"/>
  <c r="M1111" i="3"/>
  <c r="M2959" i="3"/>
  <c r="M553" i="3"/>
  <c r="M353" i="3"/>
  <c r="M806" i="3"/>
  <c r="M2111" i="3"/>
  <c r="M380" i="3"/>
  <c r="M3012" i="3"/>
  <c r="M2134" i="3"/>
  <c r="M1888" i="3"/>
  <c r="M335" i="3"/>
  <c r="M2424" i="3"/>
  <c r="M2618" i="3"/>
  <c r="M1204" i="3"/>
  <c r="M1875" i="3"/>
  <c r="M737" i="3"/>
  <c r="M2316" i="3"/>
  <c r="M2084" i="3"/>
  <c r="M1458" i="3"/>
  <c r="M73" i="3"/>
  <c r="M1853" i="3"/>
  <c r="M2072" i="3"/>
  <c r="M1798" i="3"/>
  <c r="M1324" i="3"/>
  <c r="M2211" i="3"/>
  <c r="M1154" i="3"/>
  <c r="M120" i="3"/>
  <c r="M869" i="3"/>
  <c r="M1645" i="3"/>
  <c r="M3110" i="3"/>
  <c r="M2350" i="3"/>
  <c r="M2184" i="3"/>
  <c r="M2062" i="3"/>
  <c r="M1233" i="3"/>
  <c r="M873" i="3"/>
  <c r="M748" i="3"/>
  <c r="M1118" i="3"/>
  <c r="M2132" i="3"/>
  <c r="M2102" i="3"/>
  <c r="M1945" i="3"/>
  <c r="M1039" i="3"/>
  <c r="M1187" i="3"/>
  <c r="M69" i="3"/>
  <c r="M845" i="3"/>
  <c r="M1298" i="3"/>
  <c r="M399" i="3"/>
  <c r="M148" i="3"/>
  <c r="M365" i="3"/>
  <c r="M1167" i="3"/>
  <c r="M297" i="3"/>
  <c r="M1666" i="3"/>
  <c r="M2470" i="3"/>
  <c r="M641" i="3"/>
  <c r="M1758" i="3"/>
  <c r="M1723" i="3"/>
  <c r="M885" i="3"/>
  <c r="M468" i="3"/>
  <c r="M3034" i="3"/>
  <c r="M2297" i="3"/>
  <c r="M3139" i="3"/>
  <c r="M815" i="3"/>
  <c r="M2626" i="3"/>
  <c r="M2395" i="3"/>
  <c r="M922" i="3"/>
  <c r="M929" i="3"/>
  <c r="M2388" i="3"/>
  <c r="M1938" i="3"/>
  <c r="M2944" i="3"/>
  <c r="M430" i="3"/>
  <c r="M327" i="3"/>
  <c r="M118" i="3"/>
  <c r="M2550" i="3"/>
  <c r="M2186" i="3"/>
  <c r="M1896" i="3"/>
  <c r="M1647" i="3"/>
  <c r="M2883" i="3"/>
  <c r="M897" i="3"/>
  <c r="M2811" i="3"/>
  <c r="M2181" i="3"/>
  <c r="M2009" i="3"/>
  <c r="M948" i="3"/>
  <c r="M1965" i="3"/>
  <c r="M2069" i="3"/>
  <c r="M253" i="3"/>
  <c r="M2563" i="3"/>
  <c r="M778" i="3"/>
  <c r="M2718" i="3"/>
  <c r="M2617" i="3"/>
  <c r="M564" i="3"/>
  <c r="M2136" i="3"/>
  <c r="M2788" i="3"/>
  <c r="M321" i="3"/>
  <c r="M2148" i="3"/>
  <c r="M2545" i="3"/>
  <c r="M3242" i="3"/>
  <c r="M1769" i="3"/>
  <c r="M276" i="3"/>
  <c r="M3058" i="3"/>
  <c r="M733" i="3"/>
  <c r="M1325" i="3"/>
  <c r="M1380" i="3"/>
  <c r="M629" i="3"/>
  <c r="M762" i="3"/>
  <c r="M1155" i="3"/>
  <c r="M2607" i="3"/>
  <c r="M1087" i="3"/>
  <c r="M2365" i="3"/>
  <c r="M1060" i="3"/>
  <c r="M3106" i="3"/>
  <c r="M2852" i="3"/>
  <c r="M673" i="3"/>
  <c r="M150" i="3"/>
  <c r="M370" i="3"/>
  <c r="M2130" i="3"/>
  <c r="M1804" i="3"/>
  <c r="M1395" i="3"/>
  <c r="M3085" i="3"/>
  <c r="M1080" i="3"/>
  <c r="M2628" i="3"/>
  <c r="M1593" i="3"/>
  <c r="M1781" i="3"/>
  <c r="M3093" i="3"/>
  <c r="M2543" i="3"/>
  <c r="M313" i="3"/>
  <c r="M787" i="3"/>
  <c r="M302" i="3"/>
  <c r="M1656" i="3"/>
  <c r="M944" i="3"/>
  <c r="M3066" i="3"/>
  <c r="M1890" i="3"/>
  <c r="M3223" i="3"/>
  <c r="M1588" i="3"/>
  <c r="M1850" i="3"/>
  <c r="M2307" i="3"/>
  <c r="M2495" i="3"/>
  <c r="M2294" i="3"/>
  <c r="M433" i="3"/>
  <c r="M1022" i="3"/>
  <c r="M854" i="3"/>
  <c r="M1354" i="3"/>
  <c r="M2819" i="3"/>
  <c r="M1995" i="3"/>
  <c r="M2427" i="3"/>
  <c r="M858" i="3"/>
  <c r="M1724" i="3"/>
  <c r="M3067" i="3"/>
  <c r="M1102" i="3"/>
  <c r="M1444" i="3"/>
  <c r="M2023" i="3"/>
  <c r="M1081" i="3"/>
  <c r="M1865" i="3"/>
  <c r="M1056" i="3"/>
  <c r="M1968" i="3"/>
  <c r="M1008" i="3"/>
  <c r="M3218" i="3"/>
  <c r="M2068" i="3"/>
  <c r="M1196" i="3"/>
  <c r="M1720" i="3"/>
  <c r="M2414" i="3"/>
  <c r="M1874" i="3"/>
  <c r="M2522" i="3"/>
  <c r="M2284" i="3"/>
  <c r="M935" i="3"/>
  <c r="M1638" i="3"/>
  <c r="M852" i="3"/>
  <c r="M1869" i="3"/>
  <c r="M393" i="3"/>
  <c r="M1744" i="3"/>
  <c r="M2400" i="3"/>
  <c r="M2893" i="3"/>
  <c r="M1881" i="3"/>
  <c r="M2034" i="3"/>
  <c r="M441" i="3"/>
  <c r="M1347" i="3"/>
  <c r="M2463" i="3"/>
  <c r="M3228" i="3"/>
  <c r="M1224" i="3"/>
  <c r="M2357" i="3"/>
  <c r="M1472" i="3"/>
  <c r="M817" i="3"/>
  <c r="M3219" i="3"/>
  <c r="M1067" i="3"/>
  <c r="M1294" i="3"/>
  <c r="M2600" i="3"/>
  <c r="M924" i="3"/>
  <c r="M386" i="3"/>
  <c r="M2301" i="3"/>
  <c r="M2391" i="3"/>
  <c r="M223" i="3"/>
  <c r="M2289" i="3"/>
  <c r="M2778" i="3"/>
  <c r="M1695" i="3"/>
  <c r="M424" i="3"/>
  <c r="M415" i="3"/>
  <c r="M3174" i="3"/>
  <c r="M207" i="3"/>
  <c r="M2925" i="3"/>
  <c r="M172" i="3"/>
  <c r="M3203" i="3"/>
  <c r="M2179" i="3"/>
  <c r="M1245" i="3"/>
  <c r="M249" i="3"/>
  <c r="M1652" i="3"/>
  <c r="M638" i="3"/>
  <c r="M3063" i="3"/>
  <c r="M1504" i="3"/>
  <c r="M2608" i="3"/>
  <c r="M1433" i="3"/>
  <c r="M1833" i="3"/>
  <c r="M1100" i="3"/>
  <c r="M2006" i="3"/>
  <c r="M953" i="3"/>
  <c r="M2369" i="3"/>
  <c r="M203" i="3"/>
  <c r="M768" i="3"/>
  <c r="M558" i="3"/>
  <c r="M2152" i="3"/>
  <c r="M2077" i="3"/>
  <c r="M3195" i="3"/>
  <c r="M1335" i="3"/>
  <c r="M2516" i="3"/>
  <c r="M1305" i="3"/>
  <c r="M2195" i="3"/>
  <c r="M229" i="3"/>
  <c r="M13" i="3"/>
  <c r="M1558" i="3"/>
  <c r="M3045" i="3"/>
  <c r="M3135" i="3"/>
  <c r="M237" i="3"/>
  <c r="M127" i="3"/>
  <c r="M1512" i="3"/>
  <c r="M2217" i="3"/>
  <c r="M390" i="3"/>
  <c r="M3136" i="3"/>
  <c r="M1378" i="3"/>
  <c r="M1103" i="3"/>
  <c r="M2833" i="3"/>
  <c r="M375" i="3"/>
  <c r="M2789" i="3"/>
  <c r="M1793" i="3"/>
  <c r="M2796" i="3"/>
  <c r="M2116" i="3"/>
  <c r="M48" i="3"/>
  <c r="M142" i="3"/>
  <c r="M3221" i="3"/>
  <c r="M242" i="3"/>
  <c r="M81" i="3"/>
  <c r="M1786" i="3"/>
  <c r="M1982" i="3"/>
  <c r="M547" i="3"/>
  <c r="M123" i="3"/>
  <c r="M2782" i="3"/>
  <c r="M3171" i="3"/>
  <c r="M2358" i="3"/>
  <c r="M2565" i="3"/>
  <c r="M2633" i="3"/>
  <c r="M176" i="3"/>
  <c r="M103" i="3"/>
  <c r="M2857" i="3"/>
  <c r="M1423" i="3"/>
  <c r="M2669" i="3"/>
  <c r="M1268" i="3"/>
  <c r="M374" i="3"/>
  <c r="M2860" i="3"/>
  <c r="M3227" i="3"/>
  <c r="M2296" i="3"/>
  <c r="M2948" i="3"/>
  <c r="M2650" i="3"/>
  <c r="M1475" i="3"/>
  <c r="M640" i="3"/>
  <c r="M916" i="3"/>
  <c r="M840" i="3"/>
  <c r="M2053" i="3"/>
  <c r="M2612" i="3"/>
  <c r="M3191" i="3"/>
  <c r="M2162" i="3"/>
  <c r="M2889" i="3"/>
  <c r="M2692" i="3"/>
  <c r="M1012" i="3"/>
  <c r="M1732" i="3"/>
  <c r="M881" i="3"/>
  <c r="M2300" i="3"/>
  <c r="M1906" i="3"/>
  <c r="M372" i="3"/>
  <c r="M2287" i="3"/>
  <c r="M314" i="3"/>
  <c r="M2299" i="3"/>
  <c r="M143" i="3"/>
  <c r="M442" i="3"/>
  <c r="M3155" i="3"/>
  <c r="M262" i="3"/>
  <c r="M1513" i="3"/>
  <c r="M611" i="3"/>
  <c r="M724" i="3"/>
  <c r="M1247" i="3"/>
  <c r="M304" i="3"/>
  <c r="M1581" i="3"/>
  <c r="M2429" i="3"/>
  <c r="M1096" i="3"/>
  <c r="M2254" i="3"/>
  <c r="M909" i="3"/>
  <c r="M915" i="3"/>
  <c r="M907" i="3"/>
  <c r="M1148" i="3"/>
  <c r="M1254" i="3"/>
  <c r="M2654" i="3"/>
  <c r="M504" i="3"/>
  <c r="M183" i="3"/>
  <c r="M1711" i="3"/>
  <c r="M2875" i="3"/>
  <c r="M2298" i="3"/>
  <c r="M2562" i="3"/>
  <c r="M2972" i="3"/>
  <c r="M2744" i="3"/>
  <c r="M1304" i="3"/>
  <c r="M2176" i="3"/>
  <c r="M2620" i="3"/>
  <c r="M2178" i="3"/>
  <c r="M97" i="3"/>
  <c r="M1329" i="3"/>
  <c r="M401" i="3"/>
  <c r="M1184" i="3"/>
  <c r="M454" i="3"/>
  <c r="M295" i="3"/>
  <c r="M279" i="3"/>
  <c r="M382" i="3"/>
  <c r="M2224" i="3"/>
  <c r="M159" i="3"/>
  <c r="M291" i="3"/>
  <c r="M1454" i="3"/>
  <c r="M2440" i="3"/>
  <c r="M694" i="3"/>
  <c r="M2798" i="3"/>
  <c r="M1397" i="3"/>
  <c r="M326" i="3"/>
  <c r="M1571" i="3"/>
  <c r="M1907" i="3"/>
  <c r="M2752" i="3"/>
  <c r="M228" i="3"/>
  <c r="M1714" i="3"/>
  <c r="M227" i="3"/>
  <c r="M999" i="3"/>
  <c r="M457" i="3"/>
  <c r="M110" i="3"/>
  <c r="M1017" i="3"/>
  <c r="M1019" i="3"/>
  <c r="M2381" i="3"/>
  <c r="M786" i="3"/>
  <c r="M359" i="3"/>
  <c r="M448" i="3"/>
  <c r="M2396" i="3"/>
  <c r="M2671" i="3"/>
  <c r="M1858" i="3"/>
  <c r="M1619" i="3"/>
  <c r="M2966" i="3"/>
  <c r="M476" i="3"/>
  <c r="M3187" i="3"/>
  <c r="M1664" i="3"/>
  <c r="M2218" i="3"/>
  <c r="M2957" i="3"/>
  <c r="M155" i="3"/>
  <c r="M2183" i="3"/>
  <c r="M2230" i="3"/>
  <c r="M1442" i="3"/>
  <c r="M1521" i="3"/>
  <c r="M1473" i="3"/>
  <c r="M1384" i="3"/>
  <c r="M2998" i="3"/>
  <c r="M1620" i="3"/>
  <c r="M705" i="3"/>
  <c r="M2651" i="3"/>
  <c r="M1072" i="3"/>
  <c r="M627" i="3"/>
  <c r="M1491" i="3"/>
  <c r="M278" i="3"/>
  <c r="M494" i="3"/>
  <c r="M3158" i="3"/>
  <c r="M58" i="3"/>
  <c r="M2995" i="3"/>
  <c r="M2492" i="3"/>
  <c r="M283" i="3"/>
  <c r="M663" i="3"/>
  <c r="M1471" i="3"/>
  <c r="M1733" i="3"/>
  <c r="M1943" i="3"/>
  <c r="M2580" i="3"/>
  <c r="M1949" i="3"/>
  <c r="M2660" i="3"/>
  <c r="M2763" i="3"/>
  <c r="M735" i="3"/>
  <c r="M1777" i="3"/>
  <c r="M581" i="3"/>
  <c r="M196" i="3"/>
  <c r="M660" i="3"/>
  <c r="M2609" i="3"/>
  <c r="M1317" i="3"/>
  <c r="M2308" i="3"/>
  <c r="M2547" i="3"/>
  <c r="M1650" i="3"/>
  <c r="M500" i="3"/>
  <c r="M1251" i="3"/>
  <c r="M917" i="3"/>
  <c r="M951" i="3"/>
  <c r="M1125" i="3"/>
  <c r="M2160" i="3"/>
  <c r="M2082" i="3"/>
  <c r="M1587" i="3"/>
  <c r="M1303" i="3"/>
  <c r="M2101" i="3"/>
  <c r="M2117" i="3"/>
  <c r="M1053" i="3"/>
  <c r="M1318" i="3"/>
  <c r="M2595" i="3"/>
  <c r="M884" i="3"/>
  <c r="M3149" i="3"/>
  <c r="M3193" i="3"/>
  <c r="M1845" i="3"/>
  <c r="M878" i="3"/>
  <c r="M2560" i="3"/>
  <c r="M1460" i="3"/>
  <c r="M3000" i="3"/>
  <c r="M1398" i="3"/>
  <c r="M865" i="3"/>
  <c r="M1811" i="3"/>
  <c r="M1189" i="3"/>
  <c r="M2255" i="3"/>
  <c r="M2787" i="3"/>
  <c r="M1696" i="3"/>
  <c r="M3023" i="3"/>
  <c r="M753" i="3"/>
  <c r="M2375" i="3"/>
  <c r="M2942" i="3"/>
  <c r="M2024" i="3"/>
  <c r="M2370" i="3"/>
  <c r="M2003" i="3"/>
  <c r="M3238" i="3"/>
  <c r="M318" i="3"/>
  <c r="M371" i="3"/>
  <c r="M621" i="3"/>
  <c r="M1852" i="3"/>
  <c r="M1897" i="3"/>
  <c r="M599" i="3"/>
  <c r="M1163" i="3"/>
  <c r="M2567" i="3"/>
  <c r="M2967" i="3"/>
  <c r="M1157" i="3"/>
  <c r="M1428" i="3"/>
  <c r="M2120" i="3"/>
  <c r="M759" i="3"/>
  <c r="M1808" i="3"/>
  <c r="M2170" i="3"/>
  <c r="M2014" i="3"/>
  <c r="M2462" i="3"/>
  <c r="M462" i="3"/>
  <c r="M823" i="3"/>
  <c r="M1676" i="3"/>
  <c r="M3074" i="3"/>
  <c r="M946" i="3"/>
  <c r="M1768" i="3"/>
  <c r="M979" i="3"/>
  <c r="M2541" i="3"/>
  <c r="M1249" i="3"/>
  <c r="M3148" i="3"/>
  <c r="M2172" i="3"/>
  <c r="M3008" i="3"/>
  <c r="M2342" i="3"/>
  <c r="M360" i="3"/>
  <c r="M1942" i="3"/>
  <c r="M2494" i="3"/>
  <c r="M697" i="3"/>
  <c r="M1813" i="3"/>
  <c r="M3151" i="3"/>
  <c r="M2537" i="3"/>
  <c r="M2443" i="3"/>
  <c r="M449" i="3"/>
  <c r="M837" i="3"/>
  <c r="M2640" i="3"/>
  <c r="M1326" i="3"/>
  <c r="M397" i="3"/>
  <c r="M1685" i="3"/>
  <c r="M2974" i="3"/>
  <c r="M648" i="3"/>
  <c r="M2693" i="3"/>
  <c r="M2979" i="3"/>
  <c r="M3152" i="3"/>
  <c r="M971" i="3"/>
  <c r="M2827" i="3"/>
  <c r="M352" i="3"/>
  <c r="M3127" i="3"/>
  <c r="M932" i="3"/>
  <c r="M997" i="3"/>
  <c r="M555" i="3"/>
  <c r="M2379" i="3"/>
  <c r="M804" i="3"/>
  <c r="M2637" i="3"/>
  <c r="M1210" i="3"/>
  <c r="M1078" i="3"/>
  <c r="M510" i="3"/>
  <c r="M3010" i="3"/>
  <c r="M1946" i="3"/>
  <c r="M194" i="3"/>
  <c r="M784" i="3"/>
  <c r="M3107" i="3"/>
  <c r="M1323" i="3"/>
  <c r="M966" i="3"/>
  <c r="M3048" i="3"/>
  <c r="M1389" i="3"/>
  <c r="M632" i="3"/>
  <c r="M1275" i="3"/>
  <c r="M1412" i="3"/>
  <c r="M1086" i="3"/>
  <c r="M2472" i="3"/>
  <c r="M1871" i="3"/>
  <c r="M1024" i="3"/>
  <c r="M3131" i="3"/>
  <c r="M2066" i="3"/>
  <c r="M70" i="3"/>
  <c r="M2355" i="3"/>
  <c r="M1459" i="3"/>
  <c r="M2518" i="3"/>
  <c r="M2519" i="3"/>
  <c r="M2573" i="3"/>
  <c r="M1241" i="3"/>
  <c r="M2570" i="3"/>
  <c r="M2222" i="3"/>
  <c r="M1500" i="3"/>
  <c r="M422" i="3"/>
  <c r="M1164" i="3"/>
  <c r="M2973" i="3"/>
  <c r="M3168" i="3"/>
  <c r="M2169" i="3"/>
  <c r="M2542" i="3"/>
  <c r="M1514" i="3"/>
  <c r="M1506" i="3"/>
  <c r="M2501" i="3"/>
  <c r="M3009" i="3"/>
  <c r="M1484" i="3"/>
  <c r="M529" i="3"/>
  <c r="M3145" i="3"/>
  <c r="M524" i="3"/>
  <c r="M1244" i="3"/>
  <c r="M1843" i="3"/>
  <c r="M691" i="3"/>
  <c r="M299" i="3"/>
  <c r="M1866" i="3"/>
  <c r="M652" i="3"/>
  <c r="M2675" i="3"/>
  <c r="M797" i="3"/>
  <c r="M767" i="3"/>
  <c r="M1978" i="3"/>
  <c r="M416" i="3"/>
  <c r="M2235" i="3"/>
  <c r="M78" i="3"/>
  <c r="M899" i="3"/>
  <c r="M3099" i="3"/>
  <c r="M392" i="3"/>
  <c r="M3043" i="3"/>
  <c r="M1259" i="3"/>
  <c r="M674" i="3"/>
  <c r="M1731" i="3"/>
  <c r="M2451" i="3"/>
  <c r="M536" i="3"/>
  <c r="M1198" i="3"/>
  <c r="M741" i="3"/>
  <c r="M2888" i="3"/>
  <c r="M1502" i="3"/>
  <c r="M33" i="3"/>
  <c r="M2753" i="3"/>
  <c r="M777" i="3"/>
  <c r="M1534" i="3"/>
  <c r="M699" i="3"/>
  <c r="M2367" i="3"/>
  <c r="M426" i="3"/>
  <c r="M208" i="3"/>
  <c r="M1493" i="3"/>
  <c r="M2048" i="3"/>
  <c r="M1799" i="3"/>
  <c r="M2399" i="3"/>
  <c r="M3035" i="3"/>
  <c r="M788" i="3"/>
  <c r="M138" i="3"/>
  <c r="M1361" i="3"/>
  <c r="M2521" i="3"/>
  <c r="M2202" i="3"/>
  <c r="M1719" i="3"/>
  <c r="M2079" i="3"/>
  <c r="M376" i="3"/>
  <c r="M1150" i="3"/>
  <c r="M1048" i="3"/>
  <c r="M546" i="3"/>
  <c r="M1366" i="3"/>
  <c r="M3177" i="3"/>
  <c r="M1631" i="3"/>
  <c r="M1763" i="3"/>
  <c r="M1010" i="3"/>
  <c r="M598" i="3"/>
  <c r="M2206" i="3"/>
  <c r="M1922" i="3"/>
  <c r="M2310" i="3"/>
  <c r="M756" i="3"/>
  <c r="M3016" i="3"/>
  <c r="M85" i="3"/>
  <c r="M1614" i="3"/>
  <c r="M1494" i="3"/>
  <c r="M2915" i="3"/>
  <c r="M2314" i="3"/>
  <c r="M2853" i="3"/>
  <c r="M1240" i="3"/>
  <c r="M713" i="3"/>
  <c r="M2820" i="3"/>
  <c r="M373" i="3"/>
  <c r="M3118" i="3"/>
  <c r="M2821" i="3"/>
  <c r="M1095" i="3"/>
  <c r="M2530" i="3"/>
  <c r="M1417" i="3"/>
  <c r="M545" i="3"/>
  <c r="M986" i="3"/>
  <c r="M895" i="3"/>
  <c r="M1827" i="3"/>
  <c r="M531" i="3"/>
  <c r="M574" i="3"/>
  <c r="M642" i="3"/>
  <c r="M2416" i="3"/>
  <c r="M2173" i="3"/>
  <c r="M1264" i="3"/>
  <c r="M3217" i="3"/>
  <c r="M1604" i="3"/>
  <c r="M1486" i="3"/>
  <c r="M1824" i="3"/>
  <c r="M945" i="3"/>
  <c r="M438" i="3"/>
  <c r="M1564" i="3"/>
  <c r="M721" i="3"/>
  <c r="M1605" i="3"/>
  <c r="M1134" i="3"/>
  <c r="M1255" i="3"/>
  <c r="M676" i="3"/>
  <c r="M1416" i="3"/>
  <c r="M2849" i="3"/>
  <c r="M1543" i="3"/>
  <c r="M3001" i="3"/>
  <c r="M671" i="3"/>
  <c r="M2027" i="3"/>
  <c r="M305" i="3"/>
  <c r="M526" i="3"/>
  <c r="M3163" i="3"/>
  <c r="M1300" i="3"/>
  <c r="M206" i="3"/>
  <c r="M1132" i="3"/>
  <c r="M2343" i="3"/>
  <c r="M343" i="3"/>
  <c r="M1527" i="3"/>
  <c r="M216" i="3"/>
  <c r="M300" i="3"/>
  <c r="M860" i="3"/>
  <c r="M265" i="3"/>
  <c r="M2745" i="3"/>
  <c r="M1740" i="3"/>
  <c r="M1544" i="3"/>
  <c r="M2504" i="3"/>
  <c r="M2978" i="3"/>
  <c r="M2269" i="3"/>
  <c r="M345" i="3"/>
  <c r="M1889" i="3"/>
  <c r="M452" i="3"/>
  <c r="M1963" i="3"/>
  <c r="M1065" i="3"/>
  <c r="M746" i="3"/>
  <c r="M826" i="3"/>
  <c r="M1368" i="3"/>
  <c r="M1895" i="3"/>
  <c r="M704" i="3"/>
  <c r="M996" i="3"/>
  <c r="M3065" i="3"/>
  <c r="M2458" i="3"/>
  <c r="M3047" i="3"/>
  <c r="M1057" i="3"/>
  <c r="M1043" i="3"/>
  <c r="M650" i="3"/>
  <c r="M3124" i="3"/>
  <c r="M2912" i="3"/>
  <c r="M1998" i="3"/>
  <c r="M1883" i="3"/>
  <c r="M960" i="3"/>
  <c r="M2873" i="3"/>
  <c r="M1149" i="3"/>
  <c r="M3002" i="3"/>
  <c r="M2352" i="3"/>
  <c r="M1073" i="3"/>
  <c r="M728" i="3"/>
  <c r="M2438" i="3"/>
  <c r="M2474" i="3"/>
  <c r="M1059" i="3"/>
  <c r="M303" i="3"/>
  <c r="M1857" i="3"/>
  <c r="M244" i="3"/>
  <c r="M2844" i="3"/>
  <c r="M1772" i="3"/>
  <c r="M3185" i="3"/>
  <c r="M2766" i="3"/>
  <c r="M2155" i="3"/>
  <c r="M2851" i="3"/>
  <c r="M941" i="3"/>
  <c r="M760" i="3"/>
  <c r="M3" i="3"/>
  <c r="M2212" i="3"/>
  <c r="M1555" i="3"/>
  <c r="M2283" i="3"/>
  <c r="M613" i="3"/>
  <c r="M1261" i="3"/>
  <c r="M2552" i="3"/>
  <c r="M552" i="3"/>
  <c r="M45" i="3"/>
  <c r="M2498" i="3"/>
  <c r="M1729" i="3"/>
  <c r="M1424" i="3"/>
  <c r="M1550" i="3"/>
  <c r="M1230" i="3"/>
  <c r="M955" i="3"/>
  <c r="M2385" i="3"/>
  <c r="M211" i="3"/>
  <c r="M2185" i="3"/>
  <c r="M88" i="3"/>
  <c r="M1586" i="3"/>
  <c r="M758" i="3"/>
  <c r="M2553" i="3"/>
  <c r="M1707" i="3"/>
  <c r="M725" i="3"/>
  <c r="M680" i="3"/>
  <c r="M2841" i="3"/>
  <c r="M2180" i="3"/>
  <c r="M1015" i="3"/>
  <c r="M597" i="3"/>
  <c r="M654" i="3"/>
  <c r="M1561" i="3"/>
  <c r="M2045" i="3"/>
  <c r="M1107" i="3"/>
  <c r="M2137" i="3"/>
  <c r="M3234" i="3"/>
  <c r="M2408" i="3"/>
  <c r="M3004" i="3"/>
  <c r="M2165" i="3"/>
  <c r="M2085" i="3"/>
  <c r="M1722" i="3"/>
  <c r="M2353" i="3"/>
  <c r="M268" i="3"/>
  <c r="M160" i="3"/>
  <c r="M1863" i="3"/>
  <c r="M2850" i="3"/>
  <c r="M827" i="3"/>
  <c r="M3005" i="3"/>
  <c r="M460" i="3"/>
  <c r="M1385" i="3"/>
  <c r="M1962" i="3"/>
  <c r="M2107" i="3"/>
  <c r="M1359" i="3"/>
  <c r="M604" i="3"/>
  <c r="M1147" i="3"/>
  <c r="M2410" i="3"/>
  <c r="M1677" i="3"/>
  <c r="M484" i="3"/>
  <c r="M2679" i="3"/>
  <c r="M579" i="3"/>
  <c r="M1690" i="3"/>
  <c r="M1443" i="3"/>
  <c r="M2262" i="3"/>
  <c r="M1162" i="3"/>
  <c r="M1462" i="3"/>
  <c r="M1217" i="3"/>
  <c r="M1606" i="3"/>
  <c r="M619" i="3"/>
  <c r="M1705" i="3"/>
  <c r="M1124" i="3"/>
  <c r="M3211" i="3"/>
  <c r="M195" i="3"/>
  <c r="M2776" i="3"/>
  <c r="M71" i="3"/>
  <c r="M1618" i="3"/>
  <c r="M2621" i="3"/>
  <c r="M2393" i="3"/>
  <c r="M330" i="3"/>
  <c r="M984" i="3"/>
  <c r="M3079" i="3"/>
  <c r="M2063" i="3"/>
  <c r="M1278" i="3"/>
  <c r="M241" i="3"/>
  <c r="M3015" i="3"/>
  <c r="M2777" i="3"/>
  <c r="M109" i="3"/>
  <c r="M523" i="3"/>
  <c r="M830" i="3"/>
  <c r="M1018" i="3"/>
  <c r="M727" i="3"/>
  <c r="M1135" i="3"/>
  <c r="M312" i="3"/>
  <c r="M639" i="3"/>
  <c r="M2523" i="3"/>
  <c r="M1575" i="3"/>
  <c r="M1449" i="3"/>
  <c r="M230" i="3"/>
  <c r="M1993" i="3"/>
  <c r="M1450" i="3"/>
  <c r="M175" i="3"/>
  <c r="M2921" i="3"/>
  <c r="M3208" i="3"/>
  <c r="M631" i="3"/>
  <c r="M2362" i="3"/>
  <c r="M50" i="3"/>
  <c r="M3183" i="3"/>
  <c r="M167" i="3"/>
  <c r="M1632" i="3"/>
  <c r="M1549" i="3"/>
  <c r="M355" i="3"/>
  <c r="M1926" i="3"/>
  <c r="M2623" i="3"/>
  <c r="M2321" i="3"/>
  <c r="M2680" i="3"/>
  <c r="M2989" i="3"/>
  <c r="M1542" i="3"/>
  <c r="M1641" i="3"/>
  <c r="M149" i="3"/>
  <c r="M747" i="3"/>
  <c r="M1315" i="3"/>
  <c r="M2457" i="3"/>
  <c r="M2175" i="3"/>
  <c r="M2714" i="3"/>
  <c r="M1499" i="3"/>
  <c r="M1063" i="3"/>
  <c r="M1197" i="3"/>
  <c r="M1422" i="3"/>
  <c r="M67" i="3"/>
  <c r="M3207" i="3"/>
  <c r="M1451" i="3"/>
  <c r="M2043" i="3"/>
  <c r="M3245" i="3"/>
  <c r="M1927" i="3"/>
  <c r="M566" i="3"/>
  <c r="M1848" i="3"/>
  <c r="M2969" i="3"/>
  <c r="M2339" i="3"/>
  <c r="M968" i="3"/>
  <c r="M3084" i="3"/>
  <c r="M2125" i="3"/>
  <c r="M498" i="3"/>
  <c r="M2271" i="3"/>
  <c r="M763" i="3"/>
  <c r="M3046" i="3"/>
  <c r="M2025" i="3"/>
  <c r="M587" i="3"/>
  <c r="M2653" i="3"/>
  <c r="M1771" i="3"/>
  <c r="M729" i="3"/>
  <c r="M739" i="3"/>
  <c r="M450" i="3"/>
  <c r="M1281" i="3"/>
  <c r="M1292" i="3"/>
  <c r="M1567" i="3"/>
  <c r="M2656" i="3"/>
  <c r="M1409" i="3"/>
  <c r="M2984" i="3"/>
  <c r="M2610" i="3"/>
  <c r="M1893" i="3"/>
  <c r="M2691" i="3"/>
  <c r="M2324" i="3"/>
  <c r="M1940" i="3"/>
  <c r="M2273" i="3"/>
  <c r="M2721" i="3"/>
  <c r="M2290" i="3"/>
  <c r="M2488" i="3"/>
  <c r="M1038" i="3"/>
  <c r="M3232" i="3"/>
  <c r="M2320" i="3"/>
  <c r="M2859" i="3"/>
  <c r="M557" i="3"/>
  <c r="M2502" i="3"/>
  <c r="M2334" i="3"/>
  <c r="M2529" i="3"/>
  <c r="M556" i="3"/>
  <c r="M315" i="3"/>
  <c r="M540" i="3"/>
  <c r="M2865" i="3"/>
  <c r="M2880" i="3"/>
  <c r="M1302" i="3"/>
  <c r="M1032" i="3"/>
  <c r="M669" i="3"/>
  <c r="M66" i="3"/>
  <c r="M495" i="3"/>
  <c r="M2791" i="3"/>
  <c r="M870" i="3"/>
  <c r="M1985" i="3"/>
  <c r="M933" i="3"/>
  <c r="M3178" i="3"/>
  <c r="M1077" i="3"/>
  <c r="M2268" i="3"/>
  <c r="M1001" i="3"/>
  <c r="M1165" i="3"/>
  <c r="M637" i="3"/>
  <c r="M1333" i="3"/>
  <c r="M105" i="3"/>
  <c r="M147" i="3"/>
  <c r="M2088" i="3"/>
  <c r="M2276" i="3"/>
  <c r="M1526" i="3"/>
  <c r="M554" i="3"/>
  <c r="M1237" i="3"/>
  <c r="M377" i="3"/>
  <c r="M1554" i="3"/>
  <c r="M2603" i="3"/>
  <c r="M548" i="3"/>
  <c r="M3210" i="3"/>
  <c r="M799" i="3"/>
  <c r="M1964" i="3"/>
  <c r="M3164" i="3"/>
  <c r="M2803" i="3"/>
  <c r="M1221" i="3"/>
  <c r="M3080" i="3"/>
  <c r="M1548" i="3"/>
  <c r="M1408" i="3"/>
  <c r="M1891" i="3"/>
  <c r="M2193" i="3"/>
  <c r="M2157" i="3"/>
  <c r="M473" i="3"/>
  <c r="M2322" i="3"/>
  <c r="M2720" i="3"/>
  <c r="M1064" i="3"/>
  <c r="M3031" i="3"/>
  <c r="M831" i="3"/>
  <c r="M965" i="3"/>
  <c r="M1725" i="3"/>
  <c r="M2261" i="3"/>
  <c r="M287" i="3"/>
  <c r="M3088" i="3"/>
  <c r="M2059" i="3"/>
  <c r="M331" i="3"/>
  <c r="M2282" i="3"/>
  <c r="M1884" i="3"/>
  <c r="M2574" i="3"/>
  <c r="M1830" i="3"/>
  <c r="M488" i="3"/>
  <c r="M3039" i="3"/>
  <c r="M2848" i="3"/>
  <c r="M1801" i="3"/>
  <c r="M841" i="3"/>
  <c r="M3026" i="3"/>
  <c r="M1508" i="3"/>
  <c r="M2533" i="3"/>
  <c r="M1119" i="3"/>
  <c r="M982" i="3"/>
  <c r="M1340" i="3"/>
  <c r="M2415" i="3"/>
  <c r="M2328" i="3"/>
  <c r="M1726" i="3"/>
  <c r="J138" i="15"/>
  <c r="L138" i="15" s="1"/>
  <c r="H766" i="15"/>
  <c r="J766" i="15" s="1"/>
  <c r="L766" i="15" s="1"/>
  <c r="J480" i="15"/>
  <c r="L480" i="15" s="1"/>
  <c r="J531" i="15"/>
  <c r="L531" i="15" s="1"/>
  <c r="J733" i="15"/>
  <c r="L733" i="15" s="1"/>
  <c r="J706" i="15"/>
  <c r="L706" i="15" s="1"/>
  <c r="J712" i="15"/>
  <c r="L712" i="15" s="1"/>
  <c r="J239" i="15"/>
  <c r="L239" i="15" s="1"/>
  <c r="H243" i="15"/>
  <c r="J243" i="15" s="1"/>
  <c r="L243" i="15" s="1"/>
  <c r="J43" i="15"/>
  <c r="L43" i="15" s="1"/>
  <c r="J651" i="15"/>
  <c r="L651" i="15" s="1"/>
  <c r="J215" i="15"/>
  <c r="L215" i="15" s="1"/>
  <c r="J408" i="15"/>
  <c r="L408" i="15" s="1"/>
  <c r="H158" i="15"/>
  <c r="J158" i="15" s="1"/>
  <c r="L158" i="15" s="1"/>
  <c r="J711" i="15"/>
  <c r="L711" i="15" s="1"/>
  <c r="J578" i="15"/>
  <c r="L578" i="15" s="1"/>
  <c r="J220" i="15"/>
  <c r="L220" i="15" s="1"/>
  <c r="J653" i="15"/>
  <c r="L653" i="15" s="1"/>
  <c r="J319" i="15"/>
  <c r="L319" i="15" s="1"/>
  <c r="J332" i="15"/>
  <c r="L332" i="15" s="1"/>
  <c r="J718" i="15"/>
  <c r="L718" i="15" s="1"/>
  <c r="J304" i="15"/>
  <c r="L304" i="15" s="1"/>
  <c r="J624" i="15"/>
  <c r="L624" i="15" s="1"/>
  <c r="J351" i="15"/>
  <c r="L351" i="15" s="1"/>
  <c r="J178" i="15"/>
  <c r="L178" i="15" s="1"/>
  <c r="J164" i="15"/>
  <c r="L164" i="15" s="1"/>
  <c r="J252" i="15"/>
  <c r="L252" i="15" s="1"/>
  <c r="J666" i="15"/>
  <c r="L666" i="15" s="1"/>
  <c r="J240" i="15"/>
  <c r="L240" i="15" s="1"/>
  <c r="J288" i="15"/>
  <c r="L288" i="15" s="1"/>
  <c r="J188" i="15"/>
  <c r="L188" i="15" s="1"/>
  <c r="J225" i="15"/>
  <c r="L225" i="15" s="1"/>
  <c r="J751" i="15"/>
  <c r="L751" i="15" s="1"/>
  <c r="J111" i="15"/>
  <c r="L111" i="15" s="1"/>
  <c r="J537" i="15"/>
  <c r="L537" i="15" s="1"/>
  <c r="J357" i="15"/>
  <c r="L357" i="15" s="1"/>
  <c r="J501" i="15"/>
  <c r="L501" i="15" s="1"/>
  <c r="J63" i="15"/>
  <c r="L63" i="15" s="1"/>
  <c r="J130" i="15"/>
  <c r="L130" i="15" s="1"/>
  <c r="J515" i="15"/>
  <c r="L515" i="15" s="1"/>
  <c r="J245" i="15"/>
  <c r="L245" i="15" s="1"/>
  <c r="J97" i="15"/>
  <c r="L97" i="15" s="1"/>
  <c r="J335" i="15"/>
  <c r="L335" i="15" s="1"/>
  <c r="J279" i="15"/>
  <c r="L279" i="15" s="1"/>
  <c r="J29" i="15"/>
  <c r="L29" i="15" s="1"/>
  <c r="J759" i="15"/>
  <c r="L759" i="15" s="1"/>
  <c r="J41" i="15"/>
  <c r="L41" i="15" s="1"/>
  <c r="J725" i="15"/>
  <c r="L725" i="15" s="1"/>
  <c r="J464" i="15"/>
  <c r="L464" i="15" s="1"/>
  <c r="J419" i="15"/>
  <c r="L419" i="15" s="1"/>
  <c r="J356" i="15"/>
  <c r="L356" i="15" s="1"/>
  <c r="J572" i="15"/>
  <c r="L572" i="15" s="1"/>
  <c r="J740" i="15"/>
  <c r="L740" i="15" s="1"/>
  <c r="J152" i="15"/>
  <c r="L152" i="15" s="1"/>
  <c r="J236" i="15"/>
  <c r="L236" i="15" s="1"/>
  <c r="J368" i="15"/>
  <c r="L368" i="15" s="1"/>
  <c r="J334" i="15"/>
  <c r="L334" i="15" s="1"/>
  <c r="J607" i="15"/>
  <c r="L607" i="15" s="1"/>
  <c r="J695" i="15"/>
  <c r="L695" i="15" s="1"/>
  <c r="J33" i="15"/>
  <c r="L33" i="15" s="1"/>
  <c r="J251" i="15"/>
  <c r="L251" i="15" s="1"/>
  <c r="J142" i="15"/>
  <c r="L142" i="15" s="1"/>
  <c r="J391" i="15"/>
  <c r="L391" i="15" s="1"/>
  <c r="J573" i="15"/>
  <c r="L573" i="15" s="1"/>
  <c r="J6" i="15"/>
  <c r="L6" i="15" s="1"/>
  <c r="J543" i="15"/>
  <c r="L543" i="15" s="1"/>
  <c r="J343" i="15"/>
  <c r="L343" i="15" s="1"/>
  <c r="J261" i="15"/>
  <c r="L261" i="15" s="1"/>
  <c r="H388" i="15"/>
  <c r="J388" i="15" s="1"/>
  <c r="L388" i="15" s="1"/>
  <c r="J403" i="15"/>
  <c r="L403" i="15" s="1"/>
  <c r="H165" i="15"/>
  <c r="J165" i="15" s="1"/>
  <c r="L165" i="15" s="1"/>
  <c r="H595" i="15"/>
  <c r="J595" i="15" s="1"/>
  <c r="L595" i="15" s="1"/>
  <c r="H320" i="15"/>
  <c r="J320" i="15" s="1"/>
  <c r="L320" i="15" s="1"/>
  <c r="J263" i="15"/>
  <c r="L263" i="15" s="1"/>
  <c r="J301" i="15"/>
  <c r="L301" i="15" s="1"/>
  <c r="J778" i="15"/>
  <c r="L778" i="15" s="1"/>
  <c r="H476" i="15"/>
  <c r="J476" i="15" s="1"/>
  <c r="L476" i="15" s="1"/>
  <c r="H569" i="15"/>
  <c r="J569" i="15" s="1"/>
  <c r="L569" i="15" s="1"/>
  <c r="J435" i="15"/>
  <c r="L435" i="15" s="1"/>
  <c r="J21" i="15"/>
  <c r="L21" i="15" s="1"/>
  <c r="J702" i="15"/>
  <c r="L702" i="15" s="1"/>
  <c r="J760" i="15"/>
  <c r="L760" i="15" s="1"/>
  <c r="J454" i="15"/>
  <c r="L454" i="15" s="1"/>
  <c r="J119" i="15"/>
  <c r="L119" i="15" s="1"/>
  <c r="H533" i="15"/>
  <c r="J533" i="15" s="1"/>
  <c r="L533" i="15" s="1"/>
  <c r="H781" i="15"/>
  <c r="J781" i="15" s="1"/>
  <c r="L781" i="15" s="1"/>
  <c r="J289" i="15"/>
  <c r="L289" i="15" s="1"/>
  <c r="J723" i="15"/>
  <c r="L723" i="15" s="1"/>
  <c r="H45" i="15"/>
  <c r="J45" i="15" s="1"/>
  <c r="L45" i="15" s="1"/>
  <c r="J109" i="15"/>
  <c r="L109" i="15" s="1"/>
  <c r="J51" i="15"/>
  <c r="L51" i="15" s="1"/>
  <c r="H660" i="15"/>
  <c r="J660" i="15" s="1"/>
  <c r="L660" i="15" s="1"/>
  <c r="J423" i="15"/>
  <c r="L423" i="15" s="1"/>
  <c r="J342" i="15"/>
  <c r="L342" i="15" s="1"/>
  <c r="J601" i="15"/>
  <c r="L601" i="15" s="1"/>
  <c r="J632" i="15"/>
  <c r="L632" i="15" s="1"/>
  <c r="J732" i="15"/>
  <c r="L732" i="15" s="1"/>
  <c r="J469" i="15"/>
  <c r="L469" i="15" s="1"/>
  <c r="J541" i="15"/>
  <c r="L541" i="15" s="1"/>
  <c r="J566" i="15"/>
  <c r="L566" i="15" s="1"/>
  <c r="H586" i="15"/>
  <c r="J586" i="15" s="1"/>
  <c r="L586" i="15" s="1"/>
  <c r="J182" i="15"/>
  <c r="L182" i="15" s="1"/>
  <c r="J179" i="15"/>
  <c r="L179" i="15" s="1"/>
  <c r="H637" i="15"/>
  <c r="J637" i="15" s="1"/>
  <c r="L637" i="15" s="1"/>
  <c r="H428" i="15"/>
  <c r="J428" i="15" s="1"/>
  <c r="L428" i="15" s="1"/>
  <c r="H579" i="15"/>
  <c r="J579" i="15" s="1"/>
  <c r="L579" i="15" s="1"/>
  <c r="J499" i="15"/>
  <c r="L499" i="15" s="1"/>
  <c r="J226" i="15"/>
  <c r="L226" i="15" s="1"/>
  <c r="J710" i="15"/>
  <c r="L710" i="15" s="1"/>
  <c r="J421" i="15"/>
  <c r="L421" i="15" s="1"/>
  <c r="J171" i="15"/>
  <c r="L171" i="15" s="1"/>
  <c r="H201" i="15"/>
  <c r="J201" i="15" s="1"/>
  <c r="L201" i="15" s="1"/>
  <c r="H782" i="15"/>
  <c r="J782" i="15" s="1"/>
  <c r="L782" i="15" s="1"/>
  <c r="J576" i="15"/>
  <c r="L576" i="15" s="1"/>
  <c r="J135" i="15"/>
  <c r="L135" i="15" s="1"/>
  <c r="J36" i="15"/>
  <c r="L36" i="15" s="1"/>
  <c r="J742" i="15"/>
  <c r="L742" i="15" s="1"/>
  <c r="J738" i="15"/>
  <c r="L738" i="15" s="1"/>
  <c r="J462" i="15"/>
  <c r="L462" i="15" s="1"/>
  <c r="J118" i="15"/>
  <c r="L118" i="15" s="1"/>
  <c r="J14" i="15"/>
  <c r="L14" i="15" s="1"/>
  <c r="J415" i="15"/>
  <c r="L415" i="15" s="1"/>
  <c r="J510" i="15"/>
  <c r="L510" i="15" s="1"/>
  <c r="J83" i="15"/>
  <c r="L83" i="15" s="1"/>
  <c r="H32" i="15"/>
  <c r="J32" i="15" s="1"/>
  <c r="L32" i="15" s="1"/>
  <c r="J487" i="15"/>
  <c r="L487" i="15" s="1"/>
  <c r="J622" i="15"/>
  <c r="L622" i="15" s="1"/>
  <c r="J68" i="15"/>
  <c r="L68" i="15" s="1"/>
  <c r="J267" i="15"/>
  <c r="L267" i="15" s="1"/>
  <c r="J394" i="15"/>
  <c r="L394" i="15" s="1"/>
  <c r="J735" i="15"/>
  <c r="L735" i="15" s="1"/>
  <c r="J467" i="15"/>
  <c r="L467" i="15" s="1"/>
  <c r="J195" i="15"/>
  <c r="L195" i="15" s="1"/>
  <c r="J272" i="15"/>
  <c r="L272" i="15" s="1"/>
  <c r="J274" i="15"/>
  <c r="L274" i="15" s="1"/>
  <c r="J60" i="15"/>
  <c r="L60" i="15" s="1"/>
  <c r="J361" i="15"/>
  <c r="L361" i="15" s="1"/>
  <c r="J672" i="15"/>
  <c r="L672" i="15" s="1"/>
  <c r="J638" i="15"/>
  <c r="L638" i="15" s="1"/>
  <c r="J137" i="15"/>
  <c r="L137" i="15" s="1"/>
  <c r="J409" i="15"/>
  <c r="L409" i="15" s="1"/>
  <c r="J775" i="15"/>
  <c r="L775" i="15" s="1"/>
  <c r="J76" i="15"/>
  <c r="L76" i="15" s="1"/>
  <c r="H584" i="15"/>
  <c r="J584" i="15" s="1"/>
  <c r="L584" i="15" s="1"/>
  <c r="J603" i="15"/>
  <c r="L603" i="15" s="1"/>
  <c r="J175" i="15"/>
  <c r="L175" i="15" s="1"/>
  <c r="J714" i="15"/>
  <c r="L714" i="15" s="1"/>
  <c r="J117" i="15"/>
  <c r="L117" i="15" s="1"/>
  <c r="J694" i="15"/>
  <c r="L694" i="15" s="1"/>
  <c r="J502" i="15"/>
  <c r="L502" i="15" s="1"/>
  <c r="J286" i="15"/>
  <c r="L286" i="15" s="1"/>
  <c r="J451" i="15"/>
  <c r="L451" i="15" s="1"/>
  <c r="J95" i="15"/>
  <c r="L95" i="15" s="1"/>
  <c r="J284" i="15"/>
  <c r="L284" i="15" s="1"/>
  <c r="H365" i="15"/>
  <c r="J365" i="15" s="1"/>
  <c r="L365" i="15" s="1"/>
  <c r="J140" i="15"/>
  <c r="L140" i="15" s="1"/>
  <c r="J293" i="15"/>
  <c r="L293" i="15" s="1"/>
  <c r="J73" i="15"/>
  <c r="L73" i="15" s="1"/>
  <c r="J133" i="15"/>
  <c r="L133" i="15" s="1"/>
  <c r="H47" i="15"/>
  <c r="J47" i="15" s="1"/>
  <c r="L47" i="15" s="1"/>
  <c r="J386" i="15"/>
  <c r="L386" i="15" s="1"/>
  <c r="J28" i="15"/>
  <c r="L28" i="15" s="1"/>
  <c r="J505" i="15"/>
  <c r="L505" i="15" s="1"/>
  <c r="J37" i="15"/>
  <c r="L37" i="15" s="1"/>
  <c r="H61" i="15"/>
  <c r="J61" i="15" s="1"/>
  <c r="L61" i="15" s="1"/>
  <c r="J698" i="15"/>
  <c r="L698" i="15" s="1"/>
  <c r="H49" i="15"/>
  <c r="J49" i="15" s="1"/>
  <c r="L49" i="15" s="1"/>
  <c r="J246" i="15"/>
  <c r="L246" i="15" s="1"/>
  <c r="J337" i="15"/>
  <c r="L337" i="15" s="1"/>
  <c r="H765" i="15"/>
  <c r="J765" i="15" s="1"/>
  <c r="L765" i="15" s="1"/>
  <c r="J285" i="15"/>
  <c r="L285" i="15" s="1"/>
  <c r="J180" i="15"/>
  <c r="L180" i="15" s="1"/>
  <c r="J350" i="15"/>
  <c r="L350" i="15" s="1"/>
  <c r="J746" i="15"/>
  <c r="L746" i="15" s="1"/>
  <c r="J636" i="15"/>
  <c r="L636" i="15" s="1"/>
  <c r="J703" i="15"/>
  <c r="L703" i="15" s="1"/>
  <c r="J729" i="15"/>
  <c r="L729" i="15" s="1"/>
  <c r="J266" i="15"/>
  <c r="L266" i="15" s="1"/>
  <c r="H529" i="15"/>
  <c r="J529" i="15" s="1"/>
  <c r="L529" i="15" s="1"/>
  <c r="J292" i="15"/>
  <c r="L292" i="15" s="1"/>
  <c r="J327" i="15"/>
  <c r="L327" i="15" s="1"/>
  <c r="J194" i="15"/>
  <c r="L194" i="15" s="1"/>
  <c r="H611" i="15"/>
  <c r="J611" i="15" s="1"/>
  <c r="L611" i="15" s="1"/>
  <c r="J62" i="15"/>
  <c r="L62" i="15" s="1"/>
  <c r="J234" i="15"/>
  <c r="L234" i="15" s="1"/>
  <c r="J26" i="15"/>
  <c r="L26" i="15" s="1"/>
  <c r="J562" i="15"/>
  <c r="L562" i="15" s="1"/>
  <c r="J764" i="15"/>
  <c r="L764" i="15" s="1"/>
  <c r="J449" i="15"/>
  <c r="L449" i="15" s="1"/>
  <c r="H609" i="15"/>
  <c r="J609" i="15" s="1"/>
  <c r="L609" i="15" s="1"/>
  <c r="J354" i="15"/>
  <c r="L354" i="15" s="1"/>
  <c r="J161" i="15"/>
  <c r="L161" i="15" s="1"/>
  <c r="J154" i="15"/>
  <c r="L154" i="15" s="1"/>
  <c r="J683" i="15"/>
  <c r="L683" i="15" s="1"/>
  <c r="J420" i="15"/>
  <c r="L420" i="15" s="1"/>
  <c r="J645" i="15"/>
  <c r="L645" i="15" s="1"/>
  <c r="J143" i="15"/>
  <c r="L143" i="15" s="1"/>
  <c r="J202" i="15"/>
  <c r="L202" i="15" s="1"/>
  <c r="J303" i="15"/>
  <c r="L303" i="15" s="1"/>
  <c r="J757" i="15"/>
  <c r="L757" i="15" s="1"/>
  <c r="J618" i="15"/>
  <c r="L618" i="15" s="1"/>
  <c r="J100" i="15"/>
  <c r="L100" i="15" s="1"/>
  <c r="J534" i="15"/>
  <c r="L534" i="15" s="1"/>
  <c r="J79" i="15"/>
  <c r="L79" i="15" s="1"/>
  <c r="J197" i="15"/>
  <c r="L197" i="15" s="1"/>
  <c r="J237" i="15"/>
  <c r="L237" i="15" s="1"/>
  <c r="J654" i="15"/>
  <c r="L654" i="15" s="1"/>
  <c r="J551" i="15"/>
  <c r="L551" i="15" s="1"/>
  <c r="J688" i="15"/>
  <c r="L688" i="15" s="1"/>
  <c r="J82" i="15"/>
  <c r="L82" i="15" s="1"/>
  <c r="J482" i="15"/>
  <c r="L482" i="15" s="1"/>
  <c r="J455" i="15"/>
  <c r="L455" i="15" s="1"/>
  <c r="J314" i="15"/>
  <c r="L314" i="15" s="1"/>
  <c r="J418" i="15"/>
  <c r="L418" i="15" s="1"/>
  <c r="J458" i="15"/>
  <c r="L458" i="15" s="1"/>
  <c r="J217" i="15"/>
  <c r="L217" i="15" s="1"/>
  <c r="J159" i="15"/>
  <c r="L159" i="15" s="1"/>
  <c r="J430" i="15"/>
  <c r="L430" i="15" s="1"/>
  <c r="J414" i="15"/>
  <c r="L414" i="15" s="1"/>
  <c r="J450" i="15"/>
  <c r="L450" i="15" s="1"/>
  <c r="J172" i="15"/>
  <c r="L172" i="15" s="1"/>
  <c r="H582" i="15"/>
  <c r="J582" i="15" s="1"/>
  <c r="L582" i="15" s="1"/>
  <c r="J376" i="15"/>
  <c r="L376" i="15" s="1"/>
  <c r="J229" i="15"/>
  <c r="L229" i="15" s="1"/>
  <c r="J162" i="15"/>
  <c r="L162" i="15" s="1"/>
  <c r="J93" i="15"/>
  <c r="L93" i="15" s="1"/>
  <c r="J290" i="15"/>
  <c r="L290" i="15" s="1"/>
  <c r="H48" i="15"/>
  <c r="J48" i="15" s="1"/>
  <c r="L48" i="15" s="1"/>
  <c r="J328" i="15"/>
  <c r="L328" i="15" s="1"/>
  <c r="J255" i="15"/>
  <c r="L255" i="15" s="1"/>
  <c r="J223" i="15"/>
  <c r="L223" i="15" s="1"/>
  <c r="J363" i="15"/>
  <c r="L363" i="15" s="1"/>
  <c r="J553" i="15"/>
  <c r="L553" i="15" s="1"/>
  <c r="J413" i="15"/>
  <c r="L413" i="15" s="1"/>
  <c r="J773" i="15"/>
  <c r="L773" i="15" s="1"/>
  <c r="J727" i="15"/>
  <c r="L727" i="15" s="1"/>
  <c r="J306" i="15"/>
  <c r="L306" i="15" s="1"/>
  <c r="J432" i="15"/>
  <c r="L432" i="15" s="1"/>
  <c r="J126" i="15"/>
  <c r="L126" i="15" s="1"/>
  <c r="J330" i="15"/>
  <c r="L330" i="15" s="1"/>
  <c r="J277" i="15"/>
  <c r="L277" i="15" s="1"/>
  <c r="J244" i="15"/>
  <c r="L244" i="15" s="1"/>
  <c r="H525" i="15"/>
  <c r="J525" i="15" s="1"/>
  <c r="L525" i="15" s="1"/>
  <c r="J512" i="15"/>
  <c r="L512" i="15" s="1"/>
  <c r="J479" i="15"/>
  <c r="L479" i="15" s="1"/>
  <c r="H585" i="15"/>
  <c r="J585" i="15" s="1"/>
  <c r="L585" i="15" s="1"/>
  <c r="J629" i="15"/>
  <c r="L629" i="15" s="1"/>
  <c r="J273" i="15"/>
  <c r="L273" i="15" s="1"/>
  <c r="H300" i="15"/>
  <c r="J300" i="15" s="1"/>
  <c r="L300" i="15" s="1"/>
  <c r="J655" i="15"/>
  <c r="L655" i="15" s="1"/>
  <c r="J447" i="15"/>
  <c r="L447" i="15" s="1"/>
  <c r="J55" i="15"/>
  <c r="L55" i="15" s="1"/>
  <c r="J544" i="15"/>
  <c r="L544" i="15" s="1"/>
  <c r="J486" i="15"/>
  <c r="L486" i="15" s="1"/>
  <c r="H596" i="15"/>
  <c r="J596" i="15" s="1"/>
  <c r="L596" i="15" s="1"/>
  <c r="J207" i="15"/>
  <c r="L207" i="15" s="1"/>
  <c r="J84" i="15"/>
  <c r="L84" i="15" s="1"/>
  <c r="J445" i="15"/>
  <c r="L445" i="15" s="1"/>
  <c r="J656" i="15"/>
  <c r="L656" i="15" s="1"/>
  <c r="H427" i="15"/>
  <c r="J427" i="15" s="1"/>
  <c r="L427" i="15" s="1"/>
  <c r="J633" i="15"/>
  <c r="L633" i="15" s="1"/>
  <c r="J670" i="15"/>
  <c r="L670" i="15" s="1"/>
  <c r="J516" i="15"/>
  <c r="L516" i="15" s="1"/>
  <c r="J297" i="15"/>
  <c r="L297" i="15" s="1"/>
  <c r="H610" i="15"/>
  <c r="J610" i="15" s="1"/>
  <c r="L610" i="15" s="1"/>
  <c r="J577" i="15"/>
  <c r="L577" i="15" s="1"/>
  <c r="J615" i="15"/>
  <c r="L615" i="15" s="1"/>
  <c r="J390" i="15"/>
  <c r="L390" i="15" s="1"/>
  <c r="J22" i="15"/>
  <c r="L22" i="15" s="1"/>
  <c r="J259" i="15"/>
  <c r="L259" i="15" s="1"/>
  <c r="J115" i="15"/>
  <c r="L115" i="15" s="1"/>
  <c r="J717" i="15"/>
  <c r="L717" i="15" s="1"/>
  <c r="J648" i="15"/>
  <c r="L648" i="15" s="1"/>
  <c r="H209" i="15"/>
  <c r="J209" i="15" s="1"/>
  <c r="L209" i="15" s="1"/>
  <c r="J690" i="15"/>
  <c r="L690" i="15" s="1"/>
  <c r="J485" i="15"/>
  <c r="L485" i="15" s="1"/>
  <c r="J556" i="15"/>
  <c r="L556" i="15" s="1"/>
  <c r="J530" i="15"/>
  <c r="L530" i="15" s="1"/>
  <c r="J87" i="15"/>
  <c r="L87" i="15" s="1"/>
  <c r="J424" i="15"/>
  <c r="L424" i="15" s="1"/>
  <c r="H642" i="15"/>
  <c r="J642" i="15" s="1"/>
  <c r="L642" i="15" s="1"/>
  <c r="J324" i="15"/>
  <c r="L324" i="15" s="1"/>
  <c r="J489" i="15"/>
  <c r="L489" i="15" s="1"/>
  <c r="J664" i="15"/>
  <c r="L664" i="15" s="1"/>
  <c r="J774" i="15"/>
  <c r="L774" i="15" s="1"/>
  <c r="J753" i="15"/>
  <c r="L753" i="15" s="1"/>
  <c r="H779" i="15"/>
  <c r="J779" i="15" s="1"/>
  <c r="L779" i="15" s="1"/>
  <c r="J442" i="15"/>
  <c r="L442" i="15" s="1"/>
  <c r="J78" i="15"/>
  <c r="L78" i="15" s="1"/>
  <c r="J658" i="15"/>
  <c r="L658" i="15" s="1"/>
  <c r="H35" i="15"/>
  <c r="J35" i="15" s="1"/>
  <c r="L35" i="15" s="1"/>
  <c r="H554" i="15"/>
  <c r="J554" i="15" s="1"/>
  <c r="L554" i="15" s="1"/>
  <c r="J627" i="15"/>
  <c r="L627" i="15" s="1"/>
  <c r="J491" i="15"/>
  <c r="L491" i="15" s="1"/>
  <c r="H494" i="15"/>
  <c r="J494" i="15" s="1"/>
  <c r="L494" i="15" s="1"/>
  <c r="J387" i="15"/>
  <c r="L387" i="15" s="1"/>
  <c r="J761" i="15"/>
  <c r="L761" i="15" s="1"/>
  <c r="J371" i="15"/>
  <c r="L371" i="15" s="1"/>
  <c r="J523" i="15"/>
  <c r="L523" i="15" s="1"/>
  <c r="J231" i="15"/>
  <c r="L231" i="15" s="1"/>
  <c r="J380" i="15"/>
  <c r="L380" i="15" s="1"/>
  <c r="J336" i="15"/>
  <c r="L336" i="15" s="1"/>
  <c r="J151" i="15"/>
  <c r="L151" i="15" s="1"/>
  <c r="J338" i="15"/>
  <c r="L338" i="15" s="1"/>
  <c r="J472" i="15"/>
  <c r="L472" i="15" s="1"/>
  <c r="J352" i="15"/>
  <c r="L352" i="15" s="1"/>
  <c r="J325" i="15"/>
  <c r="L325" i="15" s="1"/>
  <c r="J64" i="15"/>
  <c r="L64" i="15" s="1"/>
  <c r="J693" i="15"/>
  <c r="L693" i="15" s="1"/>
  <c r="J558" i="15"/>
  <c r="L558" i="15" s="1"/>
  <c r="J504" i="15"/>
  <c r="L504" i="15" s="1"/>
  <c r="J671" i="15"/>
  <c r="L671" i="15" s="1"/>
  <c r="J189" i="15"/>
  <c r="L189" i="15" s="1"/>
  <c r="J96" i="15"/>
  <c r="L96" i="15" s="1"/>
  <c r="J366" i="15"/>
  <c r="L366" i="15" s="1"/>
  <c r="J139" i="15"/>
  <c r="L139" i="15" s="1"/>
  <c r="H204" i="15"/>
  <c r="J204" i="15" s="1"/>
  <c r="L204" i="15" s="1"/>
  <c r="J744" i="15"/>
  <c r="L744" i="15" s="1"/>
  <c r="J326" i="15"/>
  <c r="L326" i="15" s="1"/>
  <c r="J19" i="15"/>
  <c r="L19" i="15" s="1"/>
  <c r="J439" i="15"/>
  <c r="L439" i="15" s="1"/>
  <c r="J736" i="15"/>
  <c r="L736" i="15" s="1"/>
  <c r="H329" i="15"/>
  <c r="J329" i="15" s="1"/>
  <c r="L329" i="15" s="1"/>
  <c r="J57" i="15"/>
  <c r="L57" i="15" s="1"/>
  <c r="J517" i="15"/>
  <c r="L517" i="15" s="1"/>
  <c r="J634" i="15"/>
  <c r="L634" i="15" s="1"/>
  <c r="J230" i="15"/>
  <c r="L230" i="15" s="1"/>
  <c r="J460" i="15"/>
  <c r="L460" i="15" s="1"/>
  <c r="J206" i="15"/>
  <c r="L206" i="15" s="1"/>
  <c r="J199" i="15"/>
  <c r="L199" i="15" s="1"/>
  <c r="J715" i="15"/>
  <c r="L715" i="15" s="1"/>
  <c r="J153" i="15"/>
  <c r="L153" i="15" s="1"/>
  <c r="H72" i="15"/>
  <c r="J72" i="15" s="1"/>
  <c r="L72" i="15" s="1"/>
  <c r="J570" i="15"/>
  <c r="L570" i="15" s="1"/>
  <c r="H145" i="15"/>
  <c r="J145" i="15" s="1"/>
  <c r="L145" i="15" s="1"/>
  <c r="J513" i="15"/>
  <c r="L513" i="15" s="1"/>
  <c r="J465" i="15"/>
  <c r="L465" i="15" s="1"/>
  <c r="J667" i="15"/>
  <c r="L667" i="15" s="1"/>
  <c r="J720" i="15"/>
  <c r="L720" i="15" s="1"/>
  <c r="J309" i="15"/>
  <c r="L309" i="15" s="1"/>
  <c r="H323" i="15"/>
  <c r="J323" i="15" s="1"/>
  <c r="L323" i="15" s="1"/>
  <c r="J772" i="15"/>
  <c r="L772" i="15" s="1"/>
  <c r="J508" i="15"/>
  <c r="L508" i="15" s="1"/>
  <c r="J771" i="15"/>
  <c r="L771" i="15" s="1"/>
  <c r="J254" i="15"/>
  <c r="L254" i="15" s="1"/>
  <c r="J752" i="15"/>
  <c r="L752" i="15" s="1"/>
  <c r="H46" i="15"/>
  <c r="J46" i="15" s="1"/>
  <c r="L46" i="15" s="1"/>
  <c r="J644" i="15"/>
  <c r="L644" i="15" s="1"/>
  <c r="J412" i="15"/>
  <c r="L412" i="15" s="1"/>
  <c r="J630" i="15"/>
  <c r="L630" i="15" s="1"/>
  <c r="J561" i="15"/>
  <c r="L561" i="15" s="1"/>
  <c r="J438" i="15"/>
  <c r="L438" i="15" s="1"/>
  <c r="H107" i="15"/>
  <c r="J107" i="15" s="1"/>
  <c r="L107" i="15" s="1"/>
  <c r="H620" i="15"/>
  <c r="J620" i="15" s="1"/>
  <c r="L620" i="15" s="1"/>
  <c r="H89" i="15"/>
  <c r="J89" i="15" s="1"/>
  <c r="L89" i="15" s="1"/>
  <c r="J625" i="15"/>
  <c r="L625" i="15" s="1"/>
  <c r="H441" i="15"/>
  <c r="J441" i="15" s="1"/>
  <c r="L441" i="15" s="1"/>
  <c r="J673" i="15"/>
  <c r="L673" i="15" s="1"/>
  <c r="J312" i="15"/>
  <c r="L312" i="15" s="1"/>
  <c r="J431" i="15"/>
  <c r="L431" i="15" s="1"/>
  <c r="H120" i="15"/>
  <c r="J120" i="15" s="1"/>
  <c r="L120" i="15" s="1"/>
  <c r="J74" i="15"/>
  <c r="L74" i="15" s="1"/>
  <c r="J686" i="15"/>
  <c r="L686" i="15" s="1"/>
  <c r="J77" i="15"/>
  <c r="L77" i="15" s="1"/>
  <c r="J17" i="15"/>
  <c r="L17" i="15" s="1"/>
  <c r="J282" i="15"/>
  <c r="L282" i="15" s="1"/>
  <c r="J383" i="15"/>
  <c r="L383" i="15" s="1"/>
  <c r="J12" i="15"/>
  <c r="L12" i="15" s="1"/>
  <c r="H659" i="15"/>
  <c r="J659" i="15" s="1"/>
  <c r="L659" i="15" s="1"/>
  <c r="J71" i="15"/>
  <c r="L71" i="15" s="1"/>
  <c r="J308" i="15"/>
  <c r="L308" i="15" s="1"/>
  <c r="J256" i="15"/>
  <c r="L256" i="15" s="1"/>
  <c r="J122" i="15"/>
  <c r="L122" i="15" s="1"/>
  <c r="H344" i="15"/>
  <c r="J344" i="15" s="1"/>
  <c r="L344" i="15" s="1"/>
  <c r="J278" i="15"/>
  <c r="L278" i="15" s="1"/>
  <c r="J86" i="15"/>
  <c r="L86" i="15" s="1"/>
  <c r="J88" i="15"/>
  <c r="L88" i="15" s="1"/>
  <c r="J98" i="15"/>
  <c r="L98" i="15" s="1"/>
  <c r="J99" i="15"/>
  <c r="L99" i="15" s="1"/>
  <c r="J621" i="15"/>
  <c r="L621" i="15" s="1"/>
  <c r="J307" i="15"/>
  <c r="L307" i="15" s="1"/>
  <c r="J80" i="15"/>
  <c r="L80" i="15" s="1"/>
  <c r="J163" i="15"/>
  <c r="L163" i="15" s="1"/>
  <c r="J456" i="15"/>
  <c r="L456" i="15" s="1"/>
  <c r="J470" i="15"/>
  <c r="L470" i="15" s="1"/>
  <c r="J436" i="15"/>
  <c r="L436" i="15" s="1"/>
  <c r="J210" i="15"/>
  <c r="L210" i="15" s="1"/>
  <c r="H218" i="15"/>
  <c r="J218" i="15" s="1"/>
  <c r="L218" i="15" s="1"/>
  <c r="J183" i="15"/>
  <c r="L183" i="15" s="1"/>
  <c r="J129" i="15"/>
  <c r="L129" i="15" s="1"/>
  <c r="J635" i="15"/>
  <c r="L635" i="15" s="1"/>
  <c r="J102" i="15"/>
  <c r="L102" i="15" s="1"/>
  <c r="J302" i="15"/>
  <c r="L302" i="15" s="1"/>
  <c r="J754" i="15"/>
  <c r="L754" i="15" s="1"/>
  <c r="J262" i="15"/>
  <c r="L262" i="15" s="1"/>
  <c r="J18" i="15"/>
  <c r="L18" i="15" s="1"/>
  <c r="H495" i="15"/>
  <c r="J495" i="15" s="1"/>
  <c r="L495" i="15" s="1"/>
  <c r="H594" i="15"/>
  <c r="J594" i="15" s="1"/>
  <c r="L594" i="15" s="1"/>
  <c r="J216" i="15"/>
  <c r="L216" i="15" s="1"/>
  <c r="J739" i="15"/>
  <c r="L739" i="15" s="1"/>
  <c r="J557" i="15"/>
  <c r="L557" i="15" s="1"/>
  <c r="J559" i="15"/>
  <c r="L559" i="15" s="1"/>
  <c r="H492" i="15"/>
  <c r="J492" i="15" s="1"/>
  <c r="L492" i="15" s="1"/>
  <c r="J186" i="15"/>
  <c r="L186" i="15" s="1"/>
  <c r="J134" i="15"/>
  <c r="L134" i="15" s="1"/>
  <c r="J443" i="15"/>
  <c r="L443" i="15" s="1"/>
  <c r="J276" i="15"/>
  <c r="L276" i="15" s="1"/>
  <c r="J700" i="15"/>
  <c r="L700" i="15" s="1"/>
  <c r="J509" i="15"/>
  <c r="L509" i="15" s="1"/>
  <c r="J348" i="15"/>
  <c r="L348" i="15" s="1"/>
  <c r="J614" i="15"/>
  <c r="L614" i="15" s="1"/>
  <c r="J5" i="15"/>
  <c r="L5" i="15" s="1"/>
  <c r="H360" i="15"/>
  <c r="J360" i="15" s="1"/>
  <c r="L360" i="15" s="1"/>
  <c r="H105" i="15"/>
  <c r="J105" i="15" s="1"/>
  <c r="L105" i="15" s="1"/>
  <c r="J176" i="15"/>
  <c r="L176" i="15" s="1"/>
  <c r="J283" i="15"/>
  <c r="L283" i="15" s="1"/>
  <c r="J370" i="15"/>
  <c r="L370" i="15" s="1"/>
  <c r="J214" i="15"/>
  <c r="L214" i="15" s="1"/>
  <c r="J552" i="15"/>
  <c r="L552" i="15" s="1"/>
  <c r="J10" i="15"/>
  <c r="L10" i="15" s="1"/>
  <c r="J196" i="15"/>
  <c r="L196" i="15" s="1"/>
  <c r="J682" i="15"/>
  <c r="L682" i="15" s="1"/>
  <c r="J758" i="15"/>
  <c r="L758" i="15" s="1"/>
  <c r="J213" i="15"/>
  <c r="L213" i="15" s="1"/>
  <c r="J473" i="15"/>
  <c r="L473" i="15" s="1"/>
  <c r="J315" i="15"/>
  <c r="L315" i="15" s="1"/>
  <c r="J264" i="15"/>
  <c r="L264" i="15" s="1"/>
  <c r="J305" i="15"/>
  <c r="L305" i="15" s="1"/>
  <c r="J101" i="15"/>
  <c r="L101" i="15" s="1"/>
  <c r="J381" i="15"/>
  <c r="L381" i="15" s="1"/>
  <c r="J211" i="15"/>
  <c r="L211" i="15" s="1"/>
  <c r="J54" i="15"/>
  <c r="L54" i="15" s="1"/>
  <c r="J185" i="15"/>
  <c r="L185" i="15" s="1"/>
  <c r="J613" i="15"/>
  <c r="L613" i="15" s="1"/>
  <c r="J193" i="15"/>
  <c r="L193" i="15" s="1"/>
  <c r="J346" i="15"/>
  <c r="L346" i="15" s="1"/>
  <c r="J767" i="15"/>
  <c r="L767" i="15" s="1"/>
  <c r="J755" i="15"/>
  <c r="L755" i="15" s="1"/>
  <c r="J50" i="15"/>
  <c r="L50" i="15" s="1"/>
  <c r="J112" i="15"/>
  <c r="L112" i="15" s="1"/>
  <c r="J353" i="15"/>
  <c r="L353" i="15" s="1"/>
  <c r="J650" i="15"/>
  <c r="L650" i="15" s="1"/>
  <c r="J643" i="15"/>
  <c r="L643" i="15" s="1"/>
  <c r="J155" i="15"/>
  <c r="J490" i="15"/>
  <c r="L490" i="15" s="1"/>
  <c r="J588" i="15"/>
  <c r="L588" i="15" s="1"/>
  <c r="J124" i="15"/>
  <c r="L124" i="15" s="1"/>
  <c r="J488" i="15"/>
  <c r="L488" i="15" s="1"/>
  <c r="J52" i="15"/>
  <c r="L52" i="15" s="1"/>
  <c r="J235" i="15"/>
  <c r="L235" i="15" s="1"/>
  <c r="J331" i="15"/>
  <c r="L331" i="15" s="1"/>
  <c r="J662" i="15"/>
  <c r="L662" i="15" s="1"/>
  <c r="J265" i="15"/>
  <c r="L265" i="15" s="1"/>
  <c r="J669" i="15"/>
  <c r="L669" i="15" s="1"/>
  <c r="J221" i="15"/>
  <c r="L221" i="15" s="1"/>
  <c r="J110" i="15"/>
  <c r="L110" i="15" s="1"/>
  <c r="H496" i="15"/>
  <c r="J496" i="15" s="1"/>
  <c r="L496" i="15" s="1"/>
  <c r="J373" i="15"/>
  <c r="L373" i="15" s="1"/>
  <c r="J498" i="15"/>
  <c r="L498" i="15" s="1"/>
  <c r="J393" i="15"/>
  <c r="L393" i="15" s="1"/>
  <c r="J574" i="15"/>
  <c r="L574" i="15" s="1"/>
  <c r="J549" i="15"/>
  <c r="L549" i="15" s="1"/>
  <c r="J260" i="15"/>
  <c r="L260" i="15" s="1"/>
  <c r="J641" i="15"/>
  <c r="L641" i="15" s="1"/>
  <c r="J724" i="15"/>
  <c r="L724" i="15" s="1"/>
  <c r="J768" i="15"/>
  <c r="L768" i="15" s="1"/>
  <c r="J770" i="15"/>
  <c r="L770" i="15" s="1"/>
  <c r="J503" i="15"/>
  <c r="L503" i="15" s="1"/>
  <c r="J375" i="15"/>
  <c r="L375" i="15" s="1"/>
  <c r="J587" i="15"/>
  <c r="L587" i="15" s="1"/>
  <c r="J170" i="15"/>
  <c r="L170" i="15" s="1"/>
  <c r="J85" i="15"/>
  <c r="L85" i="15" s="1"/>
  <c r="J24" i="15"/>
  <c r="L24" i="15" s="1"/>
  <c r="J92" i="15"/>
  <c r="L92" i="15" s="1"/>
  <c r="H322" i="15"/>
  <c r="J322" i="15" s="1"/>
  <c r="L322" i="15" s="1"/>
  <c r="H30" i="15"/>
  <c r="J30" i="15" s="1"/>
  <c r="L30" i="15" s="1"/>
  <c r="J355" i="15"/>
  <c r="L355" i="15" s="1"/>
  <c r="J649" i="15"/>
  <c r="L649" i="15" s="1"/>
  <c r="J296" i="15"/>
  <c r="L296" i="15" s="1"/>
  <c r="J437" i="15"/>
  <c r="L437" i="15" s="1"/>
  <c r="J446" i="15"/>
  <c r="L446" i="15" s="1"/>
  <c r="J132" i="15"/>
  <c r="L132" i="15" s="1"/>
  <c r="J340" i="15"/>
  <c r="L340" i="15" s="1"/>
  <c r="H769" i="15"/>
  <c r="J769" i="15" s="1"/>
  <c r="L769" i="15" s="1"/>
  <c r="J232" i="15"/>
  <c r="L232" i="15" s="1"/>
  <c r="J253" i="15"/>
  <c r="L253" i="15" s="1"/>
  <c r="J548" i="15"/>
  <c r="L548" i="15" s="1"/>
  <c r="J617" i="15"/>
  <c r="L617" i="15" s="1"/>
  <c r="J511" i="15"/>
  <c r="L511" i="15" s="1"/>
  <c r="H526" i="15"/>
  <c r="J526" i="15" s="1"/>
  <c r="L526" i="15" s="1"/>
  <c r="J136" i="15"/>
  <c r="L136" i="15" s="1"/>
  <c r="J11" i="15"/>
  <c r="L11" i="15" s="1"/>
  <c r="H593" i="15"/>
  <c r="J593" i="15" s="1"/>
  <c r="L593" i="15" s="1"/>
  <c r="J631" i="15"/>
  <c r="L631" i="15" s="1"/>
  <c r="J692" i="15"/>
  <c r="L692" i="15" s="1"/>
  <c r="J294" i="15"/>
  <c r="L294" i="15" s="1"/>
  <c r="J550" i="15"/>
  <c r="L550" i="15" s="1"/>
  <c r="J402" i="15"/>
  <c r="L402" i="15" s="1"/>
  <c r="H369" i="15"/>
  <c r="J369" i="15" s="1"/>
  <c r="L369" i="15" s="1"/>
  <c r="J514" i="15"/>
  <c r="L514" i="15" s="1"/>
  <c r="J147" i="15"/>
  <c r="L147" i="15" s="1"/>
  <c r="J647" i="15"/>
  <c r="L647" i="15" s="1"/>
  <c r="J598" i="15"/>
  <c r="L598" i="15" s="1"/>
  <c r="J310" i="15"/>
  <c r="L310" i="15" s="1"/>
  <c r="J25" i="15"/>
  <c r="L25" i="15" s="1"/>
  <c r="J249" i="15"/>
  <c r="L249" i="15" s="1"/>
  <c r="J233" i="15"/>
  <c r="L233" i="15" s="1"/>
  <c r="J27" i="15"/>
  <c r="L27" i="15" s="1"/>
  <c r="J385" i="15"/>
  <c r="L385" i="15" s="1"/>
  <c r="J127" i="15"/>
  <c r="L127" i="15" s="1"/>
  <c r="J299" i="15"/>
  <c r="L299" i="15" s="1"/>
  <c r="J726" i="15"/>
  <c r="L726" i="15" s="1"/>
  <c r="J227" i="15"/>
  <c r="L227" i="15" s="1"/>
  <c r="J7" i="15"/>
  <c r="L7" i="15" s="1"/>
  <c r="H144" i="15"/>
  <c r="J144" i="15" s="1"/>
  <c r="L144" i="15" s="1"/>
  <c r="J721" i="15"/>
  <c r="L721" i="15" s="1"/>
  <c r="J23" i="15"/>
  <c r="L23" i="15" s="1"/>
  <c r="J538" i="15"/>
  <c r="L538" i="15" s="1"/>
  <c r="J271" i="15"/>
  <c r="L271" i="15" s="1"/>
  <c r="J208" i="15"/>
  <c r="L208" i="15" s="1"/>
  <c r="J466" i="15"/>
  <c r="L466" i="15" s="1"/>
  <c r="H149" i="15"/>
  <c r="J149" i="15" s="1"/>
  <c r="L149" i="15" s="1"/>
  <c r="J713" i="15"/>
  <c r="L713" i="15" s="1"/>
  <c r="J184" i="15"/>
  <c r="L184" i="15" s="1"/>
  <c r="J416" i="15"/>
  <c r="L416" i="15" s="1"/>
  <c r="J687" i="15"/>
  <c r="L687" i="15" s="1"/>
  <c r="J20" i="15"/>
  <c r="L20" i="15" s="1"/>
  <c r="J268" i="15"/>
  <c r="L268" i="15" s="1"/>
  <c r="J440" i="15"/>
  <c r="L440" i="15" s="1"/>
  <c r="J228" i="15"/>
  <c r="L228" i="15" s="1"/>
  <c r="J374" i="15"/>
  <c r="L374" i="15" s="1"/>
  <c r="H591" i="15"/>
  <c r="J591" i="15" s="1"/>
  <c r="L591" i="15" s="1"/>
  <c r="J471" i="15"/>
  <c r="L471" i="15" s="1"/>
  <c r="J410" i="15"/>
  <c r="L410" i="15" s="1"/>
  <c r="H212" i="15"/>
  <c r="J212" i="15" s="1"/>
  <c r="L212" i="15" s="1"/>
  <c r="J477" i="15"/>
  <c r="L477" i="15" s="1"/>
  <c r="H181" i="15"/>
  <c r="J181" i="15" s="1"/>
  <c r="L181" i="15" s="1"/>
  <c r="J444" i="15"/>
  <c r="L444" i="15" s="1"/>
  <c r="J708" i="15"/>
  <c r="L708" i="15" s="1"/>
  <c r="J345" i="15"/>
  <c r="L345" i="15" s="1"/>
  <c r="H580" i="15"/>
  <c r="J580" i="15" s="1"/>
  <c r="L580" i="15" s="1"/>
  <c r="H106" i="15"/>
  <c r="J106" i="15" s="1"/>
  <c r="L106" i="15" s="1"/>
  <c r="H524" i="15"/>
  <c r="J524" i="15" s="1"/>
  <c r="L524" i="15" s="1"/>
  <c r="J317" i="15"/>
  <c r="L317" i="15" s="1"/>
  <c r="J507" i="15"/>
  <c r="L507" i="15" s="1"/>
  <c r="J125" i="15"/>
  <c r="L125" i="15" s="1"/>
  <c r="J590" i="15"/>
  <c r="L590" i="15" s="1"/>
  <c r="J291" i="15"/>
  <c r="L291" i="15" s="1"/>
  <c r="J555" i="15"/>
  <c r="L555" i="15" s="1"/>
  <c r="J699" i="15"/>
  <c r="L699" i="15" s="1"/>
  <c r="J668" i="15"/>
  <c r="L668" i="15" s="1"/>
  <c r="J701" i="15"/>
  <c r="L701" i="15" s="1"/>
  <c r="H321" i="15"/>
  <c r="J321" i="15" s="1"/>
  <c r="L321" i="15" s="1"/>
  <c r="J396" i="15"/>
  <c r="L396" i="15" s="1"/>
  <c r="J258" i="15"/>
  <c r="L258" i="15" s="1"/>
  <c r="J589" i="15"/>
  <c r="L589" i="15" s="1"/>
  <c r="J540" i="15"/>
  <c r="L540" i="15" s="1"/>
  <c r="J639" i="15"/>
  <c r="L639" i="15" s="1"/>
  <c r="J422" i="15"/>
  <c r="L422" i="15" s="1"/>
  <c r="H478" i="15"/>
  <c r="J478" i="15" s="1"/>
  <c r="L478" i="15" s="1"/>
  <c r="H780" i="15"/>
  <c r="J780" i="15" s="1"/>
  <c r="L780" i="15" s="1"/>
  <c r="J311" i="15"/>
  <c r="L311" i="15" s="1"/>
  <c r="J626" i="15"/>
  <c r="L626" i="15" s="1"/>
  <c r="J407" i="15"/>
  <c r="L407" i="15" s="1"/>
  <c r="J652" i="15"/>
  <c r="L652" i="15" s="1"/>
  <c r="J190" i="15"/>
  <c r="L190" i="15" s="1"/>
  <c r="J9" i="15"/>
  <c r="L9" i="15" s="1"/>
  <c r="J425" i="15"/>
  <c r="L425" i="15" s="1"/>
  <c r="J174" i="15"/>
  <c r="L174" i="15" s="1"/>
  <c r="J364" i="15"/>
  <c r="L364" i="15" s="1"/>
  <c r="J722" i="15"/>
  <c r="L722" i="15" s="1"/>
  <c r="J756" i="15"/>
  <c r="L756" i="15" s="1"/>
  <c r="J382" i="15"/>
  <c r="L382" i="15" s="1"/>
  <c r="J461" i="15"/>
  <c r="L461" i="15" s="1"/>
  <c r="H493" i="15"/>
  <c r="J493" i="15" s="1"/>
  <c r="L493" i="15" s="1"/>
  <c r="J545" i="15"/>
  <c r="L545" i="15" s="1"/>
  <c r="J59" i="15"/>
  <c r="L59" i="15" s="1"/>
  <c r="J270" i="15"/>
  <c r="L270" i="15" s="1"/>
  <c r="J269" i="15"/>
  <c r="L269" i="15" s="1"/>
  <c r="J546" i="15"/>
  <c r="L546" i="15" s="1"/>
  <c r="J663" i="15"/>
  <c r="L663" i="15" s="1"/>
  <c r="J166" i="15"/>
  <c r="L166" i="15" s="1"/>
  <c r="J657" i="15"/>
  <c r="L657" i="15" s="1"/>
  <c r="H104" i="15"/>
  <c r="J104" i="15" s="1"/>
  <c r="L104" i="15" s="1"/>
  <c r="J763" i="15"/>
  <c r="L763" i="15" s="1"/>
  <c r="J205" i="15"/>
  <c r="L205" i="15" s="1"/>
  <c r="J90" i="15"/>
  <c r="L90" i="15" s="1"/>
  <c r="J777" i="15"/>
  <c r="L777" i="15" s="1"/>
  <c r="J520" i="15"/>
  <c r="L520" i="15" s="1"/>
  <c r="J316" i="15"/>
  <c r="L316" i="15" s="1"/>
  <c r="J103" i="15"/>
  <c r="L103" i="15" s="1"/>
  <c r="J38" i="15"/>
  <c r="L38" i="15" s="1"/>
  <c r="J241" i="15"/>
  <c r="L241" i="15" s="1"/>
  <c r="J737" i="15"/>
  <c r="L737" i="15" s="1"/>
  <c r="H527" i="15"/>
  <c r="J527" i="15" s="1"/>
  <c r="L527" i="15" s="1"/>
  <c r="J8" i="15"/>
  <c r="L8" i="15" s="1"/>
  <c r="J167" i="15"/>
  <c r="L167" i="15" s="1"/>
  <c r="J619" i="15"/>
  <c r="L619" i="15" s="1"/>
  <c r="J563" i="15"/>
  <c r="L563" i="15" s="1"/>
  <c r="J599" i="15"/>
  <c r="L599" i="15" s="1"/>
  <c r="H704" i="15"/>
  <c r="J704" i="15" s="1"/>
  <c r="L704" i="15" s="1"/>
  <c r="J333" i="15"/>
  <c r="L333" i="15" s="1"/>
  <c r="H592" i="15"/>
  <c r="J592" i="15" s="1"/>
  <c r="L592" i="15" s="1"/>
  <c r="J200" i="15"/>
  <c r="L200" i="15" s="1"/>
  <c r="J287" i="15"/>
  <c r="L287" i="15" s="1"/>
  <c r="J539" i="15"/>
  <c r="L539" i="15" s="1"/>
  <c r="J173" i="15"/>
  <c r="L173" i="15" s="1"/>
  <c r="H665" i="15"/>
  <c r="J665" i="15" s="1"/>
  <c r="L665" i="15" s="1"/>
  <c r="J749" i="15"/>
  <c r="L749" i="15" s="1"/>
  <c r="J674" i="15"/>
  <c r="L674" i="15" s="1"/>
  <c r="J318" i="15"/>
  <c r="L318" i="15" s="1"/>
  <c r="J500" i="15"/>
  <c r="L500" i="15" s="1"/>
  <c r="J248" i="15"/>
  <c r="L248" i="15" s="1"/>
  <c r="J522" i="15"/>
  <c r="L522" i="15" s="1"/>
  <c r="J623" i="15"/>
  <c r="L623" i="15" s="1"/>
  <c r="J542" i="15"/>
  <c r="L542" i="15" s="1"/>
  <c r="J44" i="15"/>
  <c r="L44" i="15" s="1"/>
  <c r="J13" i="15"/>
  <c r="L13" i="15" s="1"/>
  <c r="J94" i="15"/>
  <c r="L94" i="15" s="1"/>
  <c r="J177" i="15"/>
  <c r="L177" i="15" s="1"/>
  <c r="H497" i="15"/>
  <c r="J497" i="15" s="1"/>
  <c r="L497" i="15" s="1"/>
  <c r="J483" i="15"/>
  <c r="L483" i="15" s="1"/>
  <c r="J242" i="15"/>
  <c r="L242" i="15" s="1"/>
  <c r="J728" i="15"/>
  <c r="L728" i="15" s="1"/>
  <c r="J108" i="15"/>
  <c r="L108" i="15" s="1"/>
  <c r="H459" i="15"/>
  <c r="J459" i="15" s="1"/>
  <c r="L459" i="15" s="1"/>
  <c r="H238" i="15"/>
  <c r="J238" i="15" s="1"/>
  <c r="L238" i="15" s="1"/>
  <c r="J15" i="15"/>
  <c r="L15" i="15" s="1"/>
  <c r="J281" i="15"/>
  <c r="L281" i="15" s="1"/>
  <c r="J150" i="15"/>
  <c r="L150" i="15" s="1"/>
  <c r="J762" i="15"/>
  <c r="L762" i="15" s="1"/>
  <c r="H257" i="15"/>
  <c r="J257" i="15" s="1"/>
  <c r="L257" i="15" s="1"/>
  <c r="H426" i="15"/>
  <c r="J426" i="15" s="1"/>
  <c r="L426" i="15" s="1"/>
  <c r="J481" i="15"/>
  <c r="L481" i="15" s="1"/>
  <c r="J91" i="15"/>
  <c r="L91" i="15" s="1"/>
  <c r="J113" i="15"/>
  <c r="L113" i="15" s="1"/>
  <c r="J565" i="15"/>
  <c r="L565" i="15" s="1"/>
  <c r="J40" i="15"/>
  <c r="L40" i="15" s="1"/>
  <c r="J53" i="15"/>
  <c r="L53" i="15" s="1"/>
  <c r="J372" i="15"/>
  <c r="L372" i="15" s="1"/>
  <c r="H612" i="15"/>
  <c r="J612" i="15" s="1"/>
  <c r="L612" i="15" s="1"/>
  <c r="H709" i="15"/>
  <c r="J709" i="15" s="1"/>
  <c r="L709" i="15" s="1"/>
  <c r="J689" i="15"/>
  <c r="L689" i="15" s="1"/>
  <c r="J66" i="15"/>
  <c r="L66" i="15" s="1"/>
  <c r="J69" i="15"/>
  <c r="L69" i="15" s="1"/>
  <c r="J359" i="15"/>
  <c r="L359" i="15" s="1"/>
  <c r="J222" i="15"/>
  <c r="L222" i="15" s="1"/>
  <c r="J67" i="15"/>
  <c r="L67" i="15" s="1"/>
  <c r="J748" i="15"/>
  <c r="L748" i="15" s="1"/>
  <c r="J341" i="15"/>
  <c r="L341" i="15" s="1"/>
  <c r="J128" i="15"/>
  <c r="L128" i="15" s="1"/>
  <c r="J547" i="15"/>
  <c r="L547" i="15" s="1"/>
  <c r="J707" i="15"/>
  <c r="L707" i="15" s="1"/>
  <c r="J575" i="15"/>
  <c r="L575" i="15" s="1"/>
  <c r="J535" i="15"/>
  <c r="L535" i="15" s="1"/>
  <c r="J434" i="15"/>
  <c r="L434" i="15" s="1"/>
  <c r="J475" i="15"/>
  <c r="L475" i="15" s="1"/>
  <c r="H31" i="15"/>
  <c r="J31" i="15" s="1"/>
  <c r="L31" i="15" s="1"/>
  <c r="J121" i="15"/>
  <c r="L121" i="15" s="1"/>
  <c r="H616" i="15"/>
  <c r="J616" i="15" s="1"/>
  <c r="L616" i="15" s="1"/>
  <c r="H275" i="15"/>
  <c r="J275" i="15" s="1"/>
  <c r="L275" i="15" s="1"/>
  <c r="J468" i="15"/>
  <c r="L468" i="15" s="1"/>
  <c r="J571" i="15"/>
  <c r="L571" i="15" s="1"/>
  <c r="J521" i="15"/>
  <c r="L521" i="15" s="1"/>
  <c r="J313" i="15"/>
  <c r="L313" i="15" s="1"/>
  <c r="J697" i="15"/>
  <c r="L697" i="15" s="1"/>
  <c r="J750" i="15"/>
  <c r="L750" i="15" s="1"/>
  <c r="J568" i="15"/>
  <c r="L568" i="15" s="1"/>
  <c r="J148" i="15"/>
  <c r="L148" i="15" s="1"/>
  <c r="J4" i="15"/>
  <c r="L4" i="15" s="1"/>
  <c r="J457" i="15"/>
  <c r="L457" i="15" s="1"/>
  <c r="J734" i="15"/>
  <c r="L734" i="15" s="1"/>
  <c r="J384" i="15"/>
  <c r="L384" i="15" s="1"/>
  <c r="J224" i="15"/>
  <c r="L224" i="15" s="1"/>
  <c r="H747" i="15"/>
  <c r="J747" i="15" s="1"/>
  <c r="L747" i="15" s="1"/>
  <c r="J730" i="15"/>
  <c r="L730" i="15" s="1"/>
  <c r="J168" i="15"/>
  <c r="L168" i="15" s="1"/>
  <c r="J597" i="15"/>
  <c r="L597" i="15" s="1"/>
  <c r="J518" i="15"/>
  <c r="L518" i="15" s="1"/>
  <c r="J741" i="15"/>
  <c r="L741" i="15" s="1"/>
  <c r="J157" i="15"/>
  <c r="L157" i="15" s="1"/>
  <c r="J719" i="15"/>
  <c r="L719" i="15" s="1"/>
  <c r="J379" i="15"/>
  <c r="L379" i="15" s="1"/>
  <c r="J160" i="15"/>
  <c r="L160" i="15" s="1"/>
  <c r="J116" i="15"/>
  <c r="L116" i="15" s="1"/>
  <c r="J123" i="15"/>
  <c r="L123" i="15" s="1"/>
  <c r="J81" i="15"/>
  <c r="L81" i="15" s="1"/>
  <c r="J731" i="15"/>
  <c r="L731" i="15" s="1"/>
  <c r="J392" i="15"/>
  <c r="L392" i="15" s="1"/>
  <c r="J280" i="15"/>
  <c r="L280" i="15" s="1"/>
  <c r="H429" i="15"/>
  <c r="J429" i="15" s="1"/>
  <c r="L429" i="15" s="1"/>
  <c r="J39" i="15"/>
  <c r="L39" i="15" s="1"/>
  <c r="J506" i="15"/>
  <c r="L506" i="15" s="1"/>
  <c r="J606" i="15"/>
  <c r="L606" i="15" s="1"/>
  <c r="J463" i="15"/>
  <c r="L463" i="15" s="1"/>
  <c r="J696" i="15"/>
  <c r="L696" i="15" s="1"/>
  <c r="H581" i="15"/>
  <c r="J581" i="15" s="1"/>
  <c r="L581" i="15" s="1"/>
  <c r="J298" i="15"/>
  <c r="L298" i="15" s="1"/>
  <c r="H583" i="15"/>
  <c r="J583" i="15" s="1"/>
  <c r="L583" i="15" s="1"/>
  <c r="J75" i="15"/>
  <c r="L75" i="15" s="1"/>
  <c r="J745" i="15"/>
  <c r="L745" i="15" s="1"/>
  <c r="J192" i="15"/>
  <c r="L192" i="15" s="1"/>
  <c r="J250" i="15"/>
  <c r="L250" i="15" s="1"/>
  <c r="J433" i="15"/>
  <c r="L433" i="15" s="1"/>
  <c r="J417" i="15"/>
  <c r="L417" i="15" s="1"/>
  <c r="H70" i="15"/>
  <c r="J70" i="15" s="1"/>
  <c r="L70" i="15" s="1"/>
  <c r="H608" i="15"/>
  <c r="J608" i="15" s="1"/>
  <c r="L608" i="15" s="1"/>
  <c r="J156" i="15"/>
  <c r="L156" i="15" s="1"/>
  <c r="J42" i="15"/>
  <c r="L42" i="15" s="1"/>
  <c r="J640" i="15"/>
  <c r="L640" i="15" s="1"/>
  <c r="J347" i="15"/>
  <c r="L347" i="15" s="1"/>
  <c r="J646" i="15"/>
  <c r="L646" i="15" s="1"/>
  <c r="J362" i="15"/>
  <c r="L362" i="15" s="1"/>
  <c r="J378" i="15"/>
  <c r="L378" i="15" s="1"/>
  <c r="J474" i="15"/>
  <c r="L474" i="15" s="1"/>
  <c r="J339" i="15"/>
  <c r="L339" i="15" s="1"/>
  <c r="J389" i="15"/>
  <c r="L389" i="15" s="1"/>
  <c r="J691" i="15"/>
  <c r="L691" i="15" s="1"/>
  <c r="J367" i="15"/>
  <c r="L367" i="15" s="1"/>
  <c r="J536" i="15"/>
  <c r="L536" i="15" s="1"/>
  <c r="J605" i="15"/>
  <c r="L605" i="15" s="1"/>
  <c r="J567" i="15"/>
  <c r="L567" i="15" s="1"/>
  <c r="J453" i="15"/>
  <c r="L453" i="15" s="1"/>
  <c r="J448" i="15"/>
  <c r="L448" i="15" s="1"/>
  <c r="H146" i="15"/>
  <c r="J146" i="15" s="1"/>
  <c r="L146" i="15" s="1"/>
  <c r="J395" i="15"/>
  <c r="L395" i="15" s="1"/>
  <c r="H295" i="15"/>
  <c r="J295" i="15" s="1"/>
  <c r="L295" i="15" s="1"/>
  <c r="J628" i="15"/>
  <c r="L628" i="15" s="1"/>
  <c r="J131" i="15"/>
  <c r="L131" i="15" s="1"/>
  <c r="J247" i="15"/>
  <c r="L247" i="15" s="1"/>
  <c r="J219" i="15"/>
  <c r="L219" i="15" s="1"/>
  <c r="J191" i="15"/>
  <c r="L191" i="15" s="1"/>
  <c r="J705" i="15"/>
  <c r="L705" i="15" s="1"/>
  <c r="J169" i="15"/>
  <c r="L169" i="15" s="1"/>
  <c r="J600" i="15"/>
  <c r="L600" i="15" s="1"/>
  <c r="H528" i="15"/>
  <c r="J528" i="15" s="1"/>
  <c r="L528" i="15" s="1"/>
  <c r="J198" i="15"/>
  <c r="L198" i="15" s="1"/>
  <c r="J564" i="15"/>
  <c r="L564" i="15" s="1"/>
  <c r="H532" i="15"/>
  <c r="J532" i="15" s="1"/>
  <c r="L532" i="15" s="1"/>
  <c r="J602" i="15"/>
  <c r="L602" i="15" s="1"/>
  <c r="J377" i="15"/>
  <c r="L377" i="15" s="1"/>
  <c r="J519" i="15"/>
  <c r="L519" i="15" s="1"/>
  <c r="J411" i="15"/>
  <c r="L411" i="15" s="1"/>
  <c r="J716" i="15"/>
  <c r="L716" i="15" s="1"/>
  <c r="J58" i="15"/>
  <c r="L58" i="15" s="1"/>
  <c r="J452" i="15"/>
  <c r="L452" i="15" s="1"/>
  <c r="J141" i="15"/>
  <c r="L141" i="15" s="1"/>
  <c r="J358" i="15"/>
  <c r="L358" i="15" s="1"/>
  <c r="J16" i="15"/>
  <c r="L16" i="15" s="1"/>
  <c r="J349" i="15"/>
  <c r="L349" i="15" s="1"/>
  <c r="J776" i="15"/>
  <c r="L776" i="15" s="1"/>
  <c r="J187" i="15"/>
  <c r="L187" i="15" s="1"/>
  <c r="J34" i="15"/>
  <c r="L34" i="15" s="1"/>
  <c r="J56" i="15"/>
  <c r="L56" i="15" s="1"/>
  <c r="J743" i="15"/>
  <c r="L743" i="15" s="1"/>
  <c r="J604" i="15"/>
  <c r="L604" i="15" s="1"/>
  <c r="J114" i="15"/>
  <c r="L114" i="15" s="1"/>
  <c r="J65" i="15"/>
  <c r="L65" i="15" s="1"/>
  <c r="J203" i="15"/>
  <c r="L203" i="15" s="1"/>
  <c r="J661" i="15"/>
  <c r="L661" i="15" s="1"/>
  <c r="J484" i="15"/>
  <c r="L484" i="15" s="1"/>
  <c r="J684" i="15"/>
  <c r="L684" i="15" s="1"/>
  <c r="J560" i="15"/>
  <c r="L560" i="15" s="1"/>
  <c r="J404" i="15"/>
  <c r="L404" i="15" s="1"/>
  <c r="J405" i="15"/>
  <c r="L405" i="15" s="1"/>
  <c r="T920" i="4"/>
  <c r="U920" i="4" s="1"/>
  <c r="T921" i="4"/>
  <c r="T1219" i="4"/>
  <c r="U1219" i="4" s="1"/>
  <c r="T360" i="4"/>
  <c r="U360" i="4" s="1"/>
  <c r="T361" i="4"/>
  <c r="T1259" i="4"/>
  <c r="U1259" i="4" s="1"/>
  <c r="T1079" i="4"/>
  <c r="U1079" i="4" s="1"/>
  <c r="T939" i="4"/>
  <c r="U939" i="4" s="1"/>
  <c r="T1299" i="4"/>
  <c r="U1299" i="4" s="1"/>
  <c r="T1359" i="4"/>
  <c r="U1359" i="4" s="1"/>
  <c r="T659" i="4"/>
  <c r="U659" i="4" s="1"/>
  <c r="T40" i="4"/>
  <c r="U40" i="4" s="1"/>
  <c r="T41" i="4"/>
  <c r="T519" i="4"/>
  <c r="U519" i="4" s="1"/>
  <c r="T139" i="4"/>
  <c r="U139" i="4" s="1"/>
  <c r="T1381" i="4"/>
  <c r="T1380" i="4"/>
  <c r="U1380" i="4" s="1"/>
  <c r="T1199" i="4"/>
  <c r="U1199" i="4" s="1"/>
  <c r="T739" i="4"/>
  <c r="U739" i="4" s="1"/>
  <c r="T579" i="4"/>
  <c r="U579" i="4" s="1"/>
  <c r="T221" i="4"/>
  <c r="T220" i="4"/>
  <c r="U220" i="4" s="1"/>
  <c r="T379" i="4"/>
  <c r="U379" i="4" s="1"/>
  <c r="T801" i="4"/>
  <c r="T800" i="4"/>
  <c r="U800" i="4" s="1"/>
  <c r="T699" i="4"/>
  <c r="U699" i="4" s="1"/>
  <c r="T80" i="4"/>
  <c r="U80" i="4" s="1"/>
  <c r="T81" i="4"/>
  <c r="T901" i="4"/>
  <c r="T900" i="4"/>
  <c r="U900" i="4" s="1"/>
  <c r="T399" i="4"/>
  <c r="U399" i="4" s="1"/>
  <c r="T1061" i="4"/>
  <c r="T1060" i="4"/>
  <c r="U1060" i="4" s="1"/>
  <c r="T840" i="4"/>
  <c r="U840" i="4" s="1"/>
  <c r="T841" i="4"/>
  <c r="T760" i="4"/>
  <c r="U760" i="4" s="1"/>
  <c r="T761" i="4"/>
  <c r="T1319" i="4"/>
  <c r="U1319" i="4" s="1"/>
  <c r="T1179" i="4"/>
  <c r="U1179" i="4" s="1"/>
  <c r="T180" i="4"/>
  <c r="U180" i="4" s="1"/>
  <c r="T181" i="4"/>
  <c r="T681" i="4"/>
  <c r="T680" i="4"/>
  <c r="U680" i="4" s="1"/>
  <c r="T960" i="4"/>
  <c r="U960" i="4" s="1"/>
  <c r="T961" i="4"/>
  <c r="T1399" i="4"/>
  <c r="U1399" i="4" s="1"/>
  <c r="T1400" i="4"/>
  <c r="U1400" i="4" s="1"/>
  <c r="T460" i="4"/>
  <c r="U460" i="4" s="1"/>
  <c r="T461" i="4"/>
  <c r="T981" i="4"/>
  <c r="T980" i="4"/>
  <c r="U980" i="4" s="1"/>
  <c r="T819" i="4"/>
  <c r="U819" i="4" s="1"/>
  <c r="T1120" i="4"/>
  <c r="U1120" i="4" s="1"/>
  <c r="T1121" i="4"/>
  <c r="T419" i="4"/>
  <c r="U419" i="4" s="1"/>
  <c r="T301" i="4"/>
  <c r="T300" i="4"/>
  <c r="U300" i="4" s="1"/>
  <c r="T599" i="4"/>
  <c r="U599" i="4" s="1"/>
  <c r="T261" i="4"/>
  <c r="T260" i="4"/>
  <c r="U260" i="4" s="1"/>
  <c r="T201" i="4"/>
  <c r="T200" i="4"/>
  <c r="U200" i="4" s="1"/>
  <c r="T1040" i="4"/>
  <c r="U1040" i="4" s="1"/>
  <c r="T1041" i="4"/>
  <c r="T621" i="4"/>
  <c r="T620" i="4"/>
  <c r="U620" i="4" s="1"/>
  <c r="T1239" i="4"/>
  <c r="U1239" i="4" s="1"/>
  <c r="T1339" i="4"/>
  <c r="U1339" i="4" s="1"/>
  <c r="T161" i="4"/>
  <c r="T160" i="4"/>
  <c r="U160" i="4" s="1"/>
  <c r="T1159" i="4"/>
  <c r="U1159" i="4" s="1"/>
  <c r="T479" i="4"/>
  <c r="U479" i="4" s="1"/>
  <c r="T100" i="4"/>
  <c r="U100" i="4" s="1"/>
  <c r="T101" i="4"/>
  <c r="T61" i="4"/>
  <c r="T60" i="4"/>
  <c r="U60" i="4" s="1"/>
  <c r="T559" i="4"/>
  <c r="U559" i="4" s="1"/>
  <c r="T340" i="4"/>
  <c r="U340" i="4" s="1"/>
  <c r="T1260" i="4" l="1"/>
  <c r="U1260" i="4" s="1"/>
  <c r="T1261" i="4"/>
  <c r="T1221" i="4"/>
  <c r="T1220" i="4"/>
  <c r="U1220" i="4" s="1"/>
  <c r="T940" i="4"/>
  <c r="U940" i="4" s="1"/>
  <c r="T941" i="4"/>
  <c r="T1080" i="4"/>
  <c r="U1080" i="4" s="1"/>
  <c r="T1081" i="4"/>
  <c r="T1301" i="4"/>
  <c r="T1300" i="4"/>
  <c r="U1300" i="4" s="1"/>
  <c r="T740" i="4"/>
  <c r="U740" i="4" s="1"/>
  <c r="T741" i="4"/>
  <c r="T380" i="4"/>
  <c r="U380" i="4" s="1"/>
  <c r="T381" i="4"/>
  <c r="T1201" i="4"/>
  <c r="T1200" i="4"/>
  <c r="U1200" i="4" s="1"/>
  <c r="T141" i="4"/>
  <c r="T140" i="4"/>
  <c r="U140" i="4" s="1"/>
  <c r="T520" i="4"/>
  <c r="U520" i="4" s="1"/>
  <c r="T521" i="4"/>
  <c r="T660" i="4"/>
  <c r="U660" i="4" s="1"/>
  <c r="T661" i="4"/>
  <c r="T581" i="4"/>
  <c r="T580" i="4"/>
  <c r="U580" i="4" s="1"/>
  <c r="T721" i="4"/>
  <c r="T1361" i="4"/>
  <c r="T1360" i="4"/>
  <c r="U1360" i="4" s="1"/>
  <c r="T1160" i="4"/>
  <c r="U1160" i="4" s="1"/>
  <c r="T1161" i="4"/>
  <c r="T1320" i="4"/>
  <c r="U1320" i="4" s="1"/>
  <c r="T1321" i="4"/>
  <c r="T820" i="4"/>
  <c r="U820" i="4" s="1"/>
  <c r="T821" i="4"/>
  <c r="T560" i="4"/>
  <c r="U560" i="4" s="1"/>
  <c r="T561" i="4"/>
  <c r="T1340" i="4"/>
  <c r="U1340" i="4" s="1"/>
  <c r="T1341" i="4"/>
  <c r="T401" i="4"/>
  <c r="T400" i="4"/>
  <c r="U400" i="4" s="1"/>
  <c r="T420" i="4"/>
  <c r="U420" i="4" s="1"/>
  <c r="T421" i="4"/>
  <c r="T600" i="4"/>
  <c r="U600" i="4" s="1"/>
  <c r="T601" i="4"/>
  <c r="T341" i="4"/>
  <c r="T480" i="4"/>
  <c r="U480" i="4" s="1"/>
  <c r="T481" i="4"/>
  <c r="T1240" i="4"/>
  <c r="U1240" i="4" s="1"/>
  <c r="T1241" i="4"/>
  <c r="T1181" i="4"/>
  <c r="T1180" i="4"/>
  <c r="U1180" i="4" s="1"/>
  <c r="T701" i="4"/>
  <c r="T700" i="4"/>
  <c r="U700" i="4" s="1"/>
  <c r="L155" i="15" l="1"/>
  <c r="L401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tc={D8901834-6E2C-4D52-8DF7-EA8670DF6F0F}</author>
    <author>tc={653F5510-E6E8-4FCD-BFFA-F3FF1B7920B5}</author>
    <author>tc={5B6FFA91-E26F-4A0D-9BBE-634F8E21D573}</author>
    <author>tc={D05DC81A-97D2-4A17-8101-180A52F43896}</author>
    <author>tc={6AAA34D4-E230-4029-AF7A-64671AA69693}</author>
    <author>tc={300CF75A-9FA2-4B6F-91D7-73A707BFE5DA}</author>
    <author>tc={F49E09ED-18CB-4C7E-BC2F-9F9B0AF7DEE6}</author>
    <author>tc={B16F1071-1995-4873-8122-F39E37CDC107}</author>
    <author>tc={FEE237B3-7EA3-40B9-9745-61148326124D}</author>
    <author>tc={6819C450-A3D3-4D5B-A00B-275450FFEB68}</author>
    <author>tc={C53503E0-C6F2-44BA-B2CC-1C3CB716B429}</author>
    <author>tc={8C39B5A1-682E-428B-8A60-A82894027B61}</author>
    <author>tc={144A83DB-174F-40B2-B2AF-7837C3C9F367}</author>
    <author>tc={2E5324D9-0D2A-412C-9FEE-DC868DF25566}</author>
    <author>tc={2586C7C2-CD27-4E90-9DBD-6D79BC0D3203}</author>
    <author>tc={E8EC7EE0-54E9-47B3-B939-9DEF890722F0}</author>
    <author>tc={88747C30-80EC-4869-9ED1-0300FBA9FEEA}</author>
    <author>tc={EDC86A7D-3117-4D9F-8700-685180572143}</author>
    <author>tc={AAFF5FFB-2C0A-42D7-9C3E-D181B6EE8775}</author>
    <author>tc={7333BC0F-FCD7-4A98-9E69-F4E1DC28B3A6}</author>
    <author>tc={4DA94F38-CE29-4C6D-96AA-9CA1CC01B017}</author>
    <author>tc={811AD8B7-49A6-4251-9C1E-148A4C6EC521}</author>
  </authors>
  <commentList>
    <comment ref="C22" authorId="0" shapeId="0" xr:uid="{D8901834-6E2C-4D52-8DF7-EA8670DF6F0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Can be move to Steady state for BDG24 </t>
      </text>
    </comment>
    <comment ref="B322" authorId="1" shapeId="0" xr:uid="{653F5510-E6E8-4FCD-BFFA-F3FF1B7920B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community</t>
      </text>
    </comment>
    <comment ref="B382" authorId="2" shapeId="0" xr:uid="{5B6FFA91-E26F-4A0D-9BBE-634F8E21D573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area</t>
      </text>
    </comment>
    <comment ref="B402" authorId="3" shapeId="0" xr:uid="{D05DC81A-97D2-4A17-8101-180A52F43896}">
      <text>
        <t>[Threaded comment]
Your version of Excel allows you to read this threaded comment; however, any edits to it will get removed if the file is opened in a newer version of Excel. Learn more: https://go.microsoft.com/fwlink/?linkid=870924
Comment:
    Military base close</t>
      </text>
    </comment>
    <comment ref="B442" authorId="4" shapeId="0" xr:uid="{6AAA34D4-E230-4029-AF7A-64671AA6969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University of Easter carolina
</t>
      </text>
    </comment>
    <comment ref="H462" authorId="5" shapeId="0" xr:uid="{300CF75A-9FA2-4B6F-91D7-73A707BFE5D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Vitalant - blood donation at 2 miles
</t>
      </text>
    </comment>
    <comment ref="B482" authorId="6" shapeId="0" xr:uid="{F49E09ED-18CB-4C7E-BC2F-9F9B0AF7DEE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Indian reservation
</t>
      </text>
    </comment>
    <comment ref="C522" authorId="7" shapeId="0" xr:uid="{B16F1071-1995-4873-8122-F39E37CDC10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Ca move to Steady stage for BDG '24 </t>
      </text>
    </comment>
    <comment ref="B762" authorId="8" shapeId="0" xr:uid="{FEE237B3-7EA3-40B9-9745-61148326124D}">
      <text>
        <t>[Threaded comment]
Your version of Excel allows you to read this threaded comment; however, any edits to it will get removed if the file is opened in a newer version of Excel. Learn more: https://go.microsoft.com/fwlink/?linkid=870924
Comment:
    University Community</t>
      </text>
    </comment>
    <comment ref="B822" authorId="9" shapeId="0" xr:uid="{6819C450-A3D3-4D5B-A00B-275450FFEB68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community</t>
      </text>
    </comment>
    <comment ref="J844" authorId="10" shapeId="0" xr:uid="{C53503E0-C6F2-44BA-B2CC-1C3CB716B4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K844" authorId="11" shapeId="0" xr:uid="{8C39B5A1-682E-428B-8A60-A82894027B6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L844" authorId="12" shapeId="0" xr:uid="{144A83DB-174F-40B2-B2AF-7837C3C9F36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M844" authorId="13" shapeId="0" xr:uid="{2E5324D9-0D2A-412C-9FEE-DC868DF255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N844" authorId="14" shapeId="0" xr:uid="{2586C7C2-CD27-4E90-9DBD-6D79BC0D320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O844" authorId="15" shapeId="0" xr:uid="{E8EC7EE0-54E9-47B3-B939-9DEF890722F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P844" authorId="16" shapeId="0" xr:uid="{88747C30-80EC-4869-9ED1-0300FBA9FEEA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Q844" authorId="17" shapeId="0" xr:uid="{EDC86A7D-3117-4D9F-8700-68518057214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Loyalty 55$ ?55$ ??
</t>
      </text>
    </comment>
    <comment ref="B922" authorId="18" shapeId="0" xr:uid="{AAFF5FFB-2C0A-42D7-9C3E-D181B6EE8775}">
      <text>
        <t>[Threaded comment]
Your version of Excel allows you to read this threaded comment; however, any edits to it will get removed if the file is opened in a newer version of Excel. Learn more: https://go.microsoft.com/fwlink/?linkid=870924
Comment:
    College university</t>
      </text>
    </comment>
    <comment ref="H982" authorId="19" shapeId="0" xr:uid="{7333BC0F-FCD7-4A98-9E69-F4E1DC28B3A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Blood center?
</t>
      </text>
    </comment>
    <comment ref="H1182" authorId="20" shapeId="0" xr:uid="{4DA94F38-CE29-4C6D-96AA-9CA1CC01B01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For 2024 move to Medium (rural area with very close competitors(
</t>
      </text>
    </comment>
    <comment ref="B1382" authorId="21" shapeId="0" xr:uid="{811AD8B7-49A6-4251-9C1E-148A4C6EC521}">
      <text>
        <t>[Threaded comment]
Your version of Excel allows you to read this threaded comment; however, any edits to it will get removed if the file is opened in a newer version of Excel. Learn more: https://go.microsoft.com/fwlink/?linkid=870924
Comment:
    Populate (Alabama University)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2CE6256-3263-4186-B4E5-54B59C7D2DCC}" keepAlive="1" name="Query - DataFromNL" description="Connection to the 'DataFromNL' query in the workbook." type="5" refreshedVersion="8" background="1" saveData="1">
    <dbPr connection="Provider=Microsoft.Mashup.OleDb.1;Data Source=$Workbook$;Location=DataFromNL;Extended Properties=&quot;&quot;" command="SELECT * FROM [DataFromNL]"/>
  </connection>
  <connection id="2" xr16:uid="{1CAD8E69-6683-4B18-B6DE-00D68118AAC8}" keepAlive="1" name="Query - DataFromNL (2)" description="Connection to the 'DataFromNL (2)' query in the workbook." type="5" refreshedVersion="8" background="1" saveData="1">
    <dbPr connection="Provider=Microsoft.Mashup.OleDb.1;Data Source=$Workbook$;Location=&quot;DataFromNL (2)&quot;;Extended Properties=&quot;&quot;" command="SELECT * FROM [DataFromNL (2)]"/>
  </connection>
  <connection id="3" xr16:uid="{8908331D-BC28-4E37-8FA3-E819534F66E0}" keepAlive="1" name="Query - DefaultCollections" description="Connection to the 'DefaultCollections' query in the workbook." type="5" refreshedVersion="8" background="1" saveData="1">
    <dbPr connection="Provider=Microsoft.Mashup.OleDb.1;Data Source=$Workbook$;Location=DefaultCollections;Extended Properties=&quot;&quot;" command="SELECT * FROM [DefaultCollections]"/>
  </connection>
</connections>
</file>

<file path=xl/sharedStrings.xml><?xml version="1.0" encoding="utf-8"?>
<sst xmlns="http://schemas.openxmlformats.org/spreadsheetml/2006/main" count="22228" uniqueCount="966">
  <si>
    <t>#</t>
  </si>
  <si>
    <t>CENTER</t>
  </si>
  <si>
    <t>STAGE</t>
  </si>
  <si>
    <t>SOURCE</t>
  </si>
  <si>
    <t>IT Use</t>
  </si>
  <si>
    <t>COMPETITION</t>
  </si>
  <si>
    <t>DONOR COMPENSATION</t>
  </si>
  <si>
    <t>PROPOSAL IN AUG</t>
  </si>
  <si>
    <t>PROPOSAL IN SEPT</t>
  </si>
  <si>
    <t>PROPOSAL IN OCT</t>
  </si>
  <si>
    <t>PROPOSAL IN NOV</t>
  </si>
  <si>
    <t>PROPOSAL IN DEC 2023</t>
  </si>
  <si>
    <t>PROPOSAL IN JAN 2024</t>
  </si>
  <si>
    <t>PROPOSAL IN FEB 2024</t>
  </si>
  <si>
    <t>PROPOSAL IN MARCH 2024</t>
  </si>
  <si>
    <t>different from prior month</t>
  </si>
  <si>
    <t>Current NL</t>
  </si>
  <si>
    <t>difference</t>
  </si>
  <si>
    <t>San Antonio</t>
  </si>
  <si>
    <t>3) Steady-state</t>
  </si>
  <si>
    <t>BPL Legacy</t>
  </si>
  <si>
    <t>CP525</t>
  </si>
  <si>
    <t>High</t>
  </si>
  <si>
    <t>New Donor</t>
  </si>
  <si>
    <t>60$/70$</t>
  </si>
  <si>
    <t>60$/70$ x 4 times</t>
  </si>
  <si>
    <t>60$/65$</t>
  </si>
  <si>
    <t>60$/80$</t>
  </si>
  <si>
    <t>100$ x 5</t>
  </si>
  <si>
    <t>Return Donor</t>
  </si>
  <si>
    <t>Retention Bonus</t>
  </si>
  <si>
    <t>$25 on the 8th don</t>
  </si>
  <si>
    <t>NONE</t>
  </si>
  <si>
    <t>30$ on the 6th don</t>
  </si>
  <si>
    <t>Referral</t>
  </si>
  <si>
    <t>50$</t>
  </si>
  <si>
    <t>AUTOMATIC PAYMENT</t>
  </si>
  <si>
    <t>NEW DONOR -1st</t>
  </si>
  <si>
    <t>NEW DONOR -2nd</t>
  </si>
  <si>
    <t>NEW DONOR -3rd</t>
  </si>
  <si>
    <t>NEW DONOR -4th</t>
  </si>
  <si>
    <t>NEW DONOR -5th</t>
  </si>
  <si>
    <t>NEW DONOR -6th</t>
  </si>
  <si>
    <t>NEW DONOR -7th</t>
  </si>
  <si>
    <t>NEW DONOR -8th</t>
  </si>
  <si>
    <t>RETURN - 1st don of the week -STD</t>
  </si>
  <si>
    <t>RETURN - 2nd don of the week -BONUS</t>
  </si>
  <si>
    <t>RETURN - 5th don of the month -BONUS</t>
  </si>
  <si>
    <t>RETURN - 6th don of the month -BONUS</t>
  </si>
  <si>
    <t>RETURN - 7th don of the month -BONUS</t>
  </si>
  <si>
    <t>RETURN - 8th don of the month -BONUS</t>
  </si>
  <si>
    <t>RETURN - Buddy referral  -BONUS</t>
  </si>
  <si>
    <t>San Antonio - Commerce</t>
  </si>
  <si>
    <t>1) Ramp-up</t>
  </si>
  <si>
    <t>CP529</t>
  </si>
  <si>
    <t>flat $70</t>
  </si>
  <si>
    <t>Laredo</t>
  </si>
  <si>
    <t>BPL Legagy</t>
  </si>
  <si>
    <t>CP228</t>
  </si>
  <si>
    <t>flat $65</t>
  </si>
  <si>
    <t>55$/65$ x 4 times</t>
  </si>
  <si>
    <t>55$/65$</t>
  </si>
  <si>
    <t>65$/75$</t>
  </si>
  <si>
    <t>100$ x 4</t>
  </si>
  <si>
    <t>55$/70$</t>
  </si>
  <si>
    <t>Palmview</t>
  </si>
  <si>
    <t>CP962</t>
  </si>
  <si>
    <t>$65/$75</t>
  </si>
  <si>
    <t>$65/$70 x 4 times</t>
  </si>
  <si>
    <t>$65/$70</t>
  </si>
  <si>
    <t xml:space="preserve">$65/$75 </t>
  </si>
  <si>
    <t>Pharr</t>
  </si>
  <si>
    <t>CP523</t>
  </si>
  <si>
    <t>Goodyear</t>
  </si>
  <si>
    <t>CP221</t>
  </si>
  <si>
    <t>Medium</t>
  </si>
  <si>
    <t>50$/70$</t>
  </si>
  <si>
    <t>50$/70$ x 4 times</t>
  </si>
  <si>
    <t>100$ x 7</t>
  </si>
  <si>
    <t>Phoenix</t>
  </si>
  <si>
    <t>CP524</t>
  </si>
  <si>
    <t>flat $60</t>
  </si>
  <si>
    <t>56$/60$ x 4 times</t>
  </si>
  <si>
    <t>56$/60$</t>
  </si>
  <si>
    <t>50$ / 70$</t>
  </si>
  <si>
    <t>Commerce City</t>
  </si>
  <si>
    <t>CP179</t>
  </si>
  <si>
    <t>65$/70$</t>
  </si>
  <si>
    <t>Houston - Aldine</t>
  </si>
  <si>
    <t>CP225</t>
  </si>
  <si>
    <t>Cleveland, OH</t>
  </si>
  <si>
    <t>CP178</t>
  </si>
  <si>
    <t>Orlando</t>
  </si>
  <si>
    <t>CP961</t>
  </si>
  <si>
    <t>60$/75$</t>
  </si>
  <si>
    <t>El Paso - Dyer</t>
  </si>
  <si>
    <t>CP185</t>
  </si>
  <si>
    <t>61$/65$ x 4 times</t>
  </si>
  <si>
    <t>56$/65$</t>
  </si>
  <si>
    <t>61$/65$</t>
  </si>
  <si>
    <t>55$/75$</t>
  </si>
  <si>
    <t>30$ on the 6th donation</t>
  </si>
  <si>
    <t>50$ on the 6th donation</t>
  </si>
  <si>
    <t>Lakewood</t>
  </si>
  <si>
    <t>CP227</t>
  </si>
  <si>
    <t>El Paso - Alameda</t>
  </si>
  <si>
    <t>2) Growth</t>
  </si>
  <si>
    <t>CP528</t>
  </si>
  <si>
    <t>El Paso - Zaragoza</t>
  </si>
  <si>
    <t>CP527</t>
  </si>
  <si>
    <t xml:space="preserve">$60/$70 </t>
  </si>
  <si>
    <t>56$/ 70$ x 4 times</t>
  </si>
  <si>
    <t>56$/ 70$</t>
  </si>
  <si>
    <t>El Paso - Stanton</t>
  </si>
  <si>
    <t>CP206</t>
  </si>
  <si>
    <t>65$/ 70$ x 4 times</t>
  </si>
  <si>
    <t>65$/ 70$</t>
  </si>
  <si>
    <t>Gainesville</t>
  </si>
  <si>
    <t>CP214</t>
  </si>
  <si>
    <t>61$/70$ x 4 times</t>
  </si>
  <si>
    <t>56$/70$</t>
  </si>
  <si>
    <t>61$/70$</t>
  </si>
  <si>
    <t>Little Rock</t>
  </si>
  <si>
    <t>CP283</t>
  </si>
  <si>
    <t>66$/70$ x 4 times</t>
  </si>
  <si>
    <t>60$/66$</t>
  </si>
  <si>
    <t>125$ x 3</t>
  </si>
  <si>
    <t>66$/70$</t>
  </si>
  <si>
    <t>Lubbock</t>
  </si>
  <si>
    <t>CP285</t>
  </si>
  <si>
    <t>60$/70</t>
  </si>
  <si>
    <t>$35 on the 8th don</t>
  </si>
  <si>
    <t>Lubbock 34</t>
  </si>
  <si>
    <t>CP284</t>
  </si>
  <si>
    <t>64$/70$</t>
  </si>
  <si>
    <t>Copperas Cove</t>
  </si>
  <si>
    <t>CP184</t>
  </si>
  <si>
    <t>100$x4</t>
  </si>
  <si>
    <t>Temple Terrace</t>
  </si>
  <si>
    <t>CP526</t>
  </si>
  <si>
    <t>100$ x 6</t>
  </si>
  <si>
    <t>Greenville</t>
  </si>
  <si>
    <t>CP222</t>
  </si>
  <si>
    <t>65$/70$ x 4 times</t>
  </si>
  <si>
    <t>150$ x 2</t>
  </si>
  <si>
    <t>Farmington</t>
  </si>
  <si>
    <t>CP207</t>
  </si>
  <si>
    <t>Low</t>
  </si>
  <si>
    <t>55$ flat</t>
  </si>
  <si>
    <t>53$ flat</t>
  </si>
  <si>
    <t>100$ x 2</t>
  </si>
  <si>
    <t>50$ /60$</t>
  </si>
  <si>
    <t>Gallup</t>
  </si>
  <si>
    <t>CP215</t>
  </si>
  <si>
    <t>$52.5 flat</t>
  </si>
  <si>
    <t>50.5$ flat</t>
  </si>
  <si>
    <t>Duncanville</t>
  </si>
  <si>
    <t>KED Legacy</t>
  </si>
  <si>
    <t>CP530</t>
  </si>
  <si>
    <t xml:space="preserve"> $125X5 </t>
  </si>
  <si>
    <t xml:space="preserve"> $125X5 + 45$ /60$ /45$</t>
  </si>
  <si>
    <t>$45/$65</t>
  </si>
  <si>
    <t>45$ /60$</t>
  </si>
  <si>
    <t>N/A</t>
  </si>
  <si>
    <t xml:space="preserve">Las Vegas </t>
  </si>
  <si>
    <t>CP570</t>
  </si>
  <si>
    <t xml:space="preserve">100$ x 4 </t>
  </si>
  <si>
    <t>100$ x 4  + 50$/ 75$/ 50$/ 75$</t>
  </si>
  <si>
    <t>50$ / 75$</t>
  </si>
  <si>
    <t>25$ on 8th donation</t>
  </si>
  <si>
    <t>Tucker</t>
  </si>
  <si>
    <t>CP128</t>
  </si>
  <si>
    <t xml:space="preserve"> $100x5</t>
  </si>
  <si>
    <t xml:space="preserve"> $100x5 + 40$ / 70$/ 40$</t>
  </si>
  <si>
    <t xml:space="preserve"> $100x3</t>
  </si>
  <si>
    <t xml:space="preserve"> $100x6</t>
  </si>
  <si>
    <t xml:space="preserve"> $125x5</t>
  </si>
  <si>
    <t xml:space="preserve">$40/$60+ bonus $10 on the 2nd don </t>
  </si>
  <si>
    <t xml:space="preserve">$40/$60+ bonus $15 on the 2nd don </t>
  </si>
  <si>
    <t>$40/$80</t>
  </si>
  <si>
    <t>$10 on and 7th don</t>
  </si>
  <si>
    <t>College Park</t>
  </si>
  <si>
    <t>CP134</t>
  </si>
  <si>
    <t xml:space="preserve"> $100x4</t>
  </si>
  <si>
    <t xml:space="preserve"> $100x4 + 40$ / 70$ x 2 times</t>
  </si>
  <si>
    <t>Cinnaminson</t>
  </si>
  <si>
    <t>CP138</t>
  </si>
  <si>
    <t>$125x4</t>
  </si>
  <si>
    <t>$125x4 + 40$ / 65$ x 2 times</t>
  </si>
  <si>
    <t>$100x7</t>
  </si>
  <si>
    <t xml:space="preserve">$40/$65 </t>
  </si>
  <si>
    <t>$40/$65</t>
  </si>
  <si>
    <t>$45/$75</t>
  </si>
  <si>
    <t>$50/$80</t>
  </si>
  <si>
    <t>$40/$90</t>
  </si>
  <si>
    <t>$20 on 6th and 8th</t>
  </si>
  <si>
    <t>$30 on 6th</t>
  </si>
  <si>
    <t>$20 on 5th and 6th</t>
  </si>
  <si>
    <t>Norman</t>
  </si>
  <si>
    <t>CP139</t>
  </si>
  <si>
    <t xml:space="preserve"> $100X5</t>
  </si>
  <si>
    <t xml:space="preserve"> $100X5 + 40$/ 60$/ 40$</t>
  </si>
  <si>
    <t xml:space="preserve"> $100X6</t>
  </si>
  <si>
    <t xml:space="preserve"> $125X3</t>
  </si>
  <si>
    <t xml:space="preserve">$40/$60 </t>
  </si>
  <si>
    <t xml:space="preserve">$45/$65 </t>
  </si>
  <si>
    <t>$25 -7X monthly donation</t>
  </si>
  <si>
    <t>Irving</t>
  </si>
  <si>
    <t>CP869</t>
  </si>
  <si>
    <t>$100 x 5</t>
  </si>
  <si>
    <t>$100 x 4 + 45$ / 65$ x 2 times</t>
  </si>
  <si>
    <t xml:space="preserve">$100 x 4 </t>
  </si>
  <si>
    <t>$100 x 6</t>
  </si>
  <si>
    <t>$45/$65 (1st and 2nd don of the week)</t>
  </si>
  <si>
    <t xml:space="preserve">$50/$70 </t>
  </si>
  <si>
    <t>$30 on the 8th don</t>
  </si>
  <si>
    <t>Bedford</t>
  </si>
  <si>
    <t>CP946</t>
  </si>
  <si>
    <r>
      <t>$100 x5</t>
    </r>
    <r>
      <rPr>
        <sz val="11"/>
        <color rgb="FFFF0000"/>
        <rFont val="Calibri"/>
        <family val="2"/>
        <scheme val="minor"/>
      </rPr>
      <t xml:space="preserve"> </t>
    </r>
  </si>
  <si>
    <t xml:space="preserve">$100 x5  + 45$/ 65$/ 45$       </t>
  </si>
  <si>
    <t>$100 x5</t>
  </si>
  <si>
    <t>$100 x6</t>
  </si>
  <si>
    <t>$50/$70</t>
  </si>
  <si>
    <t xml:space="preserve">$60 on 8th </t>
  </si>
  <si>
    <t>Lithia Springs</t>
  </si>
  <si>
    <t>CP949</t>
  </si>
  <si>
    <r>
      <t xml:space="preserve"> $100x4</t>
    </r>
    <r>
      <rPr>
        <sz val="11"/>
        <color rgb="FFFF0000"/>
        <rFont val="Calibri"/>
        <family val="2"/>
        <scheme val="minor"/>
      </rPr>
      <t xml:space="preserve"> </t>
    </r>
  </si>
  <si>
    <t xml:space="preserve"> $100x4 + 50$/65$ x 2 times</t>
  </si>
  <si>
    <t>$50 / 65$</t>
  </si>
  <si>
    <t>$40 on and 8th don</t>
  </si>
  <si>
    <t>Forest Lane</t>
  </si>
  <si>
    <t>CP894</t>
  </si>
  <si>
    <t>$100 x 4</t>
  </si>
  <si>
    <t>$100 x 4 + 45$/65$ x 2 times</t>
  </si>
  <si>
    <t>$100 x 7</t>
  </si>
  <si>
    <t>$45/$70</t>
  </si>
  <si>
    <t xml:space="preserve">$30 on 8th </t>
  </si>
  <si>
    <t xml:space="preserve">$30 on 6th </t>
  </si>
  <si>
    <t xml:space="preserve">$30 on 5th </t>
  </si>
  <si>
    <t>Augusta</t>
  </si>
  <si>
    <t>CP078</t>
  </si>
  <si>
    <t>$100 x 4 + 45$/ 80$ x 2 times</t>
  </si>
  <si>
    <t>$45/$80</t>
  </si>
  <si>
    <t>$55/$75</t>
  </si>
  <si>
    <t xml:space="preserve"> $40 on the 6th don,  $20 on the 8th don</t>
  </si>
  <si>
    <t xml:space="preserve"> $40 on the 6th don</t>
  </si>
  <si>
    <t>$0 (no referral fee)</t>
  </si>
  <si>
    <t>$50</t>
  </si>
  <si>
    <t>Mobile Montlimar</t>
  </si>
  <si>
    <t>CP133</t>
  </si>
  <si>
    <t>100$ x4</t>
  </si>
  <si>
    <t>100$ x4  + 40$ / 85$ x 2 times</t>
  </si>
  <si>
    <t>100$ x6</t>
  </si>
  <si>
    <t>$40/$85</t>
  </si>
  <si>
    <t>Mobile Moffet</t>
  </si>
  <si>
    <t>CP328</t>
  </si>
  <si>
    <t xml:space="preserve">100$ x4 </t>
  </si>
  <si>
    <t>Lincoln</t>
  </si>
  <si>
    <t>CP069</t>
  </si>
  <si>
    <t>$125 x 2 don.</t>
  </si>
  <si>
    <t>$125 x 2 don. + 40$/90$ x 3 times</t>
  </si>
  <si>
    <t>$100 x 4 don.</t>
  </si>
  <si>
    <t>30$ on the 6th &amp; 8th donations</t>
  </si>
  <si>
    <t>Youngstown</t>
  </si>
  <si>
    <t>CP082</t>
  </si>
  <si>
    <t>$100 x 4 + 50$ / 70$ x 2 times</t>
  </si>
  <si>
    <t xml:space="preserve">$45/$70 </t>
  </si>
  <si>
    <t>$25 on the 6th don</t>
  </si>
  <si>
    <t>$30 on the 6th don</t>
  </si>
  <si>
    <t>Amarillo</t>
  </si>
  <si>
    <t>CP893</t>
  </si>
  <si>
    <t>$100 x 4+ 45$/65$ x 2 times</t>
  </si>
  <si>
    <t>$100 x 5 don.</t>
  </si>
  <si>
    <t>Lincoln North</t>
  </si>
  <si>
    <t>CP137</t>
  </si>
  <si>
    <t>$100 x 2 don.</t>
  </si>
  <si>
    <t>$100 x 2 don.+ 40$/80$ x 3 times</t>
  </si>
  <si>
    <t>15$ at the 6th don</t>
  </si>
  <si>
    <t>30$ on the 8th don</t>
  </si>
  <si>
    <t>Amherst</t>
  </si>
  <si>
    <t>CP917</t>
  </si>
  <si>
    <t>$100 x 7 don.</t>
  </si>
  <si>
    <t>$30/$55 (up to 55$ /55$ with Loyalty)</t>
  </si>
  <si>
    <t>$30/$55</t>
  </si>
  <si>
    <t xml:space="preserve">$30/$55 </t>
  </si>
  <si>
    <t>$50 on the 8th donation</t>
  </si>
  <si>
    <t>Pittston</t>
  </si>
  <si>
    <t>CP944</t>
  </si>
  <si>
    <t>$100 x 4 + 50$/70$ x 2 times</t>
  </si>
  <si>
    <t>$100 x 3</t>
  </si>
  <si>
    <t>Hot Springs</t>
  </si>
  <si>
    <t>CP224</t>
  </si>
  <si>
    <t>flat 55$</t>
  </si>
  <si>
    <t>$100 x 2</t>
  </si>
  <si>
    <t>50$/55$</t>
  </si>
  <si>
    <t>Jonesboro</t>
  </si>
  <si>
    <t>CP226</t>
  </si>
  <si>
    <t>flat 50$</t>
  </si>
  <si>
    <t>Bowling Green</t>
  </si>
  <si>
    <t>CP177</t>
  </si>
  <si>
    <t xml:space="preserve">$100 x 2 </t>
  </si>
  <si>
    <t>$100 x 2 + 36$/60$ x 3 times</t>
  </si>
  <si>
    <t>36$/60$</t>
  </si>
  <si>
    <t>Flagstaff</t>
  </si>
  <si>
    <t>CP208</t>
  </si>
  <si>
    <t>flat $55</t>
  </si>
  <si>
    <t>flat 45$</t>
  </si>
  <si>
    <t>Pasadena</t>
  </si>
  <si>
    <t>CP534</t>
  </si>
  <si>
    <t>100$ x 4 + 45$ /60$ x 2 times</t>
  </si>
  <si>
    <t>$45/$60</t>
  </si>
  <si>
    <t>$20 on 6th donation</t>
  </si>
  <si>
    <t>Slidell</t>
  </si>
  <si>
    <t>CP953</t>
  </si>
  <si>
    <t xml:space="preserve">100$ x 2 don. </t>
  </si>
  <si>
    <t>100$ x 2 don. + 45$/ 80$ x 3 times</t>
  </si>
  <si>
    <t>100$ x 2 don.</t>
  </si>
  <si>
    <t>100$ x 4 don.</t>
  </si>
  <si>
    <t>Grand Junction</t>
  </si>
  <si>
    <t>CP573</t>
  </si>
  <si>
    <t>$100 $100 $50 $100 $100</t>
  </si>
  <si>
    <t>$100 $100 $50 $100 $100 /40$/70$/40$</t>
  </si>
  <si>
    <t>$40/$60 (+10$ on the 2nd don. of the week)</t>
  </si>
  <si>
    <t>30$ on the 6 donations</t>
  </si>
  <si>
    <t>Cocoa Beach</t>
  </si>
  <si>
    <t>CP686</t>
  </si>
  <si>
    <t>100$ x 4 don. + 30$/90$ x 2 times</t>
  </si>
  <si>
    <t>100$ x 2 don</t>
  </si>
  <si>
    <t>$30/$90</t>
  </si>
  <si>
    <t>20$ on the 6th don</t>
  </si>
  <si>
    <t>Hendersonville</t>
  </si>
  <si>
    <t>CP955</t>
  </si>
  <si>
    <t xml:space="preserve">100$ x 3 don. </t>
  </si>
  <si>
    <t>100$ x 3 don.+ 45$/70$/45$/70$/45$</t>
  </si>
  <si>
    <t>100$ x 3 don.</t>
  </si>
  <si>
    <t>125$ x 3 don.</t>
  </si>
  <si>
    <t>125$ x 5 don.</t>
  </si>
  <si>
    <t>100$ x 5 don.</t>
  </si>
  <si>
    <t>50$ on the 6th don</t>
  </si>
  <si>
    <t>Rocky Mount</t>
  </si>
  <si>
    <t>CP957</t>
  </si>
  <si>
    <t>100$ x 2 don.  + 40$/90$ x 3 times</t>
  </si>
  <si>
    <t>30$ on the 6 donation</t>
  </si>
  <si>
    <t>Columbia</t>
  </si>
  <si>
    <t>CP685</t>
  </si>
  <si>
    <t xml:space="preserve">100$ x3 </t>
  </si>
  <si>
    <t>100$ x3 + 45$/70$ x2 times + 45$</t>
  </si>
  <si>
    <t>100$ x3</t>
  </si>
  <si>
    <t>100$ x5</t>
  </si>
  <si>
    <t>$30 on 5th don</t>
  </si>
  <si>
    <t>Springfield</t>
  </si>
  <si>
    <t>CP135</t>
  </si>
  <si>
    <r>
      <t>$100 X4</t>
    </r>
    <r>
      <rPr>
        <sz val="11"/>
        <color rgb="FFFF0000"/>
        <rFont val="Calibri"/>
        <family val="2"/>
        <scheme val="minor"/>
      </rPr>
      <t xml:space="preserve"> </t>
    </r>
  </si>
  <si>
    <t>$100 X4  + 45$/75$ x 2 times</t>
  </si>
  <si>
    <t>$100 X4</t>
  </si>
  <si>
    <t>$100 X5</t>
  </si>
  <si>
    <t>$25/$55 + bonus of $20 1st don &amp; 20 at the 2nd</t>
  </si>
  <si>
    <t>$25/$55 + bonus of $15 1st don &amp; 15 at the 2nd</t>
  </si>
  <si>
    <t xml:space="preserve"> $20 on the 6th for the month </t>
  </si>
  <si>
    <t xml:space="preserve"> $30 on the 6th for the month </t>
  </si>
  <si>
    <t>Urbana</t>
  </si>
  <si>
    <t>CP136</t>
  </si>
  <si>
    <t xml:space="preserve">$125 x6 </t>
  </si>
  <si>
    <t>$125 x6 +45$/75$</t>
  </si>
  <si>
    <t>$125 x6</t>
  </si>
  <si>
    <t>$25/$55 + bonus $20 @ 1st don &amp; $20 @ 2nd don</t>
  </si>
  <si>
    <t>$25/$55 + bonus $20 @ 1st don &amp; $30 @ 2nd don</t>
  </si>
  <si>
    <t>45$/85$</t>
  </si>
  <si>
    <t>$20 on the 8th don</t>
  </si>
  <si>
    <t>$50 on the 6th don</t>
  </si>
  <si>
    <t>Sanford</t>
  </si>
  <si>
    <t>CP948</t>
  </si>
  <si>
    <t>$100 x 4 + 55$/70$ x 2 times</t>
  </si>
  <si>
    <t>$55/$70</t>
  </si>
  <si>
    <t>$35 on 6th don</t>
  </si>
  <si>
    <t>Somerset</t>
  </si>
  <si>
    <t>CP125</t>
  </si>
  <si>
    <t>$100 x2</t>
  </si>
  <si>
    <t>$100</t>
  </si>
  <si>
    <t>$100 on the 8th don</t>
  </si>
  <si>
    <t>$75, $250 if convert to Anti-D</t>
  </si>
  <si>
    <t>Shreveport</t>
  </si>
  <si>
    <t>CP147</t>
  </si>
  <si>
    <t xml:space="preserve">100$ x 4 don. </t>
  </si>
  <si>
    <t>100$ x 4 don. + 50$/85$ x 2 times</t>
  </si>
  <si>
    <t>50$ / 85$</t>
  </si>
  <si>
    <t>25$ at the 8 don</t>
  </si>
  <si>
    <t>$30 on the 6th donation</t>
  </si>
  <si>
    <t>Pensacola</t>
  </si>
  <si>
    <t>CP150</t>
  </si>
  <si>
    <t xml:space="preserve">$100 x 5 don. </t>
  </si>
  <si>
    <t>$100 x 5 don. + 40$/80$/40$</t>
  </si>
  <si>
    <t>$100 x 3 don.</t>
  </si>
  <si>
    <t>$100 x 8 don.</t>
  </si>
  <si>
    <t>$20 on 6th don</t>
  </si>
  <si>
    <t>Burlington</t>
  </si>
  <si>
    <t>CP149</t>
  </si>
  <si>
    <t>$100 x 4 + 50$/100$ x 2 times</t>
  </si>
  <si>
    <t>$50/$100 (1st and 2nd don of the week)</t>
  </si>
  <si>
    <t>$0 (no referral)</t>
  </si>
  <si>
    <t>Bradenton</t>
  </si>
  <si>
    <t>CP154</t>
  </si>
  <si>
    <t>$125 x 2</t>
  </si>
  <si>
    <t>$125 x 2 + 40$/75$ x 3 times</t>
  </si>
  <si>
    <t>$40/$75</t>
  </si>
  <si>
    <t>Port Orange</t>
  </si>
  <si>
    <t>CP943</t>
  </si>
  <si>
    <r>
      <t>$100 x 4</t>
    </r>
    <r>
      <rPr>
        <sz val="11"/>
        <color rgb="FFFF0000"/>
        <rFont val="Calibri"/>
        <family val="2"/>
        <scheme val="minor"/>
      </rPr>
      <t xml:space="preserve"> </t>
    </r>
  </si>
  <si>
    <t>$100 x 4  + 55$/70$ x 2 times</t>
  </si>
  <si>
    <t xml:space="preserve">$55/$70 </t>
  </si>
  <si>
    <t>Cleveland</t>
  </si>
  <si>
    <t>CP947</t>
  </si>
  <si>
    <t>$50/$65</t>
  </si>
  <si>
    <t>$50/$60</t>
  </si>
  <si>
    <t>$25 on the 6 th don</t>
  </si>
  <si>
    <t>Hickory</t>
  </si>
  <si>
    <t>CP872</t>
  </si>
  <si>
    <t>$100 x 3 + 30$/60$ x 2 times + 30$</t>
  </si>
  <si>
    <t>$30/$60</t>
  </si>
  <si>
    <t>$25 on the 6th donation</t>
  </si>
  <si>
    <t>Anderson</t>
  </si>
  <si>
    <t>CP873</t>
  </si>
  <si>
    <t xml:space="preserve">$100 x 5 </t>
  </si>
  <si>
    <t>$100 x 5  + 40$/70$/40$</t>
  </si>
  <si>
    <t>$40/$75 (1st and 2nd don of the week)</t>
  </si>
  <si>
    <t>$50/$75</t>
  </si>
  <si>
    <t>Altoona</t>
  </si>
  <si>
    <t>CP941</t>
  </si>
  <si>
    <t>$100 x 5 + 30$/80$/30$</t>
  </si>
  <si>
    <t>$30/$80</t>
  </si>
  <si>
    <t>$15 on the 8th donation</t>
  </si>
  <si>
    <t>La Vergne</t>
  </si>
  <si>
    <t>CP574</t>
  </si>
  <si>
    <t>$100, $150, $200</t>
  </si>
  <si>
    <t>$100, $150, $200 + 30$/60$ x 2 time + 30$</t>
  </si>
  <si>
    <t>65$ flat</t>
  </si>
  <si>
    <t>100$ x 3</t>
  </si>
  <si>
    <t>$30/$60 (1st and 2nd don of the week)</t>
  </si>
  <si>
    <t>50$ / 60$</t>
  </si>
  <si>
    <t>$30 on the 5th don</t>
  </si>
  <si>
    <t>Tuscaloosa</t>
  </si>
  <si>
    <t>CP577</t>
  </si>
  <si>
    <t>$100 x 2 + 30$/75$ x 3 times</t>
  </si>
  <si>
    <t>$30/$75 (1st and 2nd don of the week)</t>
  </si>
  <si>
    <t>Chicago</t>
  </si>
  <si>
    <t>CP575</t>
  </si>
  <si>
    <t>$100 x 2 + 40$/65$ x 3 times</t>
  </si>
  <si>
    <t>$125 x 6</t>
  </si>
  <si>
    <t>$40/$65 (1st and 2nd don of the week)</t>
  </si>
  <si>
    <t>$40/65$(1st and 2nd don of the week)</t>
  </si>
  <si>
    <t>$40/90$</t>
  </si>
  <si>
    <t>$60 on the 6th don</t>
  </si>
  <si>
    <t>Indianapolis</t>
  </si>
  <si>
    <t>CP959</t>
  </si>
  <si>
    <t>$75 x 3</t>
  </si>
  <si>
    <t>None</t>
  </si>
  <si>
    <t>Specialty Base formula to look at new month - Update the "SpecialtyBaseLU" reference, then update the column in this table to reference new month</t>
  </si>
  <si>
    <t>Cindy update this column</t>
  </si>
  <si>
    <t>IT update Matrix to this column</t>
  </si>
  <si>
    <t>Center Name (calculated)</t>
  </si>
  <si>
    <t>PROFILECODE</t>
  </si>
  <si>
    <t>Name (calculated)</t>
  </si>
  <si>
    <t>Center Rulename</t>
  </si>
  <si>
    <t>Specialty Base</t>
  </si>
  <si>
    <t>Specialty Base $</t>
  </si>
  <si>
    <t>Speciality over base</t>
  </si>
  <si>
    <t>Speciality</t>
  </si>
  <si>
    <t>new Fee</t>
  </si>
  <si>
    <t>Current</t>
  </si>
  <si>
    <t>P Anti-D Pre-Existing Standard</t>
  </si>
  <si>
    <t>2X Week P HBS</t>
  </si>
  <si>
    <t>2X Week P HBS Pre-Existing</t>
  </si>
  <si>
    <t>P HBS Pre-Existing Standard</t>
  </si>
  <si>
    <t>P HBS Standard</t>
  </si>
  <si>
    <t>P Anti-D Standard</t>
  </si>
  <si>
    <t>P Vaccinia AP Standard</t>
  </si>
  <si>
    <t>P Vaccinia Standard</t>
  </si>
  <si>
    <t>Vaccinia - 1st Donation</t>
  </si>
  <si>
    <t>Vaccinia - 2nd Donation</t>
  </si>
  <si>
    <t>Vaccinia - 3rd Donation</t>
  </si>
  <si>
    <t>Vaccinia - 4th Donation</t>
  </si>
  <si>
    <t>Vaccinia AP - 1st Donation</t>
  </si>
  <si>
    <t>Vaccinia AP - 2nd Donation</t>
  </si>
  <si>
    <t>Vaccinia AP - 3rd Donation</t>
  </si>
  <si>
    <t>Vaccinia AP - 4th Donation</t>
  </si>
  <si>
    <t>2X Week P Tetanus</t>
  </si>
  <si>
    <t>2X Week P Tetanus AP</t>
  </si>
  <si>
    <t>2X Week P Tetanus PE</t>
  </si>
  <si>
    <t>2X Week P VZV</t>
  </si>
  <si>
    <t>2X Week P VZV AP</t>
  </si>
  <si>
    <t>2X Week P VZV Pre-Existing</t>
  </si>
  <si>
    <t>2X Week P VZV Pre-Existing AP</t>
  </si>
  <si>
    <t>P Tetanus AP Standard</t>
  </si>
  <si>
    <t>P Tetanus Pre-Existing Standard</t>
  </si>
  <si>
    <t>P Tetanus Standard</t>
  </si>
  <si>
    <t>P VZV Pre-Existing AP</t>
  </si>
  <si>
    <t>P VZV Standard</t>
  </si>
  <si>
    <t>PVZV Pre-Existing Standard</t>
  </si>
  <si>
    <t>2X Week P CMV</t>
  </si>
  <si>
    <t>2X Week P Rabies</t>
  </si>
  <si>
    <t>2X Week P Rabies HT</t>
  </si>
  <si>
    <t>P CMV Standard</t>
  </si>
  <si>
    <t>P Rabies HT Standard</t>
  </si>
  <si>
    <t>P Rabies Standard</t>
  </si>
  <si>
    <t>2X Week P HBS TWINRX</t>
  </si>
  <si>
    <t>2X Week P HBS TWINRX-AP</t>
  </si>
  <si>
    <t>P HBS TWINRIX Standard</t>
  </si>
  <si>
    <t>P HBS TWINRIX-AP Standard</t>
  </si>
  <si>
    <t>P Tetanus Tox Standard</t>
  </si>
  <si>
    <t>Cleveland OH</t>
  </si>
  <si>
    <t>2X Week P VIP A</t>
  </si>
  <si>
    <t>2X Week P VIP AB</t>
  </si>
  <si>
    <t>P VIP A Standard</t>
  </si>
  <si>
    <t>P VIP AB Standard</t>
  </si>
  <si>
    <t>El Paso Dyer</t>
  </si>
  <si>
    <t>EP Alameda</t>
  </si>
  <si>
    <t>EP Stanton</t>
  </si>
  <si>
    <t>EP Zaragoza</t>
  </si>
  <si>
    <t>2X Week P Anti-D</t>
  </si>
  <si>
    <t>Houston Aldine</t>
  </si>
  <si>
    <t>Las Vegas</t>
  </si>
  <si>
    <t>Lincoln N</t>
  </si>
  <si>
    <t>lithia Springs</t>
  </si>
  <si>
    <t>Lubbock 34th</t>
  </si>
  <si>
    <t>Lubbock Main</t>
  </si>
  <si>
    <t>Mobile Mont</t>
  </si>
  <si>
    <t>Whole Blood INJ</t>
  </si>
  <si>
    <t>SA Commerce</t>
  </si>
  <si>
    <t>125 Anti - D PreExisting</t>
  </si>
  <si>
    <t>125 Anti-D Somerset AP</t>
  </si>
  <si>
    <t>125 D Non EU Standard</t>
  </si>
  <si>
    <t>125 D Standard</t>
  </si>
  <si>
    <t>125 Normal Source Standard</t>
  </si>
  <si>
    <t>Anti - D NEU AP SS Standard</t>
  </si>
  <si>
    <t>Test Cells</t>
  </si>
  <si>
    <t>Active Center (calculated)</t>
  </si>
  <si>
    <t>PROFILENAME</t>
  </si>
  <si>
    <t>Marketing/Spciality (Calculated)</t>
  </si>
  <si>
    <t>RULENAME</t>
  </si>
  <si>
    <t>Sort Order (Calculated)</t>
  </si>
  <si>
    <t>RULESET_TYPE_IND</t>
  </si>
  <si>
    <t>AMOUNT</t>
  </si>
  <si>
    <t>Column1</t>
  </si>
  <si>
    <t>Are all items account for in Payment Changes tab?</t>
  </si>
  <si>
    <t>C Profile-941 Altoona</t>
  </si>
  <si>
    <t>1st Responder-Medical</t>
  </si>
  <si>
    <t>BONUS</t>
  </si>
  <si>
    <t>2X Week P NORM KIG10</t>
  </si>
  <si>
    <t>2X Week P NORM KIG10-1</t>
  </si>
  <si>
    <t>2X Week P NORM KIG10-2</t>
  </si>
  <si>
    <t>2X Week P NSP NS</t>
  </si>
  <si>
    <t>2X Week P NSP NS AP</t>
  </si>
  <si>
    <t>6X Month</t>
  </si>
  <si>
    <t>College ID Standard Bonus</t>
  </si>
  <si>
    <t>Military ID</t>
  </si>
  <si>
    <t>New Donor 1st Visit-Bonus</t>
  </si>
  <si>
    <t>New Donor 2nd Visit-Bonus</t>
  </si>
  <si>
    <t>New Donor 3rd Visit-Bonus</t>
  </si>
  <si>
    <t>New Donor 4th Visit-Bonus</t>
  </si>
  <si>
    <t>New Donor 5th Visit-Bonus</t>
  </si>
  <si>
    <t>New Donor 6th Visit-Bonus</t>
  </si>
  <si>
    <t>New Donor 7th Visit-Bonus</t>
  </si>
  <si>
    <t>New Donor 8th Visit-Bonus</t>
  </si>
  <si>
    <t>Community</t>
  </si>
  <si>
    <t>MANUAL</t>
  </si>
  <si>
    <t>HANGER_RECRUIT_5USD_once</t>
  </si>
  <si>
    <t>Inconv Fee $20-$50-Comment Req'd</t>
  </si>
  <si>
    <t>Inconv Fee $5-$20-Comment Req'd</t>
  </si>
  <si>
    <t>Inconv Fee$50-$100-Comment Req'd</t>
  </si>
  <si>
    <t>NSP_ LAPSEDONOR_50_Twice</t>
  </si>
  <si>
    <t>NSP_LD_25_2X</t>
  </si>
  <si>
    <t>NSP_LD_50_1X</t>
  </si>
  <si>
    <t>NSP_ORPHAN_100_once</t>
  </si>
  <si>
    <t>Restick</t>
  </si>
  <si>
    <t>SLOW_TEXT_5</t>
  </si>
  <si>
    <t>Sample Only</t>
  </si>
  <si>
    <t>Unit Below 250 mL</t>
  </si>
  <si>
    <t>Unit above 250 mL/underdraw</t>
  </si>
  <si>
    <t>REFERRAL</t>
  </si>
  <si>
    <t>STANDARD</t>
  </si>
  <si>
    <t>P NORM KIG 10 Standard</t>
  </si>
  <si>
    <t>P NORM KIG 10-1 Standard</t>
  </si>
  <si>
    <t>P NORM KIG 10-2 Standard</t>
  </si>
  <si>
    <t>P NSP NS AP Standard</t>
  </si>
  <si>
    <t>P NSP NS Standard</t>
  </si>
  <si>
    <t>C Profile-893 Amarillo</t>
  </si>
  <si>
    <t>SCRATCH_100_USD</t>
  </si>
  <si>
    <t>SCRATCH_10_USD</t>
  </si>
  <si>
    <t>SCRATCH_20_USD</t>
  </si>
  <si>
    <t>SCRATCH_25_USD</t>
  </si>
  <si>
    <t>SCRATCH_50_USD</t>
  </si>
  <si>
    <t>SCRATCH_5_USD</t>
  </si>
  <si>
    <t>C Profile-917 Amherst</t>
  </si>
  <si>
    <t>Loyalty</t>
  </si>
  <si>
    <t>MONDAY_COUPON_RETENTION_10_once</t>
  </si>
  <si>
    <t>Referral - Vaccinia</t>
  </si>
  <si>
    <t>Vaccinia Immunization</t>
  </si>
  <si>
    <t>C Profile-873 Anderson</t>
  </si>
  <si>
    <t>Immunization Boost Payment</t>
  </si>
  <si>
    <t>Immunization Series Payment</t>
  </si>
  <si>
    <t>C Profile-078 Augusta</t>
  </si>
  <si>
    <t>C Profile-946 Bedford</t>
  </si>
  <si>
    <t>C Profile-177 Bowling Green</t>
  </si>
  <si>
    <t>C Profile-154 Bradenton</t>
  </si>
  <si>
    <t>C Profile-149 Burlington</t>
  </si>
  <si>
    <t>C Profile-575 Chicago</t>
  </si>
  <si>
    <t>2X Week P Normal Source PL</t>
  </si>
  <si>
    <t>P Normal Source PL Standard</t>
  </si>
  <si>
    <t>C Profile-138 Cinnaminson</t>
  </si>
  <si>
    <t>5X Month</t>
  </si>
  <si>
    <t>C Profile-947 Cleveland</t>
  </si>
  <si>
    <t>C Profile-178 Cleveland OH</t>
  </si>
  <si>
    <t>C Profile-686 Cocoa Beach</t>
  </si>
  <si>
    <t>C Profile-134 College Park</t>
  </si>
  <si>
    <t>C Profile-685 Columbia</t>
  </si>
  <si>
    <t>C Profile-179 Commerce City</t>
  </si>
  <si>
    <t>C Profile-184 Copperas Cove</t>
  </si>
  <si>
    <t>C Profile-530 Duncanville</t>
  </si>
  <si>
    <t>C Profile-185 El Paso Dyer</t>
  </si>
  <si>
    <t>C Profile-528 EP Alameda</t>
  </si>
  <si>
    <t>C Profile-206 EP Stanton</t>
  </si>
  <si>
    <t>C Profile-527 EP Zaragoza</t>
  </si>
  <si>
    <t>C Profile-207 Farmington</t>
  </si>
  <si>
    <t>C Profile-208 Flagstaff</t>
  </si>
  <si>
    <t>C Profile-894 Forest Lane</t>
  </si>
  <si>
    <t>C Profile-214 Gainesville</t>
  </si>
  <si>
    <t>C Profile-215 Gallup</t>
  </si>
  <si>
    <t>C Profile-221 Goodyear</t>
  </si>
  <si>
    <t>C Profile-573 Grand Junction</t>
  </si>
  <si>
    <t>C Profile-222 Greenville</t>
  </si>
  <si>
    <t>C Profile-955 Hendersonville</t>
  </si>
  <si>
    <t>C Profile-872 Hickory</t>
  </si>
  <si>
    <t>C Profile-224 Hot Springs</t>
  </si>
  <si>
    <t>C Profile-225 Houston Aldine</t>
  </si>
  <si>
    <t>C Profile-959 Indianapolis</t>
  </si>
  <si>
    <t>C Profile-869 Irving</t>
  </si>
  <si>
    <t>C Profile-226 Jonesboro</t>
  </si>
  <si>
    <t>C Profile-574 La Vergne</t>
  </si>
  <si>
    <t>C Profile-227 Lakewood</t>
  </si>
  <si>
    <t>C Profile-228 Laredo</t>
  </si>
  <si>
    <t>C Profile-570 Las Vegas</t>
  </si>
  <si>
    <t>8X Month</t>
  </si>
  <si>
    <t>C Profile-069 Lincoln</t>
  </si>
  <si>
    <t>C Profile-137 Lincoln N</t>
  </si>
  <si>
    <t>C Profile-949 Lithia Springs</t>
  </si>
  <si>
    <t>C Profile-283 Little Rock</t>
  </si>
  <si>
    <t>C Profile-284 Lubbock 34th</t>
  </si>
  <si>
    <t>C Profile-285 Lubbock Main</t>
  </si>
  <si>
    <t>C Profile-328 Mobile Mof</t>
  </si>
  <si>
    <t>HBS Missed Donation</t>
  </si>
  <si>
    <t>C Profile-133 Mobile Mont</t>
  </si>
  <si>
    <t>DENOVO  - Antibody Screen</t>
  </si>
  <si>
    <t>Denovo - Attendance Bonus</t>
  </si>
  <si>
    <t>Denovo - Immunization</t>
  </si>
  <si>
    <t>C Profile-139 Norman</t>
  </si>
  <si>
    <t>C Profile-961 Orlando</t>
  </si>
  <si>
    <t>C Profile-962 Palmview</t>
  </si>
  <si>
    <t>C Profile-534 Pasadena</t>
  </si>
  <si>
    <t>C Profile-150 Pensacola</t>
  </si>
  <si>
    <t>C Profile-523 Pharr</t>
  </si>
  <si>
    <t>C Profile-524 Phoenix</t>
  </si>
  <si>
    <t>C Profile-944 Pittston</t>
  </si>
  <si>
    <t>C Profile-943 Port Orange</t>
  </si>
  <si>
    <t>C Profile-Rocky Mount</t>
  </si>
  <si>
    <t>C Profile-529 SA Commerce</t>
  </si>
  <si>
    <t>C Profile-525 San Antonio</t>
  </si>
  <si>
    <t>C Profile-948 Sanford</t>
  </si>
  <si>
    <t>C Profile-147 Shreveport</t>
  </si>
  <si>
    <t>C Profile-953 Slidell</t>
  </si>
  <si>
    <t>C Profile-125 Somerset</t>
  </si>
  <si>
    <t>Travel Miles 20-29</t>
  </si>
  <si>
    <t>Travel Miles 30-34</t>
  </si>
  <si>
    <t>Travel Miles 35-39</t>
  </si>
  <si>
    <t>Travel Miles 40-44</t>
  </si>
  <si>
    <t>Travel Miles 45-90</t>
  </si>
  <si>
    <t>C Profile-135 Springfield</t>
  </si>
  <si>
    <t>C Profile-526 Temple Terrace</t>
  </si>
  <si>
    <t>C Profile-128 Tucker</t>
  </si>
  <si>
    <t>C Profile-577 Tuscaloosa</t>
  </si>
  <si>
    <t>C Profile-136 Urbana</t>
  </si>
  <si>
    <t>C Profile-082 Youngstown</t>
  </si>
  <si>
    <t>SITE</t>
  </si>
  <si>
    <t>CPSITE</t>
  </si>
  <si>
    <t>NAME</t>
  </si>
  <si>
    <t>DEFAULT_COLL_TYPE</t>
  </si>
  <si>
    <t>Standard (CALCULATED)</t>
  </si>
  <si>
    <t>Standard Exists in NL</t>
  </si>
  <si>
    <t>2x Bonus (collection lookup)</t>
  </si>
  <si>
    <t>2x Bonus in NL</t>
  </si>
  <si>
    <t>Notes</t>
  </si>
  <si>
    <t>069</t>
  </si>
  <si>
    <t>P Profile-069 Lincoln</t>
  </si>
  <si>
    <t>PCMV</t>
  </si>
  <si>
    <t>PD</t>
  </si>
  <si>
    <t>PDPRE</t>
  </si>
  <si>
    <t>PHBSPE</t>
  </si>
  <si>
    <t>PHBSTWINRIX</t>
  </si>
  <si>
    <t>PHBSTWINRIX-AP</t>
  </si>
  <si>
    <t>PNSPEUNS</t>
  </si>
  <si>
    <t>PTETANUS</t>
  </si>
  <si>
    <t>078</t>
  </si>
  <si>
    <t>P Profile-078 Augusta</t>
  </si>
  <si>
    <t>PRAB</t>
  </si>
  <si>
    <t>PTETPE</t>
  </si>
  <si>
    <t>082</t>
  </si>
  <si>
    <t>P Profile-082 Youngstown</t>
  </si>
  <si>
    <t>125</t>
  </si>
  <si>
    <t>P Profile-125 Somerset</t>
  </si>
  <si>
    <t>DPRESS</t>
  </si>
  <si>
    <t>DSOMERSET</t>
  </si>
  <si>
    <t>NSPSS</t>
  </si>
  <si>
    <t>TCELLS</t>
  </si>
  <si>
    <t>WBINJ</t>
  </si>
  <si>
    <t>128</t>
  </si>
  <si>
    <t>P Profile-128 Tucker</t>
  </si>
  <si>
    <t>PVIPA</t>
  </si>
  <si>
    <t>PVIPAB</t>
  </si>
  <si>
    <t>PVZV</t>
  </si>
  <si>
    <t>PVZV-AP</t>
  </si>
  <si>
    <t>PVZVPE</t>
  </si>
  <si>
    <t>PVZVPE-AP</t>
  </si>
  <si>
    <t>133</t>
  </si>
  <si>
    <t>P Profile-133 Mobile Mont</t>
  </si>
  <si>
    <t>PHBS</t>
  </si>
  <si>
    <t>PTOX</t>
  </si>
  <si>
    <t>PVIG</t>
  </si>
  <si>
    <t>134</t>
  </si>
  <si>
    <t>P Profile-134 College Park</t>
  </si>
  <si>
    <t>135</t>
  </si>
  <si>
    <t>P Profile-135 Springfield</t>
  </si>
  <si>
    <t>136</t>
  </si>
  <si>
    <t>P Profile-136 Urbana</t>
  </si>
  <si>
    <t>137</t>
  </si>
  <si>
    <t>P Profile-137 Lincoln N</t>
  </si>
  <si>
    <t>138</t>
  </si>
  <si>
    <t>P Profile-138 Cinnaminson</t>
  </si>
  <si>
    <t>139</t>
  </si>
  <si>
    <t>P Profile-139 Norman</t>
  </si>
  <si>
    <t>147</t>
  </si>
  <si>
    <t>P Profile-147 Shreveport</t>
  </si>
  <si>
    <t>149</t>
  </si>
  <si>
    <t>P Profile-149 Burlington</t>
  </si>
  <si>
    <t>150</t>
  </si>
  <si>
    <t>P Profile-150 Pensacola</t>
  </si>
  <si>
    <t>DENOVO</t>
  </si>
  <si>
    <t>154</t>
  </si>
  <si>
    <t>P Profile-154 Bradenton</t>
  </si>
  <si>
    <t>177</t>
  </si>
  <si>
    <t>P Profile-177 Bowling Green</t>
  </si>
  <si>
    <t>178</t>
  </si>
  <si>
    <t>P Profile-178 Cleveland OH</t>
  </si>
  <si>
    <t>179</t>
  </si>
  <si>
    <t>P Profile-179 Commerce City</t>
  </si>
  <si>
    <t>184</t>
  </si>
  <si>
    <t>P Profile-184 Copperas Cove</t>
  </si>
  <si>
    <t>185</t>
  </si>
  <si>
    <t>P Profile-185 El Paso Dyer</t>
  </si>
  <si>
    <t>PANTHRAX</t>
  </si>
  <si>
    <t>206</t>
  </si>
  <si>
    <t>P Profile-206 EP Stanton</t>
  </si>
  <si>
    <t>207</t>
  </si>
  <si>
    <t>P Profile-207 Farmington</t>
  </si>
  <si>
    <t>208</t>
  </si>
  <si>
    <t>P Profile-208 Flagstaff</t>
  </si>
  <si>
    <t>214</t>
  </si>
  <si>
    <t>P Profile-214 Gainesville</t>
  </si>
  <si>
    <t>215</t>
  </si>
  <si>
    <t>P Profile-215 Gallup</t>
  </si>
  <si>
    <t>221</t>
  </si>
  <si>
    <t>P Profile-221 Goodyear</t>
  </si>
  <si>
    <t>222</t>
  </si>
  <si>
    <t>P Profile-222 Greenville</t>
  </si>
  <si>
    <t>224</t>
  </si>
  <si>
    <t>P Profile-224 Hot Springs</t>
  </si>
  <si>
    <t>225</t>
  </si>
  <si>
    <t>P Profile-225 Houston Aldine</t>
  </si>
  <si>
    <t>226</t>
  </si>
  <si>
    <t>P Profile-226 Jonesboro</t>
  </si>
  <si>
    <t>227</t>
  </si>
  <si>
    <t>P Profile-227 Lakewood</t>
  </si>
  <si>
    <t>228</t>
  </si>
  <si>
    <t>P Profile-228 Laredo</t>
  </si>
  <si>
    <t>283</t>
  </si>
  <si>
    <t>P Profile-283 Little Rock</t>
  </si>
  <si>
    <t>284</t>
  </si>
  <si>
    <t>P Profile-284 Lubbock 34th</t>
  </si>
  <si>
    <t>285</t>
  </si>
  <si>
    <t>P Profile-285 Lubbock Main</t>
  </si>
  <si>
    <t>328</t>
  </si>
  <si>
    <t>P Profile-328 Mobile Mof</t>
  </si>
  <si>
    <t>523</t>
  </si>
  <si>
    <t>P Profile-523 Pharr</t>
  </si>
  <si>
    <t>524</t>
  </si>
  <si>
    <t>P Profile-524 Phoenix</t>
  </si>
  <si>
    <t>525</t>
  </si>
  <si>
    <t>P Profile-525 San Antonio</t>
  </si>
  <si>
    <t>526</t>
  </si>
  <si>
    <t>P Profile-526 Temple Terrace</t>
  </si>
  <si>
    <t>527</t>
  </si>
  <si>
    <t>P Profile-527 EP Zaragoza</t>
  </si>
  <si>
    <t>528</t>
  </si>
  <si>
    <t>P Profile-528 EP ALAMEDA</t>
  </si>
  <si>
    <t>529</t>
  </si>
  <si>
    <t>P Profile-529 SA Commerce</t>
  </si>
  <si>
    <t>530</t>
  </si>
  <si>
    <t>P Profile-530 Duncanville</t>
  </si>
  <si>
    <t>534</t>
  </si>
  <si>
    <t>P Profile-534 Pasadena</t>
  </si>
  <si>
    <t>570</t>
  </si>
  <si>
    <t>P Profile-570 Las Vegas</t>
  </si>
  <si>
    <t>573</t>
  </si>
  <si>
    <t>P Profile-573 Grand Junction</t>
  </si>
  <si>
    <t>574</t>
  </si>
  <si>
    <t>P Profile-574 La Vergne</t>
  </si>
  <si>
    <t>PNSPPL</t>
  </si>
  <si>
    <t>575</t>
  </si>
  <si>
    <t>P Profile-575 Chicago</t>
  </si>
  <si>
    <t>577</t>
  </si>
  <si>
    <t>P Profile-577 Tuscaloosa</t>
  </si>
  <si>
    <t>685</t>
  </si>
  <si>
    <t>P Profile-685 Columbia</t>
  </si>
  <si>
    <t>686</t>
  </si>
  <si>
    <t>P Profile-686 Cocoa Beach</t>
  </si>
  <si>
    <t>869</t>
  </si>
  <si>
    <t>P Profile-869 Irving</t>
  </si>
  <si>
    <t>PREKIG10</t>
  </si>
  <si>
    <t>PREKIG10-1</t>
  </si>
  <si>
    <t>PREKIG10-2</t>
  </si>
  <si>
    <t>872</t>
  </si>
  <si>
    <t>P Profile-872 Hickory</t>
  </si>
  <si>
    <t>873</t>
  </si>
  <si>
    <t>P Profile-873 Anderson</t>
  </si>
  <si>
    <t>893</t>
  </si>
  <si>
    <t>P Profile-893 Amarillo</t>
  </si>
  <si>
    <t>894</t>
  </si>
  <si>
    <t>P Profile-894 Forest Lane</t>
  </si>
  <si>
    <t>917</t>
  </si>
  <si>
    <t>P Profile-917  Amherst</t>
  </si>
  <si>
    <t>941</t>
  </si>
  <si>
    <t>P Profile-941  Altoona</t>
  </si>
  <si>
    <t>943</t>
  </si>
  <si>
    <t>P Profile-943 Port Orange</t>
  </si>
  <si>
    <t>944</t>
  </si>
  <si>
    <t>P Profile-944  Pittston</t>
  </si>
  <si>
    <t>946</t>
  </si>
  <si>
    <t>P Profile-946  Bedford</t>
  </si>
  <si>
    <t>947</t>
  </si>
  <si>
    <t>P Profile-947 Cleveland</t>
  </si>
  <si>
    <t>948</t>
  </si>
  <si>
    <t>P Profile-948 Sanford</t>
  </si>
  <si>
    <t>949</t>
  </si>
  <si>
    <t>P Profile-949 Lithia Springs</t>
  </si>
  <si>
    <t>953</t>
  </si>
  <si>
    <t>P Profile-953 Slidell</t>
  </si>
  <si>
    <t>955</t>
  </si>
  <si>
    <t>P Profile-955 Hendersonville</t>
  </si>
  <si>
    <t>957</t>
  </si>
  <si>
    <t>P Profile-957 Rocky Mount</t>
  </si>
  <si>
    <t>959</t>
  </si>
  <si>
    <t>P Profile-959 Indianapolis</t>
  </si>
  <si>
    <t>961</t>
  </si>
  <si>
    <t>P Profile-961 Orlando</t>
  </si>
  <si>
    <t>962</t>
  </si>
  <si>
    <t>P Profile-962 Palmview</t>
  </si>
  <si>
    <t>Name</t>
  </si>
  <si>
    <t>Active KED Center</t>
  </si>
  <si>
    <t>Business Name</t>
  </si>
  <si>
    <t>Marketing/Speciality</t>
  </si>
  <si>
    <t>Sort Order</t>
  </si>
  <si>
    <t>Collection Type</t>
  </si>
  <si>
    <t>Payment Standard</t>
  </si>
  <si>
    <t>Payment 2x bonus</t>
  </si>
  <si>
    <t>Cindy Names</t>
  </si>
  <si>
    <t>CP942</t>
  </si>
  <si>
    <t>Allentown</t>
  </si>
  <si>
    <t>N</t>
  </si>
  <si>
    <t>Marketing</t>
  </si>
  <si>
    <t>HBS (Twinrix) 2x</t>
  </si>
  <si>
    <t>Y</t>
  </si>
  <si>
    <t>2X Week</t>
  </si>
  <si>
    <t>PNSPEUNS-AP</t>
  </si>
  <si>
    <t>HBS (Twinrix)</t>
  </si>
  <si>
    <t>RETURN - 2nd don of the week -BONUS-ALL</t>
  </si>
  <si>
    <t>2X Week NSP NS</t>
  </si>
  <si>
    <t>7X Month</t>
  </si>
  <si>
    <t>8X Month P NSP NS</t>
  </si>
  <si>
    <t>CP940</t>
  </si>
  <si>
    <t>Decatur</t>
  </si>
  <si>
    <t>1st Donation of Week - P CMV</t>
  </si>
  <si>
    <t>Specialty</t>
  </si>
  <si>
    <t>PCOVID19</t>
  </si>
  <si>
    <t>PNSPNEU</t>
  </si>
  <si>
    <t>P NSP NONEU Standard</t>
  </si>
  <si>
    <t>2X Week P NSP Non EU</t>
  </si>
  <si>
    <t>PTET-AP</t>
  </si>
  <si>
    <t>8X Month HBS</t>
  </si>
  <si>
    <t>8X Month HBS TwinRix</t>
  </si>
  <si>
    <t>8X Month HBS TwinRix AP</t>
  </si>
  <si>
    <t>8X Month P Anti-D</t>
  </si>
  <si>
    <t>8X Month P Tetanus</t>
  </si>
  <si>
    <t>8X Month P Tetanus Pre-Existing</t>
  </si>
  <si>
    <t>8X Month Vaccinia</t>
  </si>
  <si>
    <t>8X Month Vaccinia AP</t>
  </si>
  <si>
    <t>CP867</t>
  </si>
  <si>
    <t>Longview</t>
  </si>
  <si>
    <t>8X Month VZV</t>
  </si>
  <si>
    <t>8X Month VZV AP</t>
  </si>
  <si>
    <t>8X Month VZV Pre-Existing</t>
  </si>
  <si>
    <t>CP871</t>
  </si>
  <si>
    <t>Meridian</t>
  </si>
  <si>
    <t>Employee Donor</t>
  </si>
  <si>
    <t>Fireman ID</t>
  </si>
  <si>
    <t>CP153</t>
  </si>
  <si>
    <t>Myrtle Beach</t>
  </si>
  <si>
    <t>n</t>
  </si>
  <si>
    <t>CP892</t>
  </si>
  <si>
    <t>Odessa</t>
  </si>
  <si>
    <t>P Anthrax 1st Donation</t>
  </si>
  <si>
    <t>Police ID</t>
  </si>
  <si>
    <t>&lt;149 Standard</t>
  </si>
  <si>
    <t>&gt;175 Standard</t>
  </si>
  <si>
    <t>CP155</t>
  </si>
  <si>
    <t>Sarasota</t>
  </si>
  <si>
    <t>150-174 Standard</t>
  </si>
  <si>
    <t>CP886</t>
  </si>
  <si>
    <t>Westmoreland</t>
  </si>
  <si>
    <t>Pre-VIP Standard</t>
  </si>
  <si>
    <t>Vaccinia Standard</t>
  </si>
  <si>
    <t>VZV Standard</t>
  </si>
  <si>
    <t>Been a While Text $30</t>
  </si>
  <si>
    <t>Been a While Text $50</t>
  </si>
  <si>
    <t>Been a while Text $10</t>
  </si>
  <si>
    <t>Been a while Text $25</t>
  </si>
  <si>
    <t>Been a while Text $5</t>
  </si>
  <si>
    <t>Been a while text $20</t>
  </si>
  <si>
    <t>?</t>
  </si>
  <si>
    <t>NSP_ LAPSEDONOR_20_Once</t>
  </si>
  <si>
    <t>NSP_ LAPSEDONOR_15_Twice</t>
  </si>
  <si>
    <t>NSP_ LAPSEDONOR_20_Twice</t>
  </si>
  <si>
    <t>CATALINA_20</t>
  </si>
  <si>
    <t>SCRATCH_1000</t>
  </si>
  <si>
    <t>SCRATCH_5_to_100</t>
  </si>
  <si>
    <t xml:space="preserve">How to make sure each configured collection type has an associated payment rule </t>
  </si>
  <si>
    <t>example  - Center collections "PL" ensure the center</t>
  </si>
  <si>
    <t>---Programs and test</t>
  </si>
  <si>
    <t>select substr(pp.code,3,3) as site, pp.code, pp.name, yield_mode_ind, pp.biometric_constype_id</t>
  </si>
  <si>
    <t xml:space="preserve">       ,ppa.default_coll_type, ppa.seq</t>
  </si>
  <si>
    <t xml:space="preserve">       ,pc.code ProgramCode_code</t>
  </si>
  <si>
    <t xml:space="preserve">       ,pc.Name ProgramCode_Name</t>
  </si>
  <si>
    <t>from DNR$PROGRAM_PROFILES pp</t>
  </si>
  <si>
    <t>join DNR$PROGPROF_ASSOC_PROGRAMS ppa on ppa.progprof_ID = pp.ID</t>
  </si>
  <si>
    <t>join DNR$PROGRAM_CODES pc on pc.id = ppa.PROGRAM_ID and pc.is_enabled = 1</t>
  </si>
  <si>
    <t>join SVC$SITES s on s.code = substr(pp.code,3,3)</t>
  </si>
  <si>
    <t>where  s.company_ID = '-1'</t>
  </si>
  <si>
    <t xml:space="preserve">   and pp.is_enabled = 1</t>
  </si>
  <si>
    <t xml:space="preserve">   and pc.Name ='Normal Source'</t>
  </si>
  <si>
    <t xml:space="preserve">order by pp.code, pc.Name  </t>
  </si>
  <si>
    <t>Michael P's Email</t>
  </si>
  <si>
    <t>Amarillo,</t>
  </si>
  <si>
    <t>Bedford,</t>
  </si>
  <si>
    <t>Bowling Green,</t>
  </si>
  <si>
    <t xml:space="preserve">Copperas Cove, </t>
  </si>
  <si>
    <t>El Paso – Stanton,</t>
  </si>
  <si>
    <t>Gainesville,</t>
  </si>
  <si>
    <t xml:space="preserve">Hendersonville, </t>
  </si>
  <si>
    <t>Pharr,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</si>
</sst>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_);[Red]\(&quot;$&quot;#,##0.0\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/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auto="1"/>
      </left>
      <right style="thin">
        <color theme="0" tint="-0.24994659260841701"/>
      </right>
      <top style="medium">
        <color indexed="64"/>
      </top>
      <bottom style="thin">
        <color theme="0" tint="-0.24994659260841701"/>
      </bottom>
      <diagonal/>
    </border>
    <border>
      <left/>
      <right style="thin">
        <color auto="1"/>
      </right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 style="thin">
        <color auto="1"/>
      </right>
      <top style="thin">
        <color theme="0" tint="-0.24994659260841701"/>
      </top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/>
      <bottom/>
      <diagonal/>
    </border>
    <border>
      <left style="medium">
        <color indexed="64"/>
      </left>
      <right style="thin">
        <color theme="0" tint="-0.24994659260841701"/>
      </right>
      <top/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/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medium">
        <color indexed="64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9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44" fontId="0" fillId="0" borderId="0" xfId="1" applyFont="1"/>
    <xf numFmtId="0" fontId="0" fillId="0" borderId="7" xfId="0" applyBorder="1"/>
    <xf numFmtId="0" fontId="0" fillId="0" borderId="6" xfId="0" applyBorder="1"/>
    <xf numFmtId="0" fontId="0" fillId="0" borderId="0" xfId="0" quotePrefix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7" borderId="0" xfId="0" applyFill="1"/>
    <xf numFmtId="0" fontId="0" fillId="0" borderId="16" xfId="0" applyBorder="1"/>
    <xf numFmtId="0" fontId="0" fillId="8" borderId="16" xfId="0" applyFill="1" applyBorder="1"/>
    <xf numFmtId="0" fontId="3" fillId="7" borderId="0" xfId="0" applyFont="1" applyFill="1" applyAlignment="1">
      <alignment vertical="center"/>
    </xf>
    <xf numFmtId="0" fontId="4" fillId="7" borderId="0" xfId="0" applyFont="1" applyFill="1"/>
    <xf numFmtId="6" fontId="4" fillId="7" borderId="0" xfId="0" applyNumberFormat="1" applyFont="1" applyFill="1" applyAlignment="1">
      <alignment horizontal="left"/>
    </xf>
    <xf numFmtId="6" fontId="2" fillId="7" borderId="0" xfId="0" applyNumberFormat="1" applyFont="1" applyFill="1" applyAlignment="1">
      <alignment horizontal="left"/>
    </xf>
    <xf numFmtId="164" fontId="2" fillId="7" borderId="0" xfId="0" applyNumberFormat="1" applyFont="1" applyFill="1" applyAlignment="1">
      <alignment horizontal="left"/>
    </xf>
    <xf numFmtId="164" fontId="4" fillId="7" borderId="0" xfId="0" applyNumberFormat="1" applyFont="1" applyFill="1" applyAlignment="1">
      <alignment horizontal="left"/>
    </xf>
    <xf numFmtId="6" fontId="4" fillId="7" borderId="0" xfId="0" applyNumberFormat="1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3" borderId="18" xfId="0" applyFill="1" applyBorder="1"/>
    <xf numFmtId="0" fontId="0" fillId="5" borderId="5" xfId="0" applyFill="1" applyBorder="1"/>
    <xf numFmtId="0" fontId="0" fillId="5" borderId="0" xfId="0" applyFill="1"/>
    <xf numFmtId="0" fontId="0" fillId="5" borderId="32" xfId="0" applyFill="1" applyBorder="1"/>
    <xf numFmtId="0" fontId="0" fillId="4" borderId="0" xfId="0" applyFill="1"/>
    <xf numFmtId="0" fontId="0" fillId="6" borderId="33" xfId="0" applyFill="1" applyBorder="1"/>
    <xf numFmtId="0" fontId="0" fillId="6" borderId="0" xfId="0" applyFill="1"/>
    <xf numFmtId="0" fontId="0" fillId="6" borderId="17" xfId="0" applyFill="1" applyBorder="1"/>
    <xf numFmtId="0" fontId="4" fillId="3" borderId="34" xfId="0" applyFont="1" applyFill="1" applyBorder="1"/>
    <xf numFmtId="0" fontId="2" fillId="3" borderId="34" xfId="0" applyFont="1" applyFill="1" applyBorder="1"/>
    <xf numFmtId="0" fontId="9" fillId="3" borderId="34" xfId="0" applyFont="1" applyFill="1" applyBorder="1"/>
    <xf numFmtId="0" fontId="4" fillId="0" borderId="35" xfId="0" applyFont="1" applyBorder="1"/>
    <xf numFmtId="0" fontId="2" fillId="0" borderId="35" xfId="0" applyFont="1" applyBorder="1"/>
    <xf numFmtId="0" fontId="9" fillId="0" borderId="35" xfId="0" applyFont="1" applyBorder="1"/>
    <xf numFmtId="0" fontId="4" fillId="3" borderId="35" xfId="0" applyFont="1" applyFill="1" applyBorder="1"/>
    <xf numFmtId="0" fontId="2" fillId="3" borderId="35" xfId="0" applyFont="1" applyFill="1" applyBorder="1"/>
    <xf numFmtId="0" fontId="9" fillId="3" borderId="35" xfId="0" applyFont="1" applyFill="1" applyBorder="1"/>
    <xf numFmtId="6" fontId="4" fillId="0" borderId="36" xfId="0" applyNumberFormat="1" applyFont="1" applyBorder="1" applyAlignment="1">
      <alignment horizontal="left"/>
    </xf>
    <xf numFmtId="6" fontId="2" fillId="0" borderId="36" xfId="0" applyNumberFormat="1" applyFont="1" applyBorder="1" applyAlignment="1">
      <alignment horizontal="left"/>
    </xf>
    <xf numFmtId="6" fontId="9" fillId="0" borderId="36" xfId="0" applyNumberFormat="1" applyFont="1" applyBorder="1" applyAlignment="1">
      <alignment horizontal="left"/>
    </xf>
    <xf numFmtId="6" fontId="4" fillId="0" borderId="37" xfId="0" applyNumberFormat="1" applyFont="1" applyBorder="1" applyAlignment="1">
      <alignment horizontal="left"/>
    </xf>
    <xf numFmtId="6" fontId="2" fillId="0" borderId="37" xfId="0" applyNumberFormat="1" applyFont="1" applyBorder="1" applyAlignment="1">
      <alignment horizontal="left"/>
    </xf>
    <xf numFmtId="6" fontId="4" fillId="0" borderId="35" xfId="0" applyNumberFormat="1" applyFont="1" applyBorder="1" applyAlignment="1">
      <alignment horizontal="left"/>
    </xf>
    <xf numFmtId="6" fontId="2" fillId="0" borderId="35" xfId="0" applyNumberFormat="1" applyFont="1" applyBorder="1" applyAlignment="1">
      <alignment horizontal="left"/>
    </xf>
    <xf numFmtId="6" fontId="4" fillId="0" borderId="4" xfId="0" applyNumberFormat="1" applyFont="1" applyBorder="1" applyAlignment="1">
      <alignment horizontal="left"/>
    </xf>
    <xf numFmtId="6" fontId="2" fillId="0" borderId="4" xfId="0" applyNumberFormat="1" applyFont="1" applyBorder="1" applyAlignment="1">
      <alignment horizontal="left"/>
    </xf>
    <xf numFmtId="6" fontId="4" fillId="0" borderId="2" xfId="0" applyNumberFormat="1" applyFont="1" applyBorder="1" applyAlignment="1">
      <alignment horizontal="left"/>
    </xf>
    <xf numFmtId="0" fontId="4" fillId="0" borderId="2" xfId="0" applyFont="1" applyBorder="1"/>
    <xf numFmtId="6" fontId="4" fillId="0" borderId="1" xfId="0" applyNumberFormat="1" applyFont="1" applyBorder="1" applyAlignment="1">
      <alignment horizontal="left"/>
    </xf>
    <xf numFmtId="6" fontId="2" fillId="0" borderId="1" xfId="0" applyNumberFormat="1" applyFont="1" applyBorder="1" applyAlignment="1">
      <alignment horizontal="left"/>
    </xf>
    <xf numFmtId="6" fontId="2" fillId="0" borderId="2" xfId="0" applyNumberFormat="1" applyFont="1" applyBorder="1" applyAlignment="1">
      <alignment horizontal="left"/>
    </xf>
    <xf numFmtId="6" fontId="4" fillId="0" borderId="38" xfId="0" applyNumberFormat="1" applyFont="1" applyBorder="1" applyAlignment="1">
      <alignment horizontal="left"/>
    </xf>
    <xf numFmtId="6" fontId="2" fillId="0" borderId="38" xfId="0" applyNumberFormat="1" applyFont="1" applyBorder="1" applyAlignment="1">
      <alignment horizontal="left"/>
    </xf>
    <xf numFmtId="6" fontId="4" fillId="0" borderId="39" xfId="0" applyNumberFormat="1" applyFont="1" applyBorder="1" applyAlignment="1">
      <alignment horizontal="left"/>
    </xf>
    <xf numFmtId="0" fontId="0" fillId="0" borderId="2" xfId="0" applyBorder="1"/>
    <xf numFmtId="0" fontId="3" fillId="0" borderId="1" xfId="0" applyFont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164" fontId="4" fillId="0" borderId="1" xfId="0" applyNumberFormat="1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164" fontId="4" fillId="0" borderId="2" xfId="0" applyNumberFormat="1" applyFont="1" applyBorder="1" applyAlignment="1">
      <alignment horizontal="left"/>
    </xf>
    <xf numFmtId="164" fontId="2" fillId="0" borderId="2" xfId="0" applyNumberFormat="1" applyFont="1" applyBorder="1" applyAlignment="1">
      <alignment horizontal="left"/>
    </xf>
    <xf numFmtId="164" fontId="4" fillId="0" borderId="38" xfId="0" applyNumberFormat="1" applyFont="1" applyBorder="1" applyAlignment="1">
      <alignment horizontal="left"/>
    </xf>
    <xf numFmtId="164" fontId="2" fillId="0" borderId="38" xfId="0" applyNumberFormat="1" applyFont="1" applyBorder="1" applyAlignment="1">
      <alignment horizontal="left"/>
    </xf>
    <xf numFmtId="0" fontId="0" fillId="3" borderId="43" xfId="0" applyFill="1" applyBorder="1"/>
    <xf numFmtId="0" fontId="0" fillId="0" borderId="44" xfId="0" applyBorder="1"/>
    <xf numFmtId="0" fontId="0" fillId="3" borderId="44" xfId="0" applyFill="1" applyBorder="1"/>
    <xf numFmtId="0" fontId="0" fillId="0" borderId="45" xfId="0" applyBorder="1"/>
    <xf numFmtId="0" fontId="0" fillId="5" borderId="42" xfId="0" applyFill="1" applyBorder="1"/>
    <xf numFmtId="0" fontId="0" fillId="5" borderId="44" xfId="0" applyFill="1" applyBorder="1"/>
    <xf numFmtId="0" fontId="0" fillId="4" borderId="44" xfId="0" applyFill="1" applyBorder="1"/>
    <xf numFmtId="0" fontId="0" fillId="6" borderId="44" xfId="0" applyFill="1" applyBorder="1"/>
    <xf numFmtId="0" fontId="3" fillId="0" borderId="7" xfId="0" applyFont="1" applyBorder="1" applyAlignment="1">
      <alignment horizontal="center" vertical="center"/>
    </xf>
    <xf numFmtId="0" fontId="5" fillId="12" borderId="0" xfId="0" applyFont="1" applyFill="1"/>
    <xf numFmtId="0" fontId="6" fillId="12" borderId="19" xfId="0" applyFont="1" applyFill="1" applyBorder="1"/>
    <xf numFmtId="0" fontId="6" fillId="12" borderId="40" xfId="0" applyFont="1" applyFill="1" applyBorder="1"/>
    <xf numFmtId="0" fontId="0" fillId="12" borderId="46" xfId="0" applyFill="1" applyBorder="1"/>
    <xf numFmtId="0" fontId="4" fillId="12" borderId="41" xfId="0" applyFont="1" applyFill="1" applyBorder="1"/>
    <xf numFmtId="0" fontId="0" fillId="12" borderId="0" xfId="0" applyFill="1"/>
    <xf numFmtId="0" fontId="0" fillId="3" borderId="52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 wrapText="1"/>
    </xf>
    <xf numFmtId="0" fontId="0" fillId="3" borderId="52" xfId="0" applyFill="1" applyBorder="1" applyAlignment="1">
      <alignment horizontal="center" vertical="center" wrapText="1"/>
    </xf>
    <xf numFmtId="0" fontId="0" fillId="3" borderId="52" xfId="0" applyFill="1" applyBorder="1"/>
    <xf numFmtId="0" fontId="6" fillId="12" borderId="53" xfId="0" applyFont="1" applyFill="1" applyBorder="1"/>
    <xf numFmtId="0" fontId="0" fillId="0" borderId="53" xfId="0" applyBorder="1"/>
    <xf numFmtId="0" fontId="0" fillId="3" borderId="48" xfId="0" applyFill="1" applyBorder="1" applyAlignment="1">
      <alignment horizontal="center" vertical="center"/>
    </xf>
    <xf numFmtId="0" fontId="0" fillId="3" borderId="48" xfId="0" applyFill="1" applyBorder="1" applyAlignment="1">
      <alignment horizontal="center" vertical="center" wrapText="1"/>
    </xf>
    <xf numFmtId="0" fontId="0" fillId="3" borderId="48" xfId="0" applyFill="1" applyBorder="1"/>
    <xf numFmtId="0" fontId="3" fillId="3" borderId="54" xfId="0" applyFont="1" applyFill="1" applyBorder="1" applyAlignment="1">
      <alignment horizontal="center" vertical="center"/>
    </xf>
    <xf numFmtId="0" fontId="3" fillId="3" borderId="55" xfId="0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 wrapText="1"/>
    </xf>
    <xf numFmtId="0" fontId="0" fillId="3" borderId="57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2" fillId="7" borderId="9" xfId="0" applyFont="1" applyFill="1" applyBorder="1"/>
    <xf numFmtId="0" fontId="0" fillId="3" borderId="59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6" fontId="4" fillId="7" borderId="14" xfId="0" applyNumberFormat="1" applyFont="1" applyFill="1" applyBorder="1" applyAlignment="1">
      <alignment horizontal="left"/>
    </xf>
    <xf numFmtId="44" fontId="0" fillId="0" borderId="0" xfId="1" applyFont="1" applyFill="1" applyBorder="1"/>
    <xf numFmtId="0" fontId="8" fillId="0" borderId="0" xfId="0" applyFont="1" applyAlignment="1">
      <alignment vertical="center" wrapText="1"/>
    </xf>
    <xf numFmtId="44" fontId="0" fillId="0" borderId="0" xfId="1" applyFont="1" applyFill="1" applyBorder="1" applyAlignment="1">
      <alignment horizontal="left"/>
    </xf>
    <xf numFmtId="0" fontId="4" fillId="0" borderId="0" xfId="0" applyFont="1"/>
    <xf numFmtId="6" fontId="0" fillId="0" borderId="0" xfId="0" applyNumberFormat="1"/>
    <xf numFmtId="0" fontId="10" fillId="13" borderId="64" xfId="0" applyFont="1" applyFill="1" applyBorder="1"/>
    <xf numFmtId="0" fontId="10" fillId="0" borderId="65" xfId="0" applyFont="1" applyBorder="1"/>
    <xf numFmtId="0" fontId="10" fillId="13" borderId="65" xfId="0" applyFont="1" applyFill="1" applyBorder="1"/>
    <xf numFmtId="0" fontId="10" fillId="0" borderId="66" xfId="0" applyFont="1" applyBorder="1"/>
    <xf numFmtId="0" fontId="2" fillId="3" borderId="67" xfId="0" applyFont="1" applyFill="1" applyBorder="1"/>
    <xf numFmtId="0" fontId="2" fillId="0" borderId="68" xfId="0" applyFont="1" applyBorder="1"/>
    <xf numFmtId="0" fontId="10" fillId="13" borderId="69" xfId="0" applyFont="1" applyFill="1" applyBorder="1"/>
    <xf numFmtId="0" fontId="10" fillId="0" borderId="70" xfId="0" applyFont="1" applyBorder="1"/>
    <xf numFmtId="0" fontId="2" fillId="3" borderId="71" xfId="0" applyFont="1" applyFill="1" applyBorder="1"/>
    <xf numFmtId="0" fontId="2" fillId="0" borderId="72" xfId="0" applyFont="1" applyBorder="1"/>
    <xf numFmtId="0" fontId="2" fillId="3" borderId="72" xfId="0" applyFont="1" applyFill="1" applyBorder="1"/>
    <xf numFmtId="6" fontId="2" fillId="0" borderId="73" xfId="0" applyNumberFormat="1" applyFont="1" applyBorder="1" applyAlignment="1">
      <alignment horizontal="left"/>
    </xf>
    <xf numFmtId="6" fontId="9" fillId="0" borderId="2" xfId="0" applyNumberFormat="1" applyFont="1" applyBorder="1" applyAlignment="1">
      <alignment horizontal="left"/>
    </xf>
    <xf numFmtId="6" fontId="4" fillId="0" borderId="14" xfId="0" applyNumberFormat="1" applyFont="1" applyBorder="1" applyAlignment="1">
      <alignment horizontal="left"/>
    </xf>
    <xf numFmtId="0" fontId="0" fillId="3" borderId="20" xfId="0" applyFill="1" applyBorder="1" applyAlignment="1">
      <alignment horizontal="center" vertical="center" wrapText="1"/>
    </xf>
    <xf numFmtId="0" fontId="0" fillId="0" borderId="20" xfId="0" applyBorder="1"/>
    <xf numFmtId="0" fontId="0" fillId="0" borderId="18" xfId="0" applyBorder="1"/>
    <xf numFmtId="0" fontId="5" fillId="0" borderId="19" xfId="0" applyFont="1" applyBorder="1"/>
    <xf numFmtId="0" fontId="11" fillId="13" borderId="65" xfId="0" applyFont="1" applyFill="1" applyBorder="1"/>
    <xf numFmtId="0" fontId="11" fillId="0" borderId="66" xfId="0" applyFont="1" applyBorder="1"/>
    <xf numFmtId="0" fontId="11" fillId="13" borderId="64" xfId="0" applyFont="1" applyFill="1" applyBorder="1"/>
    <xf numFmtId="0" fontId="11" fillId="0" borderId="65" xfId="0" applyFont="1" applyBorder="1"/>
    <xf numFmtId="0" fontId="4" fillId="3" borderId="67" xfId="0" applyFont="1" applyFill="1" applyBorder="1"/>
    <xf numFmtId="0" fontId="4" fillId="0" borderId="68" xfId="0" applyFont="1" applyBorder="1"/>
    <xf numFmtId="0" fontId="11" fillId="13" borderId="69" xfId="0" applyFont="1" applyFill="1" applyBorder="1"/>
    <xf numFmtId="0" fontId="11" fillId="0" borderId="70" xfId="0" applyFont="1" applyBorder="1"/>
    <xf numFmtId="6" fontId="4" fillId="3" borderId="35" xfId="0" applyNumberFormat="1" applyFont="1" applyFill="1" applyBorder="1"/>
    <xf numFmtId="0" fontId="3" fillId="0" borderId="0" xfId="0" applyFont="1"/>
    <xf numFmtId="0" fontId="2" fillId="0" borderId="0" xfId="0" applyFont="1"/>
    <xf numFmtId="44" fontId="0" fillId="0" borderId="74" xfId="1" applyFont="1" applyBorder="1"/>
    <xf numFmtId="0" fontId="2" fillId="4" borderId="0" xfId="0" applyFont="1" applyFill="1"/>
    <xf numFmtId="44" fontId="2" fillId="0" borderId="0" xfId="1" applyFont="1"/>
    <xf numFmtId="44" fontId="2" fillId="0" borderId="74" xfId="1" applyFont="1" applyBorder="1"/>
    <xf numFmtId="0" fontId="0" fillId="14" borderId="0" xfId="0" applyFill="1"/>
    <xf numFmtId="44" fontId="0" fillId="14" borderId="0" xfId="1" applyFont="1" applyFill="1"/>
    <xf numFmtId="44" fontId="0" fillId="14" borderId="74" xfId="1" applyFont="1" applyFill="1" applyBorder="1"/>
    <xf numFmtId="44" fontId="0" fillId="10" borderId="0" xfId="1" applyFont="1" applyFill="1"/>
    <xf numFmtId="0" fontId="5" fillId="11" borderId="0" xfId="0" applyFont="1" applyFill="1"/>
    <xf numFmtId="44" fontId="14" fillId="11" borderId="0" xfId="1" applyFont="1" applyFill="1" applyAlignment="1">
      <alignment horizontal="center"/>
    </xf>
    <xf numFmtId="44" fontId="5" fillId="11" borderId="0" xfId="1" applyFont="1" applyFill="1"/>
    <xf numFmtId="44" fontId="5" fillId="11" borderId="74" xfId="1" applyFont="1" applyFill="1" applyBorder="1"/>
    <xf numFmtId="0" fontId="12" fillId="0" borderId="0" xfId="0" applyFont="1"/>
    <xf numFmtId="44" fontId="13" fillId="0" borderId="0" xfId="1" applyFont="1" applyFill="1" applyAlignment="1">
      <alignment horizontal="center"/>
    </xf>
    <xf numFmtId="44" fontId="12" fillId="0" borderId="0" xfId="1" applyFont="1" applyFill="1"/>
    <xf numFmtId="44" fontId="12" fillId="0" borderId="74" xfId="1" applyFont="1" applyFill="1" applyBorder="1"/>
    <xf numFmtId="44" fontId="12" fillId="0" borderId="0" xfId="1" applyFont="1" applyFill="1" applyAlignment="1">
      <alignment vertical="center" wrapText="1"/>
    </xf>
    <xf numFmtId="0" fontId="0" fillId="0" borderId="2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53" xfId="0" applyFill="1" applyBorder="1" applyAlignment="1">
      <alignment horizontal="center" vertical="center" textRotation="90"/>
    </xf>
    <xf numFmtId="0" fontId="0" fillId="0" borderId="31" xfId="0" applyBorder="1" applyAlignment="1">
      <alignment horizontal="center" vertical="center" wrapText="1"/>
    </xf>
    <xf numFmtId="0" fontId="0" fillId="0" borderId="29" xfId="0" applyBorder="1" applyAlignment="1">
      <alignment horizontal="center" vertical="center" wrapText="1"/>
    </xf>
    <xf numFmtId="0" fontId="0" fillId="0" borderId="61" xfId="0" applyBorder="1" applyAlignment="1">
      <alignment horizontal="center" vertical="center" wrapText="1"/>
    </xf>
    <xf numFmtId="0" fontId="0" fillId="0" borderId="62" xfId="0" applyBorder="1" applyAlignment="1">
      <alignment horizontal="center" vertical="center" wrapText="1"/>
    </xf>
    <xf numFmtId="0" fontId="0" fillId="0" borderId="63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</cellXfs>
  <cellStyles count="2">
    <cellStyle name="Currency" xfId="1" builtinId="4"/>
    <cellStyle name="Normal" xfId="0" builtinId="0"/>
  </cellStyles>
  <dxfs count="24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Invisible" pivot="0" table="0" count="0" xr9:uid="{81A61D20-85BD-457A-BD61-BB185A900F1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Pieroni Michael" id="{54E33951-BAE1-4231-8AF4-6AE697DB380F}" userId="S::m.pieroni@kedrion.com::6a05a51b-57a6-43e6-95f9-14b6e2f4aecc" providerId="AD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6C8AC84-0C05-4217-B880-B7BD6FCA803C}" autoFormatId="16" applyNumberFormats="0" applyBorderFormats="0" applyFontFormats="0" applyPatternFormats="0" applyAlignmentFormats="0" applyWidthHeightFormats="0">
  <queryTableRefresh nextId="20" unboundColumnsRight="2">
    <queryTableFields count="12">
      <queryTableField id="11" name="PROFILECODE" tableColumnId="7"/>
      <queryTableField id="5" dataBound="0" tableColumnId="5"/>
      <queryTableField id="6" dataBound="0" tableColumnId="6"/>
      <queryTableField id="1" name="PROFILENAME" tableColumnId="1"/>
      <queryTableField id="8" dataBound="0" tableColumnId="8"/>
      <queryTableField id="9" dataBound="0" tableColumnId="9"/>
      <queryTableField id="2" name="RULENAME" tableColumnId="2"/>
      <queryTableField id="10" dataBound="0" tableColumnId="10"/>
      <queryTableField id="3" name="RULESET_TYPE_IND" tableColumnId="3"/>
      <queryTableField id="4" name="AMOUNT" tableColumnId="4"/>
      <queryTableField id="18" dataBound="0" tableColumnId="11"/>
      <queryTableField id="19" dataBound="0" tableColumnId="1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9AE88F1-BB65-4736-974D-B9EE9387C8D8}" autoFormatId="16" applyNumberFormats="0" applyBorderFormats="0" applyFontFormats="0" applyPatternFormats="0" applyAlignmentFormats="0" applyWidthHeightFormats="0">
  <queryTableRefresh nextId="10" unboundColumnsRight="5">
    <queryTableFields count="9">
      <queryTableField id="1" name="SITE" tableColumnId="1"/>
      <queryTableField id="2" name="CPSITE" tableColumnId="2"/>
      <queryTableField id="3" name="NAME" tableColumnId="3"/>
      <queryTableField id="4" name="DEFAULT_COLL_TYPE" tableColumnId="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EB4FA74-531D-48B7-82EA-9976227F70F1}" name="Table_DataFromNL" displayName="Table_DataFromNL" ref="B1:M3245" tableType="queryTable" totalsRowShown="0">
  <autoFilter ref="B1:M3245" xr:uid="{BEB4FA74-531D-48B7-82EA-9976227F70F1}"/>
  <sortState xmlns:xlrd2="http://schemas.microsoft.com/office/spreadsheetml/2017/richdata2" ref="B2:M3245">
    <sortCondition ref="C1:C3245"/>
  </sortState>
  <tableColumns count="12">
    <tableColumn id="7" xr3:uid="{ADC60AF4-AF93-4705-9A35-F395A0ABB608}" uniqueName="7" name="PROFILECODE" queryTableFieldId="11" dataDxfId="20"/>
    <tableColumn id="5" xr3:uid="{554B9FBE-C2E2-4529-88E7-B972E6FCB2E3}" uniqueName="5" name="Center Name (calculated)" queryTableFieldId="5" dataDxfId="19">
      <calculatedColumnFormula>VLOOKUP(B2,CenterLU,2,FALSE)</calculatedColumnFormula>
    </tableColumn>
    <tableColumn id="6" xr3:uid="{0F96812B-106B-4A6E-8F0A-7BE5406B8AFE}" uniqueName="6" name="Active Center (calculated)" queryTableFieldId="6" dataDxfId="18">
      <calculatedColumnFormula>VLOOKUP(B2,CenterLU,3,FALSE)</calculatedColumnFormula>
    </tableColumn>
    <tableColumn id="1" xr3:uid="{A525DD4D-944C-48E5-B53B-D147159E2B9C}" uniqueName="1" name="PROFILENAME" queryTableFieldId="1" dataDxfId="17"/>
    <tableColumn id="8" xr3:uid="{99F6662D-28D9-46E8-8CDC-5277717DFDB9}" uniqueName="8" name="Name (calculated)" queryTableFieldId="8" dataDxfId="16">
      <calculatedColumnFormula>IF(VLOOKUP(H2,RULENAMELU,3,FALSE)=0,H2,VLOOKUP(H2,RULENAMELU,3,FALSE))</calculatedColumnFormula>
    </tableColumn>
    <tableColumn id="9" xr3:uid="{FCDE8B71-E5CB-4039-8FB2-DEF1BFB4D394}" uniqueName="9" name="Marketing/Spciality (Calculated)" queryTableFieldId="9" dataDxfId="15">
      <calculatedColumnFormula>VLOOKUP(H2,RULENAMELU,4,FALSE)</calculatedColumnFormula>
    </tableColumn>
    <tableColumn id="2" xr3:uid="{91B10C5B-3B8C-4992-B1CC-8D2901ED5090}" uniqueName="2" name="RULENAME" queryTableFieldId="2" dataDxfId="14"/>
    <tableColumn id="10" xr3:uid="{B52CC0E2-13BE-4E59-BBCB-9C22BCB55F75}" uniqueName="10" name="Sort Order (Calculated)" queryTableFieldId="10" dataDxfId="13">
      <calculatedColumnFormula>VLOOKUP(H2,RULENAMELU,5,FALSE)</calculatedColumnFormula>
    </tableColumn>
    <tableColumn id="3" xr3:uid="{6A15D51D-2D86-41D3-9744-098690CD8D3B}" uniqueName="3" name="RULESET_TYPE_IND" queryTableFieldId="3" dataDxfId="12"/>
    <tableColumn id="4" xr3:uid="{79CA1024-E7FF-43CC-8BDE-47FBE1C431F5}" uniqueName="4" name="AMOUNT" queryTableFieldId="4" dataDxfId="11" dataCellStyle="Currency"/>
    <tableColumn id="11" xr3:uid="{A314F9BB-96F4-495C-9C78-4268246F0CC0}" uniqueName="11" name="Column1" queryTableFieldId="18" dataDxfId="10">
      <calculatedColumnFormula>Table_DataFromNL[[#This Row],[PROFILECODE]]&amp;"-"&amp;Table_DataFromNL[[#This Row],[RULENAME]]</calculatedColumnFormula>
    </tableColumn>
    <tableColumn id="12" xr3:uid="{283E06E3-CC90-4ABE-81A6-E2A792FF4D9B}" uniqueName="12" name="Are all items account for in Payment Changes tab?" queryTableFieldId="19" dataDxfId="9">
      <calculatedColumnFormula>IFERROR(VLOOKUP(A2,PaychangesLU,1,FALSE),VLOOKUP(A2,SpecialtyCheckLU,1,FALSE))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B76062-8E28-413D-9033-C93469937B4C}" name="DefaultCollections" displayName="DefaultCollections" ref="A1:I380" tableType="queryTable" totalsRowShown="0">
  <autoFilter ref="A1:I380" xr:uid="{88B76062-8E28-413D-9033-C93469937B4C}"/>
  <sortState xmlns:xlrd2="http://schemas.microsoft.com/office/spreadsheetml/2017/richdata2" ref="A2:I380">
    <sortCondition ref="C1:C380"/>
  </sortState>
  <tableColumns count="9">
    <tableColumn id="1" xr3:uid="{FD76327F-FFB0-49D6-8DB0-A20B90537523}" uniqueName="1" name="SITE" queryTableFieldId="1" dataDxfId="8"/>
    <tableColumn id="2" xr3:uid="{A46BA529-325F-46C6-9DCE-C6B20F95C2E3}" uniqueName="2" name="CPSITE" queryTableFieldId="2" dataDxfId="7"/>
    <tableColumn id="3" xr3:uid="{B34F2B7E-6327-425D-96E6-0F55EEAA60E4}" uniqueName="3" name="NAME" queryTableFieldId="3" dataDxfId="6"/>
    <tableColumn id="4" xr3:uid="{BC50C423-A626-4B2A-B1D3-A152C5CF9450}" uniqueName="4" name="DEFAULT_COLL_TYPE" queryTableFieldId="4" dataDxfId="5"/>
    <tableColumn id="5" xr3:uid="{7B1BF27F-5634-4FEF-BB80-E7790C37309F}" uniqueName="5" name="Standard (CALCULATED)" queryTableFieldId="5" dataDxfId="4">
      <calculatedColumnFormula>VLOOKUP(DefaultCollections[[#This Row],[DEFAULT_COLL_TYPE]],CollectionLookups,2,FALSE)</calculatedColumnFormula>
    </tableColumn>
    <tableColumn id="6" xr3:uid="{2220F1DD-8E59-44A6-9C47-4EED2F3B0968}" uniqueName="6" name="Standard Exists in NL" queryTableFieldId="6" dataDxfId="3">
      <calculatedColumnFormula>IFERROR(VLOOKUP(B2&amp;"-"&amp;E2,NLCollectionsLookup,1,FALSE),"NO")</calculatedColumnFormula>
    </tableColumn>
    <tableColumn id="7" xr3:uid="{55A7A7B3-CD7E-41C7-AD48-41528FC1F3B6}" uniqueName="7" name="2x Bonus (collection lookup)" queryTableFieldId="7" dataDxfId="2">
      <calculatedColumnFormula>VLOOKUP(DefaultCollections[[#This Row],[DEFAULT_COLL_TYPE]],CollectionLookups,3,FALSE)</calculatedColumnFormula>
    </tableColumn>
    <tableColumn id="8" xr3:uid="{9DF5008D-8F08-4326-BED6-9C1DCBC39964}" uniqueName="8" name="2x Bonus in NL" queryTableFieldId="8" dataDxfId="1">
      <calculatedColumnFormula>IFERROR(VLOOKUP(B2&amp;"-"&amp;G2,NLCollectionsLookup,1,FALSE),"NO")</calculatedColumnFormula>
    </tableColumn>
    <tableColumn id="9" xr3:uid="{AD347641-4803-4A71-860B-B796C6106829}" uniqueName="9" name="Notes" queryTableFieldId="9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2" dT="2023-07-05T20:32:57.20" personId="{54E33951-BAE1-4231-8AF4-6AE697DB380F}" id="{D8901834-6E2C-4D52-8DF7-EA8670DF6F0F}">
    <text xml:space="preserve">Can be move to Steady state for BDG24 </text>
  </threadedComment>
  <threadedComment ref="B322" dT="2023-07-05T21:49:59.91" personId="{54E33951-BAE1-4231-8AF4-6AE697DB380F}" id="{653F5510-E6E8-4FCD-BFFA-F3FF1B7920B5}">
    <text>College community</text>
  </threadedComment>
  <threadedComment ref="B382" dT="2023-07-05T22:00:06.16" personId="{54E33951-BAE1-4231-8AF4-6AE697DB380F}" id="{5B6FFA91-E26F-4A0D-9BBE-634F8E21D573}">
    <text>College area</text>
  </threadedComment>
  <threadedComment ref="B402" dT="2023-07-05T22:00:17.54" personId="{54E33951-BAE1-4231-8AF4-6AE697DB380F}" id="{D05DC81A-97D2-4A17-8101-180A52F43896}">
    <text>Military base close</text>
  </threadedComment>
  <threadedComment ref="B442" dT="2023-07-05T22:14:06.06" personId="{54E33951-BAE1-4231-8AF4-6AE697DB380F}" id="{6AAA34D4-E230-4029-AF7A-64671AA69693}">
    <text xml:space="preserve">University of Easter carolina
</text>
  </threadedComment>
  <threadedComment ref="H462" dT="2023-07-05T14:24:07.35" personId="{54E33951-BAE1-4231-8AF4-6AE697DB380F}" id="{300CF75A-9FA2-4B6F-91D7-73A707BFE5DA}">
    <text xml:space="preserve">Vitalant - blood donation at 2 miles
</text>
  </threadedComment>
  <threadedComment ref="B482" dT="2023-07-05T22:18:27.26" personId="{54E33951-BAE1-4231-8AF4-6AE697DB380F}" id="{F49E09ED-18CB-4C7E-BC2F-9F9B0AF7DEE6}">
    <text xml:space="preserve">Indian reservation
</text>
  </threadedComment>
  <threadedComment ref="C522" dT="2023-07-06T20:33:30.97" personId="{54E33951-BAE1-4231-8AF4-6AE697DB380F}" id="{B16F1071-1995-4873-8122-F39E37CDC107}">
    <text xml:space="preserve">Ca move to Steady stage for BDG '24 </text>
  </threadedComment>
  <threadedComment ref="B762" dT="2023-07-06T02:22:55.54" personId="{54E33951-BAE1-4231-8AF4-6AE697DB380F}" id="{FEE237B3-7EA3-40B9-9745-61148326124D}">
    <text>University Community</text>
  </threadedComment>
  <threadedComment ref="B822" dT="2023-07-06T02:25:39.54" personId="{54E33951-BAE1-4231-8AF4-6AE697DB380F}" id="{6819C450-A3D3-4D5B-A00B-275450FFEB68}">
    <text>College community</text>
  </threadedComment>
  <threadedComment ref="J844" dT="2023-07-06T02:34:55.04" personId="{54E33951-BAE1-4231-8AF4-6AE697DB380F}" id="{C53503E0-C6F2-44BA-B2CC-1C3CB716B429}">
    <text xml:space="preserve">Loyalty 55$ ?55$ ??
</text>
  </threadedComment>
  <threadedComment ref="K844" dT="2023-07-06T02:34:55.04" personId="{54E33951-BAE1-4231-8AF4-6AE697DB380F}" id="{8C39B5A1-682E-428B-8A60-A82894027B61}">
    <text xml:space="preserve">Loyalty 55$ ?55$ ??
</text>
  </threadedComment>
  <threadedComment ref="L844" dT="2023-07-06T02:34:55.04" personId="{54E33951-BAE1-4231-8AF4-6AE697DB380F}" id="{144A83DB-174F-40B2-B2AF-7837C3C9F367}">
    <text xml:space="preserve">Loyalty 55$ ?55$ ??
</text>
  </threadedComment>
  <threadedComment ref="M844" dT="2023-07-06T02:34:55.04" personId="{54E33951-BAE1-4231-8AF4-6AE697DB380F}" id="{2E5324D9-0D2A-412C-9FEE-DC868DF25566}">
    <text xml:space="preserve">Loyalty 55$ ?55$ ??
</text>
  </threadedComment>
  <threadedComment ref="N844" dT="2023-07-06T02:34:55.04" personId="{54E33951-BAE1-4231-8AF4-6AE697DB380F}" id="{2586C7C2-CD27-4E90-9DBD-6D79BC0D3203}">
    <text xml:space="preserve">Loyalty 55$ ?55$ ??
</text>
  </threadedComment>
  <threadedComment ref="O844" dT="2023-07-06T02:34:55.04" personId="{54E33951-BAE1-4231-8AF4-6AE697DB380F}" id="{E8EC7EE0-54E9-47B3-B939-9DEF890722F0}">
    <text xml:space="preserve">Loyalty 55$ ?55$ ??
</text>
  </threadedComment>
  <threadedComment ref="P844" dT="2023-07-06T02:34:55.04" personId="{54E33951-BAE1-4231-8AF4-6AE697DB380F}" id="{88747C30-80EC-4869-9ED1-0300FBA9FEEA}">
    <text xml:space="preserve">Loyalty 55$ ?55$ ??
</text>
  </threadedComment>
  <threadedComment ref="Q844" dT="2023-07-06T02:34:55.04" personId="{54E33951-BAE1-4231-8AF4-6AE697DB380F}" id="{EDC86A7D-3117-4D9F-8700-685180572143}">
    <text xml:space="preserve">Loyalty 55$ ?55$ ??
</text>
  </threadedComment>
  <threadedComment ref="B922" dT="2023-07-05T22:31:04.67" personId="{54E33951-BAE1-4231-8AF4-6AE697DB380F}" id="{AAFF5FFB-2C0A-42D7-9C3E-D181B6EE8775}">
    <text>College university</text>
  </threadedComment>
  <threadedComment ref="H982" dT="2023-07-06T03:05:42.70" personId="{54E33951-BAE1-4231-8AF4-6AE697DB380F}" id="{7333BC0F-FCD7-4A98-9E69-F4E1DC28B3A6}">
    <text xml:space="preserve">Blood center?
</text>
  </threadedComment>
  <threadedComment ref="H1182" dT="2023-07-06T23:03:34.94" personId="{54E33951-BAE1-4231-8AF4-6AE697DB380F}" id="{4DA94F38-CE29-4C6D-96AA-9CA1CC01B017}">
    <text xml:space="preserve">For 2024 move to Medium (rural area with very close competitors(
</text>
  </threadedComment>
  <threadedComment ref="B1382" dT="2023-07-06T23:43:19.60" personId="{54E33951-BAE1-4231-8AF4-6AE697DB380F}" id="{811AD8B7-49A6-4251-9C1E-148A4C6EC521}">
    <text>Populate (Alabama University)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28FF5-E65D-4104-9EC5-E99E4B6EB0C1}">
  <sheetPr codeName="Sheet1" filterMode="1"/>
  <dimension ref="A1:BB1445"/>
  <sheetViews>
    <sheetView topLeftCell="G1" zoomScale="90" zoomScaleNormal="90" workbookViewId="0">
      <pane ySplit="1" topLeftCell="A1202" activePane="bottomLeft" state="frozen"/>
      <selection activeCell="C1" sqref="C1"/>
      <selection pane="bottomLeft" activeCell="G1202" sqref="G1:Q1048576"/>
    </sheetView>
  </sheetViews>
  <sheetFormatPr defaultColWidth="9.140625" defaultRowHeight="15" outlineLevelRow="1" x14ac:dyDescent="0.25"/>
  <cols>
    <col min="1" max="1" width="11.42578125" customWidth="1"/>
    <col min="2" max="2" width="23.28515625" customWidth="1"/>
    <col min="3" max="3" width="14.42578125" customWidth="1"/>
    <col min="4" max="4" width="13" customWidth="1"/>
    <col min="5" max="5" width="23.28515625" style="95" bestFit="1" customWidth="1"/>
    <col min="6" max="6" width="11.28515625" style="32" customWidth="1"/>
    <col min="7" max="7" width="42.85546875" style="100" customWidth="1"/>
    <col min="8" max="8" width="22.7109375" style="97" customWidth="1"/>
    <col min="9" max="9" width="38.5703125" customWidth="1"/>
    <col min="10" max="10" width="18.85546875" style="66" customWidth="1"/>
    <col min="11" max="11" width="22.7109375" style="66" customWidth="1"/>
    <col min="12" max="12" width="21.5703125" style="59" customWidth="1"/>
    <col min="13" max="13" width="19" style="59" customWidth="1"/>
    <col min="14" max="14" width="20.5703125" style="59" customWidth="1"/>
    <col min="15" max="16" width="23.42578125" style="59" customWidth="1"/>
    <col min="17" max="17" width="45.85546875" style="59" bestFit="1" customWidth="1"/>
    <col min="18" max="18" width="6.7109375" style="17" customWidth="1"/>
    <col min="19" max="19" width="13" style="117" customWidth="1"/>
    <col min="20" max="20" width="14.85546875" style="114" customWidth="1"/>
    <col min="21" max="21" width="14.7109375" customWidth="1"/>
  </cols>
  <sheetData>
    <row r="1" spans="1:54" ht="45" x14ac:dyDescent="0.25">
      <c r="A1" s="1" t="s">
        <v>0</v>
      </c>
      <c r="B1" s="1" t="s">
        <v>1</v>
      </c>
      <c r="C1" s="1" t="s">
        <v>2</v>
      </c>
      <c r="D1" s="1" t="s">
        <v>3</v>
      </c>
      <c r="E1" s="101" t="s">
        <v>4</v>
      </c>
      <c r="F1" s="102" t="s">
        <v>4</v>
      </c>
      <c r="G1" s="103" t="s">
        <v>4</v>
      </c>
      <c r="H1" s="84" t="s">
        <v>5</v>
      </c>
      <c r="I1" s="2" t="s">
        <v>6</v>
      </c>
      <c r="J1" s="67" t="s">
        <v>7</v>
      </c>
      <c r="K1" s="68" t="s">
        <v>8</v>
      </c>
      <c r="L1" s="69" t="s">
        <v>9</v>
      </c>
      <c r="M1" s="69" t="s">
        <v>10</v>
      </c>
      <c r="N1" s="69" t="s">
        <v>11</v>
      </c>
      <c r="O1" s="69" t="s">
        <v>12</v>
      </c>
      <c r="P1" s="69" t="s">
        <v>13</v>
      </c>
      <c r="Q1" s="69" t="s">
        <v>14</v>
      </c>
      <c r="R1" s="20"/>
      <c r="S1" s="115" t="s">
        <v>15</v>
      </c>
      <c r="T1" s="116" t="s">
        <v>16</v>
      </c>
      <c r="U1" t="s">
        <v>17</v>
      </c>
    </row>
    <row r="2" spans="1:54" s="10" customFormat="1" ht="17.100000000000001" hidden="1" customHeight="1" x14ac:dyDescent="0.25">
      <c r="A2" s="165">
        <v>1</v>
      </c>
      <c r="B2" s="185" t="s">
        <v>18</v>
      </c>
      <c r="C2" s="171" t="s">
        <v>19</v>
      </c>
      <c r="D2" s="174" t="s">
        <v>20</v>
      </c>
      <c r="E2" s="106" t="str">
        <f>B2</f>
        <v>San Antonio</v>
      </c>
      <c r="F2" s="107" t="s">
        <v>21</v>
      </c>
      <c r="G2" s="108" t="str">
        <f t="shared" ref="G2:G20" si="0">F2&amp;"-"&amp;I2</f>
        <v>CP525-New Donor</v>
      </c>
      <c r="H2" s="177" t="s">
        <v>22</v>
      </c>
      <c r="I2" s="76" t="s">
        <v>23</v>
      </c>
      <c r="J2" s="40" t="s">
        <v>24</v>
      </c>
      <c r="K2" s="41" t="s">
        <v>25</v>
      </c>
      <c r="L2" s="41" t="s">
        <v>26</v>
      </c>
      <c r="M2" s="41" t="s">
        <v>27</v>
      </c>
      <c r="N2" s="40" t="s">
        <v>27</v>
      </c>
      <c r="O2" s="46" t="s">
        <v>27</v>
      </c>
      <c r="P2" s="46" t="s">
        <v>27</v>
      </c>
      <c r="Q2" s="46" t="s">
        <v>28</v>
      </c>
      <c r="R2" s="109"/>
      <c r="S2" s="117" t="str">
        <f>IF(P2=Q2,"N","Y")</f>
        <v>Y</v>
      </c>
      <c r="T2" s="114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</row>
    <row r="3" spans="1:54" ht="17.100000000000001" hidden="1" customHeight="1" x14ac:dyDescent="0.25">
      <c r="A3" s="166"/>
      <c r="B3" s="186"/>
      <c r="C3" s="172"/>
      <c r="D3" s="175"/>
      <c r="E3" s="91" t="str">
        <f>IF(B2 = "",E2,B2)</f>
        <v>San Antonio</v>
      </c>
      <c r="F3" s="92" t="s">
        <v>21</v>
      </c>
      <c r="G3" s="98" t="str">
        <f t="shared" si="0"/>
        <v>CP525-Return Donor</v>
      </c>
      <c r="H3" s="178"/>
      <c r="I3" s="77" t="s">
        <v>29</v>
      </c>
      <c r="J3" s="43" t="s">
        <v>24</v>
      </c>
      <c r="K3" s="43" t="s">
        <v>24</v>
      </c>
      <c r="L3" s="44" t="s">
        <v>26</v>
      </c>
      <c r="M3" s="44" t="s">
        <v>27</v>
      </c>
      <c r="N3" s="43" t="s">
        <v>27</v>
      </c>
      <c r="O3" s="43" t="s">
        <v>27</v>
      </c>
      <c r="P3" s="43" t="s">
        <v>27</v>
      </c>
      <c r="Q3" s="43" t="s">
        <v>27</v>
      </c>
      <c r="R3" s="21"/>
      <c r="S3" s="117" t="str">
        <f t="shared" ref="S3:S66" si="1">IF(P3=Q3,"N","Y")</f>
        <v>N</v>
      </c>
    </row>
    <row r="4" spans="1:54" ht="17.100000000000001" hidden="1" customHeight="1" x14ac:dyDescent="0.25">
      <c r="A4" s="166"/>
      <c r="B4" s="186"/>
      <c r="C4" s="172"/>
      <c r="D4" s="175"/>
      <c r="E4" s="91" t="str">
        <f t="shared" ref="E4:E7" si="2">IF(B3 = "",E3,B3)</f>
        <v>San Antonio</v>
      </c>
      <c r="F4" s="92" t="s">
        <v>21</v>
      </c>
      <c r="G4" s="98" t="str">
        <f t="shared" si="0"/>
        <v>CP525-Retention Bonus</v>
      </c>
      <c r="H4" s="178"/>
      <c r="I4" s="78" t="s">
        <v>30</v>
      </c>
      <c r="J4" s="46" t="s">
        <v>31</v>
      </c>
      <c r="K4" s="46" t="s">
        <v>31</v>
      </c>
      <c r="L4" s="47" t="s">
        <v>32</v>
      </c>
      <c r="M4" s="47" t="s">
        <v>33</v>
      </c>
      <c r="N4" s="46" t="s">
        <v>33</v>
      </c>
      <c r="O4" s="46" t="s">
        <v>33</v>
      </c>
      <c r="P4" s="46" t="s">
        <v>33</v>
      </c>
      <c r="Q4" s="46" t="s">
        <v>33</v>
      </c>
      <c r="R4" s="21"/>
      <c r="S4" s="117" t="str">
        <f t="shared" si="1"/>
        <v>N</v>
      </c>
    </row>
    <row r="5" spans="1:54" s="15" customFormat="1" ht="17.100000000000001" hidden="1" customHeight="1" x14ac:dyDescent="0.25">
      <c r="A5" s="167"/>
      <c r="B5" s="187"/>
      <c r="C5" s="173"/>
      <c r="D5" s="176"/>
      <c r="E5" s="110" t="str">
        <f t="shared" si="2"/>
        <v>San Antonio</v>
      </c>
      <c r="F5" s="111" t="s">
        <v>21</v>
      </c>
      <c r="G5" s="112" t="str">
        <f t="shared" si="0"/>
        <v>CP525-Referral</v>
      </c>
      <c r="H5" s="179"/>
      <c r="I5" s="79" t="s">
        <v>34</v>
      </c>
      <c r="J5" s="49">
        <v>50</v>
      </c>
      <c r="K5" s="49">
        <v>50</v>
      </c>
      <c r="L5" s="50" t="s">
        <v>32</v>
      </c>
      <c r="M5" s="50" t="s">
        <v>35</v>
      </c>
      <c r="N5" s="49" t="s">
        <v>35</v>
      </c>
      <c r="O5" s="49" t="s">
        <v>35</v>
      </c>
      <c r="P5" s="49" t="s">
        <v>35</v>
      </c>
      <c r="Q5" s="49" t="s">
        <v>35</v>
      </c>
      <c r="R5" s="113"/>
      <c r="S5" s="117" t="str">
        <f t="shared" si="1"/>
        <v>N</v>
      </c>
      <c r="T5" s="114"/>
      <c r="U5" s="118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</row>
    <row r="6" spans="1:54" ht="17.100000000000001" hidden="1" customHeight="1" outlineLevel="1" x14ac:dyDescent="0.25">
      <c r="A6" s="3"/>
      <c r="B6" s="134"/>
      <c r="C6" s="31"/>
      <c r="D6" s="183" t="s">
        <v>21</v>
      </c>
      <c r="E6" s="104" t="str">
        <f t="shared" si="2"/>
        <v>San Antonio</v>
      </c>
      <c r="F6" s="133" t="str">
        <f>D6</f>
        <v>CP525</v>
      </c>
      <c r="G6" s="105" t="str">
        <f t="shared" si="0"/>
        <v>CP525-NEW DONOR -1st</v>
      </c>
      <c r="H6" s="182" t="s">
        <v>36</v>
      </c>
      <c r="I6" s="80" t="s">
        <v>37</v>
      </c>
      <c r="J6" s="52">
        <v>60</v>
      </c>
      <c r="K6" s="53">
        <f>J6</f>
        <v>60</v>
      </c>
      <c r="L6" s="52">
        <v>60</v>
      </c>
      <c r="M6" s="52">
        <v>60</v>
      </c>
      <c r="N6" s="52">
        <v>60</v>
      </c>
      <c r="O6" s="52">
        <v>60</v>
      </c>
      <c r="P6" s="52">
        <v>60</v>
      </c>
      <c r="Q6" s="52">
        <v>100</v>
      </c>
      <c r="R6" s="23"/>
      <c r="S6" s="117" t="str">
        <f t="shared" si="1"/>
        <v>Y</v>
      </c>
      <c r="T6" s="114">
        <f>IFERROR(SUMIF('Current NLData'!A:A,'Payment Changes'!G6,'Current NLData'!K:K)/COUNTIF('Current NLData'!A:A,'Payment Changes'!G6),0)+IFERROR(VLOOKUP(G6&amp;"-ALL",NLPaymentExport,10,FALSE),0)</f>
        <v>60</v>
      </c>
      <c r="U6" s="118">
        <f>IF(OR(I6 = "New Donor", I6="Return Donor", I6="Retention Bonus", I6="Referral", I6 = ""),"",T6-Q6 )</f>
        <v>-40</v>
      </c>
    </row>
    <row r="7" spans="1:54" ht="17.100000000000001" hidden="1" customHeight="1" outlineLevel="1" x14ac:dyDescent="0.25">
      <c r="A7" s="3"/>
      <c r="B7" s="135"/>
      <c r="C7" s="30"/>
      <c r="D7" s="184"/>
      <c r="E7" s="91" t="str">
        <f t="shared" si="2"/>
        <v>San Antonio</v>
      </c>
      <c r="F7" s="93" t="str">
        <f t="shared" ref="F7" si="3">IF(D7 = "",F6,D7)</f>
        <v>CP525</v>
      </c>
      <c r="G7" s="99" t="str">
        <f t="shared" si="0"/>
        <v>CP525-NEW DONOR -2nd</v>
      </c>
      <c r="H7" s="182"/>
      <c r="I7" s="81" t="s">
        <v>38</v>
      </c>
      <c r="J7" s="54">
        <v>60</v>
      </c>
      <c r="K7" s="55">
        <v>70</v>
      </c>
      <c r="L7" s="54">
        <v>60</v>
      </c>
      <c r="M7" s="54">
        <v>60</v>
      </c>
      <c r="N7" s="54">
        <v>60</v>
      </c>
      <c r="O7" s="54">
        <v>60</v>
      </c>
      <c r="P7" s="54">
        <v>60</v>
      </c>
      <c r="Q7" s="54">
        <v>100</v>
      </c>
      <c r="R7" s="23"/>
      <c r="S7" s="117" t="str">
        <f t="shared" si="1"/>
        <v>Y</v>
      </c>
      <c r="T7" s="114">
        <f>IFERROR(SUMIF('Current NLData'!A:A,'Payment Changes'!G7,'Current NLData'!K:K)/COUNTIF('Current NLData'!A:A,'Payment Changes'!G7),0)+IFERROR(VLOOKUP(G7&amp;"-ALL",NLPaymentExport,10,FALSE),0)</f>
        <v>60</v>
      </c>
      <c r="U7" s="118">
        <f t="shared" ref="U7:U70" si="4">IF(OR(I7 = "New Donor", I7="Return Donor", I7="Retention Bonus", I7="Referral", I7 = ""),"",T7-Q7 )</f>
        <v>-40</v>
      </c>
    </row>
    <row r="8" spans="1:54" ht="17.100000000000001" hidden="1" customHeight="1" outlineLevel="1" x14ac:dyDescent="0.25">
      <c r="A8" s="3"/>
      <c r="B8" s="135"/>
      <c r="C8" s="30"/>
      <c r="D8" s="184"/>
      <c r="E8" s="91" t="str">
        <f t="shared" ref="E8:E19" si="5">IF(B7 = "",E7,B7)</f>
        <v>San Antonio</v>
      </c>
      <c r="F8" s="93" t="str">
        <f t="shared" ref="F8:F14" si="6">IF(D8 = "",F7,D8)</f>
        <v>CP525</v>
      </c>
      <c r="G8" s="99" t="str">
        <f t="shared" si="0"/>
        <v>CP525-NEW DONOR -3rd</v>
      </c>
      <c r="H8" s="182"/>
      <c r="I8" s="81" t="s">
        <v>39</v>
      </c>
      <c r="J8" s="54">
        <v>60</v>
      </c>
      <c r="K8" s="55">
        <f t="shared" ref="K8:K12" si="7">J8</f>
        <v>60</v>
      </c>
      <c r="L8" s="54">
        <v>60</v>
      </c>
      <c r="M8" s="54">
        <v>60</v>
      </c>
      <c r="N8" s="54">
        <v>60</v>
      </c>
      <c r="O8" s="54">
        <v>60</v>
      </c>
      <c r="P8" s="54">
        <v>60</v>
      </c>
      <c r="Q8" s="54">
        <v>100</v>
      </c>
      <c r="R8" s="23"/>
      <c r="S8" s="117" t="str">
        <f t="shared" si="1"/>
        <v>Y</v>
      </c>
      <c r="T8" s="114">
        <f>IFERROR(SUMIF('Current NLData'!A:A,'Payment Changes'!G8,'Current NLData'!K:K)/COUNTIF('Current NLData'!A:A,'Payment Changes'!G8),0)+IFERROR(VLOOKUP(G8&amp;"-ALL",NLPaymentExport,10,FALSE),0)</f>
        <v>60</v>
      </c>
      <c r="U8" s="118">
        <f t="shared" si="4"/>
        <v>-40</v>
      </c>
    </row>
    <row r="9" spans="1:54" ht="17.100000000000001" hidden="1" customHeight="1" outlineLevel="1" x14ac:dyDescent="0.25">
      <c r="A9" s="3"/>
      <c r="B9" s="135"/>
      <c r="C9" s="30"/>
      <c r="D9" s="184"/>
      <c r="E9" s="91" t="str">
        <f t="shared" si="5"/>
        <v>San Antonio</v>
      </c>
      <c r="F9" s="93" t="str">
        <f t="shared" si="6"/>
        <v>CP525</v>
      </c>
      <c r="G9" s="99" t="str">
        <f t="shared" si="0"/>
        <v>CP525-NEW DONOR -4th</v>
      </c>
      <c r="H9" s="182"/>
      <c r="I9" s="81" t="s">
        <v>40</v>
      </c>
      <c r="J9" s="54">
        <v>60</v>
      </c>
      <c r="K9" s="55">
        <v>70</v>
      </c>
      <c r="L9" s="54">
        <v>60</v>
      </c>
      <c r="M9" s="54">
        <v>60</v>
      </c>
      <c r="N9" s="54">
        <v>60</v>
      </c>
      <c r="O9" s="54">
        <v>60</v>
      </c>
      <c r="P9" s="54">
        <v>60</v>
      </c>
      <c r="Q9" s="54">
        <v>100</v>
      </c>
      <c r="R9" s="23"/>
      <c r="S9" s="117" t="str">
        <f t="shared" si="1"/>
        <v>Y</v>
      </c>
      <c r="T9" s="114">
        <f>IFERROR(SUMIF('Current NLData'!A:A,'Payment Changes'!G9,'Current NLData'!K:K)/COUNTIF('Current NLData'!A:A,'Payment Changes'!G9),0)+IFERROR(VLOOKUP(G9&amp;"-ALL",NLPaymentExport,10,FALSE),0)</f>
        <v>60</v>
      </c>
      <c r="U9" s="118">
        <f t="shared" si="4"/>
        <v>-40</v>
      </c>
    </row>
    <row r="10" spans="1:54" ht="17.100000000000001" hidden="1" customHeight="1" outlineLevel="1" x14ac:dyDescent="0.25">
      <c r="A10" s="3"/>
      <c r="B10" s="135"/>
      <c r="C10" s="30"/>
      <c r="D10" s="184"/>
      <c r="E10" s="91" t="str">
        <f t="shared" si="5"/>
        <v>San Antonio</v>
      </c>
      <c r="F10" s="93" t="str">
        <f t="shared" si="6"/>
        <v>CP525</v>
      </c>
      <c r="G10" s="99" t="str">
        <f t="shared" si="0"/>
        <v>CP525-NEW DONOR -5th</v>
      </c>
      <c r="H10" s="182"/>
      <c r="I10" s="81" t="s">
        <v>41</v>
      </c>
      <c r="J10" s="54">
        <v>60</v>
      </c>
      <c r="K10" s="55">
        <f t="shared" si="7"/>
        <v>60</v>
      </c>
      <c r="L10" s="54">
        <v>60</v>
      </c>
      <c r="M10" s="54">
        <v>60</v>
      </c>
      <c r="N10" s="54">
        <v>60</v>
      </c>
      <c r="O10" s="54">
        <v>60</v>
      </c>
      <c r="P10" s="54">
        <v>60</v>
      </c>
      <c r="Q10" s="54">
        <v>100</v>
      </c>
      <c r="R10" s="23"/>
      <c r="S10" s="117" t="str">
        <f t="shared" si="1"/>
        <v>Y</v>
      </c>
      <c r="T10" s="114">
        <f>IFERROR(SUMIF('Current NLData'!A:A,'Payment Changes'!G10,'Current NLData'!K:K)/COUNTIF('Current NLData'!A:A,'Payment Changes'!G10),0)+IFERROR(VLOOKUP(G10&amp;"-ALL",NLPaymentExport,10,FALSE),0)</f>
        <v>60</v>
      </c>
      <c r="U10" s="118">
        <f t="shared" si="4"/>
        <v>-40</v>
      </c>
    </row>
    <row r="11" spans="1:54" ht="17.100000000000001" hidden="1" customHeight="1" outlineLevel="1" x14ac:dyDescent="0.25">
      <c r="A11" s="3"/>
      <c r="B11" s="135"/>
      <c r="C11" s="30"/>
      <c r="D11" s="184"/>
      <c r="E11" s="91" t="str">
        <f t="shared" si="5"/>
        <v>San Antonio</v>
      </c>
      <c r="F11" s="93" t="str">
        <f t="shared" si="6"/>
        <v>CP525</v>
      </c>
      <c r="G11" s="99" t="str">
        <f t="shared" si="0"/>
        <v>CP525-NEW DONOR -6th</v>
      </c>
      <c r="H11" s="182"/>
      <c r="I11" s="81" t="s">
        <v>42</v>
      </c>
      <c r="J11" s="54">
        <v>60</v>
      </c>
      <c r="K11" s="55">
        <v>70</v>
      </c>
      <c r="L11" s="54">
        <v>60</v>
      </c>
      <c r="M11" s="54">
        <v>60</v>
      </c>
      <c r="N11" s="54">
        <v>60</v>
      </c>
      <c r="O11" s="54">
        <v>60</v>
      </c>
      <c r="P11" s="54">
        <v>60</v>
      </c>
      <c r="Q11" s="54">
        <v>60</v>
      </c>
      <c r="R11" s="23"/>
      <c r="S11" s="117" t="str">
        <f t="shared" si="1"/>
        <v>N</v>
      </c>
      <c r="T11" s="114">
        <f>IFERROR(SUMIF('Current NLData'!A:A,'Payment Changes'!G11,'Current NLData'!K:K)/COUNTIF('Current NLData'!A:A,'Payment Changes'!G11),0)+IFERROR(VLOOKUP(G11&amp;"-ALL",NLPaymentExport,10,FALSE),0)</f>
        <v>60</v>
      </c>
      <c r="U11" s="118">
        <f t="shared" si="4"/>
        <v>0</v>
      </c>
    </row>
    <row r="12" spans="1:54" ht="17.100000000000001" hidden="1" customHeight="1" outlineLevel="1" x14ac:dyDescent="0.25">
      <c r="A12" s="3"/>
      <c r="B12" s="135"/>
      <c r="C12" s="30"/>
      <c r="D12" s="184"/>
      <c r="E12" s="91" t="str">
        <f t="shared" si="5"/>
        <v>San Antonio</v>
      </c>
      <c r="F12" s="93" t="str">
        <f t="shared" si="6"/>
        <v>CP525</v>
      </c>
      <c r="G12" s="99" t="str">
        <f t="shared" si="0"/>
        <v>CP525-NEW DONOR -7th</v>
      </c>
      <c r="H12" s="182"/>
      <c r="I12" s="81" t="s">
        <v>43</v>
      </c>
      <c r="J12" s="54">
        <v>60</v>
      </c>
      <c r="K12" s="55">
        <f t="shared" si="7"/>
        <v>60</v>
      </c>
      <c r="L12" s="54">
        <v>60</v>
      </c>
      <c r="M12" s="54">
        <v>60</v>
      </c>
      <c r="N12" s="54">
        <v>60</v>
      </c>
      <c r="O12" s="54">
        <v>60</v>
      </c>
      <c r="P12" s="54">
        <v>60</v>
      </c>
      <c r="Q12" s="54">
        <v>60</v>
      </c>
      <c r="R12" s="23"/>
      <c r="S12" s="117" t="str">
        <f t="shared" si="1"/>
        <v>N</v>
      </c>
      <c r="T12" s="114">
        <f>IFERROR(SUMIF('Current NLData'!A:A,'Payment Changes'!G12,'Current NLData'!K:K)/COUNTIF('Current NLData'!A:A,'Payment Changes'!G12),0)+IFERROR(VLOOKUP(G12&amp;"-ALL",NLPaymentExport,10,FALSE),0)</f>
        <v>60</v>
      </c>
      <c r="U12" s="118">
        <f t="shared" si="4"/>
        <v>0</v>
      </c>
    </row>
    <row r="13" spans="1:54" ht="17.100000000000001" hidden="1" customHeight="1" outlineLevel="1" x14ac:dyDescent="0.25">
      <c r="A13" s="3"/>
      <c r="B13" s="135"/>
      <c r="C13" s="30"/>
      <c r="D13" s="184"/>
      <c r="E13" s="91" t="str">
        <f t="shared" si="5"/>
        <v>San Antonio</v>
      </c>
      <c r="F13" s="93" t="str">
        <f t="shared" si="6"/>
        <v>CP525</v>
      </c>
      <c r="G13" s="99" t="str">
        <f t="shared" si="0"/>
        <v>CP525-NEW DONOR -8th</v>
      </c>
      <c r="H13" s="182"/>
      <c r="I13" s="81" t="s">
        <v>44</v>
      </c>
      <c r="J13" s="54">
        <v>60</v>
      </c>
      <c r="K13" s="55">
        <v>70</v>
      </c>
      <c r="L13" s="54">
        <v>60</v>
      </c>
      <c r="M13" s="54">
        <v>60</v>
      </c>
      <c r="N13" s="54">
        <v>60</v>
      </c>
      <c r="O13" s="54">
        <v>60</v>
      </c>
      <c r="P13" s="54">
        <v>60</v>
      </c>
      <c r="Q13" s="54">
        <v>60</v>
      </c>
      <c r="R13" s="23"/>
      <c r="S13" s="117" t="str">
        <f t="shared" si="1"/>
        <v>N</v>
      </c>
      <c r="T13" s="114">
        <f>IFERROR(SUMIF('Current NLData'!A:A,'Payment Changes'!G13,'Current NLData'!K:K)/COUNTIF('Current NLData'!A:A,'Payment Changes'!G13),0)+IFERROR(VLOOKUP(G13&amp;"-ALL",NLPaymentExport,10,FALSE),0)</f>
        <v>60</v>
      </c>
      <c r="U13" s="118">
        <f t="shared" si="4"/>
        <v>0</v>
      </c>
    </row>
    <row r="14" spans="1:54" ht="17.100000000000001" hidden="1" customHeight="1" outlineLevel="1" x14ac:dyDescent="0.25">
      <c r="A14" s="3"/>
      <c r="B14" s="135"/>
      <c r="C14" s="30"/>
      <c r="D14" s="184"/>
      <c r="E14" s="91" t="str">
        <f t="shared" si="5"/>
        <v>San Antonio</v>
      </c>
      <c r="F14" s="93" t="str">
        <f t="shared" si="6"/>
        <v>CP525</v>
      </c>
      <c r="G14" s="99" t="str">
        <f t="shared" si="0"/>
        <v>CP525-RETURN - 1st don of the week -STD</v>
      </c>
      <c r="H14" s="182"/>
      <c r="I14" s="82" t="s">
        <v>45</v>
      </c>
      <c r="J14" s="54">
        <v>60</v>
      </c>
      <c r="K14" s="54">
        <f t="shared" ref="K14:K19" si="8">J14</f>
        <v>60</v>
      </c>
      <c r="L14" s="54">
        <v>60</v>
      </c>
      <c r="M14" s="54">
        <v>60</v>
      </c>
      <c r="N14" s="54">
        <v>60</v>
      </c>
      <c r="O14" s="54">
        <v>60</v>
      </c>
      <c r="P14" s="54">
        <v>60</v>
      </c>
      <c r="Q14" s="54">
        <v>60</v>
      </c>
      <c r="R14" s="22"/>
      <c r="S14" s="117" t="str">
        <f t="shared" si="1"/>
        <v>N</v>
      </c>
      <c r="T14" s="114">
        <f>IFERROR(SUMIF('Current NLData'!A:A,'Payment Changes'!G14,'Current NLData'!K:K)/COUNTIF('Current NLData'!A:A,'Payment Changes'!G14),0)+IFERROR(VLOOKUP(G14&amp;"-ALL",NLPaymentExport,10,FALSE),0)</f>
        <v>60</v>
      </c>
      <c r="U14" s="118">
        <f t="shared" si="4"/>
        <v>0</v>
      </c>
    </row>
    <row r="15" spans="1:54" ht="17.100000000000001" hidden="1" customHeight="1" outlineLevel="1" x14ac:dyDescent="0.25">
      <c r="A15" s="3"/>
      <c r="B15" s="135"/>
      <c r="C15" s="30"/>
      <c r="D15" s="184"/>
      <c r="E15" s="91" t="str">
        <f t="shared" si="5"/>
        <v>San Antonio</v>
      </c>
      <c r="F15" s="93" t="str">
        <f t="shared" ref="F15:F19" si="9">IF(D15 = "",F14,D15)</f>
        <v>CP525</v>
      </c>
      <c r="G15" s="99" t="str">
        <f t="shared" si="0"/>
        <v>CP525-RETURN - 2nd don of the week -BONUS</v>
      </c>
      <c r="H15" s="182"/>
      <c r="I15" s="82" t="s">
        <v>46</v>
      </c>
      <c r="J15" s="54">
        <v>10</v>
      </c>
      <c r="K15" s="54">
        <f t="shared" si="8"/>
        <v>10</v>
      </c>
      <c r="L15" s="54">
        <v>5</v>
      </c>
      <c r="M15" s="54">
        <v>20</v>
      </c>
      <c r="N15" s="54">
        <v>20</v>
      </c>
      <c r="O15" s="54">
        <v>20</v>
      </c>
      <c r="P15" s="54">
        <v>20</v>
      </c>
      <c r="Q15" s="54">
        <v>20</v>
      </c>
      <c r="R15" s="22"/>
      <c r="S15" s="117" t="str">
        <f t="shared" si="1"/>
        <v>N</v>
      </c>
      <c r="T15" s="114">
        <f>IFERROR(SUMIF('Current NLData'!A:A,'Payment Changes'!G15,'Current NLData'!K:K)/COUNTIF('Current NLData'!A:A,'Payment Changes'!G15),0)+IFERROR(VLOOKUP(G15&amp;"-ALL",NLPaymentExport,10,FALSE),0)</f>
        <v>20</v>
      </c>
      <c r="U15" s="118">
        <f t="shared" si="4"/>
        <v>0</v>
      </c>
    </row>
    <row r="16" spans="1:54" ht="17.100000000000001" hidden="1" customHeight="1" outlineLevel="1" x14ac:dyDescent="0.25">
      <c r="A16" s="3"/>
      <c r="B16" s="135"/>
      <c r="C16" s="30"/>
      <c r="D16" s="184"/>
      <c r="E16" s="91" t="str">
        <f t="shared" si="5"/>
        <v>San Antonio</v>
      </c>
      <c r="F16" s="93" t="str">
        <f t="shared" si="9"/>
        <v>CP525</v>
      </c>
      <c r="G16" s="99" t="str">
        <f t="shared" si="0"/>
        <v>CP525-RETURN - 5th don of the month -BONUS</v>
      </c>
      <c r="H16" s="182"/>
      <c r="I16" s="83" t="s">
        <v>47</v>
      </c>
      <c r="J16" s="54">
        <v>0</v>
      </c>
      <c r="K16" s="54">
        <f t="shared" si="8"/>
        <v>0</v>
      </c>
      <c r="L16" s="54">
        <v>0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22"/>
      <c r="S16" s="117" t="str">
        <f t="shared" si="1"/>
        <v>N</v>
      </c>
      <c r="T16" s="114">
        <f>IFERROR(SUMIF('Current NLData'!A:A,'Payment Changes'!G16,'Current NLData'!K:K)/COUNTIF('Current NLData'!A:A,'Payment Changes'!G16),0)+IFERROR(VLOOKUP(G16&amp;"-ALL",NLPaymentExport,10,FALSE),0)</f>
        <v>0</v>
      </c>
      <c r="U16" s="118">
        <f t="shared" si="4"/>
        <v>0</v>
      </c>
    </row>
    <row r="17" spans="1:54" ht="17.100000000000001" hidden="1" customHeight="1" outlineLevel="1" x14ac:dyDescent="0.25">
      <c r="A17" s="3"/>
      <c r="B17" s="135"/>
      <c r="C17" s="30"/>
      <c r="D17" s="184"/>
      <c r="E17" s="91" t="str">
        <f t="shared" si="5"/>
        <v>San Antonio</v>
      </c>
      <c r="F17" s="93" t="str">
        <f t="shared" si="9"/>
        <v>CP525</v>
      </c>
      <c r="G17" s="99" t="str">
        <f t="shared" si="0"/>
        <v>CP525-RETURN - 6th don of the month -BONUS</v>
      </c>
      <c r="H17" s="182"/>
      <c r="I17" s="83" t="s">
        <v>48</v>
      </c>
      <c r="J17" s="54">
        <v>0</v>
      </c>
      <c r="K17" s="54">
        <f t="shared" si="8"/>
        <v>0</v>
      </c>
      <c r="L17" s="54">
        <v>0</v>
      </c>
      <c r="M17" s="54">
        <v>30</v>
      </c>
      <c r="N17" s="54">
        <v>30</v>
      </c>
      <c r="O17" s="54">
        <v>30</v>
      </c>
      <c r="P17" s="54">
        <v>30</v>
      </c>
      <c r="Q17" s="54">
        <v>30</v>
      </c>
      <c r="R17" s="22"/>
      <c r="S17" s="117" t="str">
        <f t="shared" si="1"/>
        <v>N</v>
      </c>
      <c r="T17" s="114">
        <f>IFERROR(SUMIF('Current NLData'!A:A,'Payment Changes'!G17,'Current NLData'!K:K)/COUNTIF('Current NLData'!A:A,'Payment Changes'!G17),0)+IFERROR(VLOOKUP(G17&amp;"-ALL",NLPaymentExport,10,FALSE),0)</f>
        <v>30</v>
      </c>
      <c r="U17" s="118">
        <f t="shared" si="4"/>
        <v>0</v>
      </c>
    </row>
    <row r="18" spans="1:54" ht="17.100000000000001" hidden="1" customHeight="1" outlineLevel="1" x14ac:dyDescent="0.25">
      <c r="A18" s="3"/>
      <c r="B18" s="135"/>
      <c r="C18" s="30"/>
      <c r="D18" s="184"/>
      <c r="E18" s="91" t="str">
        <f t="shared" si="5"/>
        <v>San Antonio</v>
      </c>
      <c r="F18" s="93" t="str">
        <f t="shared" si="9"/>
        <v>CP525</v>
      </c>
      <c r="G18" s="99" t="str">
        <f t="shared" si="0"/>
        <v>CP525-RETURN - 7th don of the month -BONUS</v>
      </c>
      <c r="H18" s="182"/>
      <c r="I18" s="83" t="s">
        <v>49</v>
      </c>
      <c r="J18" s="54">
        <v>0</v>
      </c>
      <c r="K18" s="54">
        <f t="shared" si="8"/>
        <v>0</v>
      </c>
      <c r="L18" s="54">
        <v>0</v>
      </c>
      <c r="M18" s="54">
        <v>0</v>
      </c>
      <c r="N18" s="54">
        <v>0</v>
      </c>
      <c r="O18" s="54">
        <v>0</v>
      </c>
      <c r="P18" s="54">
        <v>0</v>
      </c>
      <c r="Q18" s="54">
        <v>0</v>
      </c>
      <c r="R18" s="22"/>
      <c r="S18" s="117" t="str">
        <f t="shared" si="1"/>
        <v>N</v>
      </c>
      <c r="T18" s="114">
        <f>IFERROR(SUMIF('Current NLData'!A:A,'Payment Changes'!G18,'Current NLData'!K:K)/COUNTIF('Current NLData'!A:A,'Payment Changes'!G18),0)+IFERROR(VLOOKUP(G18&amp;"-ALL",NLPaymentExport,10,FALSE),0)</f>
        <v>0</v>
      </c>
      <c r="U18" s="118">
        <f t="shared" si="4"/>
        <v>0</v>
      </c>
    </row>
    <row r="19" spans="1:54" ht="17.100000000000001" hidden="1" customHeight="1" outlineLevel="1" x14ac:dyDescent="0.25">
      <c r="A19" s="3"/>
      <c r="B19" s="135"/>
      <c r="C19" s="30"/>
      <c r="D19" s="184"/>
      <c r="E19" s="91" t="str">
        <f t="shared" si="5"/>
        <v>San Antonio</v>
      </c>
      <c r="F19" s="93" t="str">
        <f t="shared" si="9"/>
        <v>CP525</v>
      </c>
      <c r="G19" s="99" t="str">
        <f t="shared" si="0"/>
        <v>CP525-RETURN - 8th don of the month -BONUS</v>
      </c>
      <c r="H19" s="182"/>
      <c r="I19" s="83" t="s">
        <v>50</v>
      </c>
      <c r="J19" s="54">
        <v>25</v>
      </c>
      <c r="K19" s="54">
        <f t="shared" si="8"/>
        <v>25</v>
      </c>
      <c r="L19" s="54">
        <v>0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22"/>
      <c r="S19" s="117" t="str">
        <f t="shared" si="1"/>
        <v>N</v>
      </c>
      <c r="T19" s="114">
        <f>IFERROR(SUMIF('Current NLData'!A:A,'Payment Changes'!G19,'Current NLData'!K:K)/COUNTIF('Current NLData'!A:A,'Payment Changes'!G19),0)+IFERROR(VLOOKUP(G19&amp;"-ALL",NLPaymentExport,10,FALSE),0)</f>
        <v>0</v>
      </c>
      <c r="U19" s="118">
        <f t="shared" si="4"/>
        <v>0</v>
      </c>
    </row>
    <row r="20" spans="1:54" ht="17.100000000000001" hidden="1" customHeight="1" outlineLevel="1" x14ac:dyDescent="0.25">
      <c r="A20" s="3"/>
      <c r="B20" s="135"/>
      <c r="C20" s="30" t="str">
        <f>IF(J20=0,"Warning","")</f>
        <v/>
      </c>
      <c r="D20" s="184"/>
      <c r="E20" s="91" t="str">
        <f>IF(B18 = "",E18,B18)</f>
        <v>San Antonio</v>
      </c>
      <c r="F20" s="93" t="str">
        <f>IF(D20 = "",F18,D20)</f>
        <v>CP525</v>
      </c>
      <c r="G20" s="99" t="str">
        <f t="shared" si="0"/>
        <v>CP525-RETURN - Buddy referral  -BONUS</v>
      </c>
      <c r="H20" s="182"/>
      <c r="I20" s="83" t="s">
        <v>51</v>
      </c>
      <c r="J20" s="54">
        <v>50</v>
      </c>
      <c r="K20" s="54">
        <f t="shared" ref="K20" si="10">J20</f>
        <v>50</v>
      </c>
      <c r="L20" s="54">
        <v>0</v>
      </c>
      <c r="M20" s="54">
        <v>50</v>
      </c>
      <c r="N20" s="54">
        <v>50</v>
      </c>
      <c r="O20" s="54">
        <v>50</v>
      </c>
      <c r="P20" s="54">
        <v>50</v>
      </c>
      <c r="Q20" s="54">
        <v>50</v>
      </c>
      <c r="R20" s="22"/>
      <c r="S20" s="117" t="str">
        <f t="shared" si="1"/>
        <v>N</v>
      </c>
      <c r="T20" s="114">
        <f>IFERROR(SUMIF('Current NLData'!A:A,'Payment Changes'!G20,'Current NLData'!K:K)/COUNTIF('Current NLData'!A:A,'Payment Changes'!G20),0)+IFERROR(VLOOKUP(G20&amp;"-ALL",NLPaymentExport,10,FALSE),0)</f>
        <v>50</v>
      </c>
      <c r="U20" s="118">
        <f t="shared" si="4"/>
        <v>0</v>
      </c>
    </row>
    <row r="21" spans="1:54" s="90" customFormat="1" ht="17.100000000000001" hidden="1" customHeight="1" collapsed="1" x14ac:dyDescent="0.35">
      <c r="A21" s="85"/>
      <c r="B21" s="85"/>
      <c r="C21" s="86"/>
      <c r="D21" s="87"/>
      <c r="E21" s="87"/>
      <c r="F21" s="87"/>
      <c r="G21" s="87"/>
      <c r="H21" s="96"/>
      <c r="I21" s="88"/>
      <c r="J21" s="89"/>
      <c r="K21" s="89"/>
      <c r="L21" s="89"/>
      <c r="M21" s="89"/>
      <c r="N21" s="89"/>
      <c r="O21" s="89"/>
      <c r="P21" s="89"/>
      <c r="Q21" s="89"/>
      <c r="R21" s="21"/>
      <c r="S21" s="117" t="str">
        <f t="shared" si="1"/>
        <v>N</v>
      </c>
      <c r="T21" s="114">
        <f>IFERROR(SUMIF('Current NLData'!A:A,'Payment Changes'!G21,'Current NLData'!K:K)/COUNTIF('Current NLData'!A:A,'Payment Changes'!G21),0)+IFERROR(VLOOKUP(G21&amp;"-ALL",NLPaymentExport,10,FALSE),0)</f>
        <v>0</v>
      </c>
      <c r="U21" s="118" t="str">
        <f t="shared" si="4"/>
        <v/>
      </c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</row>
    <row r="22" spans="1:54" s="10" customFormat="1" ht="17.100000000000001" hidden="1" customHeight="1" x14ac:dyDescent="0.25">
      <c r="A22" s="165">
        <v>2</v>
      </c>
      <c r="B22" s="168" t="s">
        <v>52</v>
      </c>
      <c r="C22" s="171" t="s">
        <v>53</v>
      </c>
      <c r="D22" s="174" t="s">
        <v>20</v>
      </c>
      <c r="E22" s="106" t="str">
        <f>IF(B22 = "",E21,B22)</f>
        <v>San Antonio - Commerce</v>
      </c>
      <c r="F22" s="107" t="s">
        <v>54</v>
      </c>
      <c r="G22" s="108" t="str">
        <f t="shared" ref="G22:G40" si="11">F22&amp;"-"&amp;I22</f>
        <v>CP529-New Donor</v>
      </c>
      <c r="H22" s="177" t="s">
        <v>22</v>
      </c>
      <c r="I22" s="76" t="s">
        <v>23</v>
      </c>
      <c r="J22" s="40" t="s">
        <v>55</v>
      </c>
      <c r="K22" s="41" t="s">
        <v>25</v>
      </c>
      <c r="L22" s="41" t="s">
        <v>24</v>
      </c>
      <c r="M22" s="41" t="s">
        <v>27</v>
      </c>
      <c r="N22" s="40" t="s">
        <v>27</v>
      </c>
      <c r="O22" s="40" t="s">
        <v>27</v>
      </c>
      <c r="P22" s="40" t="s">
        <v>27</v>
      </c>
      <c r="Q22" s="40" t="s">
        <v>27</v>
      </c>
      <c r="R22" s="109"/>
      <c r="S22" s="117" t="str">
        <f t="shared" si="1"/>
        <v>N</v>
      </c>
      <c r="T22" s="114">
        <f>IFERROR(SUMIF('Current NLData'!A:A,'Payment Changes'!G22,'Current NLData'!K:K)/COUNTIF('Current NLData'!A:A,'Payment Changes'!G22),0)+IFERROR(VLOOKUP(G22&amp;"-ALL",NLPaymentExport,10,FALSE),0)</f>
        <v>0</v>
      </c>
      <c r="U22" s="118" t="str">
        <f t="shared" si="4"/>
        <v/>
      </c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</row>
    <row r="23" spans="1:54" ht="17.100000000000001" hidden="1" customHeight="1" x14ac:dyDescent="0.25">
      <c r="A23" s="166"/>
      <c r="B23" s="169"/>
      <c r="C23" s="172"/>
      <c r="D23" s="175"/>
      <c r="E23" s="91" t="str">
        <f t="shared" ref="E23:E54" si="12">IF(B23 = "",E22,B23)</f>
        <v>San Antonio - Commerce</v>
      </c>
      <c r="F23" s="92" t="s">
        <v>54</v>
      </c>
      <c r="G23" s="98" t="str">
        <f t="shared" si="11"/>
        <v>CP529-Return Donor</v>
      </c>
      <c r="H23" s="178"/>
      <c r="I23" s="77" t="s">
        <v>29</v>
      </c>
      <c r="J23" s="43" t="s">
        <v>55</v>
      </c>
      <c r="K23" s="43" t="s">
        <v>24</v>
      </c>
      <c r="L23" s="44" t="s">
        <v>24</v>
      </c>
      <c r="M23" s="44" t="s">
        <v>27</v>
      </c>
      <c r="N23" s="43" t="s">
        <v>27</v>
      </c>
      <c r="O23" s="43" t="s">
        <v>27</v>
      </c>
      <c r="P23" s="43" t="s">
        <v>27</v>
      </c>
      <c r="Q23" s="43" t="s">
        <v>27</v>
      </c>
      <c r="R23" s="21"/>
      <c r="S23" s="117" t="str">
        <f t="shared" si="1"/>
        <v>N</v>
      </c>
      <c r="T23" s="114">
        <f>IFERROR(SUMIF('Current NLData'!A:A,'Payment Changes'!G23,'Current NLData'!K:K)/COUNTIF('Current NLData'!A:A,'Payment Changes'!G23),0)+IFERROR(VLOOKUP(G23&amp;"-ALL",NLPaymentExport,10,FALSE),0)</f>
        <v>0</v>
      </c>
      <c r="U23" s="118" t="str">
        <f t="shared" si="4"/>
        <v/>
      </c>
    </row>
    <row r="24" spans="1:54" ht="17.100000000000001" hidden="1" customHeight="1" x14ac:dyDescent="0.25">
      <c r="A24" s="166"/>
      <c r="B24" s="169"/>
      <c r="C24" s="172"/>
      <c r="D24" s="175"/>
      <c r="E24" s="91" t="str">
        <f t="shared" si="12"/>
        <v>San Antonio - Commerce</v>
      </c>
      <c r="F24" s="92" t="s">
        <v>54</v>
      </c>
      <c r="G24" s="98" t="str">
        <f t="shared" si="11"/>
        <v>CP529-Retention Bonus</v>
      </c>
      <c r="H24" s="178"/>
      <c r="I24" s="78" t="s">
        <v>30</v>
      </c>
      <c r="J24" s="46" t="s">
        <v>31</v>
      </c>
      <c r="K24" s="46" t="s">
        <v>31</v>
      </c>
      <c r="L24" s="47" t="s">
        <v>32</v>
      </c>
      <c r="M24" s="47" t="s">
        <v>33</v>
      </c>
      <c r="N24" s="46" t="s">
        <v>33</v>
      </c>
      <c r="O24" s="46" t="s">
        <v>33</v>
      </c>
      <c r="P24" s="46" t="s">
        <v>33</v>
      </c>
      <c r="Q24" s="46" t="s">
        <v>33</v>
      </c>
      <c r="R24" s="21"/>
      <c r="S24" s="117" t="str">
        <f t="shared" si="1"/>
        <v>N</v>
      </c>
      <c r="T24" s="114">
        <f>IFERROR(SUMIF('Current NLData'!A:A,'Payment Changes'!G24,'Current NLData'!K:K)/COUNTIF('Current NLData'!A:A,'Payment Changes'!G24),0)+IFERROR(VLOOKUP(G24&amp;"-ALL",NLPaymentExport,10,FALSE),0)</f>
        <v>0</v>
      </c>
      <c r="U24" s="118" t="str">
        <f t="shared" si="4"/>
        <v/>
      </c>
    </row>
    <row r="25" spans="1:54" s="15" customFormat="1" ht="17.100000000000001" hidden="1" customHeight="1" x14ac:dyDescent="0.25">
      <c r="A25" s="167"/>
      <c r="B25" s="170"/>
      <c r="C25" s="173"/>
      <c r="D25" s="176"/>
      <c r="E25" s="110" t="str">
        <f t="shared" si="12"/>
        <v>San Antonio - Commerce</v>
      </c>
      <c r="F25" s="111" t="s">
        <v>54</v>
      </c>
      <c r="G25" s="112" t="str">
        <f t="shared" si="11"/>
        <v>CP529-Referral</v>
      </c>
      <c r="H25" s="179"/>
      <c r="I25" s="79" t="s">
        <v>34</v>
      </c>
      <c r="J25" s="49">
        <v>50</v>
      </c>
      <c r="K25" s="49">
        <v>50</v>
      </c>
      <c r="L25" s="50" t="s">
        <v>32</v>
      </c>
      <c r="M25" s="50" t="s">
        <v>35</v>
      </c>
      <c r="N25" s="49" t="s">
        <v>35</v>
      </c>
      <c r="O25" s="49" t="s">
        <v>35</v>
      </c>
      <c r="P25" s="49" t="s">
        <v>35</v>
      </c>
      <c r="Q25" s="49" t="s">
        <v>35</v>
      </c>
      <c r="R25" s="113"/>
      <c r="S25" s="117" t="str">
        <f t="shared" si="1"/>
        <v>N</v>
      </c>
      <c r="T25" s="114">
        <f>IFERROR(SUMIF('Current NLData'!A:A,'Payment Changes'!G25,'Current NLData'!K:K)/COUNTIF('Current NLData'!A:A,'Payment Changes'!G25),0)+IFERROR(VLOOKUP(G25&amp;"-ALL",NLPaymentExport,10,FALSE),0)</f>
        <v>0</v>
      </c>
      <c r="U25" s="118" t="str">
        <f t="shared" si="4"/>
        <v/>
      </c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</row>
    <row r="26" spans="1:54" ht="17.100000000000001" hidden="1" customHeight="1" outlineLevel="1" x14ac:dyDescent="0.25">
      <c r="A26" s="3"/>
      <c r="B26" s="134"/>
      <c r="C26" s="31"/>
      <c r="D26" s="183" t="s">
        <v>54</v>
      </c>
      <c r="E26" s="91" t="str">
        <f t="shared" si="12"/>
        <v>San Antonio - Commerce</v>
      </c>
      <c r="F26" s="93" t="str">
        <f t="shared" ref="F26:F54" si="13">IF(D26 = "",F25,D26)</f>
        <v>CP529</v>
      </c>
      <c r="G26" s="99" t="str">
        <f t="shared" si="11"/>
        <v>CP529-NEW DONOR -1st</v>
      </c>
      <c r="H26" s="182" t="s">
        <v>36</v>
      </c>
      <c r="I26" s="80" t="s">
        <v>37</v>
      </c>
      <c r="J26" s="52">
        <v>70</v>
      </c>
      <c r="K26" s="53">
        <v>60</v>
      </c>
      <c r="L26" s="52">
        <v>60</v>
      </c>
      <c r="M26" s="52">
        <v>60</v>
      </c>
      <c r="N26" s="52">
        <v>60</v>
      </c>
      <c r="O26" s="52">
        <v>60</v>
      </c>
      <c r="P26" s="52">
        <v>60</v>
      </c>
      <c r="Q26" s="52">
        <v>60</v>
      </c>
      <c r="R26" s="23"/>
      <c r="S26" s="117" t="str">
        <f t="shared" si="1"/>
        <v>N</v>
      </c>
      <c r="T26" s="114">
        <f>IFERROR(SUMIF('Current NLData'!A:A,'Payment Changes'!G26,'Current NLData'!K:K)/COUNTIF('Current NLData'!A:A,'Payment Changes'!G26),0)+IFERROR(VLOOKUP(G26&amp;"-ALL",NLPaymentExport,10,FALSE),0)</f>
        <v>60</v>
      </c>
      <c r="U26" s="118">
        <f t="shared" si="4"/>
        <v>0</v>
      </c>
    </row>
    <row r="27" spans="1:54" ht="17.100000000000001" hidden="1" customHeight="1" outlineLevel="1" x14ac:dyDescent="0.25">
      <c r="A27" s="3"/>
      <c r="B27" s="135"/>
      <c r="C27" s="30"/>
      <c r="D27" s="184"/>
      <c r="E27" s="91" t="str">
        <f t="shared" si="12"/>
        <v>San Antonio - Commerce</v>
      </c>
      <c r="F27" s="93" t="str">
        <f t="shared" si="13"/>
        <v>CP529</v>
      </c>
      <c r="G27" s="99" t="str">
        <f t="shared" si="11"/>
        <v>CP529-NEW DONOR -2nd</v>
      </c>
      <c r="H27" s="182"/>
      <c r="I27" s="81" t="s">
        <v>38</v>
      </c>
      <c r="J27" s="54">
        <v>70</v>
      </c>
      <c r="K27" s="55">
        <v>70</v>
      </c>
      <c r="L27" s="54">
        <v>60</v>
      </c>
      <c r="M27" s="54">
        <v>60</v>
      </c>
      <c r="N27" s="54">
        <v>60</v>
      </c>
      <c r="O27" s="54">
        <v>60</v>
      </c>
      <c r="P27" s="54">
        <v>60</v>
      </c>
      <c r="Q27" s="54">
        <v>60</v>
      </c>
      <c r="R27" s="23"/>
      <c r="S27" s="117" t="str">
        <f t="shared" si="1"/>
        <v>N</v>
      </c>
      <c r="T27" s="114">
        <f>IFERROR(SUMIF('Current NLData'!A:A,'Payment Changes'!G27,'Current NLData'!K:K)/COUNTIF('Current NLData'!A:A,'Payment Changes'!G27),0)+IFERROR(VLOOKUP(G27&amp;"-ALL",NLPaymentExport,10,FALSE),0)</f>
        <v>60</v>
      </c>
      <c r="U27" s="118">
        <f t="shared" si="4"/>
        <v>0</v>
      </c>
    </row>
    <row r="28" spans="1:54" ht="17.100000000000001" hidden="1" customHeight="1" outlineLevel="1" x14ac:dyDescent="0.25">
      <c r="A28" s="3"/>
      <c r="B28" s="135"/>
      <c r="C28" s="30"/>
      <c r="D28" s="184"/>
      <c r="E28" s="91" t="str">
        <f t="shared" si="12"/>
        <v>San Antonio - Commerce</v>
      </c>
      <c r="F28" s="93" t="str">
        <f t="shared" si="13"/>
        <v>CP529</v>
      </c>
      <c r="G28" s="99" t="str">
        <f t="shared" si="11"/>
        <v>CP529-NEW DONOR -3rd</v>
      </c>
      <c r="H28" s="182"/>
      <c r="I28" s="81" t="s">
        <v>39</v>
      </c>
      <c r="J28" s="54">
        <v>70</v>
      </c>
      <c r="K28" s="55">
        <v>60</v>
      </c>
      <c r="L28" s="54">
        <v>60</v>
      </c>
      <c r="M28" s="54">
        <v>60</v>
      </c>
      <c r="N28" s="54">
        <v>60</v>
      </c>
      <c r="O28" s="54">
        <v>60</v>
      </c>
      <c r="P28" s="54">
        <v>60</v>
      </c>
      <c r="Q28" s="54">
        <v>60</v>
      </c>
      <c r="R28" s="23"/>
      <c r="S28" s="117" t="str">
        <f t="shared" si="1"/>
        <v>N</v>
      </c>
      <c r="T28" s="114">
        <f>IFERROR(SUMIF('Current NLData'!A:A,'Payment Changes'!G28,'Current NLData'!K:K)/COUNTIF('Current NLData'!A:A,'Payment Changes'!G28),0)+IFERROR(VLOOKUP(G28&amp;"-ALL",NLPaymentExport,10,FALSE),0)</f>
        <v>60</v>
      </c>
      <c r="U28" s="118">
        <f t="shared" si="4"/>
        <v>0</v>
      </c>
    </row>
    <row r="29" spans="1:54" ht="17.100000000000001" hidden="1" customHeight="1" outlineLevel="1" x14ac:dyDescent="0.25">
      <c r="A29" s="3"/>
      <c r="B29" s="135"/>
      <c r="C29" s="30"/>
      <c r="D29" s="184"/>
      <c r="E29" s="91" t="str">
        <f t="shared" si="12"/>
        <v>San Antonio - Commerce</v>
      </c>
      <c r="F29" s="93" t="str">
        <f t="shared" si="13"/>
        <v>CP529</v>
      </c>
      <c r="G29" s="99" t="str">
        <f t="shared" si="11"/>
        <v>CP529-NEW DONOR -4th</v>
      </c>
      <c r="H29" s="182"/>
      <c r="I29" s="81" t="s">
        <v>40</v>
      </c>
      <c r="J29" s="54">
        <v>70</v>
      </c>
      <c r="K29" s="55">
        <v>70</v>
      </c>
      <c r="L29" s="54">
        <v>60</v>
      </c>
      <c r="M29" s="54">
        <v>60</v>
      </c>
      <c r="N29" s="54">
        <v>60</v>
      </c>
      <c r="O29" s="54">
        <v>60</v>
      </c>
      <c r="P29" s="54">
        <v>60</v>
      </c>
      <c r="Q29" s="54">
        <v>60</v>
      </c>
      <c r="R29" s="23"/>
      <c r="S29" s="117" t="str">
        <f t="shared" si="1"/>
        <v>N</v>
      </c>
      <c r="T29" s="114">
        <f>IFERROR(SUMIF('Current NLData'!A:A,'Payment Changes'!G29,'Current NLData'!K:K)/COUNTIF('Current NLData'!A:A,'Payment Changes'!G29),0)+IFERROR(VLOOKUP(G29&amp;"-ALL",NLPaymentExport,10,FALSE),0)</f>
        <v>60</v>
      </c>
      <c r="U29" s="118">
        <f t="shared" si="4"/>
        <v>0</v>
      </c>
    </row>
    <row r="30" spans="1:54" ht="17.100000000000001" hidden="1" customHeight="1" outlineLevel="1" x14ac:dyDescent="0.25">
      <c r="A30" s="3"/>
      <c r="B30" s="135"/>
      <c r="C30" s="30"/>
      <c r="D30" s="184"/>
      <c r="E30" s="91" t="str">
        <f t="shared" si="12"/>
        <v>San Antonio - Commerce</v>
      </c>
      <c r="F30" s="93" t="str">
        <f t="shared" si="13"/>
        <v>CP529</v>
      </c>
      <c r="G30" s="99" t="str">
        <f t="shared" si="11"/>
        <v>CP529-NEW DONOR -5th</v>
      </c>
      <c r="H30" s="182"/>
      <c r="I30" s="81" t="s">
        <v>41</v>
      </c>
      <c r="J30" s="54">
        <v>70</v>
      </c>
      <c r="K30" s="55">
        <v>60</v>
      </c>
      <c r="L30" s="54">
        <v>60</v>
      </c>
      <c r="M30" s="54">
        <v>60</v>
      </c>
      <c r="N30" s="54">
        <v>60</v>
      </c>
      <c r="O30" s="54">
        <v>60</v>
      </c>
      <c r="P30" s="54">
        <v>60</v>
      </c>
      <c r="Q30" s="54">
        <v>60</v>
      </c>
      <c r="R30" s="23"/>
      <c r="S30" s="117" t="str">
        <f t="shared" si="1"/>
        <v>N</v>
      </c>
      <c r="T30" s="114">
        <f>IFERROR(SUMIF('Current NLData'!A:A,'Payment Changes'!G30,'Current NLData'!K:K)/COUNTIF('Current NLData'!A:A,'Payment Changes'!G30),0)+IFERROR(VLOOKUP(G30&amp;"-ALL",NLPaymentExport,10,FALSE),0)</f>
        <v>60</v>
      </c>
      <c r="U30" s="118">
        <f t="shared" si="4"/>
        <v>0</v>
      </c>
    </row>
    <row r="31" spans="1:54" ht="17.100000000000001" hidden="1" customHeight="1" outlineLevel="1" x14ac:dyDescent="0.25">
      <c r="A31" s="3"/>
      <c r="B31" s="135"/>
      <c r="C31" s="30"/>
      <c r="D31" s="184"/>
      <c r="E31" s="91" t="str">
        <f t="shared" si="12"/>
        <v>San Antonio - Commerce</v>
      </c>
      <c r="F31" s="93" t="str">
        <f t="shared" si="13"/>
        <v>CP529</v>
      </c>
      <c r="G31" s="99" t="str">
        <f t="shared" si="11"/>
        <v>CP529-NEW DONOR -6th</v>
      </c>
      <c r="H31" s="182"/>
      <c r="I31" s="81" t="s">
        <v>42</v>
      </c>
      <c r="J31" s="54">
        <v>70</v>
      </c>
      <c r="K31" s="55">
        <v>70</v>
      </c>
      <c r="L31" s="54">
        <v>60</v>
      </c>
      <c r="M31" s="54">
        <v>60</v>
      </c>
      <c r="N31" s="54">
        <v>60</v>
      </c>
      <c r="O31" s="54">
        <v>60</v>
      </c>
      <c r="P31" s="54">
        <v>60</v>
      </c>
      <c r="Q31" s="54">
        <v>60</v>
      </c>
      <c r="R31" s="23"/>
      <c r="S31" s="117" t="str">
        <f t="shared" si="1"/>
        <v>N</v>
      </c>
      <c r="T31" s="114">
        <f>IFERROR(SUMIF('Current NLData'!A:A,'Payment Changes'!G31,'Current NLData'!K:K)/COUNTIF('Current NLData'!A:A,'Payment Changes'!G31),0)+IFERROR(VLOOKUP(G31&amp;"-ALL",NLPaymentExport,10,FALSE),0)</f>
        <v>60</v>
      </c>
      <c r="U31" s="118">
        <f t="shared" si="4"/>
        <v>0</v>
      </c>
    </row>
    <row r="32" spans="1:54" ht="17.100000000000001" hidden="1" customHeight="1" outlineLevel="1" x14ac:dyDescent="0.25">
      <c r="A32" s="3"/>
      <c r="B32" s="135"/>
      <c r="C32" s="30"/>
      <c r="D32" s="184"/>
      <c r="E32" s="91" t="str">
        <f t="shared" si="12"/>
        <v>San Antonio - Commerce</v>
      </c>
      <c r="F32" s="93" t="str">
        <f t="shared" si="13"/>
        <v>CP529</v>
      </c>
      <c r="G32" s="99" t="str">
        <f t="shared" si="11"/>
        <v>CP529-NEW DONOR -7th</v>
      </c>
      <c r="H32" s="182"/>
      <c r="I32" s="81" t="s">
        <v>43</v>
      </c>
      <c r="J32" s="54">
        <v>70</v>
      </c>
      <c r="K32" s="55">
        <v>60</v>
      </c>
      <c r="L32" s="54">
        <v>60</v>
      </c>
      <c r="M32" s="54">
        <v>60</v>
      </c>
      <c r="N32" s="54">
        <v>60</v>
      </c>
      <c r="O32" s="54">
        <v>60</v>
      </c>
      <c r="P32" s="54">
        <v>60</v>
      </c>
      <c r="Q32" s="54">
        <v>60</v>
      </c>
      <c r="R32" s="23"/>
      <c r="S32" s="117" t="str">
        <f t="shared" si="1"/>
        <v>N</v>
      </c>
      <c r="T32" s="114">
        <f>IFERROR(SUMIF('Current NLData'!A:A,'Payment Changes'!G32,'Current NLData'!K:K)/COUNTIF('Current NLData'!A:A,'Payment Changes'!G32),0)+IFERROR(VLOOKUP(G32&amp;"-ALL",NLPaymentExport,10,FALSE),0)</f>
        <v>60</v>
      </c>
      <c r="U32" s="118">
        <f t="shared" si="4"/>
        <v>0</v>
      </c>
    </row>
    <row r="33" spans="1:54" ht="17.100000000000001" hidden="1" customHeight="1" outlineLevel="1" x14ac:dyDescent="0.25">
      <c r="A33" s="3"/>
      <c r="B33" s="135"/>
      <c r="C33" s="30"/>
      <c r="D33" s="184"/>
      <c r="E33" s="91" t="str">
        <f t="shared" si="12"/>
        <v>San Antonio - Commerce</v>
      </c>
      <c r="F33" s="93" t="str">
        <f t="shared" si="13"/>
        <v>CP529</v>
      </c>
      <c r="G33" s="99" t="str">
        <f t="shared" si="11"/>
        <v>CP529-NEW DONOR -8th</v>
      </c>
      <c r="H33" s="182"/>
      <c r="I33" s="81" t="s">
        <v>44</v>
      </c>
      <c r="J33" s="54">
        <v>70</v>
      </c>
      <c r="K33" s="55">
        <v>70</v>
      </c>
      <c r="L33" s="54">
        <v>60</v>
      </c>
      <c r="M33" s="54">
        <v>60</v>
      </c>
      <c r="N33" s="54">
        <v>60</v>
      </c>
      <c r="O33" s="54">
        <v>60</v>
      </c>
      <c r="P33" s="54">
        <v>60</v>
      </c>
      <c r="Q33" s="54">
        <v>60</v>
      </c>
      <c r="R33" s="23"/>
      <c r="S33" s="117" t="str">
        <f t="shared" si="1"/>
        <v>N</v>
      </c>
      <c r="T33" s="114">
        <f>IFERROR(SUMIF('Current NLData'!A:A,'Payment Changes'!G33,'Current NLData'!K:K)/COUNTIF('Current NLData'!A:A,'Payment Changes'!G33),0)+IFERROR(VLOOKUP(G33&amp;"-ALL",NLPaymentExport,10,FALSE),0)</f>
        <v>60</v>
      </c>
      <c r="U33" s="118">
        <f t="shared" si="4"/>
        <v>0</v>
      </c>
    </row>
    <row r="34" spans="1:54" ht="17.100000000000001" hidden="1" customHeight="1" outlineLevel="1" x14ac:dyDescent="0.25">
      <c r="A34" s="3"/>
      <c r="B34" s="135"/>
      <c r="C34" s="30"/>
      <c r="D34" s="184"/>
      <c r="E34" s="91" t="str">
        <f t="shared" si="12"/>
        <v>San Antonio - Commerce</v>
      </c>
      <c r="F34" s="93" t="str">
        <f t="shared" si="13"/>
        <v>CP529</v>
      </c>
      <c r="G34" s="99" t="str">
        <f t="shared" si="11"/>
        <v>CP529-RETURN - 1st don of the week -STD</v>
      </c>
      <c r="H34" s="182"/>
      <c r="I34" s="82" t="s">
        <v>45</v>
      </c>
      <c r="J34" s="54">
        <v>70</v>
      </c>
      <c r="K34" s="54">
        <v>60</v>
      </c>
      <c r="L34" s="54">
        <v>60</v>
      </c>
      <c r="M34" s="54">
        <v>60</v>
      </c>
      <c r="N34" s="54">
        <v>60</v>
      </c>
      <c r="O34" s="54">
        <v>60</v>
      </c>
      <c r="P34" s="54">
        <v>60</v>
      </c>
      <c r="Q34" s="54">
        <v>60</v>
      </c>
      <c r="R34" s="23"/>
      <c r="S34" s="117" t="str">
        <f t="shared" si="1"/>
        <v>N</v>
      </c>
      <c r="T34" s="114">
        <f>IFERROR(SUMIF('Current NLData'!A:A,'Payment Changes'!G34,'Current NLData'!K:K)/COUNTIF('Current NLData'!A:A,'Payment Changes'!G34),0)+IFERROR(VLOOKUP(G34&amp;"-ALL",NLPaymentExport,10,FALSE),0)</f>
        <v>60</v>
      </c>
      <c r="U34" s="118">
        <f t="shared" si="4"/>
        <v>0</v>
      </c>
    </row>
    <row r="35" spans="1:54" ht="17.100000000000001" hidden="1" customHeight="1" outlineLevel="1" x14ac:dyDescent="0.25">
      <c r="A35" s="3"/>
      <c r="B35" s="135"/>
      <c r="C35" s="30"/>
      <c r="D35" s="184"/>
      <c r="E35" s="91" t="str">
        <f t="shared" ref="E35:E40" si="14">IF(B35 = "",E34,B35)</f>
        <v>San Antonio - Commerce</v>
      </c>
      <c r="F35" s="93" t="str">
        <f t="shared" ref="F35:F40" si="15">IF(D35 = "",F34,D35)</f>
        <v>CP529</v>
      </c>
      <c r="G35" s="99" t="str">
        <f t="shared" si="11"/>
        <v>CP529-RETURN - 2nd don of the week -BONUS</v>
      </c>
      <c r="H35" s="182"/>
      <c r="I35" s="82" t="s">
        <v>46</v>
      </c>
      <c r="J35" s="54">
        <v>0</v>
      </c>
      <c r="K35" s="54">
        <v>10</v>
      </c>
      <c r="L35" s="54">
        <v>10</v>
      </c>
      <c r="M35" s="54">
        <v>20</v>
      </c>
      <c r="N35" s="54">
        <v>20</v>
      </c>
      <c r="O35" s="54">
        <v>20</v>
      </c>
      <c r="P35" s="54">
        <v>20</v>
      </c>
      <c r="Q35" s="54">
        <v>20</v>
      </c>
      <c r="R35" s="23"/>
      <c r="S35" s="117" t="str">
        <f t="shared" si="1"/>
        <v>N</v>
      </c>
      <c r="T35" s="114">
        <f>IFERROR(SUMIF('Current NLData'!A:A,'Payment Changes'!G35,'Current NLData'!K:K)/COUNTIF('Current NLData'!A:A,'Payment Changes'!G35),0)+IFERROR(VLOOKUP(G35&amp;"-ALL",NLPaymentExport,10,FALSE),0)</f>
        <v>20</v>
      </c>
      <c r="U35" s="118">
        <f t="shared" si="4"/>
        <v>0</v>
      </c>
    </row>
    <row r="36" spans="1:54" ht="17.100000000000001" hidden="1" customHeight="1" outlineLevel="1" x14ac:dyDescent="0.25">
      <c r="A36" s="3"/>
      <c r="B36" s="135"/>
      <c r="C36" s="30"/>
      <c r="D36" s="184"/>
      <c r="E36" s="91" t="str">
        <f t="shared" si="14"/>
        <v>San Antonio - Commerce</v>
      </c>
      <c r="F36" s="93" t="str">
        <f t="shared" si="15"/>
        <v>CP529</v>
      </c>
      <c r="G36" s="99" t="str">
        <f t="shared" si="11"/>
        <v>CP529-RETURN - 5th don of the month -BONUS</v>
      </c>
      <c r="H36" s="182"/>
      <c r="I36" s="83" t="s">
        <v>47</v>
      </c>
      <c r="J36" s="54">
        <v>0</v>
      </c>
      <c r="K36" s="54">
        <v>0</v>
      </c>
      <c r="L36" s="54">
        <v>0</v>
      </c>
      <c r="M36" s="54">
        <v>0</v>
      </c>
      <c r="N36" s="54">
        <v>0</v>
      </c>
      <c r="O36" s="54">
        <v>0</v>
      </c>
      <c r="P36" s="54">
        <v>0</v>
      </c>
      <c r="Q36" s="54">
        <v>0</v>
      </c>
      <c r="R36" s="22"/>
      <c r="S36" s="117" t="str">
        <f t="shared" si="1"/>
        <v>N</v>
      </c>
      <c r="T36" s="114">
        <f>IFERROR(SUMIF('Current NLData'!A:A,'Payment Changes'!G36,'Current NLData'!K:K)/COUNTIF('Current NLData'!A:A,'Payment Changes'!G36),0)+IFERROR(VLOOKUP(G36&amp;"-ALL",NLPaymentExport,10,FALSE),0)</f>
        <v>0</v>
      </c>
      <c r="U36" s="118">
        <f t="shared" si="4"/>
        <v>0</v>
      </c>
    </row>
    <row r="37" spans="1:54" ht="17.100000000000001" hidden="1" customHeight="1" outlineLevel="1" x14ac:dyDescent="0.25">
      <c r="A37" s="3"/>
      <c r="B37" s="135"/>
      <c r="C37" s="30"/>
      <c r="D37" s="184"/>
      <c r="E37" s="91" t="str">
        <f t="shared" si="14"/>
        <v>San Antonio - Commerce</v>
      </c>
      <c r="F37" s="93" t="str">
        <f t="shared" si="15"/>
        <v>CP529</v>
      </c>
      <c r="G37" s="99" t="str">
        <f t="shared" si="11"/>
        <v>CP529-RETURN - 6th don of the month -BONUS</v>
      </c>
      <c r="H37" s="182"/>
      <c r="I37" s="83" t="s">
        <v>48</v>
      </c>
      <c r="J37" s="54">
        <v>0</v>
      </c>
      <c r="K37" s="54">
        <v>0</v>
      </c>
      <c r="L37" s="54">
        <v>0</v>
      </c>
      <c r="M37" s="54">
        <v>30</v>
      </c>
      <c r="N37" s="54">
        <v>30</v>
      </c>
      <c r="O37" s="54">
        <v>30</v>
      </c>
      <c r="P37" s="54">
        <v>30</v>
      </c>
      <c r="Q37" s="54">
        <v>30</v>
      </c>
      <c r="R37" s="22"/>
      <c r="S37" s="117" t="str">
        <f t="shared" si="1"/>
        <v>N</v>
      </c>
      <c r="T37" s="114">
        <f>IFERROR(SUMIF('Current NLData'!A:A,'Payment Changes'!G37,'Current NLData'!K:K)/COUNTIF('Current NLData'!A:A,'Payment Changes'!G37),0)+IFERROR(VLOOKUP(G37&amp;"-ALL",NLPaymentExport,10,FALSE),0)</f>
        <v>30</v>
      </c>
      <c r="U37" s="118">
        <f t="shared" si="4"/>
        <v>0</v>
      </c>
    </row>
    <row r="38" spans="1:54" ht="17.100000000000001" hidden="1" customHeight="1" outlineLevel="1" x14ac:dyDescent="0.25">
      <c r="A38" s="3"/>
      <c r="B38" s="135"/>
      <c r="C38" s="30"/>
      <c r="D38" s="184"/>
      <c r="E38" s="91" t="str">
        <f t="shared" si="14"/>
        <v>San Antonio - Commerce</v>
      </c>
      <c r="F38" s="93" t="str">
        <f t="shared" si="15"/>
        <v>CP529</v>
      </c>
      <c r="G38" s="99" t="str">
        <f t="shared" si="11"/>
        <v>CP529-RETURN - 7th don of the month -BONUS</v>
      </c>
      <c r="H38" s="182"/>
      <c r="I38" s="83" t="s">
        <v>49</v>
      </c>
      <c r="J38" s="54">
        <v>0</v>
      </c>
      <c r="K38" s="54">
        <v>0</v>
      </c>
      <c r="L38" s="54">
        <v>0</v>
      </c>
      <c r="M38" s="54">
        <v>0</v>
      </c>
      <c r="N38" s="54">
        <v>0</v>
      </c>
      <c r="O38" s="54">
        <v>0</v>
      </c>
      <c r="P38" s="54">
        <v>0</v>
      </c>
      <c r="Q38" s="54">
        <v>0</v>
      </c>
      <c r="R38" s="22"/>
      <c r="S38" s="117" t="str">
        <f t="shared" si="1"/>
        <v>N</v>
      </c>
      <c r="T38" s="114">
        <f>IFERROR(SUMIF('Current NLData'!A:A,'Payment Changes'!G38,'Current NLData'!K:K)/COUNTIF('Current NLData'!A:A,'Payment Changes'!G38),0)+IFERROR(VLOOKUP(G38&amp;"-ALL",NLPaymentExport,10,FALSE),0)</f>
        <v>0</v>
      </c>
      <c r="U38" s="118">
        <f t="shared" si="4"/>
        <v>0</v>
      </c>
    </row>
    <row r="39" spans="1:54" ht="17.100000000000001" hidden="1" customHeight="1" outlineLevel="1" x14ac:dyDescent="0.25">
      <c r="A39" s="3"/>
      <c r="B39" s="135"/>
      <c r="C39" s="30"/>
      <c r="D39" s="184"/>
      <c r="E39" s="91" t="str">
        <f t="shared" si="14"/>
        <v>San Antonio - Commerce</v>
      </c>
      <c r="F39" s="93" t="str">
        <f t="shared" si="15"/>
        <v>CP529</v>
      </c>
      <c r="G39" s="99" t="str">
        <f t="shared" si="11"/>
        <v>CP529-RETURN - 8th don of the month -BONUS</v>
      </c>
      <c r="H39" s="182"/>
      <c r="I39" s="83" t="s">
        <v>50</v>
      </c>
      <c r="J39" s="54">
        <v>25</v>
      </c>
      <c r="K39" s="54">
        <v>25</v>
      </c>
      <c r="L39" s="54">
        <v>0</v>
      </c>
      <c r="M39" s="54">
        <v>0</v>
      </c>
      <c r="N39" s="54">
        <v>0</v>
      </c>
      <c r="O39" s="54">
        <v>0</v>
      </c>
      <c r="P39" s="54">
        <v>0</v>
      </c>
      <c r="Q39" s="54">
        <v>0</v>
      </c>
      <c r="R39" s="23"/>
      <c r="S39" s="117" t="str">
        <f t="shared" si="1"/>
        <v>N</v>
      </c>
      <c r="T39" s="114">
        <f>IFERROR(SUMIF('Current NLData'!A:A,'Payment Changes'!G39,'Current NLData'!K:K)/COUNTIF('Current NLData'!A:A,'Payment Changes'!G39),0)+IFERROR(VLOOKUP(G39&amp;"-ALL",NLPaymentExport,10,FALSE),0)</f>
        <v>0</v>
      </c>
      <c r="U39" s="118">
        <f t="shared" si="4"/>
        <v>0</v>
      </c>
    </row>
    <row r="40" spans="1:54" ht="17.100000000000001" hidden="1" customHeight="1" outlineLevel="1" x14ac:dyDescent="0.25">
      <c r="A40" s="3"/>
      <c r="B40" s="135"/>
      <c r="C40" s="30" t="str">
        <f>IF(J40=0,"Warning","")</f>
        <v/>
      </c>
      <c r="D40" s="184"/>
      <c r="E40" s="91" t="str">
        <f t="shared" si="14"/>
        <v>San Antonio - Commerce</v>
      </c>
      <c r="F40" s="93" t="str">
        <f t="shared" si="15"/>
        <v>CP529</v>
      </c>
      <c r="G40" s="99" t="str">
        <f t="shared" si="11"/>
        <v>CP529-RETURN - Buddy referral  -BONUS</v>
      </c>
      <c r="H40" s="182"/>
      <c r="I40" s="83" t="s">
        <v>51</v>
      </c>
      <c r="J40" s="54">
        <v>50</v>
      </c>
      <c r="K40" s="54">
        <v>50</v>
      </c>
      <c r="L40" s="54">
        <v>0</v>
      </c>
      <c r="M40" s="54">
        <v>50</v>
      </c>
      <c r="N40" s="54">
        <v>50</v>
      </c>
      <c r="O40" s="54">
        <v>50</v>
      </c>
      <c r="P40" s="54">
        <v>50</v>
      </c>
      <c r="Q40" s="54">
        <v>50</v>
      </c>
      <c r="R40" s="22"/>
      <c r="S40" s="117" t="str">
        <f t="shared" si="1"/>
        <v>N</v>
      </c>
      <c r="T40" s="114">
        <f>IFERROR(SUMIF('Current NLData'!A:A,'Payment Changes'!G40,'Current NLData'!K:K)/COUNTIF('Current NLData'!A:A,'Payment Changes'!G40),0)+IFERROR(VLOOKUP(G40&amp;"-ALL",NLPaymentExport,10,FALSE),0)</f>
        <v>50</v>
      </c>
      <c r="U40" s="118">
        <f t="shared" si="4"/>
        <v>0</v>
      </c>
    </row>
    <row r="41" spans="1:54" s="90" customFormat="1" ht="17.100000000000001" hidden="1" customHeight="1" collapsed="1" x14ac:dyDescent="0.35">
      <c r="A41" s="85"/>
      <c r="B41" s="85"/>
      <c r="C41" s="86"/>
      <c r="D41" s="87"/>
      <c r="E41" s="87"/>
      <c r="F41" s="87"/>
      <c r="G41" s="87"/>
      <c r="H41" s="96"/>
      <c r="I41" s="88"/>
      <c r="J41" s="89"/>
      <c r="K41" s="89"/>
      <c r="L41" s="89"/>
      <c r="M41" s="89"/>
      <c r="N41" s="89"/>
      <c r="O41" s="89"/>
      <c r="P41" s="89"/>
      <c r="Q41" s="89"/>
      <c r="R41" s="21"/>
      <c r="S41" s="117" t="str">
        <f t="shared" si="1"/>
        <v>N</v>
      </c>
      <c r="T41" s="114">
        <f>IFERROR(SUMIF('Current NLData'!A:A,'Payment Changes'!G41,'Current NLData'!K:K)/COUNTIF('Current NLData'!A:A,'Payment Changes'!G41),0)+IFERROR(VLOOKUP(G41&amp;"-ALL",NLPaymentExport,10,FALSE),0)</f>
        <v>0</v>
      </c>
      <c r="U41" s="118" t="str">
        <f t="shared" si="4"/>
        <v/>
      </c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</row>
    <row r="42" spans="1:54" s="10" customFormat="1" ht="17.100000000000001" hidden="1" customHeight="1" x14ac:dyDescent="0.25">
      <c r="A42" s="165">
        <v>3</v>
      </c>
      <c r="B42" s="168" t="s">
        <v>56</v>
      </c>
      <c r="C42" s="171" t="s">
        <v>19</v>
      </c>
      <c r="D42" s="174" t="s">
        <v>57</v>
      </c>
      <c r="E42" s="106" t="str">
        <f t="shared" si="12"/>
        <v>Laredo</v>
      </c>
      <c r="F42" s="107" t="s">
        <v>58</v>
      </c>
      <c r="G42" s="108" t="str">
        <f t="shared" ref="G42:G80" si="16">F42&amp;"-"&amp;I42</f>
        <v>CP228-New Donor</v>
      </c>
      <c r="H42" s="177" t="s">
        <v>22</v>
      </c>
      <c r="I42" s="76" t="s">
        <v>23</v>
      </c>
      <c r="J42" s="40" t="s">
        <v>59</v>
      </c>
      <c r="K42" s="41" t="s">
        <v>60</v>
      </c>
      <c r="L42" s="41" t="s">
        <v>61</v>
      </c>
      <c r="M42" s="42" t="s">
        <v>61</v>
      </c>
      <c r="N42" s="40" t="s">
        <v>61</v>
      </c>
      <c r="O42" s="40" t="s">
        <v>62</v>
      </c>
      <c r="P42" s="40" t="s">
        <v>62</v>
      </c>
      <c r="Q42" s="40" t="s">
        <v>63</v>
      </c>
      <c r="R42" s="109"/>
      <c r="S42" s="117" t="str">
        <f t="shared" si="1"/>
        <v>Y</v>
      </c>
      <c r="T42" s="114">
        <f>IFERROR(SUMIF('Current NLData'!A:A,'Payment Changes'!G42,'Current NLData'!K:K)/COUNTIF('Current NLData'!A:A,'Payment Changes'!G42),0)+IFERROR(VLOOKUP(G42&amp;"-ALL",NLPaymentExport,10,FALSE),0)</f>
        <v>0</v>
      </c>
      <c r="U42" s="118" t="str">
        <f t="shared" si="4"/>
        <v/>
      </c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</row>
    <row r="43" spans="1:54" ht="17.100000000000001" hidden="1" customHeight="1" x14ac:dyDescent="0.25">
      <c r="A43" s="166"/>
      <c r="B43" s="169"/>
      <c r="C43" s="172"/>
      <c r="D43" s="175"/>
      <c r="E43" s="91" t="str">
        <f t="shared" si="12"/>
        <v>Laredo</v>
      </c>
      <c r="F43" s="92" t="s">
        <v>58</v>
      </c>
      <c r="G43" s="98" t="str">
        <f t="shared" si="16"/>
        <v>CP228-Return Donor</v>
      </c>
      <c r="H43" s="178"/>
      <c r="I43" s="77" t="s">
        <v>29</v>
      </c>
      <c r="J43" s="43" t="s">
        <v>59</v>
      </c>
      <c r="K43" s="43" t="s">
        <v>61</v>
      </c>
      <c r="L43" s="44" t="s">
        <v>61</v>
      </c>
      <c r="M43" s="45" t="s">
        <v>61</v>
      </c>
      <c r="N43" s="43" t="s">
        <v>61</v>
      </c>
      <c r="O43" s="43" t="s">
        <v>62</v>
      </c>
      <c r="P43" s="43" t="s">
        <v>62</v>
      </c>
      <c r="Q43" s="43" t="s">
        <v>64</v>
      </c>
      <c r="R43" s="21"/>
      <c r="S43" s="117" t="str">
        <f t="shared" si="1"/>
        <v>Y</v>
      </c>
      <c r="T43" s="114">
        <f>IFERROR(SUMIF('Current NLData'!A:A,'Payment Changes'!G43,'Current NLData'!K:K)/COUNTIF('Current NLData'!A:A,'Payment Changes'!G43),0)+IFERROR(VLOOKUP(G43&amp;"-ALL",NLPaymentExport,10,FALSE),0)</f>
        <v>0</v>
      </c>
      <c r="U43" s="118" t="str">
        <f t="shared" si="4"/>
        <v/>
      </c>
    </row>
    <row r="44" spans="1:54" ht="17.100000000000001" hidden="1" customHeight="1" x14ac:dyDescent="0.25">
      <c r="A44" s="166"/>
      <c r="B44" s="169"/>
      <c r="C44" s="172"/>
      <c r="D44" s="175"/>
      <c r="E44" s="91" t="str">
        <f t="shared" si="12"/>
        <v>Laredo</v>
      </c>
      <c r="F44" s="92" t="s">
        <v>58</v>
      </c>
      <c r="G44" s="98" t="str">
        <f t="shared" si="16"/>
        <v>CP228-Retention Bonus</v>
      </c>
      <c r="H44" s="178"/>
      <c r="I44" s="78" t="s">
        <v>30</v>
      </c>
      <c r="J44" s="46" t="s">
        <v>31</v>
      </c>
      <c r="K44" s="46" t="s">
        <v>31</v>
      </c>
      <c r="L44" s="47" t="s">
        <v>32</v>
      </c>
      <c r="M44" s="48" t="s">
        <v>32</v>
      </c>
      <c r="N44" s="46" t="s">
        <v>32</v>
      </c>
      <c r="O44" s="46" t="s">
        <v>33</v>
      </c>
      <c r="P44" s="46" t="s">
        <v>33</v>
      </c>
      <c r="Q44" s="46" t="s">
        <v>33</v>
      </c>
      <c r="R44" s="21"/>
      <c r="S44" s="117" t="str">
        <f t="shared" si="1"/>
        <v>N</v>
      </c>
      <c r="T44" s="114">
        <f>IFERROR(SUMIF('Current NLData'!A:A,'Payment Changes'!G44,'Current NLData'!K:K)/COUNTIF('Current NLData'!A:A,'Payment Changes'!G44),0)+IFERROR(VLOOKUP(G44&amp;"-ALL",NLPaymentExport,10,FALSE),0)</f>
        <v>0</v>
      </c>
      <c r="U44" s="118" t="str">
        <f t="shared" si="4"/>
        <v/>
      </c>
    </row>
    <row r="45" spans="1:54" s="15" customFormat="1" ht="17.100000000000001" hidden="1" customHeight="1" x14ac:dyDescent="0.25">
      <c r="A45" s="167"/>
      <c r="B45" s="170"/>
      <c r="C45" s="173"/>
      <c r="D45" s="176"/>
      <c r="E45" s="110" t="str">
        <f t="shared" si="12"/>
        <v>Laredo</v>
      </c>
      <c r="F45" s="111" t="s">
        <v>58</v>
      </c>
      <c r="G45" s="112" t="str">
        <f t="shared" si="16"/>
        <v>CP228-Referral</v>
      </c>
      <c r="H45" s="179"/>
      <c r="I45" s="79" t="s">
        <v>34</v>
      </c>
      <c r="J45" s="49">
        <v>50</v>
      </c>
      <c r="K45" s="49">
        <v>50</v>
      </c>
      <c r="L45" s="50" t="s">
        <v>32</v>
      </c>
      <c r="M45" s="51" t="s">
        <v>32</v>
      </c>
      <c r="N45" s="49" t="s">
        <v>32</v>
      </c>
      <c r="O45" s="49" t="s">
        <v>35</v>
      </c>
      <c r="P45" s="49" t="s">
        <v>35</v>
      </c>
      <c r="Q45" s="49" t="s">
        <v>35</v>
      </c>
      <c r="R45" s="113"/>
      <c r="S45" s="117" t="str">
        <f t="shared" si="1"/>
        <v>N</v>
      </c>
      <c r="T45" s="114">
        <f>IFERROR(SUMIF('Current NLData'!A:A,'Payment Changes'!G45,'Current NLData'!K:K)/COUNTIF('Current NLData'!A:A,'Payment Changes'!G45),0)+IFERROR(VLOOKUP(G45&amp;"-ALL",NLPaymentExport,10,FALSE),0)</f>
        <v>0</v>
      </c>
      <c r="U45" s="118" t="str">
        <f t="shared" si="4"/>
        <v/>
      </c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</row>
    <row r="46" spans="1:54" ht="17.100000000000001" hidden="1" customHeight="1" outlineLevel="1" x14ac:dyDescent="0.25">
      <c r="A46" s="3"/>
      <c r="B46" s="134"/>
      <c r="C46" s="31"/>
      <c r="D46" s="183" t="s">
        <v>58</v>
      </c>
      <c r="E46" s="91" t="str">
        <f t="shared" si="12"/>
        <v>Laredo</v>
      </c>
      <c r="F46" s="93" t="str">
        <f>IF(D46 = "",#REF!,D46)</f>
        <v>CP228</v>
      </c>
      <c r="G46" s="99" t="str">
        <f t="shared" si="16"/>
        <v>CP228-NEW DONOR -1st</v>
      </c>
      <c r="H46" s="182" t="s">
        <v>36</v>
      </c>
      <c r="I46" s="80" t="s">
        <v>37</v>
      </c>
      <c r="J46" s="52">
        <v>65</v>
      </c>
      <c r="K46" s="53">
        <v>55</v>
      </c>
      <c r="L46" s="52">
        <v>55</v>
      </c>
      <c r="M46" s="52">
        <v>55</v>
      </c>
      <c r="N46" s="52">
        <v>55</v>
      </c>
      <c r="O46" s="52">
        <v>65</v>
      </c>
      <c r="P46" s="52">
        <v>65</v>
      </c>
      <c r="Q46" s="52">
        <v>100</v>
      </c>
      <c r="R46" s="23"/>
      <c r="S46" s="117" t="str">
        <f t="shared" si="1"/>
        <v>Y</v>
      </c>
      <c r="T46" s="114">
        <f>IFERROR(SUMIF('Current NLData'!A:A,'Payment Changes'!G46,'Current NLData'!K:K)/COUNTIF('Current NLData'!A:A,'Payment Changes'!G46),0)+IFERROR(VLOOKUP(G46&amp;"-ALL",NLPaymentExport,10,FALSE),0)</f>
        <v>65</v>
      </c>
      <c r="U46" s="118">
        <f t="shared" si="4"/>
        <v>-35</v>
      </c>
    </row>
    <row r="47" spans="1:54" ht="17.100000000000001" hidden="1" customHeight="1" outlineLevel="1" x14ac:dyDescent="0.25">
      <c r="A47" s="3"/>
      <c r="B47" s="135"/>
      <c r="C47" s="30"/>
      <c r="D47" s="184"/>
      <c r="E47" s="91" t="str">
        <f t="shared" si="12"/>
        <v>Laredo</v>
      </c>
      <c r="F47" s="93" t="str">
        <f t="shared" si="13"/>
        <v>CP228</v>
      </c>
      <c r="G47" s="99" t="str">
        <f t="shared" si="16"/>
        <v>CP228-NEW DONOR -2nd</v>
      </c>
      <c r="H47" s="182"/>
      <c r="I47" s="81" t="s">
        <v>38</v>
      </c>
      <c r="J47" s="54">
        <v>65</v>
      </c>
      <c r="K47" s="55">
        <v>65</v>
      </c>
      <c r="L47" s="54">
        <v>55</v>
      </c>
      <c r="M47" s="54">
        <v>55</v>
      </c>
      <c r="N47" s="54">
        <v>55</v>
      </c>
      <c r="O47" s="54">
        <v>65</v>
      </c>
      <c r="P47" s="54">
        <v>65</v>
      </c>
      <c r="Q47" s="54">
        <v>100</v>
      </c>
      <c r="R47" s="23"/>
      <c r="S47" s="117" t="str">
        <f t="shared" si="1"/>
        <v>Y</v>
      </c>
      <c r="T47" s="114">
        <f>IFERROR(SUMIF('Current NLData'!A:A,'Payment Changes'!G47,'Current NLData'!K:K)/COUNTIF('Current NLData'!A:A,'Payment Changes'!G47),0)+IFERROR(VLOOKUP(G47&amp;"-ALL",NLPaymentExport,10,FALSE),0)</f>
        <v>65</v>
      </c>
      <c r="U47" s="118">
        <f t="shared" si="4"/>
        <v>-35</v>
      </c>
    </row>
    <row r="48" spans="1:54" ht="17.100000000000001" hidden="1" customHeight="1" outlineLevel="1" x14ac:dyDescent="0.25">
      <c r="A48" s="3"/>
      <c r="B48" s="135"/>
      <c r="C48" s="30"/>
      <c r="D48" s="184"/>
      <c r="E48" s="91" t="str">
        <f t="shared" si="12"/>
        <v>Laredo</v>
      </c>
      <c r="F48" s="93" t="str">
        <f t="shared" si="13"/>
        <v>CP228</v>
      </c>
      <c r="G48" s="99" t="str">
        <f t="shared" si="16"/>
        <v>CP228-NEW DONOR -3rd</v>
      </c>
      <c r="H48" s="182"/>
      <c r="I48" s="81" t="s">
        <v>39</v>
      </c>
      <c r="J48" s="54">
        <v>65</v>
      </c>
      <c r="K48" s="55">
        <v>55</v>
      </c>
      <c r="L48" s="54">
        <v>55</v>
      </c>
      <c r="M48" s="54">
        <v>55</v>
      </c>
      <c r="N48" s="54">
        <v>55</v>
      </c>
      <c r="O48" s="54">
        <v>65</v>
      </c>
      <c r="P48" s="54">
        <v>65</v>
      </c>
      <c r="Q48" s="54">
        <v>100</v>
      </c>
      <c r="R48" s="23"/>
      <c r="S48" s="117" t="str">
        <f t="shared" si="1"/>
        <v>Y</v>
      </c>
      <c r="T48" s="114">
        <f>IFERROR(SUMIF('Current NLData'!A:A,'Payment Changes'!G48,'Current NLData'!K:K)/COUNTIF('Current NLData'!A:A,'Payment Changes'!G48),0)+IFERROR(VLOOKUP(G48&amp;"-ALL",NLPaymentExport,10,FALSE),0)</f>
        <v>65</v>
      </c>
      <c r="U48" s="118">
        <f t="shared" si="4"/>
        <v>-35</v>
      </c>
    </row>
    <row r="49" spans="1:54" ht="17.100000000000001" hidden="1" customHeight="1" outlineLevel="1" x14ac:dyDescent="0.25">
      <c r="A49" s="3"/>
      <c r="B49" s="135"/>
      <c r="C49" s="30"/>
      <c r="D49" s="184"/>
      <c r="E49" s="91" t="str">
        <f t="shared" si="12"/>
        <v>Laredo</v>
      </c>
      <c r="F49" s="93" t="str">
        <f t="shared" si="13"/>
        <v>CP228</v>
      </c>
      <c r="G49" s="99" t="str">
        <f t="shared" si="16"/>
        <v>CP228-NEW DONOR -4th</v>
      </c>
      <c r="H49" s="182"/>
      <c r="I49" s="81" t="s">
        <v>40</v>
      </c>
      <c r="J49" s="54">
        <v>65</v>
      </c>
      <c r="K49" s="55">
        <v>65</v>
      </c>
      <c r="L49" s="54">
        <v>55</v>
      </c>
      <c r="M49" s="54">
        <v>55</v>
      </c>
      <c r="N49" s="54">
        <v>55</v>
      </c>
      <c r="O49" s="54">
        <v>65</v>
      </c>
      <c r="P49" s="54">
        <v>65</v>
      </c>
      <c r="Q49" s="54">
        <v>100</v>
      </c>
      <c r="R49" s="23"/>
      <c r="S49" s="117" t="str">
        <f t="shared" si="1"/>
        <v>Y</v>
      </c>
      <c r="T49" s="114">
        <f>IFERROR(SUMIF('Current NLData'!A:A,'Payment Changes'!G49,'Current NLData'!K:K)/COUNTIF('Current NLData'!A:A,'Payment Changes'!G49),0)+IFERROR(VLOOKUP(G49&amp;"-ALL",NLPaymentExport,10,FALSE),0)</f>
        <v>65</v>
      </c>
      <c r="U49" s="118">
        <f t="shared" si="4"/>
        <v>-35</v>
      </c>
    </row>
    <row r="50" spans="1:54" ht="17.100000000000001" hidden="1" customHeight="1" outlineLevel="1" x14ac:dyDescent="0.25">
      <c r="A50" s="3"/>
      <c r="B50" s="135"/>
      <c r="C50" s="30"/>
      <c r="D50" s="184"/>
      <c r="E50" s="91" t="str">
        <f t="shared" si="12"/>
        <v>Laredo</v>
      </c>
      <c r="F50" s="93" t="str">
        <f t="shared" si="13"/>
        <v>CP228</v>
      </c>
      <c r="G50" s="99" t="str">
        <f t="shared" si="16"/>
        <v>CP228-NEW DONOR -5th</v>
      </c>
      <c r="H50" s="182"/>
      <c r="I50" s="81" t="s">
        <v>41</v>
      </c>
      <c r="J50" s="54">
        <v>65</v>
      </c>
      <c r="K50" s="55">
        <v>55</v>
      </c>
      <c r="L50" s="54">
        <v>55</v>
      </c>
      <c r="M50" s="54">
        <v>55</v>
      </c>
      <c r="N50" s="54">
        <v>55</v>
      </c>
      <c r="O50" s="54">
        <v>65</v>
      </c>
      <c r="P50" s="54">
        <v>65</v>
      </c>
      <c r="Q50" s="54">
        <v>55</v>
      </c>
      <c r="R50" s="23"/>
      <c r="S50" s="117" t="str">
        <f t="shared" si="1"/>
        <v>Y</v>
      </c>
      <c r="T50" s="114">
        <f>IFERROR(SUMIF('Current NLData'!A:A,'Payment Changes'!G50,'Current NLData'!K:K)/COUNTIF('Current NLData'!A:A,'Payment Changes'!G50),0)+IFERROR(VLOOKUP(G50&amp;"-ALL",NLPaymentExport,10,FALSE),0)</f>
        <v>65</v>
      </c>
      <c r="U50" s="118">
        <f t="shared" si="4"/>
        <v>10</v>
      </c>
    </row>
    <row r="51" spans="1:54" ht="17.100000000000001" hidden="1" customHeight="1" outlineLevel="1" x14ac:dyDescent="0.25">
      <c r="A51" s="3"/>
      <c r="B51" s="135"/>
      <c r="C51" s="30"/>
      <c r="D51" s="184"/>
      <c r="E51" s="91" t="str">
        <f t="shared" si="12"/>
        <v>Laredo</v>
      </c>
      <c r="F51" s="93" t="str">
        <f t="shared" si="13"/>
        <v>CP228</v>
      </c>
      <c r="G51" s="99" t="str">
        <f t="shared" si="16"/>
        <v>CP228-NEW DONOR -6th</v>
      </c>
      <c r="H51" s="182"/>
      <c r="I51" s="81" t="s">
        <v>42</v>
      </c>
      <c r="J51" s="54">
        <v>65</v>
      </c>
      <c r="K51" s="55">
        <v>65</v>
      </c>
      <c r="L51" s="54">
        <v>55</v>
      </c>
      <c r="M51" s="54">
        <v>55</v>
      </c>
      <c r="N51" s="54">
        <v>55</v>
      </c>
      <c r="O51" s="54">
        <v>65</v>
      </c>
      <c r="P51" s="54">
        <v>65</v>
      </c>
      <c r="Q51" s="54">
        <v>55</v>
      </c>
      <c r="R51" s="23"/>
      <c r="S51" s="117" t="str">
        <f t="shared" si="1"/>
        <v>Y</v>
      </c>
      <c r="T51" s="114">
        <f>IFERROR(SUMIF('Current NLData'!A:A,'Payment Changes'!G51,'Current NLData'!K:K)/COUNTIF('Current NLData'!A:A,'Payment Changes'!G51),0)+IFERROR(VLOOKUP(G51&amp;"-ALL",NLPaymentExport,10,FALSE),0)</f>
        <v>65</v>
      </c>
      <c r="U51" s="118">
        <f t="shared" si="4"/>
        <v>10</v>
      </c>
    </row>
    <row r="52" spans="1:54" ht="17.100000000000001" hidden="1" customHeight="1" outlineLevel="1" x14ac:dyDescent="0.25">
      <c r="A52" s="3"/>
      <c r="B52" s="135"/>
      <c r="C52" s="30"/>
      <c r="D52" s="184"/>
      <c r="E52" s="91" t="str">
        <f t="shared" si="12"/>
        <v>Laredo</v>
      </c>
      <c r="F52" s="93" t="str">
        <f t="shared" si="13"/>
        <v>CP228</v>
      </c>
      <c r="G52" s="99" t="str">
        <f t="shared" si="16"/>
        <v>CP228-NEW DONOR -7th</v>
      </c>
      <c r="H52" s="182"/>
      <c r="I52" s="81" t="s">
        <v>43</v>
      </c>
      <c r="J52" s="54">
        <v>65</v>
      </c>
      <c r="K52" s="55">
        <v>55</v>
      </c>
      <c r="L52" s="54">
        <v>55</v>
      </c>
      <c r="M52" s="54">
        <v>55</v>
      </c>
      <c r="N52" s="54">
        <v>55</v>
      </c>
      <c r="O52" s="54">
        <v>65</v>
      </c>
      <c r="P52" s="54">
        <v>65</v>
      </c>
      <c r="Q52" s="54">
        <v>55</v>
      </c>
      <c r="R52" s="23"/>
      <c r="S52" s="117" t="str">
        <f t="shared" si="1"/>
        <v>Y</v>
      </c>
      <c r="T52" s="114">
        <f>IFERROR(SUMIF('Current NLData'!A:A,'Payment Changes'!G52,'Current NLData'!K:K)/COUNTIF('Current NLData'!A:A,'Payment Changes'!G52),0)+IFERROR(VLOOKUP(G52&amp;"-ALL",NLPaymentExport,10,FALSE),0)</f>
        <v>65</v>
      </c>
      <c r="U52" s="118">
        <f t="shared" si="4"/>
        <v>10</v>
      </c>
    </row>
    <row r="53" spans="1:54" ht="17.100000000000001" hidden="1" customHeight="1" outlineLevel="1" x14ac:dyDescent="0.25">
      <c r="A53" s="3"/>
      <c r="B53" s="135"/>
      <c r="C53" s="30"/>
      <c r="D53" s="184"/>
      <c r="E53" s="91" t="str">
        <f t="shared" si="12"/>
        <v>Laredo</v>
      </c>
      <c r="F53" s="93" t="str">
        <f t="shared" si="13"/>
        <v>CP228</v>
      </c>
      <c r="G53" s="99" t="str">
        <f t="shared" si="16"/>
        <v>CP228-NEW DONOR -8th</v>
      </c>
      <c r="H53" s="182"/>
      <c r="I53" s="81" t="s">
        <v>44</v>
      </c>
      <c r="J53" s="54">
        <v>65</v>
      </c>
      <c r="K53" s="55">
        <v>65</v>
      </c>
      <c r="L53" s="54">
        <v>55</v>
      </c>
      <c r="M53" s="54">
        <v>55</v>
      </c>
      <c r="N53" s="54">
        <v>55</v>
      </c>
      <c r="O53" s="54">
        <v>65</v>
      </c>
      <c r="P53" s="54">
        <v>65</v>
      </c>
      <c r="Q53" s="54">
        <v>55</v>
      </c>
      <c r="R53" s="23"/>
      <c r="S53" s="117" t="str">
        <f t="shared" si="1"/>
        <v>Y</v>
      </c>
      <c r="T53" s="114">
        <f>IFERROR(SUMIF('Current NLData'!A:A,'Payment Changes'!G53,'Current NLData'!K:K)/COUNTIF('Current NLData'!A:A,'Payment Changes'!G53),0)+IFERROR(VLOOKUP(G53&amp;"-ALL",NLPaymentExport,10,FALSE),0)</f>
        <v>65</v>
      </c>
      <c r="U53" s="118">
        <f t="shared" si="4"/>
        <v>10</v>
      </c>
    </row>
    <row r="54" spans="1:54" ht="17.100000000000001" hidden="1" customHeight="1" outlineLevel="1" x14ac:dyDescent="0.25">
      <c r="A54" s="3"/>
      <c r="B54" s="135"/>
      <c r="C54" s="30"/>
      <c r="D54" s="184"/>
      <c r="E54" s="91" t="str">
        <f t="shared" si="12"/>
        <v>Laredo</v>
      </c>
      <c r="F54" s="93" t="str">
        <f t="shared" si="13"/>
        <v>CP228</v>
      </c>
      <c r="G54" s="99" t="str">
        <f t="shared" si="16"/>
        <v>CP228-RETURN - 1st don of the week -STD</v>
      </c>
      <c r="H54" s="182"/>
      <c r="I54" s="82" t="s">
        <v>45</v>
      </c>
      <c r="J54" s="54">
        <v>65</v>
      </c>
      <c r="K54" s="54">
        <v>55</v>
      </c>
      <c r="L54" s="54">
        <v>55</v>
      </c>
      <c r="M54" s="54">
        <v>55</v>
      </c>
      <c r="N54" s="54">
        <v>55</v>
      </c>
      <c r="O54" s="54">
        <v>65</v>
      </c>
      <c r="P54" s="54">
        <v>65</v>
      </c>
      <c r="Q54" s="54">
        <v>55</v>
      </c>
      <c r="R54" s="23"/>
      <c r="S54" s="117" t="str">
        <f t="shared" si="1"/>
        <v>Y</v>
      </c>
      <c r="T54" s="114">
        <f>IFERROR(SUMIF('Current NLData'!A:A,'Payment Changes'!G54,'Current NLData'!K:K)/COUNTIF('Current NLData'!A:A,'Payment Changes'!G54),0)+IFERROR(VLOOKUP(G54&amp;"-ALL",NLPaymentExport,10,FALSE),0)</f>
        <v>65</v>
      </c>
      <c r="U54" s="118">
        <f t="shared" si="4"/>
        <v>10</v>
      </c>
    </row>
    <row r="55" spans="1:54" ht="17.100000000000001" hidden="1" customHeight="1" outlineLevel="1" x14ac:dyDescent="0.25">
      <c r="A55" s="3"/>
      <c r="B55" s="135"/>
      <c r="C55" s="30"/>
      <c r="D55" s="184"/>
      <c r="E55" s="91" t="str">
        <f t="shared" ref="E55:E72" si="17">IF(B55 = "",E54,B55)</f>
        <v>Laredo</v>
      </c>
      <c r="F55" s="93" t="str">
        <f t="shared" ref="F55:F72" si="18">IF(D55 = "",F54,D55)</f>
        <v>CP228</v>
      </c>
      <c r="G55" s="99" t="str">
        <f t="shared" si="16"/>
        <v>CP228-RETURN - 2nd don of the week -BONUS</v>
      </c>
      <c r="H55" s="182"/>
      <c r="I55" s="82" t="s">
        <v>46</v>
      </c>
      <c r="J55" s="54">
        <v>0</v>
      </c>
      <c r="K55" s="54">
        <v>10</v>
      </c>
      <c r="L55" s="54">
        <v>10</v>
      </c>
      <c r="M55" s="54">
        <v>10</v>
      </c>
      <c r="N55" s="54">
        <v>10</v>
      </c>
      <c r="O55" s="54">
        <v>10</v>
      </c>
      <c r="P55" s="54">
        <v>10</v>
      </c>
      <c r="Q55" s="54">
        <v>15</v>
      </c>
      <c r="R55" s="23"/>
      <c r="S55" s="117" t="str">
        <f t="shared" si="1"/>
        <v>Y</v>
      </c>
      <c r="T55" s="114">
        <f>IFERROR(SUMIF('Current NLData'!A:A,'Payment Changes'!G55,'Current NLData'!K:K)/COUNTIF('Current NLData'!A:A,'Payment Changes'!G55),0)+IFERROR(VLOOKUP(G55&amp;"-ALL",NLPaymentExport,10,FALSE),0)</f>
        <v>10</v>
      </c>
      <c r="U55" s="118">
        <f t="shared" si="4"/>
        <v>-5</v>
      </c>
    </row>
    <row r="56" spans="1:54" ht="17.100000000000001" hidden="1" customHeight="1" outlineLevel="1" x14ac:dyDescent="0.25">
      <c r="A56" s="3"/>
      <c r="B56" s="135"/>
      <c r="C56" s="30"/>
      <c r="D56" s="184"/>
      <c r="E56" s="91" t="str">
        <f t="shared" si="17"/>
        <v>Laredo</v>
      </c>
      <c r="F56" s="93" t="str">
        <f t="shared" si="18"/>
        <v>CP228</v>
      </c>
      <c r="G56" s="99" t="str">
        <f t="shared" si="16"/>
        <v>CP228-RETURN - 5th don of the month -BONUS</v>
      </c>
      <c r="H56" s="182"/>
      <c r="I56" s="83" t="s">
        <v>47</v>
      </c>
      <c r="J56" s="54">
        <v>0</v>
      </c>
      <c r="K56" s="54">
        <v>0</v>
      </c>
      <c r="L56" s="54">
        <v>0</v>
      </c>
      <c r="M56" s="54">
        <v>0</v>
      </c>
      <c r="N56" s="54">
        <v>0</v>
      </c>
      <c r="O56" s="54">
        <v>0</v>
      </c>
      <c r="P56" s="54">
        <v>0</v>
      </c>
      <c r="Q56" s="54">
        <v>0</v>
      </c>
      <c r="R56" s="22"/>
      <c r="S56" s="117" t="str">
        <f t="shared" si="1"/>
        <v>N</v>
      </c>
      <c r="T56" s="114">
        <f>IFERROR(SUMIF('Current NLData'!A:A,'Payment Changes'!G56,'Current NLData'!K:K)/COUNTIF('Current NLData'!A:A,'Payment Changes'!G56),0)+IFERROR(VLOOKUP(G56&amp;"-ALL",NLPaymentExport,10,FALSE),0)</f>
        <v>0</v>
      </c>
      <c r="U56" s="118">
        <f t="shared" si="4"/>
        <v>0</v>
      </c>
    </row>
    <row r="57" spans="1:54" ht="17.100000000000001" hidden="1" customHeight="1" outlineLevel="1" x14ac:dyDescent="0.25">
      <c r="A57" s="3"/>
      <c r="B57" s="135"/>
      <c r="C57" s="30"/>
      <c r="D57" s="184"/>
      <c r="E57" s="91" t="str">
        <f t="shared" si="17"/>
        <v>Laredo</v>
      </c>
      <c r="F57" s="93" t="str">
        <f t="shared" si="18"/>
        <v>CP228</v>
      </c>
      <c r="G57" s="99" t="str">
        <f t="shared" si="16"/>
        <v>CP228-RETURN - 6th don of the month -BONUS</v>
      </c>
      <c r="H57" s="182"/>
      <c r="I57" s="83" t="s">
        <v>48</v>
      </c>
      <c r="J57" s="54">
        <v>0</v>
      </c>
      <c r="K57" s="54">
        <v>0</v>
      </c>
      <c r="L57" s="54">
        <v>0</v>
      </c>
      <c r="M57" s="54">
        <v>0</v>
      </c>
      <c r="N57" s="54">
        <v>0</v>
      </c>
      <c r="O57" s="54">
        <v>30</v>
      </c>
      <c r="P57" s="54">
        <v>30</v>
      </c>
      <c r="Q57" s="54">
        <v>30</v>
      </c>
      <c r="R57" s="22"/>
      <c r="S57" s="117" t="str">
        <f t="shared" si="1"/>
        <v>N</v>
      </c>
      <c r="T57" s="114">
        <f>IFERROR(SUMIF('Current NLData'!A:A,'Payment Changes'!G57,'Current NLData'!K:K)/COUNTIF('Current NLData'!A:A,'Payment Changes'!G57),0)+IFERROR(VLOOKUP(G57&amp;"-ALL",NLPaymentExport,10,FALSE),0)</f>
        <v>30</v>
      </c>
      <c r="U57" s="118">
        <f t="shared" si="4"/>
        <v>0</v>
      </c>
    </row>
    <row r="58" spans="1:54" ht="17.100000000000001" hidden="1" customHeight="1" outlineLevel="1" x14ac:dyDescent="0.25">
      <c r="A58" s="3"/>
      <c r="B58" s="135"/>
      <c r="C58" s="30"/>
      <c r="D58" s="184"/>
      <c r="E58" s="91" t="str">
        <f t="shared" si="17"/>
        <v>Laredo</v>
      </c>
      <c r="F58" s="93" t="str">
        <f t="shared" si="18"/>
        <v>CP228</v>
      </c>
      <c r="G58" s="99" t="str">
        <f t="shared" si="16"/>
        <v>CP228-RETURN - 7th don of the month -BONUS</v>
      </c>
      <c r="H58" s="182"/>
      <c r="I58" s="83" t="s">
        <v>49</v>
      </c>
      <c r="J58" s="54">
        <v>0</v>
      </c>
      <c r="K58" s="54">
        <v>0</v>
      </c>
      <c r="L58" s="54">
        <v>0</v>
      </c>
      <c r="M58" s="54">
        <v>0</v>
      </c>
      <c r="N58" s="54">
        <v>0</v>
      </c>
      <c r="O58" s="54">
        <v>0</v>
      </c>
      <c r="P58" s="54">
        <v>0</v>
      </c>
      <c r="Q58" s="54">
        <v>0</v>
      </c>
      <c r="R58" s="22"/>
      <c r="S58" s="117" t="str">
        <f t="shared" si="1"/>
        <v>N</v>
      </c>
      <c r="T58" s="114">
        <f>IFERROR(SUMIF('Current NLData'!A:A,'Payment Changes'!G58,'Current NLData'!K:K)/COUNTIF('Current NLData'!A:A,'Payment Changes'!G58),0)+IFERROR(VLOOKUP(G58&amp;"-ALL",NLPaymentExport,10,FALSE),0)</f>
        <v>0</v>
      </c>
      <c r="U58" s="118">
        <f t="shared" si="4"/>
        <v>0</v>
      </c>
    </row>
    <row r="59" spans="1:54" ht="17.100000000000001" hidden="1" customHeight="1" outlineLevel="1" x14ac:dyDescent="0.25">
      <c r="A59" s="3"/>
      <c r="B59" s="135"/>
      <c r="C59" s="30"/>
      <c r="D59" s="184"/>
      <c r="E59" s="91" t="str">
        <f t="shared" si="17"/>
        <v>Laredo</v>
      </c>
      <c r="F59" s="93" t="str">
        <f t="shared" si="18"/>
        <v>CP228</v>
      </c>
      <c r="G59" s="99" t="str">
        <f t="shared" si="16"/>
        <v>CP228-RETURN - 8th don of the month -BONUS</v>
      </c>
      <c r="H59" s="182"/>
      <c r="I59" s="83" t="s">
        <v>50</v>
      </c>
      <c r="J59" s="54">
        <v>25</v>
      </c>
      <c r="K59" s="54">
        <v>25</v>
      </c>
      <c r="L59" s="54">
        <v>0</v>
      </c>
      <c r="M59" s="54">
        <v>0</v>
      </c>
      <c r="N59" s="54">
        <v>0</v>
      </c>
      <c r="O59" s="54">
        <v>0</v>
      </c>
      <c r="P59" s="54">
        <v>0</v>
      </c>
      <c r="Q59" s="54">
        <v>0</v>
      </c>
      <c r="R59" s="22"/>
      <c r="S59" s="117" t="str">
        <f t="shared" si="1"/>
        <v>N</v>
      </c>
      <c r="T59" s="114">
        <f>IFERROR(SUMIF('Current NLData'!A:A,'Payment Changes'!G59,'Current NLData'!K:K)/COUNTIF('Current NLData'!A:A,'Payment Changes'!G59),0)+IFERROR(VLOOKUP(G59&amp;"-ALL",NLPaymentExport,10,FALSE),0)</f>
        <v>0</v>
      </c>
      <c r="U59" s="118">
        <f t="shared" si="4"/>
        <v>0</v>
      </c>
    </row>
    <row r="60" spans="1:54" ht="17.100000000000001" hidden="1" customHeight="1" outlineLevel="1" x14ac:dyDescent="0.25">
      <c r="A60" s="3"/>
      <c r="B60" s="135"/>
      <c r="C60" s="30" t="str">
        <f>IF(J60=0,"Warning","")</f>
        <v/>
      </c>
      <c r="D60" s="184"/>
      <c r="E60" s="91" t="str">
        <f t="shared" si="17"/>
        <v>Laredo</v>
      </c>
      <c r="F60" s="93" t="str">
        <f t="shared" si="18"/>
        <v>CP228</v>
      </c>
      <c r="G60" s="99" t="str">
        <f t="shared" si="16"/>
        <v>CP228-RETURN - Buddy referral  -BONUS</v>
      </c>
      <c r="H60" s="182"/>
      <c r="I60" s="83" t="s">
        <v>51</v>
      </c>
      <c r="J60" s="54">
        <v>50</v>
      </c>
      <c r="K60" s="54">
        <v>50</v>
      </c>
      <c r="L60" s="54">
        <v>0</v>
      </c>
      <c r="M60" s="54">
        <v>0</v>
      </c>
      <c r="N60" s="54">
        <v>0</v>
      </c>
      <c r="O60" s="54">
        <v>50</v>
      </c>
      <c r="P60" s="54">
        <v>50</v>
      </c>
      <c r="Q60" s="54">
        <v>50</v>
      </c>
      <c r="R60" s="22"/>
      <c r="S60" s="117" t="str">
        <f t="shared" si="1"/>
        <v>N</v>
      </c>
      <c r="T60" s="114">
        <f>IFERROR(SUMIF('Current NLData'!A:A,'Payment Changes'!G60,'Current NLData'!K:K)/COUNTIF('Current NLData'!A:A,'Payment Changes'!G60),0)+IFERROR(VLOOKUP(G60&amp;"-ALL",NLPaymentExport,10,FALSE),0)</f>
        <v>50</v>
      </c>
      <c r="U60" s="118">
        <f t="shared" si="4"/>
        <v>0</v>
      </c>
    </row>
    <row r="61" spans="1:54" s="90" customFormat="1" ht="17.100000000000001" hidden="1" customHeight="1" collapsed="1" x14ac:dyDescent="0.35">
      <c r="A61" s="85"/>
      <c r="B61" s="136"/>
      <c r="C61" s="86"/>
      <c r="D61" s="87"/>
      <c r="E61" s="91" t="str">
        <f t="shared" si="17"/>
        <v>Laredo</v>
      </c>
      <c r="F61" s="93" t="str">
        <f t="shared" si="18"/>
        <v>CP228</v>
      </c>
      <c r="G61" s="99" t="str">
        <f t="shared" si="16"/>
        <v>CP228-</v>
      </c>
      <c r="H61" s="96"/>
      <c r="I61" s="88"/>
      <c r="J61" s="89"/>
      <c r="K61" s="89"/>
      <c r="L61" s="89"/>
      <c r="M61" s="89"/>
      <c r="N61" s="89"/>
      <c r="O61" s="89"/>
      <c r="P61" s="89"/>
      <c r="Q61" s="89"/>
      <c r="R61" s="21"/>
      <c r="S61" s="117" t="str">
        <f t="shared" si="1"/>
        <v>N</v>
      </c>
      <c r="T61" s="114">
        <f>IFERROR(SUMIF('Current NLData'!A:A,'Payment Changes'!G61,'Current NLData'!K:K)/COUNTIF('Current NLData'!A:A,'Payment Changes'!G61),0)+IFERROR(VLOOKUP(G61&amp;"-ALL",NLPaymentExport,10,FALSE),0)</f>
        <v>0</v>
      </c>
      <c r="U61" s="118" t="str">
        <f t="shared" si="4"/>
        <v/>
      </c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</row>
    <row r="62" spans="1:54" s="10" customFormat="1" ht="17.100000000000001" hidden="1" customHeight="1" x14ac:dyDescent="0.25">
      <c r="A62" s="165">
        <v>4</v>
      </c>
      <c r="B62" s="168" t="s">
        <v>65</v>
      </c>
      <c r="C62" s="171" t="s">
        <v>19</v>
      </c>
      <c r="D62" s="174" t="s">
        <v>57</v>
      </c>
      <c r="E62" s="106" t="str">
        <f t="shared" si="17"/>
        <v>Palmview</v>
      </c>
      <c r="F62" s="107" t="s">
        <v>66</v>
      </c>
      <c r="G62" s="108" t="str">
        <f t="shared" si="16"/>
        <v>CP962-New Donor</v>
      </c>
      <c r="H62" s="177" t="s">
        <v>22</v>
      </c>
      <c r="I62" s="76" t="s">
        <v>23</v>
      </c>
      <c r="J62" s="40" t="s">
        <v>67</v>
      </c>
      <c r="K62" s="41" t="s">
        <v>68</v>
      </c>
      <c r="L62" s="41" t="s">
        <v>69</v>
      </c>
      <c r="M62" s="41" t="s">
        <v>27</v>
      </c>
      <c r="N62" s="40" t="s">
        <v>27</v>
      </c>
      <c r="O62" s="40" t="s">
        <v>27</v>
      </c>
      <c r="P62" s="40" t="s">
        <v>27</v>
      </c>
      <c r="Q62" s="40" t="s">
        <v>27</v>
      </c>
      <c r="R62" s="109"/>
      <c r="S62" s="117" t="str">
        <f t="shared" si="1"/>
        <v>N</v>
      </c>
      <c r="T62" s="114">
        <f>IFERROR(SUMIF('Current NLData'!A:A,'Payment Changes'!G62,'Current NLData'!K:K)/COUNTIF('Current NLData'!A:A,'Payment Changes'!G62),0)+IFERROR(VLOOKUP(G62&amp;"-ALL",NLPaymentExport,10,FALSE),0)</f>
        <v>0</v>
      </c>
      <c r="U62" s="118" t="str">
        <f t="shared" si="4"/>
        <v/>
      </c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</row>
    <row r="63" spans="1:54" ht="17.100000000000001" hidden="1" customHeight="1" x14ac:dyDescent="0.25">
      <c r="A63" s="166"/>
      <c r="B63" s="169"/>
      <c r="C63" s="172"/>
      <c r="D63" s="175"/>
      <c r="E63" s="91" t="str">
        <f t="shared" si="17"/>
        <v>Palmview</v>
      </c>
      <c r="F63" s="92" t="s">
        <v>66</v>
      </c>
      <c r="G63" s="98" t="str">
        <f t="shared" si="16"/>
        <v>CP962-Return Donor</v>
      </c>
      <c r="H63" s="178"/>
      <c r="I63" s="77" t="s">
        <v>29</v>
      </c>
      <c r="J63" s="43" t="s">
        <v>70</v>
      </c>
      <c r="K63" s="43" t="s">
        <v>69</v>
      </c>
      <c r="L63" s="44" t="s">
        <v>69</v>
      </c>
      <c r="M63" s="44" t="s">
        <v>27</v>
      </c>
      <c r="N63" s="43" t="s">
        <v>27</v>
      </c>
      <c r="O63" s="43" t="s">
        <v>27</v>
      </c>
      <c r="P63" s="43" t="s">
        <v>27</v>
      </c>
      <c r="Q63" s="43" t="s">
        <v>27</v>
      </c>
      <c r="R63" s="21"/>
      <c r="S63" s="117" t="str">
        <f t="shared" si="1"/>
        <v>N</v>
      </c>
      <c r="T63" s="114">
        <f>IFERROR(SUMIF('Current NLData'!A:A,'Payment Changes'!G63,'Current NLData'!K:K)/COUNTIF('Current NLData'!A:A,'Payment Changes'!G63),0)+IFERROR(VLOOKUP(G63&amp;"-ALL",NLPaymentExport,10,FALSE),0)</f>
        <v>0</v>
      </c>
      <c r="U63" s="118" t="str">
        <f t="shared" si="4"/>
        <v/>
      </c>
    </row>
    <row r="64" spans="1:54" ht="17.100000000000001" hidden="1" customHeight="1" x14ac:dyDescent="0.25">
      <c r="A64" s="166"/>
      <c r="B64" s="169"/>
      <c r="C64" s="172"/>
      <c r="D64" s="175"/>
      <c r="E64" s="91" t="str">
        <f t="shared" si="17"/>
        <v>Palmview</v>
      </c>
      <c r="F64" s="92" t="s">
        <v>66</v>
      </c>
      <c r="G64" s="98" t="str">
        <f t="shared" si="16"/>
        <v>CP962-Retention Bonus</v>
      </c>
      <c r="H64" s="178"/>
      <c r="I64" s="78" t="s">
        <v>30</v>
      </c>
      <c r="J64" s="46" t="s">
        <v>31</v>
      </c>
      <c r="K64" s="46" t="s">
        <v>31</v>
      </c>
      <c r="L64" s="47" t="s">
        <v>32</v>
      </c>
      <c r="M64" s="121" t="s">
        <v>33</v>
      </c>
      <c r="N64" s="137" t="s">
        <v>33</v>
      </c>
      <c r="O64" s="137" t="s">
        <v>33</v>
      </c>
      <c r="P64" s="137" t="s">
        <v>33</v>
      </c>
      <c r="Q64" s="137" t="s">
        <v>33</v>
      </c>
      <c r="R64" s="21"/>
      <c r="S64" s="117" t="str">
        <f t="shared" si="1"/>
        <v>N</v>
      </c>
      <c r="T64" s="114">
        <f>IFERROR(SUMIF('Current NLData'!A:A,'Payment Changes'!G64,'Current NLData'!K:K)/COUNTIF('Current NLData'!A:A,'Payment Changes'!G64),0)+IFERROR(VLOOKUP(G64&amp;"-ALL",NLPaymentExport,10,FALSE),0)</f>
        <v>0</v>
      </c>
      <c r="U64" s="118" t="str">
        <f t="shared" si="4"/>
        <v/>
      </c>
    </row>
    <row r="65" spans="1:54" s="15" customFormat="1" ht="17.100000000000001" hidden="1" customHeight="1" x14ac:dyDescent="0.25">
      <c r="A65" s="167"/>
      <c r="B65" s="170"/>
      <c r="C65" s="173"/>
      <c r="D65" s="176"/>
      <c r="E65" s="110" t="str">
        <f t="shared" si="17"/>
        <v>Palmview</v>
      </c>
      <c r="F65" s="111" t="s">
        <v>66</v>
      </c>
      <c r="G65" s="112" t="str">
        <f t="shared" si="16"/>
        <v>CP962-Referral</v>
      </c>
      <c r="H65" s="179"/>
      <c r="I65" s="79" t="s">
        <v>34</v>
      </c>
      <c r="J65" s="49">
        <v>50</v>
      </c>
      <c r="K65" s="49">
        <v>50</v>
      </c>
      <c r="L65" s="50" t="s">
        <v>32</v>
      </c>
      <c r="M65" s="122" t="s">
        <v>35</v>
      </c>
      <c r="N65" s="138" t="s">
        <v>35</v>
      </c>
      <c r="O65" s="138" t="s">
        <v>35</v>
      </c>
      <c r="P65" s="138" t="s">
        <v>35</v>
      </c>
      <c r="Q65" s="138" t="s">
        <v>35</v>
      </c>
      <c r="R65" s="113"/>
      <c r="S65" s="117" t="str">
        <f t="shared" si="1"/>
        <v>N</v>
      </c>
      <c r="T65" s="114">
        <f>IFERROR(SUMIF('Current NLData'!A:A,'Payment Changes'!G65,'Current NLData'!K:K)/COUNTIF('Current NLData'!A:A,'Payment Changes'!G65),0)+IFERROR(VLOOKUP(G65&amp;"-ALL",NLPaymentExport,10,FALSE),0)</f>
        <v>0</v>
      </c>
      <c r="U65" s="118" t="str">
        <f t="shared" si="4"/>
        <v/>
      </c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</row>
    <row r="66" spans="1:54" ht="17.100000000000001" hidden="1" customHeight="1" outlineLevel="1" x14ac:dyDescent="0.25">
      <c r="A66" s="3"/>
      <c r="B66" s="134"/>
      <c r="C66" s="31"/>
      <c r="D66" s="183" t="s">
        <v>66</v>
      </c>
      <c r="E66" s="91" t="str">
        <f t="shared" si="17"/>
        <v>Palmview</v>
      </c>
      <c r="F66" s="93" t="str">
        <f t="shared" si="18"/>
        <v>CP962</v>
      </c>
      <c r="G66" s="99" t="str">
        <f t="shared" si="16"/>
        <v>CP962-NEW DONOR -1st</v>
      </c>
      <c r="H66" s="182" t="s">
        <v>36</v>
      </c>
      <c r="I66" s="80" t="s">
        <v>37</v>
      </c>
      <c r="J66" s="52">
        <v>65</v>
      </c>
      <c r="K66" s="53">
        <v>65</v>
      </c>
      <c r="L66" s="52">
        <v>65</v>
      </c>
      <c r="M66" s="52">
        <v>60</v>
      </c>
      <c r="N66" s="52">
        <v>60</v>
      </c>
      <c r="O66" s="52">
        <v>60</v>
      </c>
      <c r="P66" s="52">
        <v>60</v>
      </c>
      <c r="Q66" s="52">
        <v>60</v>
      </c>
      <c r="R66" s="23"/>
      <c r="S66" s="117" t="str">
        <f t="shared" si="1"/>
        <v>N</v>
      </c>
      <c r="T66" s="114">
        <f>IFERROR(SUMIF('Current NLData'!A:A,'Payment Changes'!G66,'Current NLData'!K:K)/COUNTIF('Current NLData'!A:A,'Payment Changes'!G66),0)+IFERROR(VLOOKUP(G66&amp;"-ALL",NLPaymentExport,10,FALSE),0)</f>
        <v>60</v>
      </c>
      <c r="U66" s="118">
        <f t="shared" si="4"/>
        <v>0</v>
      </c>
    </row>
    <row r="67" spans="1:54" ht="17.100000000000001" hidden="1" customHeight="1" outlineLevel="1" x14ac:dyDescent="0.25">
      <c r="A67" s="3"/>
      <c r="B67" s="135"/>
      <c r="C67" s="30"/>
      <c r="D67" s="184"/>
      <c r="E67" s="91" t="str">
        <f t="shared" si="17"/>
        <v>Palmview</v>
      </c>
      <c r="F67" s="93" t="str">
        <f t="shared" si="18"/>
        <v>CP962</v>
      </c>
      <c r="G67" s="99" t="str">
        <f t="shared" si="16"/>
        <v>CP962-NEW DONOR -2nd</v>
      </c>
      <c r="H67" s="182"/>
      <c r="I67" s="81" t="s">
        <v>38</v>
      </c>
      <c r="J67" s="54">
        <v>65</v>
      </c>
      <c r="K67" s="55">
        <v>70</v>
      </c>
      <c r="L67" s="54">
        <v>65</v>
      </c>
      <c r="M67" s="54">
        <v>60</v>
      </c>
      <c r="N67" s="54">
        <v>60</v>
      </c>
      <c r="O67" s="54">
        <v>60</v>
      </c>
      <c r="P67" s="54">
        <v>60</v>
      </c>
      <c r="Q67" s="54">
        <v>60</v>
      </c>
      <c r="R67" s="23"/>
      <c r="S67" s="117" t="str">
        <f t="shared" ref="S67:S130" si="19">IF(P67=Q67,"N","Y")</f>
        <v>N</v>
      </c>
      <c r="T67" s="114">
        <f>IFERROR(SUMIF('Current NLData'!A:A,'Payment Changes'!G67,'Current NLData'!K:K)/COUNTIF('Current NLData'!A:A,'Payment Changes'!G67),0)+IFERROR(VLOOKUP(G67&amp;"-ALL",NLPaymentExport,10,FALSE),0)</f>
        <v>60</v>
      </c>
      <c r="U67" s="118">
        <f t="shared" si="4"/>
        <v>0</v>
      </c>
    </row>
    <row r="68" spans="1:54" ht="17.100000000000001" hidden="1" customHeight="1" outlineLevel="1" x14ac:dyDescent="0.25">
      <c r="A68" s="3"/>
      <c r="B68" s="135"/>
      <c r="C68" s="30"/>
      <c r="D68" s="184"/>
      <c r="E68" s="91" t="str">
        <f t="shared" si="17"/>
        <v>Palmview</v>
      </c>
      <c r="F68" s="93" t="str">
        <f t="shared" si="18"/>
        <v>CP962</v>
      </c>
      <c r="G68" s="99" t="str">
        <f t="shared" si="16"/>
        <v>CP962-NEW DONOR -3rd</v>
      </c>
      <c r="H68" s="182"/>
      <c r="I68" s="81" t="s">
        <v>39</v>
      </c>
      <c r="J68" s="54">
        <v>65</v>
      </c>
      <c r="K68" s="55">
        <v>65</v>
      </c>
      <c r="L68" s="54">
        <v>65</v>
      </c>
      <c r="M68" s="54">
        <v>60</v>
      </c>
      <c r="N68" s="54">
        <v>60</v>
      </c>
      <c r="O68" s="54">
        <v>60</v>
      </c>
      <c r="P68" s="54">
        <v>60</v>
      </c>
      <c r="Q68" s="54">
        <v>60</v>
      </c>
      <c r="R68" s="23"/>
      <c r="S68" s="117" t="str">
        <f t="shared" si="19"/>
        <v>N</v>
      </c>
      <c r="T68" s="114">
        <f>IFERROR(SUMIF('Current NLData'!A:A,'Payment Changes'!G68,'Current NLData'!K:K)/COUNTIF('Current NLData'!A:A,'Payment Changes'!G68),0)+IFERROR(VLOOKUP(G68&amp;"-ALL",NLPaymentExport,10,FALSE),0)</f>
        <v>60</v>
      </c>
      <c r="U68" s="118">
        <f t="shared" si="4"/>
        <v>0</v>
      </c>
    </row>
    <row r="69" spans="1:54" ht="17.100000000000001" hidden="1" customHeight="1" outlineLevel="1" x14ac:dyDescent="0.25">
      <c r="A69" s="3"/>
      <c r="B69" s="135"/>
      <c r="C69" s="30"/>
      <c r="D69" s="184"/>
      <c r="E69" s="91" t="str">
        <f t="shared" si="17"/>
        <v>Palmview</v>
      </c>
      <c r="F69" s="93" t="str">
        <f t="shared" si="18"/>
        <v>CP962</v>
      </c>
      <c r="G69" s="99" t="str">
        <f t="shared" si="16"/>
        <v>CP962-NEW DONOR -4th</v>
      </c>
      <c r="H69" s="182"/>
      <c r="I69" s="81" t="s">
        <v>40</v>
      </c>
      <c r="J69" s="54">
        <v>65</v>
      </c>
      <c r="K69" s="55">
        <v>70</v>
      </c>
      <c r="L69" s="54">
        <v>65</v>
      </c>
      <c r="M69" s="54">
        <v>60</v>
      </c>
      <c r="N69" s="54">
        <v>60</v>
      </c>
      <c r="O69" s="54">
        <v>60</v>
      </c>
      <c r="P69" s="54">
        <v>60</v>
      </c>
      <c r="Q69" s="54">
        <v>60</v>
      </c>
      <c r="R69" s="23"/>
      <c r="S69" s="117" t="str">
        <f t="shared" si="19"/>
        <v>N</v>
      </c>
      <c r="T69" s="114">
        <f>IFERROR(SUMIF('Current NLData'!A:A,'Payment Changes'!G69,'Current NLData'!K:K)/COUNTIF('Current NLData'!A:A,'Payment Changes'!G69),0)+IFERROR(VLOOKUP(G69&amp;"-ALL",NLPaymentExport,10,FALSE),0)</f>
        <v>60</v>
      </c>
      <c r="U69" s="118">
        <f t="shared" si="4"/>
        <v>0</v>
      </c>
    </row>
    <row r="70" spans="1:54" ht="17.100000000000001" hidden="1" customHeight="1" outlineLevel="1" x14ac:dyDescent="0.25">
      <c r="A70" s="3"/>
      <c r="B70" s="135"/>
      <c r="C70" s="30"/>
      <c r="D70" s="184"/>
      <c r="E70" s="91" t="str">
        <f t="shared" si="17"/>
        <v>Palmview</v>
      </c>
      <c r="F70" s="93" t="str">
        <f t="shared" si="18"/>
        <v>CP962</v>
      </c>
      <c r="G70" s="99" t="str">
        <f t="shared" si="16"/>
        <v>CP962-NEW DONOR -5th</v>
      </c>
      <c r="H70" s="182"/>
      <c r="I70" s="81" t="s">
        <v>41</v>
      </c>
      <c r="J70" s="54">
        <v>65</v>
      </c>
      <c r="K70" s="55">
        <v>65</v>
      </c>
      <c r="L70" s="54">
        <v>65</v>
      </c>
      <c r="M70" s="54">
        <v>60</v>
      </c>
      <c r="N70" s="54">
        <v>60</v>
      </c>
      <c r="O70" s="54">
        <v>60</v>
      </c>
      <c r="P70" s="54">
        <v>60</v>
      </c>
      <c r="Q70" s="54">
        <v>60</v>
      </c>
      <c r="R70" s="23"/>
      <c r="S70" s="117" t="str">
        <f t="shared" si="19"/>
        <v>N</v>
      </c>
      <c r="T70" s="114">
        <f>IFERROR(SUMIF('Current NLData'!A:A,'Payment Changes'!G70,'Current NLData'!K:K)/COUNTIF('Current NLData'!A:A,'Payment Changes'!G70),0)+IFERROR(VLOOKUP(G70&amp;"-ALL",NLPaymentExport,10,FALSE),0)</f>
        <v>60</v>
      </c>
      <c r="U70" s="118">
        <f t="shared" si="4"/>
        <v>0</v>
      </c>
    </row>
    <row r="71" spans="1:54" ht="17.100000000000001" hidden="1" customHeight="1" outlineLevel="1" x14ac:dyDescent="0.25">
      <c r="A71" s="3"/>
      <c r="B71" s="135"/>
      <c r="C71" s="30"/>
      <c r="D71" s="184"/>
      <c r="E71" s="91" t="str">
        <f t="shared" si="17"/>
        <v>Palmview</v>
      </c>
      <c r="F71" s="93" t="str">
        <f t="shared" si="18"/>
        <v>CP962</v>
      </c>
      <c r="G71" s="99" t="str">
        <f t="shared" si="16"/>
        <v>CP962-NEW DONOR -6th</v>
      </c>
      <c r="H71" s="182"/>
      <c r="I71" s="81" t="s">
        <v>42</v>
      </c>
      <c r="J71" s="54">
        <v>65</v>
      </c>
      <c r="K71" s="55">
        <v>70</v>
      </c>
      <c r="L71" s="54">
        <v>65</v>
      </c>
      <c r="M71" s="54">
        <v>60</v>
      </c>
      <c r="N71" s="54">
        <v>60</v>
      </c>
      <c r="O71" s="54">
        <v>60</v>
      </c>
      <c r="P71" s="54">
        <v>60</v>
      </c>
      <c r="Q71" s="54">
        <v>60</v>
      </c>
      <c r="R71" s="23"/>
      <c r="S71" s="117" t="str">
        <f t="shared" si="19"/>
        <v>N</v>
      </c>
      <c r="T71" s="114">
        <f>IFERROR(SUMIF('Current NLData'!A:A,'Payment Changes'!G71,'Current NLData'!K:K)/COUNTIF('Current NLData'!A:A,'Payment Changes'!G71),0)+IFERROR(VLOOKUP(G71&amp;"-ALL",NLPaymentExport,10,FALSE),0)</f>
        <v>60</v>
      </c>
      <c r="U71" s="118">
        <f t="shared" ref="U71:U134" si="20">IF(OR(I71 = "New Donor", I71="Return Donor", I71="Retention Bonus", I71="Referral", I71 = ""),"",T71-Q71 )</f>
        <v>0</v>
      </c>
    </row>
    <row r="72" spans="1:54" ht="17.100000000000001" hidden="1" customHeight="1" outlineLevel="1" x14ac:dyDescent="0.25">
      <c r="A72" s="3"/>
      <c r="B72" s="135"/>
      <c r="C72" s="30"/>
      <c r="D72" s="184"/>
      <c r="E72" s="91" t="str">
        <f t="shared" si="17"/>
        <v>Palmview</v>
      </c>
      <c r="F72" s="93" t="str">
        <f t="shared" si="18"/>
        <v>CP962</v>
      </c>
      <c r="G72" s="99" t="str">
        <f t="shared" si="16"/>
        <v>CP962-NEW DONOR -7th</v>
      </c>
      <c r="H72" s="182"/>
      <c r="I72" s="81" t="s">
        <v>43</v>
      </c>
      <c r="J72" s="54">
        <v>65</v>
      </c>
      <c r="K72" s="55">
        <v>65</v>
      </c>
      <c r="L72" s="54">
        <v>65</v>
      </c>
      <c r="M72" s="54">
        <v>60</v>
      </c>
      <c r="N72" s="54">
        <v>60</v>
      </c>
      <c r="O72" s="54">
        <v>60</v>
      </c>
      <c r="P72" s="54">
        <v>60</v>
      </c>
      <c r="Q72" s="54">
        <v>60</v>
      </c>
      <c r="R72" s="23"/>
      <c r="S72" s="117" t="str">
        <f t="shared" si="19"/>
        <v>N</v>
      </c>
      <c r="T72" s="114">
        <f>IFERROR(SUMIF('Current NLData'!A:A,'Payment Changes'!G72,'Current NLData'!K:K)/COUNTIF('Current NLData'!A:A,'Payment Changes'!G72),0)+IFERROR(VLOOKUP(G72&amp;"-ALL",NLPaymentExport,10,FALSE),0)</f>
        <v>60</v>
      </c>
      <c r="U72" s="118">
        <f t="shared" si="20"/>
        <v>0</v>
      </c>
    </row>
    <row r="73" spans="1:54" ht="17.100000000000001" hidden="1" customHeight="1" outlineLevel="1" x14ac:dyDescent="0.25">
      <c r="A73" s="3"/>
      <c r="B73" s="135"/>
      <c r="C73" s="30"/>
      <c r="D73" s="184"/>
      <c r="E73" s="91" t="str">
        <f t="shared" ref="E73:E136" si="21">IF(B73 = "",E72,B73)</f>
        <v>Palmview</v>
      </c>
      <c r="F73" s="93" t="str">
        <f t="shared" ref="F73:F136" si="22">IF(D73 = "",F72,D73)</f>
        <v>CP962</v>
      </c>
      <c r="G73" s="99" t="str">
        <f t="shared" si="16"/>
        <v>CP962-NEW DONOR -8th</v>
      </c>
      <c r="H73" s="182"/>
      <c r="I73" s="81" t="s">
        <v>44</v>
      </c>
      <c r="J73" s="54">
        <v>65</v>
      </c>
      <c r="K73" s="55">
        <v>70</v>
      </c>
      <c r="L73" s="54">
        <v>65</v>
      </c>
      <c r="M73" s="54">
        <v>60</v>
      </c>
      <c r="N73" s="54">
        <v>60</v>
      </c>
      <c r="O73" s="54">
        <v>60</v>
      </c>
      <c r="P73" s="54">
        <v>60</v>
      </c>
      <c r="Q73" s="54">
        <v>60</v>
      </c>
      <c r="R73" s="23"/>
      <c r="S73" s="117" t="str">
        <f t="shared" si="19"/>
        <v>N</v>
      </c>
      <c r="T73" s="114">
        <f>IFERROR(SUMIF('Current NLData'!A:A,'Payment Changes'!G73,'Current NLData'!K:K)/COUNTIF('Current NLData'!A:A,'Payment Changes'!G73),0)+IFERROR(VLOOKUP(G73&amp;"-ALL",NLPaymentExport,10,FALSE),0)</f>
        <v>60</v>
      </c>
      <c r="U73" s="118">
        <f t="shared" si="20"/>
        <v>0</v>
      </c>
    </row>
    <row r="74" spans="1:54" ht="17.100000000000001" hidden="1" customHeight="1" outlineLevel="1" x14ac:dyDescent="0.25">
      <c r="A74" s="3"/>
      <c r="B74" s="135"/>
      <c r="C74" s="30"/>
      <c r="D74" s="184"/>
      <c r="E74" s="91" t="str">
        <f t="shared" si="21"/>
        <v>Palmview</v>
      </c>
      <c r="F74" s="93" t="str">
        <f t="shared" si="22"/>
        <v>CP962</v>
      </c>
      <c r="G74" s="99" t="str">
        <f t="shared" si="16"/>
        <v>CP962-RETURN - 1st don of the week -STD</v>
      </c>
      <c r="H74" s="182"/>
      <c r="I74" s="82" t="s">
        <v>45</v>
      </c>
      <c r="J74" s="54">
        <v>65</v>
      </c>
      <c r="K74" s="54">
        <f>J74</f>
        <v>65</v>
      </c>
      <c r="L74" s="54">
        <v>65</v>
      </c>
      <c r="M74" s="54">
        <v>60</v>
      </c>
      <c r="N74" s="54">
        <v>60</v>
      </c>
      <c r="O74" s="54">
        <v>60</v>
      </c>
      <c r="P74" s="54">
        <v>60</v>
      </c>
      <c r="Q74" s="54">
        <v>60</v>
      </c>
      <c r="R74" s="22"/>
      <c r="S74" s="117" t="str">
        <f t="shared" si="19"/>
        <v>N</v>
      </c>
      <c r="T74" s="114">
        <f>IFERROR(SUMIF('Current NLData'!A:A,'Payment Changes'!G74,'Current NLData'!K:K)/COUNTIF('Current NLData'!A:A,'Payment Changes'!G74),0)+IFERROR(VLOOKUP(G74&amp;"-ALL",NLPaymentExport,10,FALSE),0)</f>
        <v>60</v>
      </c>
      <c r="U74" s="118">
        <f t="shared" si="20"/>
        <v>0</v>
      </c>
    </row>
    <row r="75" spans="1:54" ht="17.100000000000001" hidden="1" customHeight="1" outlineLevel="1" x14ac:dyDescent="0.25">
      <c r="A75" s="3"/>
      <c r="B75" s="135"/>
      <c r="C75" s="30"/>
      <c r="D75" s="184"/>
      <c r="E75" s="91" t="str">
        <f t="shared" si="21"/>
        <v>Palmview</v>
      </c>
      <c r="F75" s="93" t="str">
        <f t="shared" si="22"/>
        <v>CP962</v>
      </c>
      <c r="G75" s="99" t="str">
        <f t="shared" si="16"/>
        <v>CP962-RETURN - 2nd don of the week -BONUS</v>
      </c>
      <c r="H75" s="182"/>
      <c r="I75" s="82" t="s">
        <v>46</v>
      </c>
      <c r="J75" s="54">
        <v>10</v>
      </c>
      <c r="K75" s="54">
        <v>5</v>
      </c>
      <c r="L75" s="54">
        <v>5</v>
      </c>
      <c r="M75" s="54">
        <v>20</v>
      </c>
      <c r="N75" s="54">
        <v>20</v>
      </c>
      <c r="O75" s="54">
        <v>20</v>
      </c>
      <c r="P75" s="54">
        <v>20</v>
      </c>
      <c r="Q75" s="54">
        <v>20</v>
      </c>
      <c r="R75" s="23"/>
      <c r="S75" s="117" t="str">
        <f t="shared" si="19"/>
        <v>N</v>
      </c>
      <c r="T75" s="114">
        <f>IFERROR(SUMIF('Current NLData'!A:A,'Payment Changes'!G75,'Current NLData'!K:K)/COUNTIF('Current NLData'!A:A,'Payment Changes'!G75),0)+IFERROR(VLOOKUP(G75&amp;"-ALL",NLPaymentExport,10,FALSE),0)</f>
        <v>20</v>
      </c>
      <c r="U75" s="118">
        <f t="shared" si="20"/>
        <v>0</v>
      </c>
    </row>
    <row r="76" spans="1:54" ht="17.100000000000001" hidden="1" customHeight="1" outlineLevel="1" x14ac:dyDescent="0.25">
      <c r="A76" s="3"/>
      <c r="B76" s="135"/>
      <c r="C76" s="30"/>
      <c r="D76" s="184"/>
      <c r="E76" s="91" t="str">
        <f t="shared" si="21"/>
        <v>Palmview</v>
      </c>
      <c r="F76" s="93" t="str">
        <f t="shared" si="22"/>
        <v>CP962</v>
      </c>
      <c r="G76" s="99" t="str">
        <f t="shared" si="16"/>
        <v>CP962-RETURN - 5th don of the month -BONUS</v>
      </c>
      <c r="H76" s="182"/>
      <c r="I76" s="83" t="s">
        <v>47</v>
      </c>
      <c r="J76" s="54">
        <v>0</v>
      </c>
      <c r="K76" s="54">
        <v>0</v>
      </c>
      <c r="L76" s="54">
        <v>0</v>
      </c>
      <c r="M76" s="54">
        <v>0</v>
      </c>
      <c r="N76" s="54">
        <v>0</v>
      </c>
      <c r="O76" s="54">
        <v>0</v>
      </c>
      <c r="P76" s="54">
        <v>0</v>
      </c>
      <c r="Q76" s="54">
        <v>0</v>
      </c>
      <c r="R76" s="22"/>
      <c r="S76" s="117" t="str">
        <f t="shared" si="19"/>
        <v>N</v>
      </c>
      <c r="T76" s="114">
        <f>IFERROR(SUMIF('Current NLData'!A:A,'Payment Changes'!G76,'Current NLData'!K:K)/COUNTIF('Current NLData'!A:A,'Payment Changes'!G76),0)+IFERROR(VLOOKUP(G76&amp;"-ALL",NLPaymentExport,10,FALSE),0)</f>
        <v>0</v>
      </c>
      <c r="U76" s="118">
        <f t="shared" si="20"/>
        <v>0</v>
      </c>
    </row>
    <row r="77" spans="1:54" ht="17.100000000000001" hidden="1" customHeight="1" outlineLevel="1" x14ac:dyDescent="0.25">
      <c r="A77" s="3"/>
      <c r="B77" s="135"/>
      <c r="C77" s="30"/>
      <c r="D77" s="184"/>
      <c r="E77" s="91" t="str">
        <f t="shared" si="21"/>
        <v>Palmview</v>
      </c>
      <c r="F77" s="93" t="str">
        <f t="shared" si="22"/>
        <v>CP962</v>
      </c>
      <c r="G77" s="99" t="str">
        <f t="shared" si="16"/>
        <v>CP962-RETURN - 6th don of the month -BONUS</v>
      </c>
      <c r="H77" s="182"/>
      <c r="I77" s="83" t="s">
        <v>48</v>
      </c>
      <c r="J77" s="54">
        <v>0</v>
      </c>
      <c r="K77" s="54">
        <v>0</v>
      </c>
      <c r="L77" s="54">
        <v>0</v>
      </c>
      <c r="M77" s="54">
        <v>30</v>
      </c>
      <c r="N77" s="54">
        <v>30</v>
      </c>
      <c r="O77" s="54">
        <v>30</v>
      </c>
      <c r="P77" s="54">
        <v>30</v>
      </c>
      <c r="Q77" s="54">
        <v>30</v>
      </c>
      <c r="R77" s="22"/>
      <c r="S77" s="117" t="str">
        <f t="shared" si="19"/>
        <v>N</v>
      </c>
      <c r="T77" s="114">
        <f>IFERROR(SUMIF('Current NLData'!A:A,'Payment Changes'!G77,'Current NLData'!K:K)/COUNTIF('Current NLData'!A:A,'Payment Changes'!G77),0)+IFERROR(VLOOKUP(G77&amp;"-ALL",NLPaymentExport,10,FALSE),0)</f>
        <v>30</v>
      </c>
      <c r="U77" s="118">
        <f t="shared" si="20"/>
        <v>0</v>
      </c>
    </row>
    <row r="78" spans="1:54" ht="17.100000000000001" hidden="1" customHeight="1" outlineLevel="1" x14ac:dyDescent="0.25">
      <c r="A78" s="3"/>
      <c r="B78" s="135"/>
      <c r="C78" s="30"/>
      <c r="D78" s="184"/>
      <c r="E78" s="91" t="str">
        <f t="shared" si="21"/>
        <v>Palmview</v>
      </c>
      <c r="F78" s="93" t="str">
        <f t="shared" si="22"/>
        <v>CP962</v>
      </c>
      <c r="G78" s="99" t="str">
        <f t="shared" si="16"/>
        <v>CP962-RETURN - 7th don of the month -BONUS</v>
      </c>
      <c r="H78" s="182"/>
      <c r="I78" s="83" t="s">
        <v>49</v>
      </c>
      <c r="J78" s="54">
        <v>0</v>
      </c>
      <c r="K78" s="54">
        <v>0</v>
      </c>
      <c r="L78" s="54">
        <v>0</v>
      </c>
      <c r="M78" s="54">
        <v>0</v>
      </c>
      <c r="N78" s="54">
        <v>0</v>
      </c>
      <c r="O78" s="54">
        <v>0</v>
      </c>
      <c r="P78" s="54">
        <v>0</v>
      </c>
      <c r="Q78" s="54">
        <v>0</v>
      </c>
      <c r="R78" s="22"/>
      <c r="S78" s="117" t="str">
        <f t="shared" si="19"/>
        <v>N</v>
      </c>
      <c r="T78" s="114">
        <f>IFERROR(SUMIF('Current NLData'!A:A,'Payment Changes'!G78,'Current NLData'!K:K)/COUNTIF('Current NLData'!A:A,'Payment Changes'!G78),0)+IFERROR(VLOOKUP(G78&amp;"-ALL",NLPaymentExport,10,FALSE),0)</f>
        <v>0</v>
      </c>
      <c r="U78" s="118">
        <f t="shared" si="20"/>
        <v>0</v>
      </c>
    </row>
    <row r="79" spans="1:54" ht="17.100000000000001" hidden="1" customHeight="1" outlineLevel="1" x14ac:dyDescent="0.25">
      <c r="A79" s="3"/>
      <c r="B79" s="135"/>
      <c r="C79" s="30"/>
      <c r="D79" s="184"/>
      <c r="E79" s="91" t="str">
        <f t="shared" si="21"/>
        <v>Palmview</v>
      </c>
      <c r="F79" s="93" t="str">
        <f t="shared" si="22"/>
        <v>CP962</v>
      </c>
      <c r="G79" s="99" t="str">
        <f t="shared" si="16"/>
        <v>CP962-RETURN - 8th don of the month -BONUS</v>
      </c>
      <c r="H79" s="182"/>
      <c r="I79" s="83" t="s">
        <v>50</v>
      </c>
      <c r="J79" s="54">
        <v>25</v>
      </c>
      <c r="K79" s="54">
        <v>25</v>
      </c>
      <c r="L79" s="54">
        <v>0</v>
      </c>
      <c r="M79" s="54">
        <v>0</v>
      </c>
      <c r="N79" s="54">
        <v>0</v>
      </c>
      <c r="O79" s="54">
        <v>0</v>
      </c>
      <c r="P79" s="54">
        <v>0</v>
      </c>
      <c r="Q79" s="54">
        <v>0</v>
      </c>
      <c r="R79" s="22"/>
      <c r="S79" s="117" t="str">
        <f t="shared" si="19"/>
        <v>N</v>
      </c>
      <c r="T79" s="114">
        <f>IFERROR(SUMIF('Current NLData'!A:A,'Payment Changes'!G79,'Current NLData'!K:K)/COUNTIF('Current NLData'!A:A,'Payment Changes'!G79),0)+IFERROR(VLOOKUP(G79&amp;"-ALL",NLPaymentExport,10,FALSE),0)</f>
        <v>0</v>
      </c>
      <c r="U79" s="118">
        <f t="shared" si="20"/>
        <v>0</v>
      </c>
    </row>
    <row r="80" spans="1:54" ht="17.100000000000001" hidden="1" customHeight="1" outlineLevel="1" x14ac:dyDescent="0.25">
      <c r="A80" s="3"/>
      <c r="B80" s="135"/>
      <c r="C80" s="30" t="str">
        <f>IF(J80=0,"Warning","")</f>
        <v/>
      </c>
      <c r="D80" s="184"/>
      <c r="E80" s="91" t="str">
        <f t="shared" si="21"/>
        <v>Palmview</v>
      </c>
      <c r="F80" s="93" t="str">
        <f t="shared" si="22"/>
        <v>CP962</v>
      </c>
      <c r="G80" s="99" t="str">
        <f t="shared" si="16"/>
        <v>CP962-RETURN - Buddy referral  -BONUS</v>
      </c>
      <c r="H80" s="182"/>
      <c r="I80" s="83" t="s">
        <v>51</v>
      </c>
      <c r="J80" s="54">
        <v>50</v>
      </c>
      <c r="K80" s="54">
        <v>50</v>
      </c>
      <c r="L80" s="54">
        <v>0</v>
      </c>
      <c r="M80" s="54">
        <v>50</v>
      </c>
      <c r="N80" s="54">
        <v>50</v>
      </c>
      <c r="O80" s="54">
        <v>50</v>
      </c>
      <c r="P80" s="54">
        <v>50</v>
      </c>
      <c r="Q80" s="54">
        <v>50</v>
      </c>
      <c r="R80" s="22"/>
      <c r="S80" s="117" t="str">
        <f t="shared" si="19"/>
        <v>N</v>
      </c>
      <c r="T80" s="114">
        <f>IFERROR(SUMIF('Current NLData'!A:A,'Payment Changes'!G80,'Current NLData'!K:K)/COUNTIF('Current NLData'!A:A,'Payment Changes'!G80),0)+IFERROR(VLOOKUP(G80&amp;"-ALL",NLPaymentExport,10,FALSE),0)</f>
        <v>50</v>
      </c>
      <c r="U80" s="118">
        <f t="shared" si="20"/>
        <v>0</v>
      </c>
    </row>
    <row r="81" spans="1:54" s="90" customFormat="1" ht="17.100000000000001" hidden="1" customHeight="1" collapsed="1" x14ac:dyDescent="0.35">
      <c r="A81" s="85"/>
      <c r="B81" s="85"/>
      <c r="C81" s="86"/>
      <c r="D81" s="87"/>
      <c r="E81" s="87"/>
      <c r="F81" s="87"/>
      <c r="G81" s="87"/>
      <c r="H81" s="96"/>
      <c r="I81" s="88"/>
      <c r="J81" s="89"/>
      <c r="K81" s="89"/>
      <c r="L81" s="89"/>
      <c r="M81" s="89"/>
      <c r="N81" s="89"/>
      <c r="O81" s="89"/>
      <c r="P81" s="89"/>
      <c r="Q81" s="89"/>
      <c r="R81" s="21"/>
      <c r="S81" s="117" t="str">
        <f t="shared" si="19"/>
        <v>N</v>
      </c>
      <c r="T81" s="114">
        <f>IFERROR(SUMIF('Current NLData'!A:A,'Payment Changes'!G81,'Current NLData'!K:K)/COUNTIF('Current NLData'!A:A,'Payment Changes'!G81),0)+IFERROR(VLOOKUP(G81&amp;"-ALL",NLPaymentExport,10,FALSE),0)</f>
        <v>0</v>
      </c>
      <c r="U81" s="118" t="str">
        <f t="shared" si="20"/>
        <v/>
      </c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</row>
    <row r="82" spans="1:54" s="10" customFormat="1" ht="17.100000000000001" hidden="1" customHeight="1" x14ac:dyDescent="0.25">
      <c r="A82" s="165">
        <v>5</v>
      </c>
      <c r="B82" s="168" t="s">
        <v>71</v>
      </c>
      <c r="C82" s="171" t="s">
        <v>19</v>
      </c>
      <c r="D82" s="174" t="s">
        <v>57</v>
      </c>
      <c r="E82" s="106" t="str">
        <f t="shared" si="21"/>
        <v>Pharr</v>
      </c>
      <c r="F82" s="107" t="s">
        <v>72</v>
      </c>
      <c r="G82" s="108" t="str">
        <f t="shared" ref="G82:G100" si="23">F82&amp;"-"&amp;I82</f>
        <v>CP523-New Donor</v>
      </c>
      <c r="H82" s="177" t="s">
        <v>22</v>
      </c>
      <c r="I82" s="76" t="s">
        <v>23</v>
      </c>
      <c r="J82" s="40" t="s">
        <v>26</v>
      </c>
      <c r="K82" s="41" t="s">
        <v>60</v>
      </c>
      <c r="L82" s="41" t="s">
        <v>61</v>
      </c>
      <c r="M82" s="119" t="s">
        <v>27</v>
      </c>
      <c r="N82" s="139" t="s">
        <v>27</v>
      </c>
      <c r="O82" s="139" t="s">
        <v>27</v>
      </c>
      <c r="P82" s="139" t="s">
        <v>27</v>
      </c>
      <c r="Q82" s="139" t="s">
        <v>63</v>
      </c>
      <c r="R82" s="109"/>
      <c r="S82" s="117" t="str">
        <f t="shared" si="19"/>
        <v>Y</v>
      </c>
      <c r="T82" s="114">
        <f>IFERROR(SUMIF('Current NLData'!A:A,'Payment Changes'!G82,'Current NLData'!K:K)/COUNTIF('Current NLData'!A:A,'Payment Changes'!G82),0)+IFERROR(VLOOKUP(G82&amp;"-ALL",NLPaymentExport,10,FALSE),0)</f>
        <v>0</v>
      </c>
      <c r="U82" s="118" t="str">
        <f t="shared" si="20"/>
        <v/>
      </c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</row>
    <row r="83" spans="1:54" ht="17.100000000000001" hidden="1" customHeight="1" x14ac:dyDescent="0.25">
      <c r="A83" s="166"/>
      <c r="B83" s="169"/>
      <c r="C83" s="172"/>
      <c r="D83" s="175"/>
      <c r="E83" s="91" t="str">
        <f t="shared" si="21"/>
        <v>Pharr</v>
      </c>
      <c r="F83" s="92" t="s">
        <v>72</v>
      </c>
      <c r="G83" s="98" t="str">
        <f t="shared" si="23"/>
        <v>CP523-Return Donor</v>
      </c>
      <c r="H83" s="178"/>
      <c r="I83" s="77" t="s">
        <v>29</v>
      </c>
      <c r="J83" s="43" t="s">
        <v>26</v>
      </c>
      <c r="K83" s="43" t="s">
        <v>61</v>
      </c>
      <c r="L83" s="44" t="s">
        <v>61</v>
      </c>
      <c r="M83" s="120" t="s">
        <v>27</v>
      </c>
      <c r="N83" s="140" t="s">
        <v>27</v>
      </c>
      <c r="O83" s="140" t="s">
        <v>27</v>
      </c>
      <c r="P83" s="140" t="s">
        <v>27</v>
      </c>
      <c r="Q83" s="140" t="s">
        <v>27</v>
      </c>
      <c r="R83" s="21"/>
      <c r="S83" s="117" t="str">
        <f t="shared" si="19"/>
        <v>N</v>
      </c>
      <c r="T83" s="114">
        <f>IFERROR(SUMIF('Current NLData'!A:A,'Payment Changes'!G83,'Current NLData'!K:K)/COUNTIF('Current NLData'!A:A,'Payment Changes'!G83),0)+IFERROR(VLOOKUP(G83&amp;"-ALL",NLPaymentExport,10,FALSE),0)</f>
        <v>0</v>
      </c>
      <c r="U83" s="118" t="str">
        <f t="shared" si="20"/>
        <v/>
      </c>
    </row>
    <row r="84" spans="1:54" ht="17.100000000000001" hidden="1" customHeight="1" x14ac:dyDescent="0.25">
      <c r="A84" s="166"/>
      <c r="B84" s="169"/>
      <c r="C84" s="172"/>
      <c r="D84" s="175"/>
      <c r="E84" s="91" t="str">
        <f t="shared" si="21"/>
        <v>Pharr</v>
      </c>
      <c r="F84" s="92" t="s">
        <v>72</v>
      </c>
      <c r="G84" s="98" t="str">
        <f t="shared" si="23"/>
        <v>CP523-Retention Bonus</v>
      </c>
      <c r="H84" s="178"/>
      <c r="I84" s="78" t="s">
        <v>30</v>
      </c>
      <c r="J84" s="46" t="s">
        <v>31</v>
      </c>
      <c r="K84" s="46" t="s">
        <v>31</v>
      </c>
      <c r="L84" s="47" t="s">
        <v>32</v>
      </c>
      <c r="M84" s="48" t="s">
        <v>32</v>
      </c>
      <c r="N84" s="46" t="s">
        <v>32</v>
      </c>
      <c r="O84" s="46" t="s">
        <v>32</v>
      </c>
      <c r="P84" s="46" t="s">
        <v>32</v>
      </c>
      <c r="Q84" s="46" t="s">
        <v>32</v>
      </c>
      <c r="R84" s="21"/>
      <c r="S84" s="117" t="str">
        <f t="shared" si="19"/>
        <v>N</v>
      </c>
      <c r="T84" s="114">
        <f>IFERROR(SUMIF('Current NLData'!A:A,'Payment Changes'!G84,'Current NLData'!K:K)/COUNTIF('Current NLData'!A:A,'Payment Changes'!G84),0)+IFERROR(VLOOKUP(G84&amp;"-ALL",NLPaymentExport,10,FALSE),0)</f>
        <v>0</v>
      </c>
      <c r="U84" s="118" t="str">
        <f t="shared" si="20"/>
        <v/>
      </c>
    </row>
    <row r="85" spans="1:54" s="15" customFormat="1" ht="17.100000000000001" hidden="1" customHeight="1" x14ac:dyDescent="0.25">
      <c r="A85" s="167"/>
      <c r="B85" s="170"/>
      <c r="C85" s="173"/>
      <c r="D85" s="176"/>
      <c r="E85" s="110" t="str">
        <f t="shared" si="21"/>
        <v>Pharr</v>
      </c>
      <c r="F85" s="111" t="s">
        <v>72</v>
      </c>
      <c r="G85" s="112" t="str">
        <f t="shared" si="23"/>
        <v>CP523-Referral</v>
      </c>
      <c r="H85" s="179"/>
      <c r="I85" s="79" t="s">
        <v>34</v>
      </c>
      <c r="J85" s="49">
        <v>50</v>
      </c>
      <c r="K85" s="49">
        <v>50</v>
      </c>
      <c r="L85" s="50" t="s">
        <v>32</v>
      </c>
      <c r="M85" s="51" t="s">
        <v>32</v>
      </c>
      <c r="N85" s="49" t="s">
        <v>32</v>
      </c>
      <c r="O85" s="49">
        <v>50</v>
      </c>
      <c r="P85" s="49">
        <v>50</v>
      </c>
      <c r="Q85" s="49">
        <v>100</v>
      </c>
      <c r="R85" s="113"/>
      <c r="S85" s="117" t="str">
        <f t="shared" si="19"/>
        <v>Y</v>
      </c>
      <c r="T85" s="114">
        <f>IFERROR(SUMIF('Current NLData'!A:A,'Payment Changes'!G85,'Current NLData'!K:K)/COUNTIF('Current NLData'!A:A,'Payment Changes'!G85),0)+IFERROR(VLOOKUP(G85&amp;"-ALL",NLPaymentExport,10,FALSE),0)</f>
        <v>0</v>
      </c>
      <c r="U85" s="118" t="str">
        <f t="shared" si="20"/>
        <v/>
      </c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</row>
    <row r="86" spans="1:54" ht="17.100000000000001" hidden="1" customHeight="1" outlineLevel="1" x14ac:dyDescent="0.25">
      <c r="A86" s="3"/>
      <c r="C86" s="4"/>
      <c r="D86" s="180" t="s">
        <v>72</v>
      </c>
      <c r="E86" s="91" t="str">
        <f t="shared" si="21"/>
        <v>Pharr</v>
      </c>
      <c r="F86" s="93" t="str">
        <f t="shared" si="22"/>
        <v>CP523</v>
      </c>
      <c r="G86" s="99" t="str">
        <f t="shared" si="23"/>
        <v>CP523-NEW DONOR -1st</v>
      </c>
      <c r="H86" s="182" t="s">
        <v>36</v>
      </c>
      <c r="I86" s="33" t="s">
        <v>37</v>
      </c>
      <c r="J86" s="60">
        <v>60</v>
      </c>
      <c r="K86" s="61">
        <v>55</v>
      </c>
      <c r="L86" s="60">
        <v>55</v>
      </c>
      <c r="M86" s="60">
        <v>60</v>
      </c>
      <c r="N86" s="60">
        <v>60</v>
      </c>
      <c r="O86" s="60">
        <v>60</v>
      </c>
      <c r="P86" s="60">
        <v>60</v>
      </c>
      <c r="Q86" s="60">
        <v>100</v>
      </c>
      <c r="R86" s="23"/>
      <c r="S86" s="117" t="str">
        <f t="shared" si="19"/>
        <v>Y</v>
      </c>
      <c r="T86" s="114">
        <f>IFERROR(SUMIF('Current NLData'!A:A,'Payment Changes'!G86,'Current NLData'!K:K)/COUNTIF('Current NLData'!A:A,'Payment Changes'!G86),0)+IFERROR(VLOOKUP(G86&amp;"-ALL",NLPaymentExport,10,FALSE),0)</f>
        <v>60</v>
      </c>
      <c r="U86" s="118">
        <f t="shared" si="20"/>
        <v>-40</v>
      </c>
    </row>
    <row r="87" spans="1:54" ht="17.100000000000001" hidden="1" customHeight="1" outlineLevel="1" x14ac:dyDescent="0.25">
      <c r="A87" s="3"/>
      <c r="C87" s="4"/>
      <c r="D87" s="181"/>
      <c r="E87" s="91" t="str">
        <f t="shared" si="21"/>
        <v>Pharr</v>
      </c>
      <c r="F87" s="93" t="str">
        <f t="shared" si="22"/>
        <v>CP523</v>
      </c>
      <c r="G87" s="99" t="str">
        <f t="shared" si="23"/>
        <v>CP523-NEW DONOR -2nd</v>
      </c>
      <c r="H87" s="182"/>
      <c r="I87" s="34" t="s">
        <v>38</v>
      </c>
      <c r="J87" s="58">
        <v>60</v>
      </c>
      <c r="K87" s="62">
        <v>65</v>
      </c>
      <c r="L87" s="58">
        <v>55</v>
      </c>
      <c r="M87" s="58">
        <v>60</v>
      </c>
      <c r="N87" s="58">
        <v>60</v>
      </c>
      <c r="O87" s="58">
        <v>60</v>
      </c>
      <c r="P87" s="58">
        <v>60</v>
      </c>
      <c r="Q87" s="58">
        <v>100</v>
      </c>
      <c r="R87" s="23"/>
      <c r="S87" s="117" t="str">
        <f t="shared" si="19"/>
        <v>Y</v>
      </c>
      <c r="T87" s="114">
        <f>IFERROR(SUMIF('Current NLData'!A:A,'Payment Changes'!G87,'Current NLData'!K:K)/COUNTIF('Current NLData'!A:A,'Payment Changes'!G87),0)+IFERROR(VLOOKUP(G87&amp;"-ALL",NLPaymentExport,10,FALSE),0)</f>
        <v>60</v>
      </c>
      <c r="U87" s="118">
        <f t="shared" si="20"/>
        <v>-40</v>
      </c>
    </row>
    <row r="88" spans="1:54" ht="17.100000000000001" hidden="1" customHeight="1" outlineLevel="1" x14ac:dyDescent="0.25">
      <c r="A88" s="3"/>
      <c r="C88" s="4"/>
      <c r="D88" s="181"/>
      <c r="E88" s="91" t="str">
        <f t="shared" si="21"/>
        <v>Pharr</v>
      </c>
      <c r="F88" s="93" t="str">
        <f t="shared" si="22"/>
        <v>CP523</v>
      </c>
      <c r="G88" s="99" t="str">
        <f t="shared" si="23"/>
        <v>CP523-NEW DONOR -3rd</v>
      </c>
      <c r="H88" s="182"/>
      <c r="I88" s="34" t="s">
        <v>39</v>
      </c>
      <c r="J88" s="58">
        <v>60</v>
      </c>
      <c r="K88" s="62">
        <v>55</v>
      </c>
      <c r="L88" s="58">
        <v>55</v>
      </c>
      <c r="M88" s="58">
        <v>60</v>
      </c>
      <c r="N88" s="58">
        <v>60</v>
      </c>
      <c r="O88" s="58">
        <v>60</v>
      </c>
      <c r="P88" s="58">
        <v>60</v>
      </c>
      <c r="Q88" s="58">
        <v>100</v>
      </c>
      <c r="R88" s="23"/>
      <c r="S88" s="117" t="str">
        <f t="shared" si="19"/>
        <v>Y</v>
      </c>
      <c r="T88" s="114">
        <f>IFERROR(SUMIF('Current NLData'!A:A,'Payment Changes'!G88,'Current NLData'!K:K)/COUNTIF('Current NLData'!A:A,'Payment Changes'!G88),0)+IFERROR(VLOOKUP(G88&amp;"-ALL",NLPaymentExport,10,FALSE),0)</f>
        <v>60</v>
      </c>
      <c r="U88" s="118">
        <f t="shared" si="20"/>
        <v>-40</v>
      </c>
    </row>
    <row r="89" spans="1:54" ht="17.100000000000001" hidden="1" customHeight="1" outlineLevel="1" x14ac:dyDescent="0.25">
      <c r="A89" s="3"/>
      <c r="C89" s="4"/>
      <c r="D89" s="181"/>
      <c r="E89" s="91" t="str">
        <f t="shared" si="21"/>
        <v>Pharr</v>
      </c>
      <c r="F89" s="93" t="str">
        <f t="shared" si="22"/>
        <v>CP523</v>
      </c>
      <c r="G89" s="99" t="str">
        <f t="shared" si="23"/>
        <v>CP523-NEW DONOR -4th</v>
      </c>
      <c r="H89" s="182"/>
      <c r="I89" s="34" t="s">
        <v>40</v>
      </c>
      <c r="J89" s="58">
        <v>60</v>
      </c>
      <c r="K89" s="62">
        <v>65</v>
      </c>
      <c r="L89" s="58">
        <v>55</v>
      </c>
      <c r="M89" s="58">
        <v>60</v>
      </c>
      <c r="N89" s="58">
        <v>60</v>
      </c>
      <c r="O89" s="58">
        <v>60</v>
      </c>
      <c r="P89" s="58">
        <v>60</v>
      </c>
      <c r="Q89" s="58">
        <v>100</v>
      </c>
      <c r="R89" s="23"/>
      <c r="S89" s="117" t="str">
        <f t="shared" si="19"/>
        <v>Y</v>
      </c>
      <c r="T89" s="114">
        <f>IFERROR(SUMIF('Current NLData'!A:A,'Payment Changes'!G89,'Current NLData'!K:K)/COUNTIF('Current NLData'!A:A,'Payment Changes'!G89),0)+IFERROR(VLOOKUP(G89&amp;"-ALL",NLPaymentExport,10,FALSE),0)</f>
        <v>60</v>
      </c>
      <c r="U89" s="118">
        <f t="shared" si="20"/>
        <v>-40</v>
      </c>
    </row>
    <row r="90" spans="1:54" ht="17.100000000000001" hidden="1" customHeight="1" outlineLevel="1" x14ac:dyDescent="0.25">
      <c r="A90" s="3"/>
      <c r="C90" s="4"/>
      <c r="D90" s="181"/>
      <c r="E90" s="91" t="str">
        <f t="shared" si="21"/>
        <v>Pharr</v>
      </c>
      <c r="F90" s="93" t="str">
        <f t="shared" si="22"/>
        <v>CP523</v>
      </c>
      <c r="G90" s="99" t="str">
        <f t="shared" si="23"/>
        <v>CP523-NEW DONOR -5th</v>
      </c>
      <c r="H90" s="182"/>
      <c r="I90" s="34" t="s">
        <v>41</v>
      </c>
      <c r="J90" s="58">
        <v>60</v>
      </c>
      <c r="K90" s="62">
        <v>55</v>
      </c>
      <c r="L90" s="58">
        <v>55</v>
      </c>
      <c r="M90" s="58">
        <v>60</v>
      </c>
      <c r="N90" s="58">
        <v>60</v>
      </c>
      <c r="O90" s="58">
        <v>60</v>
      </c>
      <c r="P90" s="58">
        <v>60</v>
      </c>
      <c r="Q90" s="58">
        <v>60</v>
      </c>
      <c r="R90" s="23"/>
      <c r="S90" s="117" t="str">
        <f t="shared" si="19"/>
        <v>N</v>
      </c>
      <c r="T90" s="114">
        <f>IFERROR(SUMIF('Current NLData'!A:A,'Payment Changes'!G90,'Current NLData'!K:K)/COUNTIF('Current NLData'!A:A,'Payment Changes'!G90),0)+IFERROR(VLOOKUP(G90&amp;"-ALL",NLPaymentExport,10,FALSE),0)</f>
        <v>60</v>
      </c>
      <c r="U90" s="118">
        <f t="shared" si="20"/>
        <v>0</v>
      </c>
    </row>
    <row r="91" spans="1:54" ht="17.100000000000001" hidden="1" customHeight="1" outlineLevel="1" x14ac:dyDescent="0.25">
      <c r="A91" s="3"/>
      <c r="C91" s="4"/>
      <c r="D91" s="181"/>
      <c r="E91" s="91" t="str">
        <f t="shared" si="21"/>
        <v>Pharr</v>
      </c>
      <c r="F91" s="93" t="str">
        <f t="shared" si="22"/>
        <v>CP523</v>
      </c>
      <c r="G91" s="99" t="str">
        <f t="shared" si="23"/>
        <v>CP523-NEW DONOR -6th</v>
      </c>
      <c r="H91" s="182"/>
      <c r="I91" s="34" t="s">
        <v>42</v>
      </c>
      <c r="J91" s="58">
        <v>60</v>
      </c>
      <c r="K91" s="62">
        <v>65</v>
      </c>
      <c r="L91" s="58">
        <v>55</v>
      </c>
      <c r="M91" s="58">
        <v>60</v>
      </c>
      <c r="N91" s="58">
        <v>60</v>
      </c>
      <c r="O91" s="58">
        <v>60</v>
      </c>
      <c r="P91" s="58">
        <v>60</v>
      </c>
      <c r="Q91" s="58">
        <v>60</v>
      </c>
      <c r="R91" s="23"/>
      <c r="S91" s="117" t="str">
        <f t="shared" si="19"/>
        <v>N</v>
      </c>
      <c r="T91" s="114">
        <f>IFERROR(SUMIF('Current NLData'!A:A,'Payment Changes'!G91,'Current NLData'!K:K)/COUNTIF('Current NLData'!A:A,'Payment Changes'!G91),0)+IFERROR(VLOOKUP(G91&amp;"-ALL",NLPaymentExport,10,FALSE),0)</f>
        <v>60</v>
      </c>
      <c r="U91" s="118">
        <f t="shared" si="20"/>
        <v>0</v>
      </c>
    </row>
    <row r="92" spans="1:54" ht="17.100000000000001" hidden="1" customHeight="1" outlineLevel="1" x14ac:dyDescent="0.25">
      <c r="A92" s="3"/>
      <c r="C92" s="4"/>
      <c r="D92" s="181"/>
      <c r="E92" s="91" t="str">
        <f t="shared" si="21"/>
        <v>Pharr</v>
      </c>
      <c r="F92" s="93" t="str">
        <f t="shared" si="22"/>
        <v>CP523</v>
      </c>
      <c r="G92" s="99" t="str">
        <f t="shared" si="23"/>
        <v>CP523-NEW DONOR -7th</v>
      </c>
      <c r="H92" s="182"/>
      <c r="I92" s="34" t="s">
        <v>43</v>
      </c>
      <c r="J92" s="58">
        <v>60</v>
      </c>
      <c r="K92" s="62">
        <v>55</v>
      </c>
      <c r="L92" s="58">
        <v>55</v>
      </c>
      <c r="M92" s="58">
        <v>60</v>
      </c>
      <c r="N92" s="58">
        <v>60</v>
      </c>
      <c r="O92" s="58">
        <v>60</v>
      </c>
      <c r="P92" s="58">
        <v>60</v>
      </c>
      <c r="Q92" s="58">
        <v>60</v>
      </c>
      <c r="R92" s="23"/>
      <c r="S92" s="117" t="str">
        <f t="shared" si="19"/>
        <v>N</v>
      </c>
      <c r="T92" s="114">
        <f>IFERROR(SUMIF('Current NLData'!A:A,'Payment Changes'!G92,'Current NLData'!K:K)/COUNTIF('Current NLData'!A:A,'Payment Changes'!G92),0)+IFERROR(VLOOKUP(G92&amp;"-ALL",NLPaymentExport,10,FALSE),0)</f>
        <v>60</v>
      </c>
      <c r="U92" s="118">
        <f t="shared" si="20"/>
        <v>0</v>
      </c>
    </row>
    <row r="93" spans="1:54" ht="17.100000000000001" hidden="1" customHeight="1" outlineLevel="1" x14ac:dyDescent="0.25">
      <c r="A93" s="3"/>
      <c r="C93" s="4"/>
      <c r="D93" s="181"/>
      <c r="E93" s="91" t="str">
        <f t="shared" si="21"/>
        <v>Pharr</v>
      </c>
      <c r="F93" s="93" t="str">
        <f t="shared" si="22"/>
        <v>CP523</v>
      </c>
      <c r="G93" s="99" t="str">
        <f t="shared" si="23"/>
        <v>CP523-NEW DONOR -8th</v>
      </c>
      <c r="H93" s="182"/>
      <c r="I93" s="35" t="s">
        <v>44</v>
      </c>
      <c r="J93" s="63">
        <v>60</v>
      </c>
      <c r="K93" s="64">
        <v>65</v>
      </c>
      <c r="L93" s="63">
        <v>55</v>
      </c>
      <c r="M93" s="63">
        <v>60</v>
      </c>
      <c r="N93" s="63">
        <v>60</v>
      </c>
      <c r="O93" s="63">
        <v>60</v>
      </c>
      <c r="P93" s="63">
        <v>60</v>
      </c>
      <c r="Q93" s="63">
        <v>60</v>
      </c>
      <c r="R93" s="23"/>
      <c r="S93" s="117" t="str">
        <f t="shared" si="19"/>
        <v>N</v>
      </c>
      <c r="T93" s="114">
        <f>IFERROR(SUMIF('Current NLData'!A:A,'Payment Changes'!G93,'Current NLData'!K:K)/COUNTIF('Current NLData'!A:A,'Payment Changes'!G93),0)+IFERROR(VLOOKUP(G93&amp;"-ALL",NLPaymentExport,10,FALSE),0)</f>
        <v>60</v>
      </c>
      <c r="U93" s="118">
        <f t="shared" si="20"/>
        <v>0</v>
      </c>
    </row>
    <row r="94" spans="1:54" ht="17.100000000000001" hidden="1" customHeight="1" outlineLevel="1" x14ac:dyDescent="0.25">
      <c r="A94" s="3"/>
      <c r="C94" s="4"/>
      <c r="D94" s="181"/>
      <c r="E94" s="91" t="str">
        <f t="shared" si="21"/>
        <v>Pharr</v>
      </c>
      <c r="F94" s="93" t="str">
        <f t="shared" si="22"/>
        <v>CP523</v>
      </c>
      <c r="G94" s="99" t="str">
        <f t="shared" si="23"/>
        <v>CP523-RETURN - 1st don of the week -STD</v>
      </c>
      <c r="H94" s="182"/>
      <c r="I94" s="36" t="s">
        <v>45</v>
      </c>
      <c r="J94" s="58">
        <v>60</v>
      </c>
      <c r="K94" s="62">
        <v>55</v>
      </c>
      <c r="L94" s="58">
        <v>55</v>
      </c>
      <c r="M94" s="58">
        <v>60</v>
      </c>
      <c r="N94" s="58">
        <v>60</v>
      </c>
      <c r="O94" s="58">
        <v>60</v>
      </c>
      <c r="P94" s="58">
        <v>60</v>
      </c>
      <c r="Q94" s="58">
        <v>60</v>
      </c>
      <c r="R94" s="23"/>
      <c r="S94" s="117" t="str">
        <f t="shared" si="19"/>
        <v>N</v>
      </c>
      <c r="T94" s="114">
        <f>IFERROR(SUMIF('Current NLData'!A:A,'Payment Changes'!G94,'Current NLData'!K:K)/COUNTIF('Current NLData'!A:A,'Payment Changes'!G94),0)+IFERROR(VLOOKUP(G94&amp;"-ALL",NLPaymentExport,10,FALSE),0)</f>
        <v>60</v>
      </c>
      <c r="U94" s="118">
        <f t="shared" si="20"/>
        <v>0</v>
      </c>
    </row>
    <row r="95" spans="1:54" ht="17.100000000000001" hidden="1" customHeight="1" outlineLevel="1" x14ac:dyDescent="0.25">
      <c r="A95" s="3"/>
      <c r="C95" s="4"/>
      <c r="D95" s="181"/>
      <c r="E95" s="91" t="str">
        <f t="shared" si="21"/>
        <v>Pharr</v>
      </c>
      <c r="F95" s="93" t="str">
        <f t="shared" si="22"/>
        <v>CP523</v>
      </c>
      <c r="G95" s="99" t="str">
        <f t="shared" si="23"/>
        <v>CP523-RETURN - 2nd don of the week -BONUS</v>
      </c>
      <c r="H95" s="182"/>
      <c r="I95" s="36" t="s">
        <v>46</v>
      </c>
      <c r="J95" s="58">
        <v>5</v>
      </c>
      <c r="K95" s="62">
        <v>10</v>
      </c>
      <c r="L95" s="58">
        <v>10</v>
      </c>
      <c r="M95" s="58">
        <v>20</v>
      </c>
      <c r="N95" s="58">
        <v>20</v>
      </c>
      <c r="O95" s="58">
        <v>20</v>
      </c>
      <c r="P95" s="58">
        <v>20</v>
      </c>
      <c r="Q95" s="58">
        <v>20</v>
      </c>
      <c r="R95" s="23"/>
      <c r="S95" s="117" t="str">
        <f t="shared" si="19"/>
        <v>N</v>
      </c>
      <c r="T95" s="114">
        <f>IFERROR(SUMIF('Current NLData'!A:A,'Payment Changes'!G95,'Current NLData'!K:K)/COUNTIF('Current NLData'!A:A,'Payment Changes'!G95),0)+IFERROR(VLOOKUP(G95&amp;"-ALL",NLPaymentExport,10,FALSE),0)</f>
        <v>20</v>
      </c>
      <c r="U95" s="118">
        <f t="shared" si="20"/>
        <v>0</v>
      </c>
    </row>
    <row r="96" spans="1:54" ht="17.100000000000001" hidden="1" customHeight="1" outlineLevel="1" x14ac:dyDescent="0.25">
      <c r="A96" s="3"/>
      <c r="C96" s="4"/>
      <c r="D96" s="181"/>
      <c r="E96" s="91" t="str">
        <f t="shared" si="21"/>
        <v>Pharr</v>
      </c>
      <c r="F96" s="93" t="str">
        <f t="shared" si="22"/>
        <v>CP523</v>
      </c>
      <c r="G96" s="99" t="str">
        <f t="shared" si="23"/>
        <v>CP523-RETURN - 5th don of the month -BONUS</v>
      </c>
      <c r="H96" s="182"/>
      <c r="I96" s="37" t="s">
        <v>47</v>
      </c>
      <c r="J96" s="65">
        <v>0</v>
      </c>
      <c r="K96" s="65">
        <v>0</v>
      </c>
      <c r="L96" s="65">
        <v>0</v>
      </c>
      <c r="M96" s="65">
        <v>0</v>
      </c>
      <c r="N96" s="65">
        <v>0</v>
      </c>
      <c r="O96" s="65">
        <v>0</v>
      </c>
      <c r="P96" s="65">
        <v>0</v>
      </c>
      <c r="Q96" s="65">
        <v>0</v>
      </c>
      <c r="R96" s="22"/>
      <c r="S96" s="117" t="str">
        <f t="shared" si="19"/>
        <v>N</v>
      </c>
      <c r="T96" s="114">
        <f>IFERROR(SUMIF('Current NLData'!A:A,'Payment Changes'!G96,'Current NLData'!K:K)/COUNTIF('Current NLData'!A:A,'Payment Changes'!G96),0)+IFERROR(VLOOKUP(G96&amp;"-ALL",NLPaymentExport,10,FALSE),0)</f>
        <v>0</v>
      </c>
      <c r="U96" s="118">
        <f t="shared" si="20"/>
        <v>0</v>
      </c>
    </row>
    <row r="97" spans="1:54" ht="17.100000000000001" hidden="1" customHeight="1" outlineLevel="1" x14ac:dyDescent="0.25">
      <c r="A97" s="3"/>
      <c r="C97" s="4"/>
      <c r="D97" s="181"/>
      <c r="E97" s="91" t="str">
        <f t="shared" si="21"/>
        <v>Pharr</v>
      </c>
      <c r="F97" s="93" t="str">
        <f t="shared" si="22"/>
        <v>CP523</v>
      </c>
      <c r="G97" s="99" t="str">
        <f t="shared" si="23"/>
        <v>CP523-RETURN - 6th don of the month -BONUS</v>
      </c>
      <c r="H97" s="182"/>
      <c r="I97" s="38" t="s">
        <v>48</v>
      </c>
      <c r="J97" s="58">
        <v>0</v>
      </c>
      <c r="K97" s="58">
        <v>0</v>
      </c>
      <c r="L97" s="58">
        <v>0</v>
      </c>
      <c r="M97" s="58">
        <v>0</v>
      </c>
      <c r="N97" s="58">
        <v>0</v>
      </c>
      <c r="O97" s="58">
        <v>0</v>
      </c>
      <c r="P97" s="58">
        <v>0</v>
      </c>
      <c r="Q97" s="58">
        <v>0</v>
      </c>
      <c r="R97" s="22"/>
      <c r="S97" s="117" t="str">
        <f t="shared" si="19"/>
        <v>N</v>
      </c>
      <c r="T97" s="114">
        <f>IFERROR(SUMIF('Current NLData'!A:A,'Payment Changes'!G97,'Current NLData'!K:K)/COUNTIF('Current NLData'!A:A,'Payment Changes'!G97),0)+IFERROR(VLOOKUP(G97&amp;"-ALL",NLPaymentExport,10,FALSE),0)</f>
        <v>0</v>
      </c>
      <c r="U97" s="118">
        <f t="shared" si="20"/>
        <v>0</v>
      </c>
    </row>
    <row r="98" spans="1:54" ht="17.100000000000001" hidden="1" customHeight="1" outlineLevel="1" x14ac:dyDescent="0.25">
      <c r="A98" s="3"/>
      <c r="C98" s="4"/>
      <c r="D98" s="181"/>
      <c r="E98" s="91" t="str">
        <f t="shared" si="21"/>
        <v>Pharr</v>
      </c>
      <c r="F98" s="93" t="str">
        <f t="shared" si="22"/>
        <v>CP523</v>
      </c>
      <c r="G98" s="99" t="str">
        <f t="shared" si="23"/>
        <v>CP523-RETURN - 7th don of the month -BONUS</v>
      </c>
      <c r="H98" s="182"/>
      <c r="I98" s="38" t="s">
        <v>49</v>
      </c>
      <c r="J98" s="58">
        <v>0</v>
      </c>
      <c r="K98" s="58">
        <v>0</v>
      </c>
      <c r="L98" s="58">
        <v>0</v>
      </c>
      <c r="M98" s="58">
        <v>0</v>
      </c>
      <c r="N98" s="58">
        <v>0</v>
      </c>
      <c r="O98" s="58">
        <v>0</v>
      </c>
      <c r="P98" s="58">
        <v>0</v>
      </c>
      <c r="Q98" s="58">
        <v>0</v>
      </c>
      <c r="R98" s="22"/>
      <c r="S98" s="117" t="str">
        <f t="shared" si="19"/>
        <v>N</v>
      </c>
      <c r="T98" s="114">
        <f>IFERROR(SUMIF('Current NLData'!A:A,'Payment Changes'!G98,'Current NLData'!K:K)/COUNTIF('Current NLData'!A:A,'Payment Changes'!G98),0)+IFERROR(VLOOKUP(G98&amp;"-ALL",NLPaymentExport,10,FALSE),0)</f>
        <v>0</v>
      </c>
      <c r="U98" s="118">
        <f t="shared" si="20"/>
        <v>0</v>
      </c>
    </row>
    <row r="99" spans="1:54" ht="17.100000000000001" hidden="1" customHeight="1" outlineLevel="1" x14ac:dyDescent="0.25">
      <c r="A99" s="3"/>
      <c r="C99" s="4"/>
      <c r="D99" s="181"/>
      <c r="E99" s="91" t="str">
        <f t="shared" si="21"/>
        <v>Pharr</v>
      </c>
      <c r="F99" s="93" t="str">
        <f t="shared" si="22"/>
        <v>CP523</v>
      </c>
      <c r="G99" s="99" t="str">
        <f t="shared" si="23"/>
        <v>CP523-RETURN - 8th don of the month -BONUS</v>
      </c>
      <c r="H99" s="182"/>
      <c r="I99" s="38" t="s">
        <v>50</v>
      </c>
      <c r="J99" s="58">
        <v>25</v>
      </c>
      <c r="K99" s="58">
        <v>25</v>
      </c>
      <c r="L99" s="58">
        <v>0</v>
      </c>
      <c r="M99" s="58">
        <v>0</v>
      </c>
      <c r="N99" s="58">
        <v>0</v>
      </c>
      <c r="O99" s="58">
        <v>0</v>
      </c>
      <c r="P99" s="58">
        <v>0</v>
      </c>
      <c r="Q99" s="58">
        <v>0</v>
      </c>
      <c r="R99" s="22"/>
      <c r="S99" s="117" t="str">
        <f t="shared" si="19"/>
        <v>N</v>
      </c>
      <c r="T99" s="114">
        <f>IFERROR(SUMIF('Current NLData'!A:A,'Payment Changes'!G99,'Current NLData'!K:K)/COUNTIF('Current NLData'!A:A,'Payment Changes'!G99),0)+IFERROR(VLOOKUP(G99&amp;"-ALL",NLPaymentExport,10,FALSE),0)</f>
        <v>0</v>
      </c>
      <c r="U99" s="118">
        <f t="shared" si="20"/>
        <v>0</v>
      </c>
    </row>
    <row r="100" spans="1:54" ht="17.100000000000001" hidden="1" customHeight="1" outlineLevel="1" x14ac:dyDescent="0.25">
      <c r="A100" s="3"/>
      <c r="C100" s="4" t="str">
        <f>IF(J100=0,"Warning","")</f>
        <v/>
      </c>
      <c r="D100" s="181"/>
      <c r="E100" s="91" t="str">
        <f t="shared" si="21"/>
        <v>Pharr</v>
      </c>
      <c r="F100" s="93" t="str">
        <f t="shared" si="22"/>
        <v>CP523</v>
      </c>
      <c r="G100" s="99" t="str">
        <f t="shared" si="23"/>
        <v>CP523-RETURN - Buddy referral  -BONUS</v>
      </c>
      <c r="H100" s="182"/>
      <c r="I100" s="39" t="s">
        <v>51</v>
      </c>
      <c r="J100" s="58">
        <v>50</v>
      </c>
      <c r="K100" s="58">
        <v>50</v>
      </c>
      <c r="L100" s="58">
        <v>0</v>
      </c>
      <c r="M100" s="58">
        <v>0</v>
      </c>
      <c r="N100" s="58">
        <v>0</v>
      </c>
      <c r="O100" s="58">
        <v>50</v>
      </c>
      <c r="P100" s="58">
        <v>50</v>
      </c>
      <c r="Q100" s="58">
        <v>100</v>
      </c>
      <c r="R100" s="22"/>
      <c r="S100" s="117" t="str">
        <f t="shared" si="19"/>
        <v>Y</v>
      </c>
      <c r="T100" s="114">
        <f>IFERROR(SUMIF('Current NLData'!A:A,'Payment Changes'!G100,'Current NLData'!K:K)/COUNTIF('Current NLData'!A:A,'Payment Changes'!G100),0)+IFERROR(VLOOKUP(G100&amp;"-ALL",NLPaymentExport,10,FALSE),0)</f>
        <v>50</v>
      </c>
      <c r="U100" s="118">
        <f t="shared" si="20"/>
        <v>-50</v>
      </c>
    </row>
    <row r="101" spans="1:54" s="90" customFormat="1" ht="17.100000000000001" hidden="1" customHeight="1" collapsed="1" x14ac:dyDescent="0.35">
      <c r="A101" s="85"/>
      <c r="B101" s="85"/>
      <c r="C101" s="86"/>
      <c r="D101" s="87"/>
      <c r="E101" s="87"/>
      <c r="F101" s="87"/>
      <c r="G101" s="87"/>
      <c r="H101" s="96"/>
      <c r="I101" s="88"/>
      <c r="J101" s="89"/>
      <c r="K101" s="89"/>
      <c r="L101" s="89"/>
      <c r="M101" s="89"/>
      <c r="N101" s="89"/>
      <c r="O101" s="89"/>
      <c r="P101" s="89"/>
      <c r="Q101" s="89"/>
      <c r="R101" s="21"/>
      <c r="S101" s="117" t="str">
        <f t="shared" si="19"/>
        <v>N</v>
      </c>
      <c r="T101" s="114">
        <f>IFERROR(SUMIF('Current NLData'!A:A,'Payment Changes'!G101,'Current NLData'!K:K)/COUNTIF('Current NLData'!A:A,'Payment Changes'!G101),0)+IFERROR(VLOOKUP(G101&amp;"-ALL",NLPaymentExport,10,FALSE),0)</f>
        <v>0</v>
      </c>
      <c r="U101" s="118" t="str">
        <f t="shared" si="20"/>
        <v/>
      </c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</row>
    <row r="102" spans="1:54" s="10" customFormat="1" ht="17.100000000000001" hidden="1" customHeight="1" x14ac:dyDescent="0.25">
      <c r="A102" s="165">
        <v>6</v>
      </c>
      <c r="B102" s="168" t="s">
        <v>73</v>
      </c>
      <c r="C102" s="171" t="s">
        <v>19</v>
      </c>
      <c r="D102" s="174" t="s">
        <v>57</v>
      </c>
      <c r="E102" s="106" t="str">
        <f t="shared" si="21"/>
        <v>Goodyear</v>
      </c>
      <c r="F102" s="107" t="s">
        <v>74</v>
      </c>
      <c r="G102" s="108" t="str">
        <f t="shared" ref="G102:G120" si="24">F102&amp;"-"&amp;I102</f>
        <v>CP221-New Donor</v>
      </c>
      <c r="H102" s="177" t="s">
        <v>75</v>
      </c>
      <c r="I102" s="76" t="s">
        <v>23</v>
      </c>
      <c r="J102" s="40" t="s">
        <v>76</v>
      </c>
      <c r="K102" s="41" t="s">
        <v>77</v>
      </c>
      <c r="L102" s="41" t="s">
        <v>76</v>
      </c>
      <c r="M102" s="42" t="s">
        <v>76</v>
      </c>
      <c r="N102" s="40" t="s">
        <v>76</v>
      </c>
      <c r="O102" s="40" t="s">
        <v>76</v>
      </c>
      <c r="P102" s="40" t="s">
        <v>76</v>
      </c>
      <c r="Q102" s="40" t="s">
        <v>78</v>
      </c>
      <c r="R102" s="109"/>
      <c r="S102" s="117" t="str">
        <f t="shared" si="19"/>
        <v>Y</v>
      </c>
      <c r="T102" s="114">
        <f>IFERROR(SUMIF('Current NLData'!A:A,'Payment Changes'!G102,'Current NLData'!K:K)/COUNTIF('Current NLData'!A:A,'Payment Changes'!G102),0)+IFERROR(VLOOKUP(G102&amp;"-ALL",NLPaymentExport,10,FALSE),0)</f>
        <v>0</v>
      </c>
      <c r="U102" s="118" t="str">
        <f t="shared" si="20"/>
        <v/>
      </c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</row>
    <row r="103" spans="1:54" ht="17.100000000000001" hidden="1" customHeight="1" x14ac:dyDescent="0.25">
      <c r="A103" s="166"/>
      <c r="B103" s="169"/>
      <c r="C103" s="172"/>
      <c r="D103" s="175"/>
      <c r="E103" s="91" t="str">
        <f t="shared" si="21"/>
        <v>Goodyear</v>
      </c>
      <c r="F103" s="92" t="s">
        <v>74</v>
      </c>
      <c r="G103" s="98" t="str">
        <f t="shared" si="24"/>
        <v>CP221-Return Donor</v>
      </c>
      <c r="H103" s="178"/>
      <c r="I103" s="77" t="s">
        <v>29</v>
      </c>
      <c r="J103" s="43" t="s">
        <v>76</v>
      </c>
      <c r="K103" s="43" t="s">
        <v>76</v>
      </c>
      <c r="L103" s="44" t="s">
        <v>76</v>
      </c>
      <c r="M103" s="45" t="s">
        <v>76</v>
      </c>
      <c r="N103" s="43" t="s">
        <v>76</v>
      </c>
      <c r="O103" s="43" t="s">
        <v>76</v>
      </c>
      <c r="P103" s="43" t="s">
        <v>76</v>
      </c>
      <c r="Q103" s="43" t="s">
        <v>76</v>
      </c>
      <c r="R103" s="21"/>
      <c r="S103" s="117" t="str">
        <f t="shared" si="19"/>
        <v>N</v>
      </c>
      <c r="T103" s="114">
        <f>IFERROR(SUMIF('Current NLData'!A:A,'Payment Changes'!G103,'Current NLData'!K:K)/COUNTIF('Current NLData'!A:A,'Payment Changes'!G103),0)+IFERROR(VLOOKUP(G103&amp;"-ALL",NLPaymentExport,10,FALSE),0)</f>
        <v>0</v>
      </c>
      <c r="U103" s="118" t="str">
        <f t="shared" si="20"/>
        <v/>
      </c>
    </row>
    <row r="104" spans="1:54" ht="17.100000000000001" hidden="1" customHeight="1" x14ac:dyDescent="0.25">
      <c r="A104" s="166"/>
      <c r="B104" s="169"/>
      <c r="C104" s="172"/>
      <c r="D104" s="175"/>
      <c r="E104" s="91" t="str">
        <f t="shared" si="21"/>
        <v>Goodyear</v>
      </c>
      <c r="F104" s="92" t="s">
        <v>74</v>
      </c>
      <c r="G104" s="98" t="str">
        <f t="shared" si="24"/>
        <v>CP221-Retention Bonus</v>
      </c>
      <c r="H104" s="178"/>
      <c r="I104" s="78" t="s">
        <v>30</v>
      </c>
      <c r="J104" s="46" t="s">
        <v>31</v>
      </c>
      <c r="K104" s="46" t="s">
        <v>31</v>
      </c>
      <c r="L104" s="47" t="s">
        <v>32</v>
      </c>
      <c r="M104" s="48" t="s">
        <v>32</v>
      </c>
      <c r="N104" s="46" t="s">
        <v>32</v>
      </c>
      <c r="O104" s="46" t="s">
        <v>32</v>
      </c>
      <c r="P104" s="46" t="s">
        <v>32</v>
      </c>
      <c r="Q104" s="46" t="s">
        <v>32</v>
      </c>
      <c r="R104" s="21"/>
      <c r="S104" s="117" t="str">
        <f t="shared" si="19"/>
        <v>N</v>
      </c>
      <c r="T104" s="114">
        <f>IFERROR(SUMIF('Current NLData'!A:A,'Payment Changes'!G104,'Current NLData'!K:K)/COUNTIF('Current NLData'!A:A,'Payment Changes'!G104),0)+IFERROR(VLOOKUP(G104&amp;"-ALL",NLPaymentExport,10,FALSE),0)</f>
        <v>0</v>
      </c>
      <c r="U104" s="118" t="str">
        <f t="shared" si="20"/>
        <v/>
      </c>
    </row>
    <row r="105" spans="1:54" s="15" customFormat="1" ht="17.100000000000001" hidden="1" customHeight="1" x14ac:dyDescent="0.25">
      <c r="A105" s="167"/>
      <c r="B105" s="170"/>
      <c r="C105" s="173"/>
      <c r="D105" s="176"/>
      <c r="E105" s="110" t="str">
        <f t="shared" si="21"/>
        <v>Goodyear</v>
      </c>
      <c r="F105" s="111" t="s">
        <v>74</v>
      </c>
      <c r="G105" s="112" t="str">
        <f t="shared" si="24"/>
        <v>CP221-Referral</v>
      </c>
      <c r="H105" s="179"/>
      <c r="I105" s="79" t="s">
        <v>34</v>
      </c>
      <c r="J105" s="49">
        <v>50</v>
      </c>
      <c r="K105" s="49">
        <v>50</v>
      </c>
      <c r="L105" s="50" t="s">
        <v>32</v>
      </c>
      <c r="M105" s="51" t="s">
        <v>32</v>
      </c>
      <c r="N105" s="49" t="s">
        <v>32</v>
      </c>
      <c r="O105" s="49">
        <v>50</v>
      </c>
      <c r="P105" s="49">
        <v>50</v>
      </c>
      <c r="Q105" s="49">
        <v>50</v>
      </c>
      <c r="R105" s="113"/>
      <c r="S105" s="117" t="str">
        <f t="shared" si="19"/>
        <v>N</v>
      </c>
      <c r="T105" s="114">
        <f>IFERROR(SUMIF('Current NLData'!A:A,'Payment Changes'!G105,'Current NLData'!K:K)/COUNTIF('Current NLData'!A:A,'Payment Changes'!G105),0)+IFERROR(VLOOKUP(G105&amp;"-ALL",NLPaymentExport,10,FALSE),0)</f>
        <v>0</v>
      </c>
      <c r="U105" s="118" t="str">
        <f t="shared" si="20"/>
        <v/>
      </c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</row>
    <row r="106" spans="1:54" ht="17.100000000000001" hidden="1" customHeight="1" outlineLevel="1" x14ac:dyDescent="0.25">
      <c r="A106" s="3"/>
      <c r="C106" s="4"/>
      <c r="D106" s="180" t="s">
        <v>74</v>
      </c>
      <c r="E106" s="91" t="str">
        <f t="shared" si="21"/>
        <v>Goodyear</v>
      </c>
      <c r="F106" s="93" t="str">
        <f t="shared" si="22"/>
        <v>CP221</v>
      </c>
      <c r="G106" s="99" t="str">
        <f t="shared" si="24"/>
        <v>CP221-NEW DONOR -1st</v>
      </c>
      <c r="H106" s="182" t="s">
        <v>36</v>
      </c>
      <c r="I106" s="33" t="s">
        <v>37</v>
      </c>
      <c r="J106" s="60">
        <v>50</v>
      </c>
      <c r="K106" s="61">
        <v>50</v>
      </c>
      <c r="L106" s="60">
        <v>50</v>
      </c>
      <c r="M106" s="60">
        <v>50</v>
      </c>
      <c r="N106" s="60">
        <v>50</v>
      </c>
      <c r="O106" s="60">
        <v>50</v>
      </c>
      <c r="P106" s="60">
        <v>50</v>
      </c>
      <c r="Q106" s="60">
        <v>100</v>
      </c>
      <c r="R106" s="23"/>
      <c r="S106" s="117" t="str">
        <f t="shared" si="19"/>
        <v>Y</v>
      </c>
      <c r="T106" s="114">
        <f>IFERROR(SUMIF('Current NLData'!A:A,'Payment Changes'!G106,'Current NLData'!K:K)/COUNTIF('Current NLData'!A:A,'Payment Changes'!G106),0)+IFERROR(VLOOKUP(G106&amp;"-ALL",NLPaymentExport,10,FALSE),0)</f>
        <v>50</v>
      </c>
      <c r="U106" s="118">
        <f t="shared" si="20"/>
        <v>-50</v>
      </c>
    </row>
    <row r="107" spans="1:54" ht="17.100000000000001" hidden="1" customHeight="1" outlineLevel="1" x14ac:dyDescent="0.25">
      <c r="A107" s="3"/>
      <c r="C107" s="4"/>
      <c r="D107" s="181"/>
      <c r="E107" s="91" t="str">
        <f t="shared" si="21"/>
        <v>Goodyear</v>
      </c>
      <c r="F107" s="93" t="str">
        <f t="shared" si="22"/>
        <v>CP221</v>
      </c>
      <c r="G107" s="99" t="str">
        <f t="shared" si="24"/>
        <v>CP221-NEW DONOR -2nd</v>
      </c>
      <c r="H107" s="182"/>
      <c r="I107" s="34" t="s">
        <v>38</v>
      </c>
      <c r="J107" s="58">
        <v>50</v>
      </c>
      <c r="K107" s="62">
        <v>70</v>
      </c>
      <c r="L107" s="58">
        <v>50</v>
      </c>
      <c r="M107" s="58">
        <v>50</v>
      </c>
      <c r="N107" s="58">
        <v>50</v>
      </c>
      <c r="O107" s="58">
        <v>50</v>
      </c>
      <c r="P107" s="58">
        <v>50</v>
      </c>
      <c r="Q107" s="58">
        <v>100</v>
      </c>
      <c r="R107" s="23"/>
      <c r="S107" s="117" t="str">
        <f t="shared" si="19"/>
        <v>Y</v>
      </c>
      <c r="T107" s="114">
        <f>IFERROR(SUMIF('Current NLData'!A:A,'Payment Changes'!G107,'Current NLData'!K:K)/COUNTIF('Current NLData'!A:A,'Payment Changes'!G107),0)+IFERROR(VLOOKUP(G107&amp;"-ALL",NLPaymentExport,10,FALSE),0)</f>
        <v>50</v>
      </c>
      <c r="U107" s="118">
        <f t="shared" si="20"/>
        <v>-50</v>
      </c>
    </row>
    <row r="108" spans="1:54" ht="17.100000000000001" hidden="1" customHeight="1" outlineLevel="1" x14ac:dyDescent="0.25">
      <c r="A108" s="3"/>
      <c r="C108" s="4"/>
      <c r="D108" s="181"/>
      <c r="E108" s="91" t="str">
        <f t="shared" si="21"/>
        <v>Goodyear</v>
      </c>
      <c r="F108" s="93" t="str">
        <f t="shared" si="22"/>
        <v>CP221</v>
      </c>
      <c r="G108" s="99" t="str">
        <f t="shared" si="24"/>
        <v>CP221-NEW DONOR -3rd</v>
      </c>
      <c r="H108" s="182"/>
      <c r="I108" s="34" t="s">
        <v>39</v>
      </c>
      <c r="J108" s="58">
        <v>50</v>
      </c>
      <c r="K108" s="62">
        <v>50</v>
      </c>
      <c r="L108" s="58">
        <v>50</v>
      </c>
      <c r="M108" s="58">
        <v>50</v>
      </c>
      <c r="N108" s="58">
        <v>50</v>
      </c>
      <c r="O108" s="58">
        <v>50</v>
      </c>
      <c r="P108" s="58">
        <v>50</v>
      </c>
      <c r="Q108" s="58">
        <v>100</v>
      </c>
      <c r="R108" s="23"/>
      <c r="S108" s="117" t="str">
        <f t="shared" si="19"/>
        <v>Y</v>
      </c>
      <c r="T108" s="114">
        <f>IFERROR(SUMIF('Current NLData'!A:A,'Payment Changes'!G108,'Current NLData'!K:K)/COUNTIF('Current NLData'!A:A,'Payment Changes'!G108),0)+IFERROR(VLOOKUP(G108&amp;"-ALL",NLPaymentExport,10,FALSE),0)</f>
        <v>50</v>
      </c>
      <c r="U108" s="118">
        <f t="shared" si="20"/>
        <v>-50</v>
      </c>
    </row>
    <row r="109" spans="1:54" ht="17.100000000000001" hidden="1" customHeight="1" outlineLevel="1" x14ac:dyDescent="0.25">
      <c r="A109" s="3"/>
      <c r="C109" s="4"/>
      <c r="D109" s="181"/>
      <c r="E109" s="91" t="str">
        <f t="shared" si="21"/>
        <v>Goodyear</v>
      </c>
      <c r="F109" s="93" t="str">
        <f t="shared" si="22"/>
        <v>CP221</v>
      </c>
      <c r="G109" s="99" t="str">
        <f t="shared" si="24"/>
        <v>CP221-NEW DONOR -4th</v>
      </c>
      <c r="H109" s="182"/>
      <c r="I109" s="34" t="s">
        <v>40</v>
      </c>
      <c r="J109" s="58">
        <v>50</v>
      </c>
      <c r="K109" s="62">
        <v>70</v>
      </c>
      <c r="L109" s="58">
        <v>50</v>
      </c>
      <c r="M109" s="58">
        <v>50</v>
      </c>
      <c r="N109" s="58">
        <v>50</v>
      </c>
      <c r="O109" s="58">
        <v>50</v>
      </c>
      <c r="P109" s="58">
        <v>50</v>
      </c>
      <c r="Q109" s="58">
        <v>100</v>
      </c>
      <c r="R109" s="23"/>
      <c r="S109" s="117" t="str">
        <f t="shared" si="19"/>
        <v>Y</v>
      </c>
      <c r="T109" s="114">
        <f>IFERROR(SUMIF('Current NLData'!A:A,'Payment Changes'!G109,'Current NLData'!K:K)/COUNTIF('Current NLData'!A:A,'Payment Changes'!G109),0)+IFERROR(VLOOKUP(G109&amp;"-ALL",NLPaymentExport,10,FALSE),0)</f>
        <v>50</v>
      </c>
      <c r="U109" s="118">
        <f t="shared" si="20"/>
        <v>-50</v>
      </c>
    </row>
    <row r="110" spans="1:54" ht="17.100000000000001" hidden="1" customHeight="1" outlineLevel="1" x14ac:dyDescent="0.25">
      <c r="A110" s="3"/>
      <c r="C110" s="4"/>
      <c r="D110" s="181"/>
      <c r="E110" s="91" t="str">
        <f t="shared" si="21"/>
        <v>Goodyear</v>
      </c>
      <c r="F110" s="93" t="str">
        <f t="shared" si="22"/>
        <v>CP221</v>
      </c>
      <c r="G110" s="99" t="str">
        <f t="shared" si="24"/>
        <v>CP221-NEW DONOR -5th</v>
      </c>
      <c r="H110" s="182"/>
      <c r="I110" s="34" t="s">
        <v>41</v>
      </c>
      <c r="J110" s="58">
        <v>50</v>
      </c>
      <c r="K110" s="62">
        <v>50</v>
      </c>
      <c r="L110" s="58">
        <v>50</v>
      </c>
      <c r="M110" s="58">
        <v>50</v>
      </c>
      <c r="N110" s="58">
        <v>50</v>
      </c>
      <c r="O110" s="58">
        <v>50</v>
      </c>
      <c r="P110" s="58">
        <v>50</v>
      </c>
      <c r="Q110" s="58">
        <v>100</v>
      </c>
      <c r="R110" s="23"/>
      <c r="S110" s="117" t="str">
        <f t="shared" si="19"/>
        <v>Y</v>
      </c>
      <c r="T110" s="114">
        <f>IFERROR(SUMIF('Current NLData'!A:A,'Payment Changes'!G110,'Current NLData'!K:K)/COUNTIF('Current NLData'!A:A,'Payment Changes'!G110),0)+IFERROR(VLOOKUP(G110&amp;"-ALL",NLPaymentExport,10,FALSE),0)</f>
        <v>50</v>
      </c>
      <c r="U110" s="118">
        <f t="shared" si="20"/>
        <v>-50</v>
      </c>
    </row>
    <row r="111" spans="1:54" ht="17.100000000000001" hidden="1" customHeight="1" outlineLevel="1" x14ac:dyDescent="0.25">
      <c r="A111" s="3"/>
      <c r="C111" s="4"/>
      <c r="D111" s="181"/>
      <c r="E111" s="91" t="str">
        <f t="shared" si="21"/>
        <v>Goodyear</v>
      </c>
      <c r="F111" s="93" t="str">
        <f t="shared" si="22"/>
        <v>CP221</v>
      </c>
      <c r="G111" s="99" t="str">
        <f t="shared" si="24"/>
        <v>CP221-NEW DONOR -6th</v>
      </c>
      <c r="H111" s="182"/>
      <c r="I111" s="34" t="s">
        <v>42</v>
      </c>
      <c r="J111" s="58">
        <v>50</v>
      </c>
      <c r="K111" s="62">
        <v>70</v>
      </c>
      <c r="L111" s="58">
        <v>50</v>
      </c>
      <c r="M111" s="58">
        <v>50</v>
      </c>
      <c r="N111" s="58">
        <v>50</v>
      </c>
      <c r="O111" s="58">
        <v>50</v>
      </c>
      <c r="P111" s="58">
        <v>50</v>
      </c>
      <c r="Q111" s="58">
        <v>100</v>
      </c>
      <c r="R111" s="23"/>
      <c r="S111" s="117" t="str">
        <f t="shared" si="19"/>
        <v>Y</v>
      </c>
      <c r="T111" s="114">
        <f>IFERROR(SUMIF('Current NLData'!A:A,'Payment Changes'!G111,'Current NLData'!K:K)/COUNTIF('Current NLData'!A:A,'Payment Changes'!G111),0)+IFERROR(VLOOKUP(G111&amp;"-ALL",NLPaymentExport,10,FALSE),0)</f>
        <v>50</v>
      </c>
      <c r="U111" s="118">
        <f t="shared" si="20"/>
        <v>-50</v>
      </c>
    </row>
    <row r="112" spans="1:54" ht="17.100000000000001" hidden="1" customHeight="1" outlineLevel="1" x14ac:dyDescent="0.25">
      <c r="A112" s="3"/>
      <c r="C112" s="4"/>
      <c r="D112" s="181"/>
      <c r="E112" s="91" t="str">
        <f t="shared" si="21"/>
        <v>Goodyear</v>
      </c>
      <c r="F112" s="93" t="str">
        <f t="shared" si="22"/>
        <v>CP221</v>
      </c>
      <c r="G112" s="99" t="str">
        <f t="shared" si="24"/>
        <v>CP221-NEW DONOR -7th</v>
      </c>
      <c r="H112" s="182"/>
      <c r="I112" s="34" t="s">
        <v>43</v>
      </c>
      <c r="J112" s="58">
        <v>50</v>
      </c>
      <c r="K112" s="62">
        <v>50</v>
      </c>
      <c r="L112" s="58">
        <v>50</v>
      </c>
      <c r="M112" s="58">
        <v>50</v>
      </c>
      <c r="N112" s="58">
        <v>50</v>
      </c>
      <c r="O112" s="58">
        <v>50</v>
      </c>
      <c r="P112" s="58">
        <v>50</v>
      </c>
      <c r="Q112" s="58">
        <v>100</v>
      </c>
      <c r="R112" s="23"/>
      <c r="S112" s="117" t="str">
        <f t="shared" si="19"/>
        <v>Y</v>
      </c>
      <c r="T112" s="114">
        <f>IFERROR(SUMIF('Current NLData'!A:A,'Payment Changes'!G112,'Current NLData'!K:K)/COUNTIF('Current NLData'!A:A,'Payment Changes'!G112),0)+IFERROR(VLOOKUP(G112&amp;"-ALL",NLPaymentExport,10,FALSE),0)</f>
        <v>50</v>
      </c>
      <c r="U112" s="118">
        <f t="shared" si="20"/>
        <v>-50</v>
      </c>
    </row>
    <row r="113" spans="1:54" ht="17.100000000000001" hidden="1" customHeight="1" outlineLevel="1" x14ac:dyDescent="0.25">
      <c r="A113" s="3"/>
      <c r="C113" s="4"/>
      <c r="D113" s="181"/>
      <c r="E113" s="91" t="str">
        <f t="shared" si="21"/>
        <v>Goodyear</v>
      </c>
      <c r="F113" s="93" t="str">
        <f t="shared" si="22"/>
        <v>CP221</v>
      </c>
      <c r="G113" s="99" t="str">
        <f t="shared" si="24"/>
        <v>CP221-NEW DONOR -8th</v>
      </c>
      <c r="H113" s="182"/>
      <c r="I113" s="35" t="s">
        <v>44</v>
      </c>
      <c r="J113" s="63">
        <v>50</v>
      </c>
      <c r="K113" s="64">
        <v>70</v>
      </c>
      <c r="L113" s="63">
        <v>50</v>
      </c>
      <c r="M113" s="63">
        <v>50</v>
      </c>
      <c r="N113" s="63">
        <v>50</v>
      </c>
      <c r="O113" s="63">
        <v>50</v>
      </c>
      <c r="P113" s="63">
        <v>50</v>
      </c>
      <c r="Q113" s="63">
        <v>50</v>
      </c>
      <c r="R113" s="23"/>
      <c r="S113" s="117" t="str">
        <f t="shared" si="19"/>
        <v>N</v>
      </c>
      <c r="T113" s="114">
        <f>IFERROR(SUMIF('Current NLData'!A:A,'Payment Changes'!G113,'Current NLData'!K:K)/COUNTIF('Current NLData'!A:A,'Payment Changes'!G113),0)+IFERROR(VLOOKUP(G113&amp;"-ALL",NLPaymentExport,10,FALSE),0)</f>
        <v>50</v>
      </c>
      <c r="U113" s="118">
        <f t="shared" si="20"/>
        <v>0</v>
      </c>
    </row>
    <row r="114" spans="1:54" ht="17.100000000000001" hidden="1" customHeight="1" outlineLevel="1" x14ac:dyDescent="0.25">
      <c r="A114" s="3"/>
      <c r="C114" s="4"/>
      <c r="D114" s="181"/>
      <c r="E114" s="91" t="str">
        <f t="shared" si="21"/>
        <v>Goodyear</v>
      </c>
      <c r="F114" s="93" t="str">
        <f t="shared" si="22"/>
        <v>CP221</v>
      </c>
      <c r="G114" s="99" t="str">
        <f t="shared" si="24"/>
        <v>CP221-RETURN - 1st don of the week -STD</v>
      </c>
      <c r="H114" s="182"/>
      <c r="I114" s="36" t="s">
        <v>45</v>
      </c>
      <c r="J114" s="58">
        <v>50</v>
      </c>
      <c r="K114" s="58">
        <f>J114</f>
        <v>50</v>
      </c>
      <c r="L114" s="58">
        <v>50</v>
      </c>
      <c r="M114" s="58">
        <v>50</v>
      </c>
      <c r="N114" s="58">
        <v>50</v>
      </c>
      <c r="O114" s="58">
        <v>50</v>
      </c>
      <c r="P114" s="58">
        <v>50</v>
      </c>
      <c r="Q114" s="58">
        <v>50</v>
      </c>
      <c r="R114" s="22"/>
      <c r="S114" s="117" t="str">
        <f t="shared" si="19"/>
        <v>N</v>
      </c>
      <c r="T114" s="114">
        <f>IFERROR(SUMIF('Current NLData'!A:A,'Payment Changes'!G114,'Current NLData'!K:K)/COUNTIF('Current NLData'!A:A,'Payment Changes'!G114),0)+IFERROR(VLOOKUP(G114&amp;"-ALL",NLPaymentExport,10,FALSE),0)</f>
        <v>50</v>
      </c>
      <c r="U114" s="118">
        <f t="shared" si="20"/>
        <v>0</v>
      </c>
    </row>
    <row r="115" spans="1:54" ht="17.100000000000001" hidden="1" customHeight="1" outlineLevel="1" x14ac:dyDescent="0.25">
      <c r="A115" s="3"/>
      <c r="C115" s="4"/>
      <c r="D115" s="181"/>
      <c r="E115" s="91" t="str">
        <f t="shared" si="21"/>
        <v>Goodyear</v>
      </c>
      <c r="F115" s="93" t="str">
        <f t="shared" si="22"/>
        <v>CP221</v>
      </c>
      <c r="G115" s="99" t="str">
        <f t="shared" si="24"/>
        <v>CP221-RETURN - 2nd don of the week -BONUS</v>
      </c>
      <c r="H115" s="182"/>
      <c r="I115" s="36" t="s">
        <v>46</v>
      </c>
      <c r="J115" s="58">
        <v>20</v>
      </c>
      <c r="K115" s="58">
        <f>J115</f>
        <v>20</v>
      </c>
      <c r="L115" s="58">
        <v>20</v>
      </c>
      <c r="M115" s="58">
        <v>20</v>
      </c>
      <c r="N115" s="58">
        <v>20</v>
      </c>
      <c r="O115" s="58">
        <v>20</v>
      </c>
      <c r="P115" s="58">
        <v>20</v>
      </c>
      <c r="Q115" s="58">
        <v>20</v>
      </c>
      <c r="R115" s="22"/>
      <c r="S115" s="117" t="str">
        <f t="shared" si="19"/>
        <v>N</v>
      </c>
      <c r="T115" s="114">
        <f>IFERROR(SUMIF('Current NLData'!A:A,'Payment Changes'!G115,'Current NLData'!K:K)/COUNTIF('Current NLData'!A:A,'Payment Changes'!G115),0)+IFERROR(VLOOKUP(G115&amp;"-ALL",NLPaymentExport,10,FALSE),0)</f>
        <v>20</v>
      </c>
      <c r="U115" s="118">
        <f t="shared" si="20"/>
        <v>0</v>
      </c>
    </row>
    <row r="116" spans="1:54" ht="17.100000000000001" hidden="1" customHeight="1" outlineLevel="1" x14ac:dyDescent="0.25">
      <c r="A116" s="3"/>
      <c r="C116" s="4"/>
      <c r="D116" s="181"/>
      <c r="E116" s="91" t="str">
        <f t="shared" si="21"/>
        <v>Goodyear</v>
      </c>
      <c r="F116" s="93" t="str">
        <f t="shared" si="22"/>
        <v>CP221</v>
      </c>
      <c r="G116" s="99" t="str">
        <f t="shared" si="24"/>
        <v>CP221-RETURN - 5th don of the month -BONUS</v>
      </c>
      <c r="H116" s="182"/>
      <c r="I116" s="37" t="s">
        <v>47</v>
      </c>
      <c r="J116" s="65">
        <v>0</v>
      </c>
      <c r="K116" s="65">
        <v>0</v>
      </c>
      <c r="L116" s="65">
        <v>0</v>
      </c>
      <c r="M116" s="65">
        <v>0</v>
      </c>
      <c r="N116" s="65">
        <v>0</v>
      </c>
      <c r="O116" s="65">
        <v>0</v>
      </c>
      <c r="P116" s="65">
        <v>0</v>
      </c>
      <c r="Q116" s="65">
        <v>0</v>
      </c>
      <c r="R116" s="22"/>
      <c r="S116" s="117" t="str">
        <f t="shared" si="19"/>
        <v>N</v>
      </c>
      <c r="T116" s="114">
        <f>IFERROR(SUMIF('Current NLData'!A:A,'Payment Changes'!G116,'Current NLData'!K:K)/COUNTIF('Current NLData'!A:A,'Payment Changes'!G116),0)+IFERROR(VLOOKUP(G116&amp;"-ALL",NLPaymentExport,10,FALSE),0)</f>
        <v>0</v>
      </c>
      <c r="U116" s="118">
        <f t="shared" si="20"/>
        <v>0</v>
      </c>
    </row>
    <row r="117" spans="1:54" ht="17.100000000000001" hidden="1" customHeight="1" outlineLevel="1" x14ac:dyDescent="0.25">
      <c r="A117" s="3"/>
      <c r="C117" s="4"/>
      <c r="D117" s="181"/>
      <c r="E117" s="91" t="str">
        <f t="shared" si="21"/>
        <v>Goodyear</v>
      </c>
      <c r="F117" s="93" t="str">
        <f t="shared" si="22"/>
        <v>CP221</v>
      </c>
      <c r="G117" s="99" t="str">
        <f t="shared" si="24"/>
        <v>CP221-RETURN - 6th don of the month -BONUS</v>
      </c>
      <c r="H117" s="182"/>
      <c r="I117" s="38" t="s">
        <v>48</v>
      </c>
      <c r="J117" s="58">
        <v>0</v>
      </c>
      <c r="K117" s="58">
        <v>0</v>
      </c>
      <c r="L117" s="58">
        <v>0</v>
      </c>
      <c r="M117" s="58">
        <v>0</v>
      </c>
      <c r="N117" s="58">
        <v>0</v>
      </c>
      <c r="O117" s="58">
        <v>0</v>
      </c>
      <c r="P117" s="58">
        <v>0</v>
      </c>
      <c r="Q117" s="58">
        <v>0</v>
      </c>
      <c r="R117" s="22"/>
      <c r="S117" s="117" t="str">
        <f t="shared" si="19"/>
        <v>N</v>
      </c>
      <c r="T117" s="114">
        <f>IFERROR(SUMIF('Current NLData'!A:A,'Payment Changes'!G117,'Current NLData'!K:K)/COUNTIF('Current NLData'!A:A,'Payment Changes'!G117),0)+IFERROR(VLOOKUP(G117&amp;"-ALL",NLPaymentExport,10,FALSE),0)</f>
        <v>0</v>
      </c>
      <c r="U117" s="118">
        <f t="shared" si="20"/>
        <v>0</v>
      </c>
    </row>
    <row r="118" spans="1:54" ht="17.100000000000001" hidden="1" customHeight="1" outlineLevel="1" x14ac:dyDescent="0.25">
      <c r="A118" s="3"/>
      <c r="C118" s="4"/>
      <c r="D118" s="181"/>
      <c r="E118" s="91" t="str">
        <f t="shared" si="21"/>
        <v>Goodyear</v>
      </c>
      <c r="F118" s="93" t="str">
        <f t="shared" si="22"/>
        <v>CP221</v>
      </c>
      <c r="G118" s="99" t="str">
        <f t="shared" si="24"/>
        <v>CP221-RETURN - 7th don of the month -BONUS</v>
      </c>
      <c r="H118" s="182"/>
      <c r="I118" s="38" t="s">
        <v>49</v>
      </c>
      <c r="J118" s="58">
        <v>0</v>
      </c>
      <c r="K118" s="58">
        <v>0</v>
      </c>
      <c r="L118" s="58">
        <v>0</v>
      </c>
      <c r="M118" s="58">
        <v>0</v>
      </c>
      <c r="N118" s="58">
        <v>0</v>
      </c>
      <c r="O118" s="58">
        <v>0</v>
      </c>
      <c r="P118" s="58">
        <v>0</v>
      </c>
      <c r="Q118" s="58">
        <v>0</v>
      </c>
      <c r="R118" s="22"/>
      <c r="S118" s="117" t="str">
        <f t="shared" si="19"/>
        <v>N</v>
      </c>
      <c r="T118" s="114">
        <f>IFERROR(SUMIF('Current NLData'!A:A,'Payment Changes'!G118,'Current NLData'!K:K)/COUNTIF('Current NLData'!A:A,'Payment Changes'!G118),0)+IFERROR(VLOOKUP(G118&amp;"-ALL",NLPaymentExport,10,FALSE),0)</f>
        <v>0</v>
      </c>
      <c r="U118" s="118">
        <f t="shared" si="20"/>
        <v>0</v>
      </c>
    </row>
    <row r="119" spans="1:54" ht="17.100000000000001" hidden="1" customHeight="1" outlineLevel="1" x14ac:dyDescent="0.25">
      <c r="A119" s="3"/>
      <c r="C119" s="4"/>
      <c r="D119" s="181"/>
      <c r="E119" s="91" t="str">
        <f t="shared" si="21"/>
        <v>Goodyear</v>
      </c>
      <c r="F119" s="93" t="str">
        <f t="shared" si="22"/>
        <v>CP221</v>
      </c>
      <c r="G119" s="99" t="str">
        <f t="shared" si="24"/>
        <v>CP221-RETURN - 8th don of the month -BONUS</v>
      </c>
      <c r="H119" s="182"/>
      <c r="I119" s="38" t="s">
        <v>50</v>
      </c>
      <c r="J119" s="58">
        <v>25</v>
      </c>
      <c r="K119" s="58">
        <v>25</v>
      </c>
      <c r="L119" s="58">
        <v>0</v>
      </c>
      <c r="M119" s="58">
        <v>0</v>
      </c>
      <c r="N119" s="58">
        <v>0</v>
      </c>
      <c r="O119" s="58">
        <v>0</v>
      </c>
      <c r="P119" s="58">
        <v>0</v>
      </c>
      <c r="Q119" s="58">
        <v>0</v>
      </c>
      <c r="R119" s="22"/>
      <c r="S119" s="117" t="str">
        <f t="shared" si="19"/>
        <v>N</v>
      </c>
      <c r="T119" s="114">
        <f>IFERROR(SUMIF('Current NLData'!A:A,'Payment Changes'!G119,'Current NLData'!K:K)/COUNTIF('Current NLData'!A:A,'Payment Changes'!G119),0)+IFERROR(VLOOKUP(G119&amp;"-ALL",NLPaymentExport,10,FALSE),0)</f>
        <v>0</v>
      </c>
      <c r="U119" s="118">
        <f t="shared" si="20"/>
        <v>0</v>
      </c>
    </row>
    <row r="120" spans="1:54" ht="17.100000000000001" hidden="1" customHeight="1" outlineLevel="1" x14ac:dyDescent="0.25">
      <c r="A120" s="3"/>
      <c r="C120" s="4" t="str">
        <f>IF(J120=0,"Warning","")</f>
        <v/>
      </c>
      <c r="D120" s="181"/>
      <c r="E120" s="91" t="str">
        <f t="shared" si="21"/>
        <v>Goodyear</v>
      </c>
      <c r="F120" s="93" t="str">
        <f t="shared" si="22"/>
        <v>CP221</v>
      </c>
      <c r="G120" s="99" t="str">
        <f t="shared" si="24"/>
        <v>CP221-RETURN - Buddy referral  -BONUS</v>
      </c>
      <c r="H120" s="182"/>
      <c r="I120" s="39" t="s">
        <v>51</v>
      </c>
      <c r="J120" s="58">
        <v>50</v>
      </c>
      <c r="K120" s="58">
        <v>50</v>
      </c>
      <c r="L120" s="58">
        <v>0</v>
      </c>
      <c r="M120" s="58">
        <v>0</v>
      </c>
      <c r="N120" s="58">
        <v>0</v>
      </c>
      <c r="O120" s="58">
        <v>50</v>
      </c>
      <c r="P120" s="58">
        <v>50</v>
      </c>
      <c r="Q120" s="58">
        <v>50</v>
      </c>
      <c r="R120" s="22"/>
      <c r="S120" s="117" t="str">
        <f t="shared" si="19"/>
        <v>N</v>
      </c>
      <c r="T120" s="114">
        <f>IFERROR(SUMIF('Current NLData'!A:A,'Payment Changes'!G120,'Current NLData'!K:K)/COUNTIF('Current NLData'!A:A,'Payment Changes'!G120),0)+IFERROR(VLOOKUP(G120&amp;"-ALL",NLPaymentExport,10,FALSE),0)</f>
        <v>50</v>
      </c>
      <c r="U120" s="118">
        <f t="shared" si="20"/>
        <v>0</v>
      </c>
    </row>
    <row r="121" spans="1:54" s="90" customFormat="1" ht="17.100000000000001" hidden="1" customHeight="1" collapsed="1" x14ac:dyDescent="0.35">
      <c r="A121" s="85"/>
      <c r="B121" s="85"/>
      <c r="C121" s="86"/>
      <c r="D121" s="87"/>
      <c r="E121" s="87"/>
      <c r="F121" s="87"/>
      <c r="G121" s="87"/>
      <c r="H121" s="96"/>
      <c r="I121" s="88"/>
      <c r="J121" s="89"/>
      <c r="K121" s="89"/>
      <c r="L121" s="89"/>
      <c r="M121" s="89"/>
      <c r="N121" s="89"/>
      <c r="O121" s="89"/>
      <c r="P121" s="89"/>
      <c r="Q121" s="89"/>
      <c r="R121" s="21"/>
      <c r="S121" s="117" t="str">
        <f t="shared" si="19"/>
        <v>N</v>
      </c>
      <c r="T121" s="114">
        <f>IFERROR(SUMIF('Current NLData'!A:A,'Payment Changes'!G121,'Current NLData'!K:K)/COUNTIF('Current NLData'!A:A,'Payment Changes'!G121),0)+IFERROR(VLOOKUP(G121&amp;"-ALL",NLPaymentExport,10,FALSE),0)</f>
        <v>0</v>
      </c>
      <c r="U121" s="118" t="str">
        <f t="shared" si="20"/>
        <v/>
      </c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</row>
    <row r="122" spans="1:54" s="10" customFormat="1" ht="17.100000000000001" hidden="1" customHeight="1" x14ac:dyDescent="0.25">
      <c r="A122" s="165">
        <v>7</v>
      </c>
      <c r="B122" s="168" t="s">
        <v>79</v>
      </c>
      <c r="C122" s="171" t="s">
        <v>19</v>
      </c>
      <c r="D122" s="174" t="s">
        <v>57</v>
      </c>
      <c r="E122" s="106" t="str">
        <f t="shared" si="21"/>
        <v>Phoenix</v>
      </c>
      <c r="F122" s="107" t="s">
        <v>80</v>
      </c>
      <c r="G122" s="108" t="str">
        <f t="shared" ref="G122:G140" si="25">F122&amp;"-"&amp;I122</f>
        <v>CP524-New Donor</v>
      </c>
      <c r="H122" s="177" t="s">
        <v>75</v>
      </c>
      <c r="I122" s="76" t="s">
        <v>23</v>
      </c>
      <c r="J122" s="40" t="s">
        <v>81</v>
      </c>
      <c r="K122" s="41" t="s">
        <v>82</v>
      </c>
      <c r="L122" s="41" t="s">
        <v>83</v>
      </c>
      <c r="M122" s="42" t="s">
        <v>83</v>
      </c>
      <c r="N122" s="40" t="s">
        <v>83</v>
      </c>
      <c r="O122" s="40" t="s">
        <v>83</v>
      </c>
      <c r="P122" s="40" t="s">
        <v>83</v>
      </c>
      <c r="Q122" s="40" t="s">
        <v>78</v>
      </c>
      <c r="R122" s="109"/>
      <c r="S122" s="117" t="str">
        <f t="shared" si="19"/>
        <v>Y</v>
      </c>
      <c r="T122" s="114">
        <f>IFERROR(SUMIF('Current NLData'!A:A,'Payment Changes'!G122,'Current NLData'!K:K)/COUNTIF('Current NLData'!A:A,'Payment Changes'!G122),0)+IFERROR(VLOOKUP(G122&amp;"-ALL",NLPaymentExport,10,FALSE),0)</f>
        <v>0</v>
      </c>
      <c r="U122" s="118" t="str">
        <f t="shared" si="20"/>
        <v/>
      </c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</row>
    <row r="123" spans="1:54" ht="17.100000000000001" hidden="1" customHeight="1" x14ac:dyDescent="0.25">
      <c r="A123" s="166"/>
      <c r="B123" s="169"/>
      <c r="C123" s="172"/>
      <c r="D123" s="175"/>
      <c r="E123" s="91" t="str">
        <f t="shared" si="21"/>
        <v>Phoenix</v>
      </c>
      <c r="F123" s="92" t="s">
        <v>80</v>
      </c>
      <c r="G123" s="98" t="str">
        <f t="shared" si="25"/>
        <v>CP524-Return Donor</v>
      </c>
      <c r="H123" s="178"/>
      <c r="I123" s="77" t="s">
        <v>29</v>
      </c>
      <c r="J123" s="43" t="s">
        <v>81</v>
      </c>
      <c r="K123" s="43" t="s">
        <v>83</v>
      </c>
      <c r="L123" s="44" t="s">
        <v>83</v>
      </c>
      <c r="M123" s="45" t="s">
        <v>83</v>
      </c>
      <c r="N123" s="43" t="s">
        <v>83</v>
      </c>
      <c r="O123" s="43" t="s">
        <v>83</v>
      </c>
      <c r="P123" s="43" t="s">
        <v>83</v>
      </c>
      <c r="Q123" s="43" t="s">
        <v>84</v>
      </c>
      <c r="R123" s="21"/>
      <c r="S123" s="117" t="str">
        <f t="shared" si="19"/>
        <v>Y</v>
      </c>
      <c r="T123" s="114">
        <f>IFERROR(SUMIF('Current NLData'!A:A,'Payment Changes'!G123,'Current NLData'!K:K)/COUNTIF('Current NLData'!A:A,'Payment Changes'!G123),0)+IFERROR(VLOOKUP(G123&amp;"-ALL",NLPaymentExport,10,FALSE),0)</f>
        <v>0</v>
      </c>
      <c r="U123" s="118" t="str">
        <f t="shared" si="20"/>
        <v/>
      </c>
    </row>
    <row r="124" spans="1:54" ht="17.100000000000001" hidden="1" customHeight="1" x14ac:dyDescent="0.25">
      <c r="A124" s="166"/>
      <c r="B124" s="169"/>
      <c r="C124" s="172"/>
      <c r="D124" s="175"/>
      <c r="E124" s="91" t="str">
        <f t="shared" si="21"/>
        <v>Phoenix</v>
      </c>
      <c r="F124" s="92" t="s">
        <v>80</v>
      </c>
      <c r="G124" s="98" t="str">
        <f t="shared" si="25"/>
        <v>CP524-Retention Bonus</v>
      </c>
      <c r="H124" s="178"/>
      <c r="I124" s="78" t="s">
        <v>30</v>
      </c>
      <c r="J124" s="46" t="s">
        <v>31</v>
      </c>
      <c r="K124" s="46" t="s">
        <v>31</v>
      </c>
      <c r="L124" s="47" t="s">
        <v>32</v>
      </c>
      <c r="M124" s="48" t="s">
        <v>32</v>
      </c>
      <c r="N124" s="46" t="s">
        <v>32</v>
      </c>
      <c r="O124" s="46" t="s">
        <v>32</v>
      </c>
      <c r="P124" s="46" t="s">
        <v>32</v>
      </c>
      <c r="Q124" s="46" t="s">
        <v>32</v>
      </c>
      <c r="R124" s="21"/>
      <c r="S124" s="117" t="str">
        <f t="shared" si="19"/>
        <v>N</v>
      </c>
      <c r="T124" s="114">
        <f>IFERROR(SUMIF('Current NLData'!A:A,'Payment Changes'!G124,'Current NLData'!K:K)/COUNTIF('Current NLData'!A:A,'Payment Changes'!G124),0)+IFERROR(VLOOKUP(G124&amp;"-ALL",NLPaymentExport,10,FALSE),0)</f>
        <v>0</v>
      </c>
      <c r="U124" s="118" t="str">
        <f t="shared" si="20"/>
        <v/>
      </c>
    </row>
    <row r="125" spans="1:54" s="15" customFormat="1" ht="17.100000000000001" hidden="1" customHeight="1" x14ac:dyDescent="0.25">
      <c r="A125" s="167"/>
      <c r="B125" s="170"/>
      <c r="C125" s="173"/>
      <c r="D125" s="176"/>
      <c r="E125" s="110" t="str">
        <f t="shared" si="21"/>
        <v>Phoenix</v>
      </c>
      <c r="F125" s="111" t="s">
        <v>80</v>
      </c>
      <c r="G125" s="112" t="str">
        <f t="shared" si="25"/>
        <v>CP524-Referral</v>
      </c>
      <c r="H125" s="179"/>
      <c r="I125" s="79" t="s">
        <v>34</v>
      </c>
      <c r="J125" s="49">
        <v>50</v>
      </c>
      <c r="K125" s="49">
        <v>50</v>
      </c>
      <c r="L125" s="50" t="s">
        <v>32</v>
      </c>
      <c r="M125" s="51" t="s">
        <v>32</v>
      </c>
      <c r="N125" s="49" t="s">
        <v>32</v>
      </c>
      <c r="O125" s="49">
        <v>50</v>
      </c>
      <c r="P125" s="49">
        <v>50</v>
      </c>
      <c r="Q125" s="49">
        <v>50</v>
      </c>
      <c r="R125" s="113"/>
      <c r="S125" s="117" t="str">
        <f t="shared" si="19"/>
        <v>N</v>
      </c>
      <c r="T125" s="114">
        <f>IFERROR(SUMIF('Current NLData'!A:A,'Payment Changes'!G125,'Current NLData'!K:K)/COUNTIF('Current NLData'!A:A,'Payment Changes'!G125),0)+IFERROR(VLOOKUP(G125&amp;"-ALL",NLPaymentExport,10,FALSE),0)</f>
        <v>0</v>
      </c>
      <c r="U125" s="118" t="str">
        <f t="shared" si="20"/>
        <v/>
      </c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</row>
    <row r="126" spans="1:54" ht="17.100000000000001" hidden="1" customHeight="1" outlineLevel="1" x14ac:dyDescent="0.25">
      <c r="A126" s="3"/>
      <c r="C126" s="4"/>
      <c r="D126" s="180" t="s">
        <v>80</v>
      </c>
      <c r="E126" s="91" t="str">
        <f t="shared" si="21"/>
        <v>Phoenix</v>
      </c>
      <c r="F126" s="93" t="str">
        <f t="shared" si="22"/>
        <v>CP524</v>
      </c>
      <c r="G126" s="99" t="str">
        <f t="shared" si="25"/>
        <v>CP524-NEW DONOR -1st</v>
      </c>
      <c r="H126" s="182" t="s">
        <v>36</v>
      </c>
      <c r="I126" s="33" t="s">
        <v>37</v>
      </c>
      <c r="J126" s="60">
        <v>60</v>
      </c>
      <c r="K126" s="61">
        <v>56</v>
      </c>
      <c r="L126" s="60">
        <v>56</v>
      </c>
      <c r="M126" s="60">
        <v>56</v>
      </c>
      <c r="N126" s="60">
        <v>56</v>
      </c>
      <c r="O126" s="60">
        <v>56</v>
      </c>
      <c r="P126" s="60">
        <v>56</v>
      </c>
      <c r="Q126" s="60">
        <v>100</v>
      </c>
      <c r="R126" s="23"/>
      <c r="S126" s="117" t="str">
        <f t="shared" si="19"/>
        <v>Y</v>
      </c>
      <c r="T126" s="114">
        <f>IFERROR(SUMIF('Current NLData'!A:A,'Payment Changes'!G126,'Current NLData'!K:K)/COUNTIF('Current NLData'!A:A,'Payment Changes'!G126),0)+IFERROR(VLOOKUP(G126&amp;"-ALL",NLPaymentExport,10,FALSE),0)</f>
        <v>56</v>
      </c>
      <c r="U126" s="118">
        <f t="shared" si="20"/>
        <v>-44</v>
      </c>
    </row>
    <row r="127" spans="1:54" ht="17.100000000000001" hidden="1" customHeight="1" outlineLevel="1" x14ac:dyDescent="0.25">
      <c r="A127" s="3"/>
      <c r="C127" s="4"/>
      <c r="D127" s="181"/>
      <c r="E127" s="91" t="str">
        <f t="shared" si="21"/>
        <v>Phoenix</v>
      </c>
      <c r="F127" s="93" t="str">
        <f t="shared" si="22"/>
        <v>CP524</v>
      </c>
      <c r="G127" s="99" t="str">
        <f t="shared" si="25"/>
        <v>CP524-NEW DONOR -2nd</v>
      </c>
      <c r="H127" s="182"/>
      <c r="I127" s="34" t="s">
        <v>38</v>
      </c>
      <c r="J127" s="58">
        <v>60</v>
      </c>
      <c r="K127" s="62">
        <v>60</v>
      </c>
      <c r="L127" s="58">
        <v>56</v>
      </c>
      <c r="M127" s="58">
        <v>56</v>
      </c>
      <c r="N127" s="58">
        <v>56</v>
      </c>
      <c r="O127" s="58">
        <v>56</v>
      </c>
      <c r="P127" s="58">
        <v>56</v>
      </c>
      <c r="Q127" s="58">
        <v>100</v>
      </c>
      <c r="R127" s="23"/>
      <c r="S127" s="117" t="str">
        <f t="shared" si="19"/>
        <v>Y</v>
      </c>
      <c r="T127" s="114">
        <f>IFERROR(SUMIF('Current NLData'!A:A,'Payment Changes'!G127,'Current NLData'!K:K)/COUNTIF('Current NLData'!A:A,'Payment Changes'!G127),0)+IFERROR(VLOOKUP(G127&amp;"-ALL",NLPaymentExport,10,FALSE),0)</f>
        <v>56</v>
      </c>
      <c r="U127" s="118">
        <f t="shared" si="20"/>
        <v>-44</v>
      </c>
    </row>
    <row r="128" spans="1:54" ht="17.100000000000001" hidden="1" customHeight="1" outlineLevel="1" x14ac:dyDescent="0.25">
      <c r="A128" s="3"/>
      <c r="C128" s="4"/>
      <c r="D128" s="181"/>
      <c r="E128" s="91" t="str">
        <f t="shared" si="21"/>
        <v>Phoenix</v>
      </c>
      <c r="F128" s="93" t="str">
        <f t="shared" si="22"/>
        <v>CP524</v>
      </c>
      <c r="G128" s="99" t="str">
        <f t="shared" si="25"/>
        <v>CP524-NEW DONOR -3rd</v>
      </c>
      <c r="H128" s="182"/>
      <c r="I128" s="34" t="s">
        <v>39</v>
      </c>
      <c r="J128" s="58">
        <v>60</v>
      </c>
      <c r="K128" s="62">
        <v>56</v>
      </c>
      <c r="L128" s="58">
        <v>56</v>
      </c>
      <c r="M128" s="58">
        <v>56</v>
      </c>
      <c r="N128" s="58">
        <v>56</v>
      </c>
      <c r="O128" s="58">
        <v>56</v>
      </c>
      <c r="P128" s="58">
        <v>56</v>
      </c>
      <c r="Q128" s="58">
        <v>100</v>
      </c>
      <c r="R128" s="23"/>
      <c r="S128" s="117" t="str">
        <f t="shared" si="19"/>
        <v>Y</v>
      </c>
      <c r="T128" s="114">
        <f>IFERROR(SUMIF('Current NLData'!A:A,'Payment Changes'!G128,'Current NLData'!K:K)/COUNTIF('Current NLData'!A:A,'Payment Changes'!G128),0)+IFERROR(VLOOKUP(G128&amp;"-ALL",NLPaymentExport,10,FALSE),0)</f>
        <v>56</v>
      </c>
      <c r="U128" s="118">
        <f t="shared" si="20"/>
        <v>-44</v>
      </c>
    </row>
    <row r="129" spans="1:54" ht="17.100000000000001" hidden="1" customHeight="1" outlineLevel="1" x14ac:dyDescent="0.25">
      <c r="A129" s="3"/>
      <c r="C129" s="4"/>
      <c r="D129" s="181"/>
      <c r="E129" s="91" t="str">
        <f t="shared" si="21"/>
        <v>Phoenix</v>
      </c>
      <c r="F129" s="93" t="str">
        <f t="shared" si="22"/>
        <v>CP524</v>
      </c>
      <c r="G129" s="99" t="str">
        <f t="shared" si="25"/>
        <v>CP524-NEW DONOR -4th</v>
      </c>
      <c r="H129" s="182"/>
      <c r="I129" s="34" t="s">
        <v>40</v>
      </c>
      <c r="J129" s="58">
        <v>60</v>
      </c>
      <c r="K129" s="62">
        <v>60</v>
      </c>
      <c r="L129" s="58">
        <v>56</v>
      </c>
      <c r="M129" s="58">
        <v>56</v>
      </c>
      <c r="N129" s="58">
        <v>56</v>
      </c>
      <c r="O129" s="58">
        <v>56</v>
      </c>
      <c r="P129" s="58">
        <v>56</v>
      </c>
      <c r="Q129" s="58">
        <v>100</v>
      </c>
      <c r="R129" s="23"/>
      <c r="S129" s="117" t="str">
        <f t="shared" si="19"/>
        <v>Y</v>
      </c>
      <c r="T129" s="114">
        <f>IFERROR(SUMIF('Current NLData'!A:A,'Payment Changes'!G129,'Current NLData'!K:K)/COUNTIF('Current NLData'!A:A,'Payment Changes'!G129),0)+IFERROR(VLOOKUP(G129&amp;"-ALL",NLPaymentExport,10,FALSE),0)</f>
        <v>56</v>
      </c>
      <c r="U129" s="118">
        <f t="shared" si="20"/>
        <v>-44</v>
      </c>
    </row>
    <row r="130" spans="1:54" ht="17.100000000000001" hidden="1" customHeight="1" outlineLevel="1" x14ac:dyDescent="0.25">
      <c r="A130" s="3"/>
      <c r="C130" s="4"/>
      <c r="D130" s="181"/>
      <c r="E130" s="91" t="str">
        <f t="shared" si="21"/>
        <v>Phoenix</v>
      </c>
      <c r="F130" s="93" t="str">
        <f t="shared" si="22"/>
        <v>CP524</v>
      </c>
      <c r="G130" s="99" t="str">
        <f t="shared" si="25"/>
        <v>CP524-NEW DONOR -5th</v>
      </c>
      <c r="H130" s="182"/>
      <c r="I130" s="34" t="s">
        <v>41</v>
      </c>
      <c r="J130" s="58">
        <v>60</v>
      </c>
      <c r="K130" s="62">
        <v>56</v>
      </c>
      <c r="L130" s="58">
        <v>56</v>
      </c>
      <c r="M130" s="58">
        <v>56</v>
      </c>
      <c r="N130" s="58">
        <v>56</v>
      </c>
      <c r="O130" s="58">
        <v>56</v>
      </c>
      <c r="P130" s="58">
        <v>56</v>
      </c>
      <c r="Q130" s="58">
        <v>100</v>
      </c>
      <c r="R130" s="23"/>
      <c r="S130" s="117" t="str">
        <f t="shared" si="19"/>
        <v>Y</v>
      </c>
      <c r="T130" s="114">
        <f>IFERROR(SUMIF('Current NLData'!A:A,'Payment Changes'!G130,'Current NLData'!K:K)/COUNTIF('Current NLData'!A:A,'Payment Changes'!G130),0)+IFERROR(VLOOKUP(G130&amp;"-ALL",NLPaymentExport,10,FALSE),0)</f>
        <v>56</v>
      </c>
      <c r="U130" s="118">
        <f t="shared" si="20"/>
        <v>-44</v>
      </c>
    </row>
    <row r="131" spans="1:54" ht="17.100000000000001" hidden="1" customHeight="1" outlineLevel="1" x14ac:dyDescent="0.25">
      <c r="A131" s="3"/>
      <c r="C131" s="4"/>
      <c r="D131" s="181"/>
      <c r="E131" s="91" t="str">
        <f t="shared" si="21"/>
        <v>Phoenix</v>
      </c>
      <c r="F131" s="93" t="str">
        <f t="shared" si="22"/>
        <v>CP524</v>
      </c>
      <c r="G131" s="99" t="str">
        <f t="shared" si="25"/>
        <v>CP524-NEW DONOR -6th</v>
      </c>
      <c r="H131" s="182"/>
      <c r="I131" s="34" t="s">
        <v>42</v>
      </c>
      <c r="J131" s="58">
        <v>60</v>
      </c>
      <c r="K131" s="62">
        <v>60</v>
      </c>
      <c r="L131" s="58">
        <v>56</v>
      </c>
      <c r="M131" s="58">
        <v>56</v>
      </c>
      <c r="N131" s="58">
        <v>56</v>
      </c>
      <c r="O131" s="58">
        <v>56</v>
      </c>
      <c r="P131" s="58">
        <v>56</v>
      </c>
      <c r="Q131" s="58">
        <v>100</v>
      </c>
      <c r="R131" s="23"/>
      <c r="S131" s="117" t="str">
        <f t="shared" ref="S131:S194" si="26">IF(P131=Q131,"N","Y")</f>
        <v>Y</v>
      </c>
      <c r="T131" s="114">
        <f>IFERROR(SUMIF('Current NLData'!A:A,'Payment Changes'!G131,'Current NLData'!K:K)/COUNTIF('Current NLData'!A:A,'Payment Changes'!G131),0)+IFERROR(VLOOKUP(G131&amp;"-ALL",NLPaymentExport,10,FALSE),0)</f>
        <v>56</v>
      </c>
      <c r="U131" s="118">
        <f t="shared" si="20"/>
        <v>-44</v>
      </c>
    </row>
    <row r="132" spans="1:54" ht="17.100000000000001" hidden="1" customHeight="1" outlineLevel="1" x14ac:dyDescent="0.25">
      <c r="A132" s="3"/>
      <c r="C132" s="4"/>
      <c r="D132" s="181"/>
      <c r="E132" s="91" t="str">
        <f t="shared" si="21"/>
        <v>Phoenix</v>
      </c>
      <c r="F132" s="93" t="str">
        <f t="shared" si="22"/>
        <v>CP524</v>
      </c>
      <c r="G132" s="99" t="str">
        <f t="shared" si="25"/>
        <v>CP524-NEW DONOR -7th</v>
      </c>
      <c r="H132" s="182"/>
      <c r="I132" s="34" t="s">
        <v>43</v>
      </c>
      <c r="J132" s="58">
        <v>60</v>
      </c>
      <c r="K132" s="62">
        <v>56</v>
      </c>
      <c r="L132" s="58">
        <v>56</v>
      </c>
      <c r="M132" s="58">
        <v>56</v>
      </c>
      <c r="N132" s="58">
        <v>56</v>
      </c>
      <c r="O132" s="58">
        <v>56</v>
      </c>
      <c r="P132" s="58">
        <v>56</v>
      </c>
      <c r="Q132" s="58">
        <v>100</v>
      </c>
      <c r="R132" s="23"/>
      <c r="S132" s="117" t="str">
        <f t="shared" si="26"/>
        <v>Y</v>
      </c>
      <c r="T132" s="114">
        <f>IFERROR(SUMIF('Current NLData'!A:A,'Payment Changes'!G132,'Current NLData'!K:K)/COUNTIF('Current NLData'!A:A,'Payment Changes'!G132),0)+IFERROR(VLOOKUP(G132&amp;"-ALL",NLPaymentExport,10,FALSE),0)</f>
        <v>56</v>
      </c>
      <c r="U132" s="118">
        <f t="shared" si="20"/>
        <v>-44</v>
      </c>
    </row>
    <row r="133" spans="1:54" ht="17.100000000000001" hidden="1" customHeight="1" outlineLevel="1" x14ac:dyDescent="0.25">
      <c r="A133" s="3"/>
      <c r="C133" s="4"/>
      <c r="D133" s="181"/>
      <c r="E133" s="91" t="str">
        <f t="shared" si="21"/>
        <v>Phoenix</v>
      </c>
      <c r="F133" s="93" t="str">
        <f t="shared" si="22"/>
        <v>CP524</v>
      </c>
      <c r="G133" s="99" t="str">
        <f t="shared" si="25"/>
        <v>CP524-NEW DONOR -8th</v>
      </c>
      <c r="H133" s="182"/>
      <c r="I133" s="35" t="s">
        <v>44</v>
      </c>
      <c r="J133" s="63">
        <v>60</v>
      </c>
      <c r="K133" s="64">
        <v>60</v>
      </c>
      <c r="L133" s="63">
        <v>56</v>
      </c>
      <c r="M133" s="63">
        <v>56</v>
      </c>
      <c r="N133" s="63">
        <v>56</v>
      </c>
      <c r="O133" s="63">
        <v>56</v>
      </c>
      <c r="P133" s="63">
        <v>56</v>
      </c>
      <c r="Q133" s="63">
        <v>50</v>
      </c>
      <c r="R133" s="23"/>
      <c r="S133" s="117" t="str">
        <f t="shared" si="26"/>
        <v>Y</v>
      </c>
      <c r="T133" s="114">
        <f>IFERROR(SUMIF('Current NLData'!A:A,'Payment Changes'!G133,'Current NLData'!K:K)/COUNTIF('Current NLData'!A:A,'Payment Changes'!G133),0)+IFERROR(VLOOKUP(G133&amp;"-ALL",NLPaymentExport,10,FALSE),0)</f>
        <v>56</v>
      </c>
      <c r="U133" s="118">
        <f t="shared" si="20"/>
        <v>6</v>
      </c>
    </row>
    <row r="134" spans="1:54" ht="17.100000000000001" hidden="1" customHeight="1" outlineLevel="1" x14ac:dyDescent="0.25">
      <c r="A134" s="3"/>
      <c r="C134" s="4"/>
      <c r="D134" s="181"/>
      <c r="E134" s="91" t="str">
        <f t="shared" si="21"/>
        <v>Phoenix</v>
      </c>
      <c r="F134" s="93" t="str">
        <f t="shared" si="22"/>
        <v>CP524</v>
      </c>
      <c r="G134" s="99" t="str">
        <f t="shared" si="25"/>
        <v>CP524-RETURN - 1st don of the week -STD</v>
      </c>
      <c r="H134" s="182"/>
      <c r="I134" s="36" t="s">
        <v>45</v>
      </c>
      <c r="J134" s="58">
        <v>60</v>
      </c>
      <c r="K134" s="62">
        <v>56</v>
      </c>
      <c r="L134" s="58">
        <v>56</v>
      </c>
      <c r="M134" s="58">
        <v>56</v>
      </c>
      <c r="N134" s="58">
        <v>56</v>
      </c>
      <c r="O134" s="58">
        <v>56</v>
      </c>
      <c r="P134" s="58">
        <v>56</v>
      </c>
      <c r="Q134" s="58">
        <v>50</v>
      </c>
      <c r="R134" s="23"/>
      <c r="S134" s="117" t="str">
        <f t="shared" si="26"/>
        <v>Y</v>
      </c>
      <c r="T134" s="114">
        <f>IFERROR(SUMIF('Current NLData'!A:A,'Payment Changes'!G134,'Current NLData'!K:K)/COUNTIF('Current NLData'!A:A,'Payment Changes'!G134),0)+IFERROR(VLOOKUP(G134&amp;"-ALL",NLPaymentExport,10,FALSE),0)</f>
        <v>56</v>
      </c>
      <c r="U134" s="118">
        <f t="shared" si="20"/>
        <v>6</v>
      </c>
    </row>
    <row r="135" spans="1:54" ht="17.100000000000001" hidden="1" customHeight="1" outlineLevel="1" x14ac:dyDescent="0.25">
      <c r="A135" s="3"/>
      <c r="C135" s="4"/>
      <c r="D135" s="181"/>
      <c r="E135" s="91" t="str">
        <f t="shared" si="21"/>
        <v>Phoenix</v>
      </c>
      <c r="F135" s="93" t="str">
        <f t="shared" si="22"/>
        <v>CP524</v>
      </c>
      <c r="G135" s="99" t="str">
        <f t="shared" si="25"/>
        <v>CP524-RETURN - 2nd don of the week -BONUS</v>
      </c>
      <c r="H135" s="182"/>
      <c r="I135" s="36" t="s">
        <v>46</v>
      </c>
      <c r="J135" s="58">
        <v>0</v>
      </c>
      <c r="K135" s="62">
        <v>4</v>
      </c>
      <c r="L135" s="58">
        <v>4</v>
      </c>
      <c r="M135" s="58">
        <v>4</v>
      </c>
      <c r="N135" s="58">
        <v>4</v>
      </c>
      <c r="O135" s="58">
        <v>4</v>
      </c>
      <c r="P135" s="58">
        <v>4</v>
      </c>
      <c r="Q135" s="58">
        <v>20</v>
      </c>
      <c r="R135" s="23"/>
      <c r="S135" s="117" t="str">
        <f t="shared" si="26"/>
        <v>Y</v>
      </c>
      <c r="T135" s="114">
        <f>IFERROR(SUMIF('Current NLData'!A:A,'Payment Changes'!G135,'Current NLData'!K:K)/COUNTIF('Current NLData'!A:A,'Payment Changes'!G135),0)+IFERROR(VLOOKUP(G135&amp;"-ALL",NLPaymentExport,10,FALSE),0)</f>
        <v>4</v>
      </c>
      <c r="U135" s="118">
        <f t="shared" ref="U135:U198" si="27">IF(OR(I135 = "New Donor", I135="Return Donor", I135="Retention Bonus", I135="Referral", I135 = ""),"",T135-Q135 )</f>
        <v>-16</v>
      </c>
    </row>
    <row r="136" spans="1:54" ht="17.100000000000001" hidden="1" customHeight="1" outlineLevel="1" x14ac:dyDescent="0.25">
      <c r="A136" s="3"/>
      <c r="C136" s="4"/>
      <c r="D136" s="181"/>
      <c r="E136" s="91" t="str">
        <f t="shared" si="21"/>
        <v>Phoenix</v>
      </c>
      <c r="F136" s="93" t="str">
        <f t="shared" si="22"/>
        <v>CP524</v>
      </c>
      <c r="G136" s="99" t="str">
        <f t="shared" si="25"/>
        <v>CP524-RETURN - 5th don of the month -BONUS</v>
      </c>
      <c r="H136" s="182"/>
      <c r="I136" s="37" t="s">
        <v>47</v>
      </c>
      <c r="J136" s="65">
        <v>0</v>
      </c>
      <c r="K136" s="65">
        <v>0</v>
      </c>
      <c r="L136" s="65">
        <v>0</v>
      </c>
      <c r="M136" s="65">
        <v>0</v>
      </c>
      <c r="N136" s="65">
        <v>0</v>
      </c>
      <c r="O136" s="65">
        <v>0</v>
      </c>
      <c r="P136" s="65">
        <v>0</v>
      </c>
      <c r="Q136" s="65">
        <v>0</v>
      </c>
      <c r="R136" s="22"/>
      <c r="S136" s="117" t="str">
        <f t="shared" si="26"/>
        <v>N</v>
      </c>
      <c r="T136" s="114">
        <f>IFERROR(SUMIF('Current NLData'!A:A,'Payment Changes'!G136,'Current NLData'!K:K)/COUNTIF('Current NLData'!A:A,'Payment Changes'!G136),0)+IFERROR(VLOOKUP(G136&amp;"-ALL",NLPaymentExport,10,FALSE),0)</f>
        <v>0</v>
      </c>
      <c r="U136" s="118">
        <f t="shared" si="27"/>
        <v>0</v>
      </c>
    </row>
    <row r="137" spans="1:54" ht="17.100000000000001" hidden="1" customHeight="1" outlineLevel="1" x14ac:dyDescent="0.25">
      <c r="A137" s="3"/>
      <c r="C137" s="4"/>
      <c r="D137" s="181"/>
      <c r="E137" s="91" t="str">
        <f t="shared" ref="E137:E200" si="28">IF(B137 = "",E136,B137)</f>
        <v>Phoenix</v>
      </c>
      <c r="F137" s="93" t="str">
        <f t="shared" ref="F137:F200" si="29">IF(D137 = "",F136,D137)</f>
        <v>CP524</v>
      </c>
      <c r="G137" s="99" t="str">
        <f t="shared" si="25"/>
        <v>CP524-RETURN - 6th don of the month -BONUS</v>
      </c>
      <c r="H137" s="182"/>
      <c r="I137" s="38" t="s">
        <v>48</v>
      </c>
      <c r="J137" s="58">
        <v>0</v>
      </c>
      <c r="K137" s="58">
        <v>0</v>
      </c>
      <c r="L137" s="58">
        <v>0</v>
      </c>
      <c r="M137" s="58">
        <v>0</v>
      </c>
      <c r="N137" s="58">
        <v>0</v>
      </c>
      <c r="O137" s="58">
        <v>0</v>
      </c>
      <c r="P137" s="58">
        <v>0</v>
      </c>
      <c r="Q137" s="58">
        <v>0</v>
      </c>
      <c r="R137" s="22"/>
      <c r="S137" s="117" t="str">
        <f t="shared" si="26"/>
        <v>N</v>
      </c>
      <c r="T137" s="114">
        <f>IFERROR(SUMIF('Current NLData'!A:A,'Payment Changes'!G137,'Current NLData'!K:K)/COUNTIF('Current NLData'!A:A,'Payment Changes'!G137),0)+IFERROR(VLOOKUP(G137&amp;"-ALL",NLPaymentExport,10,FALSE),0)</f>
        <v>0</v>
      </c>
      <c r="U137" s="118">
        <f t="shared" si="27"/>
        <v>0</v>
      </c>
    </row>
    <row r="138" spans="1:54" ht="17.100000000000001" hidden="1" customHeight="1" outlineLevel="1" x14ac:dyDescent="0.25">
      <c r="A138" s="3"/>
      <c r="C138" s="4"/>
      <c r="D138" s="181"/>
      <c r="E138" s="91" t="str">
        <f t="shared" si="28"/>
        <v>Phoenix</v>
      </c>
      <c r="F138" s="93" t="str">
        <f t="shared" si="29"/>
        <v>CP524</v>
      </c>
      <c r="G138" s="99" t="str">
        <f t="shared" si="25"/>
        <v>CP524-RETURN - 7th don of the month -BONUS</v>
      </c>
      <c r="H138" s="182"/>
      <c r="I138" s="38" t="s">
        <v>49</v>
      </c>
      <c r="J138" s="58">
        <v>0</v>
      </c>
      <c r="K138" s="58">
        <v>0</v>
      </c>
      <c r="L138" s="58">
        <v>0</v>
      </c>
      <c r="M138" s="58">
        <v>0</v>
      </c>
      <c r="N138" s="58">
        <v>0</v>
      </c>
      <c r="O138" s="58">
        <v>0</v>
      </c>
      <c r="P138" s="58">
        <v>0</v>
      </c>
      <c r="Q138" s="58">
        <v>0</v>
      </c>
      <c r="R138" s="22"/>
      <c r="S138" s="117" t="str">
        <f t="shared" si="26"/>
        <v>N</v>
      </c>
      <c r="T138" s="114">
        <f>IFERROR(SUMIF('Current NLData'!A:A,'Payment Changes'!G138,'Current NLData'!K:K)/COUNTIF('Current NLData'!A:A,'Payment Changes'!G138),0)+IFERROR(VLOOKUP(G138&amp;"-ALL",NLPaymentExport,10,FALSE),0)</f>
        <v>0</v>
      </c>
      <c r="U138" s="118">
        <f t="shared" si="27"/>
        <v>0</v>
      </c>
    </row>
    <row r="139" spans="1:54" ht="17.100000000000001" hidden="1" customHeight="1" outlineLevel="1" x14ac:dyDescent="0.25">
      <c r="A139" s="3"/>
      <c r="C139" s="4"/>
      <c r="D139" s="181"/>
      <c r="E139" s="91" t="str">
        <f t="shared" si="28"/>
        <v>Phoenix</v>
      </c>
      <c r="F139" s="93" t="str">
        <f t="shared" si="29"/>
        <v>CP524</v>
      </c>
      <c r="G139" s="99" t="str">
        <f t="shared" si="25"/>
        <v>CP524-RETURN - 8th don of the month -BONUS</v>
      </c>
      <c r="H139" s="182"/>
      <c r="I139" s="38" t="s">
        <v>50</v>
      </c>
      <c r="J139" s="58">
        <v>25</v>
      </c>
      <c r="K139" s="58">
        <v>25</v>
      </c>
      <c r="L139" s="58">
        <v>0</v>
      </c>
      <c r="M139" s="58">
        <v>0</v>
      </c>
      <c r="N139" s="58">
        <v>0</v>
      </c>
      <c r="O139" s="58">
        <v>0</v>
      </c>
      <c r="P139" s="58">
        <v>0</v>
      </c>
      <c r="Q139" s="58">
        <v>0</v>
      </c>
      <c r="R139" s="22"/>
      <c r="S139" s="117" t="str">
        <f t="shared" si="26"/>
        <v>N</v>
      </c>
      <c r="T139" s="114">
        <f>IFERROR(SUMIF('Current NLData'!A:A,'Payment Changes'!G139,'Current NLData'!K:K)/COUNTIF('Current NLData'!A:A,'Payment Changes'!G139),0)+IFERROR(VLOOKUP(G139&amp;"-ALL",NLPaymentExport,10,FALSE),0)</f>
        <v>0</v>
      </c>
      <c r="U139" s="118">
        <f t="shared" si="27"/>
        <v>0</v>
      </c>
    </row>
    <row r="140" spans="1:54" ht="17.100000000000001" hidden="1" customHeight="1" outlineLevel="1" x14ac:dyDescent="0.25">
      <c r="A140" s="3"/>
      <c r="C140" s="4" t="str">
        <f>IF(J140=0,"Warning","")</f>
        <v/>
      </c>
      <c r="D140" s="181"/>
      <c r="E140" s="91" t="str">
        <f t="shared" si="28"/>
        <v>Phoenix</v>
      </c>
      <c r="F140" s="93" t="str">
        <f t="shared" si="29"/>
        <v>CP524</v>
      </c>
      <c r="G140" s="99" t="str">
        <f t="shared" si="25"/>
        <v>CP524-RETURN - Buddy referral  -BONUS</v>
      </c>
      <c r="H140" s="182"/>
      <c r="I140" s="39" t="s">
        <v>51</v>
      </c>
      <c r="J140" s="58">
        <v>50</v>
      </c>
      <c r="K140" s="58">
        <v>50</v>
      </c>
      <c r="L140" s="58">
        <v>0</v>
      </c>
      <c r="M140" s="58">
        <v>0</v>
      </c>
      <c r="N140" s="58">
        <v>0</v>
      </c>
      <c r="O140" s="58">
        <v>50</v>
      </c>
      <c r="P140" s="58">
        <v>50</v>
      </c>
      <c r="Q140" s="58">
        <v>50</v>
      </c>
      <c r="R140" s="22"/>
      <c r="S140" s="117" t="str">
        <f t="shared" si="26"/>
        <v>N</v>
      </c>
      <c r="T140" s="114">
        <f>IFERROR(SUMIF('Current NLData'!A:A,'Payment Changes'!G140,'Current NLData'!K:K)/COUNTIF('Current NLData'!A:A,'Payment Changes'!G140),0)+IFERROR(VLOOKUP(G140&amp;"-ALL",NLPaymentExport,10,FALSE),0)</f>
        <v>50</v>
      </c>
      <c r="U140" s="118">
        <f t="shared" si="27"/>
        <v>0</v>
      </c>
    </row>
    <row r="141" spans="1:54" s="90" customFormat="1" ht="17.100000000000001" hidden="1" customHeight="1" collapsed="1" x14ac:dyDescent="0.35">
      <c r="A141" s="85"/>
      <c r="B141" s="85"/>
      <c r="C141" s="86"/>
      <c r="D141" s="87"/>
      <c r="E141" s="87"/>
      <c r="F141" s="87"/>
      <c r="G141" s="87"/>
      <c r="H141" s="96"/>
      <c r="I141" s="88"/>
      <c r="J141" s="89"/>
      <c r="K141" s="89"/>
      <c r="L141" s="89"/>
      <c r="M141" s="89"/>
      <c r="N141" s="89"/>
      <c r="O141" s="89"/>
      <c r="P141" s="89"/>
      <c r="Q141" s="89"/>
      <c r="R141" s="21"/>
      <c r="S141" s="117" t="str">
        <f t="shared" si="26"/>
        <v>N</v>
      </c>
      <c r="T141" s="114">
        <f>IFERROR(SUMIF('Current NLData'!A:A,'Payment Changes'!G141,'Current NLData'!K:K)/COUNTIF('Current NLData'!A:A,'Payment Changes'!G141),0)+IFERROR(VLOOKUP(G141&amp;"-ALL",NLPaymentExport,10,FALSE),0)</f>
        <v>0</v>
      </c>
      <c r="U141" s="118" t="str">
        <f t="shared" si="27"/>
        <v/>
      </c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</row>
    <row r="142" spans="1:54" s="10" customFormat="1" ht="17.100000000000001" hidden="1" customHeight="1" x14ac:dyDescent="0.25">
      <c r="A142" s="165">
        <v>8</v>
      </c>
      <c r="B142" s="168" t="s">
        <v>85</v>
      </c>
      <c r="C142" s="171" t="s">
        <v>19</v>
      </c>
      <c r="D142" s="174" t="s">
        <v>57</v>
      </c>
      <c r="E142" s="106" t="str">
        <f t="shared" si="28"/>
        <v>Commerce City</v>
      </c>
      <c r="F142" s="107" t="s">
        <v>86</v>
      </c>
      <c r="G142" s="108" t="str">
        <f t="shared" ref="G142:G160" si="30">F142&amp;"-"&amp;I142</f>
        <v>CP179-New Donor</v>
      </c>
      <c r="H142" s="177" t="s">
        <v>75</v>
      </c>
      <c r="I142" s="76" t="s">
        <v>23</v>
      </c>
      <c r="J142" s="40" t="s">
        <v>87</v>
      </c>
      <c r="K142" s="41" t="s">
        <v>25</v>
      </c>
      <c r="L142" s="41" t="s">
        <v>61</v>
      </c>
      <c r="M142" s="42" t="s">
        <v>61</v>
      </c>
      <c r="N142" s="40" t="s">
        <v>61</v>
      </c>
      <c r="O142" s="40" t="s">
        <v>61</v>
      </c>
      <c r="P142" s="40" t="s">
        <v>61</v>
      </c>
      <c r="Q142" s="40"/>
      <c r="R142" s="109"/>
      <c r="S142" s="117" t="str">
        <f t="shared" si="26"/>
        <v>Y</v>
      </c>
      <c r="T142" s="114">
        <f>IFERROR(SUMIF('Current NLData'!A:A,'Payment Changes'!G142,'Current NLData'!K:K)/COUNTIF('Current NLData'!A:A,'Payment Changes'!G142),0)+IFERROR(VLOOKUP(G142&amp;"-ALL",NLPaymentExport,10,FALSE),0)</f>
        <v>0</v>
      </c>
      <c r="U142" s="118" t="str">
        <f t="shared" si="27"/>
        <v/>
      </c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</row>
    <row r="143" spans="1:54" ht="17.100000000000001" hidden="1" customHeight="1" x14ac:dyDescent="0.25">
      <c r="A143" s="166"/>
      <c r="B143" s="169"/>
      <c r="C143" s="172"/>
      <c r="D143" s="175"/>
      <c r="E143" s="91" t="str">
        <f t="shared" si="28"/>
        <v>Commerce City</v>
      </c>
      <c r="F143" s="92" t="s">
        <v>86</v>
      </c>
      <c r="G143" s="98" t="str">
        <f t="shared" si="30"/>
        <v>CP179-Return Donor</v>
      </c>
      <c r="H143" s="178"/>
      <c r="I143" s="77" t="s">
        <v>29</v>
      </c>
      <c r="J143" s="43" t="s">
        <v>87</v>
      </c>
      <c r="K143" s="43" t="s">
        <v>24</v>
      </c>
      <c r="L143" s="44" t="s">
        <v>61</v>
      </c>
      <c r="M143" s="45" t="s">
        <v>61</v>
      </c>
      <c r="N143" s="43" t="s">
        <v>61</v>
      </c>
      <c r="O143" s="43" t="s">
        <v>61</v>
      </c>
      <c r="P143" s="43" t="s">
        <v>61</v>
      </c>
      <c r="Q143" s="43"/>
      <c r="R143" s="21"/>
      <c r="S143" s="117" t="str">
        <f t="shared" si="26"/>
        <v>Y</v>
      </c>
      <c r="T143" s="114">
        <f>IFERROR(SUMIF('Current NLData'!A:A,'Payment Changes'!G143,'Current NLData'!K:K)/COUNTIF('Current NLData'!A:A,'Payment Changes'!G143),0)+IFERROR(VLOOKUP(G143&amp;"-ALL",NLPaymentExport,10,FALSE),0)</f>
        <v>0</v>
      </c>
      <c r="U143" s="118" t="str">
        <f t="shared" si="27"/>
        <v/>
      </c>
    </row>
    <row r="144" spans="1:54" ht="17.100000000000001" hidden="1" customHeight="1" x14ac:dyDescent="0.25">
      <c r="A144" s="166"/>
      <c r="B144" s="169"/>
      <c r="C144" s="172"/>
      <c r="D144" s="175"/>
      <c r="E144" s="91" t="str">
        <f t="shared" si="28"/>
        <v>Commerce City</v>
      </c>
      <c r="F144" s="92" t="s">
        <v>86</v>
      </c>
      <c r="G144" s="98" t="str">
        <f t="shared" si="30"/>
        <v>CP179-Retention Bonus</v>
      </c>
      <c r="H144" s="178"/>
      <c r="I144" s="78" t="s">
        <v>30</v>
      </c>
      <c r="J144" s="46" t="s">
        <v>31</v>
      </c>
      <c r="K144" s="46" t="s">
        <v>31</v>
      </c>
      <c r="L144" s="47" t="s">
        <v>32</v>
      </c>
      <c r="M144" s="48" t="s">
        <v>32</v>
      </c>
      <c r="N144" s="46" t="s">
        <v>32</v>
      </c>
      <c r="O144" s="46" t="s">
        <v>32</v>
      </c>
      <c r="P144" s="46" t="s">
        <v>32</v>
      </c>
      <c r="Q144" s="46"/>
      <c r="R144" s="21"/>
      <c r="S144" s="117" t="str">
        <f t="shared" si="26"/>
        <v>Y</v>
      </c>
      <c r="T144" s="114">
        <f>IFERROR(SUMIF('Current NLData'!A:A,'Payment Changes'!G144,'Current NLData'!K:K)/COUNTIF('Current NLData'!A:A,'Payment Changes'!G144),0)+IFERROR(VLOOKUP(G144&amp;"-ALL",NLPaymentExport,10,FALSE),0)</f>
        <v>0</v>
      </c>
      <c r="U144" s="118" t="str">
        <f t="shared" si="27"/>
        <v/>
      </c>
    </row>
    <row r="145" spans="1:54" s="15" customFormat="1" ht="17.100000000000001" hidden="1" customHeight="1" x14ac:dyDescent="0.25">
      <c r="A145" s="167"/>
      <c r="B145" s="170"/>
      <c r="C145" s="173"/>
      <c r="D145" s="176"/>
      <c r="E145" s="110" t="str">
        <f t="shared" si="28"/>
        <v>Commerce City</v>
      </c>
      <c r="F145" s="111" t="s">
        <v>86</v>
      </c>
      <c r="G145" s="112" t="str">
        <f t="shared" si="30"/>
        <v>CP179-Referral</v>
      </c>
      <c r="H145" s="179"/>
      <c r="I145" s="79" t="s">
        <v>34</v>
      </c>
      <c r="J145" s="49">
        <v>50</v>
      </c>
      <c r="K145" s="49">
        <v>50</v>
      </c>
      <c r="L145" s="50" t="s">
        <v>32</v>
      </c>
      <c r="M145" s="51" t="s">
        <v>32</v>
      </c>
      <c r="N145" s="49" t="s">
        <v>32</v>
      </c>
      <c r="O145" s="49" t="s">
        <v>32</v>
      </c>
      <c r="P145" s="49" t="s">
        <v>32</v>
      </c>
      <c r="Q145" s="49"/>
      <c r="R145" s="113"/>
      <c r="S145" s="117" t="str">
        <f t="shared" si="26"/>
        <v>Y</v>
      </c>
      <c r="T145" s="114">
        <f>IFERROR(SUMIF('Current NLData'!A:A,'Payment Changes'!G145,'Current NLData'!K:K)/COUNTIF('Current NLData'!A:A,'Payment Changes'!G145),0)+IFERROR(VLOOKUP(G145&amp;"-ALL",NLPaymentExport,10,FALSE),0)</f>
        <v>0</v>
      </c>
      <c r="U145" s="118" t="str">
        <f t="shared" si="27"/>
        <v/>
      </c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</row>
    <row r="146" spans="1:54" ht="17.100000000000001" hidden="1" customHeight="1" outlineLevel="1" x14ac:dyDescent="0.25">
      <c r="A146" s="3"/>
      <c r="C146" s="4"/>
      <c r="D146" s="180" t="s">
        <v>86</v>
      </c>
      <c r="E146" s="91" t="str">
        <f t="shared" si="28"/>
        <v>Commerce City</v>
      </c>
      <c r="F146" s="93" t="str">
        <f t="shared" si="29"/>
        <v>CP179</v>
      </c>
      <c r="G146" s="99" t="str">
        <f t="shared" si="30"/>
        <v>CP179-NEW DONOR -1st</v>
      </c>
      <c r="H146" s="182" t="s">
        <v>36</v>
      </c>
      <c r="I146" s="33" t="s">
        <v>37</v>
      </c>
      <c r="J146" s="60">
        <v>65</v>
      </c>
      <c r="K146" s="61">
        <v>60</v>
      </c>
      <c r="L146" s="60">
        <v>55</v>
      </c>
      <c r="M146" s="60">
        <v>55</v>
      </c>
      <c r="N146" s="60">
        <v>55</v>
      </c>
      <c r="O146" s="60">
        <v>55</v>
      </c>
      <c r="P146" s="60">
        <v>55</v>
      </c>
      <c r="Q146" s="60"/>
      <c r="R146" s="23"/>
      <c r="S146" s="117" t="str">
        <f t="shared" si="26"/>
        <v>Y</v>
      </c>
      <c r="T146" s="114">
        <f>IFERROR(SUMIF('Current NLData'!A:A,'Payment Changes'!G146,'Current NLData'!K:K)/COUNTIF('Current NLData'!A:A,'Payment Changes'!G146),0)+IFERROR(VLOOKUP(G146&amp;"-ALL",NLPaymentExport,10,FALSE),0)</f>
        <v>55</v>
      </c>
      <c r="U146" s="118">
        <f t="shared" si="27"/>
        <v>55</v>
      </c>
    </row>
    <row r="147" spans="1:54" ht="17.100000000000001" hidden="1" customHeight="1" outlineLevel="1" x14ac:dyDescent="0.25">
      <c r="A147" s="3"/>
      <c r="C147" s="4"/>
      <c r="D147" s="181"/>
      <c r="E147" s="91" t="str">
        <f t="shared" si="28"/>
        <v>Commerce City</v>
      </c>
      <c r="F147" s="93" t="str">
        <f t="shared" si="29"/>
        <v>CP179</v>
      </c>
      <c r="G147" s="99" t="str">
        <f t="shared" si="30"/>
        <v>CP179-NEW DONOR -2nd</v>
      </c>
      <c r="H147" s="182"/>
      <c r="I147" s="34" t="s">
        <v>38</v>
      </c>
      <c r="J147" s="58">
        <v>65</v>
      </c>
      <c r="K147" s="62">
        <v>70</v>
      </c>
      <c r="L147" s="58">
        <v>55</v>
      </c>
      <c r="M147" s="58">
        <v>55</v>
      </c>
      <c r="N147" s="58">
        <v>55</v>
      </c>
      <c r="O147" s="58">
        <v>55</v>
      </c>
      <c r="P147" s="58">
        <v>55</v>
      </c>
      <c r="Q147" s="58"/>
      <c r="R147" s="23"/>
      <c r="S147" s="117" t="str">
        <f t="shared" si="26"/>
        <v>Y</v>
      </c>
      <c r="T147" s="114">
        <f>IFERROR(SUMIF('Current NLData'!A:A,'Payment Changes'!G147,'Current NLData'!K:K)/COUNTIF('Current NLData'!A:A,'Payment Changes'!G147),0)+IFERROR(VLOOKUP(G147&amp;"-ALL",NLPaymentExport,10,FALSE),0)</f>
        <v>55</v>
      </c>
      <c r="U147" s="118">
        <f t="shared" si="27"/>
        <v>55</v>
      </c>
    </row>
    <row r="148" spans="1:54" ht="17.100000000000001" hidden="1" customHeight="1" outlineLevel="1" x14ac:dyDescent="0.25">
      <c r="A148" s="3"/>
      <c r="C148" s="4"/>
      <c r="D148" s="181"/>
      <c r="E148" s="91" t="str">
        <f t="shared" si="28"/>
        <v>Commerce City</v>
      </c>
      <c r="F148" s="93" t="str">
        <f t="shared" si="29"/>
        <v>CP179</v>
      </c>
      <c r="G148" s="99" t="str">
        <f t="shared" si="30"/>
        <v>CP179-NEW DONOR -3rd</v>
      </c>
      <c r="H148" s="182"/>
      <c r="I148" s="34" t="s">
        <v>39</v>
      </c>
      <c r="J148" s="58">
        <v>65</v>
      </c>
      <c r="K148" s="62">
        <v>60</v>
      </c>
      <c r="L148" s="58">
        <v>55</v>
      </c>
      <c r="M148" s="58">
        <v>55</v>
      </c>
      <c r="N148" s="58">
        <v>55</v>
      </c>
      <c r="O148" s="58">
        <v>55</v>
      </c>
      <c r="P148" s="58">
        <v>55</v>
      </c>
      <c r="Q148" s="58"/>
      <c r="R148" s="23"/>
      <c r="S148" s="117" t="str">
        <f t="shared" si="26"/>
        <v>Y</v>
      </c>
      <c r="T148" s="114">
        <f>IFERROR(SUMIF('Current NLData'!A:A,'Payment Changes'!G148,'Current NLData'!K:K)/COUNTIF('Current NLData'!A:A,'Payment Changes'!G148),0)+IFERROR(VLOOKUP(G148&amp;"-ALL",NLPaymentExport,10,FALSE),0)</f>
        <v>55</v>
      </c>
      <c r="U148" s="118">
        <f t="shared" si="27"/>
        <v>55</v>
      </c>
    </row>
    <row r="149" spans="1:54" ht="17.100000000000001" hidden="1" customHeight="1" outlineLevel="1" x14ac:dyDescent="0.25">
      <c r="A149" s="3"/>
      <c r="C149" s="4"/>
      <c r="D149" s="181"/>
      <c r="E149" s="91" t="str">
        <f t="shared" si="28"/>
        <v>Commerce City</v>
      </c>
      <c r="F149" s="93" t="str">
        <f t="shared" si="29"/>
        <v>CP179</v>
      </c>
      <c r="G149" s="99" t="str">
        <f t="shared" si="30"/>
        <v>CP179-NEW DONOR -4th</v>
      </c>
      <c r="H149" s="182"/>
      <c r="I149" s="34" t="s">
        <v>40</v>
      </c>
      <c r="J149" s="58">
        <v>65</v>
      </c>
      <c r="K149" s="62">
        <v>70</v>
      </c>
      <c r="L149" s="58">
        <v>55</v>
      </c>
      <c r="M149" s="58">
        <v>55</v>
      </c>
      <c r="N149" s="58">
        <v>55</v>
      </c>
      <c r="O149" s="58">
        <v>55</v>
      </c>
      <c r="P149" s="58">
        <v>55</v>
      </c>
      <c r="Q149" s="58"/>
      <c r="R149" s="23"/>
      <c r="S149" s="117" t="str">
        <f t="shared" si="26"/>
        <v>Y</v>
      </c>
      <c r="T149" s="114">
        <f>IFERROR(SUMIF('Current NLData'!A:A,'Payment Changes'!G149,'Current NLData'!K:K)/COUNTIF('Current NLData'!A:A,'Payment Changes'!G149),0)+IFERROR(VLOOKUP(G149&amp;"-ALL",NLPaymentExport,10,FALSE),0)</f>
        <v>55</v>
      </c>
      <c r="U149" s="118">
        <f t="shared" si="27"/>
        <v>55</v>
      </c>
    </row>
    <row r="150" spans="1:54" ht="17.100000000000001" hidden="1" customHeight="1" outlineLevel="1" x14ac:dyDescent="0.25">
      <c r="A150" s="3"/>
      <c r="C150" s="4"/>
      <c r="D150" s="181"/>
      <c r="E150" s="91" t="str">
        <f t="shared" si="28"/>
        <v>Commerce City</v>
      </c>
      <c r="F150" s="93" t="str">
        <f t="shared" si="29"/>
        <v>CP179</v>
      </c>
      <c r="G150" s="99" t="str">
        <f t="shared" si="30"/>
        <v>CP179-NEW DONOR -5th</v>
      </c>
      <c r="H150" s="182"/>
      <c r="I150" s="34" t="s">
        <v>41</v>
      </c>
      <c r="J150" s="58">
        <v>65</v>
      </c>
      <c r="K150" s="62">
        <v>60</v>
      </c>
      <c r="L150" s="58">
        <v>55</v>
      </c>
      <c r="M150" s="58">
        <v>55</v>
      </c>
      <c r="N150" s="58">
        <v>55</v>
      </c>
      <c r="O150" s="58">
        <v>55</v>
      </c>
      <c r="P150" s="58">
        <v>55</v>
      </c>
      <c r="Q150" s="58"/>
      <c r="R150" s="23"/>
      <c r="S150" s="117" t="str">
        <f t="shared" si="26"/>
        <v>Y</v>
      </c>
      <c r="T150" s="114">
        <f>IFERROR(SUMIF('Current NLData'!A:A,'Payment Changes'!G150,'Current NLData'!K:K)/COUNTIF('Current NLData'!A:A,'Payment Changes'!G150),0)+IFERROR(VLOOKUP(G150&amp;"-ALL",NLPaymentExport,10,FALSE),0)</f>
        <v>55</v>
      </c>
      <c r="U150" s="118">
        <f t="shared" si="27"/>
        <v>55</v>
      </c>
    </row>
    <row r="151" spans="1:54" ht="17.100000000000001" hidden="1" customHeight="1" outlineLevel="1" x14ac:dyDescent="0.25">
      <c r="A151" s="3"/>
      <c r="C151" s="4"/>
      <c r="D151" s="181"/>
      <c r="E151" s="91" t="str">
        <f t="shared" si="28"/>
        <v>Commerce City</v>
      </c>
      <c r="F151" s="93" t="str">
        <f t="shared" si="29"/>
        <v>CP179</v>
      </c>
      <c r="G151" s="99" t="str">
        <f t="shared" si="30"/>
        <v>CP179-NEW DONOR -6th</v>
      </c>
      <c r="H151" s="182"/>
      <c r="I151" s="34" t="s">
        <v>42</v>
      </c>
      <c r="J151" s="58">
        <v>65</v>
      </c>
      <c r="K151" s="62">
        <v>70</v>
      </c>
      <c r="L151" s="58">
        <v>55</v>
      </c>
      <c r="M151" s="58">
        <v>55</v>
      </c>
      <c r="N151" s="58">
        <v>55</v>
      </c>
      <c r="O151" s="58">
        <v>55</v>
      </c>
      <c r="P151" s="58">
        <v>55</v>
      </c>
      <c r="Q151" s="58"/>
      <c r="R151" s="23"/>
      <c r="S151" s="117" t="str">
        <f t="shared" si="26"/>
        <v>Y</v>
      </c>
      <c r="T151" s="114">
        <f>IFERROR(SUMIF('Current NLData'!A:A,'Payment Changes'!G151,'Current NLData'!K:K)/COUNTIF('Current NLData'!A:A,'Payment Changes'!G151),0)+IFERROR(VLOOKUP(G151&amp;"-ALL",NLPaymentExport,10,FALSE),0)</f>
        <v>55</v>
      </c>
      <c r="U151" s="118">
        <f t="shared" si="27"/>
        <v>55</v>
      </c>
    </row>
    <row r="152" spans="1:54" ht="17.100000000000001" hidden="1" customHeight="1" outlineLevel="1" x14ac:dyDescent="0.25">
      <c r="A152" s="3"/>
      <c r="C152" s="4"/>
      <c r="D152" s="181"/>
      <c r="E152" s="91" t="str">
        <f t="shared" si="28"/>
        <v>Commerce City</v>
      </c>
      <c r="F152" s="93" t="str">
        <f t="shared" si="29"/>
        <v>CP179</v>
      </c>
      <c r="G152" s="99" t="str">
        <f t="shared" si="30"/>
        <v>CP179-NEW DONOR -7th</v>
      </c>
      <c r="H152" s="182"/>
      <c r="I152" s="34" t="s">
        <v>43</v>
      </c>
      <c r="J152" s="58">
        <v>65</v>
      </c>
      <c r="K152" s="62">
        <v>60</v>
      </c>
      <c r="L152" s="58">
        <v>55</v>
      </c>
      <c r="M152" s="58">
        <v>55</v>
      </c>
      <c r="N152" s="58">
        <v>55</v>
      </c>
      <c r="O152" s="58">
        <v>55</v>
      </c>
      <c r="P152" s="58">
        <v>55</v>
      </c>
      <c r="Q152" s="58"/>
      <c r="R152" s="23"/>
      <c r="S152" s="117" t="str">
        <f t="shared" si="26"/>
        <v>Y</v>
      </c>
      <c r="T152" s="114">
        <f>IFERROR(SUMIF('Current NLData'!A:A,'Payment Changes'!G152,'Current NLData'!K:K)/COUNTIF('Current NLData'!A:A,'Payment Changes'!G152),0)+IFERROR(VLOOKUP(G152&amp;"-ALL",NLPaymentExport,10,FALSE),0)</f>
        <v>55</v>
      </c>
      <c r="U152" s="118">
        <f t="shared" si="27"/>
        <v>55</v>
      </c>
    </row>
    <row r="153" spans="1:54" ht="17.100000000000001" hidden="1" customHeight="1" outlineLevel="1" x14ac:dyDescent="0.25">
      <c r="A153" s="3"/>
      <c r="C153" s="4"/>
      <c r="D153" s="181"/>
      <c r="E153" s="91" t="str">
        <f t="shared" si="28"/>
        <v>Commerce City</v>
      </c>
      <c r="F153" s="93" t="str">
        <f t="shared" si="29"/>
        <v>CP179</v>
      </c>
      <c r="G153" s="99" t="str">
        <f t="shared" si="30"/>
        <v>CP179-NEW DONOR -8th</v>
      </c>
      <c r="H153" s="182"/>
      <c r="I153" s="35" t="s">
        <v>44</v>
      </c>
      <c r="J153" s="63">
        <v>65</v>
      </c>
      <c r="K153" s="64">
        <v>70</v>
      </c>
      <c r="L153" s="63">
        <v>55</v>
      </c>
      <c r="M153" s="63">
        <v>55</v>
      </c>
      <c r="N153" s="63">
        <v>55</v>
      </c>
      <c r="O153" s="63">
        <v>55</v>
      </c>
      <c r="P153" s="63">
        <v>55</v>
      </c>
      <c r="Q153" s="63"/>
      <c r="R153" s="23"/>
      <c r="S153" s="117" t="str">
        <f t="shared" si="26"/>
        <v>Y</v>
      </c>
      <c r="T153" s="114">
        <f>IFERROR(SUMIF('Current NLData'!A:A,'Payment Changes'!G153,'Current NLData'!K:K)/COUNTIF('Current NLData'!A:A,'Payment Changes'!G153),0)+IFERROR(VLOOKUP(G153&amp;"-ALL",NLPaymentExport,10,FALSE),0)</f>
        <v>55</v>
      </c>
      <c r="U153" s="118">
        <f t="shared" si="27"/>
        <v>55</v>
      </c>
    </row>
    <row r="154" spans="1:54" ht="17.100000000000001" hidden="1" customHeight="1" outlineLevel="1" x14ac:dyDescent="0.25">
      <c r="A154" s="3"/>
      <c r="C154" s="4"/>
      <c r="D154" s="181"/>
      <c r="E154" s="91" t="str">
        <f t="shared" si="28"/>
        <v>Commerce City</v>
      </c>
      <c r="F154" s="93" t="str">
        <f t="shared" si="29"/>
        <v>CP179</v>
      </c>
      <c r="G154" s="99" t="str">
        <f t="shared" si="30"/>
        <v>CP179-RETURN - 1st don of the week -STD</v>
      </c>
      <c r="H154" s="182"/>
      <c r="I154" s="36" t="s">
        <v>45</v>
      </c>
      <c r="J154" s="58">
        <v>65</v>
      </c>
      <c r="K154" s="62">
        <v>60</v>
      </c>
      <c r="L154" s="58">
        <v>55</v>
      </c>
      <c r="M154" s="58">
        <v>55</v>
      </c>
      <c r="N154" s="58">
        <v>55</v>
      </c>
      <c r="O154" s="58">
        <v>55</v>
      </c>
      <c r="P154" s="58">
        <v>55</v>
      </c>
      <c r="Q154" s="58"/>
      <c r="R154" s="23"/>
      <c r="S154" s="117" t="str">
        <f t="shared" si="26"/>
        <v>Y</v>
      </c>
      <c r="T154" s="114">
        <f>IFERROR(SUMIF('Current NLData'!A:A,'Payment Changes'!G154,'Current NLData'!K:K)/COUNTIF('Current NLData'!A:A,'Payment Changes'!G154),0)+IFERROR(VLOOKUP(G154&amp;"-ALL",NLPaymentExport,10,FALSE),0)</f>
        <v>55</v>
      </c>
      <c r="U154" s="118">
        <f t="shared" si="27"/>
        <v>55</v>
      </c>
    </row>
    <row r="155" spans="1:54" ht="17.100000000000001" hidden="1" customHeight="1" outlineLevel="1" x14ac:dyDescent="0.25">
      <c r="A155" s="3"/>
      <c r="C155" s="4"/>
      <c r="D155" s="181"/>
      <c r="E155" s="91" t="str">
        <f t="shared" si="28"/>
        <v>Commerce City</v>
      </c>
      <c r="F155" s="93" t="str">
        <f t="shared" si="29"/>
        <v>CP179</v>
      </c>
      <c r="G155" s="99" t="str">
        <f t="shared" si="30"/>
        <v>CP179-RETURN - 2nd don of the week -BONUS</v>
      </c>
      <c r="H155" s="182"/>
      <c r="I155" s="36" t="s">
        <v>46</v>
      </c>
      <c r="J155" s="58">
        <v>5</v>
      </c>
      <c r="K155" s="62">
        <v>10</v>
      </c>
      <c r="L155" s="58">
        <v>10</v>
      </c>
      <c r="M155" s="58">
        <v>10</v>
      </c>
      <c r="N155" s="58">
        <v>10</v>
      </c>
      <c r="O155" s="58">
        <v>10</v>
      </c>
      <c r="P155" s="58">
        <v>10</v>
      </c>
      <c r="Q155" s="58"/>
      <c r="R155" s="23"/>
      <c r="S155" s="117" t="str">
        <f t="shared" si="26"/>
        <v>Y</v>
      </c>
      <c r="T155" s="114">
        <f>IFERROR(SUMIF('Current NLData'!A:A,'Payment Changes'!G155,'Current NLData'!K:K)/COUNTIF('Current NLData'!A:A,'Payment Changes'!G155),0)+IFERROR(VLOOKUP(G155&amp;"-ALL",NLPaymentExport,10,FALSE),0)</f>
        <v>10</v>
      </c>
      <c r="U155" s="118">
        <f t="shared" si="27"/>
        <v>10</v>
      </c>
    </row>
    <row r="156" spans="1:54" ht="17.100000000000001" hidden="1" customHeight="1" outlineLevel="1" x14ac:dyDescent="0.25">
      <c r="A156" s="3"/>
      <c r="C156" s="4"/>
      <c r="D156" s="181"/>
      <c r="E156" s="91" t="str">
        <f t="shared" si="28"/>
        <v>Commerce City</v>
      </c>
      <c r="F156" s="93" t="str">
        <f t="shared" si="29"/>
        <v>CP179</v>
      </c>
      <c r="G156" s="99" t="str">
        <f t="shared" si="30"/>
        <v>CP179-RETURN - 5th don of the month -BONUS</v>
      </c>
      <c r="H156" s="182"/>
      <c r="I156" s="37" t="s">
        <v>47</v>
      </c>
      <c r="J156" s="65">
        <v>0</v>
      </c>
      <c r="K156" s="65">
        <v>0</v>
      </c>
      <c r="L156" s="65">
        <v>0</v>
      </c>
      <c r="M156" s="65">
        <v>0</v>
      </c>
      <c r="N156" s="65">
        <v>0</v>
      </c>
      <c r="O156" s="65">
        <v>0</v>
      </c>
      <c r="P156" s="65">
        <v>0</v>
      </c>
      <c r="Q156" s="65"/>
      <c r="R156" s="22"/>
      <c r="S156" s="117" t="str">
        <f t="shared" si="26"/>
        <v>N</v>
      </c>
      <c r="T156" s="114">
        <f>IFERROR(SUMIF('Current NLData'!A:A,'Payment Changes'!G156,'Current NLData'!K:K)/COUNTIF('Current NLData'!A:A,'Payment Changes'!G156),0)+IFERROR(VLOOKUP(G156&amp;"-ALL",NLPaymentExport,10,FALSE),0)</f>
        <v>0</v>
      </c>
      <c r="U156" s="118">
        <f t="shared" si="27"/>
        <v>0</v>
      </c>
    </row>
    <row r="157" spans="1:54" ht="17.100000000000001" hidden="1" customHeight="1" outlineLevel="1" x14ac:dyDescent="0.25">
      <c r="A157" s="3"/>
      <c r="C157" s="4"/>
      <c r="D157" s="181"/>
      <c r="E157" s="91" t="str">
        <f t="shared" si="28"/>
        <v>Commerce City</v>
      </c>
      <c r="F157" s="93" t="str">
        <f t="shared" si="29"/>
        <v>CP179</v>
      </c>
      <c r="G157" s="99" t="str">
        <f t="shared" si="30"/>
        <v>CP179-RETURN - 6th don of the month -BONUS</v>
      </c>
      <c r="H157" s="182"/>
      <c r="I157" s="38" t="s">
        <v>48</v>
      </c>
      <c r="J157" s="58">
        <v>0</v>
      </c>
      <c r="K157" s="58">
        <v>0</v>
      </c>
      <c r="L157" s="58">
        <v>0</v>
      </c>
      <c r="M157" s="58">
        <v>0</v>
      </c>
      <c r="N157" s="58">
        <v>0</v>
      </c>
      <c r="O157" s="58">
        <v>0</v>
      </c>
      <c r="P157" s="58">
        <v>0</v>
      </c>
      <c r="Q157" s="58"/>
      <c r="R157" s="22"/>
      <c r="S157" s="117" t="str">
        <f t="shared" si="26"/>
        <v>N</v>
      </c>
      <c r="T157" s="114">
        <f>IFERROR(SUMIF('Current NLData'!A:A,'Payment Changes'!G157,'Current NLData'!K:K)/COUNTIF('Current NLData'!A:A,'Payment Changes'!G157),0)+IFERROR(VLOOKUP(G157&amp;"-ALL",NLPaymentExport,10,FALSE),0)</f>
        <v>0</v>
      </c>
      <c r="U157" s="118">
        <f t="shared" si="27"/>
        <v>0</v>
      </c>
    </row>
    <row r="158" spans="1:54" ht="17.100000000000001" hidden="1" customHeight="1" outlineLevel="1" x14ac:dyDescent="0.25">
      <c r="A158" s="3"/>
      <c r="C158" s="4"/>
      <c r="D158" s="181"/>
      <c r="E158" s="91" t="str">
        <f t="shared" si="28"/>
        <v>Commerce City</v>
      </c>
      <c r="F158" s="93" t="str">
        <f t="shared" si="29"/>
        <v>CP179</v>
      </c>
      <c r="G158" s="99" t="str">
        <f t="shared" si="30"/>
        <v>CP179-RETURN - 7th don of the month -BONUS</v>
      </c>
      <c r="H158" s="182"/>
      <c r="I158" s="38" t="s">
        <v>49</v>
      </c>
      <c r="J158" s="58">
        <v>0</v>
      </c>
      <c r="K158" s="58">
        <v>0</v>
      </c>
      <c r="L158" s="58">
        <v>0</v>
      </c>
      <c r="M158" s="58">
        <v>0</v>
      </c>
      <c r="N158" s="58">
        <v>0</v>
      </c>
      <c r="O158" s="58">
        <v>0</v>
      </c>
      <c r="P158" s="58">
        <v>0</v>
      </c>
      <c r="Q158" s="58"/>
      <c r="R158" s="22"/>
      <c r="S158" s="117" t="str">
        <f t="shared" si="26"/>
        <v>N</v>
      </c>
      <c r="T158" s="114">
        <f>IFERROR(SUMIF('Current NLData'!A:A,'Payment Changes'!G158,'Current NLData'!K:K)/COUNTIF('Current NLData'!A:A,'Payment Changes'!G158),0)+IFERROR(VLOOKUP(G158&amp;"-ALL",NLPaymentExport,10,FALSE),0)</f>
        <v>0</v>
      </c>
      <c r="U158" s="118">
        <f t="shared" si="27"/>
        <v>0</v>
      </c>
    </row>
    <row r="159" spans="1:54" ht="17.100000000000001" hidden="1" customHeight="1" outlineLevel="1" x14ac:dyDescent="0.25">
      <c r="A159" s="3"/>
      <c r="C159" s="4"/>
      <c r="D159" s="181"/>
      <c r="E159" s="91" t="str">
        <f t="shared" si="28"/>
        <v>Commerce City</v>
      </c>
      <c r="F159" s="93" t="str">
        <f t="shared" si="29"/>
        <v>CP179</v>
      </c>
      <c r="G159" s="99" t="str">
        <f t="shared" si="30"/>
        <v>CP179-RETURN - 8th don of the month -BONUS</v>
      </c>
      <c r="H159" s="182"/>
      <c r="I159" s="38" t="s">
        <v>50</v>
      </c>
      <c r="J159" s="58">
        <v>25</v>
      </c>
      <c r="K159" s="58">
        <v>25</v>
      </c>
      <c r="L159" s="58">
        <v>0</v>
      </c>
      <c r="M159" s="58">
        <v>0</v>
      </c>
      <c r="N159" s="58">
        <v>0</v>
      </c>
      <c r="O159" s="58">
        <v>0</v>
      </c>
      <c r="P159" s="58">
        <v>0</v>
      </c>
      <c r="Q159" s="58"/>
      <c r="R159" s="22"/>
      <c r="S159" s="117" t="str">
        <f t="shared" si="26"/>
        <v>N</v>
      </c>
      <c r="T159" s="114">
        <f>IFERROR(SUMIF('Current NLData'!A:A,'Payment Changes'!G159,'Current NLData'!K:K)/COUNTIF('Current NLData'!A:A,'Payment Changes'!G159),0)+IFERROR(VLOOKUP(G159&amp;"-ALL",NLPaymentExport,10,FALSE),0)</f>
        <v>0</v>
      </c>
      <c r="U159" s="118">
        <f t="shared" si="27"/>
        <v>0</v>
      </c>
    </row>
    <row r="160" spans="1:54" ht="17.100000000000001" hidden="1" customHeight="1" outlineLevel="1" x14ac:dyDescent="0.25">
      <c r="A160" s="3"/>
      <c r="C160" s="4" t="str">
        <f>IF(J160=0,"Warning","")</f>
        <v/>
      </c>
      <c r="D160" s="181"/>
      <c r="E160" s="91" t="str">
        <f t="shared" si="28"/>
        <v>Commerce City</v>
      </c>
      <c r="F160" s="93" t="str">
        <f t="shared" si="29"/>
        <v>CP179</v>
      </c>
      <c r="G160" s="99" t="str">
        <f t="shared" si="30"/>
        <v>CP179-RETURN - Buddy referral  -BONUS</v>
      </c>
      <c r="H160" s="182"/>
      <c r="I160" s="39" t="s">
        <v>51</v>
      </c>
      <c r="J160" s="58">
        <v>50</v>
      </c>
      <c r="K160" s="58">
        <v>50</v>
      </c>
      <c r="L160" s="58">
        <v>0</v>
      </c>
      <c r="M160" s="58">
        <v>0</v>
      </c>
      <c r="N160" s="58">
        <v>0</v>
      </c>
      <c r="O160" s="58">
        <v>0</v>
      </c>
      <c r="P160" s="58">
        <v>0</v>
      </c>
      <c r="Q160" s="58"/>
      <c r="R160" s="22"/>
      <c r="S160" s="117" t="str">
        <f t="shared" si="26"/>
        <v>N</v>
      </c>
      <c r="T160" s="114">
        <f>IFERROR(SUMIF('Current NLData'!A:A,'Payment Changes'!G160,'Current NLData'!K:K)/COUNTIF('Current NLData'!A:A,'Payment Changes'!G160),0)+IFERROR(VLOOKUP(G160&amp;"-ALL",NLPaymentExport,10,FALSE),0)</f>
        <v>0</v>
      </c>
      <c r="U160" s="118">
        <f t="shared" si="27"/>
        <v>0</v>
      </c>
    </row>
    <row r="161" spans="1:54" s="90" customFormat="1" ht="17.100000000000001" hidden="1" customHeight="1" collapsed="1" x14ac:dyDescent="0.35">
      <c r="A161" s="85"/>
      <c r="B161" s="85"/>
      <c r="C161" s="86"/>
      <c r="D161" s="87"/>
      <c r="E161" s="87"/>
      <c r="F161" s="87"/>
      <c r="G161" s="87"/>
      <c r="H161" s="96"/>
      <c r="I161" s="88"/>
      <c r="J161" s="89"/>
      <c r="K161" s="89"/>
      <c r="L161" s="89"/>
      <c r="M161" s="89"/>
      <c r="N161" s="89"/>
      <c r="O161" s="89"/>
      <c r="P161" s="89"/>
      <c r="Q161" s="89"/>
      <c r="R161" s="21"/>
      <c r="S161" s="117" t="str">
        <f t="shared" si="26"/>
        <v>N</v>
      </c>
      <c r="T161" s="114">
        <f>IFERROR(SUMIF('Current NLData'!A:A,'Payment Changes'!G161,'Current NLData'!K:K)/COUNTIF('Current NLData'!A:A,'Payment Changes'!G161),0)+IFERROR(VLOOKUP(G161&amp;"-ALL",NLPaymentExport,10,FALSE),0)</f>
        <v>0</v>
      </c>
      <c r="U161" s="118" t="str">
        <f t="shared" si="27"/>
        <v/>
      </c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10" customFormat="1" ht="17.100000000000001" hidden="1" customHeight="1" x14ac:dyDescent="0.25">
      <c r="A162" s="165">
        <v>9</v>
      </c>
      <c r="B162" s="168" t="s">
        <v>88</v>
      </c>
      <c r="C162" s="171" t="s">
        <v>19</v>
      </c>
      <c r="D162" s="174" t="s">
        <v>57</v>
      </c>
      <c r="E162" s="106" t="str">
        <f t="shared" si="28"/>
        <v>Houston - Aldine</v>
      </c>
      <c r="F162" s="107" t="s">
        <v>89</v>
      </c>
      <c r="G162" s="108" t="str">
        <f t="shared" ref="G162:G180" si="31">F162&amp;"-"&amp;I162</f>
        <v>CP225-New Donor</v>
      </c>
      <c r="H162" s="177" t="s">
        <v>75</v>
      </c>
      <c r="I162" s="76" t="s">
        <v>23</v>
      </c>
      <c r="J162" s="40" t="s">
        <v>24</v>
      </c>
      <c r="K162" s="41" t="s">
        <v>25</v>
      </c>
      <c r="L162" s="41" t="s">
        <v>24</v>
      </c>
      <c r="M162" s="42" t="s">
        <v>24</v>
      </c>
      <c r="N162" s="40" t="s">
        <v>24</v>
      </c>
      <c r="O162" s="40" t="s">
        <v>24</v>
      </c>
      <c r="P162" s="40" t="s">
        <v>24</v>
      </c>
      <c r="Q162" s="40" t="s">
        <v>24</v>
      </c>
      <c r="R162" s="109"/>
      <c r="S162" s="117" t="str">
        <f t="shared" si="26"/>
        <v>N</v>
      </c>
      <c r="T162" s="114">
        <f>IFERROR(SUMIF('Current NLData'!A:A,'Payment Changes'!G162,'Current NLData'!K:K)/COUNTIF('Current NLData'!A:A,'Payment Changes'!G162),0)+IFERROR(VLOOKUP(G162&amp;"-ALL",NLPaymentExport,10,FALSE),0)</f>
        <v>0</v>
      </c>
      <c r="U162" s="118" t="str">
        <f t="shared" si="27"/>
        <v/>
      </c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ht="17.100000000000001" hidden="1" customHeight="1" x14ac:dyDescent="0.25">
      <c r="A163" s="166"/>
      <c r="B163" s="169"/>
      <c r="C163" s="172"/>
      <c r="D163" s="175"/>
      <c r="E163" s="91" t="str">
        <f t="shared" si="28"/>
        <v>Houston - Aldine</v>
      </c>
      <c r="F163" s="92" t="s">
        <v>89</v>
      </c>
      <c r="G163" s="98" t="str">
        <f t="shared" si="31"/>
        <v>CP225-Return Donor</v>
      </c>
      <c r="H163" s="178"/>
      <c r="I163" s="77" t="s">
        <v>29</v>
      </c>
      <c r="J163" s="43" t="s">
        <v>24</v>
      </c>
      <c r="K163" s="43" t="s">
        <v>24</v>
      </c>
      <c r="L163" s="44" t="s">
        <v>24</v>
      </c>
      <c r="M163" s="45" t="s">
        <v>24</v>
      </c>
      <c r="N163" s="43" t="s">
        <v>24</v>
      </c>
      <c r="O163" s="43" t="s">
        <v>24</v>
      </c>
      <c r="P163" s="43" t="s">
        <v>24</v>
      </c>
      <c r="Q163" s="43" t="s">
        <v>24</v>
      </c>
      <c r="R163" s="21"/>
      <c r="S163" s="117" t="str">
        <f t="shared" si="26"/>
        <v>N</v>
      </c>
      <c r="T163" s="114">
        <f>IFERROR(SUMIF('Current NLData'!A:A,'Payment Changes'!G163,'Current NLData'!K:K)/COUNTIF('Current NLData'!A:A,'Payment Changes'!G163),0)+IFERROR(VLOOKUP(G163&amp;"-ALL",NLPaymentExport,10,FALSE),0)</f>
        <v>0</v>
      </c>
      <c r="U163" s="118" t="str">
        <f t="shared" si="27"/>
        <v/>
      </c>
    </row>
    <row r="164" spans="1:54" ht="17.100000000000001" hidden="1" customHeight="1" x14ac:dyDescent="0.25">
      <c r="A164" s="166"/>
      <c r="B164" s="169"/>
      <c r="C164" s="172"/>
      <c r="D164" s="175"/>
      <c r="E164" s="91" t="str">
        <f t="shared" si="28"/>
        <v>Houston - Aldine</v>
      </c>
      <c r="F164" s="92" t="s">
        <v>89</v>
      </c>
      <c r="G164" s="98" t="str">
        <f t="shared" si="31"/>
        <v>CP225-Retention Bonus</v>
      </c>
      <c r="H164" s="178"/>
      <c r="I164" s="78" t="s">
        <v>30</v>
      </c>
      <c r="J164" s="46" t="s">
        <v>31</v>
      </c>
      <c r="K164" s="46" t="s">
        <v>31</v>
      </c>
      <c r="L164" s="47" t="s">
        <v>32</v>
      </c>
      <c r="M164" s="48" t="s">
        <v>32</v>
      </c>
      <c r="N164" s="46" t="s">
        <v>32</v>
      </c>
      <c r="O164" s="46" t="s">
        <v>32</v>
      </c>
      <c r="P164" s="46" t="s">
        <v>32</v>
      </c>
      <c r="Q164" s="46" t="s">
        <v>32</v>
      </c>
      <c r="R164" s="21"/>
      <c r="S164" s="117" t="str">
        <f t="shared" si="26"/>
        <v>N</v>
      </c>
      <c r="T164" s="114">
        <f>IFERROR(SUMIF('Current NLData'!A:A,'Payment Changes'!G164,'Current NLData'!K:K)/COUNTIF('Current NLData'!A:A,'Payment Changes'!G164),0)+IFERROR(VLOOKUP(G164&amp;"-ALL",NLPaymentExport,10,FALSE),0)</f>
        <v>0</v>
      </c>
      <c r="U164" s="118" t="str">
        <f t="shared" si="27"/>
        <v/>
      </c>
    </row>
    <row r="165" spans="1:54" s="15" customFormat="1" ht="17.100000000000001" hidden="1" customHeight="1" x14ac:dyDescent="0.25">
      <c r="A165" s="167"/>
      <c r="B165" s="170"/>
      <c r="C165" s="173"/>
      <c r="D165" s="176"/>
      <c r="E165" s="110" t="str">
        <f t="shared" si="28"/>
        <v>Houston - Aldine</v>
      </c>
      <c r="F165" s="111" t="s">
        <v>89</v>
      </c>
      <c r="G165" s="112" t="str">
        <f t="shared" si="31"/>
        <v>CP225-Referral</v>
      </c>
      <c r="H165" s="179"/>
      <c r="I165" s="79" t="s">
        <v>34</v>
      </c>
      <c r="J165" s="49">
        <v>50</v>
      </c>
      <c r="K165" s="49">
        <v>0</v>
      </c>
      <c r="L165" s="50" t="s">
        <v>32</v>
      </c>
      <c r="M165" s="51" t="s">
        <v>32</v>
      </c>
      <c r="N165" s="49" t="s">
        <v>32</v>
      </c>
      <c r="O165" s="49">
        <v>50</v>
      </c>
      <c r="P165" s="49">
        <v>50</v>
      </c>
      <c r="Q165" s="49">
        <v>50</v>
      </c>
      <c r="R165" s="113"/>
      <c r="S165" s="117" t="str">
        <f t="shared" si="26"/>
        <v>N</v>
      </c>
      <c r="T165" s="114">
        <f>IFERROR(SUMIF('Current NLData'!A:A,'Payment Changes'!G165,'Current NLData'!K:K)/COUNTIF('Current NLData'!A:A,'Payment Changes'!G165),0)+IFERROR(VLOOKUP(G165&amp;"-ALL",NLPaymentExport,10,FALSE),0)</f>
        <v>0</v>
      </c>
      <c r="U165" s="118" t="str">
        <f t="shared" si="27"/>
        <v/>
      </c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7.100000000000001" hidden="1" customHeight="1" outlineLevel="1" x14ac:dyDescent="0.25">
      <c r="A166" s="3"/>
      <c r="C166" s="4"/>
      <c r="D166" s="180" t="s">
        <v>89</v>
      </c>
      <c r="E166" s="91" t="str">
        <f t="shared" si="28"/>
        <v>Houston - Aldine</v>
      </c>
      <c r="F166" s="93" t="str">
        <f t="shared" si="29"/>
        <v>CP225</v>
      </c>
      <c r="G166" s="99" t="str">
        <f t="shared" si="31"/>
        <v>CP225-NEW DONOR -1st</v>
      </c>
      <c r="H166" s="182" t="s">
        <v>36</v>
      </c>
      <c r="I166" s="33" t="s">
        <v>37</v>
      </c>
      <c r="J166" s="60">
        <v>60</v>
      </c>
      <c r="K166" s="61">
        <v>60</v>
      </c>
      <c r="L166" s="60">
        <v>60</v>
      </c>
      <c r="M166" s="60">
        <v>60</v>
      </c>
      <c r="N166" s="60">
        <v>60</v>
      </c>
      <c r="O166" s="60">
        <v>60</v>
      </c>
      <c r="P166" s="60">
        <v>60</v>
      </c>
      <c r="Q166" s="60">
        <v>60</v>
      </c>
      <c r="R166" s="23"/>
      <c r="S166" s="117" t="str">
        <f t="shared" si="26"/>
        <v>N</v>
      </c>
      <c r="T166" s="114">
        <f>IFERROR(SUMIF('Current NLData'!A:A,'Payment Changes'!G166,'Current NLData'!K:K)/COUNTIF('Current NLData'!A:A,'Payment Changes'!G166),0)+IFERROR(VLOOKUP(G166&amp;"-ALL",NLPaymentExport,10,FALSE),0)</f>
        <v>60</v>
      </c>
      <c r="U166" s="118">
        <f t="shared" si="27"/>
        <v>0</v>
      </c>
    </row>
    <row r="167" spans="1:54" ht="17.100000000000001" hidden="1" customHeight="1" outlineLevel="1" x14ac:dyDescent="0.25">
      <c r="A167" s="3"/>
      <c r="C167" s="4"/>
      <c r="D167" s="181"/>
      <c r="E167" s="91" t="str">
        <f t="shared" si="28"/>
        <v>Houston - Aldine</v>
      </c>
      <c r="F167" s="93" t="str">
        <f t="shared" si="29"/>
        <v>CP225</v>
      </c>
      <c r="G167" s="99" t="str">
        <f t="shared" si="31"/>
        <v>CP225-NEW DONOR -2nd</v>
      </c>
      <c r="H167" s="182"/>
      <c r="I167" s="34" t="s">
        <v>38</v>
      </c>
      <c r="J167" s="58">
        <v>60</v>
      </c>
      <c r="K167" s="62">
        <v>70</v>
      </c>
      <c r="L167" s="58">
        <v>60</v>
      </c>
      <c r="M167" s="58">
        <v>60</v>
      </c>
      <c r="N167" s="58">
        <v>60</v>
      </c>
      <c r="O167" s="58">
        <v>60</v>
      </c>
      <c r="P167" s="58">
        <v>60</v>
      </c>
      <c r="Q167" s="58">
        <v>60</v>
      </c>
      <c r="R167" s="23"/>
      <c r="S167" s="117" t="str">
        <f t="shared" si="26"/>
        <v>N</v>
      </c>
      <c r="T167" s="114">
        <f>IFERROR(SUMIF('Current NLData'!A:A,'Payment Changes'!G167,'Current NLData'!K:K)/COUNTIF('Current NLData'!A:A,'Payment Changes'!G167),0)+IFERROR(VLOOKUP(G167&amp;"-ALL",NLPaymentExport,10,FALSE),0)</f>
        <v>60</v>
      </c>
      <c r="U167" s="118">
        <f t="shared" si="27"/>
        <v>0</v>
      </c>
    </row>
    <row r="168" spans="1:54" ht="17.100000000000001" hidden="1" customHeight="1" outlineLevel="1" x14ac:dyDescent="0.25">
      <c r="A168" s="3"/>
      <c r="C168" s="4"/>
      <c r="D168" s="181"/>
      <c r="E168" s="91" t="str">
        <f t="shared" si="28"/>
        <v>Houston - Aldine</v>
      </c>
      <c r="F168" s="93" t="str">
        <f t="shared" si="29"/>
        <v>CP225</v>
      </c>
      <c r="G168" s="99" t="str">
        <f t="shared" si="31"/>
        <v>CP225-NEW DONOR -3rd</v>
      </c>
      <c r="H168" s="182"/>
      <c r="I168" s="34" t="s">
        <v>39</v>
      </c>
      <c r="J168" s="58">
        <v>60</v>
      </c>
      <c r="K168" s="62">
        <v>60</v>
      </c>
      <c r="L168" s="58">
        <v>60</v>
      </c>
      <c r="M168" s="58">
        <v>60</v>
      </c>
      <c r="N168" s="58">
        <v>60</v>
      </c>
      <c r="O168" s="58">
        <v>60</v>
      </c>
      <c r="P168" s="58">
        <v>60</v>
      </c>
      <c r="Q168" s="58">
        <v>60</v>
      </c>
      <c r="R168" s="23"/>
      <c r="S168" s="117" t="str">
        <f t="shared" si="26"/>
        <v>N</v>
      </c>
      <c r="T168" s="114">
        <f>IFERROR(SUMIF('Current NLData'!A:A,'Payment Changes'!G168,'Current NLData'!K:K)/COUNTIF('Current NLData'!A:A,'Payment Changes'!G168),0)+IFERROR(VLOOKUP(G168&amp;"-ALL",NLPaymentExport,10,FALSE),0)</f>
        <v>60</v>
      </c>
      <c r="U168" s="118">
        <f t="shared" si="27"/>
        <v>0</v>
      </c>
    </row>
    <row r="169" spans="1:54" ht="17.100000000000001" hidden="1" customHeight="1" outlineLevel="1" x14ac:dyDescent="0.25">
      <c r="A169" s="3"/>
      <c r="C169" s="4"/>
      <c r="D169" s="181"/>
      <c r="E169" s="91" t="str">
        <f t="shared" si="28"/>
        <v>Houston - Aldine</v>
      </c>
      <c r="F169" s="93" t="str">
        <f t="shared" si="29"/>
        <v>CP225</v>
      </c>
      <c r="G169" s="99" t="str">
        <f t="shared" si="31"/>
        <v>CP225-NEW DONOR -4th</v>
      </c>
      <c r="H169" s="182"/>
      <c r="I169" s="34" t="s">
        <v>40</v>
      </c>
      <c r="J169" s="58">
        <v>60</v>
      </c>
      <c r="K169" s="62">
        <v>70</v>
      </c>
      <c r="L169" s="58">
        <v>60</v>
      </c>
      <c r="M169" s="58">
        <v>60</v>
      </c>
      <c r="N169" s="58">
        <v>60</v>
      </c>
      <c r="O169" s="58">
        <v>60</v>
      </c>
      <c r="P169" s="58">
        <v>60</v>
      </c>
      <c r="Q169" s="58">
        <v>60</v>
      </c>
      <c r="R169" s="23"/>
      <c r="S169" s="117" t="str">
        <f t="shared" si="26"/>
        <v>N</v>
      </c>
      <c r="T169" s="114">
        <f>IFERROR(SUMIF('Current NLData'!A:A,'Payment Changes'!G169,'Current NLData'!K:K)/COUNTIF('Current NLData'!A:A,'Payment Changes'!G169),0)+IFERROR(VLOOKUP(G169&amp;"-ALL",NLPaymentExport,10,FALSE),0)</f>
        <v>60</v>
      </c>
      <c r="U169" s="118">
        <f t="shared" si="27"/>
        <v>0</v>
      </c>
    </row>
    <row r="170" spans="1:54" ht="17.100000000000001" hidden="1" customHeight="1" outlineLevel="1" x14ac:dyDescent="0.25">
      <c r="A170" s="3"/>
      <c r="C170" s="4"/>
      <c r="D170" s="181"/>
      <c r="E170" s="91" t="str">
        <f t="shared" si="28"/>
        <v>Houston - Aldine</v>
      </c>
      <c r="F170" s="93" t="str">
        <f t="shared" si="29"/>
        <v>CP225</v>
      </c>
      <c r="G170" s="99" t="str">
        <f t="shared" si="31"/>
        <v>CP225-NEW DONOR -5th</v>
      </c>
      <c r="H170" s="182"/>
      <c r="I170" s="34" t="s">
        <v>41</v>
      </c>
      <c r="J170" s="58">
        <v>60</v>
      </c>
      <c r="K170" s="62">
        <v>60</v>
      </c>
      <c r="L170" s="58">
        <v>60</v>
      </c>
      <c r="M170" s="58">
        <v>60</v>
      </c>
      <c r="N170" s="58">
        <v>60</v>
      </c>
      <c r="O170" s="58">
        <v>60</v>
      </c>
      <c r="P170" s="58">
        <v>60</v>
      </c>
      <c r="Q170" s="58">
        <v>60</v>
      </c>
      <c r="R170" s="23"/>
      <c r="S170" s="117" t="str">
        <f t="shared" si="26"/>
        <v>N</v>
      </c>
      <c r="T170" s="114">
        <f>IFERROR(SUMIF('Current NLData'!A:A,'Payment Changes'!G170,'Current NLData'!K:K)/COUNTIF('Current NLData'!A:A,'Payment Changes'!G170),0)+IFERROR(VLOOKUP(G170&amp;"-ALL",NLPaymentExport,10,FALSE),0)</f>
        <v>60</v>
      </c>
      <c r="U170" s="118">
        <f t="shared" si="27"/>
        <v>0</v>
      </c>
    </row>
    <row r="171" spans="1:54" ht="17.100000000000001" hidden="1" customHeight="1" outlineLevel="1" x14ac:dyDescent="0.25">
      <c r="A171" s="3"/>
      <c r="C171" s="4"/>
      <c r="D171" s="181"/>
      <c r="E171" s="91" t="str">
        <f t="shared" si="28"/>
        <v>Houston - Aldine</v>
      </c>
      <c r="F171" s="93" t="str">
        <f t="shared" si="29"/>
        <v>CP225</v>
      </c>
      <c r="G171" s="99" t="str">
        <f t="shared" si="31"/>
        <v>CP225-NEW DONOR -6th</v>
      </c>
      <c r="H171" s="182"/>
      <c r="I171" s="34" t="s">
        <v>42</v>
      </c>
      <c r="J171" s="58">
        <v>60</v>
      </c>
      <c r="K171" s="62">
        <v>70</v>
      </c>
      <c r="L171" s="58">
        <v>60</v>
      </c>
      <c r="M171" s="58">
        <v>60</v>
      </c>
      <c r="N171" s="58">
        <v>60</v>
      </c>
      <c r="O171" s="58">
        <v>60</v>
      </c>
      <c r="P171" s="58">
        <v>60</v>
      </c>
      <c r="Q171" s="58">
        <v>60</v>
      </c>
      <c r="R171" s="23"/>
      <c r="S171" s="117" t="str">
        <f t="shared" si="26"/>
        <v>N</v>
      </c>
      <c r="T171" s="114">
        <f>IFERROR(SUMIF('Current NLData'!A:A,'Payment Changes'!G171,'Current NLData'!K:K)/COUNTIF('Current NLData'!A:A,'Payment Changes'!G171),0)+IFERROR(VLOOKUP(G171&amp;"-ALL",NLPaymentExport,10,FALSE),0)</f>
        <v>60</v>
      </c>
      <c r="U171" s="118">
        <f t="shared" si="27"/>
        <v>0</v>
      </c>
    </row>
    <row r="172" spans="1:54" ht="17.100000000000001" hidden="1" customHeight="1" outlineLevel="1" x14ac:dyDescent="0.25">
      <c r="A172" s="3"/>
      <c r="C172" s="4"/>
      <c r="D172" s="181"/>
      <c r="E172" s="91" t="str">
        <f t="shared" si="28"/>
        <v>Houston - Aldine</v>
      </c>
      <c r="F172" s="93" t="str">
        <f t="shared" si="29"/>
        <v>CP225</v>
      </c>
      <c r="G172" s="99" t="str">
        <f t="shared" si="31"/>
        <v>CP225-NEW DONOR -7th</v>
      </c>
      <c r="H172" s="182"/>
      <c r="I172" s="34" t="s">
        <v>43</v>
      </c>
      <c r="J172" s="58">
        <v>60</v>
      </c>
      <c r="K172" s="62">
        <v>60</v>
      </c>
      <c r="L172" s="58">
        <v>60</v>
      </c>
      <c r="M172" s="58">
        <v>60</v>
      </c>
      <c r="N172" s="58">
        <v>60</v>
      </c>
      <c r="O172" s="58">
        <v>60</v>
      </c>
      <c r="P172" s="58">
        <v>60</v>
      </c>
      <c r="Q172" s="58">
        <v>60</v>
      </c>
      <c r="R172" s="23"/>
      <c r="S172" s="117" t="str">
        <f t="shared" si="26"/>
        <v>N</v>
      </c>
      <c r="T172" s="114">
        <f>IFERROR(SUMIF('Current NLData'!A:A,'Payment Changes'!G172,'Current NLData'!K:K)/COUNTIF('Current NLData'!A:A,'Payment Changes'!G172),0)+IFERROR(VLOOKUP(G172&amp;"-ALL",NLPaymentExport,10,FALSE),0)</f>
        <v>60</v>
      </c>
      <c r="U172" s="118">
        <f t="shared" si="27"/>
        <v>0</v>
      </c>
    </row>
    <row r="173" spans="1:54" ht="17.100000000000001" hidden="1" customHeight="1" outlineLevel="1" x14ac:dyDescent="0.25">
      <c r="A173" s="3"/>
      <c r="C173" s="4"/>
      <c r="D173" s="181"/>
      <c r="E173" s="91" t="str">
        <f t="shared" si="28"/>
        <v>Houston - Aldine</v>
      </c>
      <c r="F173" s="93" t="str">
        <f t="shared" si="29"/>
        <v>CP225</v>
      </c>
      <c r="G173" s="99" t="str">
        <f t="shared" si="31"/>
        <v>CP225-NEW DONOR -8th</v>
      </c>
      <c r="H173" s="182"/>
      <c r="I173" s="35" t="s">
        <v>44</v>
      </c>
      <c r="J173" s="63">
        <v>60</v>
      </c>
      <c r="K173" s="64">
        <v>70</v>
      </c>
      <c r="L173" s="63">
        <v>60</v>
      </c>
      <c r="M173" s="63">
        <v>60</v>
      </c>
      <c r="N173" s="63">
        <v>60</v>
      </c>
      <c r="O173" s="63">
        <v>60</v>
      </c>
      <c r="P173" s="63">
        <v>60</v>
      </c>
      <c r="Q173" s="63">
        <v>60</v>
      </c>
      <c r="R173" s="23"/>
      <c r="S173" s="117" t="str">
        <f t="shared" si="26"/>
        <v>N</v>
      </c>
      <c r="T173" s="114">
        <f>IFERROR(SUMIF('Current NLData'!A:A,'Payment Changes'!G173,'Current NLData'!K:K)/COUNTIF('Current NLData'!A:A,'Payment Changes'!G173),0)+IFERROR(VLOOKUP(G173&amp;"-ALL",NLPaymentExport,10,FALSE),0)</f>
        <v>60</v>
      </c>
      <c r="U173" s="118">
        <f t="shared" si="27"/>
        <v>0</v>
      </c>
    </row>
    <row r="174" spans="1:54" ht="17.100000000000001" hidden="1" customHeight="1" outlineLevel="1" x14ac:dyDescent="0.25">
      <c r="A174" s="3"/>
      <c r="C174" s="4"/>
      <c r="D174" s="181"/>
      <c r="E174" s="91" t="str">
        <f t="shared" si="28"/>
        <v>Houston - Aldine</v>
      </c>
      <c r="F174" s="93" t="str">
        <f t="shared" si="29"/>
        <v>CP225</v>
      </c>
      <c r="G174" s="99" t="str">
        <f t="shared" si="31"/>
        <v>CP225-RETURN - 1st don of the week -STD</v>
      </c>
      <c r="H174" s="182"/>
      <c r="I174" s="36" t="s">
        <v>45</v>
      </c>
      <c r="J174" s="58">
        <v>60</v>
      </c>
      <c r="K174" s="58">
        <v>60</v>
      </c>
      <c r="L174" s="58">
        <v>60</v>
      </c>
      <c r="M174" s="58">
        <v>60</v>
      </c>
      <c r="N174" s="58">
        <v>60</v>
      </c>
      <c r="O174" s="58">
        <v>60</v>
      </c>
      <c r="P174" s="58">
        <v>60</v>
      </c>
      <c r="Q174" s="58">
        <v>60</v>
      </c>
      <c r="R174" s="22"/>
      <c r="S174" s="117" t="str">
        <f t="shared" si="26"/>
        <v>N</v>
      </c>
      <c r="T174" s="114">
        <f>IFERROR(SUMIF('Current NLData'!A:A,'Payment Changes'!G174,'Current NLData'!K:K)/COUNTIF('Current NLData'!A:A,'Payment Changes'!G174),0)+IFERROR(VLOOKUP(G174&amp;"-ALL",NLPaymentExport,10,FALSE),0)</f>
        <v>60</v>
      </c>
      <c r="U174" s="118">
        <f t="shared" si="27"/>
        <v>0</v>
      </c>
    </row>
    <row r="175" spans="1:54" ht="17.100000000000001" hidden="1" customHeight="1" outlineLevel="1" x14ac:dyDescent="0.25">
      <c r="A175" s="3"/>
      <c r="C175" s="4"/>
      <c r="D175" s="181"/>
      <c r="E175" s="91" t="str">
        <f t="shared" si="28"/>
        <v>Houston - Aldine</v>
      </c>
      <c r="F175" s="93" t="str">
        <f t="shared" si="29"/>
        <v>CP225</v>
      </c>
      <c r="G175" s="99" t="str">
        <f t="shared" si="31"/>
        <v>CP225-RETURN - 2nd don of the week -BONUS</v>
      </c>
      <c r="H175" s="182"/>
      <c r="I175" s="36" t="s">
        <v>46</v>
      </c>
      <c r="J175" s="58">
        <v>10</v>
      </c>
      <c r="K175" s="58">
        <v>10</v>
      </c>
      <c r="L175" s="58">
        <v>10</v>
      </c>
      <c r="M175" s="58">
        <v>10</v>
      </c>
      <c r="N175" s="58">
        <v>10</v>
      </c>
      <c r="O175" s="58">
        <v>10</v>
      </c>
      <c r="P175" s="58">
        <v>10</v>
      </c>
      <c r="Q175" s="58">
        <v>10</v>
      </c>
      <c r="R175" s="22"/>
      <c r="S175" s="117" t="str">
        <f t="shared" si="26"/>
        <v>N</v>
      </c>
      <c r="T175" s="114">
        <f>IFERROR(SUMIF('Current NLData'!A:A,'Payment Changes'!G175,'Current NLData'!K:K)/COUNTIF('Current NLData'!A:A,'Payment Changes'!G175),0)+IFERROR(VLOOKUP(G175&amp;"-ALL",NLPaymentExport,10,FALSE),0)</f>
        <v>10</v>
      </c>
      <c r="U175" s="118">
        <f t="shared" si="27"/>
        <v>0</v>
      </c>
    </row>
    <row r="176" spans="1:54" ht="17.100000000000001" hidden="1" customHeight="1" outlineLevel="1" x14ac:dyDescent="0.25">
      <c r="A176" s="3"/>
      <c r="C176" s="4"/>
      <c r="D176" s="181"/>
      <c r="E176" s="91" t="str">
        <f t="shared" si="28"/>
        <v>Houston - Aldine</v>
      </c>
      <c r="F176" s="93" t="str">
        <f t="shared" si="29"/>
        <v>CP225</v>
      </c>
      <c r="G176" s="99" t="str">
        <f t="shared" si="31"/>
        <v>CP225-RETURN - 5th don of the month -BONUS</v>
      </c>
      <c r="H176" s="182"/>
      <c r="I176" s="37" t="s">
        <v>47</v>
      </c>
      <c r="J176" s="65">
        <v>0</v>
      </c>
      <c r="K176" s="65">
        <v>0</v>
      </c>
      <c r="L176" s="65">
        <v>0</v>
      </c>
      <c r="M176" s="65">
        <v>0</v>
      </c>
      <c r="N176" s="65">
        <v>0</v>
      </c>
      <c r="O176" s="65">
        <v>0</v>
      </c>
      <c r="P176" s="65">
        <v>0</v>
      </c>
      <c r="Q176" s="65">
        <v>0</v>
      </c>
      <c r="R176" s="22"/>
      <c r="S176" s="117" t="str">
        <f t="shared" si="26"/>
        <v>N</v>
      </c>
      <c r="T176" s="114">
        <f>IFERROR(SUMIF('Current NLData'!A:A,'Payment Changes'!G176,'Current NLData'!K:K)/COUNTIF('Current NLData'!A:A,'Payment Changes'!G176),0)+IFERROR(VLOOKUP(G176&amp;"-ALL",NLPaymentExport,10,FALSE),0)</f>
        <v>0</v>
      </c>
      <c r="U176" s="118">
        <f t="shared" si="27"/>
        <v>0</v>
      </c>
    </row>
    <row r="177" spans="1:54" ht="17.100000000000001" hidden="1" customHeight="1" outlineLevel="1" x14ac:dyDescent="0.25">
      <c r="A177" s="3"/>
      <c r="C177" s="4"/>
      <c r="D177" s="181"/>
      <c r="E177" s="91" t="str">
        <f t="shared" si="28"/>
        <v>Houston - Aldine</v>
      </c>
      <c r="F177" s="93" t="str">
        <f t="shared" si="29"/>
        <v>CP225</v>
      </c>
      <c r="G177" s="99" t="str">
        <f t="shared" si="31"/>
        <v>CP225-RETURN - 6th don of the month -BONUS</v>
      </c>
      <c r="H177" s="182"/>
      <c r="I177" s="38" t="s">
        <v>48</v>
      </c>
      <c r="J177" s="58">
        <v>0</v>
      </c>
      <c r="K177" s="58">
        <v>0</v>
      </c>
      <c r="L177" s="58">
        <v>0</v>
      </c>
      <c r="M177" s="58">
        <v>0</v>
      </c>
      <c r="N177" s="58">
        <v>0</v>
      </c>
      <c r="O177" s="58">
        <v>0</v>
      </c>
      <c r="P177" s="58">
        <v>0</v>
      </c>
      <c r="Q177" s="58">
        <v>0</v>
      </c>
      <c r="R177" s="22"/>
      <c r="S177" s="117" t="str">
        <f t="shared" si="26"/>
        <v>N</v>
      </c>
      <c r="T177" s="114">
        <f>IFERROR(SUMIF('Current NLData'!A:A,'Payment Changes'!G177,'Current NLData'!K:K)/COUNTIF('Current NLData'!A:A,'Payment Changes'!G177),0)+IFERROR(VLOOKUP(G177&amp;"-ALL",NLPaymentExport,10,FALSE),0)</f>
        <v>0</v>
      </c>
      <c r="U177" s="118">
        <f t="shared" si="27"/>
        <v>0</v>
      </c>
    </row>
    <row r="178" spans="1:54" ht="17.100000000000001" hidden="1" customHeight="1" outlineLevel="1" x14ac:dyDescent="0.25">
      <c r="A178" s="3"/>
      <c r="C178" s="4"/>
      <c r="D178" s="181"/>
      <c r="E178" s="91" t="str">
        <f t="shared" si="28"/>
        <v>Houston - Aldine</v>
      </c>
      <c r="F178" s="93" t="str">
        <f t="shared" si="29"/>
        <v>CP225</v>
      </c>
      <c r="G178" s="99" t="str">
        <f t="shared" si="31"/>
        <v>CP225-RETURN - 7th don of the month -BONUS</v>
      </c>
      <c r="H178" s="182"/>
      <c r="I178" s="38" t="s">
        <v>49</v>
      </c>
      <c r="J178" s="58">
        <v>0</v>
      </c>
      <c r="K178" s="58">
        <v>0</v>
      </c>
      <c r="L178" s="58">
        <v>0</v>
      </c>
      <c r="M178" s="58">
        <v>0</v>
      </c>
      <c r="N178" s="58">
        <v>0</v>
      </c>
      <c r="O178" s="58">
        <v>0</v>
      </c>
      <c r="P178" s="58">
        <v>0</v>
      </c>
      <c r="Q178" s="58">
        <v>0</v>
      </c>
      <c r="R178" s="22"/>
      <c r="S178" s="117" t="str">
        <f t="shared" si="26"/>
        <v>N</v>
      </c>
      <c r="T178" s="114">
        <f>IFERROR(SUMIF('Current NLData'!A:A,'Payment Changes'!G178,'Current NLData'!K:K)/COUNTIF('Current NLData'!A:A,'Payment Changes'!G178),0)+IFERROR(VLOOKUP(G178&amp;"-ALL",NLPaymentExport,10,FALSE),0)</f>
        <v>0</v>
      </c>
      <c r="U178" s="118">
        <f t="shared" si="27"/>
        <v>0</v>
      </c>
    </row>
    <row r="179" spans="1:54" ht="17.100000000000001" hidden="1" customHeight="1" outlineLevel="1" x14ac:dyDescent="0.25">
      <c r="A179" s="3"/>
      <c r="C179" s="4"/>
      <c r="D179" s="181"/>
      <c r="E179" s="91" t="str">
        <f t="shared" si="28"/>
        <v>Houston - Aldine</v>
      </c>
      <c r="F179" s="93" t="str">
        <f t="shared" si="29"/>
        <v>CP225</v>
      </c>
      <c r="G179" s="99" t="str">
        <f t="shared" si="31"/>
        <v>CP225-RETURN - 8th don of the month -BONUS</v>
      </c>
      <c r="H179" s="182"/>
      <c r="I179" s="38" t="s">
        <v>50</v>
      </c>
      <c r="J179" s="58">
        <v>25</v>
      </c>
      <c r="K179" s="58">
        <v>25</v>
      </c>
      <c r="L179" s="58">
        <v>0</v>
      </c>
      <c r="M179" s="58">
        <v>0</v>
      </c>
      <c r="N179" s="58">
        <v>0</v>
      </c>
      <c r="O179" s="58">
        <v>0</v>
      </c>
      <c r="P179" s="58">
        <v>0</v>
      </c>
      <c r="Q179" s="58">
        <v>0</v>
      </c>
      <c r="R179" s="22"/>
      <c r="S179" s="117" t="str">
        <f t="shared" si="26"/>
        <v>N</v>
      </c>
      <c r="T179" s="114">
        <f>IFERROR(SUMIF('Current NLData'!A:A,'Payment Changes'!G179,'Current NLData'!K:K)/COUNTIF('Current NLData'!A:A,'Payment Changes'!G179),0)+IFERROR(VLOOKUP(G179&amp;"-ALL",NLPaymentExport,10,FALSE),0)</f>
        <v>0</v>
      </c>
      <c r="U179" s="118">
        <f t="shared" si="27"/>
        <v>0</v>
      </c>
    </row>
    <row r="180" spans="1:54" ht="16.5" hidden="1" customHeight="1" outlineLevel="1" x14ac:dyDescent="0.25">
      <c r="A180" s="3"/>
      <c r="C180" s="4" t="str">
        <f>IF(J180=0,"Warning","")</f>
        <v/>
      </c>
      <c r="D180" s="181"/>
      <c r="E180" s="91" t="str">
        <f t="shared" si="28"/>
        <v>Houston - Aldine</v>
      </c>
      <c r="F180" s="93" t="str">
        <f t="shared" si="29"/>
        <v>CP225</v>
      </c>
      <c r="G180" s="99" t="str">
        <f t="shared" si="31"/>
        <v>CP225-RETURN - Buddy referral  -BONUS</v>
      </c>
      <c r="H180" s="182"/>
      <c r="I180" s="39" t="s">
        <v>51</v>
      </c>
      <c r="J180" s="58">
        <v>50</v>
      </c>
      <c r="K180" s="62">
        <v>0</v>
      </c>
      <c r="L180" s="58">
        <v>0</v>
      </c>
      <c r="M180" s="58">
        <v>0</v>
      </c>
      <c r="N180" s="58">
        <v>0</v>
      </c>
      <c r="O180" s="58">
        <v>50</v>
      </c>
      <c r="P180" s="58">
        <v>50</v>
      </c>
      <c r="Q180" s="58">
        <v>50</v>
      </c>
      <c r="R180" s="23"/>
      <c r="S180" s="117" t="str">
        <f t="shared" si="26"/>
        <v>N</v>
      </c>
      <c r="T180" s="114">
        <f>IFERROR(SUMIF('Current NLData'!A:A,'Payment Changes'!G180,'Current NLData'!K:K)/COUNTIF('Current NLData'!A:A,'Payment Changes'!G180),0)+IFERROR(VLOOKUP(G180&amp;"-ALL",NLPaymentExport,10,FALSE),0)</f>
        <v>50</v>
      </c>
      <c r="U180" s="118">
        <f t="shared" si="27"/>
        <v>0</v>
      </c>
    </row>
    <row r="181" spans="1:54" s="90" customFormat="1" ht="17.100000000000001" hidden="1" customHeight="1" collapsed="1" x14ac:dyDescent="0.35">
      <c r="A181" s="85"/>
      <c r="B181" s="85"/>
      <c r="C181" s="86"/>
      <c r="D181" s="87"/>
      <c r="E181" s="87"/>
      <c r="F181" s="87"/>
      <c r="G181" s="87"/>
      <c r="H181" s="96"/>
      <c r="I181" s="88"/>
      <c r="J181" s="89"/>
      <c r="K181" s="89"/>
      <c r="L181" s="89"/>
      <c r="M181" s="89"/>
      <c r="N181" s="89"/>
      <c r="O181" s="89"/>
      <c r="P181" s="89"/>
      <c r="Q181" s="89"/>
      <c r="R181" s="21"/>
      <c r="S181" s="117" t="str">
        <f t="shared" si="26"/>
        <v>N</v>
      </c>
      <c r="T181" s="114">
        <f>IFERROR(SUMIF('Current NLData'!A:A,'Payment Changes'!G181,'Current NLData'!K:K)/COUNTIF('Current NLData'!A:A,'Payment Changes'!G181),0)+IFERROR(VLOOKUP(G181&amp;"-ALL",NLPaymentExport,10,FALSE),0)</f>
        <v>0</v>
      </c>
      <c r="U181" s="118" t="str">
        <f t="shared" si="27"/>
        <v/>
      </c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s="10" customFormat="1" ht="17.100000000000001" hidden="1" customHeight="1" x14ac:dyDescent="0.25">
      <c r="A182" s="165">
        <v>10</v>
      </c>
      <c r="B182" s="168" t="s">
        <v>90</v>
      </c>
      <c r="C182" s="171" t="s">
        <v>19</v>
      </c>
      <c r="D182" s="174" t="s">
        <v>57</v>
      </c>
      <c r="E182" s="106" t="str">
        <f t="shared" si="28"/>
        <v>Cleveland, OH</v>
      </c>
      <c r="F182" s="107" t="s">
        <v>91</v>
      </c>
      <c r="G182" s="108" t="str">
        <f t="shared" ref="G182:G200" si="32">F182&amp;"-"&amp;I182</f>
        <v>CP178-New Donor</v>
      </c>
      <c r="H182" s="177" t="s">
        <v>75</v>
      </c>
      <c r="I182" s="76" t="s">
        <v>23</v>
      </c>
      <c r="J182" s="40" t="s">
        <v>62</v>
      </c>
      <c r="K182" s="41" t="s">
        <v>25</v>
      </c>
      <c r="L182" s="41" t="s">
        <v>61</v>
      </c>
      <c r="M182" s="42" t="s">
        <v>61</v>
      </c>
      <c r="N182" s="40" t="s">
        <v>61</v>
      </c>
      <c r="O182" s="40" t="s">
        <v>61</v>
      </c>
      <c r="P182" s="40" t="s">
        <v>61</v>
      </c>
      <c r="Q182" s="40" t="s">
        <v>61</v>
      </c>
      <c r="R182" s="109"/>
      <c r="S182" s="117" t="str">
        <f t="shared" si="26"/>
        <v>N</v>
      </c>
      <c r="T182" s="114">
        <f>IFERROR(SUMIF('Current NLData'!A:A,'Payment Changes'!G182,'Current NLData'!K:K)/COUNTIF('Current NLData'!A:A,'Payment Changes'!G182),0)+IFERROR(VLOOKUP(G182&amp;"-ALL",NLPaymentExport,10,FALSE),0)</f>
        <v>0</v>
      </c>
      <c r="U182" s="118" t="str">
        <f t="shared" si="27"/>
        <v/>
      </c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7.100000000000001" hidden="1" customHeight="1" x14ac:dyDescent="0.25">
      <c r="A183" s="166"/>
      <c r="B183" s="169"/>
      <c r="C183" s="172"/>
      <c r="D183" s="175"/>
      <c r="E183" s="91" t="str">
        <f t="shared" si="28"/>
        <v>Cleveland, OH</v>
      </c>
      <c r="F183" s="92" t="s">
        <v>91</v>
      </c>
      <c r="G183" s="98" t="str">
        <f t="shared" si="32"/>
        <v>CP178-Return Donor</v>
      </c>
      <c r="H183" s="178"/>
      <c r="I183" s="77" t="s">
        <v>29</v>
      </c>
      <c r="J183" s="43" t="s">
        <v>62</v>
      </c>
      <c r="K183" s="43" t="s">
        <v>24</v>
      </c>
      <c r="L183" s="44" t="s">
        <v>61</v>
      </c>
      <c r="M183" s="45" t="s">
        <v>61</v>
      </c>
      <c r="N183" s="43" t="s">
        <v>61</v>
      </c>
      <c r="O183" s="43" t="s">
        <v>61</v>
      </c>
      <c r="P183" s="43" t="s">
        <v>61</v>
      </c>
      <c r="Q183" s="43" t="s">
        <v>61</v>
      </c>
      <c r="R183" s="21"/>
      <c r="S183" s="117" t="str">
        <f t="shared" si="26"/>
        <v>N</v>
      </c>
      <c r="T183" s="114">
        <f>IFERROR(SUMIF('Current NLData'!A:A,'Payment Changes'!G183,'Current NLData'!K:K)/COUNTIF('Current NLData'!A:A,'Payment Changes'!G183),0)+IFERROR(VLOOKUP(G183&amp;"-ALL",NLPaymentExport,10,FALSE),0)</f>
        <v>0</v>
      </c>
      <c r="U183" s="118" t="str">
        <f t="shared" si="27"/>
        <v/>
      </c>
    </row>
    <row r="184" spans="1:54" ht="17.100000000000001" hidden="1" customHeight="1" x14ac:dyDescent="0.25">
      <c r="A184" s="166"/>
      <c r="B184" s="169"/>
      <c r="C184" s="172"/>
      <c r="D184" s="175"/>
      <c r="E184" s="91" t="str">
        <f t="shared" si="28"/>
        <v>Cleveland, OH</v>
      </c>
      <c r="F184" s="92" t="s">
        <v>91</v>
      </c>
      <c r="G184" s="98" t="str">
        <f t="shared" si="32"/>
        <v>CP178-Retention Bonus</v>
      </c>
      <c r="H184" s="178"/>
      <c r="I184" s="78" t="s">
        <v>30</v>
      </c>
      <c r="J184" s="46" t="s">
        <v>31</v>
      </c>
      <c r="K184" s="46" t="s">
        <v>31</v>
      </c>
      <c r="L184" s="47" t="s">
        <v>32</v>
      </c>
      <c r="M184" s="48" t="s">
        <v>32</v>
      </c>
      <c r="N184" s="46" t="s">
        <v>32</v>
      </c>
      <c r="O184" s="46" t="s">
        <v>32</v>
      </c>
      <c r="P184" s="46" t="s">
        <v>32</v>
      </c>
      <c r="Q184" s="46" t="s">
        <v>32</v>
      </c>
      <c r="R184" s="21"/>
      <c r="S184" s="117" t="str">
        <f t="shared" si="26"/>
        <v>N</v>
      </c>
      <c r="T184" s="114">
        <f>IFERROR(SUMIF('Current NLData'!A:A,'Payment Changes'!G184,'Current NLData'!K:K)/COUNTIF('Current NLData'!A:A,'Payment Changes'!G184),0)+IFERROR(VLOOKUP(G184&amp;"-ALL",NLPaymentExport,10,FALSE),0)</f>
        <v>0</v>
      </c>
      <c r="U184" s="118" t="str">
        <f t="shared" si="27"/>
        <v/>
      </c>
    </row>
    <row r="185" spans="1:54" s="15" customFormat="1" ht="17.100000000000001" hidden="1" customHeight="1" x14ac:dyDescent="0.25">
      <c r="A185" s="167"/>
      <c r="B185" s="170"/>
      <c r="C185" s="173"/>
      <c r="D185" s="176"/>
      <c r="E185" s="110" t="str">
        <f t="shared" si="28"/>
        <v>Cleveland, OH</v>
      </c>
      <c r="F185" s="111" t="s">
        <v>91</v>
      </c>
      <c r="G185" s="112" t="str">
        <f t="shared" si="32"/>
        <v>CP178-Referral</v>
      </c>
      <c r="H185" s="179"/>
      <c r="I185" s="79" t="s">
        <v>34</v>
      </c>
      <c r="J185" s="49">
        <v>50</v>
      </c>
      <c r="K185" s="49">
        <v>50</v>
      </c>
      <c r="L185" s="50" t="s">
        <v>32</v>
      </c>
      <c r="M185" s="51" t="s">
        <v>32</v>
      </c>
      <c r="N185" s="49" t="s">
        <v>32</v>
      </c>
      <c r="O185" s="49" t="s">
        <v>32</v>
      </c>
      <c r="P185" s="49" t="s">
        <v>32</v>
      </c>
      <c r="Q185" s="49" t="s">
        <v>32</v>
      </c>
      <c r="R185" s="113"/>
      <c r="S185" s="117" t="str">
        <f t="shared" si="26"/>
        <v>N</v>
      </c>
      <c r="T185" s="114">
        <f>IFERROR(SUMIF('Current NLData'!A:A,'Payment Changes'!G185,'Current NLData'!K:K)/COUNTIF('Current NLData'!A:A,'Payment Changes'!G185),0)+IFERROR(VLOOKUP(G185&amp;"-ALL",NLPaymentExport,10,FALSE),0)</f>
        <v>0</v>
      </c>
      <c r="U185" s="118" t="str">
        <f t="shared" si="27"/>
        <v/>
      </c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7.100000000000001" hidden="1" customHeight="1" outlineLevel="1" x14ac:dyDescent="0.25">
      <c r="A186" s="3"/>
      <c r="C186" s="4"/>
      <c r="D186" s="180" t="s">
        <v>91</v>
      </c>
      <c r="E186" s="91" t="str">
        <f t="shared" si="28"/>
        <v>Cleveland, OH</v>
      </c>
      <c r="F186" s="93" t="str">
        <f t="shared" si="29"/>
        <v>CP178</v>
      </c>
      <c r="G186" s="99" t="str">
        <f t="shared" si="32"/>
        <v>CP178-NEW DONOR -1st</v>
      </c>
      <c r="H186" s="182" t="s">
        <v>36</v>
      </c>
      <c r="I186" s="33" t="s">
        <v>37</v>
      </c>
      <c r="J186" s="60">
        <v>65</v>
      </c>
      <c r="K186" s="61">
        <v>60</v>
      </c>
      <c r="L186" s="60">
        <v>55</v>
      </c>
      <c r="M186" s="60">
        <v>55</v>
      </c>
      <c r="N186" s="60">
        <v>55</v>
      </c>
      <c r="O186" s="60">
        <v>55</v>
      </c>
      <c r="P186" s="60">
        <v>55</v>
      </c>
      <c r="Q186" s="60">
        <v>55</v>
      </c>
      <c r="R186" s="23"/>
      <c r="S186" s="117" t="str">
        <f t="shared" si="26"/>
        <v>N</v>
      </c>
      <c r="T186" s="114">
        <f>IFERROR(SUMIF('Current NLData'!A:A,'Payment Changes'!G186,'Current NLData'!K:K)/COUNTIF('Current NLData'!A:A,'Payment Changes'!G186),0)+IFERROR(VLOOKUP(G186&amp;"-ALL",NLPaymentExport,10,FALSE),0)</f>
        <v>55</v>
      </c>
      <c r="U186" s="118">
        <f t="shared" si="27"/>
        <v>0</v>
      </c>
    </row>
    <row r="187" spans="1:54" ht="17.100000000000001" hidden="1" customHeight="1" outlineLevel="1" x14ac:dyDescent="0.25">
      <c r="A187" s="3"/>
      <c r="C187" s="4"/>
      <c r="D187" s="181"/>
      <c r="E187" s="91" t="str">
        <f t="shared" si="28"/>
        <v>Cleveland, OH</v>
      </c>
      <c r="F187" s="93" t="str">
        <f t="shared" si="29"/>
        <v>CP178</v>
      </c>
      <c r="G187" s="99" t="str">
        <f t="shared" si="32"/>
        <v>CP178-NEW DONOR -2nd</v>
      </c>
      <c r="H187" s="182"/>
      <c r="I187" s="34" t="s">
        <v>38</v>
      </c>
      <c r="J187" s="58">
        <v>65</v>
      </c>
      <c r="K187" s="62">
        <v>70</v>
      </c>
      <c r="L187" s="58">
        <v>55</v>
      </c>
      <c r="M187" s="58">
        <v>55</v>
      </c>
      <c r="N187" s="58">
        <v>55</v>
      </c>
      <c r="O187" s="58">
        <v>55</v>
      </c>
      <c r="P187" s="58">
        <v>55</v>
      </c>
      <c r="Q187" s="58">
        <v>55</v>
      </c>
      <c r="R187" s="23"/>
      <c r="S187" s="117" t="str">
        <f t="shared" si="26"/>
        <v>N</v>
      </c>
      <c r="T187" s="114">
        <f>IFERROR(SUMIF('Current NLData'!A:A,'Payment Changes'!G187,'Current NLData'!K:K)/COUNTIF('Current NLData'!A:A,'Payment Changes'!G187),0)+IFERROR(VLOOKUP(G187&amp;"-ALL",NLPaymentExport,10,FALSE),0)</f>
        <v>55</v>
      </c>
      <c r="U187" s="118">
        <f t="shared" si="27"/>
        <v>0</v>
      </c>
    </row>
    <row r="188" spans="1:54" ht="17.100000000000001" hidden="1" customHeight="1" outlineLevel="1" x14ac:dyDescent="0.25">
      <c r="A188" s="3"/>
      <c r="C188" s="4"/>
      <c r="D188" s="181"/>
      <c r="E188" s="91" t="str">
        <f t="shared" si="28"/>
        <v>Cleveland, OH</v>
      </c>
      <c r="F188" s="93" t="str">
        <f t="shared" si="29"/>
        <v>CP178</v>
      </c>
      <c r="G188" s="99" t="str">
        <f t="shared" si="32"/>
        <v>CP178-NEW DONOR -3rd</v>
      </c>
      <c r="H188" s="182"/>
      <c r="I188" s="34" t="s">
        <v>39</v>
      </c>
      <c r="J188" s="58">
        <v>65</v>
      </c>
      <c r="K188" s="62">
        <v>60</v>
      </c>
      <c r="L188" s="58">
        <v>55</v>
      </c>
      <c r="M188" s="58">
        <v>55</v>
      </c>
      <c r="N188" s="58">
        <v>55</v>
      </c>
      <c r="O188" s="58">
        <v>55</v>
      </c>
      <c r="P188" s="58">
        <v>55</v>
      </c>
      <c r="Q188" s="58">
        <v>55</v>
      </c>
      <c r="R188" s="23"/>
      <c r="S188" s="117" t="str">
        <f t="shared" si="26"/>
        <v>N</v>
      </c>
      <c r="T188" s="114">
        <f>IFERROR(SUMIF('Current NLData'!A:A,'Payment Changes'!G188,'Current NLData'!K:K)/COUNTIF('Current NLData'!A:A,'Payment Changes'!G188),0)+IFERROR(VLOOKUP(G188&amp;"-ALL",NLPaymentExport,10,FALSE),0)</f>
        <v>55</v>
      </c>
      <c r="U188" s="118">
        <f t="shared" si="27"/>
        <v>0</v>
      </c>
    </row>
    <row r="189" spans="1:54" ht="17.100000000000001" hidden="1" customHeight="1" outlineLevel="1" x14ac:dyDescent="0.25">
      <c r="A189" s="3"/>
      <c r="C189" s="4"/>
      <c r="D189" s="181"/>
      <c r="E189" s="91" t="str">
        <f t="shared" si="28"/>
        <v>Cleveland, OH</v>
      </c>
      <c r="F189" s="93" t="str">
        <f t="shared" si="29"/>
        <v>CP178</v>
      </c>
      <c r="G189" s="99" t="str">
        <f t="shared" si="32"/>
        <v>CP178-NEW DONOR -4th</v>
      </c>
      <c r="H189" s="182"/>
      <c r="I189" s="34" t="s">
        <v>40</v>
      </c>
      <c r="J189" s="58">
        <v>65</v>
      </c>
      <c r="K189" s="62">
        <v>70</v>
      </c>
      <c r="L189" s="58">
        <v>55</v>
      </c>
      <c r="M189" s="58">
        <v>55</v>
      </c>
      <c r="N189" s="58">
        <v>55</v>
      </c>
      <c r="O189" s="58">
        <v>55</v>
      </c>
      <c r="P189" s="58">
        <v>55</v>
      </c>
      <c r="Q189" s="58">
        <v>55</v>
      </c>
      <c r="R189" s="23"/>
      <c r="S189" s="117" t="str">
        <f t="shared" si="26"/>
        <v>N</v>
      </c>
      <c r="T189" s="114">
        <f>IFERROR(SUMIF('Current NLData'!A:A,'Payment Changes'!G189,'Current NLData'!K:K)/COUNTIF('Current NLData'!A:A,'Payment Changes'!G189),0)+IFERROR(VLOOKUP(G189&amp;"-ALL",NLPaymentExport,10,FALSE),0)</f>
        <v>55</v>
      </c>
      <c r="U189" s="118">
        <f t="shared" si="27"/>
        <v>0</v>
      </c>
    </row>
    <row r="190" spans="1:54" ht="17.100000000000001" hidden="1" customHeight="1" outlineLevel="1" x14ac:dyDescent="0.25">
      <c r="A190" s="3"/>
      <c r="C190" s="4"/>
      <c r="D190" s="181"/>
      <c r="E190" s="91" t="str">
        <f t="shared" si="28"/>
        <v>Cleveland, OH</v>
      </c>
      <c r="F190" s="93" t="str">
        <f t="shared" si="29"/>
        <v>CP178</v>
      </c>
      <c r="G190" s="99" t="str">
        <f t="shared" si="32"/>
        <v>CP178-NEW DONOR -5th</v>
      </c>
      <c r="H190" s="182"/>
      <c r="I190" s="34" t="s">
        <v>41</v>
      </c>
      <c r="J190" s="58">
        <v>65</v>
      </c>
      <c r="K190" s="62">
        <v>60</v>
      </c>
      <c r="L190" s="58">
        <v>55</v>
      </c>
      <c r="M190" s="58">
        <v>55</v>
      </c>
      <c r="N190" s="58">
        <v>55</v>
      </c>
      <c r="O190" s="58">
        <v>55</v>
      </c>
      <c r="P190" s="58">
        <v>55</v>
      </c>
      <c r="Q190" s="58">
        <v>55</v>
      </c>
      <c r="R190" s="23"/>
      <c r="S190" s="117" t="str">
        <f t="shared" si="26"/>
        <v>N</v>
      </c>
      <c r="T190" s="114">
        <f>IFERROR(SUMIF('Current NLData'!A:A,'Payment Changes'!G190,'Current NLData'!K:K)/COUNTIF('Current NLData'!A:A,'Payment Changes'!G190),0)+IFERROR(VLOOKUP(G190&amp;"-ALL",NLPaymentExport,10,FALSE),0)</f>
        <v>55</v>
      </c>
      <c r="U190" s="118">
        <f t="shared" si="27"/>
        <v>0</v>
      </c>
    </row>
    <row r="191" spans="1:54" ht="17.100000000000001" hidden="1" customHeight="1" outlineLevel="1" x14ac:dyDescent="0.25">
      <c r="A191" s="3"/>
      <c r="C191" s="4"/>
      <c r="D191" s="181"/>
      <c r="E191" s="91" t="str">
        <f t="shared" si="28"/>
        <v>Cleveland, OH</v>
      </c>
      <c r="F191" s="93" t="str">
        <f t="shared" si="29"/>
        <v>CP178</v>
      </c>
      <c r="G191" s="99" t="str">
        <f t="shared" si="32"/>
        <v>CP178-NEW DONOR -6th</v>
      </c>
      <c r="H191" s="182"/>
      <c r="I191" s="34" t="s">
        <v>42</v>
      </c>
      <c r="J191" s="58">
        <v>65</v>
      </c>
      <c r="K191" s="62">
        <v>70</v>
      </c>
      <c r="L191" s="58">
        <v>55</v>
      </c>
      <c r="M191" s="58">
        <v>55</v>
      </c>
      <c r="N191" s="58">
        <v>55</v>
      </c>
      <c r="O191" s="58">
        <v>55</v>
      </c>
      <c r="P191" s="58">
        <v>55</v>
      </c>
      <c r="Q191" s="58">
        <v>55</v>
      </c>
      <c r="R191" s="23"/>
      <c r="S191" s="117" t="str">
        <f t="shared" si="26"/>
        <v>N</v>
      </c>
      <c r="T191" s="114">
        <f>IFERROR(SUMIF('Current NLData'!A:A,'Payment Changes'!G191,'Current NLData'!K:K)/COUNTIF('Current NLData'!A:A,'Payment Changes'!G191),0)+IFERROR(VLOOKUP(G191&amp;"-ALL",NLPaymentExport,10,FALSE),0)</f>
        <v>55</v>
      </c>
      <c r="U191" s="118">
        <f t="shared" si="27"/>
        <v>0</v>
      </c>
    </row>
    <row r="192" spans="1:54" ht="17.100000000000001" hidden="1" customHeight="1" outlineLevel="1" x14ac:dyDescent="0.25">
      <c r="A192" s="3"/>
      <c r="C192" s="4"/>
      <c r="D192" s="181"/>
      <c r="E192" s="91" t="str">
        <f t="shared" si="28"/>
        <v>Cleveland, OH</v>
      </c>
      <c r="F192" s="93" t="str">
        <f t="shared" si="29"/>
        <v>CP178</v>
      </c>
      <c r="G192" s="99" t="str">
        <f t="shared" si="32"/>
        <v>CP178-NEW DONOR -7th</v>
      </c>
      <c r="H192" s="182"/>
      <c r="I192" s="34" t="s">
        <v>43</v>
      </c>
      <c r="J192" s="58">
        <v>65</v>
      </c>
      <c r="K192" s="62">
        <v>60</v>
      </c>
      <c r="L192" s="58">
        <v>55</v>
      </c>
      <c r="M192" s="58">
        <v>55</v>
      </c>
      <c r="N192" s="58">
        <v>55</v>
      </c>
      <c r="O192" s="58">
        <v>55</v>
      </c>
      <c r="P192" s="58">
        <v>55</v>
      </c>
      <c r="Q192" s="58">
        <v>55</v>
      </c>
      <c r="R192" s="23"/>
      <c r="S192" s="117" t="str">
        <f t="shared" si="26"/>
        <v>N</v>
      </c>
      <c r="T192" s="114">
        <f>IFERROR(SUMIF('Current NLData'!A:A,'Payment Changes'!G192,'Current NLData'!K:K)/COUNTIF('Current NLData'!A:A,'Payment Changes'!G192),0)+IFERROR(VLOOKUP(G192&amp;"-ALL",NLPaymentExport,10,FALSE),0)</f>
        <v>55</v>
      </c>
      <c r="U192" s="118">
        <f t="shared" si="27"/>
        <v>0</v>
      </c>
    </row>
    <row r="193" spans="1:54" ht="17.100000000000001" hidden="1" customHeight="1" outlineLevel="1" x14ac:dyDescent="0.25">
      <c r="A193" s="3"/>
      <c r="C193" s="4"/>
      <c r="D193" s="181"/>
      <c r="E193" s="91" t="str">
        <f t="shared" si="28"/>
        <v>Cleveland, OH</v>
      </c>
      <c r="F193" s="93" t="str">
        <f t="shared" si="29"/>
        <v>CP178</v>
      </c>
      <c r="G193" s="99" t="str">
        <f t="shared" si="32"/>
        <v>CP178-NEW DONOR -8th</v>
      </c>
      <c r="H193" s="182"/>
      <c r="I193" s="35" t="s">
        <v>44</v>
      </c>
      <c r="J193" s="63">
        <v>65</v>
      </c>
      <c r="K193" s="64">
        <v>70</v>
      </c>
      <c r="L193" s="63">
        <v>55</v>
      </c>
      <c r="M193" s="63">
        <v>55</v>
      </c>
      <c r="N193" s="63">
        <v>55</v>
      </c>
      <c r="O193" s="63">
        <v>55</v>
      </c>
      <c r="P193" s="63">
        <v>55</v>
      </c>
      <c r="Q193" s="63">
        <v>55</v>
      </c>
      <c r="R193" s="23"/>
      <c r="S193" s="117" t="str">
        <f t="shared" si="26"/>
        <v>N</v>
      </c>
      <c r="T193" s="114">
        <f>IFERROR(SUMIF('Current NLData'!A:A,'Payment Changes'!G193,'Current NLData'!K:K)/COUNTIF('Current NLData'!A:A,'Payment Changes'!G193),0)+IFERROR(VLOOKUP(G193&amp;"-ALL",NLPaymentExport,10,FALSE),0)</f>
        <v>55</v>
      </c>
      <c r="U193" s="118">
        <f t="shared" si="27"/>
        <v>0</v>
      </c>
    </row>
    <row r="194" spans="1:54" ht="17.100000000000001" hidden="1" customHeight="1" outlineLevel="1" x14ac:dyDescent="0.25">
      <c r="A194" s="3"/>
      <c r="C194" s="4"/>
      <c r="D194" s="181"/>
      <c r="E194" s="91" t="str">
        <f t="shared" si="28"/>
        <v>Cleveland, OH</v>
      </c>
      <c r="F194" s="93" t="str">
        <f t="shared" si="29"/>
        <v>CP178</v>
      </c>
      <c r="G194" s="99" t="str">
        <f t="shared" si="32"/>
        <v>CP178-RETURN - 1st don of the week -STD</v>
      </c>
      <c r="H194" s="182"/>
      <c r="I194" s="36" t="s">
        <v>45</v>
      </c>
      <c r="J194" s="58">
        <v>65</v>
      </c>
      <c r="K194" s="62">
        <v>60</v>
      </c>
      <c r="L194" s="58">
        <v>55</v>
      </c>
      <c r="M194" s="58">
        <v>55</v>
      </c>
      <c r="N194" s="58">
        <v>55</v>
      </c>
      <c r="O194" s="58">
        <v>55</v>
      </c>
      <c r="P194" s="58">
        <v>55</v>
      </c>
      <c r="Q194" s="58">
        <v>55</v>
      </c>
      <c r="R194" s="23"/>
      <c r="S194" s="117" t="str">
        <f t="shared" si="26"/>
        <v>N</v>
      </c>
      <c r="T194" s="114">
        <f>IFERROR(SUMIF('Current NLData'!A:A,'Payment Changes'!G194,'Current NLData'!K:K)/COUNTIF('Current NLData'!A:A,'Payment Changes'!G194),0)+IFERROR(VLOOKUP(G194&amp;"-ALL",NLPaymentExport,10,FALSE),0)</f>
        <v>55</v>
      </c>
      <c r="U194" s="118">
        <f t="shared" si="27"/>
        <v>0</v>
      </c>
    </row>
    <row r="195" spans="1:54" ht="17.100000000000001" hidden="1" customHeight="1" outlineLevel="1" x14ac:dyDescent="0.25">
      <c r="A195" s="3"/>
      <c r="C195" s="4"/>
      <c r="D195" s="181"/>
      <c r="E195" s="91" t="str">
        <f t="shared" si="28"/>
        <v>Cleveland, OH</v>
      </c>
      <c r="F195" s="93" t="str">
        <f t="shared" si="29"/>
        <v>CP178</v>
      </c>
      <c r="G195" s="99" t="str">
        <f t="shared" si="32"/>
        <v>CP178-RETURN - 2nd don of the week -BONUS</v>
      </c>
      <c r="H195" s="182"/>
      <c r="I195" s="36" t="s">
        <v>46</v>
      </c>
      <c r="J195" s="58">
        <v>10</v>
      </c>
      <c r="K195" s="58">
        <v>10</v>
      </c>
      <c r="L195" s="58">
        <v>10</v>
      </c>
      <c r="M195" s="58">
        <v>10</v>
      </c>
      <c r="N195" s="58">
        <v>10</v>
      </c>
      <c r="O195" s="58">
        <v>10</v>
      </c>
      <c r="P195" s="58">
        <v>10</v>
      </c>
      <c r="Q195" s="58">
        <v>10</v>
      </c>
      <c r="R195" s="22"/>
      <c r="S195" s="117" t="str">
        <f t="shared" ref="S195:S258" si="33">IF(P195=Q195,"N","Y")</f>
        <v>N</v>
      </c>
      <c r="T195" s="114">
        <f>IFERROR(SUMIF('Current NLData'!A:A,'Payment Changes'!G195,'Current NLData'!K:K)/COUNTIF('Current NLData'!A:A,'Payment Changes'!G195),0)+IFERROR(VLOOKUP(G195&amp;"-ALL",NLPaymentExport,10,FALSE),0)</f>
        <v>10</v>
      </c>
      <c r="U195" s="118">
        <f t="shared" si="27"/>
        <v>0</v>
      </c>
    </row>
    <row r="196" spans="1:54" ht="17.100000000000001" hidden="1" customHeight="1" outlineLevel="1" x14ac:dyDescent="0.25">
      <c r="A196" s="3"/>
      <c r="C196" s="4"/>
      <c r="D196" s="181"/>
      <c r="E196" s="91" t="str">
        <f t="shared" si="28"/>
        <v>Cleveland, OH</v>
      </c>
      <c r="F196" s="93" t="str">
        <f t="shared" si="29"/>
        <v>CP178</v>
      </c>
      <c r="G196" s="99" t="str">
        <f t="shared" si="32"/>
        <v>CP178-RETURN - 5th don of the month -BONUS</v>
      </c>
      <c r="H196" s="182"/>
      <c r="I196" s="37" t="s">
        <v>47</v>
      </c>
      <c r="J196" s="65">
        <v>0</v>
      </c>
      <c r="K196" s="65">
        <v>0</v>
      </c>
      <c r="L196" s="65">
        <v>0</v>
      </c>
      <c r="M196" s="65">
        <v>0</v>
      </c>
      <c r="N196" s="65">
        <v>0</v>
      </c>
      <c r="O196" s="65">
        <v>0</v>
      </c>
      <c r="P196" s="65">
        <v>0</v>
      </c>
      <c r="Q196" s="65">
        <v>0</v>
      </c>
      <c r="R196" s="22"/>
      <c r="S196" s="117" t="str">
        <f t="shared" si="33"/>
        <v>N</v>
      </c>
      <c r="T196" s="114">
        <f>IFERROR(SUMIF('Current NLData'!A:A,'Payment Changes'!G196,'Current NLData'!K:K)/COUNTIF('Current NLData'!A:A,'Payment Changes'!G196),0)+IFERROR(VLOOKUP(G196&amp;"-ALL",NLPaymentExport,10,FALSE),0)</f>
        <v>0</v>
      </c>
      <c r="U196" s="118">
        <f t="shared" si="27"/>
        <v>0</v>
      </c>
    </row>
    <row r="197" spans="1:54" ht="17.100000000000001" hidden="1" customHeight="1" outlineLevel="1" x14ac:dyDescent="0.25">
      <c r="A197" s="3"/>
      <c r="C197" s="4"/>
      <c r="D197" s="181"/>
      <c r="E197" s="91" t="str">
        <f t="shared" si="28"/>
        <v>Cleveland, OH</v>
      </c>
      <c r="F197" s="93" t="str">
        <f t="shared" si="29"/>
        <v>CP178</v>
      </c>
      <c r="G197" s="99" t="str">
        <f t="shared" si="32"/>
        <v>CP178-RETURN - 6th don of the month -BONUS</v>
      </c>
      <c r="H197" s="182"/>
      <c r="I197" s="38" t="s">
        <v>48</v>
      </c>
      <c r="J197" s="58">
        <v>0</v>
      </c>
      <c r="K197" s="58">
        <v>0</v>
      </c>
      <c r="L197" s="58">
        <v>0</v>
      </c>
      <c r="M197" s="58">
        <v>0</v>
      </c>
      <c r="N197" s="58">
        <v>0</v>
      </c>
      <c r="O197" s="58">
        <v>0</v>
      </c>
      <c r="P197" s="58">
        <v>0</v>
      </c>
      <c r="Q197" s="58">
        <v>0</v>
      </c>
      <c r="R197" s="22"/>
      <c r="S197" s="117" t="str">
        <f t="shared" si="33"/>
        <v>N</v>
      </c>
      <c r="T197" s="114">
        <f>IFERROR(SUMIF('Current NLData'!A:A,'Payment Changes'!G197,'Current NLData'!K:K)/COUNTIF('Current NLData'!A:A,'Payment Changes'!G197),0)+IFERROR(VLOOKUP(G197&amp;"-ALL",NLPaymentExport,10,FALSE),0)</f>
        <v>0</v>
      </c>
      <c r="U197" s="118">
        <f t="shared" si="27"/>
        <v>0</v>
      </c>
    </row>
    <row r="198" spans="1:54" ht="17.100000000000001" hidden="1" customHeight="1" outlineLevel="1" x14ac:dyDescent="0.25">
      <c r="A198" s="3"/>
      <c r="C198" s="4"/>
      <c r="D198" s="181"/>
      <c r="E198" s="91" t="str">
        <f t="shared" si="28"/>
        <v>Cleveland, OH</v>
      </c>
      <c r="F198" s="93" t="str">
        <f t="shared" si="29"/>
        <v>CP178</v>
      </c>
      <c r="G198" s="99" t="str">
        <f t="shared" si="32"/>
        <v>CP178-RETURN - 7th don of the month -BONUS</v>
      </c>
      <c r="H198" s="182"/>
      <c r="I198" s="38" t="s">
        <v>49</v>
      </c>
      <c r="J198" s="58">
        <v>0</v>
      </c>
      <c r="K198" s="58">
        <v>0</v>
      </c>
      <c r="L198" s="58">
        <v>0</v>
      </c>
      <c r="M198" s="58">
        <v>0</v>
      </c>
      <c r="N198" s="58">
        <v>0</v>
      </c>
      <c r="O198" s="58">
        <v>0</v>
      </c>
      <c r="P198" s="58">
        <v>0</v>
      </c>
      <c r="Q198" s="58">
        <v>0</v>
      </c>
      <c r="R198" s="22"/>
      <c r="S198" s="117" t="str">
        <f t="shared" si="33"/>
        <v>N</v>
      </c>
      <c r="T198" s="114">
        <f>IFERROR(SUMIF('Current NLData'!A:A,'Payment Changes'!G198,'Current NLData'!K:K)/COUNTIF('Current NLData'!A:A,'Payment Changes'!G198),0)+IFERROR(VLOOKUP(G198&amp;"-ALL",NLPaymentExport,10,FALSE),0)</f>
        <v>0</v>
      </c>
      <c r="U198" s="118">
        <f t="shared" si="27"/>
        <v>0</v>
      </c>
    </row>
    <row r="199" spans="1:54" ht="17.100000000000001" hidden="1" customHeight="1" outlineLevel="1" x14ac:dyDescent="0.25">
      <c r="A199" s="3"/>
      <c r="C199" s="4"/>
      <c r="D199" s="181"/>
      <c r="E199" s="91" t="str">
        <f t="shared" si="28"/>
        <v>Cleveland, OH</v>
      </c>
      <c r="F199" s="93" t="str">
        <f t="shared" si="29"/>
        <v>CP178</v>
      </c>
      <c r="G199" s="99" t="str">
        <f t="shared" si="32"/>
        <v>CP178-RETURN - 8th don of the month -BONUS</v>
      </c>
      <c r="H199" s="182"/>
      <c r="I199" s="38" t="s">
        <v>50</v>
      </c>
      <c r="J199" s="58">
        <v>25</v>
      </c>
      <c r="K199" s="58">
        <v>25</v>
      </c>
      <c r="L199" s="58">
        <v>0</v>
      </c>
      <c r="M199" s="58">
        <v>0</v>
      </c>
      <c r="N199" s="58">
        <v>0</v>
      </c>
      <c r="O199" s="58">
        <v>0</v>
      </c>
      <c r="P199" s="58">
        <v>0</v>
      </c>
      <c r="Q199" s="58">
        <v>0</v>
      </c>
      <c r="R199" s="22"/>
      <c r="S199" s="117" t="str">
        <f t="shared" si="33"/>
        <v>N</v>
      </c>
      <c r="T199" s="114">
        <f>IFERROR(SUMIF('Current NLData'!A:A,'Payment Changes'!G199,'Current NLData'!K:K)/COUNTIF('Current NLData'!A:A,'Payment Changes'!G199),0)+IFERROR(VLOOKUP(G199&amp;"-ALL",NLPaymentExport,10,FALSE),0)</f>
        <v>0</v>
      </c>
      <c r="U199" s="118">
        <f t="shared" ref="U199:U262" si="34">IF(OR(I199 = "New Donor", I199="Return Donor", I199="Retention Bonus", I199="Referral", I199 = ""),"",T199-Q199 )</f>
        <v>0</v>
      </c>
    </row>
    <row r="200" spans="1:54" ht="17.100000000000001" hidden="1" customHeight="1" outlineLevel="1" x14ac:dyDescent="0.25">
      <c r="A200" s="3"/>
      <c r="C200" s="4" t="str">
        <f>IF(J200=0,"Warning","")</f>
        <v/>
      </c>
      <c r="D200" s="181"/>
      <c r="E200" s="91" t="str">
        <f t="shared" si="28"/>
        <v>Cleveland, OH</v>
      </c>
      <c r="F200" s="93" t="str">
        <f t="shared" si="29"/>
        <v>CP178</v>
      </c>
      <c r="G200" s="99" t="str">
        <f t="shared" si="32"/>
        <v>CP178-RETURN - Buddy referral  -BONUS</v>
      </c>
      <c r="H200" s="182"/>
      <c r="I200" s="39" t="s">
        <v>51</v>
      </c>
      <c r="J200" s="58">
        <v>50</v>
      </c>
      <c r="K200" s="58">
        <v>50</v>
      </c>
      <c r="L200" s="58">
        <v>0</v>
      </c>
      <c r="M200" s="58">
        <v>0</v>
      </c>
      <c r="N200" s="58">
        <v>0</v>
      </c>
      <c r="O200" s="58">
        <v>0</v>
      </c>
      <c r="P200" s="58">
        <v>0</v>
      </c>
      <c r="Q200" s="58">
        <v>0</v>
      </c>
      <c r="R200" s="22"/>
      <c r="S200" s="117" t="str">
        <f t="shared" si="33"/>
        <v>N</v>
      </c>
      <c r="T200" s="114">
        <f>IFERROR(SUMIF('Current NLData'!A:A,'Payment Changes'!G200,'Current NLData'!K:K)/COUNTIF('Current NLData'!A:A,'Payment Changes'!G200),0)+IFERROR(VLOOKUP(G200&amp;"-ALL",NLPaymentExport,10,FALSE),0)</f>
        <v>0</v>
      </c>
      <c r="U200" s="118">
        <f t="shared" si="34"/>
        <v>0</v>
      </c>
    </row>
    <row r="201" spans="1:54" s="90" customFormat="1" ht="17.100000000000001" hidden="1" customHeight="1" collapsed="1" x14ac:dyDescent="0.35">
      <c r="A201" s="85"/>
      <c r="B201" s="85"/>
      <c r="C201" s="86"/>
      <c r="D201" s="87"/>
      <c r="E201" s="87"/>
      <c r="F201" s="87"/>
      <c r="G201" s="87"/>
      <c r="H201" s="96"/>
      <c r="I201" s="88"/>
      <c r="J201" s="89"/>
      <c r="K201" s="89"/>
      <c r="L201" s="89"/>
      <c r="M201" s="89"/>
      <c r="N201" s="89"/>
      <c r="O201" s="89"/>
      <c r="P201" s="89"/>
      <c r="Q201" s="89"/>
      <c r="R201" s="21"/>
      <c r="S201" s="117" t="str">
        <f t="shared" si="33"/>
        <v>N</v>
      </c>
      <c r="T201" s="114">
        <f>IFERROR(SUMIF('Current NLData'!A:A,'Payment Changes'!G201,'Current NLData'!K:K)/COUNTIF('Current NLData'!A:A,'Payment Changes'!G201),0)+IFERROR(VLOOKUP(G201&amp;"-ALL",NLPaymentExport,10,FALSE),0)</f>
        <v>0</v>
      </c>
      <c r="U201" s="118" t="str">
        <f t="shared" si="34"/>
        <v/>
      </c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s="10" customFormat="1" ht="17.100000000000001" hidden="1" customHeight="1" x14ac:dyDescent="0.25">
      <c r="A202" s="165">
        <v>11</v>
      </c>
      <c r="B202" s="168" t="s">
        <v>92</v>
      </c>
      <c r="C202" s="171" t="s">
        <v>19</v>
      </c>
      <c r="D202" s="174" t="s">
        <v>57</v>
      </c>
      <c r="E202" s="106" t="str">
        <f t="shared" ref="E202:E264" si="35">IF(B202 = "",E201,B202)</f>
        <v>Orlando</v>
      </c>
      <c r="F202" s="107" t="s">
        <v>93</v>
      </c>
      <c r="G202" s="108" t="str">
        <f t="shared" ref="G202:G220" si="36">F202&amp;"-"&amp;I202</f>
        <v>CP961-New Donor</v>
      </c>
      <c r="H202" s="177" t="s">
        <v>75</v>
      </c>
      <c r="I202" s="76" t="s">
        <v>23</v>
      </c>
      <c r="J202" s="40" t="s">
        <v>94</v>
      </c>
      <c r="K202" s="41" t="s">
        <v>25</v>
      </c>
      <c r="L202" s="41" t="s">
        <v>26</v>
      </c>
      <c r="M202" s="119" t="s">
        <v>24</v>
      </c>
      <c r="N202" s="139" t="s">
        <v>24</v>
      </c>
      <c r="O202" s="139" t="s">
        <v>24</v>
      </c>
      <c r="P202" s="139" t="s">
        <v>24</v>
      </c>
      <c r="Q202" s="139" t="s">
        <v>24</v>
      </c>
      <c r="R202" s="109"/>
      <c r="S202" s="117" t="str">
        <f t="shared" si="33"/>
        <v>N</v>
      </c>
      <c r="T202" s="114">
        <f>IFERROR(SUMIF('Current NLData'!A:A,'Payment Changes'!G202,'Current NLData'!K:K)/COUNTIF('Current NLData'!A:A,'Payment Changes'!G202),0)+IFERROR(VLOOKUP(G202&amp;"-ALL",NLPaymentExport,10,FALSE),0)</f>
        <v>0</v>
      </c>
      <c r="U202" s="118" t="str">
        <f t="shared" si="34"/>
        <v/>
      </c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7.100000000000001" hidden="1" customHeight="1" x14ac:dyDescent="0.25">
      <c r="A203" s="166"/>
      <c r="B203" s="169"/>
      <c r="C203" s="172"/>
      <c r="D203" s="175"/>
      <c r="E203" s="91" t="str">
        <f t="shared" si="35"/>
        <v>Orlando</v>
      </c>
      <c r="F203" s="92" t="s">
        <v>93</v>
      </c>
      <c r="G203" s="98" t="str">
        <f t="shared" si="36"/>
        <v>CP961-Return Donor</v>
      </c>
      <c r="H203" s="178"/>
      <c r="I203" s="77" t="s">
        <v>29</v>
      </c>
      <c r="J203" s="43" t="s">
        <v>94</v>
      </c>
      <c r="K203" s="43" t="s">
        <v>24</v>
      </c>
      <c r="L203" s="44" t="s">
        <v>26</v>
      </c>
      <c r="M203" s="120" t="s">
        <v>24</v>
      </c>
      <c r="N203" s="140" t="s">
        <v>24</v>
      </c>
      <c r="O203" s="140" t="s">
        <v>24</v>
      </c>
      <c r="P203" s="140" t="s">
        <v>24</v>
      </c>
      <c r="Q203" s="140" t="s">
        <v>24</v>
      </c>
      <c r="R203" s="21"/>
      <c r="S203" s="117" t="str">
        <f t="shared" si="33"/>
        <v>N</v>
      </c>
      <c r="T203" s="114">
        <f>IFERROR(SUMIF('Current NLData'!A:A,'Payment Changes'!G203,'Current NLData'!K:K)/COUNTIF('Current NLData'!A:A,'Payment Changes'!G203),0)+IFERROR(VLOOKUP(G203&amp;"-ALL",NLPaymentExport,10,FALSE),0)</f>
        <v>0</v>
      </c>
      <c r="U203" s="118" t="str">
        <f t="shared" si="34"/>
        <v/>
      </c>
    </row>
    <row r="204" spans="1:54" ht="17.100000000000001" hidden="1" customHeight="1" x14ac:dyDescent="0.25">
      <c r="A204" s="166"/>
      <c r="B204" s="169"/>
      <c r="C204" s="172"/>
      <c r="D204" s="175"/>
      <c r="E204" s="91" t="str">
        <f t="shared" si="35"/>
        <v>Orlando</v>
      </c>
      <c r="F204" s="92" t="s">
        <v>93</v>
      </c>
      <c r="G204" s="98" t="str">
        <f t="shared" si="36"/>
        <v>CP961-Retention Bonus</v>
      </c>
      <c r="H204" s="178"/>
      <c r="I204" s="78" t="s">
        <v>30</v>
      </c>
      <c r="J204" s="46" t="s">
        <v>31</v>
      </c>
      <c r="K204" s="46" t="s">
        <v>31</v>
      </c>
      <c r="L204" s="47" t="s">
        <v>32</v>
      </c>
      <c r="M204" s="121" t="s">
        <v>33</v>
      </c>
      <c r="N204" s="137" t="s">
        <v>33</v>
      </c>
      <c r="O204" s="137" t="s">
        <v>33</v>
      </c>
      <c r="P204" s="137" t="s">
        <v>33</v>
      </c>
      <c r="Q204" s="137" t="s">
        <v>33</v>
      </c>
      <c r="R204" s="21"/>
      <c r="S204" s="117" t="str">
        <f t="shared" si="33"/>
        <v>N</v>
      </c>
      <c r="T204" s="114">
        <f>IFERROR(SUMIF('Current NLData'!A:A,'Payment Changes'!G204,'Current NLData'!K:K)/COUNTIF('Current NLData'!A:A,'Payment Changes'!G204),0)+IFERROR(VLOOKUP(G204&amp;"-ALL",NLPaymentExport,10,FALSE),0)</f>
        <v>0</v>
      </c>
      <c r="U204" s="118" t="str">
        <f t="shared" si="34"/>
        <v/>
      </c>
    </row>
    <row r="205" spans="1:54" s="15" customFormat="1" ht="17.100000000000001" hidden="1" customHeight="1" x14ac:dyDescent="0.25">
      <c r="A205" s="167"/>
      <c r="B205" s="170"/>
      <c r="C205" s="173"/>
      <c r="D205" s="176"/>
      <c r="E205" s="110" t="str">
        <f t="shared" si="35"/>
        <v>Orlando</v>
      </c>
      <c r="F205" s="111" t="s">
        <v>93</v>
      </c>
      <c r="G205" s="112" t="str">
        <f t="shared" si="36"/>
        <v>CP961-Referral</v>
      </c>
      <c r="H205" s="179"/>
      <c r="I205" s="79" t="s">
        <v>34</v>
      </c>
      <c r="J205" s="49">
        <v>50</v>
      </c>
      <c r="K205" s="49">
        <v>50</v>
      </c>
      <c r="L205" s="50" t="s">
        <v>32</v>
      </c>
      <c r="M205" s="122" t="s">
        <v>35</v>
      </c>
      <c r="N205" s="138" t="s">
        <v>35</v>
      </c>
      <c r="O205" s="138" t="s">
        <v>35</v>
      </c>
      <c r="P205" s="138" t="s">
        <v>35</v>
      </c>
      <c r="Q205" s="138" t="s">
        <v>35</v>
      </c>
      <c r="R205" s="113"/>
      <c r="S205" s="117" t="str">
        <f t="shared" si="33"/>
        <v>N</v>
      </c>
      <c r="T205" s="114">
        <f>IFERROR(SUMIF('Current NLData'!A:A,'Payment Changes'!G205,'Current NLData'!K:K)/COUNTIF('Current NLData'!A:A,'Payment Changes'!G205),0)+IFERROR(VLOOKUP(G205&amp;"-ALL",NLPaymentExport,10,FALSE),0)</f>
        <v>0</v>
      </c>
      <c r="U205" s="118" t="str">
        <f t="shared" si="34"/>
        <v/>
      </c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7.100000000000001" hidden="1" customHeight="1" outlineLevel="1" x14ac:dyDescent="0.25">
      <c r="A206" s="3"/>
      <c r="C206" s="4"/>
      <c r="D206" s="180" t="s">
        <v>93</v>
      </c>
      <c r="E206" s="91" t="str">
        <f t="shared" si="35"/>
        <v>Orlando</v>
      </c>
      <c r="F206" s="93" t="str">
        <f t="shared" ref="F206:F260" si="37">IF(D206 = "",F205,D206)</f>
        <v>CP961</v>
      </c>
      <c r="G206" s="99" t="str">
        <f t="shared" si="36"/>
        <v>CP961-NEW DONOR -1st</v>
      </c>
      <c r="H206" s="182" t="s">
        <v>36</v>
      </c>
      <c r="I206" s="33" t="s">
        <v>37</v>
      </c>
      <c r="J206" s="60">
        <v>60</v>
      </c>
      <c r="K206" s="61">
        <v>60</v>
      </c>
      <c r="L206" s="60">
        <v>60</v>
      </c>
      <c r="M206" s="60">
        <v>60</v>
      </c>
      <c r="N206" s="60">
        <v>60</v>
      </c>
      <c r="O206" s="60">
        <v>60</v>
      </c>
      <c r="P206" s="60">
        <v>60</v>
      </c>
      <c r="Q206" s="60">
        <v>60</v>
      </c>
      <c r="R206" s="23"/>
      <c r="S206" s="117" t="str">
        <f t="shared" si="33"/>
        <v>N</v>
      </c>
      <c r="T206" s="114">
        <f>IFERROR(SUMIF('Current NLData'!A:A,'Payment Changes'!G206,'Current NLData'!K:K)/COUNTIF('Current NLData'!A:A,'Payment Changes'!G206),0)+IFERROR(VLOOKUP(G206&amp;"-ALL",NLPaymentExport,10,FALSE),0)</f>
        <v>60</v>
      </c>
      <c r="U206" s="118">
        <f t="shared" si="34"/>
        <v>0</v>
      </c>
    </row>
    <row r="207" spans="1:54" ht="17.100000000000001" hidden="1" customHeight="1" outlineLevel="1" x14ac:dyDescent="0.25">
      <c r="A207" s="3"/>
      <c r="C207" s="4"/>
      <c r="D207" s="181"/>
      <c r="E207" s="91" t="str">
        <f t="shared" si="35"/>
        <v>Orlando</v>
      </c>
      <c r="F207" s="93" t="str">
        <f t="shared" si="37"/>
        <v>CP961</v>
      </c>
      <c r="G207" s="99" t="str">
        <f t="shared" si="36"/>
        <v>CP961-NEW DONOR -2nd</v>
      </c>
      <c r="H207" s="182"/>
      <c r="I207" s="34" t="s">
        <v>38</v>
      </c>
      <c r="J207" s="58">
        <v>60</v>
      </c>
      <c r="K207" s="62">
        <v>70</v>
      </c>
      <c r="L207" s="58">
        <v>60</v>
      </c>
      <c r="M207" s="58">
        <v>60</v>
      </c>
      <c r="N207" s="58">
        <v>60</v>
      </c>
      <c r="O207" s="58">
        <v>60</v>
      </c>
      <c r="P207" s="58">
        <v>60</v>
      </c>
      <c r="Q207" s="58">
        <v>60</v>
      </c>
      <c r="R207" s="23"/>
      <c r="S207" s="117" t="str">
        <f t="shared" si="33"/>
        <v>N</v>
      </c>
      <c r="T207" s="114">
        <f>IFERROR(SUMIF('Current NLData'!A:A,'Payment Changes'!G207,'Current NLData'!K:K)/COUNTIF('Current NLData'!A:A,'Payment Changes'!G207),0)+IFERROR(VLOOKUP(G207&amp;"-ALL",NLPaymentExport,10,FALSE),0)</f>
        <v>60</v>
      </c>
      <c r="U207" s="118">
        <f t="shared" si="34"/>
        <v>0</v>
      </c>
    </row>
    <row r="208" spans="1:54" ht="17.100000000000001" hidden="1" customHeight="1" outlineLevel="1" x14ac:dyDescent="0.25">
      <c r="A208" s="3"/>
      <c r="C208" s="4"/>
      <c r="D208" s="181"/>
      <c r="E208" s="91" t="str">
        <f t="shared" si="35"/>
        <v>Orlando</v>
      </c>
      <c r="F208" s="93" t="str">
        <f t="shared" si="37"/>
        <v>CP961</v>
      </c>
      <c r="G208" s="99" t="str">
        <f t="shared" si="36"/>
        <v>CP961-NEW DONOR -3rd</v>
      </c>
      <c r="H208" s="182"/>
      <c r="I208" s="34" t="s">
        <v>39</v>
      </c>
      <c r="J208" s="58">
        <v>60</v>
      </c>
      <c r="K208" s="62">
        <v>60</v>
      </c>
      <c r="L208" s="58">
        <v>60</v>
      </c>
      <c r="M208" s="58">
        <v>60</v>
      </c>
      <c r="N208" s="58">
        <v>60</v>
      </c>
      <c r="O208" s="58">
        <v>60</v>
      </c>
      <c r="P208" s="58">
        <v>60</v>
      </c>
      <c r="Q208" s="58">
        <v>60</v>
      </c>
      <c r="R208" s="23"/>
      <c r="S208" s="117" t="str">
        <f t="shared" si="33"/>
        <v>N</v>
      </c>
      <c r="T208" s="114">
        <f>IFERROR(SUMIF('Current NLData'!A:A,'Payment Changes'!G208,'Current NLData'!K:K)/COUNTIF('Current NLData'!A:A,'Payment Changes'!G208),0)+IFERROR(VLOOKUP(G208&amp;"-ALL",NLPaymentExport,10,FALSE),0)</f>
        <v>60</v>
      </c>
      <c r="U208" s="118">
        <f t="shared" si="34"/>
        <v>0</v>
      </c>
    </row>
    <row r="209" spans="1:54" ht="17.100000000000001" hidden="1" customHeight="1" outlineLevel="1" x14ac:dyDescent="0.25">
      <c r="A209" s="3"/>
      <c r="C209" s="4"/>
      <c r="D209" s="181"/>
      <c r="E209" s="91" t="str">
        <f t="shared" si="35"/>
        <v>Orlando</v>
      </c>
      <c r="F209" s="93" t="str">
        <f t="shared" si="37"/>
        <v>CP961</v>
      </c>
      <c r="G209" s="99" t="str">
        <f t="shared" si="36"/>
        <v>CP961-NEW DONOR -4th</v>
      </c>
      <c r="H209" s="182"/>
      <c r="I209" s="34" t="s">
        <v>40</v>
      </c>
      <c r="J209" s="58">
        <v>60</v>
      </c>
      <c r="K209" s="62">
        <v>70</v>
      </c>
      <c r="L209" s="58">
        <v>60</v>
      </c>
      <c r="M209" s="58">
        <v>60</v>
      </c>
      <c r="N209" s="58">
        <v>60</v>
      </c>
      <c r="O209" s="58">
        <v>60</v>
      </c>
      <c r="P209" s="58">
        <v>60</v>
      </c>
      <c r="Q209" s="58">
        <v>60</v>
      </c>
      <c r="R209" s="23"/>
      <c r="S209" s="117" t="str">
        <f t="shared" si="33"/>
        <v>N</v>
      </c>
      <c r="T209" s="114">
        <f>IFERROR(SUMIF('Current NLData'!A:A,'Payment Changes'!G209,'Current NLData'!K:K)/COUNTIF('Current NLData'!A:A,'Payment Changes'!G209),0)+IFERROR(VLOOKUP(G209&amp;"-ALL",NLPaymentExport,10,FALSE),0)</f>
        <v>60</v>
      </c>
      <c r="U209" s="118">
        <f t="shared" si="34"/>
        <v>0</v>
      </c>
    </row>
    <row r="210" spans="1:54" ht="17.100000000000001" hidden="1" customHeight="1" outlineLevel="1" x14ac:dyDescent="0.25">
      <c r="A210" s="3"/>
      <c r="C210" s="4"/>
      <c r="D210" s="181"/>
      <c r="E210" s="91" t="str">
        <f t="shared" si="35"/>
        <v>Orlando</v>
      </c>
      <c r="F210" s="93" t="str">
        <f t="shared" si="37"/>
        <v>CP961</v>
      </c>
      <c r="G210" s="99" t="str">
        <f t="shared" si="36"/>
        <v>CP961-NEW DONOR -5th</v>
      </c>
      <c r="H210" s="182"/>
      <c r="I210" s="34" t="s">
        <v>41</v>
      </c>
      <c r="J210" s="58">
        <v>60</v>
      </c>
      <c r="K210" s="62">
        <v>60</v>
      </c>
      <c r="L210" s="58">
        <v>60</v>
      </c>
      <c r="M210" s="58">
        <v>60</v>
      </c>
      <c r="N210" s="58">
        <v>60</v>
      </c>
      <c r="O210" s="58">
        <v>60</v>
      </c>
      <c r="P210" s="58">
        <v>60</v>
      </c>
      <c r="Q210" s="58">
        <v>60</v>
      </c>
      <c r="R210" s="23"/>
      <c r="S210" s="117" t="str">
        <f t="shared" si="33"/>
        <v>N</v>
      </c>
      <c r="T210" s="114">
        <f>IFERROR(SUMIF('Current NLData'!A:A,'Payment Changes'!G210,'Current NLData'!K:K)/COUNTIF('Current NLData'!A:A,'Payment Changes'!G210),0)+IFERROR(VLOOKUP(G210&amp;"-ALL",NLPaymentExport,10,FALSE),0)</f>
        <v>60</v>
      </c>
      <c r="U210" s="118">
        <f t="shared" si="34"/>
        <v>0</v>
      </c>
    </row>
    <row r="211" spans="1:54" ht="17.100000000000001" hidden="1" customHeight="1" outlineLevel="1" x14ac:dyDescent="0.25">
      <c r="A211" s="3"/>
      <c r="C211" s="4"/>
      <c r="D211" s="181"/>
      <c r="E211" s="91" t="str">
        <f t="shared" si="35"/>
        <v>Orlando</v>
      </c>
      <c r="F211" s="93" t="str">
        <f t="shared" si="37"/>
        <v>CP961</v>
      </c>
      <c r="G211" s="99" t="str">
        <f t="shared" si="36"/>
        <v>CP961-NEW DONOR -6th</v>
      </c>
      <c r="H211" s="182"/>
      <c r="I211" s="34" t="s">
        <v>42</v>
      </c>
      <c r="J211" s="58">
        <v>60</v>
      </c>
      <c r="K211" s="62">
        <v>70</v>
      </c>
      <c r="L211" s="58">
        <v>60</v>
      </c>
      <c r="M211" s="58">
        <v>60</v>
      </c>
      <c r="N211" s="58">
        <v>60</v>
      </c>
      <c r="O211" s="58">
        <v>60</v>
      </c>
      <c r="P211" s="58">
        <v>60</v>
      </c>
      <c r="Q211" s="58">
        <v>60</v>
      </c>
      <c r="R211" s="23"/>
      <c r="S211" s="117" t="str">
        <f t="shared" si="33"/>
        <v>N</v>
      </c>
      <c r="T211" s="114">
        <f>IFERROR(SUMIF('Current NLData'!A:A,'Payment Changes'!G211,'Current NLData'!K:K)/COUNTIF('Current NLData'!A:A,'Payment Changes'!G211),0)+IFERROR(VLOOKUP(G211&amp;"-ALL",NLPaymentExport,10,FALSE),0)</f>
        <v>60</v>
      </c>
      <c r="U211" s="118">
        <f t="shared" si="34"/>
        <v>0</v>
      </c>
    </row>
    <row r="212" spans="1:54" ht="17.100000000000001" hidden="1" customHeight="1" outlineLevel="1" x14ac:dyDescent="0.25">
      <c r="A212" s="3"/>
      <c r="C212" s="4"/>
      <c r="D212" s="181"/>
      <c r="E212" s="91" t="str">
        <f t="shared" si="35"/>
        <v>Orlando</v>
      </c>
      <c r="F212" s="93" t="str">
        <f t="shared" si="37"/>
        <v>CP961</v>
      </c>
      <c r="G212" s="99" t="str">
        <f t="shared" si="36"/>
        <v>CP961-NEW DONOR -7th</v>
      </c>
      <c r="H212" s="182"/>
      <c r="I212" s="34" t="s">
        <v>43</v>
      </c>
      <c r="J212" s="58">
        <v>60</v>
      </c>
      <c r="K212" s="62">
        <v>60</v>
      </c>
      <c r="L212" s="58">
        <v>60</v>
      </c>
      <c r="M212" s="58">
        <v>60</v>
      </c>
      <c r="N212" s="58">
        <v>60</v>
      </c>
      <c r="O212" s="58">
        <v>60</v>
      </c>
      <c r="P212" s="58">
        <v>60</v>
      </c>
      <c r="Q212" s="58">
        <v>60</v>
      </c>
      <c r="R212" s="23"/>
      <c r="S212" s="117" t="str">
        <f t="shared" si="33"/>
        <v>N</v>
      </c>
      <c r="T212" s="114">
        <f>IFERROR(SUMIF('Current NLData'!A:A,'Payment Changes'!G212,'Current NLData'!K:K)/COUNTIF('Current NLData'!A:A,'Payment Changes'!G212),0)+IFERROR(VLOOKUP(G212&amp;"-ALL",NLPaymentExport,10,FALSE),0)</f>
        <v>60</v>
      </c>
      <c r="U212" s="118">
        <f t="shared" si="34"/>
        <v>0</v>
      </c>
    </row>
    <row r="213" spans="1:54" ht="17.100000000000001" hidden="1" customHeight="1" outlineLevel="1" x14ac:dyDescent="0.25">
      <c r="A213" s="3"/>
      <c r="C213" s="4"/>
      <c r="D213" s="181"/>
      <c r="E213" s="91" t="str">
        <f t="shared" si="35"/>
        <v>Orlando</v>
      </c>
      <c r="F213" s="93" t="str">
        <f t="shared" si="37"/>
        <v>CP961</v>
      </c>
      <c r="G213" s="99" t="str">
        <f t="shared" si="36"/>
        <v>CP961-NEW DONOR -8th</v>
      </c>
      <c r="H213" s="182"/>
      <c r="I213" s="35" t="s">
        <v>44</v>
      </c>
      <c r="J213" s="63">
        <v>60</v>
      </c>
      <c r="K213" s="64">
        <v>70</v>
      </c>
      <c r="L213" s="63">
        <v>60</v>
      </c>
      <c r="M213" s="63">
        <v>60</v>
      </c>
      <c r="N213" s="63">
        <v>60</v>
      </c>
      <c r="O213" s="63">
        <v>60</v>
      </c>
      <c r="P213" s="63">
        <v>60</v>
      </c>
      <c r="Q213" s="63">
        <v>60</v>
      </c>
      <c r="R213" s="23"/>
      <c r="S213" s="117" t="str">
        <f t="shared" si="33"/>
        <v>N</v>
      </c>
      <c r="T213" s="114">
        <f>IFERROR(SUMIF('Current NLData'!A:A,'Payment Changes'!G213,'Current NLData'!K:K)/COUNTIF('Current NLData'!A:A,'Payment Changes'!G213),0)+IFERROR(VLOOKUP(G213&amp;"-ALL",NLPaymentExport,10,FALSE),0)</f>
        <v>60</v>
      </c>
      <c r="U213" s="118">
        <f t="shared" si="34"/>
        <v>0</v>
      </c>
    </row>
    <row r="214" spans="1:54" ht="17.100000000000001" hidden="1" customHeight="1" outlineLevel="1" x14ac:dyDescent="0.25">
      <c r="A214" s="3"/>
      <c r="C214" s="4"/>
      <c r="D214" s="181"/>
      <c r="E214" s="91" t="str">
        <f t="shared" si="35"/>
        <v>Orlando</v>
      </c>
      <c r="F214" s="93" t="str">
        <f t="shared" si="37"/>
        <v>CP961</v>
      </c>
      <c r="G214" s="99" t="str">
        <f t="shared" si="36"/>
        <v>CP961-RETURN - 1st don of the week -STD</v>
      </c>
      <c r="H214" s="182"/>
      <c r="I214" s="36" t="s">
        <v>45</v>
      </c>
      <c r="J214" s="58">
        <v>60</v>
      </c>
      <c r="K214" s="58">
        <v>60</v>
      </c>
      <c r="L214" s="58">
        <v>60</v>
      </c>
      <c r="M214" s="58">
        <v>60</v>
      </c>
      <c r="N214" s="58">
        <v>60</v>
      </c>
      <c r="O214" s="58">
        <v>60</v>
      </c>
      <c r="P214" s="58">
        <v>60</v>
      </c>
      <c r="Q214" s="58">
        <v>60</v>
      </c>
      <c r="R214" s="22"/>
      <c r="S214" s="117" t="str">
        <f t="shared" si="33"/>
        <v>N</v>
      </c>
      <c r="T214" s="114">
        <f>IFERROR(SUMIF('Current NLData'!A:A,'Payment Changes'!G214,'Current NLData'!K:K)/COUNTIF('Current NLData'!A:A,'Payment Changes'!G214),0)+IFERROR(VLOOKUP(G214&amp;"-ALL",NLPaymentExport,10,FALSE),0)</f>
        <v>60</v>
      </c>
      <c r="U214" s="118">
        <f t="shared" si="34"/>
        <v>0</v>
      </c>
    </row>
    <row r="215" spans="1:54" ht="17.100000000000001" hidden="1" customHeight="1" outlineLevel="1" x14ac:dyDescent="0.25">
      <c r="A215" s="3"/>
      <c r="C215" s="4"/>
      <c r="D215" s="181"/>
      <c r="E215" s="91" t="str">
        <f t="shared" si="35"/>
        <v>Orlando</v>
      </c>
      <c r="F215" s="93" t="str">
        <f t="shared" si="37"/>
        <v>CP961</v>
      </c>
      <c r="G215" s="99" t="str">
        <f t="shared" si="36"/>
        <v>CP961-RETURN - 2nd don of the week -BONUS</v>
      </c>
      <c r="H215" s="182"/>
      <c r="I215" s="36" t="s">
        <v>46</v>
      </c>
      <c r="J215" s="58">
        <v>15</v>
      </c>
      <c r="K215" s="62">
        <v>10</v>
      </c>
      <c r="L215" s="58">
        <v>5</v>
      </c>
      <c r="M215" s="58">
        <v>10</v>
      </c>
      <c r="N215" s="58">
        <v>10</v>
      </c>
      <c r="O215" s="58">
        <v>10</v>
      </c>
      <c r="P215" s="58">
        <v>10</v>
      </c>
      <c r="Q215" s="58">
        <v>10</v>
      </c>
      <c r="R215" s="23"/>
      <c r="S215" s="117" t="str">
        <f t="shared" si="33"/>
        <v>N</v>
      </c>
      <c r="T215" s="114">
        <f>IFERROR(SUMIF('Current NLData'!A:A,'Payment Changes'!G215,'Current NLData'!K:K)/COUNTIF('Current NLData'!A:A,'Payment Changes'!G215),0)+IFERROR(VLOOKUP(G215&amp;"-ALL",NLPaymentExport,10,FALSE),0)</f>
        <v>10</v>
      </c>
      <c r="U215" s="118">
        <f t="shared" si="34"/>
        <v>0</v>
      </c>
    </row>
    <row r="216" spans="1:54" ht="17.100000000000001" hidden="1" customHeight="1" outlineLevel="1" x14ac:dyDescent="0.25">
      <c r="A216" s="3"/>
      <c r="C216" s="4"/>
      <c r="D216" s="181"/>
      <c r="E216" s="91" t="str">
        <f t="shared" si="35"/>
        <v>Orlando</v>
      </c>
      <c r="F216" s="93" t="str">
        <f t="shared" si="37"/>
        <v>CP961</v>
      </c>
      <c r="G216" s="99" t="str">
        <f t="shared" si="36"/>
        <v>CP961-RETURN - 5th don of the month -BONUS</v>
      </c>
      <c r="H216" s="182"/>
      <c r="I216" s="37" t="s">
        <v>47</v>
      </c>
      <c r="J216" s="65">
        <v>0</v>
      </c>
      <c r="K216" s="65">
        <v>0</v>
      </c>
      <c r="L216" s="65">
        <v>0</v>
      </c>
      <c r="M216" s="65">
        <v>0</v>
      </c>
      <c r="N216" s="65">
        <v>0</v>
      </c>
      <c r="O216" s="65">
        <v>0</v>
      </c>
      <c r="P216" s="65">
        <v>0</v>
      </c>
      <c r="Q216" s="65">
        <v>0</v>
      </c>
      <c r="R216" s="22"/>
      <c r="S216" s="117" t="str">
        <f t="shared" si="33"/>
        <v>N</v>
      </c>
      <c r="T216" s="114">
        <f>IFERROR(SUMIF('Current NLData'!A:A,'Payment Changes'!G216,'Current NLData'!K:K)/COUNTIF('Current NLData'!A:A,'Payment Changes'!G216),0)+IFERROR(VLOOKUP(G216&amp;"-ALL",NLPaymentExport,10,FALSE),0)</f>
        <v>0</v>
      </c>
      <c r="U216" s="118">
        <f t="shared" si="34"/>
        <v>0</v>
      </c>
    </row>
    <row r="217" spans="1:54" ht="17.100000000000001" hidden="1" customHeight="1" outlineLevel="1" x14ac:dyDescent="0.25">
      <c r="A217" s="3"/>
      <c r="C217" s="4"/>
      <c r="D217" s="181"/>
      <c r="E217" s="91" t="str">
        <f t="shared" si="35"/>
        <v>Orlando</v>
      </c>
      <c r="F217" s="93" t="str">
        <f t="shared" si="37"/>
        <v>CP961</v>
      </c>
      <c r="G217" s="99" t="str">
        <f t="shared" si="36"/>
        <v>CP961-RETURN - 6th don of the month -BONUS</v>
      </c>
      <c r="H217" s="182"/>
      <c r="I217" s="38" t="s">
        <v>48</v>
      </c>
      <c r="J217" s="58">
        <v>0</v>
      </c>
      <c r="K217" s="58">
        <v>0</v>
      </c>
      <c r="L217" s="58">
        <v>0</v>
      </c>
      <c r="M217" s="58">
        <v>30</v>
      </c>
      <c r="N217" s="58">
        <v>30</v>
      </c>
      <c r="O217" s="58">
        <v>30</v>
      </c>
      <c r="P217" s="58">
        <v>30</v>
      </c>
      <c r="Q217" s="58">
        <v>30</v>
      </c>
      <c r="R217" s="22"/>
      <c r="S217" s="117" t="str">
        <f t="shared" si="33"/>
        <v>N</v>
      </c>
      <c r="T217" s="114">
        <f>IFERROR(SUMIF('Current NLData'!A:A,'Payment Changes'!G217,'Current NLData'!K:K)/COUNTIF('Current NLData'!A:A,'Payment Changes'!G217),0)+IFERROR(VLOOKUP(G217&amp;"-ALL",NLPaymentExport,10,FALSE),0)</f>
        <v>30</v>
      </c>
      <c r="U217" s="118">
        <f t="shared" si="34"/>
        <v>0</v>
      </c>
    </row>
    <row r="218" spans="1:54" ht="17.100000000000001" hidden="1" customHeight="1" outlineLevel="1" x14ac:dyDescent="0.25">
      <c r="A218" s="3"/>
      <c r="C218" s="4"/>
      <c r="D218" s="181"/>
      <c r="E218" s="91" t="str">
        <f t="shared" si="35"/>
        <v>Orlando</v>
      </c>
      <c r="F218" s="93" t="str">
        <f t="shared" si="37"/>
        <v>CP961</v>
      </c>
      <c r="G218" s="99" t="str">
        <f t="shared" si="36"/>
        <v>CP961-RETURN - 7th don of the month -BONUS</v>
      </c>
      <c r="H218" s="182"/>
      <c r="I218" s="38" t="s">
        <v>49</v>
      </c>
      <c r="J218" s="58">
        <v>0</v>
      </c>
      <c r="K218" s="58">
        <v>0</v>
      </c>
      <c r="L218" s="58">
        <v>0</v>
      </c>
      <c r="M218" s="58">
        <v>0</v>
      </c>
      <c r="N218" s="58">
        <v>0</v>
      </c>
      <c r="O218" s="58">
        <v>0</v>
      </c>
      <c r="P218" s="58">
        <v>0</v>
      </c>
      <c r="Q218" s="58">
        <v>0</v>
      </c>
      <c r="R218" s="22"/>
      <c r="S218" s="117" t="str">
        <f t="shared" si="33"/>
        <v>N</v>
      </c>
      <c r="T218" s="114">
        <f>IFERROR(SUMIF('Current NLData'!A:A,'Payment Changes'!G218,'Current NLData'!K:K)/COUNTIF('Current NLData'!A:A,'Payment Changes'!G218),0)+IFERROR(VLOOKUP(G218&amp;"-ALL",NLPaymentExport,10,FALSE),0)</f>
        <v>0</v>
      </c>
      <c r="U218" s="118">
        <f t="shared" si="34"/>
        <v>0</v>
      </c>
    </row>
    <row r="219" spans="1:54" ht="17.100000000000001" hidden="1" customHeight="1" outlineLevel="1" x14ac:dyDescent="0.25">
      <c r="A219" s="3"/>
      <c r="C219" s="4"/>
      <c r="D219" s="181"/>
      <c r="E219" s="91" t="str">
        <f t="shared" si="35"/>
        <v>Orlando</v>
      </c>
      <c r="F219" s="93" t="str">
        <f t="shared" si="37"/>
        <v>CP961</v>
      </c>
      <c r="G219" s="99" t="str">
        <f t="shared" si="36"/>
        <v>CP961-RETURN - 8th don of the month -BONUS</v>
      </c>
      <c r="H219" s="182"/>
      <c r="I219" s="38" t="s">
        <v>50</v>
      </c>
      <c r="J219" s="58">
        <v>25</v>
      </c>
      <c r="K219" s="58">
        <v>25</v>
      </c>
      <c r="L219" s="58">
        <v>0</v>
      </c>
      <c r="M219" s="58">
        <v>0</v>
      </c>
      <c r="N219" s="58">
        <v>0</v>
      </c>
      <c r="O219" s="58">
        <v>0</v>
      </c>
      <c r="P219" s="58">
        <v>0</v>
      </c>
      <c r="Q219" s="58">
        <v>0</v>
      </c>
      <c r="R219" s="22"/>
      <c r="S219" s="117" t="str">
        <f t="shared" si="33"/>
        <v>N</v>
      </c>
      <c r="T219" s="114">
        <f>IFERROR(SUMIF('Current NLData'!A:A,'Payment Changes'!G219,'Current NLData'!K:K)/COUNTIF('Current NLData'!A:A,'Payment Changes'!G219),0)+IFERROR(VLOOKUP(G219&amp;"-ALL",NLPaymentExport,10,FALSE),0)</f>
        <v>0</v>
      </c>
      <c r="U219" s="118">
        <f t="shared" si="34"/>
        <v>0</v>
      </c>
    </row>
    <row r="220" spans="1:54" ht="17.100000000000001" hidden="1" customHeight="1" outlineLevel="1" x14ac:dyDescent="0.25">
      <c r="A220" s="3"/>
      <c r="C220" s="4" t="str">
        <f>IF(J220=0,"Warning","")</f>
        <v/>
      </c>
      <c r="D220" s="181"/>
      <c r="E220" s="91" t="str">
        <f t="shared" si="35"/>
        <v>Orlando</v>
      </c>
      <c r="F220" s="93" t="str">
        <f t="shared" si="37"/>
        <v>CP961</v>
      </c>
      <c r="G220" s="99" t="str">
        <f t="shared" si="36"/>
        <v>CP961-RETURN - Buddy referral  -BONUS</v>
      </c>
      <c r="H220" s="182"/>
      <c r="I220" s="39" t="s">
        <v>51</v>
      </c>
      <c r="J220" s="58">
        <v>50</v>
      </c>
      <c r="K220" s="58">
        <v>50</v>
      </c>
      <c r="L220" s="58">
        <v>0</v>
      </c>
      <c r="M220" s="58">
        <v>50</v>
      </c>
      <c r="N220" s="58">
        <v>50</v>
      </c>
      <c r="O220" s="58">
        <v>50</v>
      </c>
      <c r="P220" s="58">
        <v>50</v>
      </c>
      <c r="Q220" s="58">
        <v>50</v>
      </c>
      <c r="R220" s="22"/>
      <c r="S220" s="117" t="str">
        <f t="shared" si="33"/>
        <v>N</v>
      </c>
      <c r="T220" s="114">
        <f>IFERROR(SUMIF('Current NLData'!A:A,'Payment Changes'!G220,'Current NLData'!K:K)/COUNTIF('Current NLData'!A:A,'Payment Changes'!G220),0)+IFERROR(VLOOKUP(G220&amp;"-ALL",NLPaymentExport,10,FALSE),0)</f>
        <v>50</v>
      </c>
      <c r="U220" s="118">
        <f t="shared" si="34"/>
        <v>0</v>
      </c>
    </row>
    <row r="221" spans="1:54" s="90" customFormat="1" ht="17.100000000000001" hidden="1" customHeight="1" collapsed="1" x14ac:dyDescent="0.35">
      <c r="A221" s="85"/>
      <c r="B221" s="85"/>
      <c r="C221" s="86"/>
      <c r="D221" s="87"/>
      <c r="E221" s="87"/>
      <c r="F221" s="87"/>
      <c r="G221" s="87"/>
      <c r="H221" s="96"/>
      <c r="I221" s="88"/>
      <c r="J221" s="89"/>
      <c r="K221" s="89"/>
      <c r="L221" s="89"/>
      <c r="M221" s="89"/>
      <c r="N221" s="89"/>
      <c r="O221" s="89"/>
      <c r="P221" s="89"/>
      <c r="Q221" s="89"/>
      <c r="R221" s="21"/>
      <c r="S221" s="117" t="str">
        <f t="shared" si="33"/>
        <v>N</v>
      </c>
      <c r="T221" s="114">
        <f>IFERROR(SUMIF('Current NLData'!A:A,'Payment Changes'!G221,'Current NLData'!K:K)/COUNTIF('Current NLData'!A:A,'Payment Changes'!G221),0)+IFERROR(VLOOKUP(G221&amp;"-ALL",NLPaymentExport,10,FALSE),0)</f>
        <v>0</v>
      </c>
      <c r="U221" s="118" t="str">
        <f t="shared" si="34"/>
        <v/>
      </c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s="10" customFormat="1" ht="17.100000000000001" hidden="1" customHeight="1" x14ac:dyDescent="0.25">
      <c r="A222" s="165">
        <v>12</v>
      </c>
      <c r="B222" s="168" t="s">
        <v>95</v>
      </c>
      <c r="C222" s="171" t="s">
        <v>19</v>
      </c>
      <c r="D222" s="174" t="s">
        <v>57</v>
      </c>
      <c r="E222" s="106" t="str">
        <f t="shared" si="35"/>
        <v>El Paso - Dyer</v>
      </c>
      <c r="F222" s="107" t="s">
        <v>96</v>
      </c>
      <c r="G222" s="108" t="str">
        <f t="shared" ref="G222:G240" si="38">F222&amp;"-"&amp;I222</f>
        <v>CP185-New Donor</v>
      </c>
      <c r="H222" s="177" t="s">
        <v>75</v>
      </c>
      <c r="I222" s="76" t="s">
        <v>23</v>
      </c>
      <c r="J222" s="40" t="s">
        <v>59</v>
      </c>
      <c r="K222" s="41" t="s">
        <v>97</v>
      </c>
      <c r="L222" s="41" t="s">
        <v>98</v>
      </c>
      <c r="M222" s="119" t="s">
        <v>87</v>
      </c>
      <c r="N222" s="139" t="s">
        <v>87</v>
      </c>
      <c r="O222" s="139" t="s">
        <v>87</v>
      </c>
      <c r="P222" s="139" t="s">
        <v>87</v>
      </c>
      <c r="Q222" s="139" t="s">
        <v>63</v>
      </c>
      <c r="R222" s="109"/>
      <c r="S222" s="117" t="str">
        <f t="shared" si="33"/>
        <v>Y</v>
      </c>
      <c r="T222" s="114">
        <f>IFERROR(SUMIF('Current NLData'!A:A,'Payment Changes'!G222,'Current NLData'!K:K)/COUNTIF('Current NLData'!A:A,'Payment Changes'!G222),0)+IFERROR(VLOOKUP(G222&amp;"-ALL",NLPaymentExport,10,FALSE),0)</f>
        <v>0</v>
      </c>
      <c r="U222" s="118" t="str">
        <f t="shared" si="34"/>
        <v/>
      </c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ht="17.100000000000001" hidden="1" customHeight="1" x14ac:dyDescent="0.25">
      <c r="A223" s="166"/>
      <c r="B223" s="169"/>
      <c r="C223" s="172"/>
      <c r="D223" s="175"/>
      <c r="E223" s="91" t="str">
        <f t="shared" si="35"/>
        <v>El Paso - Dyer</v>
      </c>
      <c r="F223" s="92" t="s">
        <v>96</v>
      </c>
      <c r="G223" s="98" t="str">
        <f t="shared" si="38"/>
        <v>CP185-Return Donor</v>
      </c>
      <c r="H223" s="178"/>
      <c r="I223" s="77" t="s">
        <v>29</v>
      </c>
      <c r="J223" s="43" t="s">
        <v>59</v>
      </c>
      <c r="K223" s="43" t="s">
        <v>99</v>
      </c>
      <c r="L223" s="44" t="s">
        <v>98</v>
      </c>
      <c r="M223" s="120" t="s">
        <v>87</v>
      </c>
      <c r="N223" s="140" t="s">
        <v>87</v>
      </c>
      <c r="O223" s="140" t="s">
        <v>87</v>
      </c>
      <c r="P223" s="140" t="s">
        <v>87</v>
      </c>
      <c r="Q223" s="140" t="s">
        <v>100</v>
      </c>
      <c r="R223" s="21"/>
      <c r="S223" s="117" t="str">
        <f t="shared" si="33"/>
        <v>Y</v>
      </c>
      <c r="T223" s="114">
        <f>IFERROR(SUMIF('Current NLData'!A:A,'Payment Changes'!G223,'Current NLData'!K:K)/COUNTIF('Current NLData'!A:A,'Payment Changes'!G223),0)+IFERROR(VLOOKUP(G223&amp;"-ALL",NLPaymentExport,10,FALSE),0)</f>
        <v>0</v>
      </c>
      <c r="U223" s="118" t="str">
        <f t="shared" si="34"/>
        <v/>
      </c>
    </row>
    <row r="224" spans="1:54" ht="17.100000000000001" hidden="1" customHeight="1" x14ac:dyDescent="0.25">
      <c r="A224" s="166"/>
      <c r="B224" s="169"/>
      <c r="C224" s="172"/>
      <c r="D224" s="175"/>
      <c r="E224" s="91" t="str">
        <f t="shared" si="35"/>
        <v>El Paso - Dyer</v>
      </c>
      <c r="F224" s="92" t="s">
        <v>96</v>
      </c>
      <c r="G224" s="98" t="str">
        <f t="shared" si="38"/>
        <v>CP185-Retention Bonus</v>
      </c>
      <c r="H224" s="178"/>
      <c r="I224" s="78" t="s">
        <v>30</v>
      </c>
      <c r="J224" s="46" t="s">
        <v>31</v>
      </c>
      <c r="K224" s="46" t="s">
        <v>31</v>
      </c>
      <c r="L224" s="47" t="s">
        <v>32</v>
      </c>
      <c r="M224" s="48" t="s">
        <v>32</v>
      </c>
      <c r="N224" s="46" t="s">
        <v>32</v>
      </c>
      <c r="O224" s="46" t="s">
        <v>32</v>
      </c>
      <c r="P224" s="46" t="s">
        <v>101</v>
      </c>
      <c r="Q224" s="46" t="s">
        <v>102</v>
      </c>
      <c r="R224" s="21"/>
      <c r="S224" s="117" t="str">
        <f t="shared" si="33"/>
        <v>Y</v>
      </c>
      <c r="T224" s="114">
        <f>IFERROR(SUMIF('Current NLData'!A:A,'Payment Changes'!G224,'Current NLData'!K:K)/COUNTIF('Current NLData'!A:A,'Payment Changes'!G224),0)+IFERROR(VLOOKUP(G224&amp;"-ALL",NLPaymentExport,10,FALSE),0)</f>
        <v>0</v>
      </c>
      <c r="U224" s="118" t="str">
        <f t="shared" si="34"/>
        <v/>
      </c>
    </row>
    <row r="225" spans="1:54" s="15" customFormat="1" ht="17.100000000000001" hidden="1" customHeight="1" x14ac:dyDescent="0.25">
      <c r="A225" s="167"/>
      <c r="B225" s="170"/>
      <c r="C225" s="173"/>
      <c r="D225" s="176"/>
      <c r="E225" s="110" t="str">
        <f t="shared" si="35"/>
        <v>El Paso - Dyer</v>
      </c>
      <c r="F225" s="111" t="s">
        <v>96</v>
      </c>
      <c r="G225" s="112" t="str">
        <f t="shared" si="38"/>
        <v>CP185-Referral</v>
      </c>
      <c r="H225" s="179"/>
      <c r="I225" s="79" t="s">
        <v>34</v>
      </c>
      <c r="J225" s="49">
        <v>50</v>
      </c>
      <c r="K225" s="49">
        <v>0</v>
      </c>
      <c r="L225" s="50" t="s">
        <v>32</v>
      </c>
      <c r="M225" s="51" t="s">
        <v>32</v>
      </c>
      <c r="N225" s="49">
        <v>50</v>
      </c>
      <c r="O225" s="49">
        <v>50</v>
      </c>
      <c r="P225" s="49">
        <v>50</v>
      </c>
      <c r="Q225" s="49">
        <v>50</v>
      </c>
      <c r="R225" s="113"/>
      <c r="S225" s="117" t="str">
        <f t="shared" si="33"/>
        <v>N</v>
      </c>
      <c r="T225" s="114">
        <f>IFERROR(SUMIF('Current NLData'!A:A,'Payment Changes'!G225,'Current NLData'!K:K)/COUNTIF('Current NLData'!A:A,'Payment Changes'!G225),0)+IFERROR(VLOOKUP(G225&amp;"-ALL",NLPaymentExport,10,FALSE),0)</f>
        <v>0</v>
      </c>
      <c r="U225" s="118" t="str">
        <f t="shared" si="34"/>
        <v/>
      </c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7.100000000000001" hidden="1" customHeight="1" outlineLevel="1" x14ac:dyDescent="0.25">
      <c r="A226" s="3"/>
      <c r="C226" s="4"/>
      <c r="D226" s="180" t="s">
        <v>96</v>
      </c>
      <c r="E226" s="91" t="str">
        <f t="shared" si="35"/>
        <v>El Paso - Dyer</v>
      </c>
      <c r="F226" s="93" t="str">
        <f t="shared" si="37"/>
        <v>CP185</v>
      </c>
      <c r="G226" s="99" t="str">
        <f t="shared" si="38"/>
        <v>CP185-NEW DONOR -1st</v>
      </c>
      <c r="H226" s="182" t="s">
        <v>36</v>
      </c>
      <c r="I226" s="33" t="s">
        <v>37</v>
      </c>
      <c r="J226" s="60">
        <v>65</v>
      </c>
      <c r="K226" s="61">
        <v>61</v>
      </c>
      <c r="L226" s="60">
        <v>56</v>
      </c>
      <c r="M226" s="60">
        <v>65</v>
      </c>
      <c r="N226" s="60">
        <v>65</v>
      </c>
      <c r="O226" s="60">
        <v>65</v>
      </c>
      <c r="P226" s="60">
        <v>65</v>
      </c>
      <c r="Q226" s="60">
        <v>100</v>
      </c>
      <c r="R226" s="23"/>
      <c r="S226" s="117" t="str">
        <f t="shared" si="33"/>
        <v>Y</v>
      </c>
      <c r="T226" s="114">
        <f>IFERROR(SUMIF('Current NLData'!A:A,'Payment Changes'!G226,'Current NLData'!K:K)/COUNTIF('Current NLData'!A:A,'Payment Changes'!G226),0)+IFERROR(VLOOKUP(G226&amp;"-ALL",NLPaymentExport,10,FALSE),0)</f>
        <v>65</v>
      </c>
      <c r="U226" s="118">
        <f t="shared" si="34"/>
        <v>-35</v>
      </c>
    </row>
    <row r="227" spans="1:54" ht="17.100000000000001" hidden="1" customHeight="1" outlineLevel="1" x14ac:dyDescent="0.25">
      <c r="A227" s="3"/>
      <c r="C227" s="4"/>
      <c r="D227" s="181"/>
      <c r="E227" s="91" t="str">
        <f t="shared" si="35"/>
        <v>El Paso - Dyer</v>
      </c>
      <c r="F227" s="93" t="str">
        <f t="shared" si="37"/>
        <v>CP185</v>
      </c>
      <c r="G227" s="99" t="str">
        <f t="shared" si="38"/>
        <v>CP185-NEW DONOR -2nd</v>
      </c>
      <c r="H227" s="182"/>
      <c r="I227" s="34" t="s">
        <v>38</v>
      </c>
      <c r="J227" s="58">
        <v>65</v>
      </c>
      <c r="K227" s="62">
        <v>65</v>
      </c>
      <c r="L227" s="58">
        <v>56</v>
      </c>
      <c r="M227" s="58">
        <v>65</v>
      </c>
      <c r="N227" s="58">
        <v>65</v>
      </c>
      <c r="O227" s="58">
        <v>65</v>
      </c>
      <c r="P227" s="58">
        <v>65</v>
      </c>
      <c r="Q227" s="58">
        <v>100</v>
      </c>
      <c r="R227" s="23"/>
      <c r="S227" s="117" t="str">
        <f t="shared" si="33"/>
        <v>Y</v>
      </c>
      <c r="T227" s="114">
        <f>IFERROR(SUMIF('Current NLData'!A:A,'Payment Changes'!G227,'Current NLData'!K:K)/COUNTIF('Current NLData'!A:A,'Payment Changes'!G227),0)+IFERROR(VLOOKUP(G227&amp;"-ALL",NLPaymentExport,10,FALSE),0)</f>
        <v>65</v>
      </c>
      <c r="U227" s="118">
        <f t="shared" si="34"/>
        <v>-35</v>
      </c>
    </row>
    <row r="228" spans="1:54" ht="17.100000000000001" hidden="1" customHeight="1" outlineLevel="1" x14ac:dyDescent="0.25">
      <c r="A228" s="3"/>
      <c r="C228" s="4"/>
      <c r="D228" s="181"/>
      <c r="E228" s="91" t="str">
        <f t="shared" si="35"/>
        <v>El Paso - Dyer</v>
      </c>
      <c r="F228" s="93" t="str">
        <f t="shared" si="37"/>
        <v>CP185</v>
      </c>
      <c r="G228" s="99" t="str">
        <f t="shared" si="38"/>
        <v>CP185-NEW DONOR -3rd</v>
      </c>
      <c r="H228" s="182"/>
      <c r="I228" s="34" t="s">
        <v>39</v>
      </c>
      <c r="J228" s="58">
        <v>65</v>
      </c>
      <c r="K228" s="62">
        <v>61</v>
      </c>
      <c r="L228" s="58">
        <v>56</v>
      </c>
      <c r="M228" s="58">
        <v>65</v>
      </c>
      <c r="N228" s="58">
        <v>65</v>
      </c>
      <c r="O228" s="58">
        <v>65</v>
      </c>
      <c r="P228" s="58">
        <v>65</v>
      </c>
      <c r="Q228" s="58">
        <v>100</v>
      </c>
      <c r="R228" s="23"/>
      <c r="S228" s="117" t="str">
        <f t="shared" si="33"/>
        <v>Y</v>
      </c>
      <c r="T228" s="114">
        <f>IFERROR(SUMIF('Current NLData'!A:A,'Payment Changes'!G228,'Current NLData'!K:K)/COUNTIF('Current NLData'!A:A,'Payment Changes'!G228),0)+IFERROR(VLOOKUP(G228&amp;"-ALL",NLPaymentExport,10,FALSE),0)</f>
        <v>65</v>
      </c>
      <c r="U228" s="118">
        <f t="shared" si="34"/>
        <v>-35</v>
      </c>
    </row>
    <row r="229" spans="1:54" ht="17.100000000000001" hidden="1" customHeight="1" outlineLevel="1" x14ac:dyDescent="0.25">
      <c r="A229" s="3"/>
      <c r="C229" s="4"/>
      <c r="D229" s="181"/>
      <c r="E229" s="91" t="str">
        <f t="shared" si="35"/>
        <v>El Paso - Dyer</v>
      </c>
      <c r="F229" s="93" t="str">
        <f t="shared" si="37"/>
        <v>CP185</v>
      </c>
      <c r="G229" s="99" t="str">
        <f t="shared" si="38"/>
        <v>CP185-NEW DONOR -4th</v>
      </c>
      <c r="H229" s="182"/>
      <c r="I229" s="34" t="s">
        <v>40</v>
      </c>
      <c r="J229" s="58">
        <v>65</v>
      </c>
      <c r="K229" s="62">
        <v>65</v>
      </c>
      <c r="L229" s="58">
        <v>56</v>
      </c>
      <c r="M229" s="58">
        <v>65</v>
      </c>
      <c r="N229" s="58">
        <v>65</v>
      </c>
      <c r="O229" s="58">
        <v>65</v>
      </c>
      <c r="P229" s="58">
        <v>65</v>
      </c>
      <c r="Q229" s="58">
        <v>100</v>
      </c>
      <c r="R229" s="23"/>
      <c r="S229" s="117" t="str">
        <f t="shared" si="33"/>
        <v>Y</v>
      </c>
      <c r="T229" s="114">
        <f>IFERROR(SUMIF('Current NLData'!A:A,'Payment Changes'!G229,'Current NLData'!K:K)/COUNTIF('Current NLData'!A:A,'Payment Changes'!G229),0)+IFERROR(VLOOKUP(G229&amp;"-ALL",NLPaymentExport,10,FALSE),0)</f>
        <v>65</v>
      </c>
      <c r="U229" s="118">
        <f t="shared" si="34"/>
        <v>-35</v>
      </c>
    </row>
    <row r="230" spans="1:54" ht="17.100000000000001" hidden="1" customHeight="1" outlineLevel="1" x14ac:dyDescent="0.25">
      <c r="A230" s="3"/>
      <c r="C230" s="4"/>
      <c r="D230" s="181"/>
      <c r="E230" s="91" t="str">
        <f t="shared" si="35"/>
        <v>El Paso - Dyer</v>
      </c>
      <c r="F230" s="93" t="str">
        <f t="shared" si="37"/>
        <v>CP185</v>
      </c>
      <c r="G230" s="99" t="str">
        <f t="shared" si="38"/>
        <v>CP185-NEW DONOR -5th</v>
      </c>
      <c r="H230" s="182"/>
      <c r="I230" s="34" t="s">
        <v>41</v>
      </c>
      <c r="J230" s="58">
        <v>65</v>
      </c>
      <c r="K230" s="62">
        <v>61</v>
      </c>
      <c r="L230" s="58">
        <v>56</v>
      </c>
      <c r="M230" s="58">
        <v>65</v>
      </c>
      <c r="N230" s="58">
        <v>65</v>
      </c>
      <c r="O230" s="58">
        <v>65</v>
      </c>
      <c r="P230" s="58">
        <v>65</v>
      </c>
      <c r="Q230" s="58">
        <v>55</v>
      </c>
      <c r="R230" s="23"/>
      <c r="S230" s="117" t="str">
        <f t="shared" si="33"/>
        <v>Y</v>
      </c>
      <c r="T230" s="114">
        <f>IFERROR(SUMIF('Current NLData'!A:A,'Payment Changes'!G230,'Current NLData'!K:K)/COUNTIF('Current NLData'!A:A,'Payment Changes'!G230),0)+IFERROR(VLOOKUP(G230&amp;"-ALL",NLPaymentExport,10,FALSE),0)</f>
        <v>65</v>
      </c>
      <c r="U230" s="118">
        <f t="shared" si="34"/>
        <v>10</v>
      </c>
    </row>
    <row r="231" spans="1:54" ht="17.100000000000001" hidden="1" customHeight="1" outlineLevel="1" x14ac:dyDescent="0.25">
      <c r="A231" s="3"/>
      <c r="C231" s="4"/>
      <c r="D231" s="181"/>
      <c r="E231" s="91" t="str">
        <f t="shared" si="35"/>
        <v>El Paso - Dyer</v>
      </c>
      <c r="F231" s="93" t="str">
        <f t="shared" si="37"/>
        <v>CP185</v>
      </c>
      <c r="G231" s="99" t="str">
        <f t="shared" si="38"/>
        <v>CP185-NEW DONOR -6th</v>
      </c>
      <c r="H231" s="182"/>
      <c r="I231" s="34" t="s">
        <v>42</v>
      </c>
      <c r="J231" s="58">
        <v>65</v>
      </c>
      <c r="K231" s="62">
        <v>65</v>
      </c>
      <c r="L231" s="58">
        <v>56</v>
      </c>
      <c r="M231" s="58">
        <v>65</v>
      </c>
      <c r="N231" s="58">
        <v>65</v>
      </c>
      <c r="O231" s="58">
        <v>65</v>
      </c>
      <c r="P231" s="58">
        <v>65</v>
      </c>
      <c r="Q231" s="58">
        <v>55</v>
      </c>
      <c r="R231" s="23"/>
      <c r="S231" s="117" t="str">
        <f t="shared" si="33"/>
        <v>Y</v>
      </c>
      <c r="T231" s="114">
        <f>IFERROR(SUMIF('Current NLData'!A:A,'Payment Changes'!G231,'Current NLData'!K:K)/COUNTIF('Current NLData'!A:A,'Payment Changes'!G231),0)+IFERROR(VLOOKUP(G231&amp;"-ALL",NLPaymentExport,10,FALSE),0)</f>
        <v>65</v>
      </c>
      <c r="U231" s="118">
        <f t="shared" si="34"/>
        <v>10</v>
      </c>
    </row>
    <row r="232" spans="1:54" ht="17.100000000000001" hidden="1" customHeight="1" outlineLevel="1" x14ac:dyDescent="0.25">
      <c r="A232" s="3"/>
      <c r="C232" s="4"/>
      <c r="D232" s="181"/>
      <c r="E232" s="91" t="str">
        <f t="shared" si="35"/>
        <v>El Paso - Dyer</v>
      </c>
      <c r="F232" s="93" t="str">
        <f t="shared" si="37"/>
        <v>CP185</v>
      </c>
      <c r="G232" s="99" t="str">
        <f t="shared" si="38"/>
        <v>CP185-NEW DONOR -7th</v>
      </c>
      <c r="H232" s="182"/>
      <c r="I232" s="34" t="s">
        <v>43</v>
      </c>
      <c r="J232" s="58">
        <v>65</v>
      </c>
      <c r="K232" s="62">
        <v>61</v>
      </c>
      <c r="L232" s="58">
        <v>56</v>
      </c>
      <c r="M232" s="58">
        <v>65</v>
      </c>
      <c r="N232" s="58">
        <v>65</v>
      </c>
      <c r="O232" s="58">
        <v>65</v>
      </c>
      <c r="P232" s="58">
        <v>65</v>
      </c>
      <c r="Q232" s="58">
        <v>55</v>
      </c>
      <c r="R232" s="23"/>
      <c r="S232" s="117" t="str">
        <f t="shared" si="33"/>
        <v>Y</v>
      </c>
      <c r="T232" s="114">
        <f>IFERROR(SUMIF('Current NLData'!A:A,'Payment Changes'!G232,'Current NLData'!K:K)/COUNTIF('Current NLData'!A:A,'Payment Changes'!G232),0)+IFERROR(VLOOKUP(G232&amp;"-ALL",NLPaymentExport,10,FALSE),0)</f>
        <v>65</v>
      </c>
      <c r="U232" s="118">
        <f t="shared" si="34"/>
        <v>10</v>
      </c>
    </row>
    <row r="233" spans="1:54" ht="17.100000000000001" hidden="1" customHeight="1" outlineLevel="1" x14ac:dyDescent="0.25">
      <c r="A233" s="3"/>
      <c r="C233" s="4"/>
      <c r="D233" s="181"/>
      <c r="E233" s="91" t="str">
        <f t="shared" si="35"/>
        <v>El Paso - Dyer</v>
      </c>
      <c r="F233" s="93" t="str">
        <f t="shared" si="37"/>
        <v>CP185</v>
      </c>
      <c r="G233" s="99" t="str">
        <f t="shared" si="38"/>
        <v>CP185-NEW DONOR -8th</v>
      </c>
      <c r="H233" s="182"/>
      <c r="I233" s="35" t="s">
        <v>44</v>
      </c>
      <c r="J233" s="63">
        <v>65</v>
      </c>
      <c r="K233" s="64">
        <v>65</v>
      </c>
      <c r="L233" s="63">
        <v>56</v>
      </c>
      <c r="M233" s="63">
        <v>65</v>
      </c>
      <c r="N233" s="63">
        <v>65</v>
      </c>
      <c r="O233" s="63">
        <v>65</v>
      </c>
      <c r="P233" s="63">
        <v>65</v>
      </c>
      <c r="Q233" s="63">
        <v>55</v>
      </c>
      <c r="R233" s="23"/>
      <c r="S233" s="117" t="str">
        <f t="shared" si="33"/>
        <v>Y</v>
      </c>
      <c r="T233" s="114">
        <f>IFERROR(SUMIF('Current NLData'!A:A,'Payment Changes'!G233,'Current NLData'!K:K)/COUNTIF('Current NLData'!A:A,'Payment Changes'!G233),0)+IFERROR(VLOOKUP(G233&amp;"-ALL",NLPaymentExport,10,FALSE),0)</f>
        <v>65</v>
      </c>
      <c r="U233" s="118">
        <f t="shared" si="34"/>
        <v>10</v>
      </c>
    </row>
    <row r="234" spans="1:54" ht="17.100000000000001" hidden="1" customHeight="1" outlineLevel="1" x14ac:dyDescent="0.25">
      <c r="A234" s="3"/>
      <c r="C234" s="4"/>
      <c r="D234" s="181"/>
      <c r="E234" s="91" t="str">
        <f t="shared" si="35"/>
        <v>El Paso - Dyer</v>
      </c>
      <c r="F234" s="93" t="str">
        <f t="shared" si="37"/>
        <v>CP185</v>
      </c>
      <c r="G234" s="99" t="str">
        <f t="shared" si="38"/>
        <v>CP185-RETURN - 1st don of the week -STD</v>
      </c>
      <c r="H234" s="182"/>
      <c r="I234" s="36" t="s">
        <v>45</v>
      </c>
      <c r="J234" s="58">
        <v>65</v>
      </c>
      <c r="K234" s="62">
        <v>61</v>
      </c>
      <c r="L234" s="58">
        <v>56</v>
      </c>
      <c r="M234" s="58">
        <v>65</v>
      </c>
      <c r="N234" s="58">
        <v>65</v>
      </c>
      <c r="O234" s="58">
        <v>65</v>
      </c>
      <c r="P234" s="58">
        <v>65</v>
      </c>
      <c r="Q234" s="58">
        <v>55</v>
      </c>
      <c r="R234" s="23"/>
      <c r="S234" s="117" t="str">
        <f t="shared" si="33"/>
        <v>Y</v>
      </c>
      <c r="T234" s="114">
        <f>IFERROR(SUMIF('Current NLData'!A:A,'Payment Changes'!G234,'Current NLData'!K:K)/COUNTIF('Current NLData'!A:A,'Payment Changes'!G234),0)+IFERROR(VLOOKUP(G234&amp;"-ALL",NLPaymentExport,10,FALSE),0)</f>
        <v>65</v>
      </c>
      <c r="U234" s="118">
        <f t="shared" si="34"/>
        <v>10</v>
      </c>
    </row>
    <row r="235" spans="1:54" ht="17.100000000000001" hidden="1" customHeight="1" outlineLevel="1" x14ac:dyDescent="0.25">
      <c r="A235" s="3"/>
      <c r="C235" s="4"/>
      <c r="D235" s="181"/>
      <c r="E235" s="91" t="str">
        <f t="shared" si="35"/>
        <v>El Paso - Dyer</v>
      </c>
      <c r="F235" s="93" t="str">
        <f t="shared" si="37"/>
        <v>CP185</v>
      </c>
      <c r="G235" s="99" t="str">
        <f t="shared" si="38"/>
        <v>CP185-RETURN - 2nd don of the week -BONUS</v>
      </c>
      <c r="H235" s="182"/>
      <c r="I235" s="36" t="s">
        <v>46</v>
      </c>
      <c r="J235" s="58">
        <v>0</v>
      </c>
      <c r="K235" s="62">
        <v>4</v>
      </c>
      <c r="L235" s="58">
        <v>9</v>
      </c>
      <c r="M235" s="58">
        <v>5</v>
      </c>
      <c r="N235" s="58">
        <v>5</v>
      </c>
      <c r="O235" s="58">
        <v>5</v>
      </c>
      <c r="P235" s="58">
        <v>5</v>
      </c>
      <c r="Q235" s="58">
        <v>20</v>
      </c>
      <c r="R235" s="23"/>
      <c r="S235" s="117" t="str">
        <f t="shared" si="33"/>
        <v>Y</v>
      </c>
      <c r="T235" s="114">
        <f>IFERROR(SUMIF('Current NLData'!A:A,'Payment Changes'!G235,'Current NLData'!K:K)/COUNTIF('Current NLData'!A:A,'Payment Changes'!G235),0)+IFERROR(VLOOKUP(G235&amp;"-ALL",NLPaymentExport,10,FALSE),0)</f>
        <v>5</v>
      </c>
      <c r="U235" s="118">
        <f t="shared" si="34"/>
        <v>-15</v>
      </c>
    </row>
    <row r="236" spans="1:54" ht="17.100000000000001" hidden="1" customHeight="1" outlineLevel="1" x14ac:dyDescent="0.25">
      <c r="A236" s="3"/>
      <c r="C236" s="4"/>
      <c r="D236" s="181"/>
      <c r="E236" s="91" t="str">
        <f t="shared" si="35"/>
        <v>El Paso - Dyer</v>
      </c>
      <c r="F236" s="93" t="str">
        <f t="shared" si="37"/>
        <v>CP185</v>
      </c>
      <c r="G236" s="99" t="str">
        <f t="shared" si="38"/>
        <v>CP185-RETURN - 5th don of the month -BONUS</v>
      </c>
      <c r="H236" s="182"/>
      <c r="I236" s="37" t="s">
        <v>47</v>
      </c>
      <c r="J236" s="65">
        <v>0</v>
      </c>
      <c r="K236" s="65">
        <v>0</v>
      </c>
      <c r="L236" s="65">
        <v>0</v>
      </c>
      <c r="M236" s="65">
        <v>0</v>
      </c>
      <c r="N236" s="65">
        <v>0</v>
      </c>
      <c r="O236" s="65">
        <v>0</v>
      </c>
      <c r="P236" s="65">
        <v>0</v>
      </c>
      <c r="Q236" s="65">
        <v>0</v>
      </c>
      <c r="R236" s="22"/>
      <c r="S236" s="117" t="str">
        <f t="shared" si="33"/>
        <v>N</v>
      </c>
      <c r="T236" s="114">
        <f>IFERROR(SUMIF('Current NLData'!A:A,'Payment Changes'!G236,'Current NLData'!K:K)/COUNTIF('Current NLData'!A:A,'Payment Changes'!G236),0)+IFERROR(VLOOKUP(G236&amp;"-ALL",NLPaymentExport,10,FALSE),0)</f>
        <v>0</v>
      </c>
      <c r="U236" s="118">
        <f t="shared" si="34"/>
        <v>0</v>
      </c>
    </row>
    <row r="237" spans="1:54" ht="17.100000000000001" hidden="1" customHeight="1" outlineLevel="1" x14ac:dyDescent="0.25">
      <c r="A237" s="3"/>
      <c r="C237" s="4"/>
      <c r="D237" s="181"/>
      <c r="E237" s="91" t="str">
        <f t="shared" si="35"/>
        <v>El Paso - Dyer</v>
      </c>
      <c r="F237" s="93" t="str">
        <f t="shared" si="37"/>
        <v>CP185</v>
      </c>
      <c r="G237" s="99" t="str">
        <f t="shared" si="38"/>
        <v>CP185-RETURN - 6th don of the month -BONUS</v>
      </c>
      <c r="H237" s="182"/>
      <c r="I237" s="38" t="s">
        <v>48</v>
      </c>
      <c r="J237" s="58">
        <v>0</v>
      </c>
      <c r="K237" s="58">
        <v>0</v>
      </c>
      <c r="L237" s="58">
        <v>0</v>
      </c>
      <c r="M237" s="58">
        <v>30</v>
      </c>
      <c r="N237" s="58">
        <v>30</v>
      </c>
      <c r="O237" s="58">
        <v>30</v>
      </c>
      <c r="P237" s="58">
        <v>30</v>
      </c>
      <c r="Q237" s="58">
        <v>50</v>
      </c>
      <c r="R237" s="22"/>
      <c r="S237" s="117" t="str">
        <f t="shared" si="33"/>
        <v>Y</v>
      </c>
      <c r="T237" s="114">
        <f>IFERROR(SUMIF('Current NLData'!A:A,'Payment Changes'!G237,'Current NLData'!K:K)/COUNTIF('Current NLData'!A:A,'Payment Changes'!G237),0)+IFERROR(VLOOKUP(G237&amp;"-ALL",NLPaymentExport,10,FALSE),0)</f>
        <v>30</v>
      </c>
      <c r="U237" s="118">
        <f t="shared" si="34"/>
        <v>-20</v>
      </c>
    </row>
    <row r="238" spans="1:54" ht="17.100000000000001" hidden="1" customHeight="1" outlineLevel="1" x14ac:dyDescent="0.25">
      <c r="A238" s="3"/>
      <c r="C238" s="4"/>
      <c r="D238" s="181"/>
      <c r="E238" s="91" t="str">
        <f t="shared" si="35"/>
        <v>El Paso - Dyer</v>
      </c>
      <c r="F238" s="93" t="str">
        <f t="shared" si="37"/>
        <v>CP185</v>
      </c>
      <c r="G238" s="99" t="str">
        <f t="shared" si="38"/>
        <v>CP185-RETURN - 7th don of the month -BONUS</v>
      </c>
      <c r="H238" s="182"/>
      <c r="I238" s="38" t="s">
        <v>49</v>
      </c>
      <c r="J238" s="58">
        <v>0</v>
      </c>
      <c r="K238" s="58">
        <v>0</v>
      </c>
      <c r="L238" s="58">
        <v>0</v>
      </c>
      <c r="M238" s="58">
        <v>0</v>
      </c>
      <c r="N238" s="58">
        <v>0</v>
      </c>
      <c r="O238" s="58">
        <v>0</v>
      </c>
      <c r="P238" s="58">
        <v>0</v>
      </c>
      <c r="Q238" s="58">
        <v>0</v>
      </c>
      <c r="R238" s="22"/>
      <c r="S238" s="117" t="str">
        <f t="shared" si="33"/>
        <v>N</v>
      </c>
      <c r="T238" s="114">
        <f>IFERROR(SUMIF('Current NLData'!A:A,'Payment Changes'!G238,'Current NLData'!K:K)/COUNTIF('Current NLData'!A:A,'Payment Changes'!G238),0)+IFERROR(VLOOKUP(G238&amp;"-ALL",NLPaymentExport,10,FALSE),0)</f>
        <v>0</v>
      </c>
      <c r="U238" s="118">
        <f t="shared" si="34"/>
        <v>0</v>
      </c>
    </row>
    <row r="239" spans="1:54" ht="17.100000000000001" hidden="1" customHeight="1" outlineLevel="1" x14ac:dyDescent="0.25">
      <c r="A239" s="3"/>
      <c r="C239" s="4"/>
      <c r="D239" s="181"/>
      <c r="E239" s="91" t="str">
        <f t="shared" si="35"/>
        <v>El Paso - Dyer</v>
      </c>
      <c r="F239" s="93" t="str">
        <f t="shared" si="37"/>
        <v>CP185</v>
      </c>
      <c r="G239" s="99" t="str">
        <f t="shared" si="38"/>
        <v>CP185-RETURN - 8th don of the month -BONUS</v>
      </c>
      <c r="H239" s="182"/>
      <c r="I239" s="38" t="s">
        <v>50</v>
      </c>
      <c r="J239" s="58">
        <v>25</v>
      </c>
      <c r="K239" s="58">
        <v>25</v>
      </c>
      <c r="L239" s="58">
        <v>0</v>
      </c>
      <c r="M239" s="58">
        <v>0</v>
      </c>
      <c r="N239" s="58">
        <v>0</v>
      </c>
      <c r="O239" s="58">
        <v>0</v>
      </c>
      <c r="P239" s="58">
        <v>0</v>
      </c>
      <c r="Q239" s="58">
        <v>0</v>
      </c>
      <c r="R239" s="22"/>
      <c r="S239" s="117" t="str">
        <f t="shared" si="33"/>
        <v>N</v>
      </c>
      <c r="T239" s="114">
        <f>IFERROR(SUMIF('Current NLData'!A:A,'Payment Changes'!G239,'Current NLData'!K:K)/COUNTIF('Current NLData'!A:A,'Payment Changes'!G239),0)+IFERROR(VLOOKUP(G239&amp;"-ALL",NLPaymentExport,10,FALSE),0)</f>
        <v>0</v>
      </c>
      <c r="U239" s="118">
        <f t="shared" si="34"/>
        <v>0</v>
      </c>
    </row>
    <row r="240" spans="1:54" ht="17.100000000000001" hidden="1" customHeight="1" outlineLevel="1" x14ac:dyDescent="0.25">
      <c r="A240" s="3"/>
      <c r="C240" s="4" t="str">
        <f>IF(J240=0,"Warning","")</f>
        <v/>
      </c>
      <c r="D240" s="181"/>
      <c r="E240" s="91" t="str">
        <f t="shared" si="35"/>
        <v>El Paso - Dyer</v>
      </c>
      <c r="F240" s="93" t="str">
        <f t="shared" si="37"/>
        <v>CP185</v>
      </c>
      <c r="G240" s="99" t="str">
        <f t="shared" si="38"/>
        <v>CP185-RETURN - Buddy referral  -BONUS</v>
      </c>
      <c r="H240" s="182"/>
      <c r="I240" s="39" t="s">
        <v>51</v>
      </c>
      <c r="J240" s="58">
        <v>50</v>
      </c>
      <c r="K240" s="57">
        <v>0</v>
      </c>
      <c r="L240" s="56">
        <v>0</v>
      </c>
      <c r="M240" s="56">
        <v>50</v>
      </c>
      <c r="N240" s="56">
        <v>50</v>
      </c>
      <c r="O240" s="56">
        <v>50</v>
      </c>
      <c r="P240" s="56">
        <v>50</v>
      </c>
      <c r="Q240" s="56">
        <v>50</v>
      </c>
      <c r="R240" s="23"/>
      <c r="S240" s="117" t="str">
        <f t="shared" si="33"/>
        <v>N</v>
      </c>
      <c r="T240" s="114">
        <f>IFERROR(SUMIF('Current NLData'!A:A,'Payment Changes'!G240,'Current NLData'!K:K)/COUNTIF('Current NLData'!A:A,'Payment Changes'!G240),0)+IFERROR(VLOOKUP(G240&amp;"-ALL",NLPaymentExport,10,FALSE),0)</f>
        <v>50</v>
      </c>
      <c r="U240" s="118">
        <f t="shared" si="34"/>
        <v>0</v>
      </c>
    </row>
    <row r="241" spans="1:54" s="90" customFormat="1" ht="17.100000000000001" hidden="1" customHeight="1" collapsed="1" x14ac:dyDescent="0.35">
      <c r="A241" s="85"/>
      <c r="B241" s="85"/>
      <c r="C241" s="86"/>
      <c r="D241" s="87"/>
      <c r="E241" s="87"/>
      <c r="F241" s="87"/>
      <c r="G241" s="87"/>
      <c r="H241" s="96"/>
      <c r="I241" s="88"/>
      <c r="J241" s="89"/>
      <c r="K241" s="89"/>
      <c r="L241" s="89"/>
      <c r="M241" s="89"/>
      <c r="N241" s="89"/>
      <c r="O241" s="89"/>
      <c r="P241" s="89"/>
      <c r="Q241" s="89"/>
      <c r="R241" s="21"/>
      <c r="S241" s="117" t="str">
        <f t="shared" si="33"/>
        <v>N</v>
      </c>
      <c r="T241" s="114">
        <f>IFERROR(SUMIF('Current NLData'!A:A,'Payment Changes'!G241,'Current NLData'!K:K)/COUNTIF('Current NLData'!A:A,'Payment Changes'!G241),0)+IFERROR(VLOOKUP(G241&amp;"-ALL",NLPaymentExport,10,FALSE),0)</f>
        <v>0</v>
      </c>
      <c r="U241" s="118" t="str">
        <f t="shared" si="34"/>
        <v/>
      </c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s="10" customFormat="1" ht="17.100000000000001" hidden="1" customHeight="1" x14ac:dyDescent="0.25">
      <c r="A242" s="165">
        <v>13</v>
      </c>
      <c r="B242" s="168" t="s">
        <v>103</v>
      </c>
      <c r="C242" s="171" t="s">
        <v>19</v>
      </c>
      <c r="D242" s="174" t="s">
        <v>57</v>
      </c>
      <c r="E242" s="106" t="str">
        <f t="shared" si="35"/>
        <v>Lakewood</v>
      </c>
      <c r="F242" s="107" t="s">
        <v>104</v>
      </c>
      <c r="G242" s="108" t="str">
        <f t="shared" ref="G242:G260" si="39">F242&amp;"-"&amp;I242</f>
        <v>CP227-New Donor</v>
      </c>
      <c r="H242" s="177" t="s">
        <v>75</v>
      </c>
      <c r="I242" s="76" t="s">
        <v>23</v>
      </c>
      <c r="J242" s="40" t="s">
        <v>87</v>
      </c>
      <c r="K242" s="41" t="s">
        <v>25</v>
      </c>
      <c r="L242" s="41" t="s">
        <v>61</v>
      </c>
      <c r="M242" s="42" t="s">
        <v>61</v>
      </c>
      <c r="N242" s="40" t="s">
        <v>61</v>
      </c>
      <c r="O242" s="40" t="s">
        <v>61</v>
      </c>
      <c r="P242" s="40" t="s">
        <v>61</v>
      </c>
      <c r="Q242" s="40"/>
      <c r="R242" s="109"/>
      <c r="S242" s="117" t="str">
        <f t="shared" si="33"/>
        <v>Y</v>
      </c>
      <c r="T242" s="114">
        <f>IFERROR(SUMIF('Current NLData'!A:A,'Payment Changes'!G242,'Current NLData'!K:K)/COUNTIF('Current NLData'!A:A,'Payment Changes'!G242),0)+IFERROR(VLOOKUP(G242&amp;"-ALL",NLPaymentExport,10,FALSE),0)</f>
        <v>0</v>
      </c>
      <c r="U242" s="118" t="str">
        <f t="shared" si="34"/>
        <v/>
      </c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ht="17.100000000000001" hidden="1" customHeight="1" x14ac:dyDescent="0.25">
      <c r="A243" s="166"/>
      <c r="B243" s="169"/>
      <c r="C243" s="172"/>
      <c r="D243" s="175"/>
      <c r="E243" s="91" t="str">
        <f t="shared" si="35"/>
        <v>Lakewood</v>
      </c>
      <c r="F243" s="92" t="s">
        <v>104</v>
      </c>
      <c r="G243" s="98" t="str">
        <f t="shared" si="39"/>
        <v>CP227-Return Donor</v>
      </c>
      <c r="H243" s="178"/>
      <c r="I243" s="77" t="s">
        <v>29</v>
      </c>
      <c r="J243" s="43" t="s">
        <v>87</v>
      </c>
      <c r="K243" s="43" t="s">
        <v>24</v>
      </c>
      <c r="L243" s="44" t="s">
        <v>61</v>
      </c>
      <c r="M243" s="45" t="s">
        <v>61</v>
      </c>
      <c r="N243" s="43" t="s">
        <v>61</v>
      </c>
      <c r="O243" s="43" t="s">
        <v>61</v>
      </c>
      <c r="P243" s="43" t="s">
        <v>61</v>
      </c>
      <c r="Q243" s="43"/>
      <c r="R243" s="21"/>
      <c r="S243" s="117" t="str">
        <f t="shared" si="33"/>
        <v>Y</v>
      </c>
      <c r="T243" s="114">
        <f>IFERROR(SUMIF('Current NLData'!A:A,'Payment Changes'!G243,'Current NLData'!K:K)/COUNTIF('Current NLData'!A:A,'Payment Changes'!G243),0)+IFERROR(VLOOKUP(G243&amp;"-ALL",NLPaymentExport,10,FALSE),0)</f>
        <v>0</v>
      </c>
      <c r="U243" s="118" t="str">
        <f t="shared" si="34"/>
        <v/>
      </c>
    </row>
    <row r="244" spans="1:54" ht="17.100000000000001" hidden="1" customHeight="1" x14ac:dyDescent="0.25">
      <c r="A244" s="166"/>
      <c r="B244" s="169"/>
      <c r="C244" s="172"/>
      <c r="D244" s="175"/>
      <c r="E244" s="91" t="str">
        <f t="shared" si="35"/>
        <v>Lakewood</v>
      </c>
      <c r="F244" s="92" t="s">
        <v>104</v>
      </c>
      <c r="G244" s="98" t="str">
        <f t="shared" si="39"/>
        <v>CP227-Retention Bonus</v>
      </c>
      <c r="H244" s="178"/>
      <c r="I244" s="78" t="s">
        <v>30</v>
      </c>
      <c r="J244" s="46" t="s">
        <v>31</v>
      </c>
      <c r="K244" s="46" t="s">
        <v>31</v>
      </c>
      <c r="L244" s="47" t="s">
        <v>32</v>
      </c>
      <c r="M244" s="48" t="s">
        <v>32</v>
      </c>
      <c r="N244" s="46" t="s">
        <v>32</v>
      </c>
      <c r="O244" s="46" t="s">
        <v>32</v>
      </c>
      <c r="P244" s="46" t="s">
        <v>32</v>
      </c>
      <c r="Q244" s="46"/>
      <c r="R244" s="21"/>
      <c r="S244" s="117" t="str">
        <f t="shared" si="33"/>
        <v>Y</v>
      </c>
      <c r="T244" s="114">
        <f>IFERROR(SUMIF('Current NLData'!A:A,'Payment Changes'!G244,'Current NLData'!K:K)/COUNTIF('Current NLData'!A:A,'Payment Changes'!G244),0)+IFERROR(VLOOKUP(G244&amp;"-ALL",NLPaymentExport,10,FALSE),0)</f>
        <v>0</v>
      </c>
      <c r="U244" s="118" t="str">
        <f t="shared" si="34"/>
        <v/>
      </c>
    </row>
    <row r="245" spans="1:54" s="15" customFormat="1" ht="17.100000000000001" hidden="1" customHeight="1" x14ac:dyDescent="0.25">
      <c r="A245" s="167"/>
      <c r="B245" s="170"/>
      <c r="C245" s="173"/>
      <c r="D245" s="176"/>
      <c r="E245" s="110" t="str">
        <f t="shared" si="35"/>
        <v>Lakewood</v>
      </c>
      <c r="F245" s="111" t="s">
        <v>104</v>
      </c>
      <c r="G245" s="112" t="str">
        <f t="shared" si="39"/>
        <v>CP227-Referral</v>
      </c>
      <c r="H245" s="179"/>
      <c r="I245" s="79" t="s">
        <v>34</v>
      </c>
      <c r="J245" s="49">
        <v>50</v>
      </c>
      <c r="K245" s="49">
        <v>50</v>
      </c>
      <c r="L245" s="50" t="s">
        <v>32</v>
      </c>
      <c r="M245" s="51" t="s">
        <v>32</v>
      </c>
      <c r="N245" s="49" t="s">
        <v>32</v>
      </c>
      <c r="O245" s="49" t="s">
        <v>32</v>
      </c>
      <c r="P245" s="49" t="s">
        <v>32</v>
      </c>
      <c r="Q245" s="49"/>
      <c r="R245" s="113"/>
      <c r="S245" s="117" t="str">
        <f t="shared" si="33"/>
        <v>Y</v>
      </c>
      <c r="T245" s="114">
        <f>IFERROR(SUMIF('Current NLData'!A:A,'Payment Changes'!G245,'Current NLData'!K:K)/COUNTIF('Current NLData'!A:A,'Payment Changes'!G245),0)+IFERROR(VLOOKUP(G245&amp;"-ALL",NLPaymentExport,10,FALSE),0)</f>
        <v>0</v>
      </c>
      <c r="U245" s="118" t="str">
        <f t="shared" si="34"/>
        <v/>
      </c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ht="17.100000000000001" hidden="1" customHeight="1" outlineLevel="1" x14ac:dyDescent="0.25">
      <c r="A246" s="3"/>
      <c r="C246" s="4"/>
      <c r="D246" s="180" t="s">
        <v>104</v>
      </c>
      <c r="E246" s="91" t="str">
        <f t="shared" si="35"/>
        <v>Lakewood</v>
      </c>
      <c r="F246" s="93" t="str">
        <f t="shared" si="37"/>
        <v>CP227</v>
      </c>
      <c r="G246" s="99" t="str">
        <f t="shared" si="39"/>
        <v>CP227-NEW DONOR -1st</v>
      </c>
      <c r="H246" s="182" t="s">
        <v>36</v>
      </c>
      <c r="I246" s="33" t="s">
        <v>37</v>
      </c>
      <c r="J246" s="60">
        <v>65</v>
      </c>
      <c r="K246" s="61">
        <v>60</v>
      </c>
      <c r="L246" s="60">
        <v>55</v>
      </c>
      <c r="M246" s="60">
        <v>55</v>
      </c>
      <c r="N246" s="60">
        <v>55</v>
      </c>
      <c r="O246" s="60">
        <v>55</v>
      </c>
      <c r="P246" s="60">
        <v>55</v>
      </c>
      <c r="Q246" s="60"/>
      <c r="R246" s="23"/>
      <c r="S246" s="117" t="str">
        <f t="shared" si="33"/>
        <v>Y</v>
      </c>
      <c r="T246" s="114">
        <f>IFERROR(SUMIF('Current NLData'!A:A,'Payment Changes'!G246,'Current NLData'!K:K)/COUNTIF('Current NLData'!A:A,'Payment Changes'!G246),0)+IFERROR(VLOOKUP(G246&amp;"-ALL",NLPaymentExport,10,FALSE),0)</f>
        <v>55</v>
      </c>
      <c r="U246" s="118">
        <f t="shared" si="34"/>
        <v>55</v>
      </c>
    </row>
    <row r="247" spans="1:54" ht="17.100000000000001" hidden="1" customHeight="1" outlineLevel="1" x14ac:dyDescent="0.25">
      <c r="A247" s="3"/>
      <c r="C247" s="4"/>
      <c r="D247" s="181"/>
      <c r="E247" s="91" t="str">
        <f t="shared" si="35"/>
        <v>Lakewood</v>
      </c>
      <c r="F247" s="93" t="str">
        <f t="shared" si="37"/>
        <v>CP227</v>
      </c>
      <c r="G247" s="99" t="str">
        <f t="shared" si="39"/>
        <v>CP227-NEW DONOR -2nd</v>
      </c>
      <c r="H247" s="182"/>
      <c r="I247" s="34" t="s">
        <v>38</v>
      </c>
      <c r="J247" s="58">
        <v>65</v>
      </c>
      <c r="K247" s="62">
        <v>70</v>
      </c>
      <c r="L247" s="58">
        <v>55</v>
      </c>
      <c r="M247" s="58">
        <v>55</v>
      </c>
      <c r="N247" s="58">
        <v>55</v>
      </c>
      <c r="O247" s="58">
        <v>55</v>
      </c>
      <c r="P247" s="58">
        <v>55</v>
      </c>
      <c r="Q247" s="58"/>
      <c r="R247" s="23"/>
      <c r="S247" s="117" t="str">
        <f t="shared" si="33"/>
        <v>Y</v>
      </c>
      <c r="T247" s="114">
        <f>IFERROR(SUMIF('Current NLData'!A:A,'Payment Changes'!G247,'Current NLData'!K:K)/COUNTIF('Current NLData'!A:A,'Payment Changes'!G247),0)+IFERROR(VLOOKUP(G247&amp;"-ALL",NLPaymentExport,10,FALSE),0)</f>
        <v>55</v>
      </c>
      <c r="U247" s="118">
        <f t="shared" si="34"/>
        <v>55</v>
      </c>
    </row>
    <row r="248" spans="1:54" ht="17.100000000000001" hidden="1" customHeight="1" outlineLevel="1" x14ac:dyDescent="0.25">
      <c r="A248" s="3"/>
      <c r="C248" s="4"/>
      <c r="D248" s="181"/>
      <c r="E248" s="91" t="str">
        <f t="shared" si="35"/>
        <v>Lakewood</v>
      </c>
      <c r="F248" s="93" t="str">
        <f t="shared" si="37"/>
        <v>CP227</v>
      </c>
      <c r="G248" s="99" t="str">
        <f t="shared" si="39"/>
        <v>CP227-NEW DONOR -3rd</v>
      </c>
      <c r="H248" s="182"/>
      <c r="I248" s="34" t="s">
        <v>39</v>
      </c>
      <c r="J248" s="58">
        <v>65</v>
      </c>
      <c r="K248" s="62">
        <v>60</v>
      </c>
      <c r="L248" s="58">
        <v>55</v>
      </c>
      <c r="M248" s="58">
        <v>55</v>
      </c>
      <c r="N248" s="58">
        <v>55</v>
      </c>
      <c r="O248" s="58">
        <v>55</v>
      </c>
      <c r="P248" s="58">
        <v>55</v>
      </c>
      <c r="Q248" s="58"/>
      <c r="R248" s="23"/>
      <c r="S248" s="117" t="str">
        <f t="shared" si="33"/>
        <v>Y</v>
      </c>
      <c r="T248" s="114">
        <f>IFERROR(SUMIF('Current NLData'!A:A,'Payment Changes'!G248,'Current NLData'!K:K)/COUNTIF('Current NLData'!A:A,'Payment Changes'!G248),0)+IFERROR(VLOOKUP(G248&amp;"-ALL",NLPaymentExport,10,FALSE),0)</f>
        <v>55</v>
      </c>
      <c r="U248" s="118">
        <f t="shared" si="34"/>
        <v>55</v>
      </c>
    </row>
    <row r="249" spans="1:54" ht="17.100000000000001" hidden="1" customHeight="1" outlineLevel="1" x14ac:dyDescent="0.25">
      <c r="A249" s="3"/>
      <c r="C249" s="4"/>
      <c r="D249" s="181"/>
      <c r="E249" s="91" t="str">
        <f t="shared" si="35"/>
        <v>Lakewood</v>
      </c>
      <c r="F249" s="93" t="str">
        <f t="shared" si="37"/>
        <v>CP227</v>
      </c>
      <c r="G249" s="99" t="str">
        <f t="shared" si="39"/>
        <v>CP227-NEW DONOR -4th</v>
      </c>
      <c r="H249" s="182"/>
      <c r="I249" s="34" t="s">
        <v>40</v>
      </c>
      <c r="J249" s="58">
        <v>65</v>
      </c>
      <c r="K249" s="62">
        <v>70</v>
      </c>
      <c r="L249" s="58">
        <v>55</v>
      </c>
      <c r="M249" s="58">
        <v>55</v>
      </c>
      <c r="N249" s="58">
        <v>55</v>
      </c>
      <c r="O249" s="58">
        <v>55</v>
      </c>
      <c r="P249" s="58">
        <v>55</v>
      </c>
      <c r="Q249" s="58"/>
      <c r="R249" s="23"/>
      <c r="S249" s="117" t="str">
        <f t="shared" si="33"/>
        <v>Y</v>
      </c>
      <c r="T249" s="114">
        <f>IFERROR(SUMIF('Current NLData'!A:A,'Payment Changes'!G249,'Current NLData'!K:K)/COUNTIF('Current NLData'!A:A,'Payment Changes'!G249),0)+IFERROR(VLOOKUP(G249&amp;"-ALL",NLPaymentExport,10,FALSE),0)</f>
        <v>55</v>
      </c>
      <c r="U249" s="118">
        <f t="shared" si="34"/>
        <v>55</v>
      </c>
    </row>
    <row r="250" spans="1:54" ht="17.100000000000001" hidden="1" customHeight="1" outlineLevel="1" x14ac:dyDescent="0.25">
      <c r="A250" s="3"/>
      <c r="C250" s="4"/>
      <c r="D250" s="181"/>
      <c r="E250" s="91" t="str">
        <f t="shared" si="35"/>
        <v>Lakewood</v>
      </c>
      <c r="F250" s="93" t="str">
        <f t="shared" si="37"/>
        <v>CP227</v>
      </c>
      <c r="G250" s="99" t="str">
        <f t="shared" si="39"/>
        <v>CP227-NEW DONOR -5th</v>
      </c>
      <c r="H250" s="182"/>
      <c r="I250" s="34" t="s">
        <v>41</v>
      </c>
      <c r="J250" s="58">
        <v>65</v>
      </c>
      <c r="K250" s="62">
        <v>60</v>
      </c>
      <c r="L250" s="58">
        <v>55</v>
      </c>
      <c r="M250" s="58">
        <v>55</v>
      </c>
      <c r="N250" s="58">
        <v>55</v>
      </c>
      <c r="O250" s="58">
        <v>55</v>
      </c>
      <c r="P250" s="58">
        <v>55</v>
      </c>
      <c r="Q250" s="58"/>
      <c r="R250" s="23"/>
      <c r="S250" s="117" t="str">
        <f t="shared" si="33"/>
        <v>Y</v>
      </c>
      <c r="T250" s="114">
        <f>IFERROR(SUMIF('Current NLData'!A:A,'Payment Changes'!G250,'Current NLData'!K:K)/COUNTIF('Current NLData'!A:A,'Payment Changes'!G250),0)+IFERROR(VLOOKUP(G250&amp;"-ALL",NLPaymentExport,10,FALSE),0)</f>
        <v>55</v>
      </c>
      <c r="U250" s="118">
        <f t="shared" si="34"/>
        <v>55</v>
      </c>
    </row>
    <row r="251" spans="1:54" ht="17.100000000000001" hidden="1" customHeight="1" outlineLevel="1" x14ac:dyDescent="0.25">
      <c r="A251" s="3"/>
      <c r="C251" s="4"/>
      <c r="D251" s="181"/>
      <c r="E251" s="91" t="str">
        <f t="shared" si="35"/>
        <v>Lakewood</v>
      </c>
      <c r="F251" s="93" t="str">
        <f t="shared" si="37"/>
        <v>CP227</v>
      </c>
      <c r="G251" s="99" t="str">
        <f t="shared" si="39"/>
        <v>CP227-NEW DONOR -6th</v>
      </c>
      <c r="H251" s="182"/>
      <c r="I251" s="34" t="s">
        <v>42</v>
      </c>
      <c r="J251" s="58">
        <v>65</v>
      </c>
      <c r="K251" s="62">
        <v>70</v>
      </c>
      <c r="L251" s="58">
        <v>55</v>
      </c>
      <c r="M251" s="58">
        <v>55</v>
      </c>
      <c r="N251" s="58">
        <v>55</v>
      </c>
      <c r="O251" s="58">
        <v>55</v>
      </c>
      <c r="P251" s="58">
        <v>55</v>
      </c>
      <c r="Q251" s="58"/>
      <c r="R251" s="23"/>
      <c r="S251" s="117" t="str">
        <f t="shared" si="33"/>
        <v>Y</v>
      </c>
      <c r="T251" s="114">
        <f>IFERROR(SUMIF('Current NLData'!A:A,'Payment Changes'!G251,'Current NLData'!K:K)/COUNTIF('Current NLData'!A:A,'Payment Changes'!G251),0)+IFERROR(VLOOKUP(G251&amp;"-ALL",NLPaymentExport,10,FALSE),0)</f>
        <v>55</v>
      </c>
      <c r="U251" s="118">
        <f t="shared" si="34"/>
        <v>55</v>
      </c>
    </row>
    <row r="252" spans="1:54" ht="17.100000000000001" hidden="1" customHeight="1" outlineLevel="1" x14ac:dyDescent="0.25">
      <c r="A252" s="3"/>
      <c r="C252" s="4"/>
      <c r="D252" s="181"/>
      <c r="E252" s="91" t="str">
        <f t="shared" si="35"/>
        <v>Lakewood</v>
      </c>
      <c r="F252" s="93" t="str">
        <f t="shared" si="37"/>
        <v>CP227</v>
      </c>
      <c r="G252" s="99" t="str">
        <f t="shared" si="39"/>
        <v>CP227-NEW DONOR -7th</v>
      </c>
      <c r="H252" s="182"/>
      <c r="I252" s="34" t="s">
        <v>43</v>
      </c>
      <c r="J252" s="58">
        <v>65</v>
      </c>
      <c r="K252" s="62">
        <v>60</v>
      </c>
      <c r="L252" s="58">
        <v>55</v>
      </c>
      <c r="M252" s="58">
        <v>55</v>
      </c>
      <c r="N252" s="58">
        <v>55</v>
      </c>
      <c r="O252" s="58">
        <v>55</v>
      </c>
      <c r="P252" s="58">
        <v>55</v>
      </c>
      <c r="Q252" s="58"/>
      <c r="R252" s="23"/>
      <c r="S252" s="117" t="str">
        <f t="shared" si="33"/>
        <v>Y</v>
      </c>
      <c r="T252" s="114">
        <f>IFERROR(SUMIF('Current NLData'!A:A,'Payment Changes'!G252,'Current NLData'!K:K)/COUNTIF('Current NLData'!A:A,'Payment Changes'!G252),0)+IFERROR(VLOOKUP(G252&amp;"-ALL",NLPaymentExport,10,FALSE),0)</f>
        <v>55</v>
      </c>
      <c r="U252" s="118">
        <f t="shared" si="34"/>
        <v>55</v>
      </c>
    </row>
    <row r="253" spans="1:54" ht="17.100000000000001" hidden="1" customHeight="1" outlineLevel="1" x14ac:dyDescent="0.25">
      <c r="A253" s="3"/>
      <c r="C253" s="4"/>
      <c r="D253" s="181"/>
      <c r="E253" s="91" t="str">
        <f t="shared" si="35"/>
        <v>Lakewood</v>
      </c>
      <c r="F253" s="93" t="str">
        <f t="shared" si="37"/>
        <v>CP227</v>
      </c>
      <c r="G253" s="99" t="str">
        <f t="shared" si="39"/>
        <v>CP227-NEW DONOR -8th</v>
      </c>
      <c r="H253" s="182"/>
      <c r="I253" s="35" t="s">
        <v>44</v>
      </c>
      <c r="J253" s="63">
        <v>70</v>
      </c>
      <c r="K253" s="64">
        <v>70</v>
      </c>
      <c r="L253" s="63">
        <v>55</v>
      </c>
      <c r="M253" s="63">
        <v>55</v>
      </c>
      <c r="N253" s="63">
        <v>55</v>
      </c>
      <c r="O253" s="63">
        <v>55</v>
      </c>
      <c r="P253" s="63">
        <v>55</v>
      </c>
      <c r="Q253" s="63"/>
      <c r="R253" s="23"/>
      <c r="S253" s="117" t="str">
        <f t="shared" si="33"/>
        <v>Y</v>
      </c>
      <c r="T253" s="114">
        <f>IFERROR(SUMIF('Current NLData'!A:A,'Payment Changes'!G253,'Current NLData'!K:K)/COUNTIF('Current NLData'!A:A,'Payment Changes'!G253),0)+IFERROR(VLOOKUP(G253&amp;"-ALL",NLPaymentExport,10,FALSE),0)</f>
        <v>55</v>
      </c>
      <c r="U253" s="118">
        <f t="shared" si="34"/>
        <v>55</v>
      </c>
    </row>
    <row r="254" spans="1:54" ht="17.100000000000001" hidden="1" customHeight="1" outlineLevel="1" x14ac:dyDescent="0.25">
      <c r="A254" s="3"/>
      <c r="C254" s="4"/>
      <c r="D254" s="181"/>
      <c r="E254" s="91" t="str">
        <f t="shared" si="35"/>
        <v>Lakewood</v>
      </c>
      <c r="F254" s="93" t="str">
        <f t="shared" si="37"/>
        <v>CP227</v>
      </c>
      <c r="G254" s="99" t="str">
        <f t="shared" si="39"/>
        <v>CP227-RETURN - 1st don of the week -STD</v>
      </c>
      <c r="H254" s="182"/>
      <c r="I254" s="36" t="s">
        <v>45</v>
      </c>
      <c r="J254" s="58">
        <v>65</v>
      </c>
      <c r="K254" s="62">
        <v>60</v>
      </c>
      <c r="L254" s="58">
        <v>55</v>
      </c>
      <c r="M254" s="58">
        <v>55</v>
      </c>
      <c r="N254" s="58">
        <v>55</v>
      </c>
      <c r="O254" s="58">
        <v>55</v>
      </c>
      <c r="P254" s="58">
        <v>55</v>
      </c>
      <c r="Q254" s="58"/>
      <c r="R254" s="23"/>
      <c r="S254" s="117" t="str">
        <f t="shared" si="33"/>
        <v>Y</v>
      </c>
      <c r="T254" s="114">
        <f>IFERROR(SUMIF('Current NLData'!A:A,'Payment Changes'!G254,'Current NLData'!K:K)/COUNTIF('Current NLData'!A:A,'Payment Changes'!G254),0)+IFERROR(VLOOKUP(G254&amp;"-ALL",NLPaymentExport,10,FALSE),0)</f>
        <v>55</v>
      </c>
      <c r="U254" s="118">
        <f t="shared" si="34"/>
        <v>55</v>
      </c>
    </row>
    <row r="255" spans="1:54" ht="17.100000000000001" hidden="1" customHeight="1" outlineLevel="1" x14ac:dyDescent="0.25">
      <c r="A255" s="3"/>
      <c r="C255" s="4"/>
      <c r="D255" s="181"/>
      <c r="E255" s="91" t="str">
        <f t="shared" si="35"/>
        <v>Lakewood</v>
      </c>
      <c r="F255" s="93" t="str">
        <f t="shared" si="37"/>
        <v>CP227</v>
      </c>
      <c r="G255" s="99" t="str">
        <f t="shared" si="39"/>
        <v>CP227-RETURN - 2nd don of the week -BONUS</v>
      </c>
      <c r="H255" s="182"/>
      <c r="I255" s="36" t="s">
        <v>46</v>
      </c>
      <c r="J255" s="58">
        <v>5</v>
      </c>
      <c r="K255" s="62">
        <v>10</v>
      </c>
      <c r="L255" s="58">
        <v>10</v>
      </c>
      <c r="M255" s="58">
        <v>10</v>
      </c>
      <c r="N255" s="58">
        <v>10</v>
      </c>
      <c r="O255" s="58">
        <v>10</v>
      </c>
      <c r="P255" s="58">
        <v>10</v>
      </c>
      <c r="Q255" s="58"/>
      <c r="R255" s="23"/>
      <c r="S255" s="117" t="str">
        <f t="shared" si="33"/>
        <v>Y</v>
      </c>
      <c r="T255" s="114">
        <f>IFERROR(SUMIF('Current NLData'!A:A,'Payment Changes'!G255,'Current NLData'!K:K)/COUNTIF('Current NLData'!A:A,'Payment Changes'!G255),0)+IFERROR(VLOOKUP(G255&amp;"-ALL",NLPaymentExport,10,FALSE),0)</f>
        <v>10</v>
      </c>
      <c r="U255" s="118">
        <f t="shared" si="34"/>
        <v>10</v>
      </c>
    </row>
    <row r="256" spans="1:54" ht="17.100000000000001" hidden="1" customHeight="1" outlineLevel="1" x14ac:dyDescent="0.25">
      <c r="A256" s="3"/>
      <c r="C256" s="4"/>
      <c r="D256" s="181"/>
      <c r="E256" s="91" t="str">
        <f t="shared" si="35"/>
        <v>Lakewood</v>
      </c>
      <c r="F256" s="93" t="str">
        <f t="shared" si="37"/>
        <v>CP227</v>
      </c>
      <c r="G256" s="99" t="str">
        <f t="shared" si="39"/>
        <v>CP227-RETURN - 5th don of the month -BONUS</v>
      </c>
      <c r="H256" s="182"/>
      <c r="I256" s="37" t="s">
        <v>47</v>
      </c>
      <c r="J256" s="65">
        <v>0</v>
      </c>
      <c r="K256" s="65">
        <v>0</v>
      </c>
      <c r="L256" s="65">
        <v>0</v>
      </c>
      <c r="M256" s="65">
        <v>0</v>
      </c>
      <c r="N256" s="65">
        <v>0</v>
      </c>
      <c r="O256" s="65">
        <v>0</v>
      </c>
      <c r="P256" s="65">
        <v>0</v>
      </c>
      <c r="Q256" s="65"/>
      <c r="R256" s="22"/>
      <c r="S256" s="117" t="str">
        <f t="shared" si="33"/>
        <v>N</v>
      </c>
      <c r="T256" s="114">
        <f>IFERROR(SUMIF('Current NLData'!A:A,'Payment Changes'!G256,'Current NLData'!K:K)/COUNTIF('Current NLData'!A:A,'Payment Changes'!G256),0)+IFERROR(VLOOKUP(G256&amp;"-ALL",NLPaymentExport,10,FALSE),0)</f>
        <v>0</v>
      </c>
      <c r="U256" s="118">
        <f t="shared" si="34"/>
        <v>0</v>
      </c>
    </row>
    <row r="257" spans="1:54" ht="17.100000000000001" hidden="1" customHeight="1" outlineLevel="1" x14ac:dyDescent="0.25">
      <c r="A257" s="3"/>
      <c r="C257" s="4"/>
      <c r="D257" s="181"/>
      <c r="E257" s="91" t="str">
        <f t="shared" si="35"/>
        <v>Lakewood</v>
      </c>
      <c r="F257" s="93" t="str">
        <f t="shared" si="37"/>
        <v>CP227</v>
      </c>
      <c r="G257" s="99" t="str">
        <f t="shared" si="39"/>
        <v>CP227-RETURN - 6th don of the month -BONUS</v>
      </c>
      <c r="H257" s="182"/>
      <c r="I257" s="38" t="s">
        <v>48</v>
      </c>
      <c r="J257" s="58">
        <v>0</v>
      </c>
      <c r="K257" s="58">
        <v>0</v>
      </c>
      <c r="L257" s="58">
        <v>0</v>
      </c>
      <c r="M257" s="58">
        <v>0</v>
      </c>
      <c r="N257" s="58">
        <v>0</v>
      </c>
      <c r="O257" s="58">
        <v>0</v>
      </c>
      <c r="P257" s="58">
        <v>0</v>
      </c>
      <c r="Q257" s="58"/>
      <c r="R257" s="22"/>
      <c r="S257" s="117" t="str">
        <f t="shared" si="33"/>
        <v>N</v>
      </c>
      <c r="T257" s="114">
        <f>IFERROR(SUMIF('Current NLData'!A:A,'Payment Changes'!G257,'Current NLData'!K:K)/COUNTIF('Current NLData'!A:A,'Payment Changes'!G257),0)+IFERROR(VLOOKUP(G257&amp;"-ALL",NLPaymentExport,10,FALSE),0)</f>
        <v>0</v>
      </c>
      <c r="U257" s="118">
        <f t="shared" si="34"/>
        <v>0</v>
      </c>
    </row>
    <row r="258" spans="1:54" ht="17.100000000000001" hidden="1" customHeight="1" outlineLevel="1" x14ac:dyDescent="0.25">
      <c r="A258" s="3"/>
      <c r="C258" s="4"/>
      <c r="D258" s="181"/>
      <c r="E258" s="91" t="str">
        <f t="shared" si="35"/>
        <v>Lakewood</v>
      </c>
      <c r="F258" s="93" t="str">
        <f t="shared" si="37"/>
        <v>CP227</v>
      </c>
      <c r="G258" s="99" t="str">
        <f t="shared" si="39"/>
        <v>CP227-RETURN - 7th don of the month -BONUS</v>
      </c>
      <c r="H258" s="182"/>
      <c r="I258" s="38" t="s">
        <v>49</v>
      </c>
      <c r="J258" s="58">
        <v>0</v>
      </c>
      <c r="K258" s="58">
        <v>0</v>
      </c>
      <c r="L258" s="58">
        <v>0</v>
      </c>
      <c r="M258" s="58">
        <v>0</v>
      </c>
      <c r="N258" s="58">
        <v>0</v>
      </c>
      <c r="O258" s="58">
        <v>0</v>
      </c>
      <c r="P258" s="58">
        <v>0</v>
      </c>
      <c r="Q258" s="58"/>
      <c r="R258" s="22"/>
      <c r="S258" s="117" t="str">
        <f t="shared" si="33"/>
        <v>N</v>
      </c>
      <c r="T258" s="114">
        <f>IFERROR(SUMIF('Current NLData'!A:A,'Payment Changes'!G258,'Current NLData'!K:K)/COUNTIF('Current NLData'!A:A,'Payment Changes'!G258),0)+IFERROR(VLOOKUP(G258&amp;"-ALL",NLPaymentExport,10,FALSE),0)</f>
        <v>0</v>
      </c>
      <c r="U258" s="118">
        <f t="shared" si="34"/>
        <v>0</v>
      </c>
    </row>
    <row r="259" spans="1:54" ht="17.100000000000001" hidden="1" customHeight="1" outlineLevel="1" x14ac:dyDescent="0.25">
      <c r="A259" s="3"/>
      <c r="C259" s="4"/>
      <c r="D259" s="181"/>
      <c r="E259" s="91" t="str">
        <f t="shared" si="35"/>
        <v>Lakewood</v>
      </c>
      <c r="F259" s="93" t="str">
        <f t="shared" si="37"/>
        <v>CP227</v>
      </c>
      <c r="G259" s="99" t="str">
        <f t="shared" si="39"/>
        <v>CP227-RETURN - 8th don of the month -BONUS</v>
      </c>
      <c r="H259" s="182"/>
      <c r="I259" s="38" t="s">
        <v>50</v>
      </c>
      <c r="J259" s="58">
        <v>25</v>
      </c>
      <c r="K259" s="58">
        <v>25</v>
      </c>
      <c r="L259" s="58">
        <v>0</v>
      </c>
      <c r="M259" s="58">
        <v>0</v>
      </c>
      <c r="N259" s="58">
        <v>0</v>
      </c>
      <c r="O259" s="58">
        <v>0</v>
      </c>
      <c r="P259" s="58">
        <v>0</v>
      </c>
      <c r="Q259" s="58"/>
      <c r="R259" s="22"/>
      <c r="S259" s="117" t="str">
        <f t="shared" ref="S259:S322" si="40">IF(P259=Q259,"N","Y")</f>
        <v>N</v>
      </c>
      <c r="T259" s="114">
        <f>IFERROR(SUMIF('Current NLData'!A:A,'Payment Changes'!G259,'Current NLData'!K:K)/COUNTIF('Current NLData'!A:A,'Payment Changes'!G259),0)+IFERROR(VLOOKUP(G259&amp;"-ALL",NLPaymentExport,10,FALSE),0)</f>
        <v>0</v>
      </c>
      <c r="U259" s="118">
        <f t="shared" si="34"/>
        <v>0</v>
      </c>
    </row>
    <row r="260" spans="1:54" ht="17.100000000000001" hidden="1" customHeight="1" outlineLevel="1" x14ac:dyDescent="0.25">
      <c r="A260" s="3"/>
      <c r="C260" s="4" t="str">
        <f>IF(J260=0,"Warning","")</f>
        <v/>
      </c>
      <c r="D260" s="181"/>
      <c r="E260" s="91" t="str">
        <f t="shared" si="35"/>
        <v>Lakewood</v>
      </c>
      <c r="F260" s="93" t="str">
        <f t="shared" si="37"/>
        <v>CP227</v>
      </c>
      <c r="G260" s="99" t="str">
        <f t="shared" si="39"/>
        <v>CP227-RETURN - Buddy referral  -BONUS</v>
      </c>
      <c r="H260" s="182"/>
      <c r="I260" s="39" t="s">
        <v>51</v>
      </c>
      <c r="J260" s="58">
        <v>50</v>
      </c>
      <c r="K260" s="58">
        <v>50</v>
      </c>
      <c r="L260" s="58">
        <v>0</v>
      </c>
      <c r="M260" s="58">
        <v>0</v>
      </c>
      <c r="N260" s="58">
        <v>0</v>
      </c>
      <c r="O260" s="58">
        <v>0</v>
      </c>
      <c r="P260" s="58">
        <v>0</v>
      </c>
      <c r="Q260" s="58"/>
      <c r="R260" s="22"/>
      <c r="S260" s="117" t="str">
        <f t="shared" si="40"/>
        <v>N</v>
      </c>
      <c r="T260" s="114">
        <f>IFERROR(SUMIF('Current NLData'!A:A,'Payment Changes'!G260,'Current NLData'!K:K)/COUNTIF('Current NLData'!A:A,'Payment Changes'!G260),0)+IFERROR(VLOOKUP(G260&amp;"-ALL",NLPaymentExport,10,FALSE),0)</f>
        <v>0</v>
      </c>
      <c r="U260" s="118">
        <f t="shared" si="34"/>
        <v>0</v>
      </c>
    </row>
    <row r="261" spans="1:54" s="90" customFormat="1" ht="17.100000000000001" hidden="1" customHeight="1" collapsed="1" x14ac:dyDescent="0.35">
      <c r="A261" s="85"/>
      <c r="B261" s="85"/>
      <c r="C261" s="86"/>
      <c r="D261" s="87"/>
      <c r="E261" s="87"/>
      <c r="F261" s="87"/>
      <c r="G261" s="87"/>
      <c r="H261" s="96"/>
      <c r="I261" s="88"/>
      <c r="J261" s="89"/>
      <c r="K261" s="89"/>
      <c r="L261" s="89"/>
      <c r="M261" s="89"/>
      <c r="N261" s="89"/>
      <c r="O261" s="89"/>
      <c r="P261" s="89"/>
      <c r="Q261" s="89"/>
      <c r="R261" s="21"/>
      <c r="S261" s="117" t="str">
        <f t="shared" si="40"/>
        <v>N</v>
      </c>
      <c r="T261" s="114">
        <f>IFERROR(SUMIF('Current NLData'!A:A,'Payment Changes'!G261,'Current NLData'!K:K)/COUNTIF('Current NLData'!A:A,'Payment Changes'!G261),0)+IFERROR(VLOOKUP(G261&amp;"-ALL",NLPaymentExport,10,FALSE),0)</f>
        <v>0</v>
      </c>
      <c r="U261" s="118" t="str">
        <f t="shared" si="34"/>
        <v/>
      </c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</row>
    <row r="262" spans="1:54" s="10" customFormat="1" ht="17.100000000000001" hidden="1" customHeight="1" x14ac:dyDescent="0.25">
      <c r="A262" s="165">
        <v>14</v>
      </c>
      <c r="B262" s="168" t="s">
        <v>105</v>
      </c>
      <c r="C262" s="171" t="s">
        <v>106</v>
      </c>
      <c r="D262" s="174" t="s">
        <v>57</v>
      </c>
      <c r="E262" s="106" t="str">
        <f t="shared" si="35"/>
        <v>El Paso - Alameda</v>
      </c>
      <c r="F262" s="107" t="s">
        <v>107</v>
      </c>
      <c r="G262" s="108" t="str">
        <f t="shared" ref="G262:G280" si="41">F262&amp;"-"&amp;I262</f>
        <v>CP528-New Donor</v>
      </c>
      <c r="H262" s="177" t="s">
        <v>75</v>
      </c>
      <c r="I262" s="76" t="s">
        <v>23</v>
      </c>
      <c r="J262" s="40" t="s">
        <v>59</v>
      </c>
      <c r="K262" s="41" t="s">
        <v>97</v>
      </c>
      <c r="L262" s="41" t="s">
        <v>98</v>
      </c>
      <c r="M262" s="119" t="s">
        <v>87</v>
      </c>
      <c r="N262" s="139" t="s">
        <v>87</v>
      </c>
      <c r="O262" s="139" t="s">
        <v>87</v>
      </c>
      <c r="P262" s="139" t="s">
        <v>87</v>
      </c>
      <c r="Q262" s="139" t="s">
        <v>63</v>
      </c>
      <c r="R262" s="109"/>
      <c r="S262" s="117" t="str">
        <f t="shared" si="40"/>
        <v>Y</v>
      </c>
      <c r="T262" s="114">
        <f>IFERROR(SUMIF('Current NLData'!A:A,'Payment Changes'!G262,'Current NLData'!K:K)/COUNTIF('Current NLData'!A:A,'Payment Changes'!G262),0)+IFERROR(VLOOKUP(G262&amp;"-ALL",NLPaymentExport,10,FALSE),0)</f>
        <v>0</v>
      </c>
      <c r="U262" s="118" t="str">
        <f t="shared" si="34"/>
        <v/>
      </c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</row>
    <row r="263" spans="1:54" ht="17.100000000000001" hidden="1" customHeight="1" x14ac:dyDescent="0.25">
      <c r="A263" s="166"/>
      <c r="B263" s="169"/>
      <c r="C263" s="172"/>
      <c r="D263" s="175"/>
      <c r="E263" s="91" t="str">
        <f t="shared" si="35"/>
        <v>El Paso - Alameda</v>
      </c>
      <c r="F263" s="92" t="s">
        <v>107</v>
      </c>
      <c r="G263" s="98" t="str">
        <f t="shared" si="41"/>
        <v>CP528-Return Donor</v>
      </c>
      <c r="H263" s="178"/>
      <c r="I263" s="77" t="s">
        <v>29</v>
      </c>
      <c r="J263" s="43" t="s">
        <v>59</v>
      </c>
      <c r="K263" s="43" t="s">
        <v>99</v>
      </c>
      <c r="L263" s="44" t="s">
        <v>98</v>
      </c>
      <c r="M263" s="120" t="s">
        <v>87</v>
      </c>
      <c r="N263" s="140" t="s">
        <v>87</v>
      </c>
      <c r="O263" s="140" t="s">
        <v>87</v>
      </c>
      <c r="P263" s="140" t="s">
        <v>87</v>
      </c>
      <c r="Q263" s="140" t="s">
        <v>87</v>
      </c>
      <c r="R263" s="21"/>
      <c r="S263" s="117" t="str">
        <f t="shared" si="40"/>
        <v>N</v>
      </c>
      <c r="T263" s="114">
        <f>IFERROR(SUMIF('Current NLData'!A:A,'Payment Changes'!G263,'Current NLData'!K:K)/COUNTIF('Current NLData'!A:A,'Payment Changes'!G263),0)+IFERROR(VLOOKUP(G263&amp;"-ALL",NLPaymentExport,10,FALSE),0)</f>
        <v>0</v>
      </c>
      <c r="U263" s="118" t="str">
        <f t="shared" ref="U263:U326" si="42">IF(OR(I263 = "New Donor", I263="Return Donor", I263="Retention Bonus", I263="Referral", I263 = ""),"",T263-Q263 )</f>
        <v/>
      </c>
    </row>
    <row r="264" spans="1:54" ht="17.100000000000001" hidden="1" customHeight="1" x14ac:dyDescent="0.25">
      <c r="A264" s="166"/>
      <c r="B264" s="169"/>
      <c r="C264" s="172"/>
      <c r="D264" s="175"/>
      <c r="E264" s="91" t="str">
        <f t="shared" si="35"/>
        <v>El Paso - Alameda</v>
      </c>
      <c r="F264" s="92" t="s">
        <v>107</v>
      </c>
      <c r="G264" s="98" t="str">
        <f t="shared" si="41"/>
        <v>CP528-Retention Bonus</v>
      </c>
      <c r="H264" s="178"/>
      <c r="I264" s="78" t="s">
        <v>30</v>
      </c>
      <c r="J264" s="46" t="s">
        <v>31</v>
      </c>
      <c r="K264" s="46" t="s">
        <v>31</v>
      </c>
      <c r="L264" s="47" t="s">
        <v>32</v>
      </c>
      <c r="M264" s="48" t="s">
        <v>32</v>
      </c>
      <c r="N264" s="46" t="s">
        <v>32</v>
      </c>
      <c r="O264" s="46" t="s">
        <v>32</v>
      </c>
      <c r="P264" s="46" t="s">
        <v>32</v>
      </c>
      <c r="Q264" s="46" t="s">
        <v>32</v>
      </c>
      <c r="R264" s="21"/>
      <c r="S264" s="117" t="str">
        <f t="shared" si="40"/>
        <v>N</v>
      </c>
      <c r="T264" s="114">
        <f>IFERROR(SUMIF('Current NLData'!A:A,'Payment Changes'!G264,'Current NLData'!K:K)/COUNTIF('Current NLData'!A:A,'Payment Changes'!G264),0)+IFERROR(VLOOKUP(G264&amp;"-ALL",NLPaymentExport,10,FALSE),0)</f>
        <v>0</v>
      </c>
      <c r="U264" s="118" t="str">
        <f t="shared" si="42"/>
        <v/>
      </c>
    </row>
    <row r="265" spans="1:54" s="15" customFormat="1" ht="17.100000000000001" hidden="1" customHeight="1" x14ac:dyDescent="0.25">
      <c r="A265" s="167"/>
      <c r="B265" s="170"/>
      <c r="C265" s="173"/>
      <c r="D265" s="176"/>
      <c r="E265" s="110" t="str">
        <f t="shared" ref="E265:E328" si="43">IF(B265 = "",E264,B265)</f>
        <v>El Paso - Alameda</v>
      </c>
      <c r="F265" s="111" t="s">
        <v>107</v>
      </c>
      <c r="G265" s="112" t="str">
        <f t="shared" si="41"/>
        <v>CP528-Referral</v>
      </c>
      <c r="H265" s="179"/>
      <c r="I265" s="79" t="s">
        <v>34</v>
      </c>
      <c r="J265" s="49">
        <v>50</v>
      </c>
      <c r="K265" s="49">
        <v>0</v>
      </c>
      <c r="L265" s="50" t="s">
        <v>32</v>
      </c>
      <c r="M265" s="51" t="s">
        <v>32</v>
      </c>
      <c r="N265" s="49">
        <v>50</v>
      </c>
      <c r="O265" s="49">
        <v>50</v>
      </c>
      <c r="P265" s="49">
        <v>50</v>
      </c>
      <c r="Q265" s="49">
        <v>50</v>
      </c>
      <c r="R265" s="113"/>
      <c r="S265" s="117" t="str">
        <f t="shared" si="40"/>
        <v>N</v>
      </c>
      <c r="T265" s="114">
        <f>IFERROR(SUMIF('Current NLData'!A:A,'Payment Changes'!G265,'Current NLData'!K:K)/COUNTIF('Current NLData'!A:A,'Payment Changes'!G265),0)+IFERROR(VLOOKUP(G265&amp;"-ALL",NLPaymentExport,10,FALSE),0)</f>
        <v>0</v>
      </c>
      <c r="U265" s="118" t="str">
        <f t="shared" si="42"/>
        <v/>
      </c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</row>
    <row r="266" spans="1:54" ht="17.100000000000001" hidden="1" customHeight="1" outlineLevel="1" x14ac:dyDescent="0.25">
      <c r="A266" s="3"/>
      <c r="C266" s="4"/>
      <c r="D266" s="180" t="s">
        <v>107</v>
      </c>
      <c r="E266" s="91" t="str">
        <f t="shared" si="43"/>
        <v>El Paso - Alameda</v>
      </c>
      <c r="F266" s="93" t="str">
        <f t="shared" ref="F266:F328" si="44">IF(D266 = "",F265,D266)</f>
        <v>CP528</v>
      </c>
      <c r="G266" s="99" t="str">
        <f t="shared" si="41"/>
        <v>CP528-NEW DONOR -1st</v>
      </c>
      <c r="H266" s="182" t="s">
        <v>36</v>
      </c>
      <c r="I266" s="33" t="s">
        <v>37</v>
      </c>
      <c r="J266" s="60">
        <v>65</v>
      </c>
      <c r="K266" s="61">
        <v>61</v>
      </c>
      <c r="L266" s="60">
        <v>56</v>
      </c>
      <c r="M266" s="60">
        <v>65</v>
      </c>
      <c r="N266" s="60">
        <v>65</v>
      </c>
      <c r="O266" s="60">
        <v>65</v>
      </c>
      <c r="P266" s="60">
        <v>65</v>
      </c>
      <c r="Q266" s="60">
        <v>100</v>
      </c>
      <c r="R266" s="23"/>
      <c r="S266" s="117" t="str">
        <f t="shared" si="40"/>
        <v>Y</v>
      </c>
      <c r="T266" s="114">
        <f>IFERROR(SUMIF('Current NLData'!A:A,'Payment Changes'!G266,'Current NLData'!K:K)/COUNTIF('Current NLData'!A:A,'Payment Changes'!G266),0)+IFERROR(VLOOKUP(G266&amp;"-ALL",NLPaymentExport,10,FALSE),0)</f>
        <v>65</v>
      </c>
      <c r="U266" s="118">
        <f t="shared" si="42"/>
        <v>-35</v>
      </c>
    </row>
    <row r="267" spans="1:54" ht="17.100000000000001" hidden="1" customHeight="1" outlineLevel="1" x14ac:dyDescent="0.25">
      <c r="A267" s="3"/>
      <c r="C267" s="4"/>
      <c r="D267" s="181"/>
      <c r="E267" s="91" t="str">
        <f t="shared" si="43"/>
        <v>El Paso - Alameda</v>
      </c>
      <c r="F267" s="93" t="str">
        <f t="shared" si="44"/>
        <v>CP528</v>
      </c>
      <c r="G267" s="99" t="str">
        <f t="shared" si="41"/>
        <v>CP528-NEW DONOR -2nd</v>
      </c>
      <c r="H267" s="182"/>
      <c r="I267" s="34" t="s">
        <v>38</v>
      </c>
      <c r="J267" s="58">
        <v>65</v>
      </c>
      <c r="K267" s="62">
        <v>65</v>
      </c>
      <c r="L267" s="58">
        <v>56</v>
      </c>
      <c r="M267" s="58">
        <v>65</v>
      </c>
      <c r="N267" s="58">
        <v>65</v>
      </c>
      <c r="O267" s="58">
        <v>65</v>
      </c>
      <c r="P267" s="58">
        <v>65</v>
      </c>
      <c r="Q267" s="58">
        <v>100</v>
      </c>
      <c r="R267" s="23"/>
      <c r="S267" s="117" t="str">
        <f t="shared" si="40"/>
        <v>Y</v>
      </c>
      <c r="T267" s="114">
        <f>IFERROR(SUMIF('Current NLData'!A:A,'Payment Changes'!G267,'Current NLData'!K:K)/COUNTIF('Current NLData'!A:A,'Payment Changes'!G267),0)+IFERROR(VLOOKUP(G267&amp;"-ALL",NLPaymentExport,10,FALSE),0)</f>
        <v>65</v>
      </c>
      <c r="U267" s="118">
        <f t="shared" si="42"/>
        <v>-35</v>
      </c>
    </row>
    <row r="268" spans="1:54" ht="17.100000000000001" hidden="1" customHeight="1" outlineLevel="1" x14ac:dyDescent="0.25">
      <c r="A268" s="3"/>
      <c r="C268" s="4"/>
      <c r="D268" s="181"/>
      <c r="E268" s="91" t="str">
        <f t="shared" si="43"/>
        <v>El Paso - Alameda</v>
      </c>
      <c r="F268" s="93" t="str">
        <f t="shared" si="44"/>
        <v>CP528</v>
      </c>
      <c r="G268" s="99" t="str">
        <f t="shared" si="41"/>
        <v>CP528-NEW DONOR -3rd</v>
      </c>
      <c r="H268" s="182"/>
      <c r="I268" s="34" t="s">
        <v>39</v>
      </c>
      <c r="J268" s="58">
        <v>65</v>
      </c>
      <c r="K268" s="62">
        <v>61</v>
      </c>
      <c r="L268" s="58">
        <v>56</v>
      </c>
      <c r="M268" s="58">
        <v>65</v>
      </c>
      <c r="N268" s="58">
        <v>65</v>
      </c>
      <c r="O268" s="58">
        <v>65</v>
      </c>
      <c r="P268" s="58">
        <v>65</v>
      </c>
      <c r="Q268" s="58">
        <v>100</v>
      </c>
      <c r="R268" s="23"/>
      <c r="S268" s="117" t="str">
        <f t="shared" si="40"/>
        <v>Y</v>
      </c>
      <c r="T268" s="114">
        <f>IFERROR(SUMIF('Current NLData'!A:A,'Payment Changes'!G268,'Current NLData'!K:K)/COUNTIF('Current NLData'!A:A,'Payment Changes'!G268),0)+IFERROR(VLOOKUP(G268&amp;"-ALL",NLPaymentExport,10,FALSE),0)</f>
        <v>65</v>
      </c>
      <c r="U268" s="118">
        <f t="shared" si="42"/>
        <v>-35</v>
      </c>
    </row>
    <row r="269" spans="1:54" ht="17.100000000000001" hidden="1" customHeight="1" outlineLevel="1" x14ac:dyDescent="0.25">
      <c r="A269" s="3"/>
      <c r="C269" s="4"/>
      <c r="D269" s="181"/>
      <c r="E269" s="91" t="str">
        <f t="shared" si="43"/>
        <v>El Paso - Alameda</v>
      </c>
      <c r="F269" s="93" t="str">
        <f t="shared" si="44"/>
        <v>CP528</v>
      </c>
      <c r="G269" s="99" t="str">
        <f t="shared" si="41"/>
        <v>CP528-NEW DONOR -4th</v>
      </c>
      <c r="H269" s="182"/>
      <c r="I269" s="34" t="s">
        <v>40</v>
      </c>
      <c r="J269" s="58">
        <v>65</v>
      </c>
      <c r="K269" s="62">
        <v>65</v>
      </c>
      <c r="L269" s="58">
        <v>56</v>
      </c>
      <c r="M269" s="58">
        <v>65</v>
      </c>
      <c r="N269" s="58">
        <v>65</v>
      </c>
      <c r="O269" s="58">
        <v>65</v>
      </c>
      <c r="P269" s="58">
        <v>65</v>
      </c>
      <c r="Q269" s="58">
        <v>100</v>
      </c>
      <c r="R269" s="23"/>
      <c r="S269" s="117" t="str">
        <f t="shared" si="40"/>
        <v>Y</v>
      </c>
      <c r="T269" s="114">
        <f>IFERROR(SUMIF('Current NLData'!A:A,'Payment Changes'!G269,'Current NLData'!K:K)/COUNTIF('Current NLData'!A:A,'Payment Changes'!G269),0)+IFERROR(VLOOKUP(G269&amp;"-ALL",NLPaymentExport,10,FALSE),0)</f>
        <v>65</v>
      </c>
      <c r="U269" s="118">
        <f t="shared" si="42"/>
        <v>-35</v>
      </c>
    </row>
    <row r="270" spans="1:54" ht="17.100000000000001" hidden="1" customHeight="1" outlineLevel="1" x14ac:dyDescent="0.25">
      <c r="A270" s="3"/>
      <c r="C270" s="4"/>
      <c r="D270" s="181"/>
      <c r="E270" s="91" t="str">
        <f t="shared" si="43"/>
        <v>El Paso - Alameda</v>
      </c>
      <c r="F270" s="93" t="str">
        <f t="shared" si="44"/>
        <v>CP528</v>
      </c>
      <c r="G270" s="99" t="str">
        <f t="shared" si="41"/>
        <v>CP528-NEW DONOR -5th</v>
      </c>
      <c r="H270" s="182"/>
      <c r="I270" s="34" t="s">
        <v>41</v>
      </c>
      <c r="J270" s="58">
        <v>65</v>
      </c>
      <c r="K270" s="62">
        <v>61</v>
      </c>
      <c r="L270" s="58">
        <v>56</v>
      </c>
      <c r="M270" s="58">
        <v>65</v>
      </c>
      <c r="N270" s="58">
        <v>65</v>
      </c>
      <c r="O270" s="58">
        <v>65</v>
      </c>
      <c r="P270" s="58">
        <v>65</v>
      </c>
      <c r="Q270" s="58">
        <v>65</v>
      </c>
      <c r="R270" s="23"/>
      <c r="S270" s="117" t="str">
        <f t="shared" si="40"/>
        <v>N</v>
      </c>
      <c r="T270" s="114">
        <f>IFERROR(SUMIF('Current NLData'!A:A,'Payment Changes'!G270,'Current NLData'!K:K)/COUNTIF('Current NLData'!A:A,'Payment Changes'!G270),0)+IFERROR(VLOOKUP(G270&amp;"-ALL",NLPaymentExport,10,FALSE),0)</f>
        <v>65</v>
      </c>
      <c r="U270" s="118">
        <f t="shared" si="42"/>
        <v>0</v>
      </c>
    </row>
    <row r="271" spans="1:54" ht="17.100000000000001" hidden="1" customHeight="1" outlineLevel="1" x14ac:dyDescent="0.25">
      <c r="A271" s="3"/>
      <c r="C271" s="4"/>
      <c r="D271" s="181"/>
      <c r="E271" s="91" t="str">
        <f t="shared" si="43"/>
        <v>El Paso - Alameda</v>
      </c>
      <c r="F271" s="93" t="str">
        <f t="shared" si="44"/>
        <v>CP528</v>
      </c>
      <c r="G271" s="99" t="str">
        <f t="shared" si="41"/>
        <v>CP528-NEW DONOR -6th</v>
      </c>
      <c r="H271" s="182"/>
      <c r="I271" s="34" t="s">
        <v>42</v>
      </c>
      <c r="J271" s="58">
        <v>65</v>
      </c>
      <c r="K271" s="62">
        <v>65</v>
      </c>
      <c r="L271" s="58">
        <v>56</v>
      </c>
      <c r="M271" s="58">
        <v>65</v>
      </c>
      <c r="N271" s="58">
        <v>65</v>
      </c>
      <c r="O271" s="58">
        <v>65</v>
      </c>
      <c r="P271" s="58">
        <v>65</v>
      </c>
      <c r="Q271" s="58">
        <v>65</v>
      </c>
      <c r="R271" s="23"/>
      <c r="S271" s="117" t="str">
        <f t="shared" si="40"/>
        <v>N</v>
      </c>
      <c r="T271" s="114">
        <f>IFERROR(SUMIF('Current NLData'!A:A,'Payment Changes'!G271,'Current NLData'!K:K)/COUNTIF('Current NLData'!A:A,'Payment Changes'!G271),0)+IFERROR(VLOOKUP(G271&amp;"-ALL",NLPaymentExport,10,FALSE),0)</f>
        <v>65</v>
      </c>
      <c r="U271" s="118">
        <f t="shared" si="42"/>
        <v>0</v>
      </c>
    </row>
    <row r="272" spans="1:54" ht="17.100000000000001" hidden="1" customHeight="1" outlineLevel="1" x14ac:dyDescent="0.25">
      <c r="A272" s="3"/>
      <c r="C272" s="4"/>
      <c r="D272" s="181"/>
      <c r="E272" s="91" t="str">
        <f t="shared" si="43"/>
        <v>El Paso - Alameda</v>
      </c>
      <c r="F272" s="93" t="str">
        <f t="shared" si="44"/>
        <v>CP528</v>
      </c>
      <c r="G272" s="99" t="str">
        <f t="shared" si="41"/>
        <v>CP528-NEW DONOR -7th</v>
      </c>
      <c r="H272" s="182"/>
      <c r="I272" s="34" t="s">
        <v>43</v>
      </c>
      <c r="J272" s="58">
        <v>65</v>
      </c>
      <c r="K272" s="62">
        <v>61</v>
      </c>
      <c r="L272" s="58">
        <v>56</v>
      </c>
      <c r="M272" s="58">
        <v>65</v>
      </c>
      <c r="N272" s="58">
        <v>65</v>
      </c>
      <c r="O272" s="58">
        <v>65</v>
      </c>
      <c r="P272" s="58">
        <v>65</v>
      </c>
      <c r="Q272" s="58">
        <v>65</v>
      </c>
      <c r="R272" s="23"/>
      <c r="S272" s="117" t="str">
        <f t="shared" si="40"/>
        <v>N</v>
      </c>
      <c r="T272" s="114">
        <f>IFERROR(SUMIF('Current NLData'!A:A,'Payment Changes'!G272,'Current NLData'!K:K)/COUNTIF('Current NLData'!A:A,'Payment Changes'!G272),0)+IFERROR(VLOOKUP(G272&amp;"-ALL",NLPaymentExport,10,FALSE),0)</f>
        <v>65</v>
      </c>
      <c r="U272" s="118">
        <f t="shared" si="42"/>
        <v>0</v>
      </c>
    </row>
    <row r="273" spans="1:54" ht="17.100000000000001" hidden="1" customHeight="1" outlineLevel="1" x14ac:dyDescent="0.25">
      <c r="A273" s="3"/>
      <c r="C273" s="4"/>
      <c r="D273" s="181"/>
      <c r="E273" s="91" t="str">
        <f t="shared" si="43"/>
        <v>El Paso - Alameda</v>
      </c>
      <c r="F273" s="93" t="str">
        <f t="shared" si="44"/>
        <v>CP528</v>
      </c>
      <c r="G273" s="99" t="str">
        <f t="shared" si="41"/>
        <v>CP528-NEW DONOR -8th</v>
      </c>
      <c r="H273" s="182"/>
      <c r="I273" s="35" t="s">
        <v>44</v>
      </c>
      <c r="J273" s="63">
        <v>65</v>
      </c>
      <c r="K273" s="64">
        <v>65</v>
      </c>
      <c r="L273" s="63">
        <v>56</v>
      </c>
      <c r="M273" s="63">
        <v>65</v>
      </c>
      <c r="N273" s="63">
        <v>65</v>
      </c>
      <c r="O273" s="63">
        <v>65</v>
      </c>
      <c r="P273" s="63">
        <v>65</v>
      </c>
      <c r="Q273" s="63">
        <v>65</v>
      </c>
      <c r="R273" s="23"/>
      <c r="S273" s="117" t="str">
        <f t="shared" si="40"/>
        <v>N</v>
      </c>
      <c r="T273" s="114">
        <f>IFERROR(SUMIF('Current NLData'!A:A,'Payment Changes'!G273,'Current NLData'!K:K)/COUNTIF('Current NLData'!A:A,'Payment Changes'!G273),0)+IFERROR(VLOOKUP(G273&amp;"-ALL",NLPaymentExport,10,FALSE),0)</f>
        <v>65</v>
      </c>
      <c r="U273" s="118">
        <f t="shared" si="42"/>
        <v>0</v>
      </c>
    </row>
    <row r="274" spans="1:54" ht="17.100000000000001" hidden="1" customHeight="1" outlineLevel="1" x14ac:dyDescent="0.25">
      <c r="A274" s="3"/>
      <c r="C274" s="4"/>
      <c r="D274" s="181"/>
      <c r="E274" s="91" t="str">
        <f t="shared" si="43"/>
        <v>El Paso - Alameda</v>
      </c>
      <c r="F274" s="93" t="str">
        <f t="shared" si="44"/>
        <v>CP528</v>
      </c>
      <c r="G274" s="99" t="str">
        <f t="shared" si="41"/>
        <v>CP528-RETURN - 1st don of the week -STD</v>
      </c>
      <c r="H274" s="182"/>
      <c r="I274" s="36" t="s">
        <v>45</v>
      </c>
      <c r="J274" s="58">
        <v>65</v>
      </c>
      <c r="K274" s="62">
        <v>61</v>
      </c>
      <c r="L274" s="58">
        <v>56</v>
      </c>
      <c r="M274" s="58">
        <v>65</v>
      </c>
      <c r="N274" s="58">
        <v>65</v>
      </c>
      <c r="O274" s="58">
        <v>65</v>
      </c>
      <c r="P274" s="58">
        <v>65</v>
      </c>
      <c r="Q274" s="58">
        <v>65</v>
      </c>
      <c r="R274" s="23"/>
      <c r="S274" s="117" t="str">
        <f t="shared" si="40"/>
        <v>N</v>
      </c>
      <c r="T274" s="114">
        <f>IFERROR(SUMIF('Current NLData'!A:A,'Payment Changes'!G274,'Current NLData'!K:K)/COUNTIF('Current NLData'!A:A,'Payment Changes'!G274),0)+IFERROR(VLOOKUP(G274&amp;"-ALL",NLPaymentExport,10,FALSE),0)</f>
        <v>65</v>
      </c>
      <c r="U274" s="118">
        <f t="shared" si="42"/>
        <v>0</v>
      </c>
    </row>
    <row r="275" spans="1:54" ht="17.100000000000001" hidden="1" customHeight="1" outlineLevel="1" x14ac:dyDescent="0.25">
      <c r="A275" s="3"/>
      <c r="C275" s="4"/>
      <c r="D275" s="181"/>
      <c r="E275" s="91" t="str">
        <f t="shared" si="43"/>
        <v>El Paso - Alameda</v>
      </c>
      <c r="F275" s="93" t="str">
        <f t="shared" si="44"/>
        <v>CP528</v>
      </c>
      <c r="G275" s="99" t="str">
        <f t="shared" si="41"/>
        <v>CP528-RETURN - 2nd don of the week -BONUS</v>
      </c>
      <c r="H275" s="182"/>
      <c r="I275" s="36" t="s">
        <v>46</v>
      </c>
      <c r="J275" s="58">
        <v>0</v>
      </c>
      <c r="K275" s="62">
        <v>4</v>
      </c>
      <c r="L275" s="58">
        <v>9</v>
      </c>
      <c r="M275" s="58">
        <v>5</v>
      </c>
      <c r="N275" s="58">
        <v>5</v>
      </c>
      <c r="O275" s="58">
        <v>5</v>
      </c>
      <c r="P275" s="58">
        <v>5</v>
      </c>
      <c r="Q275" s="58">
        <v>5</v>
      </c>
      <c r="R275" s="23"/>
      <c r="S275" s="117" t="str">
        <f t="shared" si="40"/>
        <v>N</v>
      </c>
      <c r="T275" s="114">
        <f>IFERROR(SUMIF('Current NLData'!A:A,'Payment Changes'!G275,'Current NLData'!K:K)/COUNTIF('Current NLData'!A:A,'Payment Changes'!G275),0)+IFERROR(VLOOKUP(G275&amp;"-ALL",NLPaymentExport,10,FALSE),0)</f>
        <v>5</v>
      </c>
      <c r="U275" s="118">
        <f t="shared" si="42"/>
        <v>0</v>
      </c>
    </row>
    <row r="276" spans="1:54" ht="17.100000000000001" hidden="1" customHeight="1" outlineLevel="1" x14ac:dyDescent="0.25">
      <c r="A276" s="3"/>
      <c r="C276" s="4"/>
      <c r="D276" s="181"/>
      <c r="E276" s="91" t="str">
        <f t="shared" si="43"/>
        <v>El Paso - Alameda</v>
      </c>
      <c r="F276" s="93" t="str">
        <f t="shared" si="44"/>
        <v>CP528</v>
      </c>
      <c r="G276" s="99" t="str">
        <f t="shared" si="41"/>
        <v>CP528-RETURN - 5th don of the month -BONUS</v>
      </c>
      <c r="H276" s="182"/>
      <c r="I276" s="37" t="s">
        <v>47</v>
      </c>
      <c r="J276" s="65">
        <v>0</v>
      </c>
      <c r="K276" s="65">
        <v>0</v>
      </c>
      <c r="L276" s="65">
        <v>0</v>
      </c>
      <c r="M276" s="65">
        <v>0</v>
      </c>
      <c r="N276" s="65">
        <v>0</v>
      </c>
      <c r="O276" s="65">
        <v>0</v>
      </c>
      <c r="P276" s="65">
        <v>0</v>
      </c>
      <c r="Q276" s="65">
        <v>0</v>
      </c>
      <c r="R276" s="22"/>
      <c r="S276" s="117" t="str">
        <f t="shared" si="40"/>
        <v>N</v>
      </c>
      <c r="T276" s="114">
        <f>IFERROR(SUMIF('Current NLData'!A:A,'Payment Changes'!G276,'Current NLData'!K:K)/COUNTIF('Current NLData'!A:A,'Payment Changes'!G276),0)+IFERROR(VLOOKUP(G276&amp;"-ALL",NLPaymentExport,10,FALSE),0)</f>
        <v>0</v>
      </c>
      <c r="U276" s="118">
        <f t="shared" si="42"/>
        <v>0</v>
      </c>
    </row>
    <row r="277" spans="1:54" ht="17.100000000000001" hidden="1" customHeight="1" outlineLevel="1" x14ac:dyDescent="0.25">
      <c r="A277" s="3"/>
      <c r="C277" s="4"/>
      <c r="D277" s="181"/>
      <c r="E277" s="91" t="str">
        <f t="shared" si="43"/>
        <v>El Paso - Alameda</v>
      </c>
      <c r="F277" s="93" t="str">
        <f t="shared" si="44"/>
        <v>CP528</v>
      </c>
      <c r="G277" s="99" t="str">
        <f t="shared" si="41"/>
        <v>CP528-RETURN - 6th don of the month -BONUS</v>
      </c>
      <c r="H277" s="182"/>
      <c r="I277" s="38" t="s">
        <v>48</v>
      </c>
      <c r="J277" s="58">
        <v>0</v>
      </c>
      <c r="K277" s="58">
        <v>0</v>
      </c>
      <c r="L277" s="58">
        <v>0</v>
      </c>
      <c r="M277" s="58">
        <v>30</v>
      </c>
      <c r="N277" s="58">
        <v>0</v>
      </c>
      <c r="O277" s="58">
        <v>0</v>
      </c>
      <c r="P277" s="58">
        <v>0</v>
      </c>
      <c r="Q277" s="58">
        <v>0</v>
      </c>
      <c r="R277" s="22"/>
      <c r="S277" s="117" t="str">
        <f t="shared" si="40"/>
        <v>N</v>
      </c>
      <c r="T277" s="114">
        <f>IFERROR(SUMIF('Current NLData'!A:A,'Payment Changes'!G277,'Current NLData'!K:K)/COUNTIF('Current NLData'!A:A,'Payment Changes'!G277),0)+IFERROR(VLOOKUP(G277&amp;"-ALL",NLPaymentExport,10,FALSE),0)</f>
        <v>0</v>
      </c>
      <c r="U277" s="118">
        <f t="shared" si="42"/>
        <v>0</v>
      </c>
    </row>
    <row r="278" spans="1:54" ht="17.100000000000001" hidden="1" customHeight="1" outlineLevel="1" x14ac:dyDescent="0.25">
      <c r="A278" s="3"/>
      <c r="C278" s="4"/>
      <c r="D278" s="181"/>
      <c r="E278" s="91" t="str">
        <f t="shared" si="43"/>
        <v>El Paso - Alameda</v>
      </c>
      <c r="F278" s="93" t="str">
        <f t="shared" si="44"/>
        <v>CP528</v>
      </c>
      <c r="G278" s="99" t="str">
        <f t="shared" si="41"/>
        <v>CP528-RETURN - 7th don of the month -BONUS</v>
      </c>
      <c r="H278" s="182"/>
      <c r="I278" s="38" t="s">
        <v>49</v>
      </c>
      <c r="J278" s="58">
        <v>0</v>
      </c>
      <c r="K278" s="58">
        <v>0</v>
      </c>
      <c r="L278" s="58">
        <v>0</v>
      </c>
      <c r="M278" s="58">
        <v>0</v>
      </c>
      <c r="N278" s="58">
        <v>0</v>
      </c>
      <c r="O278" s="58">
        <v>0</v>
      </c>
      <c r="P278" s="58">
        <v>0</v>
      </c>
      <c r="Q278" s="58">
        <v>0</v>
      </c>
      <c r="R278" s="22"/>
      <c r="S278" s="117" t="str">
        <f t="shared" si="40"/>
        <v>N</v>
      </c>
      <c r="T278" s="114">
        <f>IFERROR(SUMIF('Current NLData'!A:A,'Payment Changes'!G278,'Current NLData'!K:K)/COUNTIF('Current NLData'!A:A,'Payment Changes'!G278),0)+IFERROR(VLOOKUP(G278&amp;"-ALL",NLPaymentExport,10,FALSE),0)</f>
        <v>0</v>
      </c>
      <c r="U278" s="118">
        <f t="shared" si="42"/>
        <v>0</v>
      </c>
    </row>
    <row r="279" spans="1:54" ht="17.100000000000001" hidden="1" customHeight="1" outlineLevel="1" x14ac:dyDescent="0.25">
      <c r="A279" s="3"/>
      <c r="C279" s="4"/>
      <c r="D279" s="181"/>
      <c r="E279" s="91" t="str">
        <f t="shared" si="43"/>
        <v>El Paso - Alameda</v>
      </c>
      <c r="F279" s="93" t="str">
        <f t="shared" si="44"/>
        <v>CP528</v>
      </c>
      <c r="G279" s="99" t="str">
        <f t="shared" si="41"/>
        <v>CP528-RETURN - 8th don of the month -BONUS</v>
      </c>
      <c r="H279" s="182"/>
      <c r="I279" s="38" t="s">
        <v>50</v>
      </c>
      <c r="J279" s="62">
        <v>25</v>
      </c>
      <c r="K279" s="58">
        <v>25</v>
      </c>
      <c r="L279" s="58">
        <v>0</v>
      </c>
      <c r="M279" s="58">
        <v>0</v>
      </c>
      <c r="N279" s="58">
        <v>0</v>
      </c>
      <c r="O279" s="58">
        <v>0</v>
      </c>
      <c r="P279" s="58">
        <v>0</v>
      </c>
      <c r="Q279" s="58">
        <v>0</v>
      </c>
      <c r="R279" s="22"/>
      <c r="S279" s="117" t="str">
        <f t="shared" si="40"/>
        <v>N</v>
      </c>
      <c r="T279" s="114">
        <f>IFERROR(SUMIF('Current NLData'!A:A,'Payment Changes'!G279,'Current NLData'!K:K)/COUNTIF('Current NLData'!A:A,'Payment Changes'!G279),0)+IFERROR(VLOOKUP(G279&amp;"-ALL",NLPaymentExport,10,FALSE),0)</f>
        <v>0</v>
      </c>
      <c r="U279" s="118">
        <f t="shared" si="42"/>
        <v>0</v>
      </c>
    </row>
    <row r="280" spans="1:54" ht="17.100000000000001" hidden="1" customHeight="1" outlineLevel="1" x14ac:dyDescent="0.25">
      <c r="A280" s="3"/>
      <c r="C280" s="4" t="str">
        <f>IF(J280=0,"Warning","")</f>
        <v/>
      </c>
      <c r="D280" s="181"/>
      <c r="E280" s="91" t="str">
        <f t="shared" si="43"/>
        <v>El Paso - Alameda</v>
      </c>
      <c r="F280" s="93" t="str">
        <f t="shared" si="44"/>
        <v>CP528</v>
      </c>
      <c r="G280" s="99" t="str">
        <f t="shared" si="41"/>
        <v>CP528-RETURN - Buddy referral  -BONUS</v>
      </c>
      <c r="H280" s="182"/>
      <c r="I280" s="39" t="s">
        <v>51</v>
      </c>
      <c r="J280" s="58">
        <v>50</v>
      </c>
      <c r="K280" s="57">
        <v>0</v>
      </c>
      <c r="L280" s="56">
        <v>0</v>
      </c>
      <c r="M280" s="56">
        <v>50</v>
      </c>
      <c r="N280" s="56">
        <v>50</v>
      </c>
      <c r="O280" s="56">
        <v>50</v>
      </c>
      <c r="P280" s="56">
        <v>50</v>
      </c>
      <c r="Q280" s="56">
        <v>50</v>
      </c>
      <c r="R280" s="23"/>
      <c r="S280" s="117" t="str">
        <f t="shared" si="40"/>
        <v>N</v>
      </c>
      <c r="T280" s="114">
        <f>IFERROR(SUMIF('Current NLData'!A:A,'Payment Changes'!G280,'Current NLData'!K:K)/COUNTIF('Current NLData'!A:A,'Payment Changes'!G280),0)+IFERROR(VLOOKUP(G280&amp;"-ALL",NLPaymentExport,10,FALSE),0)</f>
        <v>50</v>
      </c>
      <c r="U280" s="118">
        <f t="shared" si="42"/>
        <v>0</v>
      </c>
    </row>
    <row r="281" spans="1:54" s="90" customFormat="1" ht="17.100000000000001" hidden="1" customHeight="1" collapsed="1" x14ac:dyDescent="0.35">
      <c r="A281" s="85"/>
      <c r="B281" s="85"/>
      <c r="C281" s="86"/>
      <c r="D281" s="87"/>
      <c r="E281" s="87"/>
      <c r="F281" s="87"/>
      <c r="G281" s="87"/>
      <c r="H281" s="96"/>
      <c r="I281" s="88"/>
      <c r="J281" s="89"/>
      <c r="K281" s="89"/>
      <c r="L281" s="89"/>
      <c r="M281" s="89"/>
      <c r="N281" s="89"/>
      <c r="O281" s="89"/>
      <c r="P281" s="89"/>
      <c r="Q281" s="89"/>
      <c r="R281" s="21"/>
      <c r="S281" s="117" t="str">
        <f t="shared" si="40"/>
        <v>N</v>
      </c>
      <c r="T281" s="114">
        <f>IFERROR(SUMIF('Current NLData'!A:A,'Payment Changes'!G281,'Current NLData'!K:K)/COUNTIF('Current NLData'!A:A,'Payment Changes'!G281),0)+IFERROR(VLOOKUP(G281&amp;"-ALL",NLPaymentExport,10,FALSE),0)</f>
        <v>0</v>
      </c>
      <c r="U281" s="118" t="str">
        <f t="shared" si="42"/>
        <v/>
      </c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</row>
    <row r="282" spans="1:54" s="10" customFormat="1" ht="17.100000000000001" hidden="1" customHeight="1" x14ac:dyDescent="0.25">
      <c r="A282" s="165">
        <v>15</v>
      </c>
      <c r="B282" s="168" t="s">
        <v>108</v>
      </c>
      <c r="C282" s="171" t="s">
        <v>106</v>
      </c>
      <c r="D282" s="174" t="s">
        <v>57</v>
      </c>
      <c r="E282" s="106" t="str">
        <f t="shared" si="43"/>
        <v>El Paso - Zaragoza</v>
      </c>
      <c r="F282" s="107" t="s">
        <v>109</v>
      </c>
      <c r="G282" s="108" t="str">
        <f t="shared" ref="G282:G300" si="45">F282&amp;"-"&amp;I282</f>
        <v>CP527-New Donor</v>
      </c>
      <c r="H282" s="177" t="s">
        <v>75</v>
      </c>
      <c r="I282" s="76" t="s">
        <v>23</v>
      </c>
      <c r="J282" s="40" t="s">
        <v>110</v>
      </c>
      <c r="K282" s="41" t="s">
        <v>111</v>
      </c>
      <c r="L282" s="41" t="s">
        <v>98</v>
      </c>
      <c r="M282" s="119" t="s">
        <v>87</v>
      </c>
      <c r="N282" s="139" t="s">
        <v>87</v>
      </c>
      <c r="O282" s="139" t="s">
        <v>87</v>
      </c>
      <c r="P282" s="139" t="s">
        <v>87</v>
      </c>
      <c r="Q282" s="139" t="s">
        <v>87</v>
      </c>
      <c r="R282" s="109"/>
      <c r="S282" s="117" t="str">
        <f t="shared" si="40"/>
        <v>N</v>
      </c>
      <c r="T282" s="114">
        <f>IFERROR(SUMIF('Current NLData'!A:A,'Payment Changes'!G282,'Current NLData'!K:K)/COUNTIF('Current NLData'!A:A,'Payment Changes'!G282),0)+IFERROR(VLOOKUP(G282&amp;"-ALL",NLPaymentExport,10,FALSE),0)</f>
        <v>0</v>
      </c>
      <c r="U282" s="118" t="str">
        <f t="shared" si="42"/>
        <v/>
      </c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</row>
    <row r="283" spans="1:54" ht="17.100000000000001" hidden="1" customHeight="1" x14ac:dyDescent="0.25">
      <c r="A283" s="166"/>
      <c r="B283" s="169"/>
      <c r="C283" s="172"/>
      <c r="D283" s="175"/>
      <c r="E283" s="91" t="str">
        <f t="shared" si="43"/>
        <v>El Paso - Zaragoza</v>
      </c>
      <c r="F283" s="92" t="s">
        <v>109</v>
      </c>
      <c r="G283" s="98" t="str">
        <f t="shared" si="45"/>
        <v>CP527-Return Donor</v>
      </c>
      <c r="H283" s="178"/>
      <c r="I283" s="77" t="s">
        <v>29</v>
      </c>
      <c r="J283" s="43" t="s">
        <v>110</v>
      </c>
      <c r="K283" s="43" t="s">
        <v>112</v>
      </c>
      <c r="L283" s="44" t="s">
        <v>98</v>
      </c>
      <c r="M283" s="120" t="s">
        <v>87</v>
      </c>
      <c r="N283" s="140" t="s">
        <v>87</v>
      </c>
      <c r="O283" s="140" t="s">
        <v>87</v>
      </c>
      <c r="P283" s="140" t="s">
        <v>87</v>
      </c>
      <c r="Q283" s="140" t="s">
        <v>87</v>
      </c>
      <c r="R283" s="21"/>
      <c r="S283" s="117" t="str">
        <f t="shared" si="40"/>
        <v>N</v>
      </c>
      <c r="T283" s="114">
        <f>IFERROR(SUMIF('Current NLData'!A:A,'Payment Changes'!G283,'Current NLData'!K:K)/COUNTIF('Current NLData'!A:A,'Payment Changes'!G283),0)+IFERROR(VLOOKUP(G283&amp;"-ALL",NLPaymentExport,10,FALSE),0)</f>
        <v>0</v>
      </c>
      <c r="U283" s="118" t="str">
        <f t="shared" si="42"/>
        <v/>
      </c>
    </row>
    <row r="284" spans="1:54" ht="17.100000000000001" hidden="1" customHeight="1" x14ac:dyDescent="0.25">
      <c r="A284" s="166"/>
      <c r="B284" s="169"/>
      <c r="C284" s="172"/>
      <c r="D284" s="175"/>
      <c r="E284" s="91" t="str">
        <f t="shared" si="43"/>
        <v>El Paso - Zaragoza</v>
      </c>
      <c r="F284" s="92" t="s">
        <v>109</v>
      </c>
      <c r="G284" s="98" t="str">
        <f t="shared" si="45"/>
        <v>CP527-Retention Bonus</v>
      </c>
      <c r="H284" s="178"/>
      <c r="I284" s="78" t="s">
        <v>30</v>
      </c>
      <c r="J284" s="46" t="s">
        <v>31</v>
      </c>
      <c r="K284" s="46" t="s">
        <v>31</v>
      </c>
      <c r="L284" s="47" t="s">
        <v>32</v>
      </c>
      <c r="M284" s="48" t="s">
        <v>32</v>
      </c>
      <c r="N284" s="46" t="s">
        <v>32</v>
      </c>
      <c r="O284" s="46" t="s">
        <v>32</v>
      </c>
      <c r="P284" s="46" t="s">
        <v>32</v>
      </c>
      <c r="Q284" s="46" t="s">
        <v>32</v>
      </c>
      <c r="R284" s="21"/>
      <c r="S284" s="117" t="str">
        <f t="shared" si="40"/>
        <v>N</v>
      </c>
      <c r="T284" s="114">
        <f>IFERROR(SUMIF('Current NLData'!A:A,'Payment Changes'!G284,'Current NLData'!K:K)/COUNTIF('Current NLData'!A:A,'Payment Changes'!G284),0)+IFERROR(VLOOKUP(G284&amp;"-ALL",NLPaymentExport,10,FALSE),0)</f>
        <v>0</v>
      </c>
      <c r="U284" s="118" t="str">
        <f t="shared" si="42"/>
        <v/>
      </c>
    </row>
    <row r="285" spans="1:54" s="15" customFormat="1" ht="17.100000000000001" hidden="1" customHeight="1" x14ac:dyDescent="0.25">
      <c r="A285" s="167"/>
      <c r="B285" s="170"/>
      <c r="C285" s="173"/>
      <c r="D285" s="176"/>
      <c r="E285" s="110" t="str">
        <f t="shared" si="43"/>
        <v>El Paso - Zaragoza</v>
      </c>
      <c r="F285" s="111" t="s">
        <v>109</v>
      </c>
      <c r="G285" s="112" t="str">
        <f t="shared" si="45"/>
        <v>CP527-Referral</v>
      </c>
      <c r="H285" s="179"/>
      <c r="I285" s="79" t="s">
        <v>34</v>
      </c>
      <c r="J285" s="49">
        <v>50</v>
      </c>
      <c r="K285" s="49">
        <v>0</v>
      </c>
      <c r="L285" s="50" t="s">
        <v>32</v>
      </c>
      <c r="M285" s="51" t="s">
        <v>32</v>
      </c>
      <c r="N285" s="49">
        <v>50</v>
      </c>
      <c r="O285" s="49">
        <v>50</v>
      </c>
      <c r="P285" s="49">
        <v>50</v>
      </c>
      <c r="Q285" s="49">
        <v>50</v>
      </c>
      <c r="R285" s="113"/>
      <c r="S285" s="117" t="str">
        <f t="shared" si="40"/>
        <v>N</v>
      </c>
      <c r="T285" s="114">
        <f>IFERROR(SUMIF('Current NLData'!A:A,'Payment Changes'!G285,'Current NLData'!K:K)/COUNTIF('Current NLData'!A:A,'Payment Changes'!G285),0)+IFERROR(VLOOKUP(G285&amp;"-ALL",NLPaymentExport,10,FALSE),0)</f>
        <v>0</v>
      </c>
      <c r="U285" s="118" t="str">
        <f t="shared" si="42"/>
        <v/>
      </c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</row>
    <row r="286" spans="1:54" ht="17.100000000000001" hidden="1" customHeight="1" outlineLevel="1" x14ac:dyDescent="0.25">
      <c r="A286" s="3"/>
      <c r="C286" s="4"/>
      <c r="D286" s="180" t="s">
        <v>109</v>
      </c>
      <c r="E286" s="91" t="str">
        <f t="shared" si="43"/>
        <v>El Paso - Zaragoza</v>
      </c>
      <c r="F286" s="93" t="str">
        <f t="shared" si="44"/>
        <v>CP527</v>
      </c>
      <c r="G286" s="99" t="str">
        <f t="shared" si="45"/>
        <v>CP527-NEW DONOR -1st</v>
      </c>
      <c r="H286" s="182" t="s">
        <v>36</v>
      </c>
      <c r="I286" s="33" t="s">
        <v>37</v>
      </c>
      <c r="J286" s="60">
        <v>60</v>
      </c>
      <c r="K286" s="61">
        <v>56</v>
      </c>
      <c r="L286" s="60">
        <v>56</v>
      </c>
      <c r="M286" s="60">
        <v>65</v>
      </c>
      <c r="N286" s="60">
        <v>65</v>
      </c>
      <c r="O286" s="60">
        <v>65</v>
      </c>
      <c r="P286" s="60">
        <v>65</v>
      </c>
      <c r="Q286" s="60">
        <v>65</v>
      </c>
      <c r="R286" s="23"/>
      <c r="S286" s="117" t="str">
        <f t="shared" si="40"/>
        <v>N</v>
      </c>
      <c r="T286" s="114">
        <f>IFERROR(SUMIF('Current NLData'!A:A,'Payment Changes'!G286,'Current NLData'!K:K)/COUNTIF('Current NLData'!A:A,'Payment Changes'!G286),0)+IFERROR(VLOOKUP(G286&amp;"-ALL",NLPaymentExport,10,FALSE),0)</f>
        <v>65</v>
      </c>
      <c r="U286" s="118">
        <f t="shared" si="42"/>
        <v>0</v>
      </c>
    </row>
    <row r="287" spans="1:54" ht="17.100000000000001" hidden="1" customHeight="1" outlineLevel="1" x14ac:dyDescent="0.25">
      <c r="A287" s="3"/>
      <c r="C287" s="4"/>
      <c r="D287" s="181"/>
      <c r="E287" s="91" t="str">
        <f t="shared" si="43"/>
        <v>El Paso - Zaragoza</v>
      </c>
      <c r="F287" s="93" t="str">
        <f t="shared" si="44"/>
        <v>CP527</v>
      </c>
      <c r="G287" s="99" t="str">
        <f t="shared" si="45"/>
        <v>CP527-NEW DONOR -2nd</v>
      </c>
      <c r="H287" s="182"/>
      <c r="I287" s="34" t="s">
        <v>38</v>
      </c>
      <c r="J287" s="58">
        <v>60</v>
      </c>
      <c r="K287" s="62">
        <v>70</v>
      </c>
      <c r="L287" s="58">
        <v>56</v>
      </c>
      <c r="M287" s="58">
        <v>65</v>
      </c>
      <c r="N287" s="58">
        <v>65</v>
      </c>
      <c r="O287" s="58">
        <v>65</v>
      </c>
      <c r="P287" s="58">
        <v>65</v>
      </c>
      <c r="Q287" s="58">
        <v>65</v>
      </c>
      <c r="R287" s="23"/>
      <c r="S287" s="117" t="str">
        <f t="shared" si="40"/>
        <v>N</v>
      </c>
      <c r="T287" s="114">
        <f>IFERROR(SUMIF('Current NLData'!A:A,'Payment Changes'!G287,'Current NLData'!K:K)/COUNTIF('Current NLData'!A:A,'Payment Changes'!G287),0)+IFERROR(VLOOKUP(G287&amp;"-ALL",NLPaymentExport,10,FALSE),0)</f>
        <v>65</v>
      </c>
      <c r="U287" s="118">
        <f t="shared" si="42"/>
        <v>0</v>
      </c>
    </row>
    <row r="288" spans="1:54" ht="17.100000000000001" hidden="1" customHeight="1" outlineLevel="1" x14ac:dyDescent="0.25">
      <c r="A288" s="3"/>
      <c r="C288" s="4"/>
      <c r="D288" s="181"/>
      <c r="E288" s="91" t="str">
        <f t="shared" si="43"/>
        <v>El Paso - Zaragoza</v>
      </c>
      <c r="F288" s="93" t="str">
        <f t="shared" si="44"/>
        <v>CP527</v>
      </c>
      <c r="G288" s="99" t="str">
        <f t="shared" si="45"/>
        <v>CP527-NEW DONOR -3rd</v>
      </c>
      <c r="H288" s="182"/>
      <c r="I288" s="34" t="s">
        <v>39</v>
      </c>
      <c r="J288" s="58">
        <v>60</v>
      </c>
      <c r="K288" s="62">
        <v>56</v>
      </c>
      <c r="L288" s="58">
        <v>56</v>
      </c>
      <c r="M288" s="58">
        <v>65</v>
      </c>
      <c r="N288" s="58">
        <v>65</v>
      </c>
      <c r="O288" s="58">
        <v>65</v>
      </c>
      <c r="P288" s="58">
        <v>65</v>
      </c>
      <c r="Q288" s="58">
        <v>65</v>
      </c>
      <c r="R288" s="23"/>
      <c r="S288" s="117" t="str">
        <f t="shared" si="40"/>
        <v>N</v>
      </c>
      <c r="T288" s="114">
        <f>IFERROR(SUMIF('Current NLData'!A:A,'Payment Changes'!G288,'Current NLData'!K:K)/COUNTIF('Current NLData'!A:A,'Payment Changes'!G288),0)+IFERROR(VLOOKUP(G288&amp;"-ALL",NLPaymentExport,10,FALSE),0)</f>
        <v>65</v>
      </c>
      <c r="U288" s="118">
        <f t="shared" si="42"/>
        <v>0</v>
      </c>
    </row>
    <row r="289" spans="1:54" ht="17.100000000000001" hidden="1" customHeight="1" outlineLevel="1" x14ac:dyDescent="0.25">
      <c r="A289" s="3"/>
      <c r="C289" s="4"/>
      <c r="D289" s="181"/>
      <c r="E289" s="91" t="str">
        <f t="shared" si="43"/>
        <v>El Paso - Zaragoza</v>
      </c>
      <c r="F289" s="93" t="str">
        <f t="shared" si="44"/>
        <v>CP527</v>
      </c>
      <c r="G289" s="99" t="str">
        <f t="shared" si="45"/>
        <v>CP527-NEW DONOR -4th</v>
      </c>
      <c r="H289" s="182"/>
      <c r="I289" s="34" t="s">
        <v>40</v>
      </c>
      <c r="J289" s="58">
        <v>60</v>
      </c>
      <c r="K289" s="62">
        <v>70</v>
      </c>
      <c r="L289" s="58">
        <v>56</v>
      </c>
      <c r="M289" s="58">
        <v>65</v>
      </c>
      <c r="N289" s="58">
        <v>65</v>
      </c>
      <c r="O289" s="58">
        <v>65</v>
      </c>
      <c r="P289" s="58">
        <v>65</v>
      </c>
      <c r="Q289" s="58">
        <v>65</v>
      </c>
      <c r="R289" s="23"/>
      <c r="S289" s="117" t="str">
        <f t="shared" si="40"/>
        <v>N</v>
      </c>
      <c r="T289" s="114">
        <f>IFERROR(SUMIF('Current NLData'!A:A,'Payment Changes'!G289,'Current NLData'!K:K)/COUNTIF('Current NLData'!A:A,'Payment Changes'!G289),0)+IFERROR(VLOOKUP(G289&amp;"-ALL",NLPaymentExport,10,FALSE),0)</f>
        <v>65</v>
      </c>
      <c r="U289" s="118">
        <f t="shared" si="42"/>
        <v>0</v>
      </c>
    </row>
    <row r="290" spans="1:54" ht="17.100000000000001" hidden="1" customHeight="1" outlineLevel="1" x14ac:dyDescent="0.25">
      <c r="A290" s="3"/>
      <c r="C290" s="4"/>
      <c r="D290" s="181"/>
      <c r="E290" s="91" t="str">
        <f t="shared" si="43"/>
        <v>El Paso - Zaragoza</v>
      </c>
      <c r="F290" s="93" t="str">
        <f t="shared" si="44"/>
        <v>CP527</v>
      </c>
      <c r="G290" s="99" t="str">
        <f t="shared" si="45"/>
        <v>CP527-NEW DONOR -5th</v>
      </c>
      <c r="H290" s="182"/>
      <c r="I290" s="34" t="s">
        <v>41</v>
      </c>
      <c r="J290" s="58">
        <v>60</v>
      </c>
      <c r="K290" s="62">
        <v>56</v>
      </c>
      <c r="L290" s="58">
        <v>56</v>
      </c>
      <c r="M290" s="58">
        <v>65</v>
      </c>
      <c r="N290" s="58">
        <v>65</v>
      </c>
      <c r="O290" s="58">
        <v>65</v>
      </c>
      <c r="P290" s="58">
        <v>65</v>
      </c>
      <c r="Q290" s="58">
        <v>65</v>
      </c>
      <c r="R290" s="23"/>
      <c r="S290" s="117" t="str">
        <f t="shared" si="40"/>
        <v>N</v>
      </c>
      <c r="T290" s="114">
        <f>IFERROR(SUMIF('Current NLData'!A:A,'Payment Changes'!G290,'Current NLData'!K:K)/COUNTIF('Current NLData'!A:A,'Payment Changes'!G290),0)+IFERROR(VLOOKUP(G290&amp;"-ALL",NLPaymentExport,10,FALSE),0)</f>
        <v>65</v>
      </c>
      <c r="U290" s="118">
        <f t="shared" si="42"/>
        <v>0</v>
      </c>
    </row>
    <row r="291" spans="1:54" ht="17.100000000000001" hidden="1" customHeight="1" outlineLevel="1" x14ac:dyDescent="0.25">
      <c r="A291" s="3"/>
      <c r="C291" s="4"/>
      <c r="D291" s="181"/>
      <c r="E291" s="91" t="str">
        <f t="shared" si="43"/>
        <v>El Paso - Zaragoza</v>
      </c>
      <c r="F291" s="93" t="str">
        <f t="shared" si="44"/>
        <v>CP527</v>
      </c>
      <c r="G291" s="99" t="str">
        <f t="shared" si="45"/>
        <v>CP527-NEW DONOR -6th</v>
      </c>
      <c r="H291" s="182"/>
      <c r="I291" s="34" t="s">
        <v>42</v>
      </c>
      <c r="J291" s="58">
        <v>60</v>
      </c>
      <c r="K291" s="62">
        <v>70</v>
      </c>
      <c r="L291" s="58">
        <v>56</v>
      </c>
      <c r="M291" s="58">
        <v>65</v>
      </c>
      <c r="N291" s="58">
        <v>65</v>
      </c>
      <c r="O291" s="58">
        <v>65</v>
      </c>
      <c r="P291" s="58">
        <v>65</v>
      </c>
      <c r="Q291" s="58">
        <v>65</v>
      </c>
      <c r="R291" s="23"/>
      <c r="S291" s="117" t="str">
        <f t="shared" si="40"/>
        <v>N</v>
      </c>
      <c r="T291" s="114">
        <f>IFERROR(SUMIF('Current NLData'!A:A,'Payment Changes'!G291,'Current NLData'!K:K)/COUNTIF('Current NLData'!A:A,'Payment Changes'!G291),0)+IFERROR(VLOOKUP(G291&amp;"-ALL",NLPaymentExport,10,FALSE),0)</f>
        <v>65</v>
      </c>
      <c r="U291" s="118">
        <f t="shared" si="42"/>
        <v>0</v>
      </c>
    </row>
    <row r="292" spans="1:54" ht="17.100000000000001" hidden="1" customHeight="1" outlineLevel="1" x14ac:dyDescent="0.25">
      <c r="A292" s="3"/>
      <c r="C292" s="4"/>
      <c r="D292" s="181"/>
      <c r="E292" s="91" t="str">
        <f t="shared" si="43"/>
        <v>El Paso - Zaragoza</v>
      </c>
      <c r="F292" s="93" t="str">
        <f t="shared" si="44"/>
        <v>CP527</v>
      </c>
      <c r="G292" s="99" t="str">
        <f t="shared" si="45"/>
        <v>CP527-NEW DONOR -7th</v>
      </c>
      <c r="H292" s="182"/>
      <c r="I292" s="34" t="s">
        <v>43</v>
      </c>
      <c r="J292" s="58">
        <v>60</v>
      </c>
      <c r="K292" s="62">
        <v>56</v>
      </c>
      <c r="L292" s="58">
        <v>56</v>
      </c>
      <c r="M292" s="58">
        <v>65</v>
      </c>
      <c r="N292" s="58">
        <v>65</v>
      </c>
      <c r="O292" s="58">
        <v>65</v>
      </c>
      <c r="P292" s="58">
        <v>65</v>
      </c>
      <c r="Q292" s="58">
        <v>65</v>
      </c>
      <c r="R292" s="23"/>
      <c r="S292" s="117" t="str">
        <f t="shared" si="40"/>
        <v>N</v>
      </c>
      <c r="T292" s="114">
        <f>IFERROR(SUMIF('Current NLData'!A:A,'Payment Changes'!G292,'Current NLData'!K:K)/COUNTIF('Current NLData'!A:A,'Payment Changes'!G292),0)+IFERROR(VLOOKUP(G292&amp;"-ALL",NLPaymentExport,10,FALSE),0)</f>
        <v>65</v>
      </c>
      <c r="U292" s="118">
        <f t="shared" si="42"/>
        <v>0</v>
      </c>
    </row>
    <row r="293" spans="1:54" ht="17.100000000000001" hidden="1" customHeight="1" outlineLevel="1" x14ac:dyDescent="0.25">
      <c r="A293" s="3"/>
      <c r="C293" s="4"/>
      <c r="D293" s="181"/>
      <c r="E293" s="91" t="str">
        <f t="shared" si="43"/>
        <v>El Paso - Zaragoza</v>
      </c>
      <c r="F293" s="93" t="str">
        <f t="shared" si="44"/>
        <v>CP527</v>
      </c>
      <c r="G293" s="99" t="str">
        <f t="shared" si="45"/>
        <v>CP527-NEW DONOR -8th</v>
      </c>
      <c r="H293" s="182"/>
      <c r="I293" s="35" t="s">
        <v>44</v>
      </c>
      <c r="J293" s="63">
        <v>60</v>
      </c>
      <c r="K293" s="64">
        <v>70</v>
      </c>
      <c r="L293" s="63">
        <v>56</v>
      </c>
      <c r="M293" s="63">
        <v>65</v>
      </c>
      <c r="N293" s="63">
        <v>65</v>
      </c>
      <c r="O293" s="63">
        <v>65</v>
      </c>
      <c r="P293" s="63">
        <v>65</v>
      </c>
      <c r="Q293" s="63">
        <v>65</v>
      </c>
      <c r="R293" s="23"/>
      <c r="S293" s="117" t="str">
        <f t="shared" si="40"/>
        <v>N</v>
      </c>
      <c r="T293" s="114">
        <f>IFERROR(SUMIF('Current NLData'!A:A,'Payment Changes'!G293,'Current NLData'!K:K)/COUNTIF('Current NLData'!A:A,'Payment Changes'!G293),0)+IFERROR(VLOOKUP(G293&amp;"-ALL",NLPaymentExport,10,FALSE),0)</f>
        <v>65</v>
      </c>
      <c r="U293" s="118">
        <f t="shared" si="42"/>
        <v>0</v>
      </c>
    </row>
    <row r="294" spans="1:54" ht="17.100000000000001" hidden="1" customHeight="1" outlineLevel="1" x14ac:dyDescent="0.25">
      <c r="A294" s="3"/>
      <c r="C294" s="4"/>
      <c r="D294" s="181"/>
      <c r="E294" s="91" t="str">
        <f t="shared" si="43"/>
        <v>El Paso - Zaragoza</v>
      </c>
      <c r="F294" s="93" t="str">
        <f t="shared" si="44"/>
        <v>CP527</v>
      </c>
      <c r="G294" s="99" t="str">
        <f t="shared" si="45"/>
        <v>CP527-RETURN - 1st don of the week -STD</v>
      </c>
      <c r="H294" s="182"/>
      <c r="I294" s="36" t="s">
        <v>45</v>
      </c>
      <c r="J294" s="58">
        <v>60</v>
      </c>
      <c r="K294" s="62">
        <v>56</v>
      </c>
      <c r="L294" s="58">
        <v>56</v>
      </c>
      <c r="M294" s="58">
        <v>65</v>
      </c>
      <c r="N294" s="58">
        <v>65</v>
      </c>
      <c r="O294" s="58">
        <v>65</v>
      </c>
      <c r="P294" s="58">
        <v>65</v>
      </c>
      <c r="Q294" s="58">
        <v>65</v>
      </c>
      <c r="R294" s="23"/>
      <c r="S294" s="117" t="str">
        <f t="shared" si="40"/>
        <v>N</v>
      </c>
      <c r="T294" s="114">
        <f>IFERROR(SUMIF('Current NLData'!A:A,'Payment Changes'!G294,'Current NLData'!K:K)/COUNTIF('Current NLData'!A:A,'Payment Changes'!G294),0)+IFERROR(VLOOKUP(G294&amp;"-ALL",NLPaymentExport,10,FALSE),0)</f>
        <v>65</v>
      </c>
      <c r="U294" s="118">
        <f t="shared" si="42"/>
        <v>0</v>
      </c>
    </row>
    <row r="295" spans="1:54" ht="17.100000000000001" hidden="1" customHeight="1" outlineLevel="1" x14ac:dyDescent="0.25">
      <c r="A295" s="3"/>
      <c r="C295" s="4"/>
      <c r="D295" s="181"/>
      <c r="E295" s="91" t="str">
        <f t="shared" si="43"/>
        <v>El Paso - Zaragoza</v>
      </c>
      <c r="F295" s="93" t="str">
        <f t="shared" si="44"/>
        <v>CP527</v>
      </c>
      <c r="G295" s="99" t="str">
        <f t="shared" si="45"/>
        <v>CP527-RETURN - 2nd don of the week -BONUS</v>
      </c>
      <c r="H295" s="182"/>
      <c r="I295" s="36" t="s">
        <v>46</v>
      </c>
      <c r="J295" s="58">
        <v>10</v>
      </c>
      <c r="K295" s="62">
        <v>14</v>
      </c>
      <c r="L295" s="58">
        <v>9</v>
      </c>
      <c r="M295" s="58">
        <v>5</v>
      </c>
      <c r="N295" s="58">
        <v>5</v>
      </c>
      <c r="O295" s="58">
        <v>5</v>
      </c>
      <c r="P295" s="58">
        <v>5</v>
      </c>
      <c r="Q295" s="58">
        <v>5</v>
      </c>
      <c r="R295" s="23"/>
      <c r="S295" s="117" t="str">
        <f t="shared" si="40"/>
        <v>N</v>
      </c>
      <c r="T295" s="114">
        <f>IFERROR(SUMIF('Current NLData'!A:A,'Payment Changes'!G295,'Current NLData'!K:K)/COUNTIF('Current NLData'!A:A,'Payment Changes'!G295),0)+IFERROR(VLOOKUP(G295&amp;"-ALL",NLPaymentExport,10,FALSE),0)</f>
        <v>5</v>
      </c>
      <c r="U295" s="118">
        <f t="shared" si="42"/>
        <v>0</v>
      </c>
    </row>
    <row r="296" spans="1:54" ht="17.100000000000001" hidden="1" customHeight="1" outlineLevel="1" x14ac:dyDescent="0.25">
      <c r="A296" s="3"/>
      <c r="C296" s="4"/>
      <c r="D296" s="181"/>
      <c r="E296" s="91" t="str">
        <f t="shared" si="43"/>
        <v>El Paso - Zaragoza</v>
      </c>
      <c r="F296" s="93" t="str">
        <f t="shared" si="44"/>
        <v>CP527</v>
      </c>
      <c r="G296" s="99" t="str">
        <f t="shared" si="45"/>
        <v>CP527-RETURN - 5th don of the month -BONUS</v>
      </c>
      <c r="H296" s="182"/>
      <c r="I296" s="37" t="s">
        <v>47</v>
      </c>
      <c r="J296" s="65">
        <v>0</v>
      </c>
      <c r="K296" s="65">
        <v>0</v>
      </c>
      <c r="L296" s="65">
        <v>0</v>
      </c>
      <c r="M296" s="65">
        <v>0</v>
      </c>
      <c r="N296" s="65">
        <v>0</v>
      </c>
      <c r="O296" s="65">
        <v>0</v>
      </c>
      <c r="P296" s="65">
        <v>0</v>
      </c>
      <c r="Q296" s="65">
        <v>0</v>
      </c>
      <c r="R296" s="22"/>
      <c r="S296" s="117" t="str">
        <f t="shared" si="40"/>
        <v>N</v>
      </c>
      <c r="T296" s="114">
        <f>IFERROR(SUMIF('Current NLData'!A:A,'Payment Changes'!G296,'Current NLData'!K:K)/COUNTIF('Current NLData'!A:A,'Payment Changes'!G296),0)+IFERROR(VLOOKUP(G296&amp;"-ALL",NLPaymentExport,10,FALSE),0)</f>
        <v>0</v>
      </c>
      <c r="U296" s="118">
        <f t="shared" si="42"/>
        <v>0</v>
      </c>
    </row>
    <row r="297" spans="1:54" ht="17.100000000000001" hidden="1" customHeight="1" outlineLevel="1" x14ac:dyDescent="0.25">
      <c r="A297" s="3"/>
      <c r="C297" s="4"/>
      <c r="D297" s="181"/>
      <c r="E297" s="91" t="str">
        <f t="shared" si="43"/>
        <v>El Paso - Zaragoza</v>
      </c>
      <c r="F297" s="93" t="str">
        <f t="shared" si="44"/>
        <v>CP527</v>
      </c>
      <c r="G297" s="99" t="str">
        <f t="shared" si="45"/>
        <v>CP527-RETURN - 6th don of the month -BONUS</v>
      </c>
      <c r="H297" s="182"/>
      <c r="I297" s="38" t="s">
        <v>48</v>
      </c>
      <c r="J297" s="58">
        <v>0</v>
      </c>
      <c r="K297" s="58">
        <v>0</v>
      </c>
      <c r="L297" s="58">
        <v>0</v>
      </c>
      <c r="M297" s="58">
        <v>30</v>
      </c>
      <c r="N297" s="58">
        <v>30</v>
      </c>
      <c r="O297" s="58">
        <v>30</v>
      </c>
      <c r="P297" s="58"/>
      <c r="Q297" s="58"/>
      <c r="R297" s="22"/>
      <c r="S297" s="117" t="str">
        <f t="shared" si="40"/>
        <v>N</v>
      </c>
      <c r="T297" s="114">
        <f>IFERROR(SUMIF('Current NLData'!A:A,'Payment Changes'!G297,'Current NLData'!K:K)/COUNTIF('Current NLData'!A:A,'Payment Changes'!G297),0)+IFERROR(VLOOKUP(G297&amp;"-ALL",NLPaymentExport,10,FALSE),0)</f>
        <v>0</v>
      </c>
      <c r="U297" s="118">
        <f t="shared" si="42"/>
        <v>0</v>
      </c>
    </row>
    <row r="298" spans="1:54" ht="17.100000000000001" hidden="1" customHeight="1" outlineLevel="1" x14ac:dyDescent="0.25">
      <c r="A298" s="3"/>
      <c r="C298" s="4"/>
      <c r="D298" s="181"/>
      <c r="E298" s="91" t="str">
        <f t="shared" si="43"/>
        <v>El Paso - Zaragoza</v>
      </c>
      <c r="F298" s="93" t="str">
        <f t="shared" si="44"/>
        <v>CP527</v>
      </c>
      <c r="G298" s="99" t="str">
        <f t="shared" si="45"/>
        <v>CP527-RETURN - 7th don of the month -BONUS</v>
      </c>
      <c r="H298" s="182"/>
      <c r="I298" s="38" t="s">
        <v>49</v>
      </c>
      <c r="J298" s="58">
        <v>0</v>
      </c>
      <c r="K298" s="58">
        <v>0</v>
      </c>
      <c r="L298" s="58">
        <v>0</v>
      </c>
      <c r="M298" s="58">
        <v>0</v>
      </c>
      <c r="N298" s="58">
        <v>0</v>
      </c>
      <c r="O298" s="58">
        <v>0</v>
      </c>
      <c r="P298" s="58">
        <v>0</v>
      </c>
      <c r="Q298" s="58">
        <v>0</v>
      </c>
      <c r="R298" s="22"/>
      <c r="S298" s="117" t="str">
        <f t="shared" si="40"/>
        <v>N</v>
      </c>
      <c r="T298" s="114">
        <f>IFERROR(SUMIF('Current NLData'!A:A,'Payment Changes'!G298,'Current NLData'!K:K)/COUNTIF('Current NLData'!A:A,'Payment Changes'!G298),0)+IFERROR(VLOOKUP(G298&amp;"-ALL",NLPaymentExport,10,FALSE),0)</f>
        <v>0</v>
      </c>
      <c r="U298" s="118">
        <f t="shared" si="42"/>
        <v>0</v>
      </c>
    </row>
    <row r="299" spans="1:54" ht="17.100000000000001" hidden="1" customHeight="1" outlineLevel="1" x14ac:dyDescent="0.25">
      <c r="A299" s="3"/>
      <c r="C299" s="4"/>
      <c r="D299" s="181"/>
      <c r="E299" s="91" t="str">
        <f t="shared" si="43"/>
        <v>El Paso - Zaragoza</v>
      </c>
      <c r="F299" s="93" t="str">
        <f t="shared" si="44"/>
        <v>CP527</v>
      </c>
      <c r="G299" s="99" t="str">
        <f t="shared" si="45"/>
        <v>CP527-RETURN - 8th don of the month -BONUS</v>
      </c>
      <c r="H299" s="182"/>
      <c r="I299" s="38" t="s">
        <v>50</v>
      </c>
      <c r="J299" s="58">
        <v>25</v>
      </c>
      <c r="K299" s="58">
        <v>25</v>
      </c>
      <c r="L299" s="58">
        <v>0</v>
      </c>
      <c r="M299" s="58">
        <v>0</v>
      </c>
      <c r="N299" s="58">
        <v>0</v>
      </c>
      <c r="O299" s="58">
        <v>0</v>
      </c>
      <c r="P299" s="58">
        <v>0</v>
      </c>
      <c r="Q299" s="58">
        <v>0</v>
      </c>
      <c r="R299" s="22"/>
      <c r="S299" s="117" t="str">
        <f t="shared" si="40"/>
        <v>N</v>
      </c>
      <c r="T299" s="114">
        <f>IFERROR(SUMIF('Current NLData'!A:A,'Payment Changes'!G299,'Current NLData'!K:K)/COUNTIF('Current NLData'!A:A,'Payment Changes'!G299),0)+IFERROR(VLOOKUP(G299&amp;"-ALL",NLPaymentExport,10,FALSE),0)</f>
        <v>0</v>
      </c>
      <c r="U299" s="118">
        <f t="shared" si="42"/>
        <v>0</v>
      </c>
    </row>
    <row r="300" spans="1:54" ht="17.100000000000001" hidden="1" customHeight="1" outlineLevel="1" x14ac:dyDescent="0.25">
      <c r="A300" s="3"/>
      <c r="C300" s="4" t="str">
        <f>IF(J300=0,"Warning","")</f>
        <v/>
      </c>
      <c r="D300" s="181"/>
      <c r="E300" s="91" t="str">
        <f t="shared" si="43"/>
        <v>El Paso - Zaragoza</v>
      </c>
      <c r="F300" s="93" t="str">
        <f t="shared" si="44"/>
        <v>CP527</v>
      </c>
      <c r="G300" s="99" t="str">
        <f t="shared" si="45"/>
        <v>CP527-RETURN - Buddy referral  -BONUS</v>
      </c>
      <c r="H300" s="182"/>
      <c r="I300" s="39" t="s">
        <v>51</v>
      </c>
      <c r="J300" s="58">
        <v>50</v>
      </c>
      <c r="K300" s="57">
        <v>0</v>
      </c>
      <c r="L300" s="56">
        <v>0</v>
      </c>
      <c r="M300" s="56">
        <v>50</v>
      </c>
      <c r="N300" s="56">
        <v>50</v>
      </c>
      <c r="O300" s="56">
        <v>50</v>
      </c>
      <c r="P300" s="56">
        <v>50</v>
      </c>
      <c r="Q300" s="56">
        <v>50</v>
      </c>
      <c r="R300" s="23"/>
      <c r="S300" s="117" t="str">
        <f t="shared" si="40"/>
        <v>N</v>
      </c>
      <c r="T300" s="114">
        <f>IFERROR(SUMIF('Current NLData'!A:A,'Payment Changes'!G300,'Current NLData'!K:K)/COUNTIF('Current NLData'!A:A,'Payment Changes'!G300),0)+IFERROR(VLOOKUP(G300&amp;"-ALL",NLPaymentExport,10,FALSE),0)</f>
        <v>50</v>
      </c>
      <c r="U300" s="118">
        <f t="shared" si="42"/>
        <v>0</v>
      </c>
    </row>
    <row r="301" spans="1:54" s="90" customFormat="1" ht="17.100000000000001" hidden="1" customHeight="1" collapsed="1" x14ac:dyDescent="0.35">
      <c r="A301" s="85"/>
      <c r="B301" s="85"/>
      <c r="C301" s="86"/>
      <c r="D301" s="87"/>
      <c r="E301" s="87"/>
      <c r="F301" s="87"/>
      <c r="G301" s="87"/>
      <c r="H301" s="96"/>
      <c r="I301" s="88"/>
      <c r="J301" s="89"/>
      <c r="K301" s="89"/>
      <c r="L301" s="89"/>
      <c r="M301" s="89"/>
      <c r="N301" s="89"/>
      <c r="O301" s="89"/>
      <c r="P301" s="89"/>
      <c r="Q301" s="89"/>
      <c r="R301" s="21"/>
      <c r="S301" s="117" t="str">
        <f t="shared" si="40"/>
        <v>N</v>
      </c>
      <c r="T301" s="114">
        <f>IFERROR(SUMIF('Current NLData'!A:A,'Payment Changes'!G301,'Current NLData'!K:K)/COUNTIF('Current NLData'!A:A,'Payment Changes'!G301),0)+IFERROR(VLOOKUP(G301&amp;"-ALL",NLPaymentExport,10,FALSE),0)</f>
        <v>0</v>
      </c>
      <c r="U301" s="118" t="str">
        <f t="shared" si="42"/>
        <v/>
      </c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</row>
    <row r="302" spans="1:54" s="10" customFormat="1" ht="17.100000000000001" hidden="1" customHeight="1" x14ac:dyDescent="0.25">
      <c r="A302" s="165">
        <v>16</v>
      </c>
      <c r="B302" s="168" t="s">
        <v>113</v>
      </c>
      <c r="C302" s="171" t="s">
        <v>19</v>
      </c>
      <c r="D302" s="174" t="s">
        <v>57</v>
      </c>
      <c r="E302" s="106" t="str">
        <f t="shared" si="43"/>
        <v>El Paso - Stanton</v>
      </c>
      <c r="F302" s="107" t="s">
        <v>114</v>
      </c>
      <c r="G302" s="108" t="str">
        <f t="shared" ref="G302:G320" si="46">F302&amp;"-"&amp;I302</f>
        <v>CP206-New Donor</v>
      </c>
      <c r="H302" s="177" t="s">
        <v>75</v>
      </c>
      <c r="I302" s="76" t="s">
        <v>23</v>
      </c>
      <c r="J302" s="40" t="s">
        <v>55</v>
      </c>
      <c r="K302" s="41" t="s">
        <v>115</v>
      </c>
      <c r="L302" s="41" t="s">
        <v>116</v>
      </c>
      <c r="M302" s="42" t="s">
        <v>116</v>
      </c>
      <c r="N302" s="40" t="s">
        <v>116</v>
      </c>
      <c r="O302" s="40" t="s">
        <v>116</v>
      </c>
      <c r="P302" s="40" t="s">
        <v>116</v>
      </c>
      <c r="Q302" s="40" t="s">
        <v>116</v>
      </c>
      <c r="R302" s="109"/>
      <c r="S302" s="117" t="str">
        <f t="shared" si="40"/>
        <v>N</v>
      </c>
      <c r="T302" s="114">
        <f>IFERROR(SUMIF('Current NLData'!A:A,'Payment Changes'!G302,'Current NLData'!K:K)/COUNTIF('Current NLData'!A:A,'Payment Changes'!G302),0)+IFERROR(VLOOKUP(G302&amp;"-ALL",NLPaymentExport,10,FALSE),0)</f>
        <v>0</v>
      </c>
      <c r="U302" s="118" t="str">
        <f t="shared" si="42"/>
        <v/>
      </c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</row>
    <row r="303" spans="1:54" ht="17.100000000000001" hidden="1" customHeight="1" x14ac:dyDescent="0.25">
      <c r="A303" s="166"/>
      <c r="B303" s="169"/>
      <c r="C303" s="172"/>
      <c r="D303" s="175"/>
      <c r="E303" s="91" t="str">
        <f t="shared" si="43"/>
        <v>El Paso - Stanton</v>
      </c>
      <c r="F303" s="92" t="s">
        <v>114</v>
      </c>
      <c r="G303" s="98" t="str">
        <f t="shared" si="46"/>
        <v>CP206-Return Donor</v>
      </c>
      <c r="H303" s="178"/>
      <c r="I303" s="77" t="s">
        <v>29</v>
      </c>
      <c r="J303" s="43" t="s">
        <v>55</v>
      </c>
      <c r="K303" s="43" t="s">
        <v>116</v>
      </c>
      <c r="L303" s="44" t="s">
        <v>116</v>
      </c>
      <c r="M303" s="45" t="s">
        <v>116</v>
      </c>
      <c r="N303" s="43" t="s">
        <v>116</v>
      </c>
      <c r="O303" s="43" t="s">
        <v>116</v>
      </c>
      <c r="P303" s="43" t="s">
        <v>116</v>
      </c>
      <c r="Q303" s="43" t="s">
        <v>116</v>
      </c>
      <c r="R303" s="21"/>
      <c r="S303" s="117" t="str">
        <f t="shared" si="40"/>
        <v>N</v>
      </c>
      <c r="T303" s="114">
        <f>IFERROR(SUMIF('Current NLData'!A:A,'Payment Changes'!G303,'Current NLData'!K:K)/COUNTIF('Current NLData'!A:A,'Payment Changes'!G303),0)+IFERROR(VLOOKUP(G303&amp;"-ALL",NLPaymentExport,10,FALSE),0)</f>
        <v>0</v>
      </c>
      <c r="U303" s="118" t="str">
        <f t="shared" si="42"/>
        <v/>
      </c>
    </row>
    <row r="304" spans="1:54" ht="17.100000000000001" hidden="1" customHeight="1" x14ac:dyDescent="0.25">
      <c r="A304" s="166"/>
      <c r="B304" s="169"/>
      <c r="C304" s="172"/>
      <c r="D304" s="175"/>
      <c r="E304" s="91" t="str">
        <f t="shared" si="43"/>
        <v>El Paso - Stanton</v>
      </c>
      <c r="F304" s="92" t="s">
        <v>114</v>
      </c>
      <c r="G304" s="98" t="str">
        <f t="shared" si="46"/>
        <v>CP206-Retention Bonus</v>
      </c>
      <c r="H304" s="178"/>
      <c r="I304" s="78" t="s">
        <v>30</v>
      </c>
      <c r="J304" s="46" t="s">
        <v>31</v>
      </c>
      <c r="K304" s="46" t="s">
        <v>31</v>
      </c>
      <c r="L304" s="47" t="s">
        <v>32</v>
      </c>
      <c r="M304" s="48" t="s">
        <v>32</v>
      </c>
      <c r="N304" s="46" t="s">
        <v>32</v>
      </c>
      <c r="O304" s="46" t="s">
        <v>32</v>
      </c>
      <c r="P304" s="46" t="s">
        <v>32</v>
      </c>
      <c r="Q304" s="46" t="s">
        <v>32</v>
      </c>
      <c r="R304" s="21"/>
      <c r="S304" s="117" t="str">
        <f t="shared" si="40"/>
        <v>N</v>
      </c>
      <c r="T304" s="114">
        <f>IFERROR(SUMIF('Current NLData'!A:A,'Payment Changes'!G304,'Current NLData'!K:K)/COUNTIF('Current NLData'!A:A,'Payment Changes'!G304),0)+IFERROR(VLOOKUP(G304&amp;"-ALL",NLPaymentExport,10,FALSE),0)</f>
        <v>0</v>
      </c>
      <c r="U304" s="118" t="str">
        <f t="shared" si="42"/>
        <v/>
      </c>
    </row>
    <row r="305" spans="1:54" s="15" customFormat="1" ht="17.100000000000001" hidden="1" customHeight="1" x14ac:dyDescent="0.25">
      <c r="A305" s="167"/>
      <c r="B305" s="170"/>
      <c r="C305" s="173"/>
      <c r="D305" s="176"/>
      <c r="E305" s="110" t="str">
        <f t="shared" si="43"/>
        <v>El Paso - Stanton</v>
      </c>
      <c r="F305" s="111" t="s">
        <v>114</v>
      </c>
      <c r="G305" s="112" t="str">
        <f t="shared" si="46"/>
        <v>CP206-Referral</v>
      </c>
      <c r="H305" s="179"/>
      <c r="I305" s="79" t="s">
        <v>34</v>
      </c>
      <c r="J305" s="49">
        <v>50</v>
      </c>
      <c r="K305" s="49">
        <v>0</v>
      </c>
      <c r="L305" s="50" t="s">
        <v>32</v>
      </c>
      <c r="M305" s="51" t="s">
        <v>32</v>
      </c>
      <c r="N305" s="49" t="s">
        <v>32</v>
      </c>
      <c r="O305" s="49">
        <v>50</v>
      </c>
      <c r="P305" s="49">
        <v>50</v>
      </c>
      <c r="Q305" s="49">
        <v>50</v>
      </c>
      <c r="R305" s="113"/>
      <c r="S305" s="117" t="str">
        <f t="shared" si="40"/>
        <v>N</v>
      </c>
      <c r="T305" s="114">
        <f>IFERROR(SUMIF('Current NLData'!A:A,'Payment Changes'!G305,'Current NLData'!K:K)/COUNTIF('Current NLData'!A:A,'Payment Changes'!G305),0)+IFERROR(VLOOKUP(G305&amp;"-ALL",NLPaymentExport,10,FALSE),0)</f>
        <v>0</v>
      </c>
      <c r="U305" s="118" t="str">
        <f t="shared" si="42"/>
        <v/>
      </c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</row>
    <row r="306" spans="1:54" ht="17.100000000000001" hidden="1" customHeight="1" outlineLevel="1" x14ac:dyDescent="0.25">
      <c r="A306" s="3"/>
      <c r="C306" s="4"/>
      <c r="D306" s="180" t="s">
        <v>114</v>
      </c>
      <c r="E306" s="91" t="str">
        <f t="shared" si="43"/>
        <v>El Paso - Stanton</v>
      </c>
      <c r="F306" s="93" t="str">
        <f t="shared" si="44"/>
        <v>CP206</v>
      </c>
      <c r="G306" s="99" t="str">
        <f t="shared" si="46"/>
        <v>CP206-NEW DONOR -1st</v>
      </c>
      <c r="H306" s="182" t="s">
        <v>36</v>
      </c>
      <c r="I306" s="33" t="s">
        <v>37</v>
      </c>
      <c r="J306" s="60">
        <v>70</v>
      </c>
      <c r="K306" s="61">
        <v>65</v>
      </c>
      <c r="L306" s="60">
        <v>65</v>
      </c>
      <c r="M306" s="60">
        <v>65</v>
      </c>
      <c r="N306" s="60">
        <v>65</v>
      </c>
      <c r="O306" s="60">
        <v>65</v>
      </c>
      <c r="P306" s="60">
        <v>65</v>
      </c>
      <c r="Q306" s="60">
        <v>65</v>
      </c>
      <c r="R306" s="23"/>
      <c r="S306" s="117" t="str">
        <f t="shared" si="40"/>
        <v>N</v>
      </c>
      <c r="T306" s="114">
        <f>IFERROR(SUMIF('Current NLData'!A:A,'Payment Changes'!G306,'Current NLData'!K:K)/COUNTIF('Current NLData'!A:A,'Payment Changes'!G306),0)+IFERROR(VLOOKUP(G306&amp;"-ALL",NLPaymentExport,10,FALSE),0)</f>
        <v>65</v>
      </c>
      <c r="U306" s="118">
        <f t="shared" si="42"/>
        <v>0</v>
      </c>
    </row>
    <row r="307" spans="1:54" ht="17.100000000000001" hidden="1" customHeight="1" outlineLevel="1" x14ac:dyDescent="0.25">
      <c r="A307" s="3"/>
      <c r="C307" s="4"/>
      <c r="D307" s="181"/>
      <c r="E307" s="91" t="str">
        <f t="shared" si="43"/>
        <v>El Paso - Stanton</v>
      </c>
      <c r="F307" s="93" t="str">
        <f t="shared" si="44"/>
        <v>CP206</v>
      </c>
      <c r="G307" s="99" t="str">
        <f t="shared" si="46"/>
        <v>CP206-NEW DONOR -2nd</v>
      </c>
      <c r="H307" s="182"/>
      <c r="I307" s="34" t="s">
        <v>38</v>
      </c>
      <c r="J307" s="58">
        <v>70</v>
      </c>
      <c r="K307" s="62">
        <v>70</v>
      </c>
      <c r="L307" s="58">
        <v>65</v>
      </c>
      <c r="M307" s="58">
        <v>65</v>
      </c>
      <c r="N307" s="58">
        <v>65</v>
      </c>
      <c r="O307" s="58">
        <v>65</v>
      </c>
      <c r="P307" s="58">
        <v>65</v>
      </c>
      <c r="Q307" s="58">
        <v>65</v>
      </c>
      <c r="R307" s="23"/>
      <c r="S307" s="117" t="str">
        <f t="shared" si="40"/>
        <v>N</v>
      </c>
      <c r="T307" s="114">
        <f>IFERROR(SUMIF('Current NLData'!A:A,'Payment Changes'!G307,'Current NLData'!K:K)/COUNTIF('Current NLData'!A:A,'Payment Changes'!G307),0)+IFERROR(VLOOKUP(G307&amp;"-ALL",NLPaymentExport,10,FALSE),0)</f>
        <v>65</v>
      </c>
      <c r="U307" s="118">
        <f t="shared" si="42"/>
        <v>0</v>
      </c>
    </row>
    <row r="308" spans="1:54" ht="17.100000000000001" hidden="1" customHeight="1" outlineLevel="1" x14ac:dyDescent="0.25">
      <c r="A308" s="3"/>
      <c r="C308" s="4"/>
      <c r="D308" s="181"/>
      <c r="E308" s="91" t="str">
        <f t="shared" si="43"/>
        <v>El Paso - Stanton</v>
      </c>
      <c r="F308" s="93" t="str">
        <f t="shared" si="44"/>
        <v>CP206</v>
      </c>
      <c r="G308" s="99" t="str">
        <f t="shared" si="46"/>
        <v>CP206-NEW DONOR -3rd</v>
      </c>
      <c r="H308" s="182"/>
      <c r="I308" s="34" t="s">
        <v>39</v>
      </c>
      <c r="J308" s="58">
        <v>70</v>
      </c>
      <c r="K308" s="62">
        <v>65</v>
      </c>
      <c r="L308" s="58">
        <v>65</v>
      </c>
      <c r="M308" s="58">
        <v>65</v>
      </c>
      <c r="N308" s="58">
        <v>65</v>
      </c>
      <c r="O308" s="58">
        <v>65</v>
      </c>
      <c r="P308" s="58">
        <v>65</v>
      </c>
      <c r="Q308" s="58">
        <v>65</v>
      </c>
      <c r="R308" s="23"/>
      <c r="S308" s="117" t="str">
        <f t="shared" si="40"/>
        <v>N</v>
      </c>
      <c r="T308" s="114">
        <f>IFERROR(SUMIF('Current NLData'!A:A,'Payment Changes'!G308,'Current NLData'!K:K)/COUNTIF('Current NLData'!A:A,'Payment Changes'!G308),0)+IFERROR(VLOOKUP(G308&amp;"-ALL",NLPaymentExport,10,FALSE),0)</f>
        <v>65</v>
      </c>
      <c r="U308" s="118">
        <f t="shared" si="42"/>
        <v>0</v>
      </c>
    </row>
    <row r="309" spans="1:54" ht="17.100000000000001" hidden="1" customHeight="1" outlineLevel="1" x14ac:dyDescent="0.25">
      <c r="A309" s="3"/>
      <c r="C309" s="4"/>
      <c r="D309" s="181"/>
      <c r="E309" s="91" t="str">
        <f t="shared" si="43"/>
        <v>El Paso - Stanton</v>
      </c>
      <c r="F309" s="93" t="str">
        <f t="shared" si="44"/>
        <v>CP206</v>
      </c>
      <c r="G309" s="99" t="str">
        <f t="shared" si="46"/>
        <v>CP206-NEW DONOR -4th</v>
      </c>
      <c r="H309" s="182"/>
      <c r="I309" s="34" t="s">
        <v>40</v>
      </c>
      <c r="J309" s="58">
        <v>70</v>
      </c>
      <c r="K309" s="62">
        <v>70</v>
      </c>
      <c r="L309" s="58">
        <v>65</v>
      </c>
      <c r="M309" s="58">
        <v>65</v>
      </c>
      <c r="N309" s="58">
        <v>65</v>
      </c>
      <c r="O309" s="58">
        <v>65</v>
      </c>
      <c r="P309" s="58">
        <v>65</v>
      </c>
      <c r="Q309" s="58">
        <v>65</v>
      </c>
      <c r="R309" s="23"/>
      <c r="S309" s="117" t="str">
        <f t="shared" si="40"/>
        <v>N</v>
      </c>
      <c r="T309" s="114">
        <f>IFERROR(SUMIF('Current NLData'!A:A,'Payment Changes'!G309,'Current NLData'!K:K)/COUNTIF('Current NLData'!A:A,'Payment Changes'!G309),0)+IFERROR(VLOOKUP(G309&amp;"-ALL",NLPaymentExport,10,FALSE),0)</f>
        <v>65</v>
      </c>
      <c r="U309" s="118">
        <f t="shared" si="42"/>
        <v>0</v>
      </c>
    </row>
    <row r="310" spans="1:54" ht="17.100000000000001" hidden="1" customHeight="1" outlineLevel="1" x14ac:dyDescent="0.25">
      <c r="A310" s="3"/>
      <c r="C310" s="4"/>
      <c r="D310" s="181"/>
      <c r="E310" s="91" t="str">
        <f t="shared" si="43"/>
        <v>El Paso - Stanton</v>
      </c>
      <c r="F310" s="93" t="str">
        <f t="shared" si="44"/>
        <v>CP206</v>
      </c>
      <c r="G310" s="99" t="str">
        <f t="shared" si="46"/>
        <v>CP206-NEW DONOR -5th</v>
      </c>
      <c r="H310" s="182"/>
      <c r="I310" s="34" t="s">
        <v>41</v>
      </c>
      <c r="J310" s="58">
        <v>70</v>
      </c>
      <c r="K310" s="62">
        <v>65</v>
      </c>
      <c r="L310" s="58">
        <v>65</v>
      </c>
      <c r="M310" s="58">
        <v>65</v>
      </c>
      <c r="N310" s="58">
        <v>65</v>
      </c>
      <c r="O310" s="58">
        <v>65</v>
      </c>
      <c r="P310" s="58">
        <v>65</v>
      </c>
      <c r="Q310" s="58">
        <v>65</v>
      </c>
      <c r="R310" s="23"/>
      <c r="S310" s="117" t="str">
        <f t="shared" si="40"/>
        <v>N</v>
      </c>
      <c r="T310" s="114">
        <f>IFERROR(SUMIF('Current NLData'!A:A,'Payment Changes'!G310,'Current NLData'!K:K)/COUNTIF('Current NLData'!A:A,'Payment Changes'!G310),0)+IFERROR(VLOOKUP(G310&amp;"-ALL",NLPaymentExport,10,FALSE),0)</f>
        <v>65</v>
      </c>
      <c r="U310" s="118">
        <f t="shared" si="42"/>
        <v>0</v>
      </c>
    </row>
    <row r="311" spans="1:54" ht="17.100000000000001" hidden="1" customHeight="1" outlineLevel="1" x14ac:dyDescent="0.25">
      <c r="A311" s="3"/>
      <c r="C311" s="4"/>
      <c r="D311" s="181"/>
      <c r="E311" s="91" t="str">
        <f t="shared" si="43"/>
        <v>El Paso - Stanton</v>
      </c>
      <c r="F311" s="93" t="str">
        <f t="shared" si="44"/>
        <v>CP206</v>
      </c>
      <c r="G311" s="99" t="str">
        <f t="shared" si="46"/>
        <v>CP206-NEW DONOR -6th</v>
      </c>
      <c r="H311" s="182"/>
      <c r="I311" s="34" t="s">
        <v>42</v>
      </c>
      <c r="J311" s="58">
        <v>70</v>
      </c>
      <c r="K311" s="62">
        <v>70</v>
      </c>
      <c r="L311" s="58">
        <v>65</v>
      </c>
      <c r="M311" s="58">
        <v>65</v>
      </c>
      <c r="N311" s="58">
        <v>65</v>
      </c>
      <c r="O311" s="58">
        <v>65</v>
      </c>
      <c r="P311" s="58">
        <v>65</v>
      </c>
      <c r="Q311" s="58">
        <v>65</v>
      </c>
      <c r="R311" s="23"/>
      <c r="S311" s="117" t="str">
        <f t="shared" si="40"/>
        <v>N</v>
      </c>
      <c r="T311" s="114">
        <f>IFERROR(SUMIF('Current NLData'!A:A,'Payment Changes'!G311,'Current NLData'!K:K)/COUNTIF('Current NLData'!A:A,'Payment Changes'!G311),0)+IFERROR(VLOOKUP(G311&amp;"-ALL",NLPaymentExport,10,FALSE),0)</f>
        <v>65</v>
      </c>
      <c r="U311" s="118">
        <f t="shared" si="42"/>
        <v>0</v>
      </c>
    </row>
    <row r="312" spans="1:54" ht="17.100000000000001" hidden="1" customHeight="1" outlineLevel="1" x14ac:dyDescent="0.25">
      <c r="A312" s="3"/>
      <c r="C312" s="4"/>
      <c r="D312" s="181"/>
      <c r="E312" s="91" t="str">
        <f t="shared" si="43"/>
        <v>El Paso - Stanton</v>
      </c>
      <c r="F312" s="93" t="str">
        <f t="shared" si="44"/>
        <v>CP206</v>
      </c>
      <c r="G312" s="99" t="str">
        <f t="shared" si="46"/>
        <v>CP206-NEW DONOR -7th</v>
      </c>
      <c r="H312" s="182"/>
      <c r="I312" s="34" t="s">
        <v>43</v>
      </c>
      <c r="J312" s="58">
        <v>70</v>
      </c>
      <c r="K312" s="62">
        <v>65</v>
      </c>
      <c r="L312" s="58">
        <v>65</v>
      </c>
      <c r="M312" s="58">
        <v>65</v>
      </c>
      <c r="N312" s="58">
        <v>65</v>
      </c>
      <c r="O312" s="58">
        <v>65</v>
      </c>
      <c r="P312" s="58">
        <v>65</v>
      </c>
      <c r="Q312" s="58">
        <v>65</v>
      </c>
      <c r="R312" s="23"/>
      <c r="S312" s="117" t="str">
        <f t="shared" si="40"/>
        <v>N</v>
      </c>
      <c r="T312" s="114">
        <f>IFERROR(SUMIF('Current NLData'!A:A,'Payment Changes'!G312,'Current NLData'!K:K)/COUNTIF('Current NLData'!A:A,'Payment Changes'!G312),0)+IFERROR(VLOOKUP(G312&amp;"-ALL",NLPaymentExport,10,FALSE),0)</f>
        <v>65</v>
      </c>
      <c r="U312" s="118">
        <f t="shared" si="42"/>
        <v>0</v>
      </c>
    </row>
    <row r="313" spans="1:54" ht="17.100000000000001" hidden="1" customHeight="1" outlineLevel="1" x14ac:dyDescent="0.25">
      <c r="A313" s="3"/>
      <c r="C313" s="4"/>
      <c r="D313" s="181"/>
      <c r="E313" s="91" t="str">
        <f t="shared" si="43"/>
        <v>El Paso - Stanton</v>
      </c>
      <c r="F313" s="93" t="str">
        <f t="shared" si="44"/>
        <v>CP206</v>
      </c>
      <c r="G313" s="99" t="str">
        <f t="shared" si="46"/>
        <v>CP206-NEW DONOR -8th</v>
      </c>
      <c r="H313" s="182"/>
      <c r="I313" s="35" t="s">
        <v>44</v>
      </c>
      <c r="J313" s="63">
        <v>70</v>
      </c>
      <c r="K313" s="64">
        <v>70</v>
      </c>
      <c r="L313" s="63">
        <v>65</v>
      </c>
      <c r="M313" s="63">
        <v>65</v>
      </c>
      <c r="N313" s="63">
        <v>65</v>
      </c>
      <c r="O313" s="63">
        <v>65</v>
      </c>
      <c r="P313" s="63">
        <v>65</v>
      </c>
      <c r="Q313" s="63">
        <v>65</v>
      </c>
      <c r="R313" s="23"/>
      <c r="S313" s="117" t="str">
        <f t="shared" si="40"/>
        <v>N</v>
      </c>
      <c r="T313" s="114">
        <f>IFERROR(SUMIF('Current NLData'!A:A,'Payment Changes'!G313,'Current NLData'!K:K)/COUNTIF('Current NLData'!A:A,'Payment Changes'!G313),0)+IFERROR(VLOOKUP(G313&amp;"-ALL",NLPaymentExport,10,FALSE),0)</f>
        <v>65</v>
      </c>
      <c r="U313" s="118">
        <f t="shared" si="42"/>
        <v>0</v>
      </c>
    </row>
    <row r="314" spans="1:54" ht="17.100000000000001" hidden="1" customHeight="1" outlineLevel="1" x14ac:dyDescent="0.25">
      <c r="A314" s="3"/>
      <c r="C314" s="4"/>
      <c r="D314" s="181"/>
      <c r="E314" s="91" t="str">
        <f t="shared" si="43"/>
        <v>El Paso - Stanton</v>
      </c>
      <c r="F314" s="93" t="str">
        <f t="shared" si="44"/>
        <v>CP206</v>
      </c>
      <c r="G314" s="99" t="str">
        <f t="shared" si="46"/>
        <v>CP206-RETURN - 1st don of the week -STD</v>
      </c>
      <c r="H314" s="182"/>
      <c r="I314" s="36" t="s">
        <v>45</v>
      </c>
      <c r="J314" s="58">
        <v>70</v>
      </c>
      <c r="K314" s="62">
        <v>65</v>
      </c>
      <c r="L314" s="58">
        <v>65</v>
      </c>
      <c r="M314" s="58">
        <v>65</v>
      </c>
      <c r="N314" s="58">
        <v>65</v>
      </c>
      <c r="O314" s="58">
        <v>65</v>
      </c>
      <c r="P314" s="58">
        <v>65</v>
      </c>
      <c r="Q314" s="58">
        <v>65</v>
      </c>
      <c r="R314" s="23"/>
      <c r="S314" s="117" t="str">
        <f t="shared" si="40"/>
        <v>N</v>
      </c>
      <c r="T314" s="114">
        <f>IFERROR(SUMIF('Current NLData'!A:A,'Payment Changes'!G314,'Current NLData'!K:K)/COUNTIF('Current NLData'!A:A,'Payment Changes'!G314),0)+IFERROR(VLOOKUP(G314&amp;"-ALL",NLPaymentExport,10,FALSE),0)</f>
        <v>65</v>
      </c>
      <c r="U314" s="118">
        <f t="shared" si="42"/>
        <v>0</v>
      </c>
    </row>
    <row r="315" spans="1:54" ht="17.100000000000001" hidden="1" customHeight="1" outlineLevel="1" x14ac:dyDescent="0.25">
      <c r="A315" s="3"/>
      <c r="C315" s="4"/>
      <c r="D315" s="181"/>
      <c r="E315" s="91" t="str">
        <f t="shared" si="43"/>
        <v>El Paso - Stanton</v>
      </c>
      <c r="F315" s="93" t="str">
        <f t="shared" si="44"/>
        <v>CP206</v>
      </c>
      <c r="G315" s="99" t="str">
        <f t="shared" si="46"/>
        <v>CP206-RETURN - 2nd don of the week -BONUS</v>
      </c>
      <c r="H315" s="182"/>
      <c r="I315" s="36" t="s">
        <v>46</v>
      </c>
      <c r="J315" s="58">
        <v>0</v>
      </c>
      <c r="K315" s="62">
        <v>5</v>
      </c>
      <c r="L315" s="58">
        <v>5</v>
      </c>
      <c r="M315" s="58">
        <v>5</v>
      </c>
      <c r="N315" s="58">
        <v>5</v>
      </c>
      <c r="O315" s="58">
        <v>5</v>
      </c>
      <c r="P315" s="58">
        <v>5</v>
      </c>
      <c r="Q315" s="58">
        <v>5</v>
      </c>
      <c r="R315" s="23"/>
      <c r="S315" s="117" t="str">
        <f t="shared" si="40"/>
        <v>N</v>
      </c>
      <c r="T315" s="114">
        <f>IFERROR(SUMIF('Current NLData'!A:A,'Payment Changes'!G315,'Current NLData'!K:K)/COUNTIF('Current NLData'!A:A,'Payment Changes'!G315),0)+IFERROR(VLOOKUP(G315&amp;"-ALL",NLPaymentExport,10,FALSE),0)</f>
        <v>5</v>
      </c>
      <c r="U315" s="118">
        <f t="shared" si="42"/>
        <v>0</v>
      </c>
    </row>
    <row r="316" spans="1:54" ht="17.100000000000001" hidden="1" customHeight="1" outlineLevel="1" x14ac:dyDescent="0.25">
      <c r="A316" s="3"/>
      <c r="C316" s="4"/>
      <c r="D316" s="181"/>
      <c r="E316" s="91" t="str">
        <f t="shared" si="43"/>
        <v>El Paso - Stanton</v>
      </c>
      <c r="F316" s="93" t="str">
        <f t="shared" si="44"/>
        <v>CP206</v>
      </c>
      <c r="G316" s="99" t="str">
        <f t="shared" si="46"/>
        <v>CP206-RETURN - 5th don of the month -BONUS</v>
      </c>
      <c r="H316" s="182"/>
      <c r="I316" s="37" t="s">
        <v>47</v>
      </c>
      <c r="J316" s="65">
        <v>0</v>
      </c>
      <c r="K316" s="65">
        <v>0</v>
      </c>
      <c r="L316" s="65">
        <v>0</v>
      </c>
      <c r="M316" s="65">
        <v>0</v>
      </c>
      <c r="N316" s="65">
        <v>0</v>
      </c>
      <c r="O316" s="65">
        <v>0</v>
      </c>
      <c r="P316" s="65">
        <v>0</v>
      </c>
      <c r="Q316" s="65">
        <v>0</v>
      </c>
      <c r="R316" s="22"/>
      <c r="S316" s="117" t="str">
        <f t="shared" si="40"/>
        <v>N</v>
      </c>
      <c r="T316" s="114">
        <f>IFERROR(SUMIF('Current NLData'!A:A,'Payment Changes'!G316,'Current NLData'!K:K)/COUNTIF('Current NLData'!A:A,'Payment Changes'!G316),0)+IFERROR(VLOOKUP(G316&amp;"-ALL",NLPaymentExport,10,FALSE),0)</f>
        <v>0</v>
      </c>
      <c r="U316" s="118">
        <f t="shared" si="42"/>
        <v>0</v>
      </c>
    </row>
    <row r="317" spans="1:54" ht="17.100000000000001" hidden="1" customHeight="1" outlineLevel="1" x14ac:dyDescent="0.25">
      <c r="A317" s="3"/>
      <c r="C317" s="4"/>
      <c r="D317" s="181"/>
      <c r="E317" s="91" t="str">
        <f t="shared" si="43"/>
        <v>El Paso - Stanton</v>
      </c>
      <c r="F317" s="93" t="str">
        <f t="shared" si="44"/>
        <v>CP206</v>
      </c>
      <c r="G317" s="99" t="str">
        <f t="shared" si="46"/>
        <v>CP206-RETURN - 6th don of the month -BONUS</v>
      </c>
      <c r="H317" s="182"/>
      <c r="I317" s="38" t="s">
        <v>48</v>
      </c>
      <c r="J317" s="58">
        <v>0</v>
      </c>
      <c r="K317" s="58">
        <v>0</v>
      </c>
      <c r="L317" s="58">
        <v>0</v>
      </c>
      <c r="M317" s="58">
        <v>0</v>
      </c>
      <c r="N317" s="58">
        <v>0</v>
      </c>
      <c r="O317" s="58">
        <v>0</v>
      </c>
      <c r="P317" s="58">
        <v>0</v>
      </c>
      <c r="Q317" s="58">
        <v>0</v>
      </c>
      <c r="R317" s="22"/>
      <c r="S317" s="117" t="str">
        <f t="shared" si="40"/>
        <v>N</v>
      </c>
      <c r="T317" s="114">
        <f>IFERROR(SUMIF('Current NLData'!A:A,'Payment Changes'!G317,'Current NLData'!K:K)/COUNTIF('Current NLData'!A:A,'Payment Changes'!G317),0)+IFERROR(VLOOKUP(G317&amp;"-ALL",NLPaymentExport,10,FALSE),0)</f>
        <v>0</v>
      </c>
      <c r="U317" s="118">
        <f t="shared" si="42"/>
        <v>0</v>
      </c>
    </row>
    <row r="318" spans="1:54" ht="17.100000000000001" hidden="1" customHeight="1" outlineLevel="1" x14ac:dyDescent="0.25">
      <c r="A318" s="3"/>
      <c r="C318" s="4"/>
      <c r="D318" s="181"/>
      <c r="E318" s="91" t="str">
        <f t="shared" si="43"/>
        <v>El Paso - Stanton</v>
      </c>
      <c r="F318" s="93" t="str">
        <f t="shared" si="44"/>
        <v>CP206</v>
      </c>
      <c r="G318" s="99" t="str">
        <f t="shared" si="46"/>
        <v>CP206-RETURN - 7th don of the month -BONUS</v>
      </c>
      <c r="H318" s="182"/>
      <c r="I318" s="38" t="s">
        <v>49</v>
      </c>
      <c r="J318" s="58">
        <v>0</v>
      </c>
      <c r="K318" s="58">
        <v>0</v>
      </c>
      <c r="L318" s="58">
        <v>0</v>
      </c>
      <c r="M318" s="58">
        <v>0</v>
      </c>
      <c r="N318" s="58">
        <v>0</v>
      </c>
      <c r="O318" s="58">
        <v>0</v>
      </c>
      <c r="P318" s="58">
        <v>0</v>
      </c>
      <c r="Q318" s="58">
        <v>0</v>
      </c>
      <c r="R318" s="22"/>
      <c r="S318" s="117" t="str">
        <f t="shared" si="40"/>
        <v>N</v>
      </c>
      <c r="T318" s="114">
        <f>IFERROR(SUMIF('Current NLData'!A:A,'Payment Changes'!G318,'Current NLData'!K:K)/COUNTIF('Current NLData'!A:A,'Payment Changes'!G318),0)+IFERROR(VLOOKUP(G318&amp;"-ALL",NLPaymentExport,10,FALSE),0)</f>
        <v>0</v>
      </c>
      <c r="U318" s="118">
        <f t="shared" si="42"/>
        <v>0</v>
      </c>
    </row>
    <row r="319" spans="1:54" ht="17.100000000000001" hidden="1" customHeight="1" outlineLevel="1" x14ac:dyDescent="0.25">
      <c r="A319" s="3"/>
      <c r="C319" s="4"/>
      <c r="D319" s="181"/>
      <c r="E319" s="91" t="str">
        <f t="shared" si="43"/>
        <v>El Paso - Stanton</v>
      </c>
      <c r="F319" s="93" t="str">
        <f t="shared" si="44"/>
        <v>CP206</v>
      </c>
      <c r="G319" s="99" t="str">
        <f t="shared" si="46"/>
        <v>CP206-RETURN - 8th don of the month -BONUS</v>
      </c>
      <c r="H319" s="182"/>
      <c r="I319" s="38" t="s">
        <v>50</v>
      </c>
      <c r="J319" s="62">
        <v>25</v>
      </c>
      <c r="K319" s="58">
        <v>25</v>
      </c>
      <c r="L319" s="58">
        <v>0</v>
      </c>
      <c r="M319" s="58">
        <v>0</v>
      </c>
      <c r="N319" s="58">
        <v>0</v>
      </c>
      <c r="O319" s="58">
        <v>0</v>
      </c>
      <c r="P319" s="58">
        <v>0</v>
      </c>
      <c r="Q319" s="58">
        <v>0</v>
      </c>
      <c r="R319" s="22"/>
      <c r="S319" s="117" t="str">
        <f t="shared" si="40"/>
        <v>N</v>
      </c>
      <c r="T319" s="114">
        <f>IFERROR(SUMIF('Current NLData'!A:A,'Payment Changes'!G319,'Current NLData'!K:K)/COUNTIF('Current NLData'!A:A,'Payment Changes'!G319),0)+IFERROR(VLOOKUP(G319&amp;"-ALL",NLPaymentExport,10,FALSE),0)</f>
        <v>0</v>
      </c>
      <c r="U319" s="118">
        <f t="shared" si="42"/>
        <v>0</v>
      </c>
    </row>
    <row r="320" spans="1:54" ht="17.100000000000001" hidden="1" customHeight="1" outlineLevel="1" x14ac:dyDescent="0.25">
      <c r="A320" s="3"/>
      <c r="C320" s="4" t="str">
        <f>IF(J320=0,"Warning","")</f>
        <v/>
      </c>
      <c r="D320" s="181"/>
      <c r="E320" s="91" t="str">
        <f t="shared" si="43"/>
        <v>El Paso - Stanton</v>
      </c>
      <c r="F320" s="93" t="str">
        <f t="shared" si="44"/>
        <v>CP206</v>
      </c>
      <c r="G320" s="99" t="str">
        <f t="shared" si="46"/>
        <v>CP206-RETURN - Buddy referral  -BONUS</v>
      </c>
      <c r="H320" s="182"/>
      <c r="I320" s="39" t="s">
        <v>51</v>
      </c>
      <c r="J320" s="58">
        <v>50</v>
      </c>
      <c r="K320" s="57">
        <v>0</v>
      </c>
      <c r="L320" s="56">
        <v>0</v>
      </c>
      <c r="M320" s="56">
        <v>0</v>
      </c>
      <c r="N320" s="56">
        <v>0</v>
      </c>
      <c r="O320" s="56">
        <v>50</v>
      </c>
      <c r="P320" s="56">
        <v>50</v>
      </c>
      <c r="Q320" s="56">
        <v>50</v>
      </c>
      <c r="R320" s="23"/>
      <c r="S320" s="117" t="str">
        <f t="shared" si="40"/>
        <v>N</v>
      </c>
      <c r="T320" s="114">
        <f>IFERROR(SUMIF('Current NLData'!A:A,'Payment Changes'!G320,'Current NLData'!K:K)/COUNTIF('Current NLData'!A:A,'Payment Changes'!G320),0)+IFERROR(VLOOKUP(G320&amp;"-ALL",NLPaymentExport,10,FALSE),0)</f>
        <v>50</v>
      </c>
      <c r="U320" s="118">
        <f t="shared" si="42"/>
        <v>0</v>
      </c>
    </row>
    <row r="321" spans="1:54" s="90" customFormat="1" ht="17.100000000000001" hidden="1" customHeight="1" collapsed="1" x14ac:dyDescent="0.35">
      <c r="A321" s="85"/>
      <c r="B321" s="85"/>
      <c r="C321" s="86"/>
      <c r="D321" s="87"/>
      <c r="E321" s="87"/>
      <c r="F321" s="87"/>
      <c r="G321" s="87"/>
      <c r="H321" s="96"/>
      <c r="I321" s="88"/>
      <c r="J321" s="89"/>
      <c r="K321" s="89"/>
      <c r="L321" s="89"/>
      <c r="M321" s="89"/>
      <c r="N321" s="89"/>
      <c r="O321" s="89"/>
      <c r="P321" s="89"/>
      <c r="Q321" s="89"/>
      <c r="R321" s="21"/>
      <c r="S321" s="117" t="str">
        <f t="shared" si="40"/>
        <v>N</v>
      </c>
      <c r="T321" s="114">
        <f>IFERROR(SUMIF('Current NLData'!A:A,'Payment Changes'!G321,'Current NLData'!K:K)/COUNTIF('Current NLData'!A:A,'Payment Changes'!G321),0)+IFERROR(VLOOKUP(G321&amp;"-ALL",NLPaymentExport,10,FALSE),0)</f>
        <v>0</v>
      </c>
      <c r="U321" s="118" t="str">
        <f t="shared" si="42"/>
        <v/>
      </c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</row>
    <row r="322" spans="1:54" s="10" customFormat="1" ht="17.100000000000001" hidden="1" customHeight="1" x14ac:dyDescent="0.25">
      <c r="A322" s="165">
        <v>17</v>
      </c>
      <c r="B322" s="168" t="s">
        <v>117</v>
      </c>
      <c r="C322" s="171" t="s">
        <v>19</v>
      </c>
      <c r="D322" s="174" t="s">
        <v>57</v>
      </c>
      <c r="E322" s="106" t="str">
        <f t="shared" si="43"/>
        <v>Gainesville</v>
      </c>
      <c r="F322" s="107" t="s">
        <v>118</v>
      </c>
      <c r="G322" s="108" t="str">
        <f t="shared" ref="G322:G340" si="47">F322&amp;"-"&amp;I322</f>
        <v>CP214-New Donor</v>
      </c>
      <c r="H322" s="177" t="s">
        <v>75</v>
      </c>
      <c r="I322" s="76" t="s">
        <v>23</v>
      </c>
      <c r="J322" s="40" t="s">
        <v>87</v>
      </c>
      <c r="K322" s="41" t="s">
        <v>119</v>
      </c>
      <c r="L322" s="41" t="s">
        <v>120</v>
      </c>
      <c r="M322" s="42" t="s">
        <v>120</v>
      </c>
      <c r="N322" s="40" t="s">
        <v>120</v>
      </c>
      <c r="O322" s="40" t="s">
        <v>63</v>
      </c>
      <c r="P322" s="40" t="s">
        <v>63</v>
      </c>
      <c r="Q322" s="40" t="s">
        <v>63</v>
      </c>
      <c r="R322" s="109"/>
      <c r="S322" s="117" t="str">
        <f t="shared" si="40"/>
        <v>N</v>
      </c>
      <c r="T322" s="114">
        <f>IFERROR(SUMIF('Current NLData'!A:A,'Payment Changes'!G322,'Current NLData'!K:K)/COUNTIF('Current NLData'!A:A,'Payment Changes'!G322),0)+IFERROR(VLOOKUP(G322&amp;"-ALL",NLPaymentExport,10,FALSE),0)</f>
        <v>0</v>
      </c>
      <c r="U322" s="118" t="str">
        <f t="shared" si="42"/>
        <v/>
      </c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</row>
    <row r="323" spans="1:54" ht="17.100000000000001" hidden="1" customHeight="1" x14ac:dyDescent="0.25">
      <c r="A323" s="166"/>
      <c r="B323" s="169"/>
      <c r="C323" s="172"/>
      <c r="D323" s="175"/>
      <c r="E323" s="91" t="str">
        <f t="shared" si="43"/>
        <v>Gainesville</v>
      </c>
      <c r="F323" s="92" t="s">
        <v>118</v>
      </c>
      <c r="G323" s="98" t="str">
        <f t="shared" si="47"/>
        <v>CP214-Return Donor</v>
      </c>
      <c r="H323" s="178"/>
      <c r="I323" s="77" t="s">
        <v>29</v>
      </c>
      <c r="J323" s="43" t="s">
        <v>87</v>
      </c>
      <c r="K323" s="43" t="s">
        <v>121</v>
      </c>
      <c r="L323" s="44" t="s">
        <v>120</v>
      </c>
      <c r="M323" s="45" t="s">
        <v>120</v>
      </c>
      <c r="N323" s="43" t="s">
        <v>120</v>
      </c>
      <c r="O323" s="43" t="s">
        <v>100</v>
      </c>
      <c r="P323" s="43" t="s">
        <v>100</v>
      </c>
      <c r="Q323" s="43" t="s">
        <v>100</v>
      </c>
      <c r="R323" s="21"/>
      <c r="S323" s="117" t="str">
        <f t="shared" ref="S323:S386" si="48">IF(P323=Q323,"N","Y")</f>
        <v>N</v>
      </c>
      <c r="T323" s="114">
        <f>IFERROR(SUMIF('Current NLData'!A:A,'Payment Changes'!G323,'Current NLData'!K:K)/COUNTIF('Current NLData'!A:A,'Payment Changes'!G323),0)+IFERROR(VLOOKUP(G323&amp;"-ALL",NLPaymentExport,10,FALSE),0)</f>
        <v>0</v>
      </c>
      <c r="U323" s="118" t="str">
        <f t="shared" si="42"/>
        <v/>
      </c>
    </row>
    <row r="324" spans="1:54" ht="17.100000000000001" hidden="1" customHeight="1" x14ac:dyDescent="0.25">
      <c r="A324" s="166"/>
      <c r="B324" s="169"/>
      <c r="C324" s="172"/>
      <c r="D324" s="175"/>
      <c r="E324" s="91" t="str">
        <f t="shared" si="43"/>
        <v>Gainesville</v>
      </c>
      <c r="F324" s="92" t="s">
        <v>118</v>
      </c>
      <c r="G324" s="98" t="str">
        <f t="shared" si="47"/>
        <v>CP214-Retention Bonus</v>
      </c>
      <c r="H324" s="178"/>
      <c r="I324" s="78" t="s">
        <v>30</v>
      </c>
      <c r="J324" s="46" t="s">
        <v>31</v>
      </c>
      <c r="K324" s="46" t="s">
        <v>31</v>
      </c>
      <c r="L324" s="47" t="s">
        <v>32</v>
      </c>
      <c r="M324" s="48" t="s">
        <v>32</v>
      </c>
      <c r="N324" s="46" t="s">
        <v>32</v>
      </c>
      <c r="O324" s="46" t="s">
        <v>32</v>
      </c>
      <c r="P324" s="46" t="s">
        <v>32</v>
      </c>
      <c r="Q324" s="46" t="s">
        <v>101</v>
      </c>
      <c r="R324" s="21"/>
      <c r="S324" s="117" t="str">
        <f t="shared" si="48"/>
        <v>Y</v>
      </c>
      <c r="T324" s="114">
        <f>IFERROR(SUMIF('Current NLData'!A:A,'Payment Changes'!G324,'Current NLData'!K:K)/COUNTIF('Current NLData'!A:A,'Payment Changes'!G324),0)+IFERROR(VLOOKUP(G324&amp;"-ALL",NLPaymentExport,10,FALSE),0)</f>
        <v>0</v>
      </c>
      <c r="U324" s="118" t="str">
        <f t="shared" si="42"/>
        <v/>
      </c>
    </row>
    <row r="325" spans="1:54" s="15" customFormat="1" ht="17.100000000000001" hidden="1" customHeight="1" x14ac:dyDescent="0.25">
      <c r="A325" s="167"/>
      <c r="B325" s="170"/>
      <c r="C325" s="173"/>
      <c r="D325" s="176"/>
      <c r="E325" s="110" t="str">
        <f t="shared" si="43"/>
        <v>Gainesville</v>
      </c>
      <c r="F325" s="111" t="s">
        <v>118</v>
      </c>
      <c r="G325" s="112" t="str">
        <f t="shared" si="47"/>
        <v>CP214-Referral</v>
      </c>
      <c r="H325" s="179"/>
      <c r="I325" s="79" t="s">
        <v>34</v>
      </c>
      <c r="J325" s="49">
        <v>50</v>
      </c>
      <c r="K325" s="49">
        <v>50</v>
      </c>
      <c r="L325" s="50" t="s">
        <v>32</v>
      </c>
      <c r="M325" s="51" t="s">
        <v>32</v>
      </c>
      <c r="N325" s="49" t="s">
        <v>32</v>
      </c>
      <c r="O325" s="49">
        <v>50</v>
      </c>
      <c r="P325" s="49">
        <v>50</v>
      </c>
      <c r="Q325" s="49">
        <v>50</v>
      </c>
      <c r="R325" s="113"/>
      <c r="S325" s="117" t="str">
        <f t="shared" si="48"/>
        <v>N</v>
      </c>
      <c r="T325" s="114">
        <f>IFERROR(SUMIF('Current NLData'!A:A,'Payment Changes'!G325,'Current NLData'!K:K)/COUNTIF('Current NLData'!A:A,'Payment Changes'!G325),0)+IFERROR(VLOOKUP(G325&amp;"-ALL",NLPaymentExport,10,FALSE),0)</f>
        <v>0</v>
      </c>
      <c r="U325" s="118" t="str">
        <f t="shared" si="42"/>
        <v/>
      </c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</row>
    <row r="326" spans="1:54" ht="17.100000000000001" hidden="1" customHeight="1" outlineLevel="1" x14ac:dyDescent="0.25">
      <c r="A326" s="3"/>
      <c r="C326" s="4"/>
      <c r="D326" s="180" t="s">
        <v>118</v>
      </c>
      <c r="E326" s="91" t="str">
        <f t="shared" si="43"/>
        <v>Gainesville</v>
      </c>
      <c r="F326" s="93" t="str">
        <f t="shared" si="44"/>
        <v>CP214</v>
      </c>
      <c r="G326" s="99" t="str">
        <f t="shared" si="47"/>
        <v>CP214-NEW DONOR -1st</v>
      </c>
      <c r="H326" s="182" t="s">
        <v>36</v>
      </c>
      <c r="I326" s="33" t="s">
        <v>37</v>
      </c>
      <c r="J326" s="60">
        <v>65</v>
      </c>
      <c r="K326" s="61">
        <v>61</v>
      </c>
      <c r="L326" s="60">
        <v>56</v>
      </c>
      <c r="M326" s="60">
        <v>56</v>
      </c>
      <c r="N326" s="60">
        <v>56</v>
      </c>
      <c r="O326" s="60">
        <v>100</v>
      </c>
      <c r="P326" s="60">
        <v>100</v>
      </c>
      <c r="Q326" s="60">
        <v>100</v>
      </c>
      <c r="R326" s="23"/>
      <c r="S326" s="117" t="str">
        <f t="shared" si="48"/>
        <v>N</v>
      </c>
      <c r="T326" s="114">
        <f>IFERROR(SUMIF('Current NLData'!A:A,'Payment Changes'!G326,'Current NLData'!K:K)/COUNTIF('Current NLData'!A:A,'Payment Changes'!G326),0)+IFERROR(VLOOKUP(G326&amp;"-ALL",NLPaymentExport,10,FALSE),0)</f>
        <v>100</v>
      </c>
      <c r="U326" s="118">
        <f t="shared" si="42"/>
        <v>0</v>
      </c>
    </row>
    <row r="327" spans="1:54" ht="17.100000000000001" hidden="1" customHeight="1" outlineLevel="1" x14ac:dyDescent="0.25">
      <c r="A327" s="3"/>
      <c r="C327" s="4"/>
      <c r="D327" s="181"/>
      <c r="E327" s="91" t="str">
        <f t="shared" si="43"/>
        <v>Gainesville</v>
      </c>
      <c r="F327" s="93" t="str">
        <f t="shared" si="44"/>
        <v>CP214</v>
      </c>
      <c r="G327" s="99" t="str">
        <f t="shared" si="47"/>
        <v>CP214-NEW DONOR -2nd</v>
      </c>
      <c r="H327" s="182"/>
      <c r="I327" s="34" t="s">
        <v>38</v>
      </c>
      <c r="J327" s="58">
        <v>65</v>
      </c>
      <c r="K327" s="62">
        <v>70</v>
      </c>
      <c r="L327" s="58">
        <v>56</v>
      </c>
      <c r="M327" s="58">
        <v>56</v>
      </c>
      <c r="N327" s="58">
        <v>56</v>
      </c>
      <c r="O327" s="58">
        <v>100</v>
      </c>
      <c r="P327" s="58">
        <v>100</v>
      </c>
      <c r="Q327" s="58">
        <v>100</v>
      </c>
      <c r="R327" s="23"/>
      <c r="S327" s="117" t="str">
        <f t="shared" si="48"/>
        <v>N</v>
      </c>
      <c r="T327" s="114">
        <f>IFERROR(SUMIF('Current NLData'!A:A,'Payment Changes'!G327,'Current NLData'!K:K)/COUNTIF('Current NLData'!A:A,'Payment Changes'!G327),0)+IFERROR(VLOOKUP(G327&amp;"-ALL",NLPaymentExport,10,FALSE),0)</f>
        <v>100</v>
      </c>
      <c r="U327" s="118">
        <f t="shared" ref="U327:U390" si="49">IF(OR(I327 = "New Donor", I327="Return Donor", I327="Retention Bonus", I327="Referral", I327 = ""),"",T327-Q327 )</f>
        <v>0</v>
      </c>
    </row>
    <row r="328" spans="1:54" ht="17.100000000000001" hidden="1" customHeight="1" outlineLevel="1" x14ac:dyDescent="0.25">
      <c r="A328" s="3"/>
      <c r="C328" s="4"/>
      <c r="D328" s="181"/>
      <c r="E328" s="91" t="str">
        <f t="shared" si="43"/>
        <v>Gainesville</v>
      </c>
      <c r="F328" s="93" t="str">
        <f t="shared" si="44"/>
        <v>CP214</v>
      </c>
      <c r="G328" s="99" t="str">
        <f t="shared" si="47"/>
        <v>CP214-NEW DONOR -3rd</v>
      </c>
      <c r="H328" s="182"/>
      <c r="I328" s="34" t="s">
        <v>39</v>
      </c>
      <c r="J328" s="58">
        <v>65</v>
      </c>
      <c r="K328" s="62">
        <v>61</v>
      </c>
      <c r="L328" s="58">
        <v>56</v>
      </c>
      <c r="M328" s="58">
        <v>56</v>
      </c>
      <c r="N328" s="58">
        <v>56</v>
      </c>
      <c r="O328" s="58">
        <v>100</v>
      </c>
      <c r="P328" s="58">
        <v>100</v>
      </c>
      <c r="Q328" s="58">
        <v>100</v>
      </c>
      <c r="R328" s="23"/>
      <c r="S328" s="117" t="str">
        <f t="shared" si="48"/>
        <v>N</v>
      </c>
      <c r="T328" s="114">
        <f>IFERROR(SUMIF('Current NLData'!A:A,'Payment Changes'!G328,'Current NLData'!K:K)/COUNTIF('Current NLData'!A:A,'Payment Changes'!G328),0)+IFERROR(VLOOKUP(G328&amp;"-ALL",NLPaymentExport,10,FALSE),0)</f>
        <v>100</v>
      </c>
      <c r="U328" s="118">
        <f t="shared" si="49"/>
        <v>0</v>
      </c>
    </row>
    <row r="329" spans="1:54" ht="17.100000000000001" hidden="1" customHeight="1" outlineLevel="1" x14ac:dyDescent="0.25">
      <c r="A329" s="3"/>
      <c r="C329" s="4"/>
      <c r="D329" s="181"/>
      <c r="E329" s="91" t="str">
        <f t="shared" ref="E329:E391" si="50">IF(B329 = "",E328,B329)</f>
        <v>Gainesville</v>
      </c>
      <c r="F329" s="93" t="str">
        <f t="shared" ref="F329:F391" si="51">IF(D329 = "",F328,D329)</f>
        <v>CP214</v>
      </c>
      <c r="G329" s="99" t="str">
        <f t="shared" si="47"/>
        <v>CP214-NEW DONOR -4th</v>
      </c>
      <c r="H329" s="182"/>
      <c r="I329" s="34" t="s">
        <v>40</v>
      </c>
      <c r="J329" s="58">
        <v>65</v>
      </c>
      <c r="K329" s="62">
        <v>70</v>
      </c>
      <c r="L329" s="58">
        <v>56</v>
      </c>
      <c r="M329" s="58">
        <v>56</v>
      </c>
      <c r="N329" s="58">
        <v>56</v>
      </c>
      <c r="O329" s="58">
        <v>100</v>
      </c>
      <c r="P329" s="58">
        <v>100</v>
      </c>
      <c r="Q329" s="58">
        <v>100</v>
      </c>
      <c r="R329" s="23"/>
      <c r="S329" s="117" t="str">
        <f t="shared" si="48"/>
        <v>N</v>
      </c>
      <c r="T329" s="114">
        <f>IFERROR(SUMIF('Current NLData'!A:A,'Payment Changes'!G329,'Current NLData'!K:K)/COUNTIF('Current NLData'!A:A,'Payment Changes'!G329),0)+IFERROR(VLOOKUP(G329&amp;"-ALL",NLPaymentExport,10,FALSE),0)</f>
        <v>100</v>
      </c>
      <c r="U329" s="118">
        <f t="shared" si="49"/>
        <v>0</v>
      </c>
    </row>
    <row r="330" spans="1:54" ht="17.100000000000001" hidden="1" customHeight="1" outlineLevel="1" x14ac:dyDescent="0.25">
      <c r="A330" s="3"/>
      <c r="C330" s="4"/>
      <c r="D330" s="181"/>
      <c r="E330" s="91" t="str">
        <f t="shared" si="50"/>
        <v>Gainesville</v>
      </c>
      <c r="F330" s="93" t="str">
        <f t="shared" si="51"/>
        <v>CP214</v>
      </c>
      <c r="G330" s="99" t="str">
        <f t="shared" si="47"/>
        <v>CP214-NEW DONOR -5th</v>
      </c>
      <c r="H330" s="182"/>
      <c r="I330" s="34" t="s">
        <v>41</v>
      </c>
      <c r="J330" s="58">
        <v>65</v>
      </c>
      <c r="K330" s="62">
        <v>61</v>
      </c>
      <c r="L330" s="58">
        <v>56</v>
      </c>
      <c r="M330" s="58">
        <v>56</v>
      </c>
      <c r="N330" s="58">
        <v>56</v>
      </c>
      <c r="O330" s="58">
        <v>55</v>
      </c>
      <c r="P330" s="58">
        <v>55</v>
      </c>
      <c r="Q330" s="58">
        <v>55</v>
      </c>
      <c r="R330" s="23"/>
      <c r="S330" s="117" t="str">
        <f t="shared" si="48"/>
        <v>N</v>
      </c>
      <c r="T330" s="114">
        <f>IFERROR(SUMIF('Current NLData'!A:A,'Payment Changes'!G330,'Current NLData'!K:K)/COUNTIF('Current NLData'!A:A,'Payment Changes'!G330),0)+IFERROR(VLOOKUP(G330&amp;"-ALL",NLPaymentExport,10,FALSE),0)</f>
        <v>55</v>
      </c>
      <c r="U330" s="118">
        <f t="shared" si="49"/>
        <v>0</v>
      </c>
    </row>
    <row r="331" spans="1:54" ht="17.100000000000001" hidden="1" customHeight="1" outlineLevel="1" x14ac:dyDescent="0.25">
      <c r="A331" s="3"/>
      <c r="C331" s="4"/>
      <c r="D331" s="181"/>
      <c r="E331" s="91" t="str">
        <f t="shared" si="50"/>
        <v>Gainesville</v>
      </c>
      <c r="F331" s="93" t="str">
        <f t="shared" si="51"/>
        <v>CP214</v>
      </c>
      <c r="G331" s="99" t="str">
        <f t="shared" si="47"/>
        <v>CP214-NEW DONOR -6th</v>
      </c>
      <c r="H331" s="182"/>
      <c r="I331" s="34" t="s">
        <v>42</v>
      </c>
      <c r="J331" s="58">
        <v>65</v>
      </c>
      <c r="K331" s="62">
        <v>70</v>
      </c>
      <c r="L331" s="58">
        <v>56</v>
      </c>
      <c r="M331" s="58">
        <v>56</v>
      </c>
      <c r="N331" s="58">
        <v>56</v>
      </c>
      <c r="O331" s="58">
        <v>55</v>
      </c>
      <c r="P331" s="58">
        <v>55</v>
      </c>
      <c r="Q331" s="58">
        <v>55</v>
      </c>
      <c r="R331" s="23"/>
      <c r="S331" s="117" t="str">
        <f t="shared" si="48"/>
        <v>N</v>
      </c>
      <c r="T331" s="114">
        <f>IFERROR(SUMIF('Current NLData'!A:A,'Payment Changes'!G331,'Current NLData'!K:K)/COUNTIF('Current NLData'!A:A,'Payment Changes'!G331),0)+IFERROR(VLOOKUP(G331&amp;"-ALL",NLPaymentExport,10,FALSE),0)</f>
        <v>55</v>
      </c>
      <c r="U331" s="118">
        <f t="shared" si="49"/>
        <v>0</v>
      </c>
    </row>
    <row r="332" spans="1:54" ht="17.100000000000001" hidden="1" customHeight="1" outlineLevel="1" x14ac:dyDescent="0.25">
      <c r="A332" s="3"/>
      <c r="C332" s="4"/>
      <c r="D332" s="181"/>
      <c r="E332" s="91" t="str">
        <f t="shared" si="50"/>
        <v>Gainesville</v>
      </c>
      <c r="F332" s="93" t="str">
        <f t="shared" si="51"/>
        <v>CP214</v>
      </c>
      <c r="G332" s="99" t="str">
        <f t="shared" si="47"/>
        <v>CP214-NEW DONOR -7th</v>
      </c>
      <c r="H332" s="182"/>
      <c r="I332" s="34" t="s">
        <v>43</v>
      </c>
      <c r="J332" s="58">
        <v>65</v>
      </c>
      <c r="K332" s="62">
        <v>61</v>
      </c>
      <c r="L332" s="58">
        <v>56</v>
      </c>
      <c r="M332" s="58">
        <v>56</v>
      </c>
      <c r="N332" s="58">
        <v>56</v>
      </c>
      <c r="O332" s="58">
        <v>55</v>
      </c>
      <c r="P332" s="58">
        <v>55</v>
      </c>
      <c r="Q332" s="58">
        <v>55</v>
      </c>
      <c r="R332" s="23"/>
      <c r="S332" s="117" t="str">
        <f t="shared" si="48"/>
        <v>N</v>
      </c>
      <c r="T332" s="114">
        <f>IFERROR(SUMIF('Current NLData'!A:A,'Payment Changes'!G332,'Current NLData'!K:K)/COUNTIF('Current NLData'!A:A,'Payment Changes'!G332),0)+IFERROR(VLOOKUP(G332&amp;"-ALL",NLPaymentExport,10,FALSE),0)</f>
        <v>55</v>
      </c>
      <c r="U332" s="118">
        <f t="shared" si="49"/>
        <v>0</v>
      </c>
    </row>
    <row r="333" spans="1:54" ht="17.100000000000001" hidden="1" customHeight="1" outlineLevel="1" x14ac:dyDescent="0.25">
      <c r="A333" s="3"/>
      <c r="C333" s="4"/>
      <c r="D333" s="181"/>
      <c r="E333" s="91" t="str">
        <f t="shared" si="50"/>
        <v>Gainesville</v>
      </c>
      <c r="F333" s="93" t="str">
        <f t="shared" si="51"/>
        <v>CP214</v>
      </c>
      <c r="G333" s="99" t="str">
        <f t="shared" si="47"/>
        <v>CP214-NEW DONOR -8th</v>
      </c>
      <c r="H333" s="182"/>
      <c r="I333" s="35" t="s">
        <v>44</v>
      </c>
      <c r="J333" s="63">
        <v>65</v>
      </c>
      <c r="K333" s="64">
        <v>70</v>
      </c>
      <c r="L333" s="63">
        <v>56</v>
      </c>
      <c r="M333" s="63">
        <v>56</v>
      </c>
      <c r="N333" s="63">
        <v>56</v>
      </c>
      <c r="O333" s="63">
        <v>55</v>
      </c>
      <c r="P333" s="63">
        <v>55</v>
      </c>
      <c r="Q333" s="63">
        <v>55</v>
      </c>
      <c r="R333" s="23"/>
      <c r="S333" s="117" t="str">
        <f t="shared" si="48"/>
        <v>N</v>
      </c>
      <c r="T333" s="114">
        <f>IFERROR(SUMIF('Current NLData'!A:A,'Payment Changes'!G333,'Current NLData'!K:K)/COUNTIF('Current NLData'!A:A,'Payment Changes'!G333),0)+IFERROR(VLOOKUP(G333&amp;"-ALL",NLPaymentExport,10,FALSE),0)</f>
        <v>55</v>
      </c>
      <c r="U333" s="118">
        <f t="shared" si="49"/>
        <v>0</v>
      </c>
    </row>
    <row r="334" spans="1:54" ht="17.100000000000001" hidden="1" customHeight="1" outlineLevel="1" x14ac:dyDescent="0.25">
      <c r="A334" s="3"/>
      <c r="C334" s="4"/>
      <c r="D334" s="181"/>
      <c r="E334" s="91" t="str">
        <f t="shared" si="50"/>
        <v>Gainesville</v>
      </c>
      <c r="F334" s="93" t="str">
        <f t="shared" si="51"/>
        <v>CP214</v>
      </c>
      <c r="G334" s="99" t="str">
        <f t="shared" si="47"/>
        <v>CP214-RETURN - 1st don of the week -STD</v>
      </c>
      <c r="H334" s="182"/>
      <c r="I334" s="36" t="s">
        <v>45</v>
      </c>
      <c r="J334" s="58">
        <v>65</v>
      </c>
      <c r="K334" s="62">
        <v>61</v>
      </c>
      <c r="L334" s="58">
        <v>56</v>
      </c>
      <c r="M334" s="58">
        <v>56</v>
      </c>
      <c r="N334" s="58">
        <v>56</v>
      </c>
      <c r="O334" s="58">
        <v>55</v>
      </c>
      <c r="P334" s="58">
        <v>55</v>
      </c>
      <c r="Q334" s="58">
        <v>55</v>
      </c>
      <c r="R334" s="23"/>
      <c r="S334" s="117" t="str">
        <f t="shared" si="48"/>
        <v>N</v>
      </c>
      <c r="T334" s="114">
        <f>IFERROR(SUMIF('Current NLData'!A:A,'Payment Changes'!G334,'Current NLData'!K:K)/COUNTIF('Current NLData'!A:A,'Payment Changes'!G334),0)+IFERROR(VLOOKUP(G334&amp;"-ALL",NLPaymentExport,10,FALSE),0)</f>
        <v>55</v>
      </c>
      <c r="U334" s="118">
        <f t="shared" si="49"/>
        <v>0</v>
      </c>
    </row>
    <row r="335" spans="1:54" ht="17.100000000000001" hidden="1" customHeight="1" outlineLevel="1" x14ac:dyDescent="0.25">
      <c r="A335" s="3"/>
      <c r="C335" s="4"/>
      <c r="D335" s="181"/>
      <c r="E335" s="91" t="str">
        <f t="shared" si="50"/>
        <v>Gainesville</v>
      </c>
      <c r="F335" s="93" t="str">
        <f t="shared" si="51"/>
        <v>CP214</v>
      </c>
      <c r="G335" s="99" t="str">
        <f t="shared" si="47"/>
        <v>CP214-RETURN - 2nd don of the week -BONUS</v>
      </c>
      <c r="H335" s="182"/>
      <c r="I335" s="36" t="s">
        <v>46</v>
      </c>
      <c r="J335" s="58">
        <v>5</v>
      </c>
      <c r="K335" s="62">
        <v>9</v>
      </c>
      <c r="L335" s="58">
        <v>14</v>
      </c>
      <c r="M335" s="58">
        <v>14</v>
      </c>
      <c r="N335" s="58">
        <v>14</v>
      </c>
      <c r="O335" s="58">
        <v>20</v>
      </c>
      <c r="P335" s="58">
        <v>20</v>
      </c>
      <c r="Q335" s="58">
        <v>20</v>
      </c>
      <c r="R335" s="23"/>
      <c r="S335" s="117" t="str">
        <f t="shared" si="48"/>
        <v>N</v>
      </c>
      <c r="T335" s="114">
        <f>IFERROR(SUMIF('Current NLData'!A:A,'Payment Changes'!G335,'Current NLData'!K:K)/COUNTIF('Current NLData'!A:A,'Payment Changes'!G335),0)+IFERROR(VLOOKUP(G335&amp;"-ALL",NLPaymentExport,10,FALSE),0)</f>
        <v>20</v>
      </c>
      <c r="U335" s="118">
        <f t="shared" si="49"/>
        <v>0</v>
      </c>
    </row>
    <row r="336" spans="1:54" ht="17.100000000000001" hidden="1" customHeight="1" outlineLevel="1" x14ac:dyDescent="0.25">
      <c r="A336" s="3"/>
      <c r="C336" s="4"/>
      <c r="D336" s="181"/>
      <c r="E336" s="91" t="str">
        <f t="shared" si="50"/>
        <v>Gainesville</v>
      </c>
      <c r="F336" s="93" t="str">
        <f t="shared" si="51"/>
        <v>CP214</v>
      </c>
      <c r="G336" s="99" t="str">
        <f t="shared" si="47"/>
        <v>CP214-RETURN - 5th don of the month -BONUS</v>
      </c>
      <c r="H336" s="182"/>
      <c r="I336" s="37" t="s">
        <v>47</v>
      </c>
      <c r="J336" s="65">
        <v>0</v>
      </c>
      <c r="K336" s="65">
        <v>0</v>
      </c>
      <c r="L336" s="65">
        <v>0</v>
      </c>
      <c r="M336" s="65">
        <v>0</v>
      </c>
      <c r="N336" s="65">
        <v>0</v>
      </c>
      <c r="O336" s="65">
        <v>0</v>
      </c>
      <c r="P336" s="65">
        <v>0</v>
      </c>
      <c r="Q336" s="65">
        <v>0</v>
      </c>
      <c r="R336" s="22"/>
      <c r="S336" s="117" t="str">
        <f t="shared" si="48"/>
        <v>N</v>
      </c>
      <c r="T336" s="114">
        <f>IFERROR(SUMIF('Current NLData'!A:A,'Payment Changes'!G336,'Current NLData'!K:K)/COUNTIF('Current NLData'!A:A,'Payment Changes'!G336),0)+IFERROR(VLOOKUP(G336&amp;"-ALL",NLPaymentExport,10,FALSE),0)</f>
        <v>0</v>
      </c>
      <c r="U336" s="118">
        <f t="shared" si="49"/>
        <v>0</v>
      </c>
    </row>
    <row r="337" spans="1:54" ht="17.100000000000001" hidden="1" customHeight="1" outlineLevel="1" x14ac:dyDescent="0.25">
      <c r="A337" s="3"/>
      <c r="C337" s="4"/>
      <c r="D337" s="181"/>
      <c r="E337" s="91" t="str">
        <f t="shared" si="50"/>
        <v>Gainesville</v>
      </c>
      <c r="F337" s="93" t="str">
        <f t="shared" si="51"/>
        <v>CP214</v>
      </c>
      <c r="G337" s="99" t="str">
        <f t="shared" si="47"/>
        <v>CP214-RETURN - 6th don of the month -BONUS</v>
      </c>
      <c r="H337" s="182"/>
      <c r="I337" s="38" t="s">
        <v>48</v>
      </c>
      <c r="J337" s="58">
        <v>0</v>
      </c>
      <c r="K337" s="58">
        <v>0</v>
      </c>
      <c r="L337" s="58">
        <v>0</v>
      </c>
      <c r="M337" s="58">
        <v>0</v>
      </c>
      <c r="N337" s="58">
        <v>0</v>
      </c>
      <c r="O337" s="58">
        <v>0</v>
      </c>
      <c r="P337" s="58">
        <v>0</v>
      </c>
      <c r="Q337" s="58">
        <v>30</v>
      </c>
      <c r="R337" s="22"/>
      <c r="S337" s="117" t="str">
        <f t="shared" si="48"/>
        <v>Y</v>
      </c>
      <c r="T337" s="114">
        <f>IFERROR(SUMIF('Current NLData'!A:A,'Payment Changes'!G337,'Current NLData'!K:K)/COUNTIF('Current NLData'!A:A,'Payment Changes'!G337),0)+IFERROR(VLOOKUP(G337&amp;"-ALL",NLPaymentExport,10,FALSE),0)</f>
        <v>0</v>
      </c>
      <c r="U337" s="118">
        <f t="shared" si="49"/>
        <v>-30</v>
      </c>
    </row>
    <row r="338" spans="1:54" ht="17.100000000000001" hidden="1" customHeight="1" outlineLevel="1" x14ac:dyDescent="0.25">
      <c r="A338" s="3"/>
      <c r="C338" s="4"/>
      <c r="D338" s="181"/>
      <c r="E338" s="91" t="str">
        <f t="shared" si="50"/>
        <v>Gainesville</v>
      </c>
      <c r="F338" s="93" t="str">
        <f t="shared" si="51"/>
        <v>CP214</v>
      </c>
      <c r="G338" s="99" t="str">
        <f t="shared" si="47"/>
        <v>CP214-RETURN - 7th don of the month -BONUS</v>
      </c>
      <c r="H338" s="182"/>
      <c r="I338" s="38" t="s">
        <v>49</v>
      </c>
      <c r="J338" s="58">
        <v>0</v>
      </c>
      <c r="K338" s="58">
        <v>0</v>
      </c>
      <c r="L338" s="58">
        <v>0</v>
      </c>
      <c r="M338" s="58">
        <v>0</v>
      </c>
      <c r="N338" s="58">
        <v>0</v>
      </c>
      <c r="O338" s="58">
        <v>0</v>
      </c>
      <c r="P338" s="58">
        <v>0</v>
      </c>
      <c r="Q338" s="58">
        <v>0</v>
      </c>
      <c r="R338" s="22"/>
      <c r="S338" s="117" t="str">
        <f t="shared" si="48"/>
        <v>N</v>
      </c>
      <c r="T338" s="114">
        <f>IFERROR(SUMIF('Current NLData'!A:A,'Payment Changes'!G338,'Current NLData'!K:K)/COUNTIF('Current NLData'!A:A,'Payment Changes'!G338),0)+IFERROR(VLOOKUP(G338&amp;"-ALL",NLPaymentExport,10,FALSE),0)</f>
        <v>0</v>
      </c>
      <c r="U338" s="118">
        <f t="shared" si="49"/>
        <v>0</v>
      </c>
    </row>
    <row r="339" spans="1:54" ht="17.100000000000001" hidden="1" customHeight="1" outlineLevel="1" x14ac:dyDescent="0.25">
      <c r="A339" s="3"/>
      <c r="C339" s="4"/>
      <c r="D339" s="181"/>
      <c r="E339" s="91" t="str">
        <f t="shared" si="50"/>
        <v>Gainesville</v>
      </c>
      <c r="F339" s="93" t="str">
        <f t="shared" si="51"/>
        <v>CP214</v>
      </c>
      <c r="G339" s="99" t="str">
        <f t="shared" si="47"/>
        <v>CP214-RETURN - 8th don of the month -BONUS</v>
      </c>
      <c r="H339" s="182"/>
      <c r="I339" s="38" t="s">
        <v>50</v>
      </c>
      <c r="J339" s="58">
        <v>25</v>
      </c>
      <c r="K339" s="58">
        <v>25</v>
      </c>
      <c r="L339" s="58">
        <v>0</v>
      </c>
      <c r="M339" s="58">
        <v>0</v>
      </c>
      <c r="N339" s="58">
        <v>0</v>
      </c>
      <c r="O339" s="58">
        <v>0</v>
      </c>
      <c r="P339" s="58">
        <v>0</v>
      </c>
      <c r="Q339" s="58">
        <v>0</v>
      </c>
      <c r="R339" s="22"/>
      <c r="S339" s="117" t="str">
        <f t="shared" si="48"/>
        <v>N</v>
      </c>
      <c r="T339" s="114">
        <f>IFERROR(SUMIF('Current NLData'!A:A,'Payment Changes'!G339,'Current NLData'!K:K)/COUNTIF('Current NLData'!A:A,'Payment Changes'!G339),0)+IFERROR(VLOOKUP(G339&amp;"-ALL",NLPaymentExport,10,FALSE),0)</f>
        <v>0</v>
      </c>
      <c r="U339" s="118">
        <f t="shared" si="49"/>
        <v>0</v>
      </c>
    </row>
    <row r="340" spans="1:54" ht="17.100000000000001" hidden="1" customHeight="1" outlineLevel="1" x14ac:dyDescent="0.25">
      <c r="A340" s="3"/>
      <c r="C340" s="4" t="str">
        <f>IF(J340=0,"Warning","")</f>
        <v/>
      </c>
      <c r="D340" s="181"/>
      <c r="E340" s="91" t="str">
        <f t="shared" si="50"/>
        <v>Gainesville</v>
      </c>
      <c r="F340" s="93" t="str">
        <f t="shared" si="51"/>
        <v>CP214</v>
      </c>
      <c r="G340" s="99" t="str">
        <f t="shared" si="47"/>
        <v>CP214-RETURN - Buddy referral  -BONUS</v>
      </c>
      <c r="H340" s="182"/>
      <c r="I340" s="39" t="s">
        <v>51</v>
      </c>
      <c r="J340" s="58">
        <v>50</v>
      </c>
      <c r="K340" s="58">
        <v>50</v>
      </c>
      <c r="L340" s="58">
        <v>0</v>
      </c>
      <c r="M340" s="58">
        <v>0</v>
      </c>
      <c r="N340" s="58">
        <v>0</v>
      </c>
      <c r="O340" s="58">
        <v>50</v>
      </c>
      <c r="P340" s="58">
        <v>50</v>
      </c>
      <c r="Q340" s="58">
        <v>50</v>
      </c>
      <c r="R340" s="22"/>
      <c r="S340" s="117" t="str">
        <f t="shared" si="48"/>
        <v>N</v>
      </c>
      <c r="T340" s="114">
        <f>IFERROR(SUMIF('Current NLData'!A:A,'Payment Changes'!G340,'Current NLData'!K:K)/COUNTIF('Current NLData'!A:A,'Payment Changes'!G340),0)+IFERROR(VLOOKUP(G340&amp;"-ALL",NLPaymentExport,10,FALSE),0)</f>
        <v>50</v>
      </c>
      <c r="U340" s="118">
        <f t="shared" si="49"/>
        <v>0</v>
      </c>
    </row>
    <row r="341" spans="1:54" s="90" customFormat="1" ht="17.100000000000001" hidden="1" customHeight="1" collapsed="1" x14ac:dyDescent="0.35">
      <c r="A341" s="85"/>
      <c r="B341" s="85"/>
      <c r="C341" s="86"/>
      <c r="D341" s="87"/>
      <c r="E341" s="87"/>
      <c r="F341" s="87"/>
      <c r="G341" s="87"/>
      <c r="H341" s="96"/>
      <c r="I341" s="88"/>
      <c r="J341" s="89"/>
      <c r="K341" s="89"/>
      <c r="L341" s="89"/>
      <c r="M341" s="89"/>
      <c r="N341" s="89"/>
      <c r="O341" s="89"/>
      <c r="P341" s="89"/>
      <c r="Q341" s="89"/>
      <c r="R341" s="21"/>
      <c r="S341" s="117" t="str">
        <f t="shared" si="48"/>
        <v>N</v>
      </c>
      <c r="T341" s="114">
        <f>IFERROR(SUMIF('Current NLData'!A:A,'Payment Changes'!G341,'Current NLData'!K:K)/COUNTIF('Current NLData'!A:A,'Payment Changes'!G341),0)+IFERROR(VLOOKUP(G341&amp;"-ALL",NLPaymentExport,10,FALSE),0)</f>
        <v>0</v>
      </c>
      <c r="U341" s="118" t="str">
        <f t="shared" si="49"/>
        <v/>
      </c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</row>
    <row r="342" spans="1:54" s="10" customFormat="1" ht="17.100000000000001" hidden="1" customHeight="1" x14ac:dyDescent="0.25">
      <c r="A342" s="165">
        <v>18</v>
      </c>
      <c r="B342" s="168" t="s">
        <v>122</v>
      </c>
      <c r="C342" s="171" t="s">
        <v>19</v>
      </c>
      <c r="D342" s="174" t="s">
        <v>57</v>
      </c>
      <c r="E342" s="106" t="str">
        <f>IF(B342 = "",#REF!,B342)</f>
        <v>Little Rock</v>
      </c>
      <c r="F342" s="107" t="s">
        <v>123</v>
      </c>
      <c r="G342" s="108" t="str">
        <f t="shared" ref="G342:G360" si="52">F342&amp;"-"&amp;I342</f>
        <v>CP283-New Donor</v>
      </c>
      <c r="H342" s="177" t="s">
        <v>75</v>
      </c>
      <c r="I342" s="76" t="s">
        <v>23</v>
      </c>
      <c r="J342" s="40" t="s">
        <v>55</v>
      </c>
      <c r="K342" s="41" t="s">
        <v>124</v>
      </c>
      <c r="L342" s="41" t="s">
        <v>125</v>
      </c>
      <c r="M342" s="42" t="s">
        <v>125</v>
      </c>
      <c r="N342" s="40" t="s">
        <v>125</v>
      </c>
      <c r="O342" s="40" t="s">
        <v>125</v>
      </c>
      <c r="P342" s="40" t="s">
        <v>125</v>
      </c>
      <c r="Q342" s="40" t="s">
        <v>126</v>
      </c>
      <c r="R342" s="109"/>
      <c r="S342" s="117" t="str">
        <f t="shared" si="48"/>
        <v>Y</v>
      </c>
      <c r="T342" s="114">
        <f>IFERROR(SUMIF('Current NLData'!A:A,'Payment Changes'!G342,'Current NLData'!K:K)/COUNTIF('Current NLData'!A:A,'Payment Changes'!G342),0)+IFERROR(VLOOKUP(G342&amp;"-ALL",NLPaymentExport,10,FALSE),0)</f>
        <v>0</v>
      </c>
      <c r="U342" s="118" t="str">
        <f t="shared" si="49"/>
        <v/>
      </c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</row>
    <row r="343" spans="1:54" ht="17.100000000000001" hidden="1" customHeight="1" x14ac:dyDescent="0.25">
      <c r="A343" s="166"/>
      <c r="B343" s="169"/>
      <c r="C343" s="172"/>
      <c r="D343" s="175"/>
      <c r="E343" s="91" t="str">
        <f t="shared" si="50"/>
        <v>Little Rock</v>
      </c>
      <c r="F343" s="92" t="s">
        <v>123</v>
      </c>
      <c r="G343" s="98" t="str">
        <f t="shared" si="52"/>
        <v>CP283-Return Donor</v>
      </c>
      <c r="H343" s="178"/>
      <c r="I343" s="77" t="s">
        <v>29</v>
      </c>
      <c r="J343" s="43" t="s">
        <v>55</v>
      </c>
      <c r="K343" s="43" t="s">
        <v>127</v>
      </c>
      <c r="L343" s="44" t="s">
        <v>125</v>
      </c>
      <c r="M343" s="45" t="s">
        <v>125</v>
      </c>
      <c r="N343" s="43" t="s">
        <v>125</v>
      </c>
      <c r="O343" s="43" t="s">
        <v>125</v>
      </c>
      <c r="P343" s="43" t="s">
        <v>125</v>
      </c>
      <c r="Q343" s="43" t="s">
        <v>26</v>
      </c>
      <c r="R343" s="21"/>
      <c r="S343" s="117" t="str">
        <f t="shared" si="48"/>
        <v>Y</v>
      </c>
      <c r="T343" s="114">
        <f>IFERROR(SUMIF('Current NLData'!A:A,'Payment Changes'!G343,'Current NLData'!K:K)/COUNTIF('Current NLData'!A:A,'Payment Changes'!G343),0)+IFERROR(VLOOKUP(G343&amp;"-ALL",NLPaymentExport,10,FALSE),0)</f>
        <v>0</v>
      </c>
      <c r="U343" s="118" t="str">
        <f t="shared" si="49"/>
        <v/>
      </c>
    </row>
    <row r="344" spans="1:54" ht="17.100000000000001" hidden="1" customHeight="1" x14ac:dyDescent="0.25">
      <c r="A344" s="166"/>
      <c r="B344" s="169"/>
      <c r="C344" s="172"/>
      <c r="D344" s="175"/>
      <c r="E344" s="91" t="str">
        <f t="shared" si="50"/>
        <v>Little Rock</v>
      </c>
      <c r="F344" s="92" t="s">
        <v>123</v>
      </c>
      <c r="G344" s="98" t="str">
        <f t="shared" si="52"/>
        <v>CP283-Retention Bonus</v>
      </c>
      <c r="H344" s="178"/>
      <c r="I344" s="78" t="s">
        <v>30</v>
      </c>
      <c r="J344" s="46" t="s">
        <v>31</v>
      </c>
      <c r="K344" s="46" t="s">
        <v>31</v>
      </c>
      <c r="L344" s="47" t="s">
        <v>32</v>
      </c>
      <c r="M344" s="48" t="s">
        <v>32</v>
      </c>
      <c r="N344" s="46" t="s">
        <v>32</v>
      </c>
      <c r="O344" s="46" t="s">
        <v>32</v>
      </c>
      <c r="P344" s="46" t="s">
        <v>32</v>
      </c>
      <c r="Q344" s="46" t="s">
        <v>32</v>
      </c>
      <c r="R344" s="21"/>
      <c r="S344" s="117" t="str">
        <f t="shared" si="48"/>
        <v>N</v>
      </c>
      <c r="T344" s="114">
        <f>IFERROR(SUMIF('Current NLData'!A:A,'Payment Changes'!G344,'Current NLData'!K:K)/COUNTIF('Current NLData'!A:A,'Payment Changes'!G344),0)+IFERROR(VLOOKUP(G344&amp;"-ALL",NLPaymentExport,10,FALSE),0)</f>
        <v>0</v>
      </c>
      <c r="U344" s="118" t="str">
        <f t="shared" si="49"/>
        <v/>
      </c>
    </row>
    <row r="345" spans="1:54" s="15" customFormat="1" ht="17.100000000000001" hidden="1" customHeight="1" x14ac:dyDescent="0.25">
      <c r="A345" s="167"/>
      <c r="B345" s="170"/>
      <c r="C345" s="173"/>
      <c r="D345" s="176"/>
      <c r="E345" s="110" t="str">
        <f t="shared" si="50"/>
        <v>Little Rock</v>
      </c>
      <c r="F345" s="111" t="s">
        <v>123</v>
      </c>
      <c r="G345" s="112" t="str">
        <f t="shared" si="52"/>
        <v>CP283-Referral</v>
      </c>
      <c r="H345" s="179"/>
      <c r="I345" s="79" t="s">
        <v>34</v>
      </c>
      <c r="J345" s="49">
        <v>50</v>
      </c>
      <c r="K345" s="49">
        <v>50</v>
      </c>
      <c r="L345" s="50" t="s">
        <v>32</v>
      </c>
      <c r="M345" s="51" t="s">
        <v>32</v>
      </c>
      <c r="N345" s="49" t="s">
        <v>32</v>
      </c>
      <c r="O345" s="49">
        <v>50</v>
      </c>
      <c r="P345" s="49">
        <v>50</v>
      </c>
      <c r="Q345" s="49">
        <v>50</v>
      </c>
      <c r="R345" s="113"/>
      <c r="S345" s="117" t="str">
        <f t="shared" si="48"/>
        <v>N</v>
      </c>
      <c r="T345" s="114">
        <f>IFERROR(SUMIF('Current NLData'!A:A,'Payment Changes'!G345,'Current NLData'!K:K)/COUNTIF('Current NLData'!A:A,'Payment Changes'!G345),0)+IFERROR(VLOOKUP(G345&amp;"-ALL",NLPaymentExport,10,FALSE),0)</f>
        <v>0</v>
      </c>
      <c r="U345" s="118" t="str">
        <f t="shared" si="49"/>
        <v/>
      </c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</row>
    <row r="346" spans="1:54" ht="17.100000000000001" hidden="1" customHeight="1" outlineLevel="1" x14ac:dyDescent="0.25">
      <c r="A346" s="3"/>
      <c r="C346" s="4"/>
      <c r="D346" s="180" t="s">
        <v>123</v>
      </c>
      <c r="E346" s="91" t="str">
        <f t="shared" si="50"/>
        <v>Little Rock</v>
      </c>
      <c r="F346" s="93" t="str">
        <f t="shared" si="51"/>
        <v>CP283</v>
      </c>
      <c r="G346" s="99" t="str">
        <f t="shared" si="52"/>
        <v>CP283-NEW DONOR -1st</v>
      </c>
      <c r="H346" s="182" t="s">
        <v>36</v>
      </c>
      <c r="I346" s="33" t="s">
        <v>37</v>
      </c>
      <c r="J346" s="60">
        <v>70</v>
      </c>
      <c r="K346" s="61">
        <v>66</v>
      </c>
      <c r="L346" s="60">
        <v>60</v>
      </c>
      <c r="M346" s="60">
        <v>60</v>
      </c>
      <c r="N346" s="60">
        <v>60</v>
      </c>
      <c r="O346" s="60">
        <v>60</v>
      </c>
      <c r="P346" s="60">
        <v>60</v>
      </c>
      <c r="Q346" s="60">
        <v>125</v>
      </c>
      <c r="R346" s="23"/>
      <c r="S346" s="117" t="str">
        <f t="shared" si="48"/>
        <v>Y</v>
      </c>
      <c r="T346" s="114">
        <f>IFERROR(SUMIF('Current NLData'!A:A,'Payment Changes'!G346,'Current NLData'!K:K)/COUNTIF('Current NLData'!A:A,'Payment Changes'!G346),0)+IFERROR(VLOOKUP(G346&amp;"-ALL",NLPaymentExport,10,FALSE),0)</f>
        <v>60</v>
      </c>
      <c r="U346" s="118">
        <f t="shared" si="49"/>
        <v>-65</v>
      </c>
    </row>
    <row r="347" spans="1:54" ht="17.100000000000001" hidden="1" customHeight="1" outlineLevel="1" x14ac:dyDescent="0.25">
      <c r="A347" s="3"/>
      <c r="C347" s="4"/>
      <c r="D347" s="181"/>
      <c r="E347" s="91" t="str">
        <f t="shared" si="50"/>
        <v>Little Rock</v>
      </c>
      <c r="F347" s="93" t="str">
        <f t="shared" si="51"/>
        <v>CP283</v>
      </c>
      <c r="G347" s="99" t="str">
        <f t="shared" si="52"/>
        <v>CP283-NEW DONOR -2nd</v>
      </c>
      <c r="H347" s="182"/>
      <c r="I347" s="34" t="s">
        <v>38</v>
      </c>
      <c r="J347" s="58">
        <v>70</v>
      </c>
      <c r="K347" s="62">
        <v>70</v>
      </c>
      <c r="L347" s="58">
        <v>60</v>
      </c>
      <c r="M347" s="58">
        <v>60</v>
      </c>
      <c r="N347" s="58">
        <v>60</v>
      </c>
      <c r="O347" s="58">
        <v>60</v>
      </c>
      <c r="P347" s="58">
        <v>60</v>
      </c>
      <c r="Q347" s="58">
        <v>125</v>
      </c>
      <c r="R347" s="23"/>
      <c r="S347" s="117" t="str">
        <f t="shared" si="48"/>
        <v>Y</v>
      </c>
      <c r="T347" s="114">
        <f>IFERROR(SUMIF('Current NLData'!A:A,'Payment Changes'!G347,'Current NLData'!K:K)/COUNTIF('Current NLData'!A:A,'Payment Changes'!G347),0)+IFERROR(VLOOKUP(G347&amp;"-ALL",NLPaymentExport,10,FALSE),0)</f>
        <v>60</v>
      </c>
      <c r="U347" s="118">
        <f t="shared" si="49"/>
        <v>-65</v>
      </c>
    </row>
    <row r="348" spans="1:54" ht="17.100000000000001" hidden="1" customHeight="1" outlineLevel="1" x14ac:dyDescent="0.25">
      <c r="A348" s="3"/>
      <c r="C348" s="4"/>
      <c r="D348" s="181"/>
      <c r="E348" s="91" t="str">
        <f t="shared" si="50"/>
        <v>Little Rock</v>
      </c>
      <c r="F348" s="93" t="str">
        <f t="shared" si="51"/>
        <v>CP283</v>
      </c>
      <c r="G348" s="99" t="str">
        <f t="shared" si="52"/>
        <v>CP283-NEW DONOR -3rd</v>
      </c>
      <c r="H348" s="182"/>
      <c r="I348" s="34" t="s">
        <v>39</v>
      </c>
      <c r="J348" s="58">
        <v>70</v>
      </c>
      <c r="K348" s="62">
        <v>66</v>
      </c>
      <c r="L348" s="58">
        <v>60</v>
      </c>
      <c r="M348" s="58">
        <v>60</v>
      </c>
      <c r="N348" s="58">
        <v>60</v>
      </c>
      <c r="O348" s="58">
        <v>60</v>
      </c>
      <c r="P348" s="58">
        <v>60</v>
      </c>
      <c r="Q348" s="58">
        <v>125</v>
      </c>
      <c r="R348" s="23"/>
      <c r="S348" s="117" t="str">
        <f t="shared" si="48"/>
        <v>Y</v>
      </c>
      <c r="T348" s="114">
        <f>IFERROR(SUMIF('Current NLData'!A:A,'Payment Changes'!G348,'Current NLData'!K:K)/COUNTIF('Current NLData'!A:A,'Payment Changes'!G348),0)+IFERROR(VLOOKUP(G348&amp;"-ALL",NLPaymentExport,10,FALSE),0)</f>
        <v>60</v>
      </c>
      <c r="U348" s="118">
        <f t="shared" si="49"/>
        <v>-65</v>
      </c>
    </row>
    <row r="349" spans="1:54" ht="17.100000000000001" hidden="1" customHeight="1" outlineLevel="1" x14ac:dyDescent="0.25">
      <c r="A349" s="3"/>
      <c r="C349" s="4"/>
      <c r="D349" s="181"/>
      <c r="E349" s="91" t="str">
        <f t="shared" si="50"/>
        <v>Little Rock</v>
      </c>
      <c r="F349" s="93" t="str">
        <f t="shared" si="51"/>
        <v>CP283</v>
      </c>
      <c r="G349" s="99" t="str">
        <f t="shared" si="52"/>
        <v>CP283-NEW DONOR -4th</v>
      </c>
      <c r="H349" s="182"/>
      <c r="I349" s="34" t="s">
        <v>40</v>
      </c>
      <c r="J349" s="58">
        <v>70</v>
      </c>
      <c r="K349" s="62">
        <v>70</v>
      </c>
      <c r="L349" s="58">
        <v>60</v>
      </c>
      <c r="M349" s="58">
        <v>60</v>
      </c>
      <c r="N349" s="58">
        <v>60</v>
      </c>
      <c r="O349" s="58">
        <v>60</v>
      </c>
      <c r="P349" s="58">
        <v>60</v>
      </c>
      <c r="Q349" s="58">
        <v>60</v>
      </c>
      <c r="R349" s="23"/>
      <c r="S349" s="117" t="str">
        <f t="shared" si="48"/>
        <v>N</v>
      </c>
      <c r="T349" s="114">
        <f>IFERROR(SUMIF('Current NLData'!A:A,'Payment Changes'!G349,'Current NLData'!K:K)/COUNTIF('Current NLData'!A:A,'Payment Changes'!G349),0)+IFERROR(VLOOKUP(G349&amp;"-ALL",NLPaymentExport,10,FALSE),0)</f>
        <v>60</v>
      </c>
      <c r="U349" s="118">
        <f t="shared" si="49"/>
        <v>0</v>
      </c>
    </row>
    <row r="350" spans="1:54" ht="17.100000000000001" hidden="1" customHeight="1" outlineLevel="1" x14ac:dyDescent="0.25">
      <c r="A350" s="3"/>
      <c r="C350" s="4"/>
      <c r="D350" s="181"/>
      <c r="E350" s="91" t="str">
        <f t="shared" si="50"/>
        <v>Little Rock</v>
      </c>
      <c r="F350" s="93" t="str">
        <f t="shared" si="51"/>
        <v>CP283</v>
      </c>
      <c r="G350" s="99" t="str">
        <f t="shared" si="52"/>
        <v>CP283-NEW DONOR -5th</v>
      </c>
      <c r="H350" s="182"/>
      <c r="I350" s="34" t="s">
        <v>41</v>
      </c>
      <c r="J350" s="58">
        <v>70</v>
      </c>
      <c r="K350" s="62">
        <v>66</v>
      </c>
      <c r="L350" s="58">
        <v>60</v>
      </c>
      <c r="M350" s="58">
        <v>60</v>
      </c>
      <c r="N350" s="58">
        <v>60</v>
      </c>
      <c r="O350" s="58">
        <v>60</v>
      </c>
      <c r="P350" s="58">
        <v>60</v>
      </c>
      <c r="Q350" s="58">
        <v>60</v>
      </c>
      <c r="R350" s="23"/>
      <c r="S350" s="117" t="str">
        <f t="shared" si="48"/>
        <v>N</v>
      </c>
      <c r="T350" s="114">
        <f>IFERROR(SUMIF('Current NLData'!A:A,'Payment Changes'!G350,'Current NLData'!K:K)/COUNTIF('Current NLData'!A:A,'Payment Changes'!G350),0)+IFERROR(VLOOKUP(G350&amp;"-ALL",NLPaymentExport,10,FALSE),0)</f>
        <v>60</v>
      </c>
      <c r="U350" s="118">
        <f t="shared" si="49"/>
        <v>0</v>
      </c>
    </row>
    <row r="351" spans="1:54" ht="17.100000000000001" hidden="1" customHeight="1" outlineLevel="1" x14ac:dyDescent="0.25">
      <c r="A351" s="3"/>
      <c r="C351" s="4"/>
      <c r="D351" s="181"/>
      <c r="E351" s="91" t="str">
        <f t="shared" si="50"/>
        <v>Little Rock</v>
      </c>
      <c r="F351" s="93" t="str">
        <f t="shared" si="51"/>
        <v>CP283</v>
      </c>
      <c r="G351" s="99" t="str">
        <f t="shared" si="52"/>
        <v>CP283-NEW DONOR -6th</v>
      </c>
      <c r="H351" s="182"/>
      <c r="I351" s="34" t="s">
        <v>42</v>
      </c>
      <c r="J351" s="58">
        <v>70</v>
      </c>
      <c r="K351" s="62">
        <v>70</v>
      </c>
      <c r="L351" s="58">
        <v>60</v>
      </c>
      <c r="M351" s="58">
        <v>60</v>
      </c>
      <c r="N351" s="58">
        <v>60</v>
      </c>
      <c r="O351" s="58">
        <v>60</v>
      </c>
      <c r="P351" s="58">
        <v>60</v>
      </c>
      <c r="Q351" s="58">
        <v>60</v>
      </c>
      <c r="R351" s="23"/>
      <c r="S351" s="117" t="str">
        <f t="shared" si="48"/>
        <v>N</v>
      </c>
      <c r="T351" s="114">
        <f>IFERROR(SUMIF('Current NLData'!A:A,'Payment Changes'!G351,'Current NLData'!K:K)/COUNTIF('Current NLData'!A:A,'Payment Changes'!G351),0)+IFERROR(VLOOKUP(G351&amp;"-ALL",NLPaymentExport,10,FALSE),0)</f>
        <v>60</v>
      </c>
      <c r="U351" s="118">
        <f t="shared" si="49"/>
        <v>0</v>
      </c>
    </row>
    <row r="352" spans="1:54" ht="17.100000000000001" hidden="1" customHeight="1" outlineLevel="1" x14ac:dyDescent="0.25">
      <c r="A352" s="3"/>
      <c r="C352" s="4"/>
      <c r="D352" s="181"/>
      <c r="E352" s="91" t="str">
        <f t="shared" si="50"/>
        <v>Little Rock</v>
      </c>
      <c r="F352" s="93" t="str">
        <f t="shared" si="51"/>
        <v>CP283</v>
      </c>
      <c r="G352" s="99" t="str">
        <f t="shared" si="52"/>
        <v>CP283-NEW DONOR -7th</v>
      </c>
      <c r="H352" s="182"/>
      <c r="I352" s="34" t="s">
        <v>43</v>
      </c>
      <c r="J352" s="58">
        <v>70</v>
      </c>
      <c r="K352" s="62">
        <v>66</v>
      </c>
      <c r="L352" s="58">
        <v>60</v>
      </c>
      <c r="M352" s="58">
        <v>60</v>
      </c>
      <c r="N352" s="58">
        <v>60</v>
      </c>
      <c r="O352" s="58">
        <v>60</v>
      </c>
      <c r="P352" s="58">
        <v>60</v>
      </c>
      <c r="Q352" s="58">
        <v>60</v>
      </c>
      <c r="R352" s="23"/>
      <c r="S352" s="117" t="str">
        <f t="shared" si="48"/>
        <v>N</v>
      </c>
      <c r="T352" s="114">
        <f>IFERROR(SUMIF('Current NLData'!A:A,'Payment Changes'!G352,'Current NLData'!K:K)/COUNTIF('Current NLData'!A:A,'Payment Changes'!G352),0)+IFERROR(VLOOKUP(G352&amp;"-ALL",NLPaymentExport,10,FALSE),0)</f>
        <v>60</v>
      </c>
      <c r="U352" s="118">
        <f t="shared" si="49"/>
        <v>0</v>
      </c>
    </row>
    <row r="353" spans="1:54" ht="17.100000000000001" hidden="1" customHeight="1" outlineLevel="1" x14ac:dyDescent="0.25">
      <c r="A353" s="3"/>
      <c r="C353" s="4"/>
      <c r="D353" s="181"/>
      <c r="E353" s="91" t="str">
        <f t="shared" si="50"/>
        <v>Little Rock</v>
      </c>
      <c r="F353" s="93" t="str">
        <f t="shared" si="51"/>
        <v>CP283</v>
      </c>
      <c r="G353" s="99" t="str">
        <f t="shared" si="52"/>
        <v>CP283-NEW DONOR -8th</v>
      </c>
      <c r="H353" s="182"/>
      <c r="I353" s="35" t="s">
        <v>44</v>
      </c>
      <c r="J353" s="63">
        <v>70</v>
      </c>
      <c r="K353" s="64">
        <v>70</v>
      </c>
      <c r="L353" s="63">
        <v>60</v>
      </c>
      <c r="M353" s="63">
        <v>60</v>
      </c>
      <c r="N353" s="63">
        <v>60</v>
      </c>
      <c r="O353" s="63">
        <v>60</v>
      </c>
      <c r="P353" s="63">
        <v>60</v>
      </c>
      <c r="Q353" s="63">
        <v>60</v>
      </c>
      <c r="R353" s="23"/>
      <c r="S353" s="117" t="str">
        <f t="shared" si="48"/>
        <v>N</v>
      </c>
      <c r="T353" s="114">
        <f>IFERROR(SUMIF('Current NLData'!A:A,'Payment Changes'!G353,'Current NLData'!K:K)/COUNTIF('Current NLData'!A:A,'Payment Changes'!G353),0)+IFERROR(VLOOKUP(G353&amp;"-ALL",NLPaymentExport,10,FALSE),0)</f>
        <v>60</v>
      </c>
      <c r="U353" s="118">
        <f t="shared" si="49"/>
        <v>0</v>
      </c>
    </row>
    <row r="354" spans="1:54" ht="17.100000000000001" hidden="1" customHeight="1" outlineLevel="1" x14ac:dyDescent="0.25">
      <c r="A354" s="3"/>
      <c r="C354" s="4"/>
      <c r="D354" s="181"/>
      <c r="E354" s="91" t="str">
        <f t="shared" si="50"/>
        <v>Little Rock</v>
      </c>
      <c r="F354" s="93" t="str">
        <f t="shared" si="51"/>
        <v>CP283</v>
      </c>
      <c r="G354" s="99" t="str">
        <f t="shared" si="52"/>
        <v>CP283-RETURN - 1st don of the week -STD</v>
      </c>
      <c r="H354" s="182"/>
      <c r="I354" s="36" t="s">
        <v>45</v>
      </c>
      <c r="J354" s="58">
        <v>70</v>
      </c>
      <c r="K354" s="62">
        <v>66</v>
      </c>
      <c r="L354" s="58">
        <v>60</v>
      </c>
      <c r="M354" s="58">
        <v>60</v>
      </c>
      <c r="N354" s="58">
        <v>60</v>
      </c>
      <c r="O354" s="58">
        <v>60</v>
      </c>
      <c r="P354" s="58">
        <v>60</v>
      </c>
      <c r="Q354" s="58">
        <v>60</v>
      </c>
      <c r="R354" s="23"/>
      <c r="S354" s="117" t="str">
        <f t="shared" si="48"/>
        <v>N</v>
      </c>
      <c r="T354" s="114">
        <f>IFERROR(SUMIF('Current NLData'!A:A,'Payment Changes'!G354,'Current NLData'!K:K)/COUNTIF('Current NLData'!A:A,'Payment Changes'!G354),0)+IFERROR(VLOOKUP(G354&amp;"-ALL",NLPaymentExport,10,FALSE),0)</f>
        <v>60</v>
      </c>
      <c r="U354" s="118">
        <f t="shared" si="49"/>
        <v>0</v>
      </c>
    </row>
    <row r="355" spans="1:54" ht="17.100000000000001" hidden="1" customHeight="1" outlineLevel="1" x14ac:dyDescent="0.25">
      <c r="A355" s="3"/>
      <c r="C355" s="4"/>
      <c r="D355" s="181"/>
      <c r="E355" s="91" t="str">
        <f t="shared" si="50"/>
        <v>Little Rock</v>
      </c>
      <c r="F355" s="93" t="str">
        <f t="shared" si="51"/>
        <v>CP283</v>
      </c>
      <c r="G355" s="99" t="str">
        <f t="shared" si="52"/>
        <v>CP283-RETURN - 2nd don of the week -BONUS</v>
      </c>
      <c r="H355" s="182"/>
      <c r="I355" s="36" t="s">
        <v>46</v>
      </c>
      <c r="J355" s="58">
        <v>0</v>
      </c>
      <c r="K355" s="62">
        <v>4</v>
      </c>
      <c r="L355" s="58">
        <v>6</v>
      </c>
      <c r="M355" s="58">
        <v>6</v>
      </c>
      <c r="N355" s="58">
        <v>6</v>
      </c>
      <c r="O355" s="58">
        <v>6</v>
      </c>
      <c r="P355" s="58">
        <v>6</v>
      </c>
      <c r="Q355" s="58">
        <v>5</v>
      </c>
      <c r="R355" s="23"/>
      <c r="S355" s="117" t="str">
        <f t="shared" si="48"/>
        <v>Y</v>
      </c>
      <c r="T355" s="114">
        <f>IFERROR(SUMIF('Current NLData'!A:A,'Payment Changes'!G355,'Current NLData'!K:K)/COUNTIF('Current NLData'!A:A,'Payment Changes'!G355),0)+IFERROR(VLOOKUP(G355&amp;"-ALL",NLPaymentExport,10,FALSE),0)</f>
        <v>6</v>
      </c>
      <c r="U355" s="118">
        <f t="shared" si="49"/>
        <v>1</v>
      </c>
    </row>
    <row r="356" spans="1:54" ht="17.100000000000001" hidden="1" customHeight="1" outlineLevel="1" x14ac:dyDescent="0.25">
      <c r="A356" s="3"/>
      <c r="C356" s="4"/>
      <c r="D356" s="181"/>
      <c r="E356" s="91" t="str">
        <f t="shared" si="50"/>
        <v>Little Rock</v>
      </c>
      <c r="F356" s="93" t="str">
        <f t="shared" si="51"/>
        <v>CP283</v>
      </c>
      <c r="G356" s="99" t="str">
        <f t="shared" si="52"/>
        <v>CP283-RETURN - 5th don of the month -BONUS</v>
      </c>
      <c r="H356" s="182"/>
      <c r="I356" s="37" t="s">
        <v>47</v>
      </c>
      <c r="J356" s="65">
        <v>0</v>
      </c>
      <c r="K356" s="65">
        <v>0</v>
      </c>
      <c r="L356" s="65">
        <v>0</v>
      </c>
      <c r="M356" s="65">
        <v>0</v>
      </c>
      <c r="N356" s="65">
        <v>0</v>
      </c>
      <c r="O356" s="65">
        <v>0</v>
      </c>
      <c r="P356" s="65">
        <v>0</v>
      </c>
      <c r="Q356" s="65">
        <v>0</v>
      </c>
      <c r="R356" s="22"/>
      <c r="S356" s="117" t="str">
        <f t="shared" si="48"/>
        <v>N</v>
      </c>
      <c r="T356" s="114">
        <f>IFERROR(SUMIF('Current NLData'!A:A,'Payment Changes'!G356,'Current NLData'!K:K)/COUNTIF('Current NLData'!A:A,'Payment Changes'!G356),0)+IFERROR(VLOOKUP(G356&amp;"-ALL",NLPaymentExport,10,FALSE),0)</f>
        <v>0</v>
      </c>
      <c r="U356" s="118">
        <f t="shared" si="49"/>
        <v>0</v>
      </c>
    </row>
    <row r="357" spans="1:54" ht="17.100000000000001" hidden="1" customHeight="1" outlineLevel="1" x14ac:dyDescent="0.25">
      <c r="A357" s="3"/>
      <c r="C357" s="4"/>
      <c r="D357" s="181"/>
      <c r="E357" s="91" t="str">
        <f t="shared" si="50"/>
        <v>Little Rock</v>
      </c>
      <c r="F357" s="93" t="str">
        <f t="shared" si="51"/>
        <v>CP283</v>
      </c>
      <c r="G357" s="99" t="str">
        <f t="shared" si="52"/>
        <v>CP283-RETURN - 6th don of the month -BONUS</v>
      </c>
      <c r="H357" s="182"/>
      <c r="I357" s="38" t="s">
        <v>48</v>
      </c>
      <c r="J357" s="58">
        <v>0</v>
      </c>
      <c r="K357" s="58">
        <v>0</v>
      </c>
      <c r="L357" s="58">
        <v>0</v>
      </c>
      <c r="M357" s="58">
        <v>0</v>
      </c>
      <c r="N357" s="58">
        <v>0</v>
      </c>
      <c r="O357" s="58">
        <v>0</v>
      </c>
      <c r="P357" s="58">
        <v>0</v>
      </c>
      <c r="Q357" s="58">
        <v>0</v>
      </c>
      <c r="R357" s="22"/>
      <c r="S357" s="117" t="str">
        <f t="shared" si="48"/>
        <v>N</v>
      </c>
      <c r="T357" s="114">
        <f>IFERROR(SUMIF('Current NLData'!A:A,'Payment Changes'!G357,'Current NLData'!K:K)/COUNTIF('Current NLData'!A:A,'Payment Changes'!G357),0)+IFERROR(VLOOKUP(G357&amp;"-ALL",NLPaymentExport,10,FALSE),0)</f>
        <v>0</v>
      </c>
      <c r="U357" s="118">
        <f t="shared" si="49"/>
        <v>0</v>
      </c>
    </row>
    <row r="358" spans="1:54" ht="17.100000000000001" hidden="1" customHeight="1" outlineLevel="1" x14ac:dyDescent="0.25">
      <c r="A358" s="3"/>
      <c r="C358" s="4"/>
      <c r="D358" s="181"/>
      <c r="E358" s="91" t="str">
        <f t="shared" si="50"/>
        <v>Little Rock</v>
      </c>
      <c r="F358" s="93" t="str">
        <f t="shared" si="51"/>
        <v>CP283</v>
      </c>
      <c r="G358" s="99" t="str">
        <f t="shared" si="52"/>
        <v>CP283-RETURN - 7th don of the month -BONUS</v>
      </c>
      <c r="H358" s="182"/>
      <c r="I358" s="38" t="s">
        <v>49</v>
      </c>
      <c r="J358" s="58">
        <v>0</v>
      </c>
      <c r="K358" s="58">
        <v>0</v>
      </c>
      <c r="L358" s="58">
        <v>0</v>
      </c>
      <c r="M358" s="58">
        <v>0</v>
      </c>
      <c r="N358" s="58">
        <v>0</v>
      </c>
      <c r="O358" s="58">
        <v>0</v>
      </c>
      <c r="P358" s="58">
        <v>0</v>
      </c>
      <c r="Q358" s="58">
        <v>0</v>
      </c>
      <c r="R358" s="22"/>
      <c r="S358" s="117" t="str">
        <f t="shared" si="48"/>
        <v>N</v>
      </c>
      <c r="T358" s="114">
        <f>IFERROR(SUMIF('Current NLData'!A:A,'Payment Changes'!G358,'Current NLData'!K:K)/COUNTIF('Current NLData'!A:A,'Payment Changes'!G358),0)+IFERROR(VLOOKUP(G358&amp;"-ALL",NLPaymentExport,10,FALSE),0)</f>
        <v>0</v>
      </c>
      <c r="U358" s="118">
        <f t="shared" si="49"/>
        <v>0</v>
      </c>
    </row>
    <row r="359" spans="1:54" ht="17.100000000000001" hidden="1" customHeight="1" outlineLevel="1" x14ac:dyDescent="0.25">
      <c r="A359" s="3"/>
      <c r="C359" s="4"/>
      <c r="D359" s="181"/>
      <c r="E359" s="91" t="str">
        <f t="shared" si="50"/>
        <v>Little Rock</v>
      </c>
      <c r="F359" s="93" t="str">
        <f t="shared" si="51"/>
        <v>CP283</v>
      </c>
      <c r="G359" s="99" t="str">
        <f t="shared" si="52"/>
        <v>CP283-RETURN - 8th don of the month -BONUS</v>
      </c>
      <c r="H359" s="182"/>
      <c r="I359" s="38" t="s">
        <v>50</v>
      </c>
      <c r="J359" s="58">
        <v>25</v>
      </c>
      <c r="K359" s="58">
        <v>25</v>
      </c>
      <c r="L359" s="58">
        <v>0</v>
      </c>
      <c r="M359" s="58">
        <v>0</v>
      </c>
      <c r="N359" s="58">
        <v>0</v>
      </c>
      <c r="O359" s="58">
        <v>0</v>
      </c>
      <c r="P359" s="58">
        <v>0</v>
      </c>
      <c r="Q359" s="58">
        <v>0</v>
      </c>
      <c r="R359" s="22"/>
      <c r="S359" s="117" t="str">
        <f t="shared" si="48"/>
        <v>N</v>
      </c>
      <c r="T359" s="114">
        <f>IFERROR(SUMIF('Current NLData'!A:A,'Payment Changes'!G359,'Current NLData'!K:K)/COUNTIF('Current NLData'!A:A,'Payment Changes'!G359),0)+IFERROR(VLOOKUP(G359&amp;"-ALL",NLPaymentExport,10,FALSE),0)</f>
        <v>0</v>
      </c>
      <c r="U359" s="118">
        <f t="shared" si="49"/>
        <v>0</v>
      </c>
    </row>
    <row r="360" spans="1:54" ht="17.100000000000001" hidden="1" customHeight="1" outlineLevel="1" x14ac:dyDescent="0.25">
      <c r="A360" s="3"/>
      <c r="C360" s="4" t="str">
        <f>IF(J360=0,"Warning","")</f>
        <v/>
      </c>
      <c r="D360" s="181"/>
      <c r="E360" s="91" t="str">
        <f t="shared" si="50"/>
        <v>Little Rock</v>
      </c>
      <c r="F360" s="93" t="str">
        <f t="shared" si="51"/>
        <v>CP283</v>
      </c>
      <c r="G360" s="99" t="str">
        <f t="shared" si="52"/>
        <v>CP283-RETURN - Buddy referral  -BONUS</v>
      </c>
      <c r="H360" s="182"/>
      <c r="I360" s="39" t="s">
        <v>51</v>
      </c>
      <c r="J360" s="58">
        <v>50</v>
      </c>
      <c r="K360" s="58">
        <v>50</v>
      </c>
      <c r="L360" s="58">
        <v>0</v>
      </c>
      <c r="M360" s="58">
        <v>0</v>
      </c>
      <c r="N360" s="58">
        <v>0</v>
      </c>
      <c r="O360" s="58">
        <v>50</v>
      </c>
      <c r="P360" s="58">
        <v>50</v>
      </c>
      <c r="Q360" s="58">
        <v>50</v>
      </c>
      <c r="R360" s="22"/>
      <c r="S360" s="117" t="str">
        <f t="shared" si="48"/>
        <v>N</v>
      </c>
      <c r="T360" s="114">
        <f>IFERROR(SUMIF('Current NLData'!A:A,'Payment Changes'!G360,'Current NLData'!K:K)/COUNTIF('Current NLData'!A:A,'Payment Changes'!G360),0)+IFERROR(VLOOKUP(G360&amp;"-ALL",NLPaymentExport,10,FALSE),0)</f>
        <v>50</v>
      </c>
      <c r="U360" s="118">
        <f t="shared" si="49"/>
        <v>0</v>
      </c>
    </row>
    <row r="361" spans="1:54" s="90" customFormat="1" ht="17.100000000000001" hidden="1" customHeight="1" collapsed="1" x14ac:dyDescent="0.35">
      <c r="A361" s="85"/>
      <c r="B361" s="85"/>
      <c r="C361" s="86"/>
      <c r="D361" s="87"/>
      <c r="E361" s="87"/>
      <c r="F361" s="87"/>
      <c r="G361" s="87"/>
      <c r="H361" s="96"/>
      <c r="I361" s="88"/>
      <c r="J361" s="89"/>
      <c r="K361" s="89"/>
      <c r="L361" s="89"/>
      <c r="M361" s="89"/>
      <c r="N361" s="89"/>
      <c r="O361" s="89"/>
      <c r="P361" s="89"/>
      <c r="Q361" s="89"/>
      <c r="R361" s="21"/>
      <c r="S361" s="117" t="str">
        <f t="shared" si="48"/>
        <v>N</v>
      </c>
      <c r="T361" s="114">
        <f>IFERROR(SUMIF('Current NLData'!A:A,'Payment Changes'!G361,'Current NLData'!K:K)/COUNTIF('Current NLData'!A:A,'Payment Changes'!G361),0)+IFERROR(VLOOKUP(G361&amp;"-ALL",NLPaymentExport,10,FALSE),0)</f>
        <v>0</v>
      </c>
      <c r="U361" s="118" t="str">
        <f t="shared" si="49"/>
        <v/>
      </c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</row>
    <row r="362" spans="1:54" s="10" customFormat="1" ht="17.100000000000001" hidden="1" customHeight="1" x14ac:dyDescent="0.25">
      <c r="A362" s="165">
        <v>19</v>
      </c>
      <c r="B362" s="168" t="s">
        <v>128</v>
      </c>
      <c r="C362" s="171" t="s">
        <v>19</v>
      </c>
      <c r="D362" s="174" t="s">
        <v>57</v>
      </c>
      <c r="E362" s="106" t="str">
        <f t="shared" si="50"/>
        <v>Lubbock</v>
      </c>
      <c r="F362" s="107" t="s">
        <v>129</v>
      </c>
      <c r="G362" s="108" t="str">
        <f t="shared" ref="G362:G380" si="53">F362&amp;"-"&amp;I362</f>
        <v>CP285-New Donor</v>
      </c>
      <c r="H362" s="177" t="s">
        <v>75</v>
      </c>
      <c r="I362" s="76" t="s">
        <v>23</v>
      </c>
      <c r="J362" s="40" t="s">
        <v>55</v>
      </c>
      <c r="K362" s="41" t="s">
        <v>55</v>
      </c>
      <c r="L362" s="41" t="s">
        <v>24</v>
      </c>
      <c r="M362" s="42" t="s">
        <v>24</v>
      </c>
      <c r="N362" s="40" t="s">
        <v>24</v>
      </c>
      <c r="O362" s="40" t="s">
        <v>24</v>
      </c>
      <c r="P362" s="40" t="s">
        <v>24</v>
      </c>
      <c r="Q362" s="40" t="s">
        <v>24</v>
      </c>
      <c r="R362" s="109"/>
      <c r="S362" s="117" t="str">
        <f t="shared" si="48"/>
        <v>N</v>
      </c>
      <c r="T362" s="114">
        <f>IFERROR(SUMIF('Current NLData'!A:A,'Payment Changes'!G362,'Current NLData'!K:K)/COUNTIF('Current NLData'!A:A,'Payment Changes'!G362),0)+IFERROR(VLOOKUP(G362&amp;"-ALL",NLPaymentExport,10,FALSE),0)</f>
        <v>0</v>
      </c>
      <c r="U362" s="118" t="str">
        <f t="shared" si="49"/>
        <v/>
      </c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</row>
    <row r="363" spans="1:54" ht="17.100000000000001" hidden="1" customHeight="1" x14ac:dyDescent="0.25">
      <c r="A363" s="166"/>
      <c r="B363" s="169"/>
      <c r="C363" s="172"/>
      <c r="D363" s="175"/>
      <c r="E363" s="91" t="str">
        <f t="shared" si="50"/>
        <v>Lubbock</v>
      </c>
      <c r="F363" s="92" t="s">
        <v>129</v>
      </c>
      <c r="G363" s="98" t="str">
        <f t="shared" si="53"/>
        <v>CP285-Return Donor</v>
      </c>
      <c r="H363" s="178"/>
      <c r="I363" s="77" t="s">
        <v>29</v>
      </c>
      <c r="J363" s="43" t="s">
        <v>55</v>
      </c>
      <c r="K363" s="43" t="s">
        <v>55</v>
      </c>
      <c r="L363" s="44" t="s">
        <v>130</v>
      </c>
      <c r="M363" s="45" t="s">
        <v>130</v>
      </c>
      <c r="N363" s="43" t="s">
        <v>130</v>
      </c>
      <c r="O363" s="43" t="s">
        <v>130</v>
      </c>
      <c r="P363" s="43" t="s">
        <v>130</v>
      </c>
      <c r="Q363" s="43" t="s">
        <v>130</v>
      </c>
      <c r="R363" s="21"/>
      <c r="S363" s="117" t="str">
        <f t="shared" si="48"/>
        <v>N</v>
      </c>
      <c r="T363" s="114">
        <f>IFERROR(SUMIF('Current NLData'!A:A,'Payment Changes'!G363,'Current NLData'!K:K)/COUNTIF('Current NLData'!A:A,'Payment Changes'!G363),0)+IFERROR(VLOOKUP(G363&amp;"-ALL",NLPaymentExport,10,FALSE),0)</f>
        <v>0</v>
      </c>
      <c r="U363" s="118" t="str">
        <f t="shared" si="49"/>
        <v/>
      </c>
    </row>
    <row r="364" spans="1:54" ht="17.100000000000001" hidden="1" customHeight="1" x14ac:dyDescent="0.25">
      <c r="A364" s="166"/>
      <c r="B364" s="169"/>
      <c r="C364" s="172"/>
      <c r="D364" s="175"/>
      <c r="E364" s="91" t="str">
        <f t="shared" si="50"/>
        <v>Lubbock</v>
      </c>
      <c r="F364" s="92" t="s">
        <v>129</v>
      </c>
      <c r="G364" s="98" t="str">
        <f t="shared" si="53"/>
        <v>CP285-Retention Bonus</v>
      </c>
      <c r="H364" s="178"/>
      <c r="I364" s="78" t="s">
        <v>30</v>
      </c>
      <c r="J364" s="46" t="s">
        <v>131</v>
      </c>
      <c r="K364" s="46" t="s">
        <v>131</v>
      </c>
      <c r="L364" s="47" t="s">
        <v>32</v>
      </c>
      <c r="M364" s="48" t="s">
        <v>32</v>
      </c>
      <c r="N364" s="46" t="s">
        <v>32</v>
      </c>
      <c r="O364" s="46" t="s">
        <v>32</v>
      </c>
      <c r="P364" s="46" t="s">
        <v>32</v>
      </c>
      <c r="Q364" s="46" t="s">
        <v>32</v>
      </c>
      <c r="R364" s="21"/>
      <c r="S364" s="117" t="str">
        <f t="shared" si="48"/>
        <v>N</v>
      </c>
      <c r="T364" s="114">
        <f>IFERROR(SUMIF('Current NLData'!A:A,'Payment Changes'!G364,'Current NLData'!K:K)/COUNTIF('Current NLData'!A:A,'Payment Changes'!G364),0)+IFERROR(VLOOKUP(G364&amp;"-ALL",NLPaymentExport,10,FALSE),0)</f>
        <v>0</v>
      </c>
      <c r="U364" s="118" t="str">
        <f t="shared" si="49"/>
        <v/>
      </c>
    </row>
    <row r="365" spans="1:54" s="15" customFormat="1" ht="17.100000000000001" hidden="1" customHeight="1" x14ac:dyDescent="0.25">
      <c r="A365" s="167"/>
      <c r="B365" s="170"/>
      <c r="C365" s="173"/>
      <c r="D365" s="176"/>
      <c r="E365" s="110" t="str">
        <f t="shared" si="50"/>
        <v>Lubbock</v>
      </c>
      <c r="F365" s="111" t="s">
        <v>129</v>
      </c>
      <c r="G365" s="112" t="str">
        <f t="shared" si="53"/>
        <v>CP285-Referral</v>
      </c>
      <c r="H365" s="179"/>
      <c r="I365" s="79" t="s">
        <v>34</v>
      </c>
      <c r="J365" s="49">
        <v>50</v>
      </c>
      <c r="K365" s="49">
        <v>50</v>
      </c>
      <c r="L365" s="50" t="s">
        <v>32</v>
      </c>
      <c r="M365" s="51" t="s">
        <v>32</v>
      </c>
      <c r="N365" s="49" t="s">
        <v>32</v>
      </c>
      <c r="O365" s="49">
        <v>50</v>
      </c>
      <c r="P365" s="49">
        <v>50</v>
      </c>
      <c r="Q365" s="49">
        <v>50</v>
      </c>
      <c r="R365" s="113"/>
      <c r="S365" s="117" t="str">
        <f t="shared" si="48"/>
        <v>N</v>
      </c>
      <c r="T365" s="114">
        <f>IFERROR(SUMIF('Current NLData'!A:A,'Payment Changes'!G365,'Current NLData'!K:K)/COUNTIF('Current NLData'!A:A,'Payment Changes'!G365),0)+IFERROR(VLOOKUP(G365&amp;"-ALL",NLPaymentExport,10,FALSE),0)</f>
        <v>0</v>
      </c>
      <c r="U365" s="118" t="str">
        <f t="shared" si="49"/>
        <v/>
      </c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</row>
    <row r="366" spans="1:54" ht="17.100000000000001" hidden="1" customHeight="1" outlineLevel="1" x14ac:dyDescent="0.25">
      <c r="A366" s="3"/>
      <c r="C366" s="4"/>
      <c r="D366" s="180" t="s">
        <v>129</v>
      </c>
      <c r="E366" s="91" t="str">
        <f t="shared" si="50"/>
        <v>Lubbock</v>
      </c>
      <c r="F366" s="93" t="str">
        <f t="shared" si="51"/>
        <v>CP285</v>
      </c>
      <c r="G366" s="99" t="str">
        <f t="shared" si="53"/>
        <v>CP285-NEW DONOR -1st</v>
      </c>
      <c r="H366" s="182" t="s">
        <v>36</v>
      </c>
      <c r="I366" s="33" t="s">
        <v>37</v>
      </c>
      <c r="J366" s="60">
        <v>70</v>
      </c>
      <c r="K366" s="60">
        <f>J366</f>
        <v>70</v>
      </c>
      <c r="L366" s="60">
        <v>60</v>
      </c>
      <c r="M366" s="60">
        <v>60</v>
      </c>
      <c r="N366" s="60">
        <v>60</v>
      </c>
      <c r="O366" s="60">
        <v>60</v>
      </c>
      <c r="P366" s="60">
        <v>60</v>
      </c>
      <c r="Q366" s="60">
        <v>60</v>
      </c>
      <c r="R366" s="22"/>
      <c r="S366" s="117" t="str">
        <f t="shared" si="48"/>
        <v>N</v>
      </c>
      <c r="T366" s="114">
        <f>IFERROR(SUMIF('Current NLData'!A:A,'Payment Changes'!G366,'Current NLData'!K:K)/COUNTIF('Current NLData'!A:A,'Payment Changes'!G366),0)+IFERROR(VLOOKUP(G366&amp;"-ALL",NLPaymentExport,10,FALSE),0)</f>
        <v>60</v>
      </c>
      <c r="U366" s="118">
        <f t="shared" si="49"/>
        <v>0</v>
      </c>
    </row>
    <row r="367" spans="1:54" ht="17.100000000000001" hidden="1" customHeight="1" outlineLevel="1" x14ac:dyDescent="0.25">
      <c r="A367" s="3"/>
      <c r="C367" s="4"/>
      <c r="D367" s="181"/>
      <c r="E367" s="91" t="str">
        <f t="shared" si="50"/>
        <v>Lubbock</v>
      </c>
      <c r="F367" s="93" t="str">
        <f t="shared" si="51"/>
        <v>CP285</v>
      </c>
      <c r="G367" s="99" t="str">
        <f t="shared" si="53"/>
        <v>CP285-NEW DONOR -2nd</v>
      </c>
      <c r="H367" s="182"/>
      <c r="I367" s="34" t="s">
        <v>38</v>
      </c>
      <c r="J367" s="58">
        <v>70</v>
      </c>
      <c r="K367" s="58">
        <f>J367</f>
        <v>70</v>
      </c>
      <c r="L367" s="58">
        <v>60</v>
      </c>
      <c r="M367" s="58">
        <v>60</v>
      </c>
      <c r="N367" s="58">
        <v>60</v>
      </c>
      <c r="O367" s="58">
        <v>60</v>
      </c>
      <c r="P367" s="58">
        <v>60</v>
      </c>
      <c r="Q367" s="58">
        <v>60</v>
      </c>
      <c r="R367" s="22"/>
      <c r="S367" s="117" t="str">
        <f t="shared" si="48"/>
        <v>N</v>
      </c>
      <c r="T367" s="114">
        <f>IFERROR(SUMIF('Current NLData'!A:A,'Payment Changes'!G367,'Current NLData'!K:K)/COUNTIF('Current NLData'!A:A,'Payment Changes'!G367),0)+IFERROR(VLOOKUP(G367&amp;"-ALL",NLPaymentExport,10,FALSE),0)</f>
        <v>60</v>
      </c>
      <c r="U367" s="118">
        <f t="shared" si="49"/>
        <v>0</v>
      </c>
    </row>
    <row r="368" spans="1:54" ht="17.100000000000001" hidden="1" customHeight="1" outlineLevel="1" x14ac:dyDescent="0.25">
      <c r="A368" s="3"/>
      <c r="C368" s="4"/>
      <c r="D368" s="181"/>
      <c r="E368" s="91" t="str">
        <f t="shared" si="50"/>
        <v>Lubbock</v>
      </c>
      <c r="F368" s="93" t="str">
        <f t="shared" si="51"/>
        <v>CP285</v>
      </c>
      <c r="G368" s="99" t="str">
        <f t="shared" si="53"/>
        <v>CP285-NEW DONOR -3rd</v>
      </c>
      <c r="H368" s="182"/>
      <c r="I368" s="34" t="s">
        <v>39</v>
      </c>
      <c r="J368" s="58">
        <v>70</v>
      </c>
      <c r="K368" s="58">
        <f t="shared" ref="K368:K372" si="54">J368</f>
        <v>70</v>
      </c>
      <c r="L368" s="58">
        <v>60</v>
      </c>
      <c r="M368" s="58">
        <v>60</v>
      </c>
      <c r="N368" s="58">
        <v>60</v>
      </c>
      <c r="O368" s="58">
        <v>60</v>
      </c>
      <c r="P368" s="58">
        <v>60</v>
      </c>
      <c r="Q368" s="58">
        <v>60</v>
      </c>
      <c r="R368" s="22"/>
      <c r="S368" s="117" t="str">
        <f t="shared" si="48"/>
        <v>N</v>
      </c>
      <c r="T368" s="114">
        <f>IFERROR(SUMIF('Current NLData'!A:A,'Payment Changes'!G368,'Current NLData'!K:K)/COUNTIF('Current NLData'!A:A,'Payment Changes'!G368),0)+IFERROR(VLOOKUP(G368&amp;"-ALL",NLPaymentExport,10,FALSE),0)</f>
        <v>60</v>
      </c>
      <c r="U368" s="118">
        <f t="shared" si="49"/>
        <v>0</v>
      </c>
    </row>
    <row r="369" spans="1:54" ht="17.100000000000001" hidden="1" customHeight="1" outlineLevel="1" x14ac:dyDescent="0.25">
      <c r="A369" s="3"/>
      <c r="C369" s="4"/>
      <c r="D369" s="181"/>
      <c r="E369" s="91" t="str">
        <f t="shared" si="50"/>
        <v>Lubbock</v>
      </c>
      <c r="F369" s="93" t="str">
        <f t="shared" si="51"/>
        <v>CP285</v>
      </c>
      <c r="G369" s="99" t="str">
        <f t="shared" si="53"/>
        <v>CP285-NEW DONOR -4th</v>
      </c>
      <c r="H369" s="182"/>
      <c r="I369" s="34" t="s">
        <v>40</v>
      </c>
      <c r="J369" s="58">
        <v>70</v>
      </c>
      <c r="K369" s="58">
        <f t="shared" si="54"/>
        <v>70</v>
      </c>
      <c r="L369" s="58">
        <v>60</v>
      </c>
      <c r="M369" s="58">
        <v>60</v>
      </c>
      <c r="N369" s="58">
        <v>60</v>
      </c>
      <c r="O369" s="58">
        <v>60</v>
      </c>
      <c r="P369" s="58">
        <v>60</v>
      </c>
      <c r="Q369" s="58">
        <v>60</v>
      </c>
      <c r="R369" s="22"/>
      <c r="S369" s="117" t="str">
        <f t="shared" si="48"/>
        <v>N</v>
      </c>
      <c r="T369" s="114">
        <f>IFERROR(SUMIF('Current NLData'!A:A,'Payment Changes'!G369,'Current NLData'!K:K)/COUNTIF('Current NLData'!A:A,'Payment Changes'!G369),0)+IFERROR(VLOOKUP(G369&amp;"-ALL",NLPaymentExport,10,FALSE),0)</f>
        <v>60</v>
      </c>
      <c r="U369" s="118">
        <f t="shared" si="49"/>
        <v>0</v>
      </c>
    </row>
    <row r="370" spans="1:54" ht="17.100000000000001" hidden="1" customHeight="1" outlineLevel="1" x14ac:dyDescent="0.25">
      <c r="A370" s="3"/>
      <c r="C370" s="4"/>
      <c r="D370" s="181"/>
      <c r="E370" s="91" t="str">
        <f t="shared" si="50"/>
        <v>Lubbock</v>
      </c>
      <c r="F370" s="93" t="str">
        <f t="shared" si="51"/>
        <v>CP285</v>
      </c>
      <c r="G370" s="99" t="str">
        <f t="shared" si="53"/>
        <v>CP285-NEW DONOR -5th</v>
      </c>
      <c r="H370" s="182"/>
      <c r="I370" s="34" t="s">
        <v>41</v>
      </c>
      <c r="J370" s="58">
        <v>70</v>
      </c>
      <c r="K370" s="58">
        <f t="shared" si="54"/>
        <v>70</v>
      </c>
      <c r="L370" s="58">
        <v>60</v>
      </c>
      <c r="M370" s="58">
        <v>60</v>
      </c>
      <c r="N370" s="58">
        <v>60</v>
      </c>
      <c r="O370" s="58">
        <v>60</v>
      </c>
      <c r="P370" s="58">
        <v>60</v>
      </c>
      <c r="Q370" s="58">
        <v>60</v>
      </c>
      <c r="R370" s="22"/>
      <c r="S370" s="117" t="str">
        <f t="shared" si="48"/>
        <v>N</v>
      </c>
      <c r="T370" s="114">
        <f>IFERROR(SUMIF('Current NLData'!A:A,'Payment Changes'!G370,'Current NLData'!K:K)/COUNTIF('Current NLData'!A:A,'Payment Changes'!G370),0)+IFERROR(VLOOKUP(G370&amp;"-ALL",NLPaymentExport,10,FALSE),0)</f>
        <v>60</v>
      </c>
      <c r="U370" s="118">
        <f t="shared" si="49"/>
        <v>0</v>
      </c>
    </row>
    <row r="371" spans="1:54" ht="17.100000000000001" hidden="1" customHeight="1" outlineLevel="1" x14ac:dyDescent="0.25">
      <c r="A371" s="3"/>
      <c r="C371" s="4"/>
      <c r="D371" s="181"/>
      <c r="E371" s="91" t="str">
        <f t="shared" si="50"/>
        <v>Lubbock</v>
      </c>
      <c r="F371" s="93" t="str">
        <f t="shared" si="51"/>
        <v>CP285</v>
      </c>
      <c r="G371" s="99" t="str">
        <f t="shared" si="53"/>
        <v>CP285-NEW DONOR -6th</v>
      </c>
      <c r="H371" s="182"/>
      <c r="I371" s="34" t="s">
        <v>42</v>
      </c>
      <c r="J371" s="58">
        <v>70</v>
      </c>
      <c r="K371" s="58">
        <f t="shared" si="54"/>
        <v>70</v>
      </c>
      <c r="L371" s="58">
        <v>60</v>
      </c>
      <c r="M371" s="58">
        <v>60</v>
      </c>
      <c r="N371" s="58">
        <v>60</v>
      </c>
      <c r="O371" s="58">
        <v>60</v>
      </c>
      <c r="P371" s="58">
        <v>60</v>
      </c>
      <c r="Q371" s="58">
        <v>60</v>
      </c>
      <c r="R371" s="22"/>
      <c r="S371" s="117" t="str">
        <f t="shared" si="48"/>
        <v>N</v>
      </c>
      <c r="T371" s="114">
        <f>IFERROR(SUMIF('Current NLData'!A:A,'Payment Changes'!G371,'Current NLData'!K:K)/COUNTIF('Current NLData'!A:A,'Payment Changes'!G371),0)+IFERROR(VLOOKUP(G371&amp;"-ALL",NLPaymentExport,10,FALSE),0)</f>
        <v>60</v>
      </c>
      <c r="U371" s="118">
        <f t="shared" si="49"/>
        <v>0</v>
      </c>
    </row>
    <row r="372" spans="1:54" ht="17.100000000000001" hidden="1" customHeight="1" outlineLevel="1" x14ac:dyDescent="0.25">
      <c r="A372" s="3"/>
      <c r="C372" s="4"/>
      <c r="D372" s="181"/>
      <c r="E372" s="91" t="str">
        <f t="shared" si="50"/>
        <v>Lubbock</v>
      </c>
      <c r="F372" s="93" t="str">
        <f t="shared" si="51"/>
        <v>CP285</v>
      </c>
      <c r="G372" s="99" t="str">
        <f t="shared" si="53"/>
        <v>CP285-NEW DONOR -7th</v>
      </c>
      <c r="H372" s="182"/>
      <c r="I372" s="34" t="s">
        <v>43</v>
      </c>
      <c r="J372" s="58">
        <v>70</v>
      </c>
      <c r="K372" s="58">
        <f t="shared" si="54"/>
        <v>70</v>
      </c>
      <c r="L372" s="58">
        <v>60</v>
      </c>
      <c r="M372" s="58">
        <v>60</v>
      </c>
      <c r="N372" s="58">
        <v>60</v>
      </c>
      <c r="O372" s="58">
        <v>60</v>
      </c>
      <c r="P372" s="58">
        <v>60</v>
      </c>
      <c r="Q372" s="58">
        <v>60</v>
      </c>
      <c r="R372" s="22"/>
      <c r="S372" s="117" t="str">
        <f t="shared" si="48"/>
        <v>N</v>
      </c>
      <c r="T372" s="114">
        <f>IFERROR(SUMIF('Current NLData'!A:A,'Payment Changes'!G372,'Current NLData'!K:K)/COUNTIF('Current NLData'!A:A,'Payment Changes'!G372),0)+IFERROR(VLOOKUP(G372&amp;"-ALL",NLPaymentExport,10,FALSE),0)</f>
        <v>60</v>
      </c>
      <c r="U372" s="118">
        <f t="shared" si="49"/>
        <v>0</v>
      </c>
    </row>
    <row r="373" spans="1:54" ht="17.100000000000001" hidden="1" customHeight="1" outlineLevel="1" x14ac:dyDescent="0.25">
      <c r="A373" s="3"/>
      <c r="C373" s="4"/>
      <c r="D373" s="181"/>
      <c r="E373" s="91" t="str">
        <f t="shared" si="50"/>
        <v>Lubbock</v>
      </c>
      <c r="F373" s="93" t="str">
        <f t="shared" si="51"/>
        <v>CP285</v>
      </c>
      <c r="G373" s="99" t="str">
        <f t="shared" si="53"/>
        <v>CP285-NEW DONOR -8th</v>
      </c>
      <c r="H373" s="182"/>
      <c r="I373" s="35" t="s">
        <v>44</v>
      </c>
      <c r="J373" s="63">
        <v>70</v>
      </c>
      <c r="K373" s="63">
        <f>J373</f>
        <v>70</v>
      </c>
      <c r="L373" s="63">
        <v>60</v>
      </c>
      <c r="M373" s="63">
        <v>60</v>
      </c>
      <c r="N373" s="63">
        <v>60</v>
      </c>
      <c r="O373" s="63">
        <v>60</v>
      </c>
      <c r="P373" s="63">
        <v>60</v>
      </c>
      <c r="Q373" s="63">
        <v>60</v>
      </c>
      <c r="R373" s="22"/>
      <c r="S373" s="117" t="str">
        <f t="shared" si="48"/>
        <v>N</v>
      </c>
      <c r="T373" s="114">
        <f>IFERROR(SUMIF('Current NLData'!A:A,'Payment Changes'!G373,'Current NLData'!K:K)/COUNTIF('Current NLData'!A:A,'Payment Changes'!G373),0)+IFERROR(VLOOKUP(G373&amp;"-ALL",NLPaymentExport,10,FALSE),0)</f>
        <v>60</v>
      </c>
      <c r="U373" s="118">
        <f t="shared" si="49"/>
        <v>0</v>
      </c>
    </row>
    <row r="374" spans="1:54" ht="17.100000000000001" hidden="1" customHeight="1" outlineLevel="1" x14ac:dyDescent="0.25">
      <c r="A374" s="3"/>
      <c r="C374" s="4"/>
      <c r="D374" s="181"/>
      <c r="E374" s="91" t="str">
        <f t="shared" si="50"/>
        <v>Lubbock</v>
      </c>
      <c r="F374" s="93" t="str">
        <f t="shared" si="51"/>
        <v>CP285</v>
      </c>
      <c r="G374" s="99" t="str">
        <f t="shared" si="53"/>
        <v>CP285-RETURN - 1st don of the week -STD</v>
      </c>
      <c r="H374" s="182"/>
      <c r="I374" s="36" t="s">
        <v>45</v>
      </c>
      <c r="J374" s="58">
        <v>70</v>
      </c>
      <c r="K374" s="58">
        <v>70</v>
      </c>
      <c r="L374" s="58">
        <v>60</v>
      </c>
      <c r="M374" s="58">
        <v>60</v>
      </c>
      <c r="N374" s="58">
        <v>60</v>
      </c>
      <c r="O374" s="58">
        <v>60</v>
      </c>
      <c r="P374" s="58">
        <v>60</v>
      </c>
      <c r="Q374" s="58">
        <v>60</v>
      </c>
      <c r="R374" s="22"/>
      <c r="S374" s="117" t="str">
        <f t="shared" si="48"/>
        <v>N</v>
      </c>
      <c r="T374" s="114">
        <f>IFERROR(SUMIF('Current NLData'!A:A,'Payment Changes'!G374,'Current NLData'!K:K)/COUNTIF('Current NLData'!A:A,'Payment Changes'!G374),0)+IFERROR(VLOOKUP(G374&amp;"-ALL",NLPaymentExport,10,FALSE),0)</f>
        <v>60</v>
      </c>
      <c r="U374" s="118">
        <f t="shared" si="49"/>
        <v>0</v>
      </c>
    </row>
    <row r="375" spans="1:54" ht="17.100000000000001" hidden="1" customHeight="1" outlineLevel="1" x14ac:dyDescent="0.25">
      <c r="A375" s="3"/>
      <c r="C375" s="4"/>
      <c r="D375" s="181"/>
      <c r="E375" s="91" t="str">
        <f t="shared" si="50"/>
        <v>Lubbock</v>
      </c>
      <c r="F375" s="93" t="str">
        <f t="shared" si="51"/>
        <v>CP285</v>
      </c>
      <c r="G375" s="99" t="str">
        <f t="shared" si="53"/>
        <v>CP285-RETURN - 2nd don of the week -BONUS</v>
      </c>
      <c r="H375" s="182"/>
      <c r="I375" s="36" t="s">
        <v>46</v>
      </c>
      <c r="J375" s="58">
        <v>0</v>
      </c>
      <c r="K375" s="58">
        <v>0</v>
      </c>
      <c r="L375" s="58">
        <v>10</v>
      </c>
      <c r="M375" s="58">
        <v>10</v>
      </c>
      <c r="N375" s="58">
        <v>10</v>
      </c>
      <c r="O375" s="58">
        <v>10</v>
      </c>
      <c r="P375" s="58">
        <v>10</v>
      </c>
      <c r="Q375" s="58">
        <v>10</v>
      </c>
      <c r="R375" s="22"/>
      <c r="S375" s="117" t="str">
        <f t="shared" si="48"/>
        <v>N</v>
      </c>
      <c r="T375" s="114">
        <f>IFERROR(SUMIF('Current NLData'!A:A,'Payment Changes'!G375,'Current NLData'!K:K)/COUNTIF('Current NLData'!A:A,'Payment Changes'!G375),0)+IFERROR(VLOOKUP(G375&amp;"-ALL",NLPaymentExport,10,FALSE),0)</f>
        <v>10</v>
      </c>
      <c r="U375" s="118">
        <f t="shared" si="49"/>
        <v>0</v>
      </c>
    </row>
    <row r="376" spans="1:54" ht="17.100000000000001" hidden="1" customHeight="1" outlineLevel="1" x14ac:dyDescent="0.25">
      <c r="A376" s="3"/>
      <c r="C376" s="4"/>
      <c r="D376" s="181"/>
      <c r="E376" s="91" t="str">
        <f t="shared" si="50"/>
        <v>Lubbock</v>
      </c>
      <c r="F376" s="93" t="str">
        <f t="shared" si="51"/>
        <v>CP285</v>
      </c>
      <c r="G376" s="99" t="str">
        <f t="shared" si="53"/>
        <v>CP285-RETURN - 5th don of the month -BONUS</v>
      </c>
      <c r="H376" s="182"/>
      <c r="I376" s="37" t="s">
        <v>47</v>
      </c>
      <c r="J376" s="65">
        <v>0</v>
      </c>
      <c r="K376" s="65">
        <v>0</v>
      </c>
      <c r="L376" s="65">
        <v>0</v>
      </c>
      <c r="M376" s="65">
        <v>0</v>
      </c>
      <c r="N376" s="65">
        <v>0</v>
      </c>
      <c r="O376" s="65">
        <v>0</v>
      </c>
      <c r="P376" s="65">
        <v>0</v>
      </c>
      <c r="Q376" s="65">
        <v>0</v>
      </c>
      <c r="R376" s="22"/>
      <c r="S376" s="117" t="str">
        <f t="shared" si="48"/>
        <v>N</v>
      </c>
      <c r="T376" s="114">
        <f>IFERROR(SUMIF('Current NLData'!A:A,'Payment Changes'!G376,'Current NLData'!K:K)/COUNTIF('Current NLData'!A:A,'Payment Changes'!G376),0)+IFERROR(VLOOKUP(G376&amp;"-ALL",NLPaymentExport,10,FALSE),0)</f>
        <v>0</v>
      </c>
      <c r="U376" s="118">
        <f t="shared" si="49"/>
        <v>0</v>
      </c>
    </row>
    <row r="377" spans="1:54" ht="17.100000000000001" hidden="1" customHeight="1" outlineLevel="1" x14ac:dyDescent="0.25">
      <c r="A377" s="3"/>
      <c r="C377" s="4"/>
      <c r="D377" s="181"/>
      <c r="E377" s="91" t="str">
        <f t="shared" si="50"/>
        <v>Lubbock</v>
      </c>
      <c r="F377" s="93" t="str">
        <f t="shared" si="51"/>
        <v>CP285</v>
      </c>
      <c r="G377" s="99" t="str">
        <f t="shared" si="53"/>
        <v>CP285-RETURN - 6th don of the month -BONUS</v>
      </c>
      <c r="H377" s="182"/>
      <c r="I377" s="38" t="s">
        <v>48</v>
      </c>
      <c r="J377" s="58">
        <v>0</v>
      </c>
      <c r="K377" s="58">
        <v>0</v>
      </c>
      <c r="L377" s="58">
        <v>0</v>
      </c>
      <c r="M377" s="58">
        <v>0</v>
      </c>
      <c r="N377" s="58">
        <v>0</v>
      </c>
      <c r="O377" s="58">
        <v>0</v>
      </c>
      <c r="P377" s="58">
        <v>0</v>
      </c>
      <c r="Q377" s="58">
        <v>0</v>
      </c>
      <c r="R377" s="22"/>
      <c r="S377" s="117" t="str">
        <f t="shared" si="48"/>
        <v>N</v>
      </c>
      <c r="T377" s="114">
        <f>IFERROR(SUMIF('Current NLData'!A:A,'Payment Changes'!G377,'Current NLData'!K:K)/COUNTIF('Current NLData'!A:A,'Payment Changes'!G377),0)+IFERROR(VLOOKUP(G377&amp;"-ALL",NLPaymentExport,10,FALSE),0)</f>
        <v>0</v>
      </c>
      <c r="U377" s="118">
        <f t="shared" si="49"/>
        <v>0</v>
      </c>
    </row>
    <row r="378" spans="1:54" ht="17.100000000000001" hidden="1" customHeight="1" outlineLevel="1" x14ac:dyDescent="0.25">
      <c r="A378" s="3"/>
      <c r="C378" s="4"/>
      <c r="D378" s="181"/>
      <c r="E378" s="91" t="str">
        <f t="shared" si="50"/>
        <v>Lubbock</v>
      </c>
      <c r="F378" s="93" t="str">
        <f t="shared" si="51"/>
        <v>CP285</v>
      </c>
      <c r="G378" s="99" t="str">
        <f t="shared" si="53"/>
        <v>CP285-RETURN - 7th don of the month -BONUS</v>
      </c>
      <c r="H378" s="182"/>
      <c r="I378" s="38" t="s">
        <v>49</v>
      </c>
      <c r="J378" s="58">
        <v>0</v>
      </c>
      <c r="K378" s="58">
        <v>0</v>
      </c>
      <c r="L378" s="58">
        <v>0</v>
      </c>
      <c r="M378" s="58">
        <v>0</v>
      </c>
      <c r="N378" s="58">
        <v>0</v>
      </c>
      <c r="O378" s="58">
        <v>0</v>
      </c>
      <c r="P378" s="58">
        <v>0</v>
      </c>
      <c r="Q378" s="58">
        <v>0</v>
      </c>
      <c r="R378" s="22"/>
      <c r="S378" s="117" t="str">
        <f t="shared" si="48"/>
        <v>N</v>
      </c>
      <c r="T378" s="114">
        <f>IFERROR(SUMIF('Current NLData'!A:A,'Payment Changes'!G378,'Current NLData'!K:K)/COUNTIF('Current NLData'!A:A,'Payment Changes'!G378),0)+IFERROR(VLOOKUP(G378&amp;"-ALL",NLPaymentExport,10,FALSE),0)</f>
        <v>0</v>
      </c>
      <c r="U378" s="118">
        <f t="shared" si="49"/>
        <v>0</v>
      </c>
    </row>
    <row r="379" spans="1:54" ht="17.100000000000001" hidden="1" customHeight="1" outlineLevel="1" x14ac:dyDescent="0.25">
      <c r="A379" s="3"/>
      <c r="C379" s="4"/>
      <c r="D379" s="181"/>
      <c r="E379" s="91" t="str">
        <f t="shared" si="50"/>
        <v>Lubbock</v>
      </c>
      <c r="F379" s="93" t="str">
        <f t="shared" si="51"/>
        <v>CP285</v>
      </c>
      <c r="G379" s="99" t="str">
        <f t="shared" si="53"/>
        <v>CP285-RETURN - 8th don of the month -BONUS</v>
      </c>
      <c r="H379" s="182"/>
      <c r="I379" s="38" t="s">
        <v>50</v>
      </c>
      <c r="J379" s="58">
        <v>35</v>
      </c>
      <c r="K379" s="58">
        <f>J379</f>
        <v>35</v>
      </c>
      <c r="L379" s="58">
        <v>0</v>
      </c>
      <c r="M379" s="58">
        <v>0</v>
      </c>
      <c r="N379" s="58">
        <v>0</v>
      </c>
      <c r="O379" s="58">
        <v>0</v>
      </c>
      <c r="P379" s="58">
        <v>0</v>
      </c>
      <c r="Q379" s="58">
        <v>0</v>
      </c>
      <c r="R379" s="22"/>
      <c r="S379" s="117" t="str">
        <f t="shared" si="48"/>
        <v>N</v>
      </c>
      <c r="T379" s="114">
        <f>IFERROR(SUMIF('Current NLData'!A:A,'Payment Changes'!G379,'Current NLData'!K:K)/COUNTIF('Current NLData'!A:A,'Payment Changes'!G379),0)+IFERROR(VLOOKUP(G379&amp;"-ALL",NLPaymentExport,10,FALSE),0)</f>
        <v>0</v>
      </c>
      <c r="U379" s="118">
        <f t="shared" si="49"/>
        <v>0</v>
      </c>
    </row>
    <row r="380" spans="1:54" ht="17.100000000000001" hidden="1" customHeight="1" outlineLevel="1" x14ac:dyDescent="0.25">
      <c r="A380" s="3"/>
      <c r="C380" s="4" t="str">
        <f>IF(J380=0,"Warning","")</f>
        <v/>
      </c>
      <c r="D380" s="181"/>
      <c r="E380" s="91" t="str">
        <f t="shared" si="50"/>
        <v>Lubbock</v>
      </c>
      <c r="F380" s="93" t="str">
        <f t="shared" si="51"/>
        <v>CP285</v>
      </c>
      <c r="G380" s="99" t="str">
        <f t="shared" si="53"/>
        <v>CP285-RETURN - Buddy referral  -BONUS</v>
      </c>
      <c r="H380" s="182"/>
      <c r="I380" s="39" t="s">
        <v>51</v>
      </c>
      <c r="J380" s="58">
        <v>50</v>
      </c>
      <c r="K380" s="58">
        <v>50</v>
      </c>
      <c r="L380" s="58">
        <v>0</v>
      </c>
      <c r="M380" s="58">
        <v>0</v>
      </c>
      <c r="N380" s="58">
        <v>0</v>
      </c>
      <c r="O380" s="58">
        <v>50</v>
      </c>
      <c r="P380" s="58">
        <v>50</v>
      </c>
      <c r="Q380" s="58">
        <v>50</v>
      </c>
      <c r="R380" s="22"/>
      <c r="S380" s="117" t="str">
        <f t="shared" si="48"/>
        <v>N</v>
      </c>
      <c r="T380" s="114">
        <f>IFERROR(SUMIF('Current NLData'!A:A,'Payment Changes'!G380,'Current NLData'!K:K)/COUNTIF('Current NLData'!A:A,'Payment Changes'!G380),0)+IFERROR(VLOOKUP(G380&amp;"-ALL",NLPaymentExport,10,FALSE),0)</f>
        <v>50</v>
      </c>
      <c r="U380" s="118">
        <f t="shared" si="49"/>
        <v>0</v>
      </c>
    </row>
    <row r="381" spans="1:54" s="90" customFormat="1" ht="17.100000000000001" hidden="1" customHeight="1" collapsed="1" x14ac:dyDescent="0.35">
      <c r="A381" s="85"/>
      <c r="B381" s="85"/>
      <c r="C381" s="86"/>
      <c r="D381" s="87"/>
      <c r="E381" s="87"/>
      <c r="F381" s="87"/>
      <c r="G381" s="87"/>
      <c r="H381" s="96"/>
      <c r="I381" s="88"/>
      <c r="J381" s="89"/>
      <c r="K381" s="89"/>
      <c r="L381" s="89"/>
      <c r="M381" s="89"/>
      <c r="N381" s="89"/>
      <c r="O381" s="89"/>
      <c r="P381" s="89"/>
      <c r="Q381" s="89"/>
      <c r="R381" s="21"/>
      <c r="S381" s="117" t="str">
        <f t="shared" si="48"/>
        <v>N</v>
      </c>
      <c r="T381" s="114">
        <f>IFERROR(SUMIF('Current NLData'!A:A,'Payment Changes'!G381,'Current NLData'!K:K)/COUNTIF('Current NLData'!A:A,'Payment Changes'!G381),0)+IFERROR(VLOOKUP(G381&amp;"-ALL",NLPaymentExport,10,FALSE),0)</f>
        <v>0</v>
      </c>
      <c r="U381" s="118" t="str">
        <f t="shared" si="49"/>
        <v/>
      </c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</row>
    <row r="382" spans="1:54" s="10" customFormat="1" ht="17.100000000000001" hidden="1" customHeight="1" x14ac:dyDescent="0.25">
      <c r="A382" s="165">
        <v>20</v>
      </c>
      <c r="B382" s="168" t="s">
        <v>132</v>
      </c>
      <c r="C382" s="171" t="s">
        <v>19</v>
      </c>
      <c r="D382" s="174" t="s">
        <v>57</v>
      </c>
      <c r="E382" s="106" t="str">
        <f t="shared" si="50"/>
        <v>Lubbock 34</v>
      </c>
      <c r="F382" s="107" t="s">
        <v>133</v>
      </c>
      <c r="G382" s="108" t="str">
        <f t="shared" ref="G382:G400" si="55">F382&amp;"-"&amp;I382</f>
        <v>CP284-New Donor</v>
      </c>
      <c r="H382" s="177" t="s">
        <v>75</v>
      </c>
      <c r="I382" s="76" t="s">
        <v>23</v>
      </c>
      <c r="J382" s="40" t="s">
        <v>55</v>
      </c>
      <c r="K382" s="41" t="s">
        <v>55</v>
      </c>
      <c r="L382" s="41" t="s">
        <v>134</v>
      </c>
      <c r="M382" s="42" t="s">
        <v>134</v>
      </c>
      <c r="N382" s="40" t="s">
        <v>134</v>
      </c>
      <c r="O382" s="40" t="s">
        <v>134</v>
      </c>
      <c r="P382" s="40" t="s">
        <v>134</v>
      </c>
      <c r="Q382" s="40" t="s">
        <v>134</v>
      </c>
      <c r="R382" s="109"/>
      <c r="S382" s="117" t="str">
        <f t="shared" si="48"/>
        <v>N</v>
      </c>
      <c r="T382" s="114">
        <f>IFERROR(SUMIF('Current NLData'!A:A,'Payment Changes'!G382,'Current NLData'!K:K)/COUNTIF('Current NLData'!A:A,'Payment Changes'!G382),0)+IFERROR(VLOOKUP(G382&amp;"-ALL",NLPaymentExport,10,FALSE),0)</f>
        <v>0</v>
      </c>
      <c r="U382" s="118" t="str">
        <f t="shared" si="49"/>
        <v/>
      </c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</row>
    <row r="383" spans="1:54" ht="17.100000000000001" hidden="1" customHeight="1" x14ac:dyDescent="0.25">
      <c r="A383" s="166"/>
      <c r="B383" s="169"/>
      <c r="C383" s="172"/>
      <c r="D383" s="175"/>
      <c r="E383" s="91" t="str">
        <f t="shared" si="50"/>
        <v>Lubbock 34</v>
      </c>
      <c r="F383" s="92" t="s">
        <v>133</v>
      </c>
      <c r="G383" s="98" t="str">
        <f t="shared" si="55"/>
        <v>CP284-Return Donor</v>
      </c>
      <c r="H383" s="178"/>
      <c r="I383" s="77" t="s">
        <v>29</v>
      </c>
      <c r="J383" s="43" t="s">
        <v>55</v>
      </c>
      <c r="K383" s="43" t="s">
        <v>55</v>
      </c>
      <c r="L383" s="44" t="s">
        <v>134</v>
      </c>
      <c r="M383" s="45" t="s">
        <v>134</v>
      </c>
      <c r="N383" s="43" t="s">
        <v>134</v>
      </c>
      <c r="O383" s="43" t="s">
        <v>134</v>
      </c>
      <c r="P383" s="43" t="s">
        <v>134</v>
      </c>
      <c r="Q383" s="43" t="s">
        <v>134</v>
      </c>
      <c r="R383" s="21"/>
      <c r="S383" s="117" t="str">
        <f t="shared" si="48"/>
        <v>N</v>
      </c>
      <c r="T383" s="114">
        <f>IFERROR(SUMIF('Current NLData'!A:A,'Payment Changes'!G383,'Current NLData'!K:K)/COUNTIF('Current NLData'!A:A,'Payment Changes'!G383),0)+IFERROR(VLOOKUP(G383&amp;"-ALL",NLPaymentExport,10,FALSE),0)</f>
        <v>0</v>
      </c>
      <c r="U383" s="118" t="str">
        <f t="shared" si="49"/>
        <v/>
      </c>
    </row>
    <row r="384" spans="1:54" ht="17.100000000000001" hidden="1" customHeight="1" x14ac:dyDescent="0.25">
      <c r="A384" s="166"/>
      <c r="B384" s="169"/>
      <c r="C384" s="172"/>
      <c r="D384" s="175"/>
      <c r="E384" s="91" t="str">
        <f t="shared" si="50"/>
        <v>Lubbock 34</v>
      </c>
      <c r="F384" s="92" t="s">
        <v>133</v>
      </c>
      <c r="G384" s="98" t="str">
        <f t="shared" si="55"/>
        <v>CP284-Retention Bonus</v>
      </c>
      <c r="H384" s="178"/>
      <c r="I384" s="78" t="s">
        <v>30</v>
      </c>
      <c r="J384" s="46" t="s">
        <v>131</v>
      </c>
      <c r="K384" s="46" t="s">
        <v>131</v>
      </c>
      <c r="L384" s="47" t="s">
        <v>32</v>
      </c>
      <c r="M384" s="48" t="s">
        <v>32</v>
      </c>
      <c r="N384" s="46" t="s">
        <v>32</v>
      </c>
      <c r="O384" s="46" t="s">
        <v>32</v>
      </c>
      <c r="P384" s="46" t="s">
        <v>32</v>
      </c>
      <c r="Q384" s="46" t="s">
        <v>32</v>
      </c>
      <c r="R384" s="21"/>
      <c r="S384" s="117" t="str">
        <f t="shared" si="48"/>
        <v>N</v>
      </c>
      <c r="T384" s="114">
        <f>IFERROR(SUMIF('Current NLData'!A:A,'Payment Changes'!G384,'Current NLData'!K:K)/COUNTIF('Current NLData'!A:A,'Payment Changes'!G384),0)+IFERROR(VLOOKUP(G384&amp;"-ALL",NLPaymentExport,10,FALSE),0)</f>
        <v>0</v>
      </c>
      <c r="U384" s="118" t="str">
        <f t="shared" si="49"/>
        <v/>
      </c>
    </row>
    <row r="385" spans="1:54" s="15" customFormat="1" ht="17.100000000000001" hidden="1" customHeight="1" x14ac:dyDescent="0.25">
      <c r="A385" s="167"/>
      <c r="B385" s="170"/>
      <c r="C385" s="173"/>
      <c r="D385" s="176"/>
      <c r="E385" s="110" t="str">
        <f t="shared" si="50"/>
        <v>Lubbock 34</v>
      </c>
      <c r="F385" s="111" t="s">
        <v>133</v>
      </c>
      <c r="G385" s="112" t="str">
        <f t="shared" si="55"/>
        <v>CP284-Referral</v>
      </c>
      <c r="H385" s="179"/>
      <c r="I385" s="79" t="s">
        <v>34</v>
      </c>
      <c r="J385" s="49">
        <v>50</v>
      </c>
      <c r="K385" s="49">
        <v>50</v>
      </c>
      <c r="L385" s="50" t="s">
        <v>32</v>
      </c>
      <c r="M385" s="51" t="s">
        <v>32</v>
      </c>
      <c r="N385" s="49" t="s">
        <v>32</v>
      </c>
      <c r="O385" s="49">
        <v>50</v>
      </c>
      <c r="P385" s="49">
        <v>50</v>
      </c>
      <c r="Q385" s="49">
        <v>50</v>
      </c>
      <c r="R385" s="113"/>
      <c r="S385" s="117" t="str">
        <f t="shared" si="48"/>
        <v>N</v>
      </c>
      <c r="T385" s="114">
        <f>IFERROR(SUMIF('Current NLData'!A:A,'Payment Changes'!G385,'Current NLData'!K:K)/COUNTIF('Current NLData'!A:A,'Payment Changes'!G385),0)+IFERROR(VLOOKUP(G385&amp;"-ALL",NLPaymentExport,10,FALSE),0)</f>
        <v>0</v>
      </c>
      <c r="U385" s="118" t="str">
        <f t="shared" si="49"/>
        <v/>
      </c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</row>
    <row r="386" spans="1:54" ht="17.100000000000001" hidden="1" customHeight="1" outlineLevel="1" x14ac:dyDescent="0.25">
      <c r="A386" s="3"/>
      <c r="C386" s="4"/>
      <c r="D386" s="180" t="s">
        <v>133</v>
      </c>
      <c r="E386" s="91" t="str">
        <f t="shared" si="50"/>
        <v>Lubbock 34</v>
      </c>
      <c r="F386" s="93" t="str">
        <f t="shared" si="51"/>
        <v>CP284</v>
      </c>
      <c r="G386" s="99" t="str">
        <f t="shared" si="55"/>
        <v>CP284-NEW DONOR -1st</v>
      </c>
      <c r="H386" s="182" t="s">
        <v>36</v>
      </c>
      <c r="I386" s="33" t="s">
        <v>37</v>
      </c>
      <c r="J386" s="60">
        <v>70</v>
      </c>
      <c r="K386" s="60">
        <f>J386</f>
        <v>70</v>
      </c>
      <c r="L386" s="60">
        <v>64</v>
      </c>
      <c r="M386" s="60">
        <v>64</v>
      </c>
      <c r="N386" s="60">
        <v>64</v>
      </c>
      <c r="O386" s="60">
        <v>64</v>
      </c>
      <c r="P386" s="60">
        <v>64</v>
      </c>
      <c r="Q386" s="60">
        <v>64</v>
      </c>
      <c r="R386" s="22"/>
      <c r="S386" s="117" t="str">
        <f t="shared" si="48"/>
        <v>N</v>
      </c>
      <c r="T386" s="114">
        <f>IFERROR(SUMIF('Current NLData'!A:A,'Payment Changes'!G386,'Current NLData'!K:K)/COUNTIF('Current NLData'!A:A,'Payment Changes'!G386),0)+IFERROR(VLOOKUP(G386&amp;"-ALL",NLPaymentExport,10,FALSE),0)</f>
        <v>64</v>
      </c>
      <c r="U386" s="118">
        <f t="shared" si="49"/>
        <v>0</v>
      </c>
    </row>
    <row r="387" spans="1:54" ht="17.100000000000001" hidden="1" customHeight="1" outlineLevel="1" x14ac:dyDescent="0.25">
      <c r="A387" s="3"/>
      <c r="C387" s="4"/>
      <c r="D387" s="181"/>
      <c r="E387" s="91" t="str">
        <f t="shared" si="50"/>
        <v>Lubbock 34</v>
      </c>
      <c r="F387" s="93" t="str">
        <f t="shared" si="51"/>
        <v>CP284</v>
      </c>
      <c r="G387" s="99" t="str">
        <f t="shared" si="55"/>
        <v>CP284-NEW DONOR -2nd</v>
      </c>
      <c r="H387" s="182"/>
      <c r="I387" s="34" t="s">
        <v>38</v>
      </c>
      <c r="J387" s="58">
        <v>70</v>
      </c>
      <c r="K387" s="58">
        <f>J387</f>
        <v>70</v>
      </c>
      <c r="L387" s="58">
        <v>64</v>
      </c>
      <c r="M387" s="58">
        <v>64</v>
      </c>
      <c r="N387" s="58">
        <v>64</v>
      </c>
      <c r="O387" s="58">
        <v>64</v>
      </c>
      <c r="P387" s="58">
        <v>64</v>
      </c>
      <c r="Q387" s="58">
        <v>64</v>
      </c>
      <c r="R387" s="22"/>
      <c r="S387" s="117" t="str">
        <f t="shared" ref="S387:S450" si="56">IF(P387=Q387,"N","Y")</f>
        <v>N</v>
      </c>
      <c r="T387" s="114">
        <f>IFERROR(SUMIF('Current NLData'!A:A,'Payment Changes'!G387,'Current NLData'!K:K)/COUNTIF('Current NLData'!A:A,'Payment Changes'!G387),0)+IFERROR(VLOOKUP(G387&amp;"-ALL",NLPaymentExport,10,FALSE),0)</f>
        <v>64</v>
      </c>
      <c r="U387" s="118">
        <f t="shared" si="49"/>
        <v>0</v>
      </c>
    </row>
    <row r="388" spans="1:54" ht="17.100000000000001" hidden="1" customHeight="1" outlineLevel="1" x14ac:dyDescent="0.25">
      <c r="A388" s="3"/>
      <c r="C388" s="4"/>
      <c r="D388" s="181"/>
      <c r="E388" s="91" t="str">
        <f t="shared" si="50"/>
        <v>Lubbock 34</v>
      </c>
      <c r="F388" s="93" t="str">
        <f t="shared" si="51"/>
        <v>CP284</v>
      </c>
      <c r="G388" s="99" t="str">
        <f t="shared" si="55"/>
        <v>CP284-NEW DONOR -3rd</v>
      </c>
      <c r="H388" s="182"/>
      <c r="I388" s="34" t="s">
        <v>39</v>
      </c>
      <c r="J388" s="58">
        <v>70</v>
      </c>
      <c r="K388" s="58">
        <f t="shared" ref="K388:K392" si="57">J388</f>
        <v>70</v>
      </c>
      <c r="L388" s="58">
        <v>64</v>
      </c>
      <c r="M388" s="58">
        <v>64</v>
      </c>
      <c r="N388" s="58">
        <v>64</v>
      </c>
      <c r="O388" s="58">
        <v>64</v>
      </c>
      <c r="P388" s="58">
        <v>64</v>
      </c>
      <c r="Q388" s="58">
        <v>64</v>
      </c>
      <c r="R388" s="22"/>
      <c r="S388" s="117" t="str">
        <f t="shared" si="56"/>
        <v>N</v>
      </c>
      <c r="T388" s="114">
        <f>IFERROR(SUMIF('Current NLData'!A:A,'Payment Changes'!G388,'Current NLData'!K:K)/COUNTIF('Current NLData'!A:A,'Payment Changes'!G388),0)+IFERROR(VLOOKUP(G388&amp;"-ALL",NLPaymentExport,10,FALSE),0)</f>
        <v>64</v>
      </c>
      <c r="U388" s="118">
        <f t="shared" si="49"/>
        <v>0</v>
      </c>
    </row>
    <row r="389" spans="1:54" ht="17.100000000000001" hidden="1" customHeight="1" outlineLevel="1" x14ac:dyDescent="0.25">
      <c r="A389" s="3"/>
      <c r="C389" s="4"/>
      <c r="D389" s="181"/>
      <c r="E389" s="91" t="str">
        <f t="shared" si="50"/>
        <v>Lubbock 34</v>
      </c>
      <c r="F389" s="93" t="str">
        <f t="shared" si="51"/>
        <v>CP284</v>
      </c>
      <c r="G389" s="99" t="str">
        <f t="shared" si="55"/>
        <v>CP284-NEW DONOR -4th</v>
      </c>
      <c r="H389" s="182"/>
      <c r="I389" s="34" t="s">
        <v>40</v>
      </c>
      <c r="J389" s="58">
        <v>70</v>
      </c>
      <c r="K389" s="58">
        <f t="shared" si="57"/>
        <v>70</v>
      </c>
      <c r="L389" s="58">
        <v>64</v>
      </c>
      <c r="M389" s="58">
        <v>64</v>
      </c>
      <c r="N389" s="58">
        <v>64</v>
      </c>
      <c r="O389" s="58">
        <v>64</v>
      </c>
      <c r="P389" s="58">
        <v>64</v>
      </c>
      <c r="Q389" s="58">
        <v>64</v>
      </c>
      <c r="R389" s="22"/>
      <c r="S389" s="117" t="str">
        <f t="shared" si="56"/>
        <v>N</v>
      </c>
      <c r="T389" s="114">
        <f>IFERROR(SUMIF('Current NLData'!A:A,'Payment Changes'!G389,'Current NLData'!K:K)/COUNTIF('Current NLData'!A:A,'Payment Changes'!G389),0)+IFERROR(VLOOKUP(G389&amp;"-ALL",NLPaymentExport,10,FALSE),0)</f>
        <v>64</v>
      </c>
      <c r="U389" s="118">
        <f t="shared" si="49"/>
        <v>0</v>
      </c>
    </row>
    <row r="390" spans="1:54" ht="17.100000000000001" hidden="1" customHeight="1" outlineLevel="1" x14ac:dyDescent="0.25">
      <c r="A390" s="3"/>
      <c r="C390" s="4"/>
      <c r="D390" s="181"/>
      <c r="E390" s="91" t="str">
        <f t="shared" si="50"/>
        <v>Lubbock 34</v>
      </c>
      <c r="F390" s="93" t="str">
        <f t="shared" si="51"/>
        <v>CP284</v>
      </c>
      <c r="G390" s="99" t="str">
        <f t="shared" si="55"/>
        <v>CP284-NEW DONOR -5th</v>
      </c>
      <c r="H390" s="182"/>
      <c r="I390" s="34" t="s">
        <v>41</v>
      </c>
      <c r="J390" s="58">
        <v>70</v>
      </c>
      <c r="K390" s="58">
        <f t="shared" si="57"/>
        <v>70</v>
      </c>
      <c r="L390" s="58">
        <v>64</v>
      </c>
      <c r="M390" s="58">
        <v>64</v>
      </c>
      <c r="N390" s="58">
        <v>64</v>
      </c>
      <c r="O390" s="58">
        <v>64</v>
      </c>
      <c r="P390" s="58">
        <v>64</v>
      </c>
      <c r="Q390" s="58">
        <v>64</v>
      </c>
      <c r="R390" s="22"/>
      <c r="S390" s="117" t="str">
        <f t="shared" si="56"/>
        <v>N</v>
      </c>
      <c r="T390" s="114">
        <f>IFERROR(SUMIF('Current NLData'!A:A,'Payment Changes'!G390,'Current NLData'!K:K)/COUNTIF('Current NLData'!A:A,'Payment Changes'!G390),0)+IFERROR(VLOOKUP(G390&amp;"-ALL",NLPaymentExport,10,FALSE),0)</f>
        <v>64</v>
      </c>
      <c r="U390" s="118">
        <f t="shared" si="49"/>
        <v>0</v>
      </c>
    </row>
    <row r="391" spans="1:54" ht="17.100000000000001" hidden="1" customHeight="1" outlineLevel="1" x14ac:dyDescent="0.25">
      <c r="A391" s="3"/>
      <c r="C391" s="4"/>
      <c r="D391" s="181"/>
      <c r="E391" s="91" t="str">
        <f t="shared" si="50"/>
        <v>Lubbock 34</v>
      </c>
      <c r="F391" s="93" t="str">
        <f t="shared" si="51"/>
        <v>CP284</v>
      </c>
      <c r="G391" s="99" t="str">
        <f t="shared" si="55"/>
        <v>CP284-NEW DONOR -6th</v>
      </c>
      <c r="H391" s="182"/>
      <c r="I391" s="34" t="s">
        <v>42</v>
      </c>
      <c r="J391" s="58">
        <v>70</v>
      </c>
      <c r="K391" s="58">
        <f t="shared" si="57"/>
        <v>70</v>
      </c>
      <c r="L391" s="58">
        <v>64</v>
      </c>
      <c r="M391" s="58">
        <v>64</v>
      </c>
      <c r="N391" s="58">
        <v>64</v>
      </c>
      <c r="O391" s="58">
        <v>64</v>
      </c>
      <c r="P391" s="58">
        <v>64</v>
      </c>
      <c r="Q391" s="58">
        <v>64</v>
      </c>
      <c r="R391" s="22"/>
      <c r="S391" s="117" t="str">
        <f t="shared" si="56"/>
        <v>N</v>
      </c>
      <c r="T391" s="114">
        <f>IFERROR(SUMIF('Current NLData'!A:A,'Payment Changes'!G391,'Current NLData'!K:K)/COUNTIF('Current NLData'!A:A,'Payment Changes'!G391),0)+IFERROR(VLOOKUP(G391&amp;"-ALL",NLPaymentExport,10,FALSE),0)</f>
        <v>64</v>
      </c>
      <c r="U391" s="118">
        <f t="shared" ref="U391:U454" si="58">IF(OR(I391 = "New Donor", I391="Return Donor", I391="Retention Bonus", I391="Referral", I391 = ""),"",T391-Q391 )</f>
        <v>0</v>
      </c>
    </row>
    <row r="392" spans="1:54" ht="17.100000000000001" hidden="1" customHeight="1" outlineLevel="1" x14ac:dyDescent="0.25">
      <c r="A392" s="3"/>
      <c r="C392" s="4"/>
      <c r="D392" s="181"/>
      <c r="E392" s="91" t="str">
        <f t="shared" ref="E392:E455" si="59">IF(B392 = "",E391,B392)</f>
        <v>Lubbock 34</v>
      </c>
      <c r="F392" s="93" t="str">
        <f t="shared" ref="F392:F455" si="60">IF(D392 = "",F391,D392)</f>
        <v>CP284</v>
      </c>
      <c r="G392" s="99" t="str">
        <f t="shared" si="55"/>
        <v>CP284-NEW DONOR -7th</v>
      </c>
      <c r="H392" s="182"/>
      <c r="I392" s="34" t="s">
        <v>43</v>
      </c>
      <c r="J392" s="58">
        <v>70</v>
      </c>
      <c r="K392" s="58">
        <f t="shared" si="57"/>
        <v>70</v>
      </c>
      <c r="L392" s="58">
        <v>64</v>
      </c>
      <c r="M392" s="58">
        <v>64</v>
      </c>
      <c r="N392" s="58">
        <v>64</v>
      </c>
      <c r="O392" s="58">
        <v>64</v>
      </c>
      <c r="P392" s="58">
        <v>64</v>
      </c>
      <c r="Q392" s="58">
        <v>64</v>
      </c>
      <c r="R392" s="22"/>
      <c r="S392" s="117" t="str">
        <f t="shared" si="56"/>
        <v>N</v>
      </c>
      <c r="T392" s="114">
        <f>IFERROR(SUMIF('Current NLData'!A:A,'Payment Changes'!G392,'Current NLData'!K:K)/COUNTIF('Current NLData'!A:A,'Payment Changes'!G392),0)+IFERROR(VLOOKUP(G392&amp;"-ALL",NLPaymentExport,10,FALSE),0)</f>
        <v>64</v>
      </c>
      <c r="U392" s="118">
        <f t="shared" si="58"/>
        <v>0</v>
      </c>
    </row>
    <row r="393" spans="1:54" ht="17.100000000000001" hidden="1" customHeight="1" outlineLevel="1" x14ac:dyDescent="0.25">
      <c r="A393" s="3"/>
      <c r="C393" s="4"/>
      <c r="D393" s="181"/>
      <c r="E393" s="91" t="str">
        <f t="shared" si="59"/>
        <v>Lubbock 34</v>
      </c>
      <c r="F393" s="93" t="str">
        <f t="shared" si="60"/>
        <v>CP284</v>
      </c>
      <c r="G393" s="99" t="str">
        <f t="shared" si="55"/>
        <v>CP284-NEW DONOR -8th</v>
      </c>
      <c r="H393" s="182"/>
      <c r="I393" s="35" t="s">
        <v>44</v>
      </c>
      <c r="J393" s="63">
        <v>70</v>
      </c>
      <c r="K393" s="63">
        <f>J393</f>
        <v>70</v>
      </c>
      <c r="L393" s="63">
        <v>64</v>
      </c>
      <c r="M393" s="63">
        <v>64</v>
      </c>
      <c r="N393" s="63">
        <v>64</v>
      </c>
      <c r="O393" s="63">
        <v>64</v>
      </c>
      <c r="P393" s="63">
        <v>64</v>
      </c>
      <c r="Q393" s="63">
        <v>64</v>
      </c>
      <c r="R393" s="22"/>
      <c r="S393" s="117" t="str">
        <f t="shared" si="56"/>
        <v>N</v>
      </c>
      <c r="T393" s="114">
        <f>IFERROR(SUMIF('Current NLData'!A:A,'Payment Changes'!G393,'Current NLData'!K:K)/COUNTIF('Current NLData'!A:A,'Payment Changes'!G393),0)+IFERROR(VLOOKUP(G393&amp;"-ALL",NLPaymentExport,10,FALSE),0)</f>
        <v>64</v>
      </c>
      <c r="U393" s="118">
        <f t="shared" si="58"/>
        <v>0</v>
      </c>
    </row>
    <row r="394" spans="1:54" ht="17.100000000000001" hidden="1" customHeight="1" outlineLevel="1" x14ac:dyDescent="0.25">
      <c r="A394" s="3"/>
      <c r="C394" s="4"/>
      <c r="D394" s="181"/>
      <c r="E394" s="91" t="str">
        <f t="shared" si="59"/>
        <v>Lubbock 34</v>
      </c>
      <c r="F394" s="93" t="str">
        <f t="shared" si="60"/>
        <v>CP284</v>
      </c>
      <c r="G394" s="99" t="str">
        <f t="shared" si="55"/>
        <v>CP284-RETURN - 1st don of the week -STD</v>
      </c>
      <c r="H394" s="182"/>
      <c r="I394" s="36" t="s">
        <v>45</v>
      </c>
      <c r="J394" s="58">
        <v>70</v>
      </c>
      <c r="K394" s="58">
        <v>70</v>
      </c>
      <c r="L394" s="58">
        <v>64</v>
      </c>
      <c r="M394" s="58">
        <v>64</v>
      </c>
      <c r="N394" s="58">
        <v>64</v>
      </c>
      <c r="O394" s="58">
        <v>64</v>
      </c>
      <c r="P394" s="58">
        <v>64</v>
      </c>
      <c r="Q394" s="58">
        <v>64</v>
      </c>
      <c r="R394" s="22"/>
      <c r="S394" s="117" t="str">
        <f t="shared" si="56"/>
        <v>N</v>
      </c>
      <c r="T394" s="114">
        <f>IFERROR(SUMIF('Current NLData'!A:A,'Payment Changes'!G394,'Current NLData'!K:K)/COUNTIF('Current NLData'!A:A,'Payment Changes'!G394),0)+IFERROR(VLOOKUP(G394&amp;"-ALL",NLPaymentExport,10,FALSE),0)</f>
        <v>64</v>
      </c>
      <c r="U394" s="118">
        <f t="shared" si="58"/>
        <v>0</v>
      </c>
    </row>
    <row r="395" spans="1:54" ht="17.100000000000001" hidden="1" customHeight="1" outlineLevel="1" x14ac:dyDescent="0.25">
      <c r="A395" s="3"/>
      <c r="C395" s="4"/>
      <c r="D395" s="181"/>
      <c r="E395" s="91" t="str">
        <f t="shared" si="59"/>
        <v>Lubbock 34</v>
      </c>
      <c r="F395" s="93" t="str">
        <f t="shared" si="60"/>
        <v>CP284</v>
      </c>
      <c r="G395" s="99" t="str">
        <f t="shared" si="55"/>
        <v>CP284-RETURN - 2nd don of the week -BONUS</v>
      </c>
      <c r="H395" s="182"/>
      <c r="I395" s="36" t="s">
        <v>46</v>
      </c>
      <c r="J395" s="58">
        <v>0</v>
      </c>
      <c r="K395" s="58">
        <v>0</v>
      </c>
      <c r="L395" s="58">
        <v>6</v>
      </c>
      <c r="M395" s="58">
        <v>6</v>
      </c>
      <c r="N395" s="58">
        <v>6</v>
      </c>
      <c r="O395" s="58">
        <v>6</v>
      </c>
      <c r="P395" s="58">
        <v>6</v>
      </c>
      <c r="Q395" s="58">
        <v>6</v>
      </c>
      <c r="R395" s="22"/>
      <c r="S395" s="117" t="str">
        <f t="shared" si="56"/>
        <v>N</v>
      </c>
      <c r="T395" s="114">
        <f>IFERROR(SUMIF('Current NLData'!A:A,'Payment Changes'!G395,'Current NLData'!K:K)/COUNTIF('Current NLData'!A:A,'Payment Changes'!G395),0)+IFERROR(VLOOKUP(G395&amp;"-ALL",NLPaymentExport,10,FALSE),0)</f>
        <v>6</v>
      </c>
      <c r="U395" s="118">
        <f t="shared" si="58"/>
        <v>0</v>
      </c>
    </row>
    <row r="396" spans="1:54" ht="17.100000000000001" hidden="1" customHeight="1" outlineLevel="1" x14ac:dyDescent="0.25">
      <c r="A396" s="3"/>
      <c r="C396" s="4"/>
      <c r="D396" s="181"/>
      <c r="E396" s="91" t="str">
        <f t="shared" si="59"/>
        <v>Lubbock 34</v>
      </c>
      <c r="F396" s="93" t="str">
        <f t="shared" si="60"/>
        <v>CP284</v>
      </c>
      <c r="G396" s="99" t="str">
        <f t="shared" si="55"/>
        <v>CP284-RETURN - 5th don of the month -BONUS</v>
      </c>
      <c r="H396" s="182"/>
      <c r="I396" s="37" t="s">
        <v>47</v>
      </c>
      <c r="J396" s="65">
        <v>0</v>
      </c>
      <c r="K396" s="65">
        <v>0</v>
      </c>
      <c r="L396" s="65">
        <v>0</v>
      </c>
      <c r="M396" s="65">
        <v>0</v>
      </c>
      <c r="N396" s="65">
        <v>0</v>
      </c>
      <c r="O396" s="65">
        <v>0</v>
      </c>
      <c r="P396" s="65">
        <v>0</v>
      </c>
      <c r="Q396" s="65">
        <v>0</v>
      </c>
      <c r="R396" s="22"/>
      <c r="S396" s="117" t="str">
        <f t="shared" si="56"/>
        <v>N</v>
      </c>
      <c r="T396" s="114">
        <f>IFERROR(SUMIF('Current NLData'!A:A,'Payment Changes'!G396,'Current NLData'!K:K)/COUNTIF('Current NLData'!A:A,'Payment Changes'!G396),0)+IFERROR(VLOOKUP(G396&amp;"-ALL",NLPaymentExport,10,FALSE),0)</f>
        <v>0</v>
      </c>
      <c r="U396" s="118">
        <f t="shared" si="58"/>
        <v>0</v>
      </c>
    </row>
    <row r="397" spans="1:54" ht="17.100000000000001" hidden="1" customHeight="1" outlineLevel="1" x14ac:dyDescent="0.25">
      <c r="A397" s="3"/>
      <c r="C397" s="4"/>
      <c r="D397" s="181"/>
      <c r="E397" s="91" t="str">
        <f t="shared" si="59"/>
        <v>Lubbock 34</v>
      </c>
      <c r="F397" s="93" t="str">
        <f t="shared" si="60"/>
        <v>CP284</v>
      </c>
      <c r="G397" s="99" t="str">
        <f t="shared" si="55"/>
        <v>CP284-RETURN - 6th don of the month -BONUS</v>
      </c>
      <c r="H397" s="182"/>
      <c r="I397" s="38" t="s">
        <v>48</v>
      </c>
      <c r="J397" s="58">
        <v>0</v>
      </c>
      <c r="K397" s="58">
        <v>0</v>
      </c>
      <c r="L397" s="58">
        <v>0</v>
      </c>
      <c r="M397" s="58">
        <v>0</v>
      </c>
      <c r="N397" s="58">
        <v>0</v>
      </c>
      <c r="O397" s="58">
        <v>0</v>
      </c>
      <c r="P397" s="58">
        <v>0</v>
      </c>
      <c r="Q397" s="58">
        <v>0</v>
      </c>
      <c r="R397" s="22"/>
      <c r="S397" s="117" t="str">
        <f t="shared" si="56"/>
        <v>N</v>
      </c>
      <c r="T397" s="114">
        <f>IFERROR(SUMIF('Current NLData'!A:A,'Payment Changes'!G397,'Current NLData'!K:K)/COUNTIF('Current NLData'!A:A,'Payment Changes'!G397),0)+IFERROR(VLOOKUP(G397&amp;"-ALL",NLPaymentExport,10,FALSE),0)</f>
        <v>0</v>
      </c>
      <c r="U397" s="118">
        <f t="shared" si="58"/>
        <v>0</v>
      </c>
    </row>
    <row r="398" spans="1:54" ht="17.100000000000001" hidden="1" customHeight="1" outlineLevel="1" x14ac:dyDescent="0.25">
      <c r="A398" s="3"/>
      <c r="C398" s="4"/>
      <c r="D398" s="181"/>
      <c r="E398" s="91" t="str">
        <f t="shared" si="59"/>
        <v>Lubbock 34</v>
      </c>
      <c r="F398" s="93" t="str">
        <f t="shared" si="60"/>
        <v>CP284</v>
      </c>
      <c r="G398" s="99" t="str">
        <f t="shared" si="55"/>
        <v>CP284-RETURN - 7th don of the month -BONUS</v>
      </c>
      <c r="H398" s="182"/>
      <c r="I398" s="38" t="s">
        <v>49</v>
      </c>
      <c r="J398" s="58">
        <v>0</v>
      </c>
      <c r="K398" s="58">
        <v>0</v>
      </c>
      <c r="L398" s="58">
        <v>0</v>
      </c>
      <c r="M398" s="58">
        <v>0</v>
      </c>
      <c r="N398" s="58">
        <v>0</v>
      </c>
      <c r="O398" s="58">
        <v>0</v>
      </c>
      <c r="P398" s="58">
        <v>0</v>
      </c>
      <c r="Q398" s="58">
        <v>0</v>
      </c>
      <c r="R398" s="22"/>
      <c r="S398" s="117" t="str">
        <f t="shared" si="56"/>
        <v>N</v>
      </c>
      <c r="T398" s="114">
        <f>IFERROR(SUMIF('Current NLData'!A:A,'Payment Changes'!G398,'Current NLData'!K:K)/COUNTIF('Current NLData'!A:A,'Payment Changes'!G398),0)+IFERROR(VLOOKUP(G398&amp;"-ALL",NLPaymentExport,10,FALSE),0)</f>
        <v>0</v>
      </c>
      <c r="U398" s="118">
        <f t="shared" si="58"/>
        <v>0</v>
      </c>
    </row>
    <row r="399" spans="1:54" ht="17.100000000000001" hidden="1" customHeight="1" outlineLevel="1" x14ac:dyDescent="0.25">
      <c r="A399" s="3"/>
      <c r="C399" s="4"/>
      <c r="D399" s="181"/>
      <c r="E399" s="91" t="str">
        <f t="shared" si="59"/>
        <v>Lubbock 34</v>
      </c>
      <c r="F399" s="93" t="str">
        <f t="shared" si="60"/>
        <v>CP284</v>
      </c>
      <c r="G399" s="99" t="str">
        <f t="shared" si="55"/>
        <v>CP284-RETURN - 8th don of the month -BONUS</v>
      </c>
      <c r="H399" s="182"/>
      <c r="I399" s="38" t="s">
        <v>50</v>
      </c>
      <c r="J399" s="58">
        <v>35</v>
      </c>
      <c r="K399" s="58">
        <f>J399</f>
        <v>35</v>
      </c>
      <c r="L399" s="58">
        <v>0</v>
      </c>
      <c r="M399" s="58">
        <v>0</v>
      </c>
      <c r="N399" s="58">
        <v>0</v>
      </c>
      <c r="O399" s="58">
        <v>0</v>
      </c>
      <c r="P399" s="58">
        <v>0</v>
      </c>
      <c r="Q399" s="58">
        <v>0</v>
      </c>
      <c r="R399" s="22"/>
      <c r="S399" s="117" t="str">
        <f t="shared" si="56"/>
        <v>N</v>
      </c>
      <c r="T399" s="114">
        <f>IFERROR(SUMIF('Current NLData'!A:A,'Payment Changes'!G399,'Current NLData'!K:K)/COUNTIF('Current NLData'!A:A,'Payment Changes'!G399),0)+IFERROR(VLOOKUP(G399&amp;"-ALL",NLPaymentExport,10,FALSE),0)</f>
        <v>0</v>
      </c>
      <c r="U399" s="118">
        <f t="shared" si="58"/>
        <v>0</v>
      </c>
    </row>
    <row r="400" spans="1:54" ht="17.100000000000001" hidden="1" customHeight="1" outlineLevel="1" x14ac:dyDescent="0.25">
      <c r="A400" s="3"/>
      <c r="C400" s="4" t="str">
        <f>IF(J400=0,"Warning","")</f>
        <v/>
      </c>
      <c r="D400" s="181"/>
      <c r="E400" s="91" t="str">
        <f t="shared" si="59"/>
        <v>Lubbock 34</v>
      </c>
      <c r="F400" s="93" t="str">
        <f t="shared" si="60"/>
        <v>CP284</v>
      </c>
      <c r="G400" s="99" t="str">
        <f t="shared" si="55"/>
        <v>CP284-RETURN - Buddy referral  -BONUS</v>
      </c>
      <c r="H400" s="182"/>
      <c r="I400" s="39" t="s">
        <v>51</v>
      </c>
      <c r="J400" s="58">
        <v>50</v>
      </c>
      <c r="K400" s="58">
        <v>50</v>
      </c>
      <c r="L400" s="58">
        <v>0</v>
      </c>
      <c r="M400" s="58">
        <v>0</v>
      </c>
      <c r="N400" s="58">
        <v>0</v>
      </c>
      <c r="O400" s="58">
        <v>50</v>
      </c>
      <c r="P400" s="58">
        <v>50</v>
      </c>
      <c r="Q400" s="58">
        <v>50</v>
      </c>
      <c r="R400" s="22"/>
      <c r="S400" s="117" t="str">
        <f t="shared" si="56"/>
        <v>N</v>
      </c>
      <c r="T400" s="114">
        <f>IFERROR(SUMIF('Current NLData'!A:A,'Payment Changes'!G400,'Current NLData'!K:K)/COUNTIF('Current NLData'!A:A,'Payment Changes'!G400),0)+IFERROR(VLOOKUP(G400&amp;"-ALL",NLPaymentExport,10,FALSE),0)</f>
        <v>50</v>
      </c>
      <c r="U400" s="118">
        <f t="shared" si="58"/>
        <v>0</v>
      </c>
    </row>
    <row r="401" spans="1:54" s="90" customFormat="1" ht="17.100000000000001" hidden="1" customHeight="1" collapsed="1" x14ac:dyDescent="0.35">
      <c r="A401" s="85"/>
      <c r="B401" s="85"/>
      <c r="C401" s="86"/>
      <c r="D401" s="87"/>
      <c r="E401" s="87"/>
      <c r="F401" s="87"/>
      <c r="G401" s="87"/>
      <c r="H401" s="96"/>
      <c r="I401" s="88"/>
      <c r="J401" s="89"/>
      <c r="K401" s="89"/>
      <c r="L401" s="89"/>
      <c r="M401" s="89"/>
      <c r="N401" s="89"/>
      <c r="O401" s="89"/>
      <c r="P401" s="89"/>
      <c r="Q401" s="89"/>
      <c r="R401" s="21"/>
      <c r="S401" s="117" t="str">
        <f t="shared" si="56"/>
        <v>N</v>
      </c>
      <c r="T401" s="114">
        <f>IFERROR(SUMIF('Current NLData'!A:A,'Payment Changes'!G401,'Current NLData'!K:K)/COUNTIF('Current NLData'!A:A,'Payment Changes'!G401),0)+IFERROR(VLOOKUP(G401&amp;"-ALL",NLPaymentExport,10,FALSE),0)</f>
        <v>0</v>
      </c>
      <c r="U401" s="118" t="str">
        <f t="shared" si="58"/>
        <v/>
      </c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</row>
    <row r="402" spans="1:54" s="10" customFormat="1" ht="17.100000000000001" hidden="1" customHeight="1" x14ac:dyDescent="0.25">
      <c r="A402" s="165">
        <v>21</v>
      </c>
      <c r="B402" s="168" t="s">
        <v>135</v>
      </c>
      <c r="C402" s="171" t="s">
        <v>19</v>
      </c>
      <c r="D402" s="174" t="s">
        <v>57</v>
      </c>
      <c r="E402" s="106" t="str">
        <f t="shared" si="59"/>
        <v>Copperas Cove</v>
      </c>
      <c r="F402" s="107" t="s">
        <v>136</v>
      </c>
      <c r="G402" s="108" t="str">
        <f t="shared" ref="G402:G420" si="61">F402&amp;"-"&amp;I402</f>
        <v>CP184-New Donor</v>
      </c>
      <c r="H402" s="177" t="s">
        <v>75</v>
      </c>
      <c r="I402" s="76" t="s">
        <v>23</v>
      </c>
      <c r="J402" s="40" t="s">
        <v>24</v>
      </c>
      <c r="K402" s="41" t="s">
        <v>25</v>
      </c>
      <c r="L402" s="127" t="s">
        <v>24</v>
      </c>
      <c r="M402" s="123" t="s">
        <v>94</v>
      </c>
      <c r="N402" s="141" t="s">
        <v>94</v>
      </c>
      <c r="O402" s="141" t="s">
        <v>94</v>
      </c>
      <c r="P402" s="141" t="s">
        <v>94</v>
      </c>
      <c r="Q402" s="141" t="s">
        <v>137</v>
      </c>
      <c r="R402" s="109"/>
      <c r="S402" s="117" t="str">
        <f t="shared" si="56"/>
        <v>Y</v>
      </c>
      <c r="T402" s="114">
        <f>IFERROR(SUMIF('Current NLData'!A:A,'Payment Changes'!G402,'Current NLData'!K:K)/COUNTIF('Current NLData'!A:A,'Payment Changes'!G402),0)+IFERROR(VLOOKUP(G402&amp;"-ALL",NLPaymentExport,10,FALSE),0)</f>
        <v>0</v>
      </c>
      <c r="U402" s="118" t="str">
        <f t="shared" si="58"/>
        <v/>
      </c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</row>
    <row r="403" spans="1:54" ht="17.100000000000001" hidden="1" customHeight="1" x14ac:dyDescent="0.25">
      <c r="A403" s="166"/>
      <c r="B403" s="169"/>
      <c r="C403" s="172"/>
      <c r="D403" s="175"/>
      <c r="E403" s="91" t="str">
        <f t="shared" si="59"/>
        <v>Copperas Cove</v>
      </c>
      <c r="F403" s="92" t="s">
        <v>136</v>
      </c>
      <c r="G403" s="98" t="str">
        <f t="shared" si="61"/>
        <v>CP184-Return Donor</v>
      </c>
      <c r="H403" s="178"/>
      <c r="I403" s="77" t="s">
        <v>29</v>
      </c>
      <c r="J403" s="43" t="s">
        <v>24</v>
      </c>
      <c r="K403" s="43" t="s">
        <v>24</v>
      </c>
      <c r="L403" s="128" t="s">
        <v>24</v>
      </c>
      <c r="M403" s="124" t="s">
        <v>94</v>
      </c>
      <c r="N403" s="142" t="s">
        <v>94</v>
      </c>
      <c r="O403" s="142" t="s">
        <v>94</v>
      </c>
      <c r="P403" s="142" t="s">
        <v>94</v>
      </c>
      <c r="Q403" s="142" t="s">
        <v>76</v>
      </c>
      <c r="R403" s="21"/>
      <c r="S403" s="117" t="str">
        <f t="shared" si="56"/>
        <v>Y</v>
      </c>
      <c r="T403" s="114">
        <f>IFERROR(SUMIF('Current NLData'!A:A,'Payment Changes'!G403,'Current NLData'!K:K)/COUNTIF('Current NLData'!A:A,'Payment Changes'!G403),0)+IFERROR(VLOOKUP(G403&amp;"-ALL",NLPaymentExport,10,FALSE),0)</f>
        <v>0</v>
      </c>
      <c r="U403" s="118" t="str">
        <f t="shared" si="58"/>
        <v/>
      </c>
    </row>
    <row r="404" spans="1:54" ht="17.100000000000001" hidden="1" customHeight="1" x14ac:dyDescent="0.25">
      <c r="A404" s="166"/>
      <c r="B404" s="169"/>
      <c r="C404" s="172"/>
      <c r="D404" s="175"/>
      <c r="E404" s="91" t="str">
        <f t="shared" si="59"/>
        <v>Copperas Cove</v>
      </c>
      <c r="F404" s="92" t="s">
        <v>136</v>
      </c>
      <c r="G404" s="98" t="str">
        <f t="shared" si="61"/>
        <v>CP184-Retention Bonus</v>
      </c>
      <c r="H404" s="178"/>
      <c r="I404" s="78" t="s">
        <v>30</v>
      </c>
      <c r="J404" s="46" t="s">
        <v>31</v>
      </c>
      <c r="K404" s="46" t="s">
        <v>31</v>
      </c>
      <c r="L404" s="129" t="s">
        <v>32</v>
      </c>
      <c r="M404" s="125" t="s">
        <v>33</v>
      </c>
      <c r="N404" s="143" t="s">
        <v>33</v>
      </c>
      <c r="O404" s="143" t="s">
        <v>33</v>
      </c>
      <c r="P404" s="143" t="s">
        <v>33</v>
      </c>
      <c r="Q404" s="143" t="s">
        <v>33</v>
      </c>
      <c r="R404" s="21"/>
      <c r="S404" s="117" t="str">
        <f t="shared" si="56"/>
        <v>N</v>
      </c>
      <c r="T404" s="114">
        <f>IFERROR(SUMIF('Current NLData'!A:A,'Payment Changes'!G404,'Current NLData'!K:K)/COUNTIF('Current NLData'!A:A,'Payment Changes'!G404),0)+IFERROR(VLOOKUP(G404&amp;"-ALL",NLPaymentExport,10,FALSE),0)</f>
        <v>0</v>
      </c>
      <c r="U404" s="118" t="str">
        <f t="shared" si="58"/>
        <v/>
      </c>
    </row>
    <row r="405" spans="1:54" s="15" customFormat="1" ht="17.100000000000001" hidden="1" customHeight="1" x14ac:dyDescent="0.25">
      <c r="A405" s="167"/>
      <c r="B405" s="170"/>
      <c r="C405" s="173"/>
      <c r="D405" s="176"/>
      <c r="E405" s="110" t="str">
        <f t="shared" si="59"/>
        <v>Copperas Cove</v>
      </c>
      <c r="F405" s="111" t="s">
        <v>136</v>
      </c>
      <c r="G405" s="112" t="str">
        <f t="shared" si="61"/>
        <v>CP184-Referral</v>
      </c>
      <c r="H405" s="179"/>
      <c r="I405" s="79" t="s">
        <v>34</v>
      </c>
      <c r="J405" s="49">
        <v>50</v>
      </c>
      <c r="K405" s="49">
        <v>50</v>
      </c>
      <c r="L405" s="130" t="s">
        <v>32</v>
      </c>
      <c r="M405" s="126" t="s">
        <v>35</v>
      </c>
      <c r="N405" s="144" t="s">
        <v>35</v>
      </c>
      <c r="O405" s="144" t="s">
        <v>35</v>
      </c>
      <c r="P405" s="144" t="s">
        <v>35</v>
      </c>
      <c r="Q405" s="144" t="s">
        <v>35</v>
      </c>
      <c r="R405" s="113"/>
      <c r="S405" s="117" t="str">
        <f t="shared" si="56"/>
        <v>N</v>
      </c>
      <c r="T405" s="114">
        <f>IFERROR(SUMIF('Current NLData'!A:A,'Payment Changes'!G405,'Current NLData'!K:K)/COUNTIF('Current NLData'!A:A,'Payment Changes'!G405),0)+IFERROR(VLOOKUP(G405&amp;"-ALL",NLPaymentExport,10,FALSE),0)</f>
        <v>0</v>
      </c>
      <c r="U405" s="118" t="str">
        <f t="shared" si="58"/>
        <v/>
      </c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</row>
    <row r="406" spans="1:54" ht="17.100000000000001" hidden="1" customHeight="1" outlineLevel="1" x14ac:dyDescent="0.25">
      <c r="A406" s="3"/>
      <c r="C406" s="4"/>
      <c r="D406" s="180" t="s">
        <v>136</v>
      </c>
      <c r="E406" s="91" t="str">
        <f t="shared" si="59"/>
        <v>Copperas Cove</v>
      </c>
      <c r="F406" s="93" t="str">
        <f t="shared" si="60"/>
        <v>CP184</v>
      </c>
      <c r="G406" s="99" t="str">
        <f t="shared" si="61"/>
        <v>CP184-NEW DONOR -1st</v>
      </c>
      <c r="H406" s="182" t="s">
        <v>36</v>
      </c>
      <c r="I406" s="33" t="s">
        <v>37</v>
      </c>
      <c r="J406" s="60">
        <v>60</v>
      </c>
      <c r="K406" s="61">
        <f>J406</f>
        <v>60</v>
      </c>
      <c r="L406" s="60">
        <v>60</v>
      </c>
      <c r="M406" s="58">
        <v>60</v>
      </c>
      <c r="N406" s="58">
        <v>60</v>
      </c>
      <c r="O406" s="58">
        <v>60</v>
      </c>
      <c r="P406" s="58">
        <v>60</v>
      </c>
      <c r="Q406" s="58">
        <v>100</v>
      </c>
      <c r="R406" s="23"/>
      <c r="S406" s="117" t="str">
        <f t="shared" si="56"/>
        <v>Y</v>
      </c>
      <c r="T406" s="114">
        <f>IFERROR(SUMIF('Current NLData'!A:A,'Payment Changes'!G406,'Current NLData'!K:K)/COUNTIF('Current NLData'!A:A,'Payment Changes'!G406),0)+IFERROR(VLOOKUP(G406&amp;"-ALL",NLPaymentExport,10,FALSE),0)</f>
        <v>60</v>
      </c>
      <c r="U406" s="118">
        <f t="shared" si="58"/>
        <v>-40</v>
      </c>
    </row>
    <row r="407" spans="1:54" ht="17.100000000000001" hidden="1" customHeight="1" outlineLevel="1" x14ac:dyDescent="0.25">
      <c r="A407" s="3"/>
      <c r="C407" s="4"/>
      <c r="D407" s="181"/>
      <c r="E407" s="91" t="str">
        <f t="shared" si="59"/>
        <v>Copperas Cove</v>
      </c>
      <c r="F407" s="93" t="str">
        <f t="shared" si="60"/>
        <v>CP184</v>
      </c>
      <c r="G407" s="99" t="str">
        <f t="shared" si="61"/>
        <v>CP184-NEW DONOR -2nd</v>
      </c>
      <c r="H407" s="182"/>
      <c r="I407" s="34" t="s">
        <v>38</v>
      </c>
      <c r="J407" s="58">
        <v>60</v>
      </c>
      <c r="K407" s="62">
        <v>70</v>
      </c>
      <c r="L407" s="58">
        <v>60</v>
      </c>
      <c r="M407" s="58">
        <v>60</v>
      </c>
      <c r="N407" s="58">
        <v>60</v>
      </c>
      <c r="O407" s="58">
        <v>60</v>
      </c>
      <c r="P407" s="58">
        <v>60</v>
      </c>
      <c r="Q407" s="58">
        <v>100</v>
      </c>
      <c r="R407" s="23"/>
      <c r="S407" s="117" t="str">
        <f t="shared" si="56"/>
        <v>Y</v>
      </c>
      <c r="T407" s="114">
        <f>IFERROR(SUMIF('Current NLData'!A:A,'Payment Changes'!G407,'Current NLData'!K:K)/COUNTIF('Current NLData'!A:A,'Payment Changes'!G407),0)+IFERROR(VLOOKUP(G407&amp;"-ALL",NLPaymentExport,10,FALSE),0)</f>
        <v>60</v>
      </c>
      <c r="U407" s="118">
        <f t="shared" si="58"/>
        <v>-40</v>
      </c>
    </row>
    <row r="408" spans="1:54" ht="17.100000000000001" hidden="1" customHeight="1" outlineLevel="1" x14ac:dyDescent="0.25">
      <c r="A408" s="3"/>
      <c r="C408" s="4"/>
      <c r="D408" s="181"/>
      <c r="E408" s="91" t="str">
        <f t="shared" si="59"/>
        <v>Copperas Cove</v>
      </c>
      <c r="F408" s="93" t="str">
        <f t="shared" si="60"/>
        <v>CP184</v>
      </c>
      <c r="G408" s="99" t="str">
        <f t="shared" si="61"/>
        <v>CP184-NEW DONOR -3rd</v>
      </c>
      <c r="H408" s="182"/>
      <c r="I408" s="34" t="s">
        <v>39</v>
      </c>
      <c r="J408" s="58">
        <v>60</v>
      </c>
      <c r="K408" s="62">
        <f t="shared" ref="K408" si="62">J408</f>
        <v>60</v>
      </c>
      <c r="L408" s="58">
        <v>60</v>
      </c>
      <c r="M408" s="58">
        <v>60</v>
      </c>
      <c r="N408" s="58">
        <v>60</v>
      </c>
      <c r="O408" s="58">
        <v>60</v>
      </c>
      <c r="P408" s="58">
        <v>60</v>
      </c>
      <c r="Q408" s="58">
        <v>100</v>
      </c>
      <c r="R408" s="23"/>
      <c r="S408" s="117" t="str">
        <f t="shared" si="56"/>
        <v>Y</v>
      </c>
      <c r="T408" s="114">
        <f>IFERROR(SUMIF('Current NLData'!A:A,'Payment Changes'!G408,'Current NLData'!K:K)/COUNTIF('Current NLData'!A:A,'Payment Changes'!G408),0)+IFERROR(VLOOKUP(G408&amp;"-ALL",NLPaymentExport,10,FALSE),0)</f>
        <v>60</v>
      </c>
      <c r="U408" s="118">
        <f t="shared" si="58"/>
        <v>-40</v>
      </c>
    </row>
    <row r="409" spans="1:54" ht="17.100000000000001" hidden="1" customHeight="1" outlineLevel="1" x14ac:dyDescent="0.25">
      <c r="A409" s="3"/>
      <c r="C409" s="4"/>
      <c r="D409" s="181"/>
      <c r="E409" s="91" t="str">
        <f t="shared" si="59"/>
        <v>Copperas Cove</v>
      </c>
      <c r="F409" s="93" t="str">
        <f t="shared" si="60"/>
        <v>CP184</v>
      </c>
      <c r="G409" s="99" t="str">
        <f t="shared" si="61"/>
        <v>CP184-NEW DONOR -4th</v>
      </c>
      <c r="H409" s="182"/>
      <c r="I409" s="34" t="s">
        <v>40</v>
      </c>
      <c r="J409" s="58">
        <v>60</v>
      </c>
      <c r="K409" s="62">
        <v>70</v>
      </c>
      <c r="L409" s="58">
        <v>60</v>
      </c>
      <c r="M409" s="58">
        <v>60</v>
      </c>
      <c r="N409" s="58">
        <v>60</v>
      </c>
      <c r="O409" s="58">
        <v>60</v>
      </c>
      <c r="P409" s="58">
        <v>60</v>
      </c>
      <c r="Q409" s="58">
        <v>100</v>
      </c>
      <c r="R409" s="23"/>
      <c r="S409" s="117" t="str">
        <f t="shared" si="56"/>
        <v>Y</v>
      </c>
      <c r="T409" s="114">
        <f>IFERROR(SUMIF('Current NLData'!A:A,'Payment Changes'!G409,'Current NLData'!K:K)/COUNTIF('Current NLData'!A:A,'Payment Changes'!G409),0)+IFERROR(VLOOKUP(G409&amp;"-ALL",NLPaymentExport,10,FALSE),0)</f>
        <v>60</v>
      </c>
      <c r="U409" s="118">
        <f t="shared" si="58"/>
        <v>-40</v>
      </c>
    </row>
    <row r="410" spans="1:54" ht="17.100000000000001" hidden="1" customHeight="1" outlineLevel="1" x14ac:dyDescent="0.25">
      <c r="A410" s="3"/>
      <c r="C410" s="4"/>
      <c r="D410" s="181"/>
      <c r="E410" s="91" t="str">
        <f t="shared" si="59"/>
        <v>Copperas Cove</v>
      </c>
      <c r="F410" s="93" t="str">
        <f t="shared" si="60"/>
        <v>CP184</v>
      </c>
      <c r="G410" s="99" t="str">
        <f t="shared" si="61"/>
        <v>CP184-NEW DONOR -5th</v>
      </c>
      <c r="H410" s="182"/>
      <c r="I410" s="34" t="s">
        <v>41</v>
      </c>
      <c r="J410" s="58">
        <v>60</v>
      </c>
      <c r="K410" s="62">
        <f t="shared" ref="K410" si="63">J410</f>
        <v>60</v>
      </c>
      <c r="L410" s="58">
        <v>60</v>
      </c>
      <c r="M410" s="58">
        <v>60</v>
      </c>
      <c r="N410" s="58">
        <v>60</v>
      </c>
      <c r="O410" s="58">
        <v>60</v>
      </c>
      <c r="P410" s="58">
        <v>60</v>
      </c>
      <c r="Q410" s="58">
        <v>50</v>
      </c>
      <c r="R410" s="23"/>
      <c r="S410" s="117" t="str">
        <f t="shared" si="56"/>
        <v>Y</v>
      </c>
      <c r="T410" s="114">
        <f>IFERROR(SUMIF('Current NLData'!A:A,'Payment Changes'!G410,'Current NLData'!K:K)/COUNTIF('Current NLData'!A:A,'Payment Changes'!G410),0)+IFERROR(VLOOKUP(G410&amp;"-ALL",NLPaymentExport,10,FALSE),0)</f>
        <v>60</v>
      </c>
      <c r="U410" s="118">
        <f t="shared" si="58"/>
        <v>10</v>
      </c>
    </row>
    <row r="411" spans="1:54" ht="17.100000000000001" hidden="1" customHeight="1" outlineLevel="1" x14ac:dyDescent="0.25">
      <c r="A411" s="3"/>
      <c r="C411" s="4"/>
      <c r="D411" s="181"/>
      <c r="E411" s="91" t="str">
        <f t="shared" si="59"/>
        <v>Copperas Cove</v>
      </c>
      <c r="F411" s="93" t="str">
        <f t="shared" si="60"/>
        <v>CP184</v>
      </c>
      <c r="G411" s="99" t="str">
        <f t="shared" si="61"/>
        <v>CP184-NEW DONOR -6th</v>
      </c>
      <c r="H411" s="182"/>
      <c r="I411" s="34" t="s">
        <v>42</v>
      </c>
      <c r="J411" s="58">
        <v>60</v>
      </c>
      <c r="K411" s="62">
        <v>70</v>
      </c>
      <c r="L411" s="58">
        <v>60</v>
      </c>
      <c r="M411" s="58">
        <v>60</v>
      </c>
      <c r="N411" s="58">
        <v>60</v>
      </c>
      <c r="O411" s="58">
        <v>60</v>
      </c>
      <c r="P411" s="58">
        <v>60</v>
      </c>
      <c r="Q411" s="58">
        <v>50</v>
      </c>
      <c r="R411" s="23"/>
      <c r="S411" s="117" t="str">
        <f t="shared" si="56"/>
        <v>Y</v>
      </c>
      <c r="T411" s="114">
        <f>IFERROR(SUMIF('Current NLData'!A:A,'Payment Changes'!G411,'Current NLData'!K:K)/COUNTIF('Current NLData'!A:A,'Payment Changes'!G411),0)+IFERROR(VLOOKUP(G411&amp;"-ALL",NLPaymentExport,10,FALSE),0)</f>
        <v>60</v>
      </c>
      <c r="U411" s="118">
        <f t="shared" si="58"/>
        <v>10</v>
      </c>
    </row>
    <row r="412" spans="1:54" ht="17.100000000000001" hidden="1" customHeight="1" outlineLevel="1" x14ac:dyDescent="0.25">
      <c r="A412" s="3"/>
      <c r="C412" s="4"/>
      <c r="D412" s="181"/>
      <c r="E412" s="91" t="str">
        <f t="shared" si="59"/>
        <v>Copperas Cove</v>
      </c>
      <c r="F412" s="93" t="str">
        <f t="shared" si="60"/>
        <v>CP184</v>
      </c>
      <c r="G412" s="99" t="str">
        <f t="shared" si="61"/>
        <v>CP184-NEW DONOR -7th</v>
      </c>
      <c r="H412" s="182"/>
      <c r="I412" s="34" t="s">
        <v>43</v>
      </c>
      <c r="J412" s="58">
        <v>60</v>
      </c>
      <c r="K412" s="62">
        <f t="shared" ref="K412" si="64">J412</f>
        <v>60</v>
      </c>
      <c r="L412" s="58">
        <v>60</v>
      </c>
      <c r="M412" s="58">
        <v>60</v>
      </c>
      <c r="N412" s="58">
        <v>60</v>
      </c>
      <c r="O412" s="58">
        <v>60</v>
      </c>
      <c r="P412" s="58">
        <v>60</v>
      </c>
      <c r="Q412" s="58">
        <v>50</v>
      </c>
      <c r="R412" s="23"/>
      <c r="S412" s="117" t="str">
        <f t="shared" si="56"/>
        <v>Y</v>
      </c>
      <c r="T412" s="114">
        <f>IFERROR(SUMIF('Current NLData'!A:A,'Payment Changes'!G412,'Current NLData'!K:K)/COUNTIF('Current NLData'!A:A,'Payment Changes'!G412),0)+IFERROR(VLOOKUP(G412&amp;"-ALL",NLPaymentExport,10,FALSE),0)</f>
        <v>60</v>
      </c>
      <c r="U412" s="118">
        <f t="shared" si="58"/>
        <v>10</v>
      </c>
    </row>
    <row r="413" spans="1:54" ht="17.100000000000001" hidden="1" customHeight="1" outlineLevel="1" x14ac:dyDescent="0.25">
      <c r="A413" s="3"/>
      <c r="C413" s="4"/>
      <c r="D413" s="181"/>
      <c r="E413" s="91" t="str">
        <f t="shared" si="59"/>
        <v>Copperas Cove</v>
      </c>
      <c r="F413" s="93" t="str">
        <f t="shared" si="60"/>
        <v>CP184</v>
      </c>
      <c r="G413" s="99" t="str">
        <f t="shared" si="61"/>
        <v>CP184-NEW DONOR -8th</v>
      </c>
      <c r="H413" s="182"/>
      <c r="I413" s="35" t="s">
        <v>44</v>
      </c>
      <c r="J413" s="63">
        <v>60</v>
      </c>
      <c r="K413" s="64">
        <v>70</v>
      </c>
      <c r="L413" s="63">
        <v>60</v>
      </c>
      <c r="M413" s="63">
        <v>60</v>
      </c>
      <c r="N413" s="63">
        <v>60</v>
      </c>
      <c r="O413" s="63">
        <v>60</v>
      </c>
      <c r="P413" s="63">
        <v>60</v>
      </c>
      <c r="Q413" s="63">
        <v>50</v>
      </c>
      <c r="R413" s="23"/>
      <c r="S413" s="117" t="str">
        <f t="shared" si="56"/>
        <v>Y</v>
      </c>
      <c r="T413" s="114">
        <f>IFERROR(SUMIF('Current NLData'!A:A,'Payment Changes'!G413,'Current NLData'!K:K)/COUNTIF('Current NLData'!A:A,'Payment Changes'!G413),0)+IFERROR(VLOOKUP(G413&amp;"-ALL",NLPaymentExport,10,FALSE),0)</f>
        <v>60</v>
      </c>
      <c r="U413" s="118">
        <f t="shared" si="58"/>
        <v>10</v>
      </c>
    </row>
    <row r="414" spans="1:54" ht="17.100000000000001" hidden="1" customHeight="1" outlineLevel="1" x14ac:dyDescent="0.25">
      <c r="A414" s="3"/>
      <c r="C414" s="4"/>
      <c r="D414" s="181"/>
      <c r="E414" s="91" t="str">
        <f t="shared" si="59"/>
        <v>Copperas Cove</v>
      </c>
      <c r="F414" s="93" t="str">
        <f t="shared" si="60"/>
        <v>CP184</v>
      </c>
      <c r="G414" s="99" t="str">
        <f t="shared" si="61"/>
        <v>CP184-RETURN - 1st don of the week -STD</v>
      </c>
      <c r="H414" s="182"/>
      <c r="I414" s="36" t="s">
        <v>45</v>
      </c>
      <c r="J414" s="58">
        <v>60</v>
      </c>
      <c r="K414" s="58">
        <f>J414</f>
        <v>60</v>
      </c>
      <c r="L414" s="58">
        <v>60</v>
      </c>
      <c r="M414" s="58">
        <v>60</v>
      </c>
      <c r="N414" s="58">
        <v>60</v>
      </c>
      <c r="O414" s="58">
        <v>60</v>
      </c>
      <c r="P414" s="58">
        <v>60</v>
      </c>
      <c r="Q414" s="58">
        <v>50</v>
      </c>
      <c r="R414" s="22"/>
      <c r="S414" s="117" t="str">
        <f t="shared" si="56"/>
        <v>Y</v>
      </c>
      <c r="T414" s="114">
        <f>IFERROR(SUMIF('Current NLData'!A:A,'Payment Changes'!G414,'Current NLData'!K:K)/COUNTIF('Current NLData'!A:A,'Payment Changes'!G414),0)+IFERROR(VLOOKUP(G414&amp;"-ALL",NLPaymentExport,10,FALSE),0)</f>
        <v>60</v>
      </c>
      <c r="U414" s="118">
        <f t="shared" si="58"/>
        <v>10</v>
      </c>
    </row>
    <row r="415" spans="1:54" ht="17.100000000000001" hidden="1" customHeight="1" outlineLevel="1" x14ac:dyDescent="0.25">
      <c r="A415" s="3"/>
      <c r="C415" s="4"/>
      <c r="D415" s="181"/>
      <c r="E415" s="91" t="str">
        <f t="shared" si="59"/>
        <v>Copperas Cove</v>
      </c>
      <c r="F415" s="93" t="str">
        <f t="shared" si="60"/>
        <v>CP184</v>
      </c>
      <c r="G415" s="99" t="str">
        <f t="shared" si="61"/>
        <v>CP184-RETURN - 2nd don of the week -BONUS</v>
      </c>
      <c r="H415" s="182"/>
      <c r="I415" s="36" t="s">
        <v>46</v>
      </c>
      <c r="J415" s="58">
        <v>10</v>
      </c>
      <c r="K415" s="58">
        <f>J415</f>
        <v>10</v>
      </c>
      <c r="L415" s="58">
        <v>10</v>
      </c>
      <c r="M415" s="58">
        <v>15</v>
      </c>
      <c r="N415" s="58">
        <v>15</v>
      </c>
      <c r="O415" s="58">
        <v>15</v>
      </c>
      <c r="P415" s="58">
        <v>15</v>
      </c>
      <c r="Q415" s="58">
        <v>20</v>
      </c>
      <c r="R415" s="22"/>
      <c r="S415" s="117" t="str">
        <f t="shared" si="56"/>
        <v>Y</v>
      </c>
      <c r="T415" s="114">
        <f>IFERROR(SUMIF('Current NLData'!A:A,'Payment Changes'!G415,'Current NLData'!K:K)/COUNTIF('Current NLData'!A:A,'Payment Changes'!G415),0)+IFERROR(VLOOKUP(G415&amp;"-ALL",NLPaymentExport,10,FALSE),0)</f>
        <v>15</v>
      </c>
      <c r="U415" s="118">
        <f t="shared" si="58"/>
        <v>-5</v>
      </c>
    </row>
    <row r="416" spans="1:54" ht="17.100000000000001" hidden="1" customHeight="1" outlineLevel="1" x14ac:dyDescent="0.25">
      <c r="A416" s="3"/>
      <c r="C416" s="4"/>
      <c r="D416" s="181"/>
      <c r="E416" s="91" t="str">
        <f t="shared" si="59"/>
        <v>Copperas Cove</v>
      </c>
      <c r="F416" s="93" t="str">
        <f t="shared" si="60"/>
        <v>CP184</v>
      </c>
      <c r="G416" s="99" t="str">
        <f t="shared" si="61"/>
        <v>CP184-RETURN - 5th don of the month -BONUS</v>
      </c>
      <c r="H416" s="182"/>
      <c r="I416" s="37" t="s">
        <v>47</v>
      </c>
      <c r="J416" s="65">
        <v>0</v>
      </c>
      <c r="K416" s="65">
        <v>0</v>
      </c>
      <c r="L416" s="65">
        <v>0</v>
      </c>
      <c r="M416" s="65">
        <v>0</v>
      </c>
      <c r="N416" s="65">
        <v>0</v>
      </c>
      <c r="O416" s="65">
        <v>0</v>
      </c>
      <c r="P416" s="65">
        <v>0</v>
      </c>
      <c r="Q416" s="65">
        <v>0</v>
      </c>
      <c r="R416" s="22"/>
      <c r="S416" s="117" t="str">
        <f t="shared" si="56"/>
        <v>N</v>
      </c>
      <c r="T416" s="114">
        <f>IFERROR(SUMIF('Current NLData'!A:A,'Payment Changes'!G416,'Current NLData'!K:K)/COUNTIF('Current NLData'!A:A,'Payment Changes'!G416),0)+IFERROR(VLOOKUP(G416&amp;"-ALL",NLPaymentExport,10,FALSE),0)</f>
        <v>0</v>
      </c>
      <c r="U416" s="118">
        <f t="shared" si="58"/>
        <v>0</v>
      </c>
    </row>
    <row r="417" spans="1:54" ht="17.100000000000001" hidden="1" customHeight="1" outlineLevel="1" x14ac:dyDescent="0.25">
      <c r="A417" s="3"/>
      <c r="C417" s="4"/>
      <c r="D417" s="181"/>
      <c r="E417" s="91" t="str">
        <f t="shared" si="59"/>
        <v>Copperas Cove</v>
      </c>
      <c r="F417" s="93" t="str">
        <f t="shared" si="60"/>
        <v>CP184</v>
      </c>
      <c r="G417" s="99" t="str">
        <f t="shared" si="61"/>
        <v>CP184-RETURN - 6th don of the month -BONUS</v>
      </c>
      <c r="H417" s="182"/>
      <c r="I417" s="38" t="s">
        <v>48</v>
      </c>
      <c r="J417" s="58">
        <v>0</v>
      </c>
      <c r="K417" s="58">
        <v>0</v>
      </c>
      <c r="L417" s="58">
        <v>0</v>
      </c>
      <c r="M417" s="58">
        <v>30</v>
      </c>
      <c r="N417" s="58">
        <v>30</v>
      </c>
      <c r="O417" s="58">
        <v>30</v>
      </c>
      <c r="P417" s="58">
        <v>30</v>
      </c>
      <c r="Q417" s="58">
        <v>30</v>
      </c>
      <c r="R417" s="22"/>
      <c r="S417" s="117" t="str">
        <f t="shared" si="56"/>
        <v>N</v>
      </c>
      <c r="T417" s="114">
        <f>IFERROR(SUMIF('Current NLData'!A:A,'Payment Changes'!G417,'Current NLData'!K:K)/COUNTIF('Current NLData'!A:A,'Payment Changes'!G417),0)+IFERROR(VLOOKUP(G417&amp;"-ALL",NLPaymentExport,10,FALSE),0)</f>
        <v>30</v>
      </c>
      <c r="U417" s="118">
        <f t="shared" si="58"/>
        <v>0</v>
      </c>
    </row>
    <row r="418" spans="1:54" ht="17.100000000000001" hidden="1" customHeight="1" outlineLevel="1" x14ac:dyDescent="0.25">
      <c r="A418" s="3"/>
      <c r="C418" s="4"/>
      <c r="D418" s="181"/>
      <c r="E418" s="91" t="str">
        <f t="shared" si="59"/>
        <v>Copperas Cove</v>
      </c>
      <c r="F418" s="93" t="str">
        <f t="shared" si="60"/>
        <v>CP184</v>
      </c>
      <c r="G418" s="99" t="str">
        <f t="shared" si="61"/>
        <v>CP184-RETURN - 7th don of the month -BONUS</v>
      </c>
      <c r="H418" s="182"/>
      <c r="I418" s="38" t="s">
        <v>49</v>
      </c>
      <c r="J418" s="58">
        <v>0</v>
      </c>
      <c r="K418" s="58">
        <v>0</v>
      </c>
      <c r="L418" s="58">
        <v>0</v>
      </c>
      <c r="M418" s="58">
        <v>0</v>
      </c>
      <c r="N418" s="58">
        <v>0</v>
      </c>
      <c r="O418" s="58">
        <v>0</v>
      </c>
      <c r="P418" s="58">
        <v>0</v>
      </c>
      <c r="Q418" s="58">
        <v>0</v>
      </c>
      <c r="R418" s="22"/>
      <c r="S418" s="117" t="str">
        <f t="shared" si="56"/>
        <v>N</v>
      </c>
      <c r="T418" s="114">
        <f>IFERROR(SUMIF('Current NLData'!A:A,'Payment Changes'!G418,'Current NLData'!K:K)/COUNTIF('Current NLData'!A:A,'Payment Changes'!G418),0)+IFERROR(VLOOKUP(G418&amp;"-ALL",NLPaymentExport,10,FALSE),0)</f>
        <v>0</v>
      </c>
      <c r="U418" s="118">
        <f t="shared" si="58"/>
        <v>0</v>
      </c>
    </row>
    <row r="419" spans="1:54" ht="17.100000000000001" hidden="1" customHeight="1" outlineLevel="1" x14ac:dyDescent="0.25">
      <c r="A419" s="3"/>
      <c r="C419" s="4"/>
      <c r="D419" s="181"/>
      <c r="E419" s="91" t="str">
        <f t="shared" si="59"/>
        <v>Copperas Cove</v>
      </c>
      <c r="F419" s="93" t="str">
        <f t="shared" si="60"/>
        <v>CP184</v>
      </c>
      <c r="G419" s="99" t="str">
        <f t="shared" si="61"/>
        <v>CP184-RETURN - 8th don of the month -BONUS</v>
      </c>
      <c r="H419" s="182"/>
      <c r="I419" s="38" t="s">
        <v>50</v>
      </c>
      <c r="J419" s="58">
        <v>25</v>
      </c>
      <c r="K419" s="58">
        <f>J419</f>
        <v>25</v>
      </c>
      <c r="L419" s="58">
        <v>0</v>
      </c>
      <c r="M419" s="58">
        <v>0</v>
      </c>
      <c r="N419" s="58">
        <v>0</v>
      </c>
      <c r="O419" s="58">
        <v>0</v>
      </c>
      <c r="P419" s="58">
        <v>0</v>
      </c>
      <c r="Q419" s="58">
        <v>0</v>
      </c>
      <c r="R419" s="22"/>
      <c r="S419" s="117" t="str">
        <f t="shared" si="56"/>
        <v>N</v>
      </c>
      <c r="T419" s="114">
        <f>IFERROR(SUMIF('Current NLData'!A:A,'Payment Changes'!G419,'Current NLData'!K:K)/COUNTIF('Current NLData'!A:A,'Payment Changes'!G419),0)+IFERROR(VLOOKUP(G419&amp;"-ALL",NLPaymentExport,10,FALSE),0)</f>
        <v>0</v>
      </c>
      <c r="U419" s="118">
        <f t="shared" si="58"/>
        <v>0</v>
      </c>
    </row>
    <row r="420" spans="1:54" ht="17.100000000000001" hidden="1" customHeight="1" outlineLevel="1" x14ac:dyDescent="0.25">
      <c r="A420" s="3"/>
      <c r="C420" s="4" t="str">
        <f>IF(J420=0,"Warning","")</f>
        <v/>
      </c>
      <c r="D420" s="181"/>
      <c r="E420" s="91" t="str">
        <f t="shared" si="59"/>
        <v>Copperas Cove</v>
      </c>
      <c r="F420" s="93" t="str">
        <f t="shared" si="60"/>
        <v>CP184</v>
      </c>
      <c r="G420" s="99" t="str">
        <f t="shared" si="61"/>
        <v>CP184-RETURN - Buddy referral  -BONUS</v>
      </c>
      <c r="H420" s="182"/>
      <c r="I420" s="39" t="s">
        <v>51</v>
      </c>
      <c r="J420" s="58">
        <v>50</v>
      </c>
      <c r="K420" s="58">
        <v>50</v>
      </c>
      <c r="L420" s="58">
        <v>0</v>
      </c>
      <c r="M420" s="58">
        <v>50</v>
      </c>
      <c r="N420" s="58">
        <v>50</v>
      </c>
      <c r="O420" s="58">
        <v>50</v>
      </c>
      <c r="P420" s="58">
        <v>50</v>
      </c>
      <c r="Q420" s="58">
        <v>50</v>
      </c>
      <c r="R420" s="22"/>
      <c r="S420" s="117" t="str">
        <f t="shared" si="56"/>
        <v>N</v>
      </c>
      <c r="T420" s="114">
        <f>IFERROR(SUMIF('Current NLData'!A:A,'Payment Changes'!G420,'Current NLData'!K:K)/COUNTIF('Current NLData'!A:A,'Payment Changes'!G420),0)+IFERROR(VLOOKUP(G420&amp;"-ALL",NLPaymentExport,10,FALSE),0)</f>
        <v>50</v>
      </c>
      <c r="U420" s="118">
        <f t="shared" si="58"/>
        <v>0</v>
      </c>
    </row>
    <row r="421" spans="1:54" s="90" customFormat="1" ht="17.100000000000001" hidden="1" customHeight="1" collapsed="1" x14ac:dyDescent="0.35">
      <c r="A421" s="85"/>
      <c r="B421" s="85"/>
      <c r="C421" s="86"/>
      <c r="D421" s="87"/>
      <c r="E421" s="87"/>
      <c r="F421" s="87"/>
      <c r="G421" s="87"/>
      <c r="H421" s="96"/>
      <c r="I421" s="88"/>
      <c r="J421" s="89"/>
      <c r="K421" s="89"/>
      <c r="L421" s="89"/>
      <c r="M421" s="89"/>
      <c r="N421" s="89"/>
      <c r="O421" s="89"/>
      <c r="P421" s="89"/>
      <c r="Q421" s="89"/>
      <c r="R421" s="21"/>
      <c r="S421" s="117" t="str">
        <f t="shared" si="56"/>
        <v>N</v>
      </c>
      <c r="T421" s="114">
        <f>IFERROR(SUMIF('Current NLData'!A:A,'Payment Changes'!G421,'Current NLData'!K:K)/COUNTIF('Current NLData'!A:A,'Payment Changes'!G421),0)+IFERROR(VLOOKUP(G421&amp;"-ALL",NLPaymentExport,10,FALSE),0)</f>
        <v>0</v>
      </c>
      <c r="U421" s="118" t="str">
        <f t="shared" si="58"/>
        <v/>
      </c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</row>
    <row r="422" spans="1:54" s="10" customFormat="1" ht="17.100000000000001" hidden="1" customHeight="1" x14ac:dyDescent="0.25">
      <c r="A422" s="165">
        <v>22</v>
      </c>
      <c r="B422" s="168" t="s">
        <v>138</v>
      </c>
      <c r="C422" s="171" t="s">
        <v>19</v>
      </c>
      <c r="D422" s="174" t="s">
        <v>57</v>
      </c>
      <c r="E422" s="106" t="str">
        <f t="shared" si="59"/>
        <v>Temple Terrace</v>
      </c>
      <c r="F422" s="107" t="s">
        <v>139</v>
      </c>
      <c r="G422" s="108" t="str">
        <f t="shared" ref="G422:G440" si="65">F422&amp;"-"&amp;I422</f>
        <v>CP526-New Donor</v>
      </c>
      <c r="H422" s="177" t="s">
        <v>75</v>
      </c>
      <c r="I422" s="76" t="s">
        <v>23</v>
      </c>
      <c r="J422" s="40" t="s">
        <v>24</v>
      </c>
      <c r="K422" s="41" t="s">
        <v>25</v>
      </c>
      <c r="L422" s="41" t="s">
        <v>24</v>
      </c>
      <c r="M422" s="42" t="s">
        <v>24</v>
      </c>
      <c r="N422" s="40" t="s">
        <v>24</v>
      </c>
      <c r="O422" s="40" t="s">
        <v>24</v>
      </c>
      <c r="P422" s="40" t="s">
        <v>24</v>
      </c>
      <c r="Q422" s="40" t="s">
        <v>140</v>
      </c>
      <c r="R422" s="109"/>
      <c r="S422" s="117" t="str">
        <f t="shared" si="56"/>
        <v>Y</v>
      </c>
      <c r="T422" s="114">
        <f>IFERROR(SUMIF('Current NLData'!A:A,'Payment Changes'!G422,'Current NLData'!K:K)/COUNTIF('Current NLData'!A:A,'Payment Changes'!G422),0)+IFERROR(VLOOKUP(G422&amp;"-ALL",NLPaymentExport,10,FALSE),0)</f>
        <v>0</v>
      </c>
      <c r="U422" s="118" t="str">
        <f t="shared" si="58"/>
        <v/>
      </c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</row>
    <row r="423" spans="1:54" ht="17.100000000000001" hidden="1" customHeight="1" x14ac:dyDescent="0.25">
      <c r="A423" s="166"/>
      <c r="B423" s="169"/>
      <c r="C423" s="172"/>
      <c r="D423" s="175"/>
      <c r="E423" s="91" t="str">
        <f t="shared" si="59"/>
        <v>Temple Terrace</v>
      </c>
      <c r="F423" s="92" t="s">
        <v>139</v>
      </c>
      <c r="G423" s="98" t="str">
        <f t="shared" si="65"/>
        <v>CP526-Return Donor</v>
      </c>
      <c r="H423" s="178"/>
      <c r="I423" s="77" t="s">
        <v>29</v>
      </c>
      <c r="J423" s="43" t="s">
        <v>24</v>
      </c>
      <c r="K423" s="43" t="s">
        <v>24</v>
      </c>
      <c r="L423" s="44" t="s">
        <v>24</v>
      </c>
      <c r="M423" s="45" t="s">
        <v>24</v>
      </c>
      <c r="N423" s="43" t="s">
        <v>24</v>
      </c>
      <c r="O423" s="43" t="s">
        <v>24</v>
      </c>
      <c r="P423" s="43" t="s">
        <v>24</v>
      </c>
      <c r="Q423" s="43" t="s">
        <v>24</v>
      </c>
      <c r="R423" s="21"/>
      <c r="S423" s="117" t="str">
        <f t="shared" si="56"/>
        <v>N</v>
      </c>
      <c r="T423" s="114">
        <f>IFERROR(SUMIF('Current NLData'!A:A,'Payment Changes'!G423,'Current NLData'!K:K)/COUNTIF('Current NLData'!A:A,'Payment Changes'!G423),0)+IFERROR(VLOOKUP(G423&amp;"-ALL",NLPaymentExport,10,FALSE),0)</f>
        <v>0</v>
      </c>
      <c r="U423" s="118" t="str">
        <f t="shared" si="58"/>
        <v/>
      </c>
    </row>
    <row r="424" spans="1:54" ht="17.100000000000001" hidden="1" customHeight="1" x14ac:dyDescent="0.25">
      <c r="A424" s="166"/>
      <c r="B424" s="169"/>
      <c r="C424" s="172"/>
      <c r="D424" s="175"/>
      <c r="E424" s="91" t="str">
        <f t="shared" si="59"/>
        <v>Temple Terrace</v>
      </c>
      <c r="F424" s="92" t="s">
        <v>139</v>
      </c>
      <c r="G424" s="98" t="str">
        <f t="shared" si="65"/>
        <v>CP526-Retention Bonus</v>
      </c>
      <c r="H424" s="178"/>
      <c r="I424" s="78" t="s">
        <v>30</v>
      </c>
      <c r="J424" s="46" t="s">
        <v>31</v>
      </c>
      <c r="K424" s="46" t="s">
        <v>31</v>
      </c>
      <c r="L424" s="47" t="s">
        <v>32</v>
      </c>
      <c r="M424" s="48" t="s">
        <v>32</v>
      </c>
      <c r="N424" s="46" t="s">
        <v>32</v>
      </c>
      <c r="O424" s="46" t="s">
        <v>32</v>
      </c>
      <c r="P424" s="46" t="s">
        <v>32</v>
      </c>
      <c r="Q424" s="46" t="s">
        <v>32</v>
      </c>
      <c r="R424" s="21"/>
      <c r="S424" s="117" t="str">
        <f t="shared" si="56"/>
        <v>N</v>
      </c>
      <c r="T424" s="114">
        <f>IFERROR(SUMIF('Current NLData'!A:A,'Payment Changes'!G424,'Current NLData'!K:K)/COUNTIF('Current NLData'!A:A,'Payment Changes'!G424),0)+IFERROR(VLOOKUP(G424&amp;"-ALL",NLPaymentExport,10,FALSE),0)</f>
        <v>0</v>
      </c>
      <c r="U424" s="118" t="str">
        <f t="shared" si="58"/>
        <v/>
      </c>
    </row>
    <row r="425" spans="1:54" s="15" customFormat="1" ht="17.100000000000001" hidden="1" customHeight="1" x14ac:dyDescent="0.25">
      <c r="A425" s="167"/>
      <c r="B425" s="170"/>
      <c r="C425" s="173"/>
      <c r="D425" s="176"/>
      <c r="E425" s="110" t="str">
        <f t="shared" si="59"/>
        <v>Temple Terrace</v>
      </c>
      <c r="F425" s="111" t="s">
        <v>139</v>
      </c>
      <c r="G425" s="112" t="str">
        <f t="shared" si="65"/>
        <v>CP526-Referral</v>
      </c>
      <c r="H425" s="179"/>
      <c r="I425" s="79" t="s">
        <v>34</v>
      </c>
      <c r="J425" s="49">
        <v>50</v>
      </c>
      <c r="K425" s="49">
        <v>50</v>
      </c>
      <c r="L425" s="50" t="s">
        <v>32</v>
      </c>
      <c r="M425" s="51" t="s">
        <v>32</v>
      </c>
      <c r="N425" s="49" t="s">
        <v>32</v>
      </c>
      <c r="O425" s="49">
        <v>50</v>
      </c>
      <c r="P425" s="49">
        <v>50</v>
      </c>
      <c r="Q425" s="49">
        <v>50</v>
      </c>
      <c r="R425" s="113"/>
      <c r="S425" s="117" t="str">
        <f t="shared" si="56"/>
        <v>N</v>
      </c>
      <c r="T425" s="114">
        <f>IFERROR(SUMIF('Current NLData'!A:A,'Payment Changes'!G425,'Current NLData'!K:K)/COUNTIF('Current NLData'!A:A,'Payment Changes'!G425),0)+IFERROR(VLOOKUP(G425&amp;"-ALL",NLPaymentExport,10,FALSE),0)</f>
        <v>0</v>
      </c>
      <c r="U425" s="118" t="str">
        <f t="shared" si="58"/>
        <v/>
      </c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</row>
    <row r="426" spans="1:54" ht="17.100000000000001" hidden="1" customHeight="1" outlineLevel="1" x14ac:dyDescent="0.25">
      <c r="A426" s="3"/>
      <c r="C426" s="4"/>
      <c r="D426" s="180" t="s">
        <v>139</v>
      </c>
      <c r="E426" s="91" t="str">
        <f t="shared" si="59"/>
        <v>Temple Terrace</v>
      </c>
      <c r="F426" s="93" t="str">
        <f t="shared" si="60"/>
        <v>CP526</v>
      </c>
      <c r="G426" s="99" t="str">
        <f t="shared" si="65"/>
        <v>CP526-NEW DONOR -1st</v>
      </c>
      <c r="H426" s="182" t="s">
        <v>36</v>
      </c>
      <c r="I426" s="33" t="s">
        <v>37</v>
      </c>
      <c r="J426" s="60">
        <v>60</v>
      </c>
      <c r="K426" s="61">
        <f>J426</f>
        <v>60</v>
      </c>
      <c r="L426" s="60">
        <v>60</v>
      </c>
      <c r="M426" s="60">
        <v>60</v>
      </c>
      <c r="N426" s="60">
        <v>60</v>
      </c>
      <c r="O426" s="60">
        <v>60</v>
      </c>
      <c r="P426" s="60">
        <v>60</v>
      </c>
      <c r="Q426" s="60">
        <v>100</v>
      </c>
      <c r="R426" s="23"/>
      <c r="S426" s="117" t="str">
        <f t="shared" si="56"/>
        <v>Y</v>
      </c>
      <c r="T426" s="114">
        <f>IFERROR(SUMIF('Current NLData'!A:A,'Payment Changes'!G426,'Current NLData'!K:K)/COUNTIF('Current NLData'!A:A,'Payment Changes'!G426),0)+IFERROR(VLOOKUP(G426&amp;"-ALL",NLPaymentExport,10,FALSE),0)</f>
        <v>60</v>
      </c>
      <c r="U426" s="118">
        <f t="shared" si="58"/>
        <v>-40</v>
      </c>
    </row>
    <row r="427" spans="1:54" ht="17.100000000000001" hidden="1" customHeight="1" outlineLevel="1" x14ac:dyDescent="0.25">
      <c r="A427" s="3"/>
      <c r="C427" s="4"/>
      <c r="D427" s="181"/>
      <c r="E427" s="91" t="str">
        <f t="shared" si="59"/>
        <v>Temple Terrace</v>
      </c>
      <c r="F427" s="93" t="str">
        <f t="shared" si="60"/>
        <v>CP526</v>
      </c>
      <c r="G427" s="99" t="str">
        <f t="shared" si="65"/>
        <v>CP526-NEW DONOR -2nd</v>
      </c>
      <c r="H427" s="182"/>
      <c r="I427" s="34" t="s">
        <v>38</v>
      </c>
      <c r="J427" s="58">
        <v>60</v>
      </c>
      <c r="K427" s="62">
        <v>70</v>
      </c>
      <c r="L427" s="58">
        <v>60</v>
      </c>
      <c r="M427" s="58">
        <v>60</v>
      </c>
      <c r="N427" s="58">
        <v>60</v>
      </c>
      <c r="O427" s="58">
        <v>60</v>
      </c>
      <c r="P427" s="58">
        <v>60</v>
      </c>
      <c r="Q427" s="58">
        <v>100</v>
      </c>
      <c r="R427" s="23"/>
      <c r="S427" s="117" t="str">
        <f t="shared" si="56"/>
        <v>Y</v>
      </c>
      <c r="T427" s="114">
        <f>IFERROR(SUMIF('Current NLData'!A:A,'Payment Changes'!G427,'Current NLData'!K:K)/COUNTIF('Current NLData'!A:A,'Payment Changes'!G427),0)+IFERROR(VLOOKUP(G427&amp;"-ALL",NLPaymentExport,10,FALSE),0)</f>
        <v>60</v>
      </c>
      <c r="U427" s="118">
        <f t="shared" si="58"/>
        <v>-40</v>
      </c>
    </row>
    <row r="428" spans="1:54" ht="17.100000000000001" hidden="1" customHeight="1" outlineLevel="1" x14ac:dyDescent="0.25">
      <c r="A428" s="3"/>
      <c r="C428" s="4"/>
      <c r="D428" s="181"/>
      <c r="E428" s="91" t="str">
        <f t="shared" si="59"/>
        <v>Temple Terrace</v>
      </c>
      <c r="F428" s="93" t="str">
        <f t="shared" si="60"/>
        <v>CP526</v>
      </c>
      <c r="G428" s="99" t="str">
        <f t="shared" si="65"/>
        <v>CP526-NEW DONOR -3rd</v>
      </c>
      <c r="H428" s="182"/>
      <c r="I428" s="34" t="s">
        <v>39</v>
      </c>
      <c r="J428" s="58">
        <v>60</v>
      </c>
      <c r="K428" s="62">
        <f t="shared" ref="K428:K432" si="66">J428</f>
        <v>60</v>
      </c>
      <c r="L428" s="58">
        <v>60</v>
      </c>
      <c r="M428" s="58">
        <v>60</v>
      </c>
      <c r="N428" s="58">
        <v>60</v>
      </c>
      <c r="O428" s="58">
        <v>60</v>
      </c>
      <c r="P428" s="58">
        <v>60</v>
      </c>
      <c r="Q428" s="58">
        <v>100</v>
      </c>
      <c r="R428" s="23"/>
      <c r="S428" s="117" t="str">
        <f t="shared" si="56"/>
        <v>Y</v>
      </c>
      <c r="T428" s="114">
        <f>IFERROR(SUMIF('Current NLData'!A:A,'Payment Changes'!G428,'Current NLData'!K:K)/COUNTIF('Current NLData'!A:A,'Payment Changes'!G428),0)+IFERROR(VLOOKUP(G428&amp;"-ALL",NLPaymentExport,10,FALSE),0)</f>
        <v>60</v>
      </c>
      <c r="U428" s="118">
        <f t="shared" si="58"/>
        <v>-40</v>
      </c>
    </row>
    <row r="429" spans="1:54" ht="17.100000000000001" hidden="1" customHeight="1" outlineLevel="1" x14ac:dyDescent="0.25">
      <c r="A429" s="3"/>
      <c r="C429" s="4"/>
      <c r="D429" s="181"/>
      <c r="E429" s="91" t="str">
        <f t="shared" si="59"/>
        <v>Temple Terrace</v>
      </c>
      <c r="F429" s="93" t="str">
        <f t="shared" si="60"/>
        <v>CP526</v>
      </c>
      <c r="G429" s="99" t="str">
        <f t="shared" si="65"/>
        <v>CP526-NEW DONOR -4th</v>
      </c>
      <c r="H429" s="182"/>
      <c r="I429" s="34" t="s">
        <v>40</v>
      </c>
      <c r="J429" s="58">
        <v>60</v>
      </c>
      <c r="K429" s="62">
        <v>70</v>
      </c>
      <c r="L429" s="58">
        <v>60</v>
      </c>
      <c r="M429" s="58">
        <v>60</v>
      </c>
      <c r="N429" s="58">
        <v>60</v>
      </c>
      <c r="O429" s="58">
        <v>60</v>
      </c>
      <c r="P429" s="58">
        <v>60</v>
      </c>
      <c r="Q429" s="58">
        <v>100</v>
      </c>
      <c r="R429" s="23"/>
      <c r="S429" s="117" t="str">
        <f t="shared" si="56"/>
        <v>Y</v>
      </c>
      <c r="T429" s="114">
        <f>IFERROR(SUMIF('Current NLData'!A:A,'Payment Changes'!G429,'Current NLData'!K:K)/COUNTIF('Current NLData'!A:A,'Payment Changes'!G429),0)+IFERROR(VLOOKUP(G429&amp;"-ALL",NLPaymentExport,10,FALSE),0)</f>
        <v>60</v>
      </c>
      <c r="U429" s="118">
        <f t="shared" si="58"/>
        <v>-40</v>
      </c>
    </row>
    <row r="430" spans="1:54" ht="17.100000000000001" hidden="1" customHeight="1" outlineLevel="1" x14ac:dyDescent="0.25">
      <c r="A430" s="3"/>
      <c r="C430" s="4"/>
      <c r="D430" s="181"/>
      <c r="E430" s="91" t="str">
        <f t="shared" si="59"/>
        <v>Temple Terrace</v>
      </c>
      <c r="F430" s="93" t="str">
        <f t="shared" si="60"/>
        <v>CP526</v>
      </c>
      <c r="G430" s="99" t="str">
        <f t="shared" si="65"/>
        <v>CP526-NEW DONOR -5th</v>
      </c>
      <c r="H430" s="182"/>
      <c r="I430" s="34" t="s">
        <v>41</v>
      </c>
      <c r="J430" s="58">
        <v>60</v>
      </c>
      <c r="K430" s="62">
        <f t="shared" si="66"/>
        <v>60</v>
      </c>
      <c r="L430" s="58">
        <v>60</v>
      </c>
      <c r="M430" s="58">
        <v>60</v>
      </c>
      <c r="N430" s="58">
        <v>60</v>
      </c>
      <c r="O430" s="58">
        <v>60</v>
      </c>
      <c r="P430" s="58">
        <v>60</v>
      </c>
      <c r="Q430" s="58">
        <v>100</v>
      </c>
      <c r="R430" s="23"/>
      <c r="S430" s="117" t="str">
        <f t="shared" si="56"/>
        <v>Y</v>
      </c>
      <c r="T430" s="114">
        <f>IFERROR(SUMIF('Current NLData'!A:A,'Payment Changes'!G430,'Current NLData'!K:K)/COUNTIF('Current NLData'!A:A,'Payment Changes'!G430),0)+IFERROR(VLOOKUP(G430&amp;"-ALL",NLPaymentExport,10,FALSE),0)</f>
        <v>60</v>
      </c>
      <c r="U430" s="118">
        <f t="shared" si="58"/>
        <v>-40</v>
      </c>
    </row>
    <row r="431" spans="1:54" ht="17.100000000000001" hidden="1" customHeight="1" outlineLevel="1" x14ac:dyDescent="0.25">
      <c r="A431" s="3"/>
      <c r="C431" s="4"/>
      <c r="D431" s="181"/>
      <c r="E431" s="91" t="str">
        <f t="shared" si="59"/>
        <v>Temple Terrace</v>
      </c>
      <c r="F431" s="93" t="str">
        <f t="shared" si="60"/>
        <v>CP526</v>
      </c>
      <c r="G431" s="99" t="str">
        <f t="shared" si="65"/>
        <v>CP526-NEW DONOR -6th</v>
      </c>
      <c r="H431" s="182"/>
      <c r="I431" s="34" t="s">
        <v>42</v>
      </c>
      <c r="J431" s="58">
        <v>60</v>
      </c>
      <c r="K431" s="62">
        <v>70</v>
      </c>
      <c r="L431" s="58">
        <v>60</v>
      </c>
      <c r="M431" s="58">
        <v>60</v>
      </c>
      <c r="N431" s="58">
        <v>60</v>
      </c>
      <c r="O431" s="58">
        <v>60</v>
      </c>
      <c r="P431" s="58">
        <v>60</v>
      </c>
      <c r="Q431" s="58">
        <v>100</v>
      </c>
      <c r="R431" s="23"/>
      <c r="S431" s="117" t="str">
        <f t="shared" si="56"/>
        <v>Y</v>
      </c>
      <c r="T431" s="114">
        <f>IFERROR(SUMIF('Current NLData'!A:A,'Payment Changes'!G431,'Current NLData'!K:K)/COUNTIF('Current NLData'!A:A,'Payment Changes'!G431),0)+IFERROR(VLOOKUP(G431&amp;"-ALL",NLPaymentExport,10,FALSE),0)</f>
        <v>60</v>
      </c>
      <c r="U431" s="118">
        <f t="shared" si="58"/>
        <v>-40</v>
      </c>
    </row>
    <row r="432" spans="1:54" ht="17.100000000000001" hidden="1" customHeight="1" outlineLevel="1" x14ac:dyDescent="0.25">
      <c r="A432" s="3"/>
      <c r="C432" s="4"/>
      <c r="D432" s="181"/>
      <c r="E432" s="91" t="str">
        <f t="shared" si="59"/>
        <v>Temple Terrace</v>
      </c>
      <c r="F432" s="93" t="str">
        <f t="shared" si="60"/>
        <v>CP526</v>
      </c>
      <c r="G432" s="99" t="str">
        <f t="shared" si="65"/>
        <v>CP526-NEW DONOR -7th</v>
      </c>
      <c r="H432" s="182"/>
      <c r="I432" s="34" t="s">
        <v>43</v>
      </c>
      <c r="J432" s="58">
        <v>60</v>
      </c>
      <c r="K432" s="62">
        <f t="shared" si="66"/>
        <v>60</v>
      </c>
      <c r="L432" s="58">
        <v>60</v>
      </c>
      <c r="M432" s="58">
        <v>60</v>
      </c>
      <c r="N432" s="58">
        <v>60</v>
      </c>
      <c r="O432" s="58">
        <v>60</v>
      </c>
      <c r="P432" s="58">
        <v>60</v>
      </c>
      <c r="Q432" s="58">
        <v>60</v>
      </c>
      <c r="R432" s="23"/>
      <c r="S432" s="117" t="str">
        <f t="shared" si="56"/>
        <v>N</v>
      </c>
      <c r="T432" s="114">
        <f>IFERROR(SUMIF('Current NLData'!A:A,'Payment Changes'!G432,'Current NLData'!K:K)/COUNTIF('Current NLData'!A:A,'Payment Changes'!G432),0)+IFERROR(VLOOKUP(G432&amp;"-ALL",NLPaymentExport,10,FALSE),0)</f>
        <v>60</v>
      </c>
      <c r="U432" s="118">
        <f t="shared" si="58"/>
        <v>0</v>
      </c>
    </row>
    <row r="433" spans="1:54" ht="17.100000000000001" hidden="1" customHeight="1" outlineLevel="1" x14ac:dyDescent="0.25">
      <c r="A433" s="3"/>
      <c r="C433" s="4"/>
      <c r="D433" s="181"/>
      <c r="E433" s="91" t="str">
        <f t="shared" si="59"/>
        <v>Temple Terrace</v>
      </c>
      <c r="F433" s="93" t="str">
        <f t="shared" si="60"/>
        <v>CP526</v>
      </c>
      <c r="G433" s="99" t="str">
        <f t="shared" si="65"/>
        <v>CP526-NEW DONOR -8th</v>
      </c>
      <c r="H433" s="182"/>
      <c r="I433" s="35" t="s">
        <v>44</v>
      </c>
      <c r="J433" s="63">
        <v>60</v>
      </c>
      <c r="K433" s="64">
        <v>70</v>
      </c>
      <c r="L433" s="63">
        <v>60</v>
      </c>
      <c r="M433" s="63">
        <v>60</v>
      </c>
      <c r="N433" s="63">
        <v>60</v>
      </c>
      <c r="O433" s="63">
        <v>60</v>
      </c>
      <c r="P433" s="63">
        <v>60</v>
      </c>
      <c r="Q433" s="63">
        <v>60</v>
      </c>
      <c r="R433" s="23"/>
      <c r="S433" s="117" t="str">
        <f t="shared" si="56"/>
        <v>N</v>
      </c>
      <c r="T433" s="114">
        <f>IFERROR(SUMIF('Current NLData'!A:A,'Payment Changes'!G433,'Current NLData'!K:K)/COUNTIF('Current NLData'!A:A,'Payment Changes'!G433),0)+IFERROR(VLOOKUP(G433&amp;"-ALL",NLPaymentExport,10,FALSE),0)</f>
        <v>60</v>
      </c>
      <c r="U433" s="118">
        <f t="shared" si="58"/>
        <v>0</v>
      </c>
    </row>
    <row r="434" spans="1:54" ht="17.100000000000001" hidden="1" customHeight="1" outlineLevel="1" x14ac:dyDescent="0.25">
      <c r="A434" s="3"/>
      <c r="C434" s="4"/>
      <c r="D434" s="181"/>
      <c r="E434" s="91" t="str">
        <f t="shared" si="59"/>
        <v>Temple Terrace</v>
      </c>
      <c r="F434" s="93" t="str">
        <f t="shared" si="60"/>
        <v>CP526</v>
      </c>
      <c r="G434" s="99" t="str">
        <f t="shared" si="65"/>
        <v>CP526-RETURN - 1st don of the week -STD</v>
      </c>
      <c r="H434" s="182"/>
      <c r="I434" s="36" t="s">
        <v>45</v>
      </c>
      <c r="J434" s="58">
        <v>60</v>
      </c>
      <c r="K434" s="58">
        <f>J434</f>
        <v>60</v>
      </c>
      <c r="L434" s="58">
        <v>60</v>
      </c>
      <c r="M434" s="58">
        <v>60</v>
      </c>
      <c r="N434" s="58">
        <v>60</v>
      </c>
      <c r="O434" s="58">
        <v>60</v>
      </c>
      <c r="P434" s="58">
        <v>60</v>
      </c>
      <c r="Q434" s="58">
        <v>60</v>
      </c>
      <c r="R434" s="22"/>
      <c r="S434" s="117" t="str">
        <f t="shared" si="56"/>
        <v>N</v>
      </c>
      <c r="T434" s="114">
        <f>IFERROR(SUMIF('Current NLData'!A:A,'Payment Changes'!G434,'Current NLData'!K:K)/COUNTIF('Current NLData'!A:A,'Payment Changes'!G434),0)+IFERROR(VLOOKUP(G434&amp;"-ALL",NLPaymentExport,10,FALSE),0)</f>
        <v>60</v>
      </c>
      <c r="U434" s="118">
        <f t="shared" si="58"/>
        <v>0</v>
      </c>
    </row>
    <row r="435" spans="1:54" ht="17.100000000000001" hidden="1" customHeight="1" outlineLevel="1" x14ac:dyDescent="0.25">
      <c r="A435" s="3"/>
      <c r="C435" s="4"/>
      <c r="D435" s="181"/>
      <c r="E435" s="91" t="str">
        <f t="shared" si="59"/>
        <v>Temple Terrace</v>
      </c>
      <c r="F435" s="93" t="str">
        <f t="shared" si="60"/>
        <v>CP526</v>
      </c>
      <c r="G435" s="99" t="str">
        <f t="shared" si="65"/>
        <v>CP526-RETURN - 2nd don of the week -BONUS</v>
      </c>
      <c r="H435" s="182"/>
      <c r="I435" s="36" t="s">
        <v>46</v>
      </c>
      <c r="J435" s="58">
        <v>10</v>
      </c>
      <c r="K435" s="58">
        <f>J435</f>
        <v>10</v>
      </c>
      <c r="L435" s="58">
        <v>10</v>
      </c>
      <c r="M435" s="58">
        <v>10</v>
      </c>
      <c r="N435" s="58">
        <v>10</v>
      </c>
      <c r="O435" s="58">
        <v>10</v>
      </c>
      <c r="P435" s="58">
        <v>10</v>
      </c>
      <c r="Q435" s="58">
        <v>10</v>
      </c>
      <c r="R435" s="22"/>
      <c r="S435" s="117" t="str">
        <f t="shared" si="56"/>
        <v>N</v>
      </c>
      <c r="T435" s="114">
        <f>IFERROR(SUMIF('Current NLData'!A:A,'Payment Changes'!G435,'Current NLData'!K:K)/COUNTIF('Current NLData'!A:A,'Payment Changes'!G435),0)+IFERROR(VLOOKUP(G435&amp;"-ALL",NLPaymentExport,10,FALSE),0)</f>
        <v>10</v>
      </c>
      <c r="U435" s="118">
        <f t="shared" si="58"/>
        <v>0</v>
      </c>
    </row>
    <row r="436" spans="1:54" ht="17.100000000000001" hidden="1" customHeight="1" outlineLevel="1" x14ac:dyDescent="0.25">
      <c r="A436" s="3"/>
      <c r="C436" s="4"/>
      <c r="D436" s="181"/>
      <c r="E436" s="91" t="str">
        <f t="shared" si="59"/>
        <v>Temple Terrace</v>
      </c>
      <c r="F436" s="93" t="str">
        <f t="shared" si="60"/>
        <v>CP526</v>
      </c>
      <c r="G436" s="99" t="str">
        <f t="shared" si="65"/>
        <v>CP526-RETURN - 5th don of the month -BONUS</v>
      </c>
      <c r="H436" s="182"/>
      <c r="I436" s="37" t="s">
        <v>47</v>
      </c>
      <c r="J436" s="65">
        <v>0</v>
      </c>
      <c r="K436" s="65">
        <v>0</v>
      </c>
      <c r="L436" s="65">
        <v>0</v>
      </c>
      <c r="M436" s="65">
        <v>0</v>
      </c>
      <c r="N436" s="65">
        <v>0</v>
      </c>
      <c r="O436" s="65">
        <v>0</v>
      </c>
      <c r="P436" s="65">
        <v>0</v>
      </c>
      <c r="Q436" s="65">
        <v>0</v>
      </c>
      <c r="R436" s="22"/>
      <c r="S436" s="117" t="str">
        <f t="shared" si="56"/>
        <v>N</v>
      </c>
      <c r="T436" s="114">
        <f>IFERROR(SUMIF('Current NLData'!A:A,'Payment Changes'!G436,'Current NLData'!K:K)/COUNTIF('Current NLData'!A:A,'Payment Changes'!G436),0)+IFERROR(VLOOKUP(G436&amp;"-ALL",NLPaymentExport,10,FALSE),0)</f>
        <v>0</v>
      </c>
      <c r="U436" s="118">
        <f t="shared" si="58"/>
        <v>0</v>
      </c>
    </row>
    <row r="437" spans="1:54" ht="17.100000000000001" hidden="1" customHeight="1" outlineLevel="1" x14ac:dyDescent="0.25">
      <c r="A437" s="3"/>
      <c r="C437" s="4"/>
      <c r="D437" s="181"/>
      <c r="E437" s="91" t="str">
        <f t="shared" si="59"/>
        <v>Temple Terrace</v>
      </c>
      <c r="F437" s="93" t="str">
        <f t="shared" si="60"/>
        <v>CP526</v>
      </c>
      <c r="G437" s="99" t="str">
        <f t="shared" si="65"/>
        <v>CP526-RETURN - 6th don of the month -BONUS</v>
      </c>
      <c r="H437" s="182"/>
      <c r="I437" s="38" t="s">
        <v>48</v>
      </c>
      <c r="J437" s="58">
        <v>0</v>
      </c>
      <c r="K437" s="58">
        <v>0</v>
      </c>
      <c r="L437" s="58">
        <v>0</v>
      </c>
      <c r="M437" s="58">
        <v>0</v>
      </c>
      <c r="N437" s="58">
        <v>0</v>
      </c>
      <c r="O437" s="58">
        <v>0</v>
      </c>
      <c r="P437" s="58">
        <v>0</v>
      </c>
      <c r="Q437" s="58">
        <v>0</v>
      </c>
      <c r="R437" s="22"/>
      <c r="S437" s="117" t="str">
        <f t="shared" si="56"/>
        <v>N</v>
      </c>
      <c r="T437" s="114">
        <f>IFERROR(SUMIF('Current NLData'!A:A,'Payment Changes'!G437,'Current NLData'!K:K)/COUNTIF('Current NLData'!A:A,'Payment Changes'!G437),0)+IFERROR(VLOOKUP(G437&amp;"-ALL",NLPaymentExport,10,FALSE),0)</f>
        <v>0</v>
      </c>
      <c r="U437" s="118">
        <f t="shared" si="58"/>
        <v>0</v>
      </c>
    </row>
    <row r="438" spans="1:54" ht="17.100000000000001" hidden="1" customHeight="1" outlineLevel="1" x14ac:dyDescent="0.25">
      <c r="A438" s="3"/>
      <c r="C438" s="4"/>
      <c r="D438" s="181"/>
      <c r="E438" s="91" t="str">
        <f t="shared" si="59"/>
        <v>Temple Terrace</v>
      </c>
      <c r="F438" s="93" t="str">
        <f t="shared" si="60"/>
        <v>CP526</v>
      </c>
      <c r="G438" s="99" t="str">
        <f t="shared" si="65"/>
        <v>CP526-RETURN - 7th don of the month -BONUS</v>
      </c>
      <c r="H438" s="182"/>
      <c r="I438" s="38" t="s">
        <v>49</v>
      </c>
      <c r="J438" s="58">
        <v>0</v>
      </c>
      <c r="K438" s="58">
        <v>0</v>
      </c>
      <c r="L438" s="58">
        <v>0</v>
      </c>
      <c r="M438" s="58">
        <v>0</v>
      </c>
      <c r="N438" s="58">
        <v>0</v>
      </c>
      <c r="O438" s="58">
        <v>0</v>
      </c>
      <c r="P438" s="58">
        <v>0</v>
      </c>
      <c r="Q438" s="58">
        <v>0</v>
      </c>
      <c r="R438" s="22"/>
      <c r="S438" s="117" t="str">
        <f t="shared" si="56"/>
        <v>N</v>
      </c>
      <c r="T438" s="114">
        <f>IFERROR(SUMIF('Current NLData'!A:A,'Payment Changes'!G438,'Current NLData'!K:K)/COUNTIF('Current NLData'!A:A,'Payment Changes'!G438),0)+IFERROR(VLOOKUP(G438&amp;"-ALL",NLPaymentExport,10,FALSE),0)</f>
        <v>0</v>
      </c>
      <c r="U438" s="118">
        <f t="shared" si="58"/>
        <v>0</v>
      </c>
    </row>
    <row r="439" spans="1:54" ht="17.100000000000001" hidden="1" customHeight="1" outlineLevel="1" x14ac:dyDescent="0.25">
      <c r="A439" s="3"/>
      <c r="C439" s="4"/>
      <c r="D439" s="181"/>
      <c r="E439" s="91" t="str">
        <f t="shared" si="59"/>
        <v>Temple Terrace</v>
      </c>
      <c r="F439" s="93" t="str">
        <f t="shared" si="60"/>
        <v>CP526</v>
      </c>
      <c r="G439" s="99" t="str">
        <f t="shared" si="65"/>
        <v>CP526-RETURN - 8th don of the month -BONUS</v>
      </c>
      <c r="H439" s="182"/>
      <c r="I439" s="38" t="s">
        <v>50</v>
      </c>
      <c r="J439" s="58">
        <v>25</v>
      </c>
      <c r="K439" s="58">
        <f>J439</f>
        <v>25</v>
      </c>
      <c r="L439" s="58">
        <v>0</v>
      </c>
      <c r="M439" s="58">
        <v>0</v>
      </c>
      <c r="N439" s="58">
        <v>0</v>
      </c>
      <c r="O439" s="58">
        <v>0</v>
      </c>
      <c r="P439" s="58">
        <v>0</v>
      </c>
      <c r="Q439" s="58">
        <v>0</v>
      </c>
      <c r="R439" s="22"/>
      <c r="S439" s="117" t="str">
        <f t="shared" si="56"/>
        <v>N</v>
      </c>
      <c r="T439" s="114">
        <f>IFERROR(SUMIF('Current NLData'!A:A,'Payment Changes'!G439,'Current NLData'!K:K)/COUNTIF('Current NLData'!A:A,'Payment Changes'!G439),0)+IFERROR(VLOOKUP(G439&amp;"-ALL",NLPaymentExport,10,FALSE),0)</f>
        <v>0</v>
      </c>
      <c r="U439" s="118">
        <f t="shared" si="58"/>
        <v>0</v>
      </c>
    </row>
    <row r="440" spans="1:54" ht="17.100000000000001" hidden="1" customHeight="1" outlineLevel="1" x14ac:dyDescent="0.25">
      <c r="A440" s="3"/>
      <c r="C440" s="4" t="str">
        <f>IF(J440=0,"Warning","")</f>
        <v/>
      </c>
      <c r="D440" s="181"/>
      <c r="E440" s="91" t="str">
        <f t="shared" si="59"/>
        <v>Temple Terrace</v>
      </c>
      <c r="F440" s="93" t="str">
        <f t="shared" si="60"/>
        <v>CP526</v>
      </c>
      <c r="G440" s="99" t="str">
        <f t="shared" si="65"/>
        <v>CP526-RETURN - Buddy referral  -BONUS</v>
      </c>
      <c r="H440" s="182"/>
      <c r="I440" s="39" t="s">
        <v>51</v>
      </c>
      <c r="J440" s="58">
        <v>50</v>
      </c>
      <c r="K440" s="58">
        <v>50</v>
      </c>
      <c r="L440" s="58">
        <v>0</v>
      </c>
      <c r="M440" s="58">
        <v>0</v>
      </c>
      <c r="N440" s="58">
        <v>0</v>
      </c>
      <c r="O440" s="58">
        <v>50</v>
      </c>
      <c r="P440" s="58">
        <v>50</v>
      </c>
      <c r="Q440" s="58">
        <v>50</v>
      </c>
      <c r="R440" s="22"/>
      <c r="S440" s="117" t="str">
        <f t="shared" si="56"/>
        <v>N</v>
      </c>
      <c r="T440" s="114">
        <f>IFERROR(SUMIF('Current NLData'!A:A,'Payment Changes'!G440,'Current NLData'!K:K)/COUNTIF('Current NLData'!A:A,'Payment Changes'!G440),0)+IFERROR(VLOOKUP(G440&amp;"-ALL",NLPaymentExport,10,FALSE),0)</f>
        <v>50</v>
      </c>
      <c r="U440" s="118">
        <f t="shared" si="58"/>
        <v>0</v>
      </c>
    </row>
    <row r="441" spans="1:54" s="90" customFormat="1" ht="16.5" hidden="1" customHeight="1" collapsed="1" x14ac:dyDescent="0.35">
      <c r="A441" s="85"/>
      <c r="B441" s="85"/>
      <c r="C441" s="86"/>
      <c r="D441" s="87"/>
      <c r="E441" s="87"/>
      <c r="F441" s="87"/>
      <c r="G441" s="87"/>
      <c r="H441" s="96"/>
      <c r="I441" s="88"/>
      <c r="J441" s="89"/>
      <c r="K441" s="89"/>
      <c r="L441" s="89"/>
      <c r="M441" s="89"/>
      <c r="N441" s="89"/>
      <c r="O441" s="89"/>
      <c r="P441" s="89"/>
      <c r="Q441" s="89"/>
      <c r="R441" s="21"/>
      <c r="S441" s="117" t="str">
        <f t="shared" si="56"/>
        <v>N</v>
      </c>
      <c r="T441" s="114">
        <f>IFERROR(SUMIF('Current NLData'!A:A,'Payment Changes'!G441,'Current NLData'!K:K)/COUNTIF('Current NLData'!A:A,'Payment Changes'!G441),0)+IFERROR(VLOOKUP(G441&amp;"-ALL",NLPaymentExport,10,FALSE),0)</f>
        <v>0</v>
      </c>
      <c r="U441" s="118" t="str">
        <f t="shared" si="58"/>
        <v/>
      </c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</row>
    <row r="442" spans="1:54" s="10" customFormat="1" ht="17.100000000000001" hidden="1" customHeight="1" x14ac:dyDescent="0.25">
      <c r="A442" s="165">
        <v>23</v>
      </c>
      <c r="B442" s="168" t="s">
        <v>141</v>
      </c>
      <c r="C442" s="171" t="s">
        <v>19</v>
      </c>
      <c r="D442" s="174" t="s">
        <v>57</v>
      </c>
      <c r="E442" s="106" t="str">
        <f t="shared" si="59"/>
        <v>Greenville</v>
      </c>
      <c r="F442" s="107" t="s">
        <v>142</v>
      </c>
      <c r="G442" s="108" t="str">
        <f t="shared" ref="G442:G460" si="67">F442&amp;"-"&amp;I442</f>
        <v>CP222-New Donor</v>
      </c>
      <c r="H442" s="177" t="s">
        <v>75</v>
      </c>
      <c r="I442" s="76" t="s">
        <v>23</v>
      </c>
      <c r="J442" s="40" t="s">
        <v>87</v>
      </c>
      <c r="K442" s="41" t="s">
        <v>143</v>
      </c>
      <c r="L442" s="41" t="s">
        <v>24</v>
      </c>
      <c r="M442" s="42" t="s">
        <v>24</v>
      </c>
      <c r="N442" s="40" t="s">
        <v>24</v>
      </c>
      <c r="O442" s="40" t="s">
        <v>24</v>
      </c>
      <c r="P442" s="40" t="s">
        <v>24</v>
      </c>
      <c r="Q442" s="40" t="s">
        <v>144</v>
      </c>
      <c r="R442" s="109"/>
      <c r="S442" s="117" t="str">
        <f t="shared" si="56"/>
        <v>Y</v>
      </c>
      <c r="T442" s="114">
        <f>IFERROR(SUMIF('Current NLData'!A:A,'Payment Changes'!G442,'Current NLData'!K:K)/COUNTIF('Current NLData'!A:A,'Payment Changes'!G442),0)+IFERROR(VLOOKUP(G442&amp;"-ALL",NLPaymentExport,10,FALSE),0)</f>
        <v>0</v>
      </c>
      <c r="U442" s="118" t="str">
        <f t="shared" si="58"/>
        <v/>
      </c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</row>
    <row r="443" spans="1:54" ht="17.100000000000001" hidden="1" customHeight="1" x14ac:dyDescent="0.25">
      <c r="A443" s="166"/>
      <c r="B443" s="169"/>
      <c r="C443" s="172"/>
      <c r="D443" s="175"/>
      <c r="E443" s="91" t="str">
        <f t="shared" si="59"/>
        <v>Greenville</v>
      </c>
      <c r="F443" s="92" t="s">
        <v>142</v>
      </c>
      <c r="G443" s="98" t="str">
        <f t="shared" si="67"/>
        <v>CP222-Return Donor</v>
      </c>
      <c r="H443" s="178"/>
      <c r="I443" s="77" t="s">
        <v>29</v>
      </c>
      <c r="J443" s="43" t="s">
        <v>87</v>
      </c>
      <c r="K443" s="43" t="s">
        <v>87</v>
      </c>
      <c r="L443" s="44" t="s">
        <v>24</v>
      </c>
      <c r="M443" s="45" t="s">
        <v>24</v>
      </c>
      <c r="N443" s="43" t="s">
        <v>24</v>
      </c>
      <c r="O443" s="43" t="s">
        <v>24</v>
      </c>
      <c r="P443" s="43" t="s">
        <v>24</v>
      </c>
      <c r="Q443" s="43" t="s">
        <v>76</v>
      </c>
      <c r="R443" s="21"/>
      <c r="S443" s="117" t="str">
        <f t="shared" si="56"/>
        <v>Y</v>
      </c>
      <c r="T443" s="114">
        <f>IFERROR(SUMIF('Current NLData'!A:A,'Payment Changes'!G443,'Current NLData'!K:K)/COUNTIF('Current NLData'!A:A,'Payment Changes'!G443),0)+IFERROR(VLOOKUP(G443&amp;"-ALL",NLPaymentExport,10,FALSE),0)</f>
        <v>0</v>
      </c>
      <c r="U443" s="118" t="str">
        <f t="shared" si="58"/>
        <v/>
      </c>
    </row>
    <row r="444" spans="1:54" ht="17.100000000000001" hidden="1" customHeight="1" x14ac:dyDescent="0.25">
      <c r="A444" s="166"/>
      <c r="B444" s="169"/>
      <c r="C444" s="172"/>
      <c r="D444" s="175"/>
      <c r="E444" s="91" t="str">
        <f t="shared" si="59"/>
        <v>Greenville</v>
      </c>
      <c r="F444" s="92" t="s">
        <v>142</v>
      </c>
      <c r="G444" s="98" t="str">
        <f t="shared" si="67"/>
        <v>CP222-Retention Bonus</v>
      </c>
      <c r="H444" s="178"/>
      <c r="I444" s="78" t="s">
        <v>30</v>
      </c>
      <c r="J444" s="46" t="s">
        <v>31</v>
      </c>
      <c r="K444" s="46" t="s">
        <v>31</v>
      </c>
      <c r="L444" s="47" t="s">
        <v>32</v>
      </c>
      <c r="M444" s="48" t="s">
        <v>32</v>
      </c>
      <c r="N444" s="46" t="s">
        <v>32</v>
      </c>
      <c r="O444" s="46" t="s">
        <v>32</v>
      </c>
      <c r="P444" s="46" t="s">
        <v>32</v>
      </c>
      <c r="Q444" s="46" t="s">
        <v>32</v>
      </c>
      <c r="R444" s="21"/>
      <c r="S444" s="117" t="str">
        <f t="shared" si="56"/>
        <v>N</v>
      </c>
      <c r="T444" s="114">
        <f>IFERROR(SUMIF('Current NLData'!A:A,'Payment Changes'!G444,'Current NLData'!K:K)/COUNTIF('Current NLData'!A:A,'Payment Changes'!G444),0)+IFERROR(VLOOKUP(G444&amp;"-ALL",NLPaymentExport,10,FALSE),0)</f>
        <v>0</v>
      </c>
      <c r="U444" s="118" t="str">
        <f t="shared" si="58"/>
        <v/>
      </c>
    </row>
    <row r="445" spans="1:54" s="15" customFormat="1" ht="17.100000000000001" hidden="1" customHeight="1" x14ac:dyDescent="0.25">
      <c r="A445" s="167"/>
      <c r="B445" s="170"/>
      <c r="C445" s="173"/>
      <c r="D445" s="176"/>
      <c r="E445" s="110" t="str">
        <f t="shared" si="59"/>
        <v>Greenville</v>
      </c>
      <c r="F445" s="111" t="s">
        <v>142</v>
      </c>
      <c r="G445" s="112" t="str">
        <f t="shared" si="67"/>
        <v>CP222-Referral</v>
      </c>
      <c r="H445" s="179"/>
      <c r="I445" s="79" t="s">
        <v>34</v>
      </c>
      <c r="J445" s="49">
        <v>50</v>
      </c>
      <c r="K445" s="49">
        <v>0</v>
      </c>
      <c r="L445" s="50" t="s">
        <v>32</v>
      </c>
      <c r="M445" s="51" t="s">
        <v>32</v>
      </c>
      <c r="N445" s="49" t="s">
        <v>32</v>
      </c>
      <c r="O445" s="49">
        <v>50</v>
      </c>
      <c r="P445" s="49">
        <v>50</v>
      </c>
      <c r="Q445" s="49">
        <v>50</v>
      </c>
      <c r="R445" s="113"/>
      <c r="S445" s="117" t="str">
        <f t="shared" si="56"/>
        <v>N</v>
      </c>
      <c r="T445" s="114">
        <f>IFERROR(SUMIF('Current NLData'!A:A,'Payment Changes'!G445,'Current NLData'!K:K)/COUNTIF('Current NLData'!A:A,'Payment Changes'!G445),0)+IFERROR(VLOOKUP(G445&amp;"-ALL",NLPaymentExport,10,FALSE),0)</f>
        <v>0</v>
      </c>
      <c r="U445" s="118" t="str">
        <f t="shared" si="58"/>
        <v/>
      </c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</row>
    <row r="446" spans="1:54" ht="17.100000000000001" hidden="1" customHeight="1" outlineLevel="1" x14ac:dyDescent="0.25">
      <c r="A446" s="3"/>
      <c r="C446" s="4"/>
      <c r="D446" s="180" t="s">
        <v>142</v>
      </c>
      <c r="E446" s="91" t="str">
        <f t="shared" si="59"/>
        <v>Greenville</v>
      </c>
      <c r="F446" s="93" t="str">
        <f t="shared" si="60"/>
        <v>CP222</v>
      </c>
      <c r="G446" s="99" t="str">
        <f t="shared" si="67"/>
        <v>CP222-NEW DONOR -1st</v>
      </c>
      <c r="H446" s="182" t="s">
        <v>36</v>
      </c>
      <c r="I446" s="33" t="s">
        <v>37</v>
      </c>
      <c r="J446" s="60">
        <v>65</v>
      </c>
      <c r="K446" s="61">
        <v>65</v>
      </c>
      <c r="L446" s="60">
        <v>60</v>
      </c>
      <c r="M446" s="60">
        <v>60</v>
      </c>
      <c r="N446" s="60">
        <v>60</v>
      </c>
      <c r="O446" s="60">
        <v>60</v>
      </c>
      <c r="P446" s="60">
        <v>60</v>
      </c>
      <c r="Q446" s="60">
        <v>150</v>
      </c>
      <c r="R446" s="23"/>
      <c r="S446" s="117" t="str">
        <f t="shared" si="56"/>
        <v>Y</v>
      </c>
      <c r="T446" s="114">
        <f>IFERROR(SUMIF('Current NLData'!A:A,'Payment Changes'!G446,'Current NLData'!K:K)/COUNTIF('Current NLData'!A:A,'Payment Changes'!G446),0)+IFERROR(VLOOKUP(G446&amp;"-ALL",NLPaymentExport,10,FALSE),0)</f>
        <v>60</v>
      </c>
      <c r="U446" s="118">
        <f t="shared" si="58"/>
        <v>-90</v>
      </c>
    </row>
    <row r="447" spans="1:54" ht="17.100000000000001" hidden="1" customHeight="1" outlineLevel="1" x14ac:dyDescent="0.25">
      <c r="A447" s="3"/>
      <c r="C447" s="4"/>
      <c r="D447" s="181"/>
      <c r="E447" s="91" t="str">
        <f t="shared" si="59"/>
        <v>Greenville</v>
      </c>
      <c r="F447" s="93" t="str">
        <f t="shared" si="60"/>
        <v>CP222</v>
      </c>
      <c r="G447" s="99" t="str">
        <f t="shared" si="67"/>
        <v>CP222-NEW DONOR -2nd</v>
      </c>
      <c r="H447" s="182"/>
      <c r="I447" s="34" t="s">
        <v>38</v>
      </c>
      <c r="J447" s="58">
        <v>65</v>
      </c>
      <c r="K447" s="62">
        <v>70</v>
      </c>
      <c r="L447" s="58">
        <v>60</v>
      </c>
      <c r="M447" s="58">
        <v>60</v>
      </c>
      <c r="N447" s="58">
        <v>60</v>
      </c>
      <c r="O447" s="58">
        <v>60</v>
      </c>
      <c r="P447" s="58">
        <v>60</v>
      </c>
      <c r="Q447" s="58">
        <v>150</v>
      </c>
      <c r="R447" s="23"/>
      <c r="S447" s="117" t="str">
        <f t="shared" si="56"/>
        <v>Y</v>
      </c>
      <c r="T447" s="114">
        <f>IFERROR(SUMIF('Current NLData'!A:A,'Payment Changes'!G447,'Current NLData'!K:K)/COUNTIF('Current NLData'!A:A,'Payment Changes'!G447),0)+IFERROR(VLOOKUP(G447&amp;"-ALL",NLPaymentExport,10,FALSE),0)</f>
        <v>60</v>
      </c>
      <c r="U447" s="118">
        <f t="shared" si="58"/>
        <v>-90</v>
      </c>
    </row>
    <row r="448" spans="1:54" ht="17.100000000000001" hidden="1" customHeight="1" outlineLevel="1" x14ac:dyDescent="0.25">
      <c r="A448" s="3"/>
      <c r="C448" s="4"/>
      <c r="D448" s="181"/>
      <c r="E448" s="91" t="str">
        <f t="shared" si="59"/>
        <v>Greenville</v>
      </c>
      <c r="F448" s="93" t="str">
        <f t="shared" si="60"/>
        <v>CP222</v>
      </c>
      <c r="G448" s="99" t="str">
        <f t="shared" si="67"/>
        <v>CP222-NEW DONOR -3rd</v>
      </c>
      <c r="H448" s="182"/>
      <c r="I448" s="34" t="s">
        <v>39</v>
      </c>
      <c r="J448" s="58">
        <v>65</v>
      </c>
      <c r="K448" s="62">
        <v>65</v>
      </c>
      <c r="L448" s="58">
        <v>60</v>
      </c>
      <c r="M448" s="58">
        <v>60</v>
      </c>
      <c r="N448" s="58">
        <v>60</v>
      </c>
      <c r="O448" s="58">
        <v>60</v>
      </c>
      <c r="P448" s="58">
        <v>60</v>
      </c>
      <c r="Q448" s="58">
        <v>50</v>
      </c>
      <c r="R448" s="23"/>
      <c r="S448" s="117" t="str">
        <f t="shared" si="56"/>
        <v>Y</v>
      </c>
      <c r="T448" s="114">
        <f>IFERROR(SUMIF('Current NLData'!A:A,'Payment Changes'!G448,'Current NLData'!K:K)/COUNTIF('Current NLData'!A:A,'Payment Changes'!G448),0)+IFERROR(VLOOKUP(G448&amp;"-ALL",NLPaymentExport,10,FALSE),0)</f>
        <v>60</v>
      </c>
      <c r="U448" s="118">
        <f t="shared" si="58"/>
        <v>10</v>
      </c>
    </row>
    <row r="449" spans="1:54" ht="17.100000000000001" hidden="1" customHeight="1" outlineLevel="1" x14ac:dyDescent="0.25">
      <c r="A449" s="3"/>
      <c r="C449" s="4"/>
      <c r="D449" s="181"/>
      <c r="E449" s="91" t="str">
        <f t="shared" si="59"/>
        <v>Greenville</v>
      </c>
      <c r="F449" s="93" t="str">
        <f t="shared" si="60"/>
        <v>CP222</v>
      </c>
      <c r="G449" s="99" t="str">
        <f t="shared" si="67"/>
        <v>CP222-NEW DONOR -4th</v>
      </c>
      <c r="H449" s="182"/>
      <c r="I449" s="34" t="s">
        <v>40</v>
      </c>
      <c r="J449" s="58">
        <v>65</v>
      </c>
      <c r="K449" s="62">
        <v>70</v>
      </c>
      <c r="L449" s="58">
        <v>60</v>
      </c>
      <c r="M449" s="58">
        <v>60</v>
      </c>
      <c r="N449" s="58">
        <v>60</v>
      </c>
      <c r="O449" s="58">
        <v>60</v>
      </c>
      <c r="P449" s="58">
        <v>60</v>
      </c>
      <c r="Q449" s="58">
        <v>50</v>
      </c>
      <c r="R449" s="23"/>
      <c r="S449" s="117" t="str">
        <f t="shared" si="56"/>
        <v>Y</v>
      </c>
      <c r="T449" s="114">
        <f>IFERROR(SUMIF('Current NLData'!A:A,'Payment Changes'!G449,'Current NLData'!K:K)/COUNTIF('Current NLData'!A:A,'Payment Changes'!G449),0)+IFERROR(VLOOKUP(G449&amp;"-ALL",NLPaymentExport,10,FALSE),0)</f>
        <v>60</v>
      </c>
      <c r="U449" s="118">
        <f t="shared" si="58"/>
        <v>10</v>
      </c>
    </row>
    <row r="450" spans="1:54" ht="17.100000000000001" hidden="1" customHeight="1" outlineLevel="1" x14ac:dyDescent="0.25">
      <c r="A450" s="3"/>
      <c r="C450" s="4"/>
      <c r="D450" s="181"/>
      <c r="E450" s="91" t="str">
        <f t="shared" si="59"/>
        <v>Greenville</v>
      </c>
      <c r="F450" s="93" t="str">
        <f t="shared" si="60"/>
        <v>CP222</v>
      </c>
      <c r="G450" s="99" t="str">
        <f t="shared" si="67"/>
        <v>CP222-NEW DONOR -5th</v>
      </c>
      <c r="H450" s="182"/>
      <c r="I450" s="34" t="s">
        <v>41</v>
      </c>
      <c r="J450" s="58">
        <v>65</v>
      </c>
      <c r="K450" s="62">
        <v>65</v>
      </c>
      <c r="L450" s="58">
        <v>60</v>
      </c>
      <c r="M450" s="58">
        <v>60</v>
      </c>
      <c r="N450" s="58">
        <v>60</v>
      </c>
      <c r="O450" s="58">
        <v>60</v>
      </c>
      <c r="P450" s="58">
        <v>60</v>
      </c>
      <c r="Q450" s="58">
        <v>50</v>
      </c>
      <c r="R450" s="23"/>
      <c r="S450" s="117" t="str">
        <f t="shared" si="56"/>
        <v>Y</v>
      </c>
      <c r="T450" s="114">
        <f>IFERROR(SUMIF('Current NLData'!A:A,'Payment Changes'!G450,'Current NLData'!K:K)/COUNTIF('Current NLData'!A:A,'Payment Changes'!G450),0)+IFERROR(VLOOKUP(G450&amp;"-ALL",NLPaymentExport,10,FALSE),0)</f>
        <v>60</v>
      </c>
      <c r="U450" s="118">
        <f t="shared" si="58"/>
        <v>10</v>
      </c>
    </row>
    <row r="451" spans="1:54" ht="17.100000000000001" hidden="1" customHeight="1" outlineLevel="1" x14ac:dyDescent="0.25">
      <c r="A451" s="3"/>
      <c r="C451" s="4"/>
      <c r="D451" s="181"/>
      <c r="E451" s="91" t="str">
        <f t="shared" si="59"/>
        <v>Greenville</v>
      </c>
      <c r="F451" s="93" t="str">
        <f t="shared" si="60"/>
        <v>CP222</v>
      </c>
      <c r="G451" s="99" t="str">
        <f t="shared" si="67"/>
        <v>CP222-NEW DONOR -6th</v>
      </c>
      <c r="H451" s="182"/>
      <c r="I451" s="34" t="s">
        <v>42</v>
      </c>
      <c r="J451" s="58">
        <v>65</v>
      </c>
      <c r="K451" s="62">
        <v>70</v>
      </c>
      <c r="L451" s="58">
        <v>60</v>
      </c>
      <c r="M451" s="58">
        <v>60</v>
      </c>
      <c r="N451" s="58">
        <v>60</v>
      </c>
      <c r="O451" s="58">
        <v>60</v>
      </c>
      <c r="P451" s="58">
        <v>60</v>
      </c>
      <c r="Q451" s="58">
        <v>50</v>
      </c>
      <c r="R451" s="23"/>
      <c r="S451" s="117" t="str">
        <f t="shared" ref="S451:S514" si="68">IF(P451=Q451,"N","Y")</f>
        <v>Y</v>
      </c>
      <c r="T451" s="114">
        <f>IFERROR(SUMIF('Current NLData'!A:A,'Payment Changes'!G451,'Current NLData'!K:K)/COUNTIF('Current NLData'!A:A,'Payment Changes'!G451),0)+IFERROR(VLOOKUP(G451&amp;"-ALL",NLPaymentExport,10,FALSE),0)</f>
        <v>60</v>
      </c>
      <c r="U451" s="118">
        <f t="shared" si="58"/>
        <v>10</v>
      </c>
    </row>
    <row r="452" spans="1:54" ht="17.100000000000001" hidden="1" customHeight="1" outlineLevel="1" x14ac:dyDescent="0.25">
      <c r="A452" s="3"/>
      <c r="C452" s="4"/>
      <c r="D452" s="181"/>
      <c r="E452" s="91" t="str">
        <f t="shared" si="59"/>
        <v>Greenville</v>
      </c>
      <c r="F452" s="93" t="str">
        <f t="shared" si="60"/>
        <v>CP222</v>
      </c>
      <c r="G452" s="99" t="str">
        <f t="shared" si="67"/>
        <v>CP222-NEW DONOR -7th</v>
      </c>
      <c r="H452" s="182"/>
      <c r="I452" s="34" t="s">
        <v>43</v>
      </c>
      <c r="J452" s="58">
        <v>65</v>
      </c>
      <c r="K452" s="62">
        <v>65</v>
      </c>
      <c r="L452" s="58">
        <v>60</v>
      </c>
      <c r="M452" s="58">
        <v>60</v>
      </c>
      <c r="N452" s="58">
        <v>60</v>
      </c>
      <c r="O452" s="58">
        <v>60</v>
      </c>
      <c r="P452" s="58">
        <v>60</v>
      </c>
      <c r="Q452" s="58">
        <v>50</v>
      </c>
      <c r="R452" s="23"/>
      <c r="S452" s="117" t="str">
        <f t="shared" si="68"/>
        <v>Y</v>
      </c>
      <c r="T452" s="114">
        <f>IFERROR(SUMIF('Current NLData'!A:A,'Payment Changes'!G452,'Current NLData'!K:K)/COUNTIF('Current NLData'!A:A,'Payment Changes'!G452),0)+IFERROR(VLOOKUP(G452&amp;"-ALL",NLPaymentExport,10,FALSE),0)</f>
        <v>60</v>
      </c>
      <c r="U452" s="118">
        <f t="shared" si="58"/>
        <v>10</v>
      </c>
    </row>
    <row r="453" spans="1:54" ht="17.100000000000001" hidden="1" customHeight="1" outlineLevel="1" x14ac:dyDescent="0.25">
      <c r="A453" s="3"/>
      <c r="C453" s="4"/>
      <c r="D453" s="181"/>
      <c r="E453" s="91" t="str">
        <f t="shared" si="59"/>
        <v>Greenville</v>
      </c>
      <c r="F453" s="93" t="str">
        <f t="shared" si="60"/>
        <v>CP222</v>
      </c>
      <c r="G453" s="99" t="str">
        <f t="shared" si="67"/>
        <v>CP222-NEW DONOR -8th</v>
      </c>
      <c r="H453" s="182"/>
      <c r="I453" s="35" t="s">
        <v>44</v>
      </c>
      <c r="J453" s="63">
        <v>65</v>
      </c>
      <c r="K453" s="64">
        <v>70</v>
      </c>
      <c r="L453" s="63">
        <v>60</v>
      </c>
      <c r="M453" s="63">
        <v>60</v>
      </c>
      <c r="N453" s="63">
        <v>60</v>
      </c>
      <c r="O453" s="63">
        <v>60</v>
      </c>
      <c r="P453" s="63">
        <v>60</v>
      </c>
      <c r="Q453" s="63">
        <v>50</v>
      </c>
      <c r="R453" s="23"/>
      <c r="S453" s="117" t="str">
        <f t="shared" si="68"/>
        <v>Y</v>
      </c>
      <c r="T453" s="114">
        <f>IFERROR(SUMIF('Current NLData'!A:A,'Payment Changes'!G453,'Current NLData'!K:K)/COUNTIF('Current NLData'!A:A,'Payment Changes'!G453),0)+IFERROR(VLOOKUP(G453&amp;"-ALL",NLPaymentExport,10,FALSE),0)</f>
        <v>60</v>
      </c>
      <c r="U453" s="118">
        <f t="shared" si="58"/>
        <v>10</v>
      </c>
    </row>
    <row r="454" spans="1:54" ht="17.100000000000001" hidden="1" customHeight="1" outlineLevel="1" x14ac:dyDescent="0.25">
      <c r="A454" s="3"/>
      <c r="C454" s="4"/>
      <c r="D454" s="181"/>
      <c r="E454" s="91" t="str">
        <f t="shared" si="59"/>
        <v>Greenville</v>
      </c>
      <c r="F454" s="93" t="str">
        <f t="shared" si="60"/>
        <v>CP222</v>
      </c>
      <c r="G454" s="99" t="str">
        <f t="shared" si="67"/>
        <v>CP222-RETURN - 1st don of the week -STD</v>
      </c>
      <c r="H454" s="182"/>
      <c r="I454" s="36" t="s">
        <v>45</v>
      </c>
      <c r="J454" s="58">
        <v>65</v>
      </c>
      <c r="K454" s="58">
        <f>J454</f>
        <v>65</v>
      </c>
      <c r="L454" s="58">
        <v>60</v>
      </c>
      <c r="M454" s="58">
        <v>60</v>
      </c>
      <c r="N454" s="58">
        <v>60</v>
      </c>
      <c r="O454" s="58">
        <v>60</v>
      </c>
      <c r="P454" s="58">
        <v>60</v>
      </c>
      <c r="Q454" s="58">
        <v>50</v>
      </c>
      <c r="R454" s="22"/>
      <c r="S454" s="117" t="str">
        <f t="shared" si="68"/>
        <v>Y</v>
      </c>
      <c r="T454" s="114">
        <f>IFERROR(SUMIF('Current NLData'!A:A,'Payment Changes'!G454,'Current NLData'!K:K)/COUNTIF('Current NLData'!A:A,'Payment Changes'!G454),0)+IFERROR(VLOOKUP(G454&amp;"-ALL",NLPaymentExport,10,FALSE),0)</f>
        <v>60</v>
      </c>
      <c r="U454" s="118">
        <f t="shared" si="58"/>
        <v>10</v>
      </c>
    </row>
    <row r="455" spans="1:54" ht="17.100000000000001" hidden="1" customHeight="1" outlineLevel="1" x14ac:dyDescent="0.25">
      <c r="A455" s="3"/>
      <c r="C455" s="4"/>
      <c r="D455" s="181"/>
      <c r="E455" s="91" t="str">
        <f t="shared" si="59"/>
        <v>Greenville</v>
      </c>
      <c r="F455" s="93" t="str">
        <f t="shared" si="60"/>
        <v>CP222</v>
      </c>
      <c r="G455" s="99" t="str">
        <f t="shared" si="67"/>
        <v>CP222-RETURN - 2nd don of the week -BONUS</v>
      </c>
      <c r="H455" s="182"/>
      <c r="I455" s="36" t="s">
        <v>46</v>
      </c>
      <c r="J455" s="58">
        <v>5</v>
      </c>
      <c r="K455" s="58">
        <f>J455</f>
        <v>5</v>
      </c>
      <c r="L455" s="58">
        <v>10</v>
      </c>
      <c r="M455" s="58">
        <v>10</v>
      </c>
      <c r="N455" s="58">
        <v>10</v>
      </c>
      <c r="O455" s="58">
        <v>10</v>
      </c>
      <c r="P455" s="58">
        <v>10</v>
      </c>
      <c r="Q455" s="58">
        <v>20</v>
      </c>
      <c r="R455" s="22"/>
      <c r="S455" s="117" t="str">
        <f t="shared" si="68"/>
        <v>Y</v>
      </c>
      <c r="T455" s="114">
        <f>IFERROR(SUMIF('Current NLData'!A:A,'Payment Changes'!G455,'Current NLData'!K:K)/COUNTIF('Current NLData'!A:A,'Payment Changes'!G455),0)+IFERROR(VLOOKUP(G455&amp;"-ALL",NLPaymentExport,10,FALSE),0)</f>
        <v>10</v>
      </c>
      <c r="U455" s="118">
        <f t="shared" ref="U455:U518" si="69">IF(OR(I455 = "New Donor", I455="Return Donor", I455="Retention Bonus", I455="Referral", I455 = ""),"",T455-Q455 )</f>
        <v>-10</v>
      </c>
    </row>
    <row r="456" spans="1:54" ht="17.100000000000001" hidden="1" customHeight="1" outlineLevel="1" x14ac:dyDescent="0.25">
      <c r="A456" s="3"/>
      <c r="C456" s="4"/>
      <c r="D456" s="181"/>
      <c r="E456" s="91" t="str">
        <f t="shared" ref="E456:E519" si="70">IF(B456 = "",E455,B456)</f>
        <v>Greenville</v>
      </c>
      <c r="F456" s="93" t="str">
        <f t="shared" ref="F456:F519" si="71">IF(D456 = "",F455,D456)</f>
        <v>CP222</v>
      </c>
      <c r="G456" s="99" t="str">
        <f t="shared" si="67"/>
        <v>CP222-RETURN - 5th don of the month -BONUS</v>
      </c>
      <c r="H456" s="182"/>
      <c r="I456" s="37" t="s">
        <v>47</v>
      </c>
      <c r="J456" s="65">
        <v>0</v>
      </c>
      <c r="K456" s="65">
        <v>0</v>
      </c>
      <c r="L456" s="65">
        <v>0</v>
      </c>
      <c r="M456" s="65">
        <v>0</v>
      </c>
      <c r="N456" s="65">
        <v>0</v>
      </c>
      <c r="O456" s="65">
        <v>0</v>
      </c>
      <c r="P456" s="65">
        <v>0</v>
      </c>
      <c r="Q456" s="65">
        <v>0</v>
      </c>
      <c r="R456" s="22"/>
      <c r="S456" s="117" t="str">
        <f t="shared" si="68"/>
        <v>N</v>
      </c>
      <c r="T456" s="114">
        <f>IFERROR(SUMIF('Current NLData'!A:A,'Payment Changes'!G456,'Current NLData'!K:K)/COUNTIF('Current NLData'!A:A,'Payment Changes'!G456),0)+IFERROR(VLOOKUP(G456&amp;"-ALL",NLPaymentExport,10,FALSE),0)</f>
        <v>0</v>
      </c>
      <c r="U456" s="118">
        <f t="shared" si="69"/>
        <v>0</v>
      </c>
    </row>
    <row r="457" spans="1:54" ht="17.100000000000001" hidden="1" customHeight="1" outlineLevel="1" x14ac:dyDescent="0.25">
      <c r="A457" s="3"/>
      <c r="C457" s="4"/>
      <c r="D457" s="181"/>
      <c r="E457" s="91" t="str">
        <f t="shared" si="70"/>
        <v>Greenville</v>
      </c>
      <c r="F457" s="93" t="str">
        <f t="shared" si="71"/>
        <v>CP222</v>
      </c>
      <c r="G457" s="99" t="str">
        <f t="shared" si="67"/>
        <v>CP222-RETURN - 6th don of the month -BONUS</v>
      </c>
      <c r="H457" s="182"/>
      <c r="I457" s="38" t="s">
        <v>48</v>
      </c>
      <c r="J457" s="58">
        <v>0</v>
      </c>
      <c r="K457" s="58">
        <v>0</v>
      </c>
      <c r="L457" s="58">
        <v>0</v>
      </c>
      <c r="M457" s="58">
        <v>0</v>
      </c>
      <c r="N457" s="58">
        <v>0</v>
      </c>
      <c r="O457" s="58">
        <v>0</v>
      </c>
      <c r="P457" s="58">
        <v>0</v>
      </c>
      <c r="Q457" s="58">
        <v>0</v>
      </c>
      <c r="R457" s="22"/>
      <c r="S457" s="117" t="str">
        <f t="shared" si="68"/>
        <v>N</v>
      </c>
      <c r="T457" s="114">
        <f>IFERROR(SUMIF('Current NLData'!A:A,'Payment Changes'!G457,'Current NLData'!K:K)/COUNTIF('Current NLData'!A:A,'Payment Changes'!G457),0)+IFERROR(VLOOKUP(G457&amp;"-ALL",NLPaymentExport,10,FALSE),0)</f>
        <v>0</v>
      </c>
      <c r="U457" s="118">
        <f t="shared" si="69"/>
        <v>0</v>
      </c>
    </row>
    <row r="458" spans="1:54" ht="17.100000000000001" hidden="1" customHeight="1" outlineLevel="1" x14ac:dyDescent="0.25">
      <c r="A458" s="3"/>
      <c r="C458" s="4"/>
      <c r="D458" s="181"/>
      <c r="E458" s="91" t="str">
        <f t="shared" si="70"/>
        <v>Greenville</v>
      </c>
      <c r="F458" s="93" t="str">
        <f t="shared" si="71"/>
        <v>CP222</v>
      </c>
      <c r="G458" s="99" t="str">
        <f t="shared" si="67"/>
        <v>CP222-RETURN - 7th don of the month -BONUS</v>
      </c>
      <c r="H458" s="182"/>
      <c r="I458" s="38" t="s">
        <v>49</v>
      </c>
      <c r="J458" s="58">
        <v>0</v>
      </c>
      <c r="K458" s="58">
        <v>0</v>
      </c>
      <c r="L458" s="58">
        <v>0</v>
      </c>
      <c r="M458" s="58">
        <v>0</v>
      </c>
      <c r="N458" s="58">
        <v>0</v>
      </c>
      <c r="O458" s="58">
        <v>0</v>
      </c>
      <c r="P458" s="58">
        <v>0</v>
      </c>
      <c r="Q458" s="58">
        <v>0</v>
      </c>
      <c r="R458" s="22"/>
      <c r="S458" s="117" t="str">
        <f t="shared" si="68"/>
        <v>N</v>
      </c>
      <c r="T458" s="114">
        <f>IFERROR(SUMIF('Current NLData'!A:A,'Payment Changes'!G458,'Current NLData'!K:K)/COUNTIF('Current NLData'!A:A,'Payment Changes'!G458),0)+IFERROR(VLOOKUP(G458&amp;"-ALL",NLPaymentExport,10,FALSE),0)</f>
        <v>0</v>
      </c>
      <c r="U458" s="118">
        <f t="shared" si="69"/>
        <v>0</v>
      </c>
    </row>
    <row r="459" spans="1:54" ht="17.100000000000001" hidden="1" customHeight="1" outlineLevel="1" x14ac:dyDescent="0.25">
      <c r="A459" s="3"/>
      <c r="C459" s="4"/>
      <c r="D459" s="181"/>
      <c r="E459" s="91" t="str">
        <f t="shared" si="70"/>
        <v>Greenville</v>
      </c>
      <c r="F459" s="93" t="str">
        <f t="shared" si="71"/>
        <v>CP222</v>
      </c>
      <c r="G459" s="99" t="str">
        <f t="shared" si="67"/>
        <v>CP222-RETURN - 8th don of the month -BONUS</v>
      </c>
      <c r="H459" s="182"/>
      <c r="I459" s="38" t="s">
        <v>50</v>
      </c>
      <c r="J459" s="58">
        <v>25</v>
      </c>
      <c r="K459" s="58">
        <f>J459</f>
        <v>25</v>
      </c>
      <c r="L459" s="58">
        <v>0</v>
      </c>
      <c r="M459" s="58">
        <v>0</v>
      </c>
      <c r="N459" s="58">
        <v>0</v>
      </c>
      <c r="O459" s="58">
        <v>0</v>
      </c>
      <c r="P459" s="58">
        <v>0</v>
      </c>
      <c r="Q459" s="58">
        <v>0</v>
      </c>
      <c r="R459" s="22"/>
      <c r="S459" s="117" t="str">
        <f t="shared" si="68"/>
        <v>N</v>
      </c>
      <c r="T459" s="114">
        <f>IFERROR(SUMIF('Current NLData'!A:A,'Payment Changes'!G459,'Current NLData'!K:K)/COUNTIF('Current NLData'!A:A,'Payment Changes'!G459),0)+IFERROR(VLOOKUP(G459&amp;"-ALL",NLPaymentExport,10,FALSE),0)</f>
        <v>0</v>
      </c>
      <c r="U459" s="118">
        <f t="shared" si="69"/>
        <v>0</v>
      </c>
    </row>
    <row r="460" spans="1:54" ht="17.100000000000001" hidden="1" customHeight="1" outlineLevel="1" x14ac:dyDescent="0.25">
      <c r="A460" s="3"/>
      <c r="C460" s="4" t="str">
        <f>IF(J460=0,"Warning","")</f>
        <v/>
      </c>
      <c r="D460" s="181"/>
      <c r="E460" s="91" t="str">
        <f t="shared" si="70"/>
        <v>Greenville</v>
      </c>
      <c r="F460" s="93" t="str">
        <f t="shared" si="71"/>
        <v>CP222</v>
      </c>
      <c r="G460" s="99" t="str">
        <f t="shared" si="67"/>
        <v>CP222-RETURN - Buddy referral  -BONUS</v>
      </c>
      <c r="H460" s="182"/>
      <c r="I460" s="39" t="s">
        <v>51</v>
      </c>
      <c r="J460" s="58">
        <v>50</v>
      </c>
      <c r="K460" s="62">
        <v>0</v>
      </c>
      <c r="L460" s="58">
        <v>0</v>
      </c>
      <c r="M460" s="58">
        <v>0</v>
      </c>
      <c r="N460" s="58">
        <v>0</v>
      </c>
      <c r="O460" s="58">
        <v>50</v>
      </c>
      <c r="P460" s="58">
        <v>50</v>
      </c>
      <c r="Q460" s="58">
        <v>50</v>
      </c>
      <c r="R460" s="23"/>
      <c r="S460" s="117" t="str">
        <f t="shared" si="68"/>
        <v>N</v>
      </c>
      <c r="T460" s="114">
        <f>IFERROR(SUMIF('Current NLData'!A:A,'Payment Changes'!G460,'Current NLData'!K:K)/COUNTIF('Current NLData'!A:A,'Payment Changes'!G460),0)+IFERROR(VLOOKUP(G460&amp;"-ALL",NLPaymentExport,10,FALSE),0)</f>
        <v>50</v>
      </c>
      <c r="U460" s="118">
        <f t="shared" si="69"/>
        <v>0</v>
      </c>
    </row>
    <row r="461" spans="1:54" s="90" customFormat="1" ht="17.100000000000001" hidden="1" customHeight="1" collapsed="1" x14ac:dyDescent="0.35">
      <c r="A461" s="85"/>
      <c r="B461" s="85"/>
      <c r="C461" s="86"/>
      <c r="D461" s="87"/>
      <c r="E461" s="87"/>
      <c r="F461" s="87"/>
      <c r="G461" s="87"/>
      <c r="H461" s="96"/>
      <c r="I461" s="88"/>
      <c r="J461" s="89"/>
      <c r="K461" s="89"/>
      <c r="L461" s="89"/>
      <c r="M461" s="89"/>
      <c r="N461" s="89"/>
      <c r="O461" s="89"/>
      <c r="P461" s="89"/>
      <c r="Q461" s="89"/>
      <c r="R461" s="21"/>
      <c r="S461" s="117" t="str">
        <f t="shared" si="68"/>
        <v>N</v>
      </c>
      <c r="T461" s="114">
        <f>IFERROR(SUMIF('Current NLData'!A:A,'Payment Changes'!G461,'Current NLData'!K:K)/COUNTIF('Current NLData'!A:A,'Payment Changes'!G461),0)+IFERROR(VLOOKUP(G461&amp;"-ALL",NLPaymentExport,10,FALSE),0)</f>
        <v>0</v>
      </c>
      <c r="U461" s="118" t="str">
        <f t="shared" si="69"/>
        <v/>
      </c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</row>
    <row r="462" spans="1:54" s="10" customFormat="1" ht="17.100000000000001" hidden="1" customHeight="1" x14ac:dyDescent="0.25">
      <c r="A462" s="165">
        <v>24</v>
      </c>
      <c r="B462" s="168" t="s">
        <v>145</v>
      </c>
      <c r="C462" s="171" t="s">
        <v>19</v>
      </c>
      <c r="D462" s="174" t="s">
        <v>57</v>
      </c>
      <c r="E462" s="106" t="str">
        <f t="shared" si="70"/>
        <v>Farmington</v>
      </c>
      <c r="F462" s="107" t="s">
        <v>146</v>
      </c>
      <c r="G462" s="108" t="str">
        <f t="shared" ref="G462:G480" si="72">F462&amp;"-"&amp;I462</f>
        <v>CP207-New Donor</v>
      </c>
      <c r="H462" s="177" t="s">
        <v>147</v>
      </c>
      <c r="I462" s="76" t="s">
        <v>23</v>
      </c>
      <c r="J462" s="40" t="s">
        <v>148</v>
      </c>
      <c r="K462" s="41" t="s">
        <v>148</v>
      </c>
      <c r="L462" s="41" t="s">
        <v>149</v>
      </c>
      <c r="M462" s="42" t="s">
        <v>149</v>
      </c>
      <c r="N462" s="40" t="s">
        <v>149</v>
      </c>
      <c r="O462" s="40" t="s">
        <v>149</v>
      </c>
      <c r="P462" s="40" t="s">
        <v>149</v>
      </c>
      <c r="Q462" s="40" t="s">
        <v>150</v>
      </c>
      <c r="R462" s="109"/>
      <c r="S462" s="117" t="str">
        <f t="shared" si="68"/>
        <v>Y</v>
      </c>
      <c r="T462" s="114">
        <f>IFERROR(SUMIF('Current NLData'!A:A,'Payment Changes'!G462,'Current NLData'!K:K)/COUNTIF('Current NLData'!A:A,'Payment Changes'!G462),0)+IFERROR(VLOOKUP(G462&amp;"-ALL",NLPaymentExport,10,FALSE),0)</f>
        <v>0</v>
      </c>
      <c r="U462" s="118" t="str">
        <f t="shared" si="69"/>
        <v/>
      </c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</row>
    <row r="463" spans="1:54" ht="17.100000000000001" hidden="1" customHeight="1" x14ac:dyDescent="0.25">
      <c r="A463" s="166"/>
      <c r="B463" s="169"/>
      <c r="C463" s="172"/>
      <c r="D463" s="175"/>
      <c r="E463" s="91" t="str">
        <f t="shared" si="70"/>
        <v>Farmington</v>
      </c>
      <c r="F463" s="92" t="s">
        <v>146</v>
      </c>
      <c r="G463" s="98" t="str">
        <f t="shared" si="72"/>
        <v>CP207-Return Donor</v>
      </c>
      <c r="H463" s="178"/>
      <c r="I463" s="77" t="s">
        <v>29</v>
      </c>
      <c r="J463" s="43" t="s">
        <v>148</v>
      </c>
      <c r="K463" s="43" t="s">
        <v>148</v>
      </c>
      <c r="L463" s="44" t="s">
        <v>149</v>
      </c>
      <c r="M463" s="45" t="s">
        <v>149</v>
      </c>
      <c r="N463" s="43" t="s">
        <v>149</v>
      </c>
      <c r="O463" s="43" t="s">
        <v>149</v>
      </c>
      <c r="P463" s="43" t="s">
        <v>149</v>
      </c>
      <c r="Q463" s="43" t="s">
        <v>151</v>
      </c>
      <c r="R463" s="21"/>
      <c r="S463" s="117" t="str">
        <f t="shared" si="68"/>
        <v>Y</v>
      </c>
      <c r="T463" s="114">
        <f>IFERROR(SUMIF('Current NLData'!A:A,'Payment Changes'!G463,'Current NLData'!K:K)/COUNTIF('Current NLData'!A:A,'Payment Changes'!G463),0)+IFERROR(VLOOKUP(G463&amp;"-ALL",NLPaymentExport,10,FALSE),0)</f>
        <v>0</v>
      </c>
      <c r="U463" s="118" t="str">
        <f t="shared" si="69"/>
        <v/>
      </c>
    </row>
    <row r="464" spans="1:54" ht="17.100000000000001" hidden="1" customHeight="1" x14ac:dyDescent="0.25">
      <c r="A464" s="166"/>
      <c r="B464" s="169"/>
      <c r="C464" s="172"/>
      <c r="D464" s="175"/>
      <c r="E464" s="91" t="str">
        <f t="shared" si="70"/>
        <v>Farmington</v>
      </c>
      <c r="F464" s="92" t="s">
        <v>146</v>
      </c>
      <c r="G464" s="98" t="str">
        <f t="shared" si="72"/>
        <v>CP207-Retention Bonus</v>
      </c>
      <c r="H464" s="178"/>
      <c r="I464" s="78" t="s">
        <v>30</v>
      </c>
      <c r="J464" s="46" t="s">
        <v>31</v>
      </c>
      <c r="K464" s="46" t="s">
        <v>31</v>
      </c>
      <c r="L464" s="47" t="s">
        <v>32</v>
      </c>
      <c r="M464" s="48" t="s">
        <v>32</v>
      </c>
      <c r="N464" s="46" t="s">
        <v>32</v>
      </c>
      <c r="O464" s="46" t="s">
        <v>32</v>
      </c>
      <c r="P464" s="46" t="s">
        <v>32</v>
      </c>
      <c r="Q464" s="46" t="s">
        <v>32</v>
      </c>
      <c r="R464" s="21"/>
      <c r="S464" s="117" t="str">
        <f t="shared" si="68"/>
        <v>N</v>
      </c>
      <c r="T464" s="114">
        <f>IFERROR(SUMIF('Current NLData'!A:A,'Payment Changes'!G464,'Current NLData'!K:K)/COUNTIF('Current NLData'!A:A,'Payment Changes'!G464),0)+IFERROR(VLOOKUP(G464&amp;"-ALL",NLPaymentExport,10,FALSE),0)</f>
        <v>0</v>
      </c>
      <c r="U464" s="118" t="str">
        <f t="shared" si="69"/>
        <v/>
      </c>
    </row>
    <row r="465" spans="1:54" s="15" customFormat="1" ht="17.100000000000001" hidden="1" customHeight="1" x14ac:dyDescent="0.25">
      <c r="A465" s="167"/>
      <c r="B465" s="170"/>
      <c r="C465" s="173"/>
      <c r="D465" s="176"/>
      <c r="E465" s="110" t="str">
        <f t="shared" si="70"/>
        <v>Farmington</v>
      </c>
      <c r="F465" s="111" t="s">
        <v>146</v>
      </c>
      <c r="G465" s="112" t="str">
        <f t="shared" si="72"/>
        <v>CP207-Referral</v>
      </c>
      <c r="H465" s="179"/>
      <c r="I465" s="79" t="s">
        <v>34</v>
      </c>
      <c r="J465" s="49">
        <v>50</v>
      </c>
      <c r="K465" s="49">
        <v>50</v>
      </c>
      <c r="L465" s="50" t="s">
        <v>32</v>
      </c>
      <c r="M465" s="51" t="s">
        <v>32</v>
      </c>
      <c r="N465" s="49" t="s">
        <v>32</v>
      </c>
      <c r="O465" s="49">
        <v>50</v>
      </c>
      <c r="P465" s="49">
        <v>50</v>
      </c>
      <c r="Q465" s="49">
        <v>50</v>
      </c>
      <c r="R465" s="113"/>
      <c r="S465" s="117" t="str">
        <f t="shared" si="68"/>
        <v>N</v>
      </c>
      <c r="T465" s="114">
        <f>IFERROR(SUMIF('Current NLData'!A:A,'Payment Changes'!G465,'Current NLData'!K:K)/COUNTIF('Current NLData'!A:A,'Payment Changes'!G465),0)+IFERROR(VLOOKUP(G465&amp;"-ALL",NLPaymentExport,10,FALSE),0)</f>
        <v>0</v>
      </c>
      <c r="U465" s="118" t="str">
        <f t="shared" si="69"/>
        <v/>
      </c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</row>
    <row r="466" spans="1:54" ht="17.100000000000001" hidden="1" customHeight="1" outlineLevel="1" x14ac:dyDescent="0.25">
      <c r="A466" s="3"/>
      <c r="C466" s="4"/>
      <c r="D466" s="180" t="s">
        <v>146</v>
      </c>
      <c r="E466" s="91" t="str">
        <f t="shared" si="70"/>
        <v>Farmington</v>
      </c>
      <c r="F466" s="93" t="str">
        <f t="shared" si="71"/>
        <v>CP207</v>
      </c>
      <c r="G466" s="99" t="str">
        <f t="shared" si="72"/>
        <v>CP207-NEW DONOR -1st</v>
      </c>
      <c r="H466" s="182" t="s">
        <v>36</v>
      </c>
      <c r="I466" s="33" t="s">
        <v>37</v>
      </c>
      <c r="J466" s="60">
        <v>55</v>
      </c>
      <c r="K466" s="60">
        <f>J466</f>
        <v>55</v>
      </c>
      <c r="L466" s="60">
        <v>53</v>
      </c>
      <c r="M466" s="60">
        <v>53</v>
      </c>
      <c r="N466" s="60">
        <v>53</v>
      </c>
      <c r="O466" s="60">
        <v>53</v>
      </c>
      <c r="P466" s="60">
        <v>53</v>
      </c>
      <c r="Q466" s="60">
        <v>100</v>
      </c>
      <c r="R466" s="22"/>
      <c r="S466" s="117" t="str">
        <f t="shared" si="68"/>
        <v>Y</v>
      </c>
      <c r="T466" s="114">
        <f>IFERROR(SUMIF('Current NLData'!A:A,'Payment Changes'!G466,'Current NLData'!K:K)/COUNTIF('Current NLData'!A:A,'Payment Changes'!G466),0)+IFERROR(VLOOKUP(G466&amp;"-ALL",NLPaymentExport,10,FALSE),0)</f>
        <v>53</v>
      </c>
      <c r="U466" s="118">
        <f t="shared" si="69"/>
        <v>-47</v>
      </c>
    </row>
    <row r="467" spans="1:54" ht="17.100000000000001" hidden="1" customHeight="1" outlineLevel="1" x14ac:dyDescent="0.25">
      <c r="A467" s="3"/>
      <c r="C467" s="4"/>
      <c r="D467" s="181"/>
      <c r="E467" s="91" t="str">
        <f t="shared" si="70"/>
        <v>Farmington</v>
      </c>
      <c r="F467" s="93" t="str">
        <f t="shared" si="71"/>
        <v>CP207</v>
      </c>
      <c r="G467" s="99" t="str">
        <f t="shared" si="72"/>
        <v>CP207-NEW DONOR -2nd</v>
      </c>
      <c r="H467" s="182"/>
      <c r="I467" s="34" t="s">
        <v>38</v>
      </c>
      <c r="J467" s="58">
        <v>55</v>
      </c>
      <c r="K467" s="58">
        <f>J467</f>
        <v>55</v>
      </c>
      <c r="L467" s="58">
        <v>53</v>
      </c>
      <c r="M467" s="58">
        <v>53</v>
      </c>
      <c r="N467" s="58">
        <v>53</v>
      </c>
      <c r="O467" s="58">
        <v>53</v>
      </c>
      <c r="P467" s="58">
        <v>53</v>
      </c>
      <c r="Q467" s="58">
        <v>100</v>
      </c>
      <c r="R467" s="22"/>
      <c r="S467" s="117" t="str">
        <f t="shared" si="68"/>
        <v>Y</v>
      </c>
      <c r="T467" s="114">
        <f>IFERROR(SUMIF('Current NLData'!A:A,'Payment Changes'!G467,'Current NLData'!K:K)/COUNTIF('Current NLData'!A:A,'Payment Changes'!G467),0)+IFERROR(VLOOKUP(G467&amp;"-ALL",NLPaymentExport,10,FALSE),0)</f>
        <v>53</v>
      </c>
      <c r="U467" s="118">
        <f t="shared" si="69"/>
        <v>-47</v>
      </c>
    </row>
    <row r="468" spans="1:54" ht="17.100000000000001" hidden="1" customHeight="1" outlineLevel="1" x14ac:dyDescent="0.25">
      <c r="A468" s="3"/>
      <c r="C468" s="4"/>
      <c r="D468" s="181"/>
      <c r="E468" s="91" t="str">
        <f t="shared" si="70"/>
        <v>Farmington</v>
      </c>
      <c r="F468" s="93" t="str">
        <f t="shared" si="71"/>
        <v>CP207</v>
      </c>
      <c r="G468" s="99" t="str">
        <f t="shared" si="72"/>
        <v>CP207-NEW DONOR -3rd</v>
      </c>
      <c r="H468" s="182"/>
      <c r="I468" s="34" t="s">
        <v>39</v>
      </c>
      <c r="J468" s="58">
        <v>55</v>
      </c>
      <c r="K468" s="58">
        <f t="shared" ref="K468:K472" si="73">J468</f>
        <v>55</v>
      </c>
      <c r="L468" s="58">
        <v>53</v>
      </c>
      <c r="M468" s="58">
        <v>53</v>
      </c>
      <c r="N468" s="58">
        <v>53</v>
      </c>
      <c r="O468" s="58">
        <v>53</v>
      </c>
      <c r="P468" s="58">
        <v>53</v>
      </c>
      <c r="Q468" s="58">
        <v>50</v>
      </c>
      <c r="R468" s="22"/>
      <c r="S468" s="117" t="str">
        <f t="shared" si="68"/>
        <v>Y</v>
      </c>
      <c r="T468" s="114">
        <f>IFERROR(SUMIF('Current NLData'!A:A,'Payment Changes'!G468,'Current NLData'!K:K)/COUNTIF('Current NLData'!A:A,'Payment Changes'!G468),0)+IFERROR(VLOOKUP(G468&amp;"-ALL",NLPaymentExport,10,FALSE),0)</f>
        <v>53</v>
      </c>
      <c r="U468" s="118">
        <f t="shared" si="69"/>
        <v>3</v>
      </c>
    </row>
    <row r="469" spans="1:54" ht="17.100000000000001" hidden="1" customHeight="1" outlineLevel="1" x14ac:dyDescent="0.25">
      <c r="A469" s="3"/>
      <c r="C469" s="4"/>
      <c r="D469" s="181"/>
      <c r="E469" s="91" t="str">
        <f t="shared" si="70"/>
        <v>Farmington</v>
      </c>
      <c r="F469" s="93" t="str">
        <f t="shared" si="71"/>
        <v>CP207</v>
      </c>
      <c r="G469" s="99" t="str">
        <f t="shared" si="72"/>
        <v>CP207-NEW DONOR -4th</v>
      </c>
      <c r="H469" s="182"/>
      <c r="I469" s="34" t="s">
        <v>40</v>
      </c>
      <c r="J469" s="58">
        <v>55</v>
      </c>
      <c r="K469" s="58">
        <f t="shared" si="73"/>
        <v>55</v>
      </c>
      <c r="L469" s="58">
        <v>53</v>
      </c>
      <c r="M469" s="58">
        <v>53</v>
      </c>
      <c r="N469" s="58">
        <v>53</v>
      </c>
      <c r="O469" s="58">
        <v>53</v>
      </c>
      <c r="P469" s="58">
        <v>53</v>
      </c>
      <c r="Q469" s="58">
        <v>50</v>
      </c>
      <c r="R469" s="22"/>
      <c r="S469" s="117" t="str">
        <f t="shared" si="68"/>
        <v>Y</v>
      </c>
      <c r="T469" s="114">
        <f>IFERROR(SUMIF('Current NLData'!A:A,'Payment Changes'!G469,'Current NLData'!K:K)/COUNTIF('Current NLData'!A:A,'Payment Changes'!G469),0)+IFERROR(VLOOKUP(G469&amp;"-ALL",NLPaymentExport,10,FALSE),0)</f>
        <v>53</v>
      </c>
      <c r="U469" s="118">
        <f t="shared" si="69"/>
        <v>3</v>
      </c>
    </row>
    <row r="470" spans="1:54" ht="17.100000000000001" hidden="1" customHeight="1" outlineLevel="1" x14ac:dyDescent="0.25">
      <c r="A470" s="3"/>
      <c r="C470" s="4"/>
      <c r="D470" s="181"/>
      <c r="E470" s="91" t="str">
        <f t="shared" si="70"/>
        <v>Farmington</v>
      </c>
      <c r="F470" s="93" t="str">
        <f t="shared" si="71"/>
        <v>CP207</v>
      </c>
      <c r="G470" s="99" t="str">
        <f t="shared" si="72"/>
        <v>CP207-NEW DONOR -5th</v>
      </c>
      <c r="H470" s="182"/>
      <c r="I470" s="34" t="s">
        <v>41</v>
      </c>
      <c r="J470" s="58">
        <v>55</v>
      </c>
      <c r="K470" s="58">
        <f t="shared" si="73"/>
        <v>55</v>
      </c>
      <c r="L470" s="58">
        <v>53</v>
      </c>
      <c r="M470" s="58">
        <v>53</v>
      </c>
      <c r="N470" s="58">
        <v>53</v>
      </c>
      <c r="O470" s="58">
        <v>53</v>
      </c>
      <c r="P470" s="58">
        <v>53</v>
      </c>
      <c r="Q470" s="58">
        <v>50</v>
      </c>
      <c r="R470" s="22"/>
      <c r="S470" s="117" t="str">
        <f t="shared" si="68"/>
        <v>Y</v>
      </c>
      <c r="T470" s="114">
        <f>IFERROR(SUMIF('Current NLData'!A:A,'Payment Changes'!G470,'Current NLData'!K:K)/COUNTIF('Current NLData'!A:A,'Payment Changes'!G470),0)+IFERROR(VLOOKUP(G470&amp;"-ALL",NLPaymentExport,10,FALSE),0)</f>
        <v>53</v>
      </c>
      <c r="U470" s="118">
        <f t="shared" si="69"/>
        <v>3</v>
      </c>
    </row>
    <row r="471" spans="1:54" ht="17.100000000000001" hidden="1" customHeight="1" outlineLevel="1" x14ac:dyDescent="0.25">
      <c r="A471" s="3"/>
      <c r="C471" s="4"/>
      <c r="D471" s="181"/>
      <c r="E471" s="91" t="str">
        <f t="shared" si="70"/>
        <v>Farmington</v>
      </c>
      <c r="F471" s="93" t="str">
        <f t="shared" si="71"/>
        <v>CP207</v>
      </c>
      <c r="G471" s="99" t="str">
        <f t="shared" si="72"/>
        <v>CP207-NEW DONOR -6th</v>
      </c>
      <c r="H471" s="182"/>
      <c r="I471" s="34" t="s">
        <v>42</v>
      </c>
      <c r="J471" s="58">
        <v>55</v>
      </c>
      <c r="K471" s="58">
        <f t="shared" si="73"/>
        <v>55</v>
      </c>
      <c r="L471" s="58">
        <v>53</v>
      </c>
      <c r="M471" s="58">
        <v>53</v>
      </c>
      <c r="N471" s="58">
        <v>53</v>
      </c>
      <c r="O471" s="58">
        <v>53</v>
      </c>
      <c r="P471" s="58">
        <v>53</v>
      </c>
      <c r="Q471" s="58">
        <v>50</v>
      </c>
      <c r="R471" s="22"/>
      <c r="S471" s="117" t="str">
        <f t="shared" si="68"/>
        <v>Y</v>
      </c>
      <c r="T471" s="114">
        <f>IFERROR(SUMIF('Current NLData'!A:A,'Payment Changes'!G471,'Current NLData'!K:K)/COUNTIF('Current NLData'!A:A,'Payment Changes'!G471),0)+IFERROR(VLOOKUP(G471&amp;"-ALL",NLPaymentExport,10,FALSE),0)</f>
        <v>53</v>
      </c>
      <c r="U471" s="118">
        <f t="shared" si="69"/>
        <v>3</v>
      </c>
    </row>
    <row r="472" spans="1:54" ht="17.100000000000001" hidden="1" customHeight="1" outlineLevel="1" x14ac:dyDescent="0.25">
      <c r="A472" s="3"/>
      <c r="C472" s="4"/>
      <c r="D472" s="181"/>
      <c r="E472" s="91" t="str">
        <f t="shared" si="70"/>
        <v>Farmington</v>
      </c>
      <c r="F472" s="93" t="str">
        <f t="shared" si="71"/>
        <v>CP207</v>
      </c>
      <c r="G472" s="99" t="str">
        <f t="shared" si="72"/>
        <v>CP207-NEW DONOR -7th</v>
      </c>
      <c r="H472" s="182"/>
      <c r="I472" s="34" t="s">
        <v>43</v>
      </c>
      <c r="J472" s="58">
        <v>55</v>
      </c>
      <c r="K472" s="58">
        <f t="shared" si="73"/>
        <v>55</v>
      </c>
      <c r="L472" s="58">
        <v>53</v>
      </c>
      <c r="M472" s="58">
        <v>53</v>
      </c>
      <c r="N472" s="58">
        <v>53</v>
      </c>
      <c r="O472" s="58">
        <v>53</v>
      </c>
      <c r="P472" s="58">
        <v>53</v>
      </c>
      <c r="Q472" s="58">
        <v>50</v>
      </c>
      <c r="R472" s="22"/>
      <c r="S472" s="117" t="str">
        <f t="shared" si="68"/>
        <v>Y</v>
      </c>
      <c r="T472" s="114">
        <f>IFERROR(SUMIF('Current NLData'!A:A,'Payment Changes'!G472,'Current NLData'!K:K)/COUNTIF('Current NLData'!A:A,'Payment Changes'!G472),0)+IFERROR(VLOOKUP(G472&amp;"-ALL",NLPaymentExport,10,FALSE),0)</f>
        <v>53</v>
      </c>
      <c r="U472" s="118">
        <f t="shared" si="69"/>
        <v>3</v>
      </c>
    </row>
    <row r="473" spans="1:54" ht="17.100000000000001" hidden="1" customHeight="1" outlineLevel="1" x14ac:dyDescent="0.25">
      <c r="A473" s="3"/>
      <c r="C473" s="4"/>
      <c r="D473" s="181"/>
      <c r="E473" s="91" t="str">
        <f t="shared" si="70"/>
        <v>Farmington</v>
      </c>
      <c r="F473" s="93" t="str">
        <f t="shared" si="71"/>
        <v>CP207</v>
      </c>
      <c r="G473" s="99" t="str">
        <f t="shared" si="72"/>
        <v>CP207-NEW DONOR -8th</v>
      </c>
      <c r="H473" s="182"/>
      <c r="I473" s="35" t="s">
        <v>44</v>
      </c>
      <c r="J473" s="63">
        <v>55</v>
      </c>
      <c r="K473" s="63">
        <f t="shared" ref="K473:K475" si="74">J473</f>
        <v>55</v>
      </c>
      <c r="L473" s="63">
        <v>53</v>
      </c>
      <c r="M473" s="63">
        <v>53</v>
      </c>
      <c r="N473" s="63">
        <v>53</v>
      </c>
      <c r="O473" s="63">
        <v>53</v>
      </c>
      <c r="P473" s="63">
        <v>53</v>
      </c>
      <c r="Q473" s="63">
        <v>50</v>
      </c>
      <c r="R473" s="22"/>
      <c r="S473" s="117" t="str">
        <f t="shared" si="68"/>
        <v>Y</v>
      </c>
      <c r="T473" s="114">
        <f>IFERROR(SUMIF('Current NLData'!A:A,'Payment Changes'!G473,'Current NLData'!K:K)/COUNTIF('Current NLData'!A:A,'Payment Changes'!G473),0)+IFERROR(VLOOKUP(G473&amp;"-ALL",NLPaymentExport,10,FALSE),0)</f>
        <v>53</v>
      </c>
      <c r="U473" s="118">
        <f t="shared" si="69"/>
        <v>3</v>
      </c>
    </row>
    <row r="474" spans="1:54" ht="17.100000000000001" hidden="1" customHeight="1" outlineLevel="1" x14ac:dyDescent="0.25">
      <c r="A474" s="3"/>
      <c r="C474" s="4"/>
      <c r="D474" s="181"/>
      <c r="E474" s="91" t="str">
        <f t="shared" si="70"/>
        <v>Farmington</v>
      </c>
      <c r="F474" s="93" t="str">
        <f t="shared" si="71"/>
        <v>CP207</v>
      </c>
      <c r="G474" s="99" t="str">
        <f t="shared" si="72"/>
        <v>CP207-RETURN - 1st don of the week -STD</v>
      </c>
      <c r="H474" s="182"/>
      <c r="I474" s="36" t="s">
        <v>45</v>
      </c>
      <c r="J474" s="58">
        <v>55</v>
      </c>
      <c r="K474" s="58">
        <f t="shared" si="74"/>
        <v>55</v>
      </c>
      <c r="L474" s="58">
        <v>53</v>
      </c>
      <c r="M474" s="58">
        <v>53</v>
      </c>
      <c r="N474" s="58">
        <v>53</v>
      </c>
      <c r="O474" s="58">
        <v>53</v>
      </c>
      <c r="P474" s="58">
        <v>53</v>
      </c>
      <c r="Q474" s="58">
        <v>50</v>
      </c>
      <c r="R474" s="22"/>
      <c r="S474" s="117" t="str">
        <f t="shared" si="68"/>
        <v>Y</v>
      </c>
      <c r="T474" s="114">
        <f>IFERROR(SUMIF('Current NLData'!A:A,'Payment Changes'!G474,'Current NLData'!K:K)/COUNTIF('Current NLData'!A:A,'Payment Changes'!G474),0)+IFERROR(VLOOKUP(G474&amp;"-ALL",NLPaymentExport,10,FALSE),0)</f>
        <v>53</v>
      </c>
      <c r="U474" s="118">
        <f t="shared" si="69"/>
        <v>3</v>
      </c>
    </row>
    <row r="475" spans="1:54" ht="17.100000000000001" hidden="1" customHeight="1" outlineLevel="1" x14ac:dyDescent="0.25">
      <c r="A475" s="3"/>
      <c r="C475" s="4"/>
      <c r="D475" s="181"/>
      <c r="E475" s="91" t="str">
        <f t="shared" si="70"/>
        <v>Farmington</v>
      </c>
      <c r="F475" s="93" t="str">
        <f t="shared" si="71"/>
        <v>CP207</v>
      </c>
      <c r="G475" s="99" t="str">
        <f t="shared" si="72"/>
        <v>CP207-RETURN - 2nd don of the week -BONUS</v>
      </c>
      <c r="H475" s="182"/>
      <c r="I475" s="36" t="s">
        <v>46</v>
      </c>
      <c r="J475" s="58">
        <v>0</v>
      </c>
      <c r="K475" s="58">
        <f t="shared" si="74"/>
        <v>0</v>
      </c>
      <c r="L475" s="58">
        <v>0</v>
      </c>
      <c r="M475" s="58">
        <v>0</v>
      </c>
      <c r="N475" s="58">
        <v>0</v>
      </c>
      <c r="O475" s="58">
        <v>0</v>
      </c>
      <c r="P475" s="58">
        <v>0</v>
      </c>
      <c r="Q475" s="58">
        <v>10</v>
      </c>
      <c r="R475" s="22"/>
      <c r="S475" s="117" t="str">
        <f t="shared" si="68"/>
        <v>Y</v>
      </c>
      <c r="T475" s="114">
        <f>IFERROR(SUMIF('Current NLData'!A:A,'Payment Changes'!G475,'Current NLData'!K:K)/COUNTIF('Current NLData'!A:A,'Payment Changes'!G475),0)+IFERROR(VLOOKUP(G475&amp;"-ALL",NLPaymentExport,10,FALSE),0)</f>
        <v>0</v>
      </c>
      <c r="U475" s="118">
        <f t="shared" si="69"/>
        <v>-10</v>
      </c>
    </row>
    <row r="476" spans="1:54" ht="17.100000000000001" hidden="1" customHeight="1" outlineLevel="1" x14ac:dyDescent="0.25">
      <c r="A476" s="3"/>
      <c r="C476" s="4"/>
      <c r="D476" s="181"/>
      <c r="E476" s="91" t="str">
        <f t="shared" si="70"/>
        <v>Farmington</v>
      </c>
      <c r="F476" s="93" t="str">
        <f t="shared" si="71"/>
        <v>CP207</v>
      </c>
      <c r="G476" s="99" t="str">
        <f t="shared" si="72"/>
        <v>CP207-RETURN - 5th don of the month -BONUS</v>
      </c>
      <c r="H476" s="182"/>
      <c r="I476" s="37" t="s">
        <v>47</v>
      </c>
      <c r="J476" s="65">
        <v>0</v>
      </c>
      <c r="K476" s="65">
        <v>0</v>
      </c>
      <c r="L476" s="65">
        <v>0</v>
      </c>
      <c r="M476" s="65">
        <v>0</v>
      </c>
      <c r="N476" s="65">
        <v>0</v>
      </c>
      <c r="O476" s="65">
        <v>0</v>
      </c>
      <c r="P476" s="65">
        <v>0</v>
      </c>
      <c r="Q476" s="65">
        <v>0</v>
      </c>
      <c r="R476" s="22"/>
      <c r="S476" s="117" t="str">
        <f t="shared" si="68"/>
        <v>N</v>
      </c>
      <c r="T476" s="114">
        <f>IFERROR(SUMIF('Current NLData'!A:A,'Payment Changes'!G476,'Current NLData'!K:K)/COUNTIF('Current NLData'!A:A,'Payment Changes'!G476),0)+IFERROR(VLOOKUP(G476&amp;"-ALL",NLPaymentExport,10,FALSE),0)</f>
        <v>0</v>
      </c>
      <c r="U476" s="118">
        <f t="shared" si="69"/>
        <v>0</v>
      </c>
    </row>
    <row r="477" spans="1:54" ht="17.100000000000001" hidden="1" customHeight="1" outlineLevel="1" x14ac:dyDescent="0.25">
      <c r="A477" s="3"/>
      <c r="C477" s="4"/>
      <c r="D477" s="181"/>
      <c r="E477" s="91" t="str">
        <f t="shared" si="70"/>
        <v>Farmington</v>
      </c>
      <c r="F477" s="93" t="str">
        <f t="shared" si="71"/>
        <v>CP207</v>
      </c>
      <c r="G477" s="99" t="str">
        <f t="shared" si="72"/>
        <v>CP207-RETURN - 6th don of the month -BONUS</v>
      </c>
      <c r="H477" s="182"/>
      <c r="I477" s="38" t="s">
        <v>48</v>
      </c>
      <c r="J477" s="58">
        <v>0</v>
      </c>
      <c r="K477" s="58">
        <v>0</v>
      </c>
      <c r="L477" s="58">
        <v>0</v>
      </c>
      <c r="M477" s="58">
        <v>0</v>
      </c>
      <c r="N477" s="58">
        <v>0</v>
      </c>
      <c r="O477" s="58">
        <v>0</v>
      </c>
      <c r="P477" s="58">
        <v>0</v>
      </c>
      <c r="Q477" s="58">
        <v>0</v>
      </c>
      <c r="R477" s="22"/>
      <c r="S477" s="117" t="str">
        <f t="shared" si="68"/>
        <v>N</v>
      </c>
      <c r="T477" s="114">
        <f>IFERROR(SUMIF('Current NLData'!A:A,'Payment Changes'!G477,'Current NLData'!K:K)/COUNTIF('Current NLData'!A:A,'Payment Changes'!G477),0)+IFERROR(VLOOKUP(G477&amp;"-ALL",NLPaymentExport,10,FALSE),0)</f>
        <v>0</v>
      </c>
      <c r="U477" s="118">
        <f t="shared" si="69"/>
        <v>0</v>
      </c>
    </row>
    <row r="478" spans="1:54" ht="17.100000000000001" hidden="1" customHeight="1" outlineLevel="1" x14ac:dyDescent="0.25">
      <c r="A478" s="3"/>
      <c r="C478" s="4"/>
      <c r="D478" s="181"/>
      <c r="E478" s="91" t="str">
        <f t="shared" si="70"/>
        <v>Farmington</v>
      </c>
      <c r="F478" s="93" t="str">
        <f t="shared" si="71"/>
        <v>CP207</v>
      </c>
      <c r="G478" s="99" t="str">
        <f t="shared" si="72"/>
        <v>CP207-RETURN - 7th don of the month -BONUS</v>
      </c>
      <c r="H478" s="182"/>
      <c r="I478" s="38" t="s">
        <v>49</v>
      </c>
      <c r="J478" s="58">
        <v>0</v>
      </c>
      <c r="K478" s="58">
        <v>0</v>
      </c>
      <c r="L478" s="58">
        <v>0</v>
      </c>
      <c r="M478" s="58">
        <v>0</v>
      </c>
      <c r="N478" s="58">
        <v>0</v>
      </c>
      <c r="O478" s="58">
        <v>0</v>
      </c>
      <c r="P478" s="58">
        <v>0</v>
      </c>
      <c r="Q478" s="58">
        <v>0</v>
      </c>
      <c r="R478" s="22"/>
      <c r="S478" s="117" t="str">
        <f t="shared" si="68"/>
        <v>N</v>
      </c>
      <c r="T478" s="114">
        <f>IFERROR(SUMIF('Current NLData'!A:A,'Payment Changes'!G478,'Current NLData'!K:K)/COUNTIF('Current NLData'!A:A,'Payment Changes'!G478),0)+IFERROR(VLOOKUP(G478&amp;"-ALL",NLPaymentExport,10,FALSE),0)</f>
        <v>0</v>
      </c>
      <c r="U478" s="118">
        <f t="shared" si="69"/>
        <v>0</v>
      </c>
    </row>
    <row r="479" spans="1:54" ht="17.100000000000001" hidden="1" customHeight="1" outlineLevel="1" x14ac:dyDescent="0.25">
      <c r="A479" s="3"/>
      <c r="C479" s="4"/>
      <c r="D479" s="181"/>
      <c r="E479" s="91" t="str">
        <f t="shared" si="70"/>
        <v>Farmington</v>
      </c>
      <c r="F479" s="93" t="str">
        <f t="shared" si="71"/>
        <v>CP207</v>
      </c>
      <c r="G479" s="99" t="str">
        <f t="shared" si="72"/>
        <v>CP207-RETURN - 8th don of the month -BONUS</v>
      </c>
      <c r="H479" s="182"/>
      <c r="I479" s="38" t="s">
        <v>50</v>
      </c>
      <c r="J479" s="58">
        <v>25</v>
      </c>
      <c r="K479" s="58">
        <f>J479</f>
        <v>25</v>
      </c>
      <c r="L479" s="58">
        <v>0</v>
      </c>
      <c r="M479" s="58">
        <v>0</v>
      </c>
      <c r="N479" s="58">
        <v>0</v>
      </c>
      <c r="O479" s="58">
        <v>0</v>
      </c>
      <c r="P479" s="58">
        <v>0</v>
      </c>
      <c r="Q479" s="58">
        <v>0</v>
      </c>
      <c r="R479" s="22"/>
      <c r="S479" s="117" t="str">
        <f t="shared" si="68"/>
        <v>N</v>
      </c>
      <c r="T479" s="114">
        <f>IFERROR(SUMIF('Current NLData'!A:A,'Payment Changes'!G479,'Current NLData'!K:K)/COUNTIF('Current NLData'!A:A,'Payment Changes'!G479),0)+IFERROR(VLOOKUP(G479&amp;"-ALL",NLPaymentExport,10,FALSE),0)</f>
        <v>0</v>
      </c>
      <c r="U479" s="118">
        <f t="shared" si="69"/>
        <v>0</v>
      </c>
    </row>
    <row r="480" spans="1:54" ht="17.100000000000001" hidden="1" customHeight="1" outlineLevel="1" x14ac:dyDescent="0.25">
      <c r="A480" s="3"/>
      <c r="C480" s="4" t="str">
        <f>IF(J480=0,"Warning","")</f>
        <v/>
      </c>
      <c r="D480" s="181"/>
      <c r="E480" s="91" t="str">
        <f t="shared" si="70"/>
        <v>Farmington</v>
      </c>
      <c r="F480" s="93" t="str">
        <f t="shared" si="71"/>
        <v>CP207</v>
      </c>
      <c r="G480" s="99" t="str">
        <f t="shared" si="72"/>
        <v>CP207-RETURN - Buddy referral  -BONUS</v>
      </c>
      <c r="H480" s="182"/>
      <c r="I480" s="39" t="s">
        <v>51</v>
      </c>
      <c r="J480" s="58">
        <v>50</v>
      </c>
      <c r="K480" s="58">
        <v>50</v>
      </c>
      <c r="L480" s="58">
        <v>0</v>
      </c>
      <c r="M480" s="58">
        <v>0</v>
      </c>
      <c r="N480" s="58">
        <v>0</v>
      </c>
      <c r="O480" s="58">
        <v>50</v>
      </c>
      <c r="P480" s="58">
        <v>50</v>
      </c>
      <c r="Q480" s="58">
        <v>50</v>
      </c>
      <c r="R480" s="22"/>
      <c r="S480" s="117" t="str">
        <f t="shared" si="68"/>
        <v>N</v>
      </c>
      <c r="T480" s="114">
        <f>IFERROR(SUMIF('Current NLData'!A:A,'Payment Changes'!G480,'Current NLData'!K:K)/COUNTIF('Current NLData'!A:A,'Payment Changes'!G480),0)+IFERROR(VLOOKUP(G480&amp;"-ALL",NLPaymentExport,10,FALSE),0)</f>
        <v>50</v>
      </c>
      <c r="U480" s="118">
        <f t="shared" si="69"/>
        <v>0</v>
      </c>
    </row>
    <row r="481" spans="1:54" s="90" customFormat="1" ht="17.100000000000001" hidden="1" customHeight="1" collapsed="1" x14ac:dyDescent="0.35">
      <c r="A481" s="85"/>
      <c r="B481" s="85"/>
      <c r="C481" s="86"/>
      <c r="D481" s="87"/>
      <c r="E481" s="87"/>
      <c r="F481" s="87"/>
      <c r="G481" s="87"/>
      <c r="H481" s="96"/>
      <c r="I481" s="88"/>
      <c r="J481" s="89"/>
      <c r="K481" s="89"/>
      <c r="L481" s="89"/>
      <c r="M481" s="89"/>
      <c r="N481" s="89"/>
      <c r="O481" s="89"/>
      <c r="P481" s="89"/>
      <c r="Q481" s="89"/>
      <c r="R481" s="21"/>
      <c r="S481" s="117" t="str">
        <f t="shared" si="68"/>
        <v>N</v>
      </c>
      <c r="T481" s="114">
        <f>IFERROR(SUMIF('Current NLData'!A:A,'Payment Changes'!G481,'Current NLData'!K:K)/COUNTIF('Current NLData'!A:A,'Payment Changes'!G481),0)+IFERROR(VLOOKUP(G481&amp;"-ALL",NLPaymentExport,10,FALSE),0)</f>
        <v>0</v>
      </c>
      <c r="U481" s="118" t="str">
        <f t="shared" si="69"/>
        <v/>
      </c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</row>
    <row r="482" spans="1:54" s="10" customFormat="1" ht="17.100000000000001" hidden="1" customHeight="1" x14ac:dyDescent="0.25">
      <c r="A482" s="165">
        <v>25</v>
      </c>
      <c r="B482" s="168" t="s">
        <v>152</v>
      </c>
      <c r="C482" s="171" t="s">
        <v>19</v>
      </c>
      <c r="D482" s="174" t="s">
        <v>57</v>
      </c>
      <c r="E482" s="106" t="str">
        <f t="shared" si="70"/>
        <v>Gallup</v>
      </c>
      <c r="F482" s="107" t="s">
        <v>153</v>
      </c>
      <c r="G482" s="108" t="str">
        <f t="shared" ref="G482:G500" si="75">F482&amp;"-"&amp;I482</f>
        <v>CP215-New Donor</v>
      </c>
      <c r="H482" s="177" t="s">
        <v>147</v>
      </c>
      <c r="I482" s="76" t="s">
        <v>23</v>
      </c>
      <c r="J482" s="40" t="s">
        <v>154</v>
      </c>
      <c r="K482" s="41" t="s">
        <v>155</v>
      </c>
      <c r="L482" s="41" t="s">
        <v>155</v>
      </c>
      <c r="M482" s="42" t="s">
        <v>155</v>
      </c>
      <c r="N482" s="40" t="s">
        <v>155</v>
      </c>
      <c r="O482" s="40" t="s">
        <v>155</v>
      </c>
      <c r="P482" s="40" t="s">
        <v>155</v>
      </c>
      <c r="Q482" s="40" t="s">
        <v>155</v>
      </c>
      <c r="R482" s="109"/>
      <c r="S482" s="117" t="str">
        <f t="shared" si="68"/>
        <v>N</v>
      </c>
      <c r="T482" s="114">
        <f>IFERROR(SUMIF('Current NLData'!A:A,'Payment Changes'!G482,'Current NLData'!K:K)/COUNTIF('Current NLData'!A:A,'Payment Changes'!G482),0)+IFERROR(VLOOKUP(G482&amp;"-ALL",NLPaymentExport,10,FALSE),0)</f>
        <v>0</v>
      </c>
      <c r="U482" s="118" t="str">
        <f t="shared" si="69"/>
        <v/>
      </c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</row>
    <row r="483" spans="1:54" ht="17.100000000000001" hidden="1" customHeight="1" x14ac:dyDescent="0.25">
      <c r="A483" s="166"/>
      <c r="B483" s="169"/>
      <c r="C483" s="172"/>
      <c r="D483" s="175"/>
      <c r="E483" s="91" t="str">
        <f t="shared" si="70"/>
        <v>Gallup</v>
      </c>
      <c r="F483" s="92" t="s">
        <v>153</v>
      </c>
      <c r="G483" s="98" t="str">
        <f t="shared" si="75"/>
        <v>CP215-Return Donor</v>
      </c>
      <c r="H483" s="178"/>
      <c r="I483" s="77" t="s">
        <v>29</v>
      </c>
      <c r="J483" s="43" t="s">
        <v>154</v>
      </c>
      <c r="K483" s="43" t="s">
        <v>155</v>
      </c>
      <c r="L483" s="44" t="s">
        <v>155</v>
      </c>
      <c r="M483" s="45" t="s">
        <v>155</v>
      </c>
      <c r="N483" s="43" t="s">
        <v>155</v>
      </c>
      <c r="O483" s="43" t="s">
        <v>155</v>
      </c>
      <c r="P483" s="43" t="s">
        <v>155</v>
      </c>
      <c r="Q483" s="43" t="s">
        <v>155</v>
      </c>
      <c r="R483" s="21"/>
      <c r="S483" s="117" t="str">
        <f t="shared" si="68"/>
        <v>N</v>
      </c>
      <c r="T483" s="114">
        <f>IFERROR(SUMIF('Current NLData'!A:A,'Payment Changes'!G483,'Current NLData'!K:K)/COUNTIF('Current NLData'!A:A,'Payment Changes'!G483),0)+IFERROR(VLOOKUP(G483&amp;"-ALL",NLPaymentExport,10,FALSE),0)</f>
        <v>0</v>
      </c>
      <c r="U483" s="118" t="str">
        <f t="shared" si="69"/>
        <v/>
      </c>
    </row>
    <row r="484" spans="1:54" ht="17.100000000000001" hidden="1" customHeight="1" x14ac:dyDescent="0.25">
      <c r="A484" s="166"/>
      <c r="B484" s="169"/>
      <c r="C484" s="172"/>
      <c r="D484" s="175"/>
      <c r="E484" s="91" t="str">
        <f t="shared" si="70"/>
        <v>Gallup</v>
      </c>
      <c r="F484" s="92" t="s">
        <v>153</v>
      </c>
      <c r="G484" s="98" t="str">
        <f t="shared" si="75"/>
        <v>CP215-Retention Bonus</v>
      </c>
      <c r="H484" s="178"/>
      <c r="I484" s="78" t="s">
        <v>30</v>
      </c>
      <c r="J484" s="46" t="s">
        <v>31</v>
      </c>
      <c r="K484" s="46" t="s">
        <v>31</v>
      </c>
      <c r="L484" s="47" t="s">
        <v>32</v>
      </c>
      <c r="M484" s="48" t="s">
        <v>32</v>
      </c>
      <c r="N484" s="46" t="s">
        <v>32</v>
      </c>
      <c r="O484" s="46" t="s">
        <v>32</v>
      </c>
      <c r="P484" s="46" t="s">
        <v>32</v>
      </c>
      <c r="Q484" s="46" t="s">
        <v>32</v>
      </c>
      <c r="R484" s="21"/>
      <c r="S484" s="117" t="str">
        <f t="shared" si="68"/>
        <v>N</v>
      </c>
      <c r="T484" s="114">
        <f>IFERROR(SUMIF('Current NLData'!A:A,'Payment Changes'!G484,'Current NLData'!K:K)/COUNTIF('Current NLData'!A:A,'Payment Changes'!G484),0)+IFERROR(VLOOKUP(G484&amp;"-ALL",NLPaymentExport,10,FALSE),0)</f>
        <v>0</v>
      </c>
      <c r="U484" s="118" t="str">
        <f t="shared" si="69"/>
        <v/>
      </c>
    </row>
    <row r="485" spans="1:54" s="15" customFormat="1" ht="17.100000000000001" hidden="1" customHeight="1" x14ac:dyDescent="0.25">
      <c r="A485" s="167"/>
      <c r="B485" s="170"/>
      <c r="C485" s="173"/>
      <c r="D485" s="176"/>
      <c r="E485" s="110" t="str">
        <f t="shared" si="70"/>
        <v>Gallup</v>
      </c>
      <c r="F485" s="111" t="s">
        <v>153</v>
      </c>
      <c r="G485" s="112" t="str">
        <f t="shared" si="75"/>
        <v>CP215-Referral</v>
      </c>
      <c r="H485" s="179"/>
      <c r="I485" s="79" t="s">
        <v>34</v>
      </c>
      <c r="J485" s="49">
        <v>50</v>
      </c>
      <c r="K485" s="49">
        <v>50</v>
      </c>
      <c r="L485" s="50" t="s">
        <v>32</v>
      </c>
      <c r="M485" s="51" t="s">
        <v>32</v>
      </c>
      <c r="N485" s="49" t="s">
        <v>32</v>
      </c>
      <c r="O485" s="49">
        <v>50</v>
      </c>
      <c r="P485" s="49">
        <v>50</v>
      </c>
      <c r="Q485" s="49">
        <v>50</v>
      </c>
      <c r="R485" s="113"/>
      <c r="S485" s="117" t="str">
        <f t="shared" si="68"/>
        <v>N</v>
      </c>
      <c r="T485" s="114">
        <f>IFERROR(SUMIF('Current NLData'!A:A,'Payment Changes'!G485,'Current NLData'!K:K)/COUNTIF('Current NLData'!A:A,'Payment Changes'!G485),0)+IFERROR(VLOOKUP(G485&amp;"-ALL",NLPaymentExport,10,FALSE),0)</f>
        <v>0</v>
      </c>
      <c r="U485" s="118" t="str">
        <f t="shared" si="69"/>
        <v/>
      </c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</row>
    <row r="486" spans="1:54" ht="17.100000000000001" hidden="1" customHeight="1" outlineLevel="1" x14ac:dyDescent="0.25">
      <c r="A486" s="3"/>
      <c r="C486" s="4"/>
      <c r="D486" s="180" t="s">
        <v>153</v>
      </c>
      <c r="E486" s="91" t="str">
        <f t="shared" si="70"/>
        <v>Gallup</v>
      </c>
      <c r="F486" s="93" t="str">
        <f t="shared" si="71"/>
        <v>CP215</v>
      </c>
      <c r="G486" s="99" t="str">
        <f t="shared" si="75"/>
        <v>CP215-NEW DONOR -1st</v>
      </c>
      <c r="H486" s="182" t="s">
        <v>36</v>
      </c>
      <c r="I486" s="33" t="s">
        <v>37</v>
      </c>
      <c r="J486" s="70">
        <v>52.5</v>
      </c>
      <c r="K486" s="71">
        <v>50.5</v>
      </c>
      <c r="L486" s="70">
        <v>50.5</v>
      </c>
      <c r="M486" s="70">
        <v>50.5</v>
      </c>
      <c r="N486" s="70">
        <v>50.5</v>
      </c>
      <c r="O486" s="70">
        <v>50.5</v>
      </c>
      <c r="P486" s="70">
        <v>50.5</v>
      </c>
      <c r="Q486" s="70">
        <v>50.5</v>
      </c>
      <c r="R486" s="24"/>
      <c r="S486" s="117" t="str">
        <f t="shared" si="68"/>
        <v>N</v>
      </c>
      <c r="T486" s="114">
        <f>IFERROR(SUMIF('Current NLData'!A:A,'Payment Changes'!G486,'Current NLData'!K:K)/COUNTIF('Current NLData'!A:A,'Payment Changes'!G486),0)+IFERROR(VLOOKUP(G486&amp;"-ALL",NLPaymentExport,10,FALSE),0)</f>
        <v>50.5</v>
      </c>
      <c r="U486" s="118">
        <f t="shared" si="69"/>
        <v>0</v>
      </c>
    </row>
    <row r="487" spans="1:54" ht="17.100000000000001" hidden="1" customHeight="1" outlineLevel="1" x14ac:dyDescent="0.25">
      <c r="A487" s="3"/>
      <c r="C487" s="4"/>
      <c r="D487" s="181"/>
      <c r="E487" s="91" t="str">
        <f t="shared" si="70"/>
        <v>Gallup</v>
      </c>
      <c r="F487" s="93" t="str">
        <f t="shared" si="71"/>
        <v>CP215</v>
      </c>
      <c r="G487" s="99" t="str">
        <f t="shared" si="75"/>
        <v>CP215-NEW DONOR -2nd</v>
      </c>
      <c r="H487" s="182"/>
      <c r="I487" s="34" t="s">
        <v>38</v>
      </c>
      <c r="J487" s="72">
        <v>52.5</v>
      </c>
      <c r="K487" s="73">
        <v>50.5</v>
      </c>
      <c r="L487" s="72">
        <v>50.5</v>
      </c>
      <c r="M487" s="72">
        <v>50.5</v>
      </c>
      <c r="N487" s="72">
        <v>50.5</v>
      </c>
      <c r="O487" s="72">
        <v>50.5</v>
      </c>
      <c r="P487" s="72">
        <v>50.5</v>
      </c>
      <c r="Q487" s="72">
        <v>50.5</v>
      </c>
      <c r="R487" s="24"/>
      <c r="S487" s="117" t="str">
        <f t="shared" si="68"/>
        <v>N</v>
      </c>
      <c r="T487" s="114">
        <f>IFERROR(SUMIF('Current NLData'!A:A,'Payment Changes'!G487,'Current NLData'!K:K)/COUNTIF('Current NLData'!A:A,'Payment Changes'!G487),0)+IFERROR(VLOOKUP(G487&amp;"-ALL",NLPaymentExport,10,FALSE),0)</f>
        <v>50.5</v>
      </c>
      <c r="U487" s="118">
        <f t="shared" si="69"/>
        <v>0</v>
      </c>
    </row>
    <row r="488" spans="1:54" ht="17.100000000000001" hidden="1" customHeight="1" outlineLevel="1" x14ac:dyDescent="0.25">
      <c r="A488" s="3"/>
      <c r="C488" s="4"/>
      <c r="D488" s="181"/>
      <c r="E488" s="91" t="str">
        <f t="shared" si="70"/>
        <v>Gallup</v>
      </c>
      <c r="F488" s="93" t="str">
        <f t="shared" si="71"/>
        <v>CP215</v>
      </c>
      <c r="G488" s="99" t="str">
        <f t="shared" si="75"/>
        <v>CP215-NEW DONOR -3rd</v>
      </c>
      <c r="H488" s="182"/>
      <c r="I488" s="34" t="s">
        <v>39</v>
      </c>
      <c r="J488" s="72">
        <v>52.5</v>
      </c>
      <c r="K488" s="73">
        <f>K487</f>
        <v>50.5</v>
      </c>
      <c r="L488" s="72">
        <v>50.5</v>
      </c>
      <c r="M488" s="72">
        <v>50.5</v>
      </c>
      <c r="N488" s="72">
        <v>50.5</v>
      </c>
      <c r="O488" s="72">
        <v>50.5</v>
      </c>
      <c r="P488" s="72">
        <v>50.5</v>
      </c>
      <c r="Q488" s="72">
        <v>50.5</v>
      </c>
      <c r="R488" s="24"/>
      <c r="S488" s="117" t="str">
        <f t="shared" si="68"/>
        <v>N</v>
      </c>
      <c r="T488" s="114">
        <f>IFERROR(SUMIF('Current NLData'!A:A,'Payment Changes'!G488,'Current NLData'!K:K)/COUNTIF('Current NLData'!A:A,'Payment Changes'!G488),0)+IFERROR(VLOOKUP(G488&amp;"-ALL",NLPaymentExport,10,FALSE),0)</f>
        <v>50.5</v>
      </c>
      <c r="U488" s="118">
        <f t="shared" si="69"/>
        <v>0</v>
      </c>
    </row>
    <row r="489" spans="1:54" ht="17.100000000000001" hidden="1" customHeight="1" outlineLevel="1" x14ac:dyDescent="0.25">
      <c r="A489" s="3"/>
      <c r="C489" s="4"/>
      <c r="D489" s="181"/>
      <c r="E489" s="91" t="str">
        <f t="shared" si="70"/>
        <v>Gallup</v>
      </c>
      <c r="F489" s="93" t="str">
        <f t="shared" si="71"/>
        <v>CP215</v>
      </c>
      <c r="G489" s="99" t="str">
        <f t="shared" si="75"/>
        <v>CP215-NEW DONOR -4th</v>
      </c>
      <c r="H489" s="182"/>
      <c r="I489" s="34" t="s">
        <v>40</v>
      </c>
      <c r="J489" s="72">
        <v>52.5</v>
      </c>
      <c r="K489" s="73">
        <f t="shared" ref="K489:K492" si="76">K488</f>
        <v>50.5</v>
      </c>
      <c r="L489" s="72">
        <v>50.5</v>
      </c>
      <c r="M489" s="72">
        <v>50.5</v>
      </c>
      <c r="N489" s="72">
        <v>50.5</v>
      </c>
      <c r="O489" s="72">
        <v>50.5</v>
      </c>
      <c r="P489" s="72">
        <v>50.5</v>
      </c>
      <c r="Q489" s="72">
        <v>50.5</v>
      </c>
      <c r="R489" s="24"/>
      <c r="S489" s="117" t="str">
        <f t="shared" si="68"/>
        <v>N</v>
      </c>
      <c r="T489" s="114">
        <f>IFERROR(SUMIF('Current NLData'!A:A,'Payment Changes'!G489,'Current NLData'!K:K)/COUNTIF('Current NLData'!A:A,'Payment Changes'!G489),0)+IFERROR(VLOOKUP(G489&amp;"-ALL",NLPaymentExport,10,FALSE),0)</f>
        <v>50.5</v>
      </c>
      <c r="U489" s="118">
        <f t="shared" si="69"/>
        <v>0</v>
      </c>
    </row>
    <row r="490" spans="1:54" ht="17.100000000000001" hidden="1" customHeight="1" outlineLevel="1" x14ac:dyDescent="0.25">
      <c r="A490" s="3"/>
      <c r="C490" s="4"/>
      <c r="D490" s="181"/>
      <c r="E490" s="91" t="str">
        <f t="shared" si="70"/>
        <v>Gallup</v>
      </c>
      <c r="F490" s="93" t="str">
        <f t="shared" si="71"/>
        <v>CP215</v>
      </c>
      <c r="G490" s="99" t="str">
        <f t="shared" si="75"/>
        <v>CP215-NEW DONOR -5th</v>
      </c>
      <c r="H490" s="182"/>
      <c r="I490" s="34" t="s">
        <v>41</v>
      </c>
      <c r="J490" s="72">
        <v>52.5</v>
      </c>
      <c r="K490" s="73">
        <f t="shared" si="76"/>
        <v>50.5</v>
      </c>
      <c r="L490" s="72">
        <v>50.5</v>
      </c>
      <c r="M490" s="72">
        <v>50.5</v>
      </c>
      <c r="N490" s="72">
        <v>50.5</v>
      </c>
      <c r="O490" s="72">
        <v>50.5</v>
      </c>
      <c r="P490" s="72">
        <v>50.5</v>
      </c>
      <c r="Q490" s="72">
        <v>50.5</v>
      </c>
      <c r="R490" s="24"/>
      <c r="S490" s="117" t="str">
        <f t="shared" si="68"/>
        <v>N</v>
      </c>
      <c r="T490" s="114">
        <f>IFERROR(SUMIF('Current NLData'!A:A,'Payment Changes'!G490,'Current NLData'!K:K)/COUNTIF('Current NLData'!A:A,'Payment Changes'!G490),0)+IFERROR(VLOOKUP(G490&amp;"-ALL",NLPaymentExport,10,FALSE),0)</f>
        <v>50.5</v>
      </c>
      <c r="U490" s="118">
        <f t="shared" si="69"/>
        <v>0</v>
      </c>
    </row>
    <row r="491" spans="1:54" ht="17.100000000000001" hidden="1" customHeight="1" outlineLevel="1" x14ac:dyDescent="0.25">
      <c r="A491" s="3"/>
      <c r="C491" s="4"/>
      <c r="D491" s="181"/>
      <c r="E491" s="91" t="str">
        <f t="shared" si="70"/>
        <v>Gallup</v>
      </c>
      <c r="F491" s="93" t="str">
        <f t="shared" si="71"/>
        <v>CP215</v>
      </c>
      <c r="G491" s="99" t="str">
        <f t="shared" si="75"/>
        <v>CP215-NEW DONOR -6th</v>
      </c>
      <c r="H491" s="182"/>
      <c r="I491" s="34" t="s">
        <v>42</v>
      </c>
      <c r="J491" s="72">
        <v>52.5</v>
      </c>
      <c r="K491" s="73">
        <f t="shared" si="76"/>
        <v>50.5</v>
      </c>
      <c r="L491" s="72">
        <v>50.5</v>
      </c>
      <c r="M491" s="72">
        <v>50.5</v>
      </c>
      <c r="N491" s="72">
        <v>50.5</v>
      </c>
      <c r="O491" s="72">
        <v>50.5</v>
      </c>
      <c r="P491" s="72">
        <v>50.5</v>
      </c>
      <c r="Q491" s="72">
        <v>50.5</v>
      </c>
      <c r="R491" s="24"/>
      <c r="S491" s="117" t="str">
        <f t="shared" si="68"/>
        <v>N</v>
      </c>
      <c r="T491" s="114">
        <f>IFERROR(SUMIF('Current NLData'!A:A,'Payment Changes'!G491,'Current NLData'!K:K)/COUNTIF('Current NLData'!A:A,'Payment Changes'!G491),0)+IFERROR(VLOOKUP(G491&amp;"-ALL",NLPaymentExport,10,FALSE),0)</f>
        <v>50.5</v>
      </c>
      <c r="U491" s="118">
        <f t="shared" si="69"/>
        <v>0</v>
      </c>
    </row>
    <row r="492" spans="1:54" ht="17.100000000000001" hidden="1" customHeight="1" outlineLevel="1" x14ac:dyDescent="0.25">
      <c r="A492" s="3"/>
      <c r="C492" s="4"/>
      <c r="D492" s="181"/>
      <c r="E492" s="91" t="str">
        <f t="shared" si="70"/>
        <v>Gallup</v>
      </c>
      <c r="F492" s="93" t="str">
        <f t="shared" si="71"/>
        <v>CP215</v>
      </c>
      <c r="G492" s="99" t="str">
        <f t="shared" si="75"/>
        <v>CP215-NEW DONOR -7th</v>
      </c>
      <c r="H492" s="182"/>
      <c r="I492" s="34" t="s">
        <v>43</v>
      </c>
      <c r="J492" s="72">
        <v>52.5</v>
      </c>
      <c r="K492" s="73">
        <f t="shared" si="76"/>
        <v>50.5</v>
      </c>
      <c r="L492" s="72">
        <v>50.5</v>
      </c>
      <c r="M492" s="72">
        <v>50.5</v>
      </c>
      <c r="N492" s="72">
        <v>50.5</v>
      </c>
      <c r="O492" s="72">
        <v>50.5</v>
      </c>
      <c r="P492" s="72">
        <v>50.5</v>
      </c>
      <c r="Q492" s="72">
        <v>50.5</v>
      </c>
      <c r="R492" s="24"/>
      <c r="S492" s="117" t="str">
        <f t="shared" si="68"/>
        <v>N</v>
      </c>
      <c r="T492" s="114">
        <f>IFERROR(SUMIF('Current NLData'!A:A,'Payment Changes'!G492,'Current NLData'!K:K)/COUNTIF('Current NLData'!A:A,'Payment Changes'!G492),0)+IFERROR(VLOOKUP(G492&amp;"-ALL",NLPaymentExport,10,FALSE),0)</f>
        <v>50.5</v>
      </c>
      <c r="U492" s="118">
        <f t="shared" si="69"/>
        <v>0</v>
      </c>
    </row>
    <row r="493" spans="1:54" ht="17.100000000000001" hidden="1" customHeight="1" outlineLevel="1" x14ac:dyDescent="0.25">
      <c r="A493" s="3"/>
      <c r="C493" s="4"/>
      <c r="D493" s="181"/>
      <c r="E493" s="91" t="str">
        <f t="shared" si="70"/>
        <v>Gallup</v>
      </c>
      <c r="F493" s="93" t="str">
        <f t="shared" si="71"/>
        <v>CP215</v>
      </c>
      <c r="G493" s="99" t="str">
        <f t="shared" si="75"/>
        <v>CP215-NEW DONOR -8th</v>
      </c>
      <c r="H493" s="182"/>
      <c r="I493" s="35" t="s">
        <v>44</v>
      </c>
      <c r="J493" s="74">
        <v>52.5</v>
      </c>
      <c r="K493" s="75">
        <f>K492</f>
        <v>50.5</v>
      </c>
      <c r="L493" s="74">
        <v>50.5</v>
      </c>
      <c r="M493" s="74">
        <v>50.5</v>
      </c>
      <c r="N493" s="74">
        <v>50.5</v>
      </c>
      <c r="O493" s="74">
        <v>50.5</v>
      </c>
      <c r="P493" s="74">
        <v>50.5</v>
      </c>
      <c r="Q493" s="74">
        <v>50.5</v>
      </c>
      <c r="R493" s="24"/>
      <c r="S493" s="117" t="str">
        <f t="shared" si="68"/>
        <v>N</v>
      </c>
      <c r="T493" s="114">
        <f>IFERROR(SUMIF('Current NLData'!A:A,'Payment Changes'!G493,'Current NLData'!K:K)/COUNTIF('Current NLData'!A:A,'Payment Changes'!G493),0)+IFERROR(VLOOKUP(G493&amp;"-ALL",NLPaymentExport,10,FALSE),0)</f>
        <v>50.5</v>
      </c>
      <c r="U493" s="118">
        <f t="shared" si="69"/>
        <v>0</v>
      </c>
    </row>
    <row r="494" spans="1:54" ht="17.100000000000001" hidden="1" customHeight="1" outlineLevel="1" x14ac:dyDescent="0.25">
      <c r="A494" s="3"/>
      <c r="C494" s="4"/>
      <c r="D494" s="181"/>
      <c r="E494" s="91" t="str">
        <f t="shared" si="70"/>
        <v>Gallup</v>
      </c>
      <c r="F494" s="93" t="str">
        <f t="shared" si="71"/>
        <v>CP215</v>
      </c>
      <c r="G494" s="99" t="str">
        <f t="shared" si="75"/>
        <v>CP215-RETURN - 1st don of the week -STD</v>
      </c>
      <c r="H494" s="182"/>
      <c r="I494" s="36" t="s">
        <v>45</v>
      </c>
      <c r="J494" s="72">
        <v>52.5</v>
      </c>
      <c r="K494" s="73">
        <v>50.5</v>
      </c>
      <c r="L494" s="72">
        <v>50.5</v>
      </c>
      <c r="M494" s="72">
        <v>50.5</v>
      </c>
      <c r="N494" s="72">
        <v>50.5</v>
      </c>
      <c r="O494" s="72">
        <v>50.5</v>
      </c>
      <c r="P494" s="72">
        <v>50.5</v>
      </c>
      <c r="Q494" s="72">
        <v>50.5</v>
      </c>
      <c r="R494" s="24"/>
      <c r="S494" s="117" t="str">
        <f t="shared" si="68"/>
        <v>N</v>
      </c>
      <c r="T494" s="114">
        <f>IFERROR(SUMIF('Current NLData'!A:A,'Payment Changes'!G494,'Current NLData'!K:K)/COUNTIF('Current NLData'!A:A,'Payment Changes'!G494),0)+IFERROR(VLOOKUP(G494&amp;"-ALL",NLPaymentExport,10,FALSE),0)</f>
        <v>50.5</v>
      </c>
      <c r="U494" s="118">
        <f t="shared" si="69"/>
        <v>0</v>
      </c>
    </row>
    <row r="495" spans="1:54" ht="17.100000000000001" hidden="1" customHeight="1" outlineLevel="1" x14ac:dyDescent="0.25">
      <c r="A495" s="3"/>
      <c r="C495" s="4"/>
      <c r="D495" s="181"/>
      <c r="E495" s="91" t="str">
        <f t="shared" si="70"/>
        <v>Gallup</v>
      </c>
      <c r="F495" s="93" t="str">
        <f t="shared" si="71"/>
        <v>CP215</v>
      </c>
      <c r="G495" s="99" t="str">
        <f t="shared" si="75"/>
        <v>CP215-RETURN - 2nd don of the week -BONUS</v>
      </c>
      <c r="H495" s="182"/>
      <c r="I495" s="36" t="s">
        <v>46</v>
      </c>
      <c r="J495" s="58">
        <v>0</v>
      </c>
      <c r="K495" s="72">
        <f>J495</f>
        <v>0</v>
      </c>
      <c r="L495" s="72">
        <v>0</v>
      </c>
      <c r="M495" s="72">
        <v>0</v>
      </c>
      <c r="N495" s="72">
        <v>0</v>
      </c>
      <c r="O495" s="72">
        <v>0</v>
      </c>
      <c r="P495" s="72">
        <v>0</v>
      </c>
      <c r="Q495" s="72">
        <v>0</v>
      </c>
      <c r="R495" s="25"/>
      <c r="S495" s="117" t="str">
        <f t="shared" si="68"/>
        <v>N</v>
      </c>
      <c r="T495" s="114">
        <f>IFERROR(SUMIF('Current NLData'!A:A,'Payment Changes'!G495,'Current NLData'!K:K)/COUNTIF('Current NLData'!A:A,'Payment Changes'!G495),0)+IFERROR(VLOOKUP(G495&amp;"-ALL",NLPaymentExport,10,FALSE),0)</f>
        <v>0</v>
      </c>
      <c r="U495" s="118">
        <f t="shared" si="69"/>
        <v>0</v>
      </c>
    </row>
    <row r="496" spans="1:54" ht="17.100000000000001" hidden="1" customHeight="1" outlineLevel="1" x14ac:dyDescent="0.25">
      <c r="A496" s="3"/>
      <c r="C496" s="4"/>
      <c r="D496" s="181"/>
      <c r="E496" s="91" t="str">
        <f t="shared" si="70"/>
        <v>Gallup</v>
      </c>
      <c r="F496" s="93" t="str">
        <f t="shared" si="71"/>
        <v>CP215</v>
      </c>
      <c r="G496" s="99" t="str">
        <f t="shared" si="75"/>
        <v>CP215-RETURN - 5th don of the month -BONUS</v>
      </c>
      <c r="H496" s="182"/>
      <c r="I496" s="37" t="s">
        <v>47</v>
      </c>
      <c r="J496" s="65">
        <v>0</v>
      </c>
      <c r="K496" s="65">
        <v>0</v>
      </c>
      <c r="L496" s="65">
        <v>0</v>
      </c>
      <c r="M496" s="65">
        <v>0</v>
      </c>
      <c r="N496" s="65">
        <v>0</v>
      </c>
      <c r="O496" s="65">
        <v>0</v>
      </c>
      <c r="P496" s="65">
        <v>0</v>
      </c>
      <c r="Q496" s="65">
        <v>0</v>
      </c>
      <c r="R496" s="22"/>
      <c r="S496" s="117" t="str">
        <f t="shared" si="68"/>
        <v>N</v>
      </c>
      <c r="T496" s="114">
        <f>IFERROR(SUMIF('Current NLData'!A:A,'Payment Changes'!G496,'Current NLData'!K:K)/COUNTIF('Current NLData'!A:A,'Payment Changes'!G496),0)+IFERROR(VLOOKUP(G496&amp;"-ALL",NLPaymentExport,10,FALSE),0)</f>
        <v>0</v>
      </c>
      <c r="U496" s="118">
        <f t="shared" si="69"/>
        <v>0</v>
      </c>
    </row>
    <row r="497" spans="1:54" ht="17.100000000000001" hidden="1" customHeight="1" outlineLevel="1" x14ac:dyDescent="0.25">
      <c r="A497" s="3"/>
      <c r="C497" s="4"/>
      <c r="D497" s="181"/>
      <c r="E497" s="91" t="str">
        <f t="shared" si="70"/>
        <v>Gallup</v>
      </c>
      <c r="F497" s="93" t="str">
        <f t="shared" si="71"/>
        <v>CP215</v>
      </c>
      <c r="G497" s="99" t="str">
        <f t="shared" si="75"/>
        <v>CP215-RETURN - 6th don of the month -BONUS</v>
      </c>
      <c r="H497" s="182"/>
      <c r="I497" s="38" t="s">
        <v>48</v>
      </c>
      <c r="J497" s="58">
        <v>0</v>
      </c>
      <c r="K497" s="58">
        <v>0</v>
      </c>
      <c r="L497" s="58">
        <v>0</v>
      </c>
      <c r="M497" s="58">
        <v>0</v>
      </c>
      <c r="N497" s="58">
        <v>0</v>
      </c>
      <c r="O497" s="58">
        <v>0</v>
      </c>
      <c r="P497" s="58">
        <v>0</v>
      </c>
      <c r="Q497" s="58">
        <v>0</v>
      </c>
      <c r="R497" s="22"/>
      <c r="S497" s="117" t="str">
        <f t="shared" si="68"/>
        <v>N</v>
      </c>
      <c r="T497" s="114">
        <f>IFERROR(SUMIF('Current NLData'!A:A,'Payment Changes'!G497,'Current NLData'!K:K)/COUNTIF('Current NLData'!A:A,'Payment Changes'!G497),0)+IFERROR(VLOOKUP(G497&amp;"-ALL",NLPaymentExport,10,FALSE),0)</f>
        <v>0</v>
      </c>
      <c r="U497" s="118">
        <f t="shared" si="69"/>
        <v>0</v>
      </c>
    </row>
    <row r="498" spans="1:54" ht="17.100000000000001" hidden="1" customHeight="1" outlineLevel="1" x14ac:dyDescent="0.25">
      <c r="A498" s="3"/>
      <c r="C498" s="4"/>
      <c r="D498" s="181"/>
      <c r="E498" s="91" t="str">
        <f t="shared" si="70"/>
        <v>Gallup</v>
      </c>
      <c r="F498" s="93" t="str">
        <f t="shared" si="71"/>
        <v>CP215</v>
      </c>
      <c r="G498" s="99" t="str">
        <f t="shared" si="75"/>
        <v>CP215-RETURN - 7th don of the month -BONUS</v>
      </c>
      <c r="H498" s="182"/>
      <c r="I498" s="38" t="s">
        <v>49</v>
      </c>
      <c r="J498" s="58">
        <v>0</v>
      </c>
      <c r="K498" s="58">
        <v>0</v>
      </c>
      <c r="L498" s="58">
        <v>0</v>
      </c>
      <c r="M498" s="58">
        <v>0</v>
      </c>
      <c r="N498" s="58">
        <v>0</v>
      </c>
      <c r="O498" s="58">
        <v>0</v>
      </c>
      <c r="P498" s="58">
        <v>0</v>
      </c>
      <c r="Q498" s="58">
        <v>0</v>
      </c>
      <c r="R498" s="22"/>
      <c r="S498" s="117" t="str">
        <f t="shared" si="68"/>
        <v>N</v>
      </c>
      <c r="T498" s="114">
        <f>IFERROR(SUMIF('Current NLData'!A:A,'Payment Changes'!G498,'Current NLData'!K:K)/COUNTIF('Current NLData'!A:A,'Payment Changes'!G498),0)+IFERROR(VLOOKUP(G498&amp;"-ALL",NLPaymentExport,10,FALSE),0)</f>
        <v>0</v>
      </c>
      <c r="U498" s="118">
        <f t="shared" si="69"/>
        <v>0</v>
      </c>
    </row>
    <row r="499" spans="1:54" ht="17.100000000000001" hidden="1" customHeight="1" outlineLevel="1" x14ac:dyDescent="0.25">
      <c r="A499" s="3"/>
      <c r="C499" s="4"/>
      <c r="D499" s="181"/>
      <c r="E499" s="91" t="str">
        <f t="shared" si="70"/>
        <v>Gallup</v>
      </c>
      <c r="F499" s="93" t="str">
        <f t="shared" si="71"/>
        <v>CP215</v>
      </c>
      <c r="G499" s="99" t="str">
        <f t="shared" si="75"/>
        <v>CP215-RETURN - 8th don of the month -BONUS</v>
      </c>
      <c r="H499" s="182"/>
      <c r="I499" s="38" t="s">
        <v>50</v>
      </c>
      <c r="J499" s="58">
        <v>25</v>
      </c>
      <c r="K499" s="58">
        <f>J499</f>
        <v>25</v>
      </c>
      <c r="L499" s="58">
        <v>0</v>
      </c>
      <c r="M499" s="58">
        <v>0</v>
      </c>
      <c r="N499" s="58">
        <v>0</v>
      </c>
      <c r="O499" s="58">
        <v>0</v>
      </c>
      <c r="P499" s="58">
        <v>0</v>
      </c>
      <c r="Q499" s="58">
        <v>0</v>
      </c>
      <c r="R499" s="22"/>
      <c r="S499" s="117" t="str">
        <f t="shared" si="68"/>
        <v>N</v>
      </c>
      <c r="T499" s="114">
        <f>IFERROR(SUMIF('Current NLData'!A:A,'Payment Changes'!G499,'Current NLData'!K:K)/COUNTIF('Current NLData'!A:A,'Payment Changes'!G499),0)+IFERROR(VLOOKUP(G499&amp;"-ALL",NLPaymentExport,10,FALSE),0)</f>
        <v>0</v>
      </c>
      <c r="U499" s="118">
        <f t="shared" si="69"/>
        <v>0</v>
      </c>
    </row>
    <row r="500" spans="1:54" ht="17.100000000000001" hidden="1" customHeight="1" outlineLevel="1" x14ac:dyDescent="0.25">
      <c r="A500" s="3"/>
      <c r="C500" s="4" t="str">
        <f>IF(J500=0,"Warning","")</f>
        <v/>
      </c>
      <c r="D500" s="181"/>
      <c r="E500" s="91" t="str">
        <f t="shared" si="70"/>
        <v>Gallup</v>
      </c>
      <c r="F500" s="93" t="str">
        <f t="shared" si="71"/>
        <v>CP215</v>
      </c>
      <c r="G500" s="99" t="str">
        <f t="shared" si="75"/>
        <v>CP215-RETURN - Buddy referral  -BONUS</v>
      </c>
      <c r="H500" s="182"/>
      <c r="I500" s="39" t="s">
        <v>51</v>
      </c>
      <c r="J500" s="58">
        <v>50</v>
      </c>
      <c r="K500" s="58">
        <v>50</v>
      </c>
      <c r="L500" s="58">
        <v>0</v>
      </c>
      <c r="M500" s="58">
        <v>0</v>
      </c>
      <c r="N500" s="58">
        <v>0</v>
      </c>
      <c r="O500" s="58">
        <v>50</v>
      </c>
      <c r="P500" s="58">
        <v>50</v>
      </c>
      <c r="Q500" s="58">
        <v>50</v>
      </c>
      <c r="R500" s="22"/>
      <c r="S500" s="117" t="str">
        <f t="shared" si="68"/>
        <v>N</v>
      </c>
      <c r="T500" s="114">
        <f>IFERROR(SUMIF('Current NLData'!A:A,'Payment Changes'!G500,'Current NLData'!K:K)/COUNTIF('Current NLData'!A:A,'Payment Changes'!G500),0)+IFERROR(VLOOKUP(G500&amp;"-ALL",NLPaymentExport,10,FALSE),0)</f>
        <v>50</v>
      </c>
      <c r="U500" s="118">
        <f t="shared" si="69"/>
        <v>0</v>
      </c>
    </row>
    <row r="501" spans="1:54" s="90" customFormat="1" ht="17.100000000000001" hidden="1" customHeight="1" collapsed="1" x14ac:dyDescent="0.35">
      <c r="A501" s="85"/>
      <c r="B501" s="85"/>
      <c r="C501" s="86"/>
      <c r="D501" s="87"/>
      <c r="E501" s="87"/>
      <c r="F501" s="87"/>
      <c r="G501" s="87"/>
      <c r="H501" s="96"/>
      <c r="I501" s="88"/>
      <c r="J501" s="89"/>
      <c r="K501" s="89"/>
      <c r="L501" s="89"/>
      <c r="M501" s="89"/>
      <c r="N501" s="89"/>
      <c r="O501" s="89"/>
      <c r="P501" s="89"/>
      <c r="Q501" s="89"/>
      <c r="R501" s="21"/>
      <c r="S501" s="117" t="str">
        <f t="shared" si="68"/>
        <v>N</v>
      </c>
      <c r="T501" s="114">
        <f>IFERROR(SUMIF('Current NLData'!A:A,'Payment Changes'!G501,'Current NLData'!K:K)/COUNTIF('Current NLData'!A:A,'Payment Changes'!G501),0)+IFERROR(VLOOKUP(G501&amp;"-ALL",NLPaymentExport,10,FALSE),0)</f>
        <v>0</v>
      </c>
      <c r="U501" s="118" t="str">
        <f t="shared" si="69"/>
        <v/>
      </c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</row>
    <row r="502" spans="1:54" s="10" customFormat="1" ht="17.100000000000001" hidden="1" customHeight="1" x14ac:dyDescent="0.25">
      <c r="A502" s="165">
        <v>26</v>
      </c>
      <c r="B502" s="168" t="s">
        <v>156</v>
      </c>
      <c r="C502" s="171" t="s">
        <v>53</v>
      </c>
      <c r="D502" s="174" t="s">
        <v>157</v>
      </c>
      <c r="E502" s="106" t="str">
        <f t="shared" si="70"/>
        <v>Duncanville</v>
      </c>
      <c r="F502" s="107" t="s">
        <v>158</v>
      </c>
      <c r="G502" s="108" t="str">
        <f t="shared" ref="G502:G520" si="77">F502&amp;"-"&amp;I502</f>
        <v>CP530-New Donor</v>
      </c>
      <c r="H502" s="177" t="s">
        <v>22</v>
      </c>
      <c r="I502" s="76" t="s">
        <v>23</v>
      </c>
      <c r="J502" s="40" t="s">
        <v>159</v>
      </c>
      <c r="K502" s="41" t="s">
        <v>160</v>
      </c>
      <c r="L502" s="41" t="s">
        <v>159</v>
      </c>
      <c r="M502" s="42" t="s">
        <v>159</v>
      </c>
      <c r="N502" s="40" t="s">
        <v>159</v>
      </c>
      <c r="O502" s="40" t="s">
        <v>159</v>
      </c>
      <c r="P502" s="40" t="s">
        <v>159</v>
      </c>
      <c r="Q502" s="40" t="s">
        <v>159</v>
      </c>
      <c r="R502" s="109"/>
      <c r="S502" s="117" t="str">
        <f t="shared" si="68"/>
        <v>N</v>
      </c>
      <c r="T502" s="114">
        <f>IFERROR(SUMIF('Current NLData'!A:A,'Payment Changes'!G502,'Current NLData'!K:K)/COUNTIF('Current NLData'!A:A,'Payment Changes'!G502),0)+IFERROR(VLOOKUP(G502&amp;"-ALL",NLPaymentExport,10,FALSE),0)</f>
        <v>0</v>
      </c>
      <c r="U502" s="118" t="str">
        <f t="shared" si="69"/>
        <v/>
      </c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</row>
    <row r="503" spans="1:54" ht="17.100000000000001" hidden="1" customHeight="1" x14ac:dyDescent="0.25">
      <c r="A503" s="166"/>
      <c r="B503" s="169"/>
      <c r="C503" s="172"/>
      <c r="D503" s="175"/>
      <c r="E503" s="91" t="str">
        <f t="shared" si="70"/>
        <v>Duncanville</v>
      </c>
      <c r="F503" s="92" t="s">
        <v>158</v>
      </c>
      <c r="G503" s="98" t="str">
        <f t="shared" si="77"/>
        <v>CP530-Return Donor</v>
      </c>
      <c r="H503" s="178"/>
      <c r="I503" s="77" t="s">
        <v>29</v>
      </c>
      <c r="J503" s="43" t="s">
        <v>161</v>
      </c>
      <c r="K503" s="43" t="s">
        <v>162</v>
      </c>
      <c r="L503" s="44" t="s">
        <v>162</v>
      </c>
      <c r="M503" s="45" t="s">
        <v>162</v>
      </c>
      <c r="N503" s="43" t="s">
        <v>162</v>
      </c>
      <c r="O503" s="43" t="s">
        <v>162</v>
      </c>
      <c r="P503" s="43" t="s">
        <v>162</v>
      </c>
      <c r="Q503" s="43" t="s">
        <v>162</v>
      </c>
      <c r="R503" s="21"/>
      <c r="S503" s="117" t="str">
        <f t="shared" si="68"/>
        <v>N</v>
      </c>
      <c r="T503" s="114">
        <f>IFERROR(SUMIF('Current NLData'!A:A,'Payment Changes'!G503,'Current NLData'!K:K)/COUNTIF('Current NLData'!A:A,'Payment Changes'!G503),0)+IFERROR(VLOOKUP(G503&amp;"-ALL",NLPaymentExport,10,FALSE),0)</f>
        <v>0</v>
      </c>
      <c r="U503" s="118" t="str">
        <f t="shared" si="69"/>
        <v/>
      </c>
    </row>
    <row r="504" spans="1:54" ht="17.100000000000001" hidden="1" customHeight="1" x14ac:dyDescent="0.25">
      <c r="A504" s="166"/>
      <c r="B504" s="169"/>
      <c r="C504" s="172"/>
      <c r="D504" s="175"/>
      <c r="E504" s="91" t="str">
        <f t="shared" si="70"/>
        <v>Duncanville</v>
      </c>
      <c r="F504" s="92" t="s">
        <v>158</v>
      </c>
      <c r="G504" s="98" t="str">
        <f t="shared" si="77"/>
        <v>CP530-Retention Bonus</v>
      </c>
      <c r="H504" s="178"/>
      <c r="I504" s="78" t="s">
        <v>30</v>
      </c>
      <c r="J504" s="46" t="s">
        <v>163</v>
      </c>
      <c r="K504" s="46" t="s">
        <v>163</v>
      </c>
      <c r="L504" s="47" t="s">
        <v>163</v>
      </c>
      <c r="M504" s="48" t="s">
        <v>163</v>
      </c>
      <c r="N504" s="46" t="s">
        <v>163</v>
      </c>
      <c r="O504" s="46" t="s">
        <v>32</v>
      </c>
      <c r="P504" s="46" t="s">
        <v>32</v>
      </c>
      <c r="Q504" s="46" t="s">
        <v>32</v>
      </c>
      <c r="R504" s="21"/>
      <c r="S504" s="117" t="str">
        <f t="shared" si="68"/>
        <v>N</v>
      </c>
      <c r="T504" s="114">
        <f>IFERROR(SUMIF('Current NLData'!A:A,'Payment Changes'!G504,'Current NLData'!K:K)/COUNTIF('Current NLData'!A:A,'Payment Changes'!G504),0)+IFERROR(VLOOKUP(G504&amp;"-ALL",NLPaymentExport,10,FALSE),0)</f>
        <v>0</v>
      </c>
      <c r="U504" s="118" t="str">
        <f t="shared" si="69"/>
        <v/>
      </c>
    </row>
    <row r="505" spans="1:54" s="15" customFormat="1" ht="17.100000000000001" hidden="1" customHeight="1" x14ac:dyDescent="0.25">
      <c r="A505" s="167"/>
      <c r="B505" s="170"/>
      <c r="C505" s="173"/>
      <c r="D505" s="176"/>
      <c r="E505" s="110" t="str">
        <f t="shared" si="70"/>
        <v>Duncanville</v>
      </c>
      <c r="F505" s="111" t="s">
        <v>158</v>
      </c>
      <c r="G505" s="112" t="str">
        <f t="shared" si="77"/>
        <v>CP530-Referral</v>
      </c>
      <c r="H505" s="179"/>
      <c r="I505" s="79" t="s">
        <v>34</v>
      </c>
      <c r="J505" s="49">
        <v>50</v>
      </c>
      <c r="K505" s="49">
        <v>50</v>
      </c>
      <c r="L505" s="50" t="s">
        <v>32</v>
      </c>
      <c r="M505" s="51" t="s">
        <v>32</v>
      </c>
      <c r="N505" s="49" t="s">
        <v>32</v>
      </c>
      <c r="O505" s="49">
        <v>50</v>
      </c>
      <c r="P505" s="49">
        <v>50</v>
      </c>
      <c r="Q505" s="49">
        <v>50</v>
      </c>
      <c r="R505" s="113"/>
      <c r="S505" s="117" t="str">
        <f t="shared" si="68"/>
        <v>N</v>
      </c>
      <c r="T505" s="114">
        <f>IFERROR(SUMIF('Current NLData'!A:A,'Payment Changes'!G505,'Current NLData'!K:K)/COUNTIF('Current NLData'!A:A,'Payment Changes'!G505),0)+IFERROR(VLOOKUP(G505&amp;"-ALL",NLPaymentExport,10,FALSE),0)</f>
        <v>0</v>
      </c>
      <c r="U505" s="118" t="str">
        <f t="shared" si="69"/>
        <v/>
      </c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</row>
    <row r="506" spans="1:54" ht="17.100000000000001" hidden="1" customHeight="1" outlineLevel="1" x14ac:dyDescent="0.25">
      <c r="A506" s="3"/>
      <c r="C506" s="4"/>
      <c r="D506" s="180" t="s">
        <v>158</v>
      </c>
      <c r="E506" s="91" t="str">
        <f t="shared" si="70"/>
        <v>Duncanville</v>
      </c>
      <c r="F506" s="93" t="str">
        <f t="shared" si="71"/>
        <v>CP530</v>
      </c>
      <c r="G506" s="99" t="str">
        <f t="shared" si="77"/>
        <v>CP530-NEW DONOR -1st</v>
      </c>
      <c r="H506" s="182" t="s">
        <v>36</v>
      </c>
      <c r="I506" s="33" t="s">
        <v>37</v>
      </c>
      <c r="J506" s="60">
        <v>125</v>
      </c>
      <c r="K506" s="61">
        <f>J506</f>
        <v>125</v>
      </c>
      <c r="L506" s="60">
        <v>125</v>
      </c>
      <c r="M506" s="60">
        <v>125</v>
      </c>
      <c r="N506" s="60">
        <v>125</v>
      </c>
      <c r="O506" s="60">
        <v>125</v>
      </c>
      <c r="P506" s="60">
        <v>125</v>
      </c>
      <c r="Q506" s="60">
        <v>125</v>
      </c>
      <c r="R506" s="23"/>
      <c r="S506" s="117" t="str">
        <f t="shared" si="68"/>
        <v>N</v>
      </c>
      <c r="T506" s="114">
        <f>IFERROR(SUMIF('Current NLData'!A:A,'Payment Changes'!G506,'Current NLData'!K:K)/COUNTIF('Current NLData'!A:A,'Payment Changes'!G506),0)+IFERROR(VLOOKUP(G506&amp;"-ALL",NLPaymentExport,10,FALSE),0)</f>
        <v>125</v>
      </c>
      <c r="U506" s="118">
        <f t="shared" si="69"/>
        <v>0</v>
      </c>
    </row>
    <row r="507" spans="1:54" ht="17.100000000000001" hidden="1" customHeight="1" outlineLevel="1" x14ac:dyDescent="0.25">
      <c r="A507" s="3"/>
      <c r="C507" s="4"/>
      <c r="D507" s="181"/>
      <c r="E507" s="91" t="str">
        <f t="shared" si="70"/>
        <v>Duncanville</v>
      </c>
      <c r="F507" s="93" t="str">
        <f t="shared" si="71"/>
        <v>CP530</v>
      </c>
      <c r="G507" s="99" t="str">
        <f t="shared" si="77"/>
        <v>CP530-NEW DONOR -2nd</v>
      </c>
      <c r="H507" s="182"/>
      <c r="I507" s="34" t="s">
        <v>38</v>
      </c>
      <c r="J507" s="58">
        <v>125</v>
      </c>
      <c r="K507" s="62">
        <f>J507</f>
        <v>125</v>
      </c>
      <c r="L507" s="58">
        <v>125</v>
      </c>
      <c r="M507" s="58">
        <v>125</v>
      </c>
      <c r="N507" s="58">
        <v>125</v>
      </c>
      <c r="O507" s="58">
        <v>125</v>
      </c>
      <c r="P507" s="58">
        <v>125</v>
      </c>
      <c r="Q507" s="58">
        <v>125</v>
      </c>
      <c r="R507" s="23"/>
      <c r="S507" s="117" t="str">
        <f t="shared" si="68"/>
        <v>N</v>
      </c>
      <c r="T507" s="114">
        <f>IFERROR(SUMIF('Current NLData'!A:A,'Payment Changes'!G507,'Current NLData'!K:K)/COUNTIF('Current NLData'!A:A,'Payment Changes'!G507),0)+IFERROR(VLOOKUP(G507&amp;"-ALL",NLPaymentExport,10,FALSE),0)</f>
        <v>125</v>
      </c>
      <c r="U507" s="118">
        <f t="shared" si="69"/>
        <v>0</v>
      </c>
    </row>
    <row r="508" spans="1:54" ht="17.100000000000001" hidden="1" customHeight="1" outlineLevel="1" x14ac:dyDescent="0.25">
      <c r="A508" s="3"/>
      <c r="C508" s="4"/>
      <c r="D508" s="181"/>
      <c r="E508" s="91" t="str">
        <f t="shared" si="70"/>
        <v>Duncanville</v>
      </c>
      <c r="F508" s="93" t="str">
        <f t="shared" si="71"/>
        <v>CP530</v>
      </c>
      <c r="G508" s="99" t="str">
        <f t="shared" si="77"/>
        <v>CP530-NEW DONOR -3rd</v>
      </c>
      <c r="H508" s="182"/>
      <c r="I508" s="34" t="s">
        <v>39</v>
      </c>
      <c r="J508" s="58">
        <v>125</v>
      </c>
      <c r="K508" s="62">
        <f t="shared" ref="K508:K511" si="78">J508</f>
        <v>125</v>
      </c>
      <c r="L508" s="58">
        <v>125</v>
      </c>
      <c r="M508" s="58">
        <v>125</v>
      </c>
      <c r="N508" s="58">
        <v>125</v>
      </c>
      <c r="O508" s="58">
        <v>125</v>
      </c>
      <c r="P508" s="58">
        <v>125</v>
      </c>
      <c r="Q508" s="58">
        <v>125</v>
      </c>
      <c r="R508" s="23"/>
      <c r="S508" s="117" t="str">
        <f t="shared" si="68"/>
        <v>N</v>
      </c>
      <c r="T508" s="114">
        <f>IFERROR(SUMIF('Current NLData'!A:A,'Payment Changes'!G508,'Current NLData'!K:K)/COUNTIF('Current NLData'!A:A,'Payment Changes'!G508),0)+IFERROR(VLOOKUP(G508&amp;"-ALL",NLPaymentExport,10,FALSE),0)</f>
        <v>125</v>
      </c>
      <c r="U508" s="118">
        <f t="shared" si="69"/>
        <v>0</v>
      </c>
    </row>
    <row r="509" spans="1:54" ht="17.100000000000001" hidden="1" customHeight="1" outlineLevel="1" x14ac:dyDescent="0.25">
      <c r="A509" s="3"/>
      <c r="C509" s="4"/>
      <c r="D509" s="181"/>
      <c r="E509" s="91" t="str">
        <f t="shared" si="70"/>
        <v>Duncanville</v>
      </c>
      <c r="F509" s="93" t="str">
        <f t="shared" si="71"/>
        <v>CP530</v>
      </c>
      <c r="G509" s="99" t="str">
        <f t="shared" si="77"/>
        <v>CP530-NEW DONOR -4th</v>
      </c>
      <c r="H509" s="182"/>
      <c r="I509" s="34" t="s">
        <v>40</v>
      </c>
      <c r="J509" s="58">
        <v>125</v>
      </c>
      <c r="K509" s="62">
        <f t="shared" si="78"/>
        <v>125</v>
      </c>
      <c r="L509" s="58">
        <v>125</v>
      </c>
      <c r="M509" s="58">
        <v>125</v>
      </c>
      <c r="N509" s="58">
        <v>125</v>
      </c>
      <c r="O509" s="58">
        <v>125</v>
      </c>
      <c r="P509" s="58">
        <v>125</v>
      </c>
      <c r="Q509" s="58">
        <v>125</v>
      </c>
      <c r="R509" s="23"/>
      <c r="S509" s="117" t="str">
        <f t="shared" si="68"/>
        <v>N</v>
      </c>
      <c r="T509" s="114">
        <f>IFERROR(SUMIF('Current NLData'!A:A,'Payment Changes'!G509,'Current NLData'!K:K)/COUNTIF('Current NLData'!A:A,'Payment Changes'!G509),0)+IFERROR(VLOOKUP(G509&amp;"-ALL",NLPaymentExport,10,FALSE),0)</f>
        <v>125</v>
      </c>
      <c r="U509" s="118">
        <f t="shared" si="69"/>
        <v>0</v>
      </c>
    </row>
    <row r="510" spans="1:54" ht="17.100000000000001" hidden="1" customHeight="1" outlineLevel="1" x14ac:dyDescent="0.25">
      <c r="A510" s="3"/>
      <c r="C510" s="4"/>
      <c r="D510" s="181"/>
      <c r="E510" s="91" t="str">
        <f t="shared" si="70"/>
        <v>Duncanville</v>
      </c>
      <c r="F510" s="93" t="str">
        <f t="shared" si="71"/>
        <v>CP530</v>
      </c>
      <c r="G510" s="99" t="str">
        <f t="shared" si="77"/>
        <v>CP530-NEW DONOR -5th</v>
      </c>
      <c r="H510" s="182"/>
      <c r="I510" s="34" t="s">
        <v>41</v>
      </c>
      <c r="J510" s="58">
        <v>125</v>
      </c>
      <c r="K510" s="62">
        <f t="shared" si="78"/>
        <v>125</v>
      </c>
      <c r="L510" s="58">
        <v>125</v>
      </c>
      <c r="M510" s="58">
        <v>125</v>
      </c>
      <c r="N510" s="58">
        <v>125</v>
      </c>
      <c r="O510" s="58">
        <v>125</v>
      </c>
      <c r="P510" s="58">
        <v>125</v>
      </c>
      <c r="Q510" s="58">
        <v>125</v>
      </c>
      <c r="R510" s="23"/>
      <c r="S510" s="117" t="str">
        <f t="shared" si="68"/>
        <v>N</v>
      </c>
      <c r="T510" s="114">
        <f>IFERROR(SUMIF('Current NLData'!A:A,'Payment Changes'!G510,'Current NLData'!K:K)/COUNTIF('Current NLData'!A:A,'Payment Changes'!G510),0)+IFERROR(VLOOKUP(G510&amp;"-ALL",NLPaymentExport,10,FALSE),0)</f>
        <v>125</v>
      </c>
      <c r="U510" s="118">
        <f t="shared" si="69"/>
        <v>0</v>
      </c>
    </row>
    <row r="511" spans="1:54" ht="17.100000000000001" hidden="1" customHeight="1" outlineLevel="1" x14ac:dyDescent="0.25">
      <c r="A511" s="3"/>
      <c r="C511" s="4"/>
      <c r="D511" s="181"/>
      <c r="E511" s="91" t="str">
        <f t="shared" si="70"/>
        <v>Duncanville</v>
      </c>
      <c r="F511" s="93" t="str">
        <f t="shared" si="71"/>
        <v>CP530</v>
      </c>
      <c r="G511" s="99" t="str">
        <f t="shared" si="77"/>
        <v>CP530-NEW DONOR -6th</v>
      </c>
      <c r="H511" s="182"/>
      <c r="I511" s="34" t="s">
        <v>42</v>
      </c>
      <c r="J511" s="58">
        <v>45</v>
      </c>
      <c r="K511" s="62">
        <f t="shared" si="78"/>
        <v>45</v>
      </c>
      <c r="L511" s="58">
        <v>45</v>
      </c>
      <c r="M511" s="58">
        <v>45</v>
      </c>
      <c r="N511" s="58">
        <v>45</v>
      </c>
      <c r="O511" s="58">
        <v>45</v>
      </c>
      <c r="P511" s="58">
        <v>45</v>
      </c>
      <c r="Q511" s="58">
        <v>45</v>
      </c>
      <c r="R511" s="23"/>
      <c r="S511" s="117" t="str">
        <f t="shared" si="68"/>
        <v>N</v>
      </c>
      <c r="T511" s="114">
        <f>IFERROR(SUMIF('Current NLData'!A:A,'Payment Changes'!G511,'Current NLData'!K:K)/COUNTIF('Current NLData'!A:A,'Payment Changes'!G511),0)+IFERROR(VLOOKUP(G511&amp;"-ALL",NLPaymentExport,10,FALSE),0)</f>
        <v>45</v>
      </c>
      <c r="U511" s="118">
        <f t="shared" si="69"/>
        <v>0</v>
      </c>
    </row>
    <row r="512" spans="1:54" ht="17.100000000000001" hidden="1" customHeight="1" outlineLevel="1" x14ac:dyDescent="0.25">
      <c r="A512" s="3"/>
      <c r="C512" s="4"/>
      <c r="D512" s="181"/>
      <c r="E512" s="91" t="str">
        <f t="shared" si="70"/>
        <v>Duncanville</v>
      </c>
      <c r="F512" s="93" t="str">
        <f t="shared" si="71"/>
        <v>CP530</v>
      </c>
      <c r="G512" s="99" t="str">
        <f t="shared" si="77"/>
        <v>CP530-NEW DONOR -7th</v>
      </c>
      <c r="H512" s="182"/>
      <c r="I512" s="34" t="s">
        <v>43</v>
      </c>
      <c r="J512" s="58">
        <v>45</v>
      </c>
      <c r="K512" s="62">
        <v>60</v>
      </c>
      <c r="L512" s="58">
        <v>45</v>
      </c>
      <c r="M512" s="58">
        <v>45</v>
      </c>
      <c r="N512" s="58">
        <v>45</v>
      </c>
      <c r="O512" s="58">
        <v>45</v>
      </c>
      <c r="P512" s="58">
        <v>45</v>
      </c>
      <c r="Q512" s="58">
        <v>45</v>
      </c>
      <c r="R512" s="23"/>
      <c r="S512" s="117" t="str">
        <f t="shared" si="68"/>
        <v>N</v>
      </c>
      <c r="T512" s="114">
        <f>IFERROR(SUMIF('Current NLData'!A:A,'Payment Changes'!G512,'Current NLData'!K:K)/COUNTIF('Current NLData'!A:A,'Payment Changes'!G512),0)+IFERROR(VLOOKUP(G512&amp;"-ALL",NLPaymentExport,10,FALSE),0)</f>
        <v>45</v>
      </c>
      <c r="U512" s="118">
        <f t="shared" si="69"/>
        <v>0</v>
      </c>
    </row>
    <row r="513" spans="1:54" ht="17.100000000000001" hidden="1" customHeight="1" outlineLevel="1" x14ac:dyDescent="0.25">
      <c r="A513" s="3"/>
      <c r="C513" s="4"/>
      <c r="D513" s="181"/>
      <c r="E513" s="91" t="str">
        <f t="shared" si="70"/>
        <v>Duncanville</v>
      </c>
      <c r="F513" s="93" t="str">
        <f t="shared" si="71"/>
        <v>CP530</v>
      </c>
      <c r="G513" s="99" t="str">
        <f t="shared" si="77"/>
        <v>CP530-NEW DONOR -8th</v>
      </c>
      <c r="H513" s="182"/>
      <c r="I513" s="35" t="s">
        <v>44</v>
      </c>
      <c r="J513" s="63">
        <v>45</v>
      </c>
      <c r="K513" s="64">
        <f>J513</f>
        <v>45</v>
      </c>
      <c r="L513" s="63">
        <v>45</v>
      </c>
      <c r="M513" s="63">
        <v>45</v>
      </c>
      <c r="N513" s="63">
        <v>45</v>
      </c>
      <c r="O513" s="63">
        <v>45</v>
      </c>
      <c r="P513" s="63">
        <v>45</v>
      </c>
      <c r="Q513" s="63">
        <v>45</v>
      </c>
      <c r="R513" s="23"/>
      <c r="S513" s="117" t="str">
        <f t="shared" si="68"/>
        <v>N</v>
      </c>
      <c r="T513" s="114">
        <f>IFERROR(SUMIF('Current NLData'!A:A,'Payment Changes'!G513,'Current NLData'!K:K)/COUNTIF('Current NLData'!A:A,'Payment Changes'!G513),0)+IFERROR(VLOOKUP(G513&amp;"-ALL",NLPaymentExport,10,FALSE),0)</f>
        <v>45</v>
      </c>
      <c r="U513" s="118">
        <f t="shared" si="69"/>
        <v>0</v>
      </c>
    </row>
    <row r="514" spans="1:54" ht="17.100000000000001" hidden="1" customHeight="1" outlineLevel="1" x14ac:dyDescent="0.25">
      <c r="A514" s="3"/>
      <c r="C514" s="4"/>
      <c r="D514" s="181"/>
      <c r="E514" s="91" t="str">
        <f t="shared" si="70"/>
        <v>Duncanville</v>
      </c>
      <c r="F514" s="93" t="str">
        <f t="shared" si="71"/>
        <v>CP530</v>
      </c>
      <c r="G514" s="99" t="str">
        <f t="shared" si="77"/>
        <v>CP530-RETURN - 1st don of the week -STD</v>
      </c>
      <c r="H514" s="182"/>
      <c r="I514" s="36" t="s">
        <v>45</v>
      </c>
      <c r="J514" s="58">
        <v>45</v>
      </c>
      <c r="K514" s="58">
        <v>45</v>
      </c>
      <c r="L514" s="58">
        <v>45</v>
      </c>
      <c r="M514" s="58">
        <v>45</v>
      </c>
      <c r="N514" s="58">
        <v>45</v>
      </c>
      <c r="O514" s="58">
        <v>45</v>
      </c>
      <c r="P514" s="58">
        <v>45</v>
      </c>
      <c r="Q514" s="58">
        <v>45</v>
      </c>
      <c r="R514" s="22"/>
      <c r="S514" s="117" t="str">
        <f t="shared" si="68"/>
        <v>N</v>
      </c>
      <c r="T514" s="114">
        <f>IFERROR(SUMIF('Current NLData'!A:A,'Payment Changes'!G514,'Current NLData'!K:K)/COUNTIF('Current NLData'!A:A,'Payment Changes'!G514),0)+IFERROR(VLOOKUP(G514&amp;"-ALL",NLPaymentExport,10,FALSE),0)</f>
        <v>45</v>
      </c>
      <c r="U514" s="118">
        <f t="shared" si="69"/>
        <v>0</v>
      </c>
    </row>
    <row r="515" spans="1:54" ht="17.100000000000001" hidden="1" customHeight="1" outlineLevel="1" x14ac:dyDescent="0.25">
      <c r="A515" s="3"/>
      <c r="C515" s="4"/>
      <c r="D515" s="181"/>
      <c r="E515" s="91" t="str">
        <f t="shared" si="70"/>
        <v>Duncanville</v>
      </c>
      <c r="F515" s="93" t="str">
        <f t="shared" si="71"/>
        <v>CP530</v>
      </c>
      <c r="G515" s="99" t="str">
        <f t="shared" si="77"/>
        <v>CP530-RETURN - 2nd don of the week -BONUS</v>
      </c>
      <c r="H515" s="182"/>
      <c r="I515" s="36" t="s">
        <v>46</v>
      </c>
      <c r="J515" s="58">
        <v>20</v>
      </c>
      <c r="K515" s="62">
        <v>15</v>
      </c>
      <c r="L515" s="58">
        <v>15</v>
      </c>
      <c r="M515" s="58">
        <v>15</v>
      </c>
      <c r="N515" s="58">
        <v>15</v>
      </c>
      <c r="O515" s="58">
        <v>15</v>
      </c>
      <c r="P515" s="58">
        <v>15</v>
      </c>
      <c r="Q515" s="58">
        <v>15</v>
      </c>
      <c r="R515" s="23"/>
      <c r="S515" s="117" t="str">
        <f t="shared" ref="S515:S578" si="79">IF(P515=Q515,"N","Y")</f>
        <v>N</v>
      </c>
      <c r="T515" s="114">
        <f>IFERROR(SUMIF('Current NLData'!A:A,'Payment Changes'!G515,'Current NLData'!K:K)/COUNTIF('Current NLData'!A:A,'Payment Changes'!G515),0)+IFERROR(VLOOKUP(G515&amp;"-ALL",NLPaymentExport,10,FALSE),0)</f>
        <v>15</v>
      </c>
      <c r="U515" s="118">
        <f t="shared" si="69"/>
        <v>0</v>
      </c>
    </row>
    <row r="516" spans="1:54" ht="17.100000000000001" hidden="1" customHeight="1" outlineLevel="1" x14ac:dyDescent="0.25">
      <c r="A516" s="3"/>
      <c r="C516" s="4"/>
      <c r="D516" s="181"/>
      <c r="E516" s="91" t="str">
        <f t="shared" si="70"/>
        <v>Duncanville</v>
      </c>
      <c r="F516" s="93" t="str">
        <f t="shared" si="71"/>
        <v>CP530</v>
      </c>
      <c r="G516" s="99" t="str">
        <f t="shared" si="77"/>
        <v>CP530-RETURN - 5th don of the month -BONUS</v>
      </c>
      <c r="H516" s="182"/>
      <c r="I516" s="37" t="s">
        <v>47</v>
      </c>
      <c r="J516" s="65">
        <v>0</v>
      </c>
      <c r="K516" s="65">
        <v>0</v>
      </c>
      <c r="L516" s="65">
        <v>0</v>
      </c>
      <c r="M516" s="65">
        <v>0</v>
      </c>
      <c r="N516" s="65">
        <v>0</v>
      </c>
      <c r="O516" s="65">
        <v>0</v>
      </c>
      <c r="P516" s="65">
        <v>0</v>
      </c>
      <c r="Q516" s="65">
        <v>0</v>
      </c>
      <c r="R516" s="22"/>
      <c r="S516" s="117" t="str">
        <f t="shared" si="79"/>
        <v>N</v>
      </c>
      <c r="T516" s="114">
        <f>IFERROR(SUMIF('Current NLData'!A:A,'Payment Changes'!G516,'Current NLData'!K:K)/COUNTIF('Current NLData'!A:A,'Payment Changes'!G516),0)+IFERROR(VLOOKUP(G516&amp;"-ALL",NLPaymentExport,10,FALSE),0)</f>
        <v>0</v>
      </c>
      <c r="U516" s="118">
        <f t="shared" si="69"/>
        <v>0</v>
      </c>
    </row>
    <row r="517" spans="1:54" ht="17.100000000000001" hidden="1" customHeight="1" outlineLevel="1" x14ac:dyDescent="0.25">
      <c r="A517" s="3"/>
      <c r="C517" s="4"/>
      <c r="D517" s="181"/>
      <c r="E517" s="91" t="str">
        <f t="shared" si="70"/>
        <v>Duncanville</v>
      </c>
      <c r="F517" s="93" t="str">
        <f t="shared" si="71"/>
        <v>CP530</v>
      </c>
      <c r="G517" s="99" t="str">
        <f t="shared" si="77"/>
        <v>CP530-RETURN - 6th don of the month -BONUS</v>
      </c>
      <c r="H517" s="182"/>
      <c r="I517" s="38" t="s">
        <v>48</v>
      </c>
      <c r="J517" s="58">
        <v>0</v>
      </c>
      <c r="K517" s="58">
        <v>0</v>
      </c>
      <c r="L517" s="58">
        <v>0</v>
      </c>
      <c r="M517" s="58">
        <v>0</v>
      </c>
      <c r="N517" s="58">
        <v>0</v>
      </c>
      <c r="O517" s="58">
        <v>0</v>
      </c>
      <c r="P517" s="58">
        <v>0</v>
      </c>
      <c r="Q517" s="58">
        <v>0</v>
      </c>
      <c r="R517" s="22"/>
      <c r="S517" s="117" t="str">
        <f t="shared" si="79"/>
        <v>N</v>
      </c>
      <c r="T517" s="114">
        <f>IFERROR(SUMIF('Current NLData'!A:A,'Payment Changes'!G517,'Current NLData'!K:K)/COUNTIF('Current NLData'!A:A,'Payment Changes'!G517),0)+IFERROR(VLOOKUP(G517&amp;"-ALL",NLPaymentExport,10,FALSE),0)</f>
        <v>0</v>
      </c>
      <c r="U517" s="118">
        <f t="shared" si="69"/>
        <v>0</v>
      </c>
    </row>
    <row r="518" spans="1:54" ht="17.100000000000001" hidden="1" customHeight="1" outlineLevel="1" x14ac:dyDescent="0.25">
      <c r="A518" s="3"/>
      <c r="C518" s="4"/>
      <c r="D518" s="181"/>
      <c r="E518" s="91" t="str">
        <f t="shared" si="70"/>
        <v>Duncanville</v>
      </c>
      <c r="F518" s="93" t="str">
        <f t="shared" si="71"/>
        <v>CP530</v>
      </c>
      <c r="G518" s="99" t="str">
        <f t="shared" si="77"/>
        <v>CP530-RETURN - 7th don of the month -BONUS</v>
      </c>
      <c r="H518" s="182"/>
      <c r="I518" s="38" t="s">
        <v>49</v>
      </c>
      <c r="J518" s="58">
        <v>0</v>
      </c>
      <c r="K518" s="58">
        <v>0</v>
      </c>
      <c r="L518" s="58">
        <v>0</v>
      </c>
      <c r="M518" s="58">
        <v>0</v>
      </c>
      <c r="N518" s="58">
        <v>0</v>
      </c>
      <c r="O518" s="58">
        <v>0</v>
      </c>
      <c r="P518" s="58">
        <v>0</v>
      </c>
      <c r="Q518" s="58">
        <v>0</v>
      </c>
      <c r="R518" s="22"/>
      <c r="S518" s="117" t="str">
        <f t="shared" si="79"/>
        <v>N</v>
      </c>
      <c r="T518" s="114">
        <f>IFERROR(SUMIF('Current NLData'!A:A,'Payment Changes'!G518,'Current NLData'!K:K)/COUNTIF('Current NLData'!A:A,'Payment Changes'!G518),0)+IFERROR(VLOOKUP(G518&amp;"-ALL",NLPaymentExport,10,FALSE),0)</f>
        <v>0</v>
      </c>
      <c r="U518" s="118">
        <f t="shared" si="69"/>
        <v>0</v>
      </c>
    </row>
    <row r="519" spans="1:54" ht="17.100000000000001" hidden="1" customHeight="1" outlineLevel="1" x14ac:dyDescent="0.25">
      <c r="A519" s="3"/>
      <c r="C519" s="4"/>
      <c r="D519" s="181"/>
      <c r="E519" s="91" t="str">
        <f t="shared" si="70"/>
        <v>Duncanville</v>
      </c>
      <c r="F519" s="93" t="str">
        <f t="shared" si="71"/>
        <v>CP530</v>
      </c>
      <c r="G519" s="99" t="str">
        <f t="shared" si="77"/>
        <v>CP530-RETURN - 8th don of the month -BONUS</v>
      </c>
      <c r="H519" s="182"/>
      <c r="I519" s="38" t="s">
        <v>50</v>
      </c>
      <c r="J519" s="58">
        <v>0</v>
      </c>
      <c r="K519" s="58">
        <f>J519</f>
        <v>0</v>
      </c>
      <c r="L519" s="58">
        <v>0</v>
      </c>
      <c r="M519" s="58">
        <v>0</v>
      </c>
      <c r="N519" s="58">
        <v>0</v>
      </c>
      <c r="O519" s="58">
        <v>0</v>
      </c>
      <c r="P519" s="58">
        <v>0</v>
      </c>
      <c r="Q519" s="58">
        <v>0</v>
      </c>
      <c r="R519" s="22"/>
      <c r="S519" s="117" t="str">
        <f t="shared" si="79"/>
        <v>N</v>
      </c>
      <c r="T519" s="114">
        <f>IFERROR(SUMIF('Current NLData'!A:A,'Payment Changes'!G519,'Current NLData'!K:K)/COUNTIF('Current NLData'!A:A,'Payment Changes'!G519),0)+IFERROR(VLOOKUP(G519&amp;"-ALL",NLPaymentExport,10,FALSE),0)</f>
        <v>0</v>
      </c>
      <c r="U519" s="118">
        <f t="shared" ref="U519:U582" si="80">IF(OR(I519 = "New Donor", I519="Return Donor", I519="Retention Bonus", I519="Referral", I519 = ""),"",T519-Q519 )</f>
        <v>0</v>
      </c>
    </row>
    <row r="520" spans="1:54" ht="17.100000000000001" hidden="1" customHeight="1" outlineLevel="1" x14ac:dyDescent="0.25">
      <c r="A520" s="3"/>
      <c r="C520" s="4" t="str">
        <f>IF(J520=0,"Warning","")</f>
        <v/>
      </c>
      <c r="D520" s="181"/>
      <c r="E520" s="91" t="str">
        <f t="shared" ref="E520:E583" si="81">IF(B520 = "",E519,B520)</f>
        <v>Duncanville</v>
      </c>
      <c r="F520" s="93" t="str">
        <f t="shared" ref="F520:F580" si="82">IF(D520 = "",F519,D520)</f>
        <v>CP530</v>
      </c>
      <c r="G520" s="99" t="str">
        <f t="shared" si="77"/>
        <v>CP530-RETURN - Buddy referral  -BONUS</v>
      </c>
      <c r="H520" s="182"/>
      <c r="I520" s="39" t="s">
        <v>51</v>
      </c>
      <c r="J520" s="58">
        <v>50</v>
      </c>
      <c r="K520" s="58">
        <v>50</v>
      </c>
      <c r="L520" s="58">
        <v>0</v>
      </c>
      <c r="M520" s="58">
        <v>0</v>
      </c>
      <c r="N520" s="58">
        <v>0</v>
      </c>
      <c r="O520" s="58">
        <v>50</v>
      </c>
      <c r="P520" s="58">
        <v>50</v>
      </c>
      <c r="Q520" s="58">
        <v>50</v>
      </c>
      <c r="R520" s="22"/>
      <c r="S520" s="117" t="str">
        <f t="shared" si="79"/>
        <v>N</v>
      </c>
      <c r="T520" s="114">
        <f>IFERROR(SUMIF('Current NLData'!A:A,'Payment Changes'!G520,'Current NLData'!K:K)/COUNTIF('Current NLData'!A:A,'Payment Changes'!G520),0)+IFERROR(VLOOKUP(G520&amp;"-ALL",NLPaymentExport,10,FALSE),0)</f>
        <v>50</v>
      </c>
      <c r="U520" s="118">
        <f t="shared" si="80"/>
        <v>0</v>
      </c>
    </row>
    <row r="521" spans="1:54" s="90" customFormat="1" ht="17.100000000000001" hidden="1" customHeight="1" collapsed="1" x14ac:dyDescent="0.35">
      <c r="A521" s="85"/>
      <c r="B521" s="85"/>
      <c r="C521" s="86"/>
      <c r="D521" s="87"/>
      <c r="E521" s="87"/>
      <c r="F521" s="87"/>
      <c r="G521" s="87"/>
      <c r="H521" s="96"/>
      <c r="I521" s="88"/>
      <c r="J521" s="89"/>
      <c r="K521" s="89"/>
      <c r="L521" s="89"/>
      <c r="M521" s="89"/>
      <c r="N521" s="89"/>
      <c r="O521" s="89"/>
      <c r="P521" s="89"/>
      <c r="Q521" s="89"/>
      <c r="R521" s="21"/>
      <c r="S521" s="117" t="str">
        <f t="shared" si="79"/>
        <v>N</v>
      </c>
      <c r="T521" s="114">
        <f>IFERROR(SUMIF('Current NLData'!A:A,'Payment Changes'!G521,'Current NLData'!K:K)/COUNTIF('Current NLData'!A:A,'Payment Changes'!G521),0)+IFERROR(VLOOKUP(G521&amp;"-ALL",NLPaymentExport,10,FALSE),0)</f>
        <v>0</v>
      </c>
      <c r="U521" s="118" t="str">
        <f t="shared" si="80"/>
        <v/>
      </c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</row>
    <row r="522" spans="1:54" s="10" customFormat="1" ht="17.100000000000001" hidden="1" customHeight="1" x14ac:dyDescent="0.25">
      <c r="A522" s="165">
        <v>27</v>
      </c>
      <c r="B522" s="168" t="s">
        <v>164</v>
      </c>
      <c r="C522" s="171" t="s">
        <v>53</v>
      </c>
      <c r="D522" s="174" t="s">
        <v>157</v>
      </c>
      <c r="E522" s="106" t="str">
        <f t="shared" si="81"/>
        <v xml:space="preserve">Las Vegas </v>
      </c>
      <c r="F522" s="107" t="s">
        <v>165</v>
      </c>
      <c r="G522" s="108" t="str">
        <f t="shared" ref="G522:G540" si="83">F522&amp;"-"&amp;I522</f>
        <v>CP570-New Donor</v>
      </c>
      <c r="H522" s="177" t="s">
        <v>22</v>
      </c>
      <c r="I522" s="76" t="s">
        <v>23</v>
      </c>
      <c r="J522" s="40" t="s">
        <v>166</v>
      </c>
      <c r="K522" s="41" t="s">
        <v>167</v>
      </c>
      <c r="L522" s="41" t="s">
        <v>63</v>
      </c>
      <c r="M522" s="42" t="s">
        <v>63</v>
      </c>
      <c r="N522" s="40" t="s">
        <v>63</v>
      </c>
      <c r="O522" s="40" t="s">
        <v>63</v>
      </c>
      <c r="P522" s="40" t="s">
        <v>63</v>
      </c>
      <c r="Q522" s="40" t="s">
        <v>63</v>
      </c>
      <c r="R522" s="109"/>
      <c r="S522" s="117" t="str">
        <f t="shared" si="79"/>
        <v>N</v>
      </c>
      <c r="T522" s="114">
        <f>IFERROR(SUMIF('Current NLData'!A:A,'Payment Changes'!G522,'Current NLData'!K:K)/COUNTIF('Current NLData'!A:A,'Payment Changes'!G522),0)+IFERROR(VLOOKUP(G522&amp;"-ALL",NLPaymentExport,10,FALSE),0)</f>
        <v>0</v>
      </c>
      <c r="U522" s="118" t="str">
        <f t="shared" si="80"/>
        <v/>
      </c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</row>
    <row r="523" spans="1:54" ht="17.100000000000001" hidden="1" customHeight="1" x14ac:dyDescent="0.25">
      <c r="A523" s="166"/>
      <c r="B523" s="169"/>
      <c r="C523" s="172"/>
      <c r="D523" s="175"/>
      <c r="E523" s="91" t="str">
        <f t="shared" si="81"/>
        <v xml:space="preserve">Las Vegas </v>
      </c>
      <c r="F523" s="92" t="s">
        <v>165</v>
      </c>
      <c r="G523" s="98" t="str">
        <f t="shared" si="83"/>
        <v>CP570-Return Donor</v>
      </c>
      <c r="H523" s="178"/>
      <c r="I523" s="77" t="s">
        <v>29</v>
      </c>
      <c r="J523" s="43" t="s">
        <v>168</v>
      </c>
      <c r="K523" s="43" t="s">
        <v>168</v>
      </c>
      <c r="L523" s="44" t="s">
        <v>168</v>
      </c>
      <c r="M523" s="45" t="s">
        <v>168</v>
      </c>
      <c r="N523" s="43" t="s">
        <v>168</v>
      </c>
      <c r="O523" s="43" t="s">
        <v>168</v>
      </c>
      <c r="P523" s="43" t="s">
        <v>168</v>
      </c>
      <c r="Q523" s="43" t="s">
        <v>168</v>
      </c>
      <c r="R523" s="21"/>
      <c r="S523" s="117" t="str">
        <f t="shared" si="79"/>
        <v>N</v>
      </c>
      <c r="T523" s="114">
        <f>IFERROR(SUMIF('Current NLData'!A:A,'Payment Changes'!G523,'Current NLData'!K:K)/COUNTIF('Current NLData'!A:A,'Payment Changes'!G523),0)+IFERROR(VLOOKUP(G523&amp;"-ALL",NLPaymentExport,10,FALSE),0)</f>
        <v>0</v>
      </c>
      <c r="U523" s="118" t="str">
        <f t="shared" si="80"/>
        <v/>
      </c>
    </row>
    <row r="524" spans="1:54" ht="17.100000000000001" hidden="1" customHeight="1" x14ac:dyDescent="0.25">
      <c r="A524" s="166"/>
      <c r="B524" s="169"/>
      <c r="C524" s="172"/>
      <c r="D524" s="175"/>
      <c r="E524" s="91" t="str">
        <f t="shared" si="81"/>
        <v xml:space="preserve">Las Vegas </v>
      </c>
      <c r="F524" s="92" t="s">
        <v>165</v>
      </c>
      <c r="G524" s="98" t="str">
        <f t="shared" si="83"/>
        <v>CP570-Retention Bonus</v>
      </c>
      <c r="H524" s="178"/>
      <c r="I524" s="78" t="s">
        <v>30</v>
      </c>
      <c r="J524" s="46" t="s">
        <v>169</v>
      </c>
      <c r="K524" s="46" t="s">
        <v>169</v>
      </c>
      <c r="L524" s="47" t="s">
        <v>169</v>
      </c>
      <c r="M524" s="48" t="s">
        <v>169</v>
      </c>
      <c r="N524" s="46" t="s">
        <v>169</v>
      </c>
      <c r="O524" s="46" t="s">
        <v>169</v>
      </c>
      <c r="P524" s="46" t="s">
        <v>169</v>
      </c>
      <c r="Q524" s="46" t="s">
        <v>169</v>
      </c>
      <c r="R524" s="21"/>
      <c r="S524" s="117" t="str">
        <f t="shared" si="79"/>
        <v>N</v>
      </c>
      <c r="T524" s="114">
        <f>IFERROR(SUMIF('Current NLData'!A:A,'Payment Changes'!G524,'Current NLData'!K:K)/COUNTIF('Current NLData'!A:A,'Payment Changes'!G524),0)+IFERROR(VLOOKUP(G524&amp;"-ALL",NLPaymentExport,10,FALSE),0)</f>
        <v>0</v>
      </c>
      <c r="U524" s="118" t="str">
        <f t="shared" si="80"/>
        <v/>
      </c>
    </row>
    <row r="525" spans="1:54" s="15" customFormat="1" ht="17.100000000000001" hidden="1" customHeight="1" x14ac:dyDescent="0.25">
      <c r="A525" s="167"/>
      <c r="B525" s="170"/>
      <c r="C525" s="173"/>
      <c r="D525" s="176"/>
      <c r="E525" s="110" t="str">
        <f t="shared" si="81"/>
        <v xml:space="preserve">Las Vegas </v>
      </c>
      <c r="F525" s="111" t="s">
        <v>165</v>
      </c>
      <c r="G525" s="112" t="str">
        <f t="shared" si="83"/>
        <v>CP570-Referral</v>
      </c>
      <c r="H525" s="179"/>
      <c r="I525" s="79" t="s">
        <v>34</v>
      </c>
      <c r="J525" s="49">
        <v>50</v>
      </c>
      <c r="K525" s="49">
        <v>50</v>
      </c>
      <c r="L525" s="50">
        <v>50</v>
      </c>
      <c r="M525" s="51">
        <v>50</v>
      </c>
      <c r="N525" s="49">
        <v>50</v>
      </c>
      <c r="O525" s="49">
        <v>50</v>
      </c>
      <c r="P525" s="49">
        <v>50</v>
      </c>
      <c r="Q525" s="49">
        <v>50</v>
      </c>
      <c r="R525" s="113"/>
      <c r="S525" s="117" t="str">
        <f t="shared" si="79"/>
        <v>N</v>
      </c>
      <c r="T525" s="114">
        <f>IFERROR(SUMIF('Current NLData'!A:A,'Payment Changes'!G525,'Current NLData'!K:K)/COUNTIF('Current NLData'!A:A,'Payment Changes'!G525),0)+IFERROR(VLOOKUP(G525&amp;"-ALL",NLPaymentExport,10,FALSE),0)</f>
        <v>0</v>
      </c>
      <c r="U525" s="118" t="str">
        <f t="shared" si="80"/>
        <v/>
      </c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</row>
    <row r="526" spans="1:54" ht="17.100000000000001" hidden="1" customHeight="1" outlineLevel="1" x14ac:dyDescent="0.25">
      <c r="A526" s="3"/>
      <c r="C526" s="4"/>
      <c r="D526" s="180" t="s">
        <v>165</v>
      </c>
      <c r="E526" s="91" t="str">
        <f t="shared" si="81"/>
        <v xml:space="preserve">Las Vegas </v>
      </c>
      <c r="F526" s="93" t="str">
        <f t="shared" si="82"/>
        <v>CP570</v>
      </c>
      <c r="G526" s="99" t="str">
        <f t="shared" si="83"/>
        <v>CP570-NEW DONOR -1st</v>
      </c>
      <c r="H526" s="182" t="s">
        <v>36</v>
      </c>
      <c r="I526" s="33" t="s">
        <v>37</v>
      </c>
      <c r="J526" s="60">
        <v>100</v>
      </c>
      <c r="K526" s="61">
        <f>J526</f>
        <v>100</v>
      </c>
      <c r="L526" s="60">
        <v>100</v>
      </c>
      <c r="M526" s="60">
        <v>100</v>
      </c>
      <c r="N526" s="60">
        <v>100</v>
      </c>
      <c r="O526" s="60">
        <v>100</v>
      </c>
      <c r="P526" s="60">
        <v>100</v>
      </c>
      <c r="Q526" s="60">
        <v>100</v>
      </c>
      <c r="R526" s="23"/>
      <c r="S526" s="117" t="str">
        <f t="shared" si="79"/>
        <v>N</v>
      </c>
      <c r="T526" s="114">
        <f>IFERROR(SUMIF('Current NLData'!A:A,'Payment Changes'!G526,'Current NLData'!K:K)/COUNTIF('Current NLData'!A:A,'Payment Changes'!G526),0)+IFERROR(VLOOKUP(G526&amp;"-ALL",NLPaymentExport,10,FALSE),0)</f>
        <v>100</v>
      </c>
      <c r="U526" s="118">
        <f t="shared" si="80"/>
        <v>0</v>
      </c>
    </row>
    <row r="527" spans="1:54" ht="17.100000000000001" hidden="1" customHeight="1" outlineLevel="1" x14ac:dyDescent="0.25">
      <c r="A527" s="3"/>
      <c r="C527" s="4"/>
      <c r="D527" s="181"/>
      <c r="E527" s="91" t="str">
        <f t="shared" si="81"/>
        <v xml:space="preserve">Las Vegas </v>
      </c>
      <c r="F527" s="93" t="str">
        <f t="shared" si="82"/>
        <v>CP570</v>
      </c>
      <c r="G527" s="99" t="str">
        <f t="shared" si="83"/>
        <v>CP570-NEW DONOR -2nd</v>
      </c>
      <c r="H527" s="182"/>
      <c r="I527" s="34" t="s">
        <v>38</v>
      </c>
      <c r="J527" s="58">
        <v>100</v>
      </c>
      <c r="K527" s="62">
        <f>J527</f>
        <v>100</v>
      </c>
      <c r="L527" s="58">
        <v>100</v>
      </c>
      <c r="M527" s="58">
        <v>100</v>
      </c>
      <c r="N527" s="58">
        <v>100</v>
      </c>
      <c r="O527" s="58">
        <v>100</v>
      </c>
      <c r="P527" s="58">
        <v>100</v>
      </c>
      <c r="Q527" s="58">
        <v>100</v>
      </c>
      <c r="R527" s="23"/>
      <c r="S527" s="117" t="str">
        <f t="shared" si="79"/>
        <v>N</v>
      </c>
      <c r="T527" s="114">
        <f>IFERROR(SUMIF('Current NLData'!A:A,'Payment Changes'!G527,'Current NLData'!K:K)/COUNTIF('Current NLData'!A:A,'Payment Changes'!G527),0)+IFERROR(VLOOKUP(G527&amp;"-ALL",NLPaymentExport,10,FALSE),0)</f>
        <v>100</v>
      </c>
      <c r="U527" s="118">
        <f t="shared" si="80"/>
        <v>0</v>
      </c>
    </row>
    <row r="528" spans="1:54" ht="17.100000000000001" hidden="1" customHeight="1" outlineLevel="1" x14ac:dyDescent="0.25">
      <c r="A528" s="3"/>
      <c r="C528" s="4"/>
      <c r="D528" s="181"/>
      <c r="E528" s="91" t="str">
        <f t="shared" si="81"/>
        <v xml:space="preserve">Las Vegas </v>
      </c>
      <c r="F528" s="93" t="str">
        <f t="shared" si="82"/>
        <v>CP570</v>
      </c>
      <c r="G528" s="99" t="str">
        <f t="shared" si="83"/>
        <v>CP570-NEW DONOR -3rd</v>
      </c>
      <c r="H528" s="182"/>
      <c r="I528" s="34" t="s">
        <v>39</v>
      </c>
      <c r="J528" s="58">
        <v>100</v>
      </c>
      <c r="K528" s="62">
        <f t="shared" ref="K528:K529" si="84">J528</f>
        <v>100</v>
      </c>
      <c r="L528" s="58">
        <v>100</v>
      </c>
      <c r="M528" s="58">
        <v>100</v>
      </c>
      <c r="N528" s="58">
        <v>100</v>
      </c>
      <c r="O528" s="58">
        <v>100</v>
      </c>
      <c r="P528" s="58">
        <v>100</v>
      </c>
      <c r="Q528" s="58">
        <v>100</v>
      </c>
      <c r="R528" s="23"/>
      <c r="S528" s="117" t="str">
        <f t="shared" si="79"/>
        <v>N</v>
      </c>
      <c r="T528" s="114">
        <f>IFERROR(SUMIF('Current NLData'!A:A,'Payment Changes'!G528,'Current NLData'!K:K)/COUNTIF('Current NLData'!A:A,'Payment Changes'!G528),0)+IFERROR(VLOOKUP(G528&amp;"-ALL",NLPaymentExport,10,FALSE),0)</f>
        <v>100</v>
      </c>
      <c r="U528" s="118">
        <f t="shared" si="80"/>
        <v>0</v>
      </c>
    </row>
    <row r="529" spans="1:54" ht="17.100000000000001" hidden="1" customHeight="1" outlineLevel="1" x14ac:dyDescent="0.25">
      <c r="A529" s="3"/>
      <c r="C529" s="4"/>
      <c r="D529" s="181"/>
      <c r="E529" s="91" t="str">
        <f t="shared" si="81"/>
        <v xml:space="preserve">Las Vegas </v>
      </c>
      <c r="F529" s="93" t="str">
        <f t="shared" si="82"/>
        <v>CP570</v>
      </c>
      <c r="G529" s="99" t="str">
        <f t="shared" si="83"/>
        <v>CP570-NEW DONOR -4th</v>
      </c>
      <c r="H529" s="182"/>
      <c r="I529" s="34" t="s">
        <v>40</v>
      </c>
      <c r="J529" s="58">
        <v>100</v>
      </c>
      <c r="K529" s="62">
        <f t="shared" si="84"/>
        <v>100</v>
      </c>
      <c r="L529" s="58">
        <v>100</v>
      </c>
      <c r="M529" s="58">
        <v>100</v>
      </c>
      <c r="N529" s="58">
        <v>100</v>
      </c>
      <c r="O529" s="58">
        <v>100</v>
      </c>
      <c r="P529" s="58">
        <v>100</v>
      </c>
      <c r="Q529" s="58">
        <v>100</v>
      </c>
      <c r="R529" s="23"/>
      <c r="S529" s="117" t="str">
        <f t="shared" si="79"/>
        <v>N</v>
      </c>
      <c r="T529" s="114">
        <f>IFERROR(SUMIF('Current NLData'!A:A,'Payment Changes'!G529,'Current NLData'!K:K)/COUNTIF('Current NLData'!A:A,'Payment Changes'!G529),0)+IFERROR(VLOOKUP(G529&amp;"-ALL",NLPaymentExport,10,FALSE),0)</f>
        <v>100</v>
      </c>
      <c r="U529" s="118">
        <f t="shared" si="80"/>
        <v>0</v>
      </c>
    </row>
    <row r="530" spans="1:54" ht="17.100000000000001" hidden="1" customHeight="1" outlineLevel="1" x14ac:dyDescent="0.25">
      <c r="A530" s="3"/>
      <c r="C530" s="4"/>
      <c r="D530" s="181"/>
      <c r="E530" s="91" t="str">
        <f t="shared" si="81"/>
        <v xml:space="preserve">Las Vegas </v>
      </c>
      <c r="F530" s="93" t="str">
        <f t="shared" si="82"/>
        <v>CP570</v>
      </c>
      <c r="G530" s="99" t="str">
        <f t="shared" si="83"/>
        <v>CP570-NEW DONOR -5th</v>
      </c>
      <c r="H530" s="182"/>
      <c r="I530" s="34" t="s">
        <v>41</v>
      </c>
      <c r="J530" s="58">
        <v>50</v>
      </c>
      <c r="K530" s="62">
        <v>50</v>
      </c>
      <c r="L530" s="58">
        <v>50</v>
      </c>
      <c r="M530" s="58">
        <v>50</v>
      </c>
      <c r="N530" s="58">
        <v>50</v>
      </c>
      <c r="O530" s="58">
        <v>50</v>
      </c>
      <c r="P530" s="58">
        <v>50</v>
      </c>
      <c r="Q530" s="58">
        <v>50</v>
      </c>
      <c r="R530" s="23"/>
      <c r="S530" s="117" t="str">
        <f t="shared" si="79"/>
        <v>N</v>
      </c>
      <c r="T530" s="114">
        <f>IFERROR(SUMIF('Current NLData'!A:A,'Payment Changes'!G530,'Current NLData'!K:K)/COUNTIF('Current NLData'!A:A,'Payment Changes'!G530),0)+IFERROR(VLOOKUP(G530&amp;"-ALL",NLPaymentExport,10,FALSE),0)</f>
        <v>50</v>
      </c>
      <c r="U530" s="118">
        <f t="shared" si="80"/>
        <v>0</v>
      </c>
    </row>
    <row r="531" spans="1:54" ht="17.100000000000001" hidden="1" customHeight="1" outlineLevel="1" x14ac:dyDescent="0.25">
      <c r="A531" s="3"/>
      <c r="C531" s="4"/>
      <c r="D531" s="181"/>
      <c r="E531" s="91" t="str">
        <f t="shared" si="81"/>
        <v xml:space="preserve">Las Vegas </v>
      </c>
      <c r="F531" s="93" t="str">
        <f t="shared" si="82"/>
        <v>CP570</v>
      </c>
      <c r="G531" s="99" t="str">
        <f t="shared" si="83"/>
        <v>CP570-NEW DONOR -6th</v>
      </c>
      <c r="H531" s="182"/>
      <c r="I531" s="34" t="s">
        <v>42</v>
      </c>
      <c r="J531" s="58">
        <v>50</v>
      </c>
      <c r="K531" s="62">
        <v>75</v>
      </c>
      <c r="L531" s="58">
        <v>50</v>
      </c>
      <c r="M531" s="58">
        <v>50</v>
      </c>
      <c r="N531" s="58">
        <v>50</v>
      </c>
      <c r="O531" s="58">
        <v>50</v>
      </c>
      <c r="P531" s="58">
        <v>50</v>
      </c>
      <c r="Q531" s="58">
        <v>50</v>
      </c>
      <c r="R531" s="23"/>
      <c r="S531" s="117" t="str">
        <f t="shared" si="79"/>
        <v>N</v>
      </c>
      <c r="T531" s="114">
        <f>IFERROR(SUMIF('Current NLData'!A:A,'Payment Changes'!G531,'Current NLData'!K:K)/COUNTIF('Current NLData'!A:A,'Payment Changes'!G531),0)+IFERROR(VLOOKUP(G531&amp;"-ALL",NLPaymentExport,10,FALSE),0)</f>
        <v>50</v>
      </c>
      <c r="U531" s="118">
        <f t="shared" si="80"/>
        <v>0</v>
      </c>
    </row>
    <row r="532" spans="1:54" ht="17.100000000000001" hidden="1" customHeight="1" outlineLevel="1" x14ac:dyDescent="0.25">
      <c r="A532" s="3"/>
      <c r="C532" s="4"/>
      <c r="D532" s="181"/>
      <c r="E532" s="91" t="str">
        <f t="shared" si="81"/>
        <v xml:space="preserve">Las Vegas </v>
      </c>
      <c r="F532" s="93" t="str">
        <f t="shared" si="82"/>
        <v>CP570</v>
      </c>
      <c r="G532" s="99" t="str">
        <f t="shared" si="83"/>
        <v>CP570-NEW DONOR -7th</v>
      </c>
      <c r="H532" s="182"/>
      <c r="I532" s="34" t="s">
        <v>43</v>
      </c>
      <c r="J532" s="58">
        <v>50</v>
      </c>
      <c r="K532" s="62">
        <v>50</v>
      </c>
      <c r="L532" s="58">
        <v>50</v>
      </c>
      <c r="M532" s="58">
        <v>50</v>
      </c>
      <c r="N532" s="58">
        <v>50</v>
      </c>
      <c r="O532" s="58">
        <v>50</v>
      </c>
      <c r="P532" s="58">
        <v>50</v>
      </c>
      <c r="Q532" s="58">
        <v>50</v>
      </c>
      <c r="R532" s="23"/>
      <c r="S532" s="117" t="str">
        <f t="shared" si="79"/>
        <v>N</v>
      </c>
      <c r="T532" s="114">
        <f>IFERROR(SUMIF('Current NLData'!A:A,'Payment Changes'!G532,'Current NLData'!K:K)/COUNTIF('Current NLData'!A:A,'Payment Changes'!G532),0)+IFERROR(VLOOKUP(G532&amp;"-ALL",NLPaymentExport,10,FALSE),0)</f>
        <v>50</v>
      </c>
      <c r="U532" s="118">
        <f t="shared" si="80"/>
        <v>0</v>
      </c>
    </row>
    <row r="533" spans="1:54" ht="17.100000000000001" hidden="1" customHeight="1" outlineLevel="1" x14ac:dyDescent="0.25">
      <c r="A533" s="3"/>
      <c r="C533" s="4"/>
      <c r="D533" s="181"/>
      <c r="E533" s="91" t="str">
        <f t="shared" si="81"/>
        <v xml:space="preserve">Las Vegas </v>
      </c>
      <c r="F533" s="93" t="str">
        <f t="shared" si="82"/>
        <v>CP570</v>
      </c>
      <c r="G533" s="99" t="str">
        <f t="shared" si="83"/>
        <v>CP570-NEW DONOR -8th</v>
      </c>
      <c r="H533" s="182"/>
      <c r="I533" s="35" t="s">
        <v>44</v>
      </c>
      <c r="J533" s="63">
        <v>50</v>
      </c>
      <c r="K533" s="64">
        <v>75</v>
      </c>
      <c r="L533" s="63">
        <v>50</v>
      </c>
      <c r="M533" s="63">
        <v>50</v>
      </c>
      <c r="N533" s="63">
        <v>50</v>
      </c>
      <c r="O533" s="63">
        <v>50</v>
      </c>
      <c r="P533" s="63">
        <v>50</v>
      </c>
      <c r="Q533" s="63">
        <v>50</v>
      </c>
      <c r="R533" s="23"/>
      <c r="S533" s="117" t="str">
        <f t="shared" si="79"/>
        <v>N</v>
      </c>
      <c r="T533" s="114">
        <f>IFERROR(SUMIF('Current NLData'!A:A,'Payment Changes'!G533,'Current NLData'!K:K)/COUNTIF('Current NLData'!A:A,'Payment Changes'!G533),0)+IFERROR(VLOOKUP(G533&amp;"-ALL",NLPaymentExport,10,FALSE),0)</f>
        <v>50</v>
      </c>
      <c r="U533" s="118">
        <f t="shared" si="80"/>
        <v>0</v>
      </c>
    </row>
    <row r="534" spans="1:54" ht="17.100000000000001" hidden="1" customHeight="1" outlineLevel="1" x14ac:dyDescent="0.25">
      <c r="A534" s="3"/>
      <c r="C534" s="4"/>
      <c r="D534" s="181"/>
      <c r="E534" s="91" t="str">
        <f t="shared" si="81"/>
        <v xml:space="preserve">Las Vegas </v>
      </c>
      <c r="F534" s="93" t="str">
        <f t="shared" si="82"/>
        <v>CP570</v>
      </c>
      <c r="G534" s="99" t="str">
        <f t="shared" si="83"/>
        <v>CP570-RETURN - 1st don of the week -STD</v>
      </c>
      <c r="H534" s="182"/>
      <c r="I534" s="36" t="s">
        <v>45</v>
      </c>
      <c r="J534" s="58">
        <v>50</v>
      </c>
      <c r="K534" s="58">
        <f>J534</f>
        <v>50</v>
      </c>
      <c r="L534" s="58">
        <v>50</v>
      </c>
      <c r="M534" s="58">
        <v>50</v>
      </c>
      <c r="N534" s="58">
        <v>50</v>
      </c>
      <c r="O534" s="58">
        <v>50</v>
      </c>
      <c r="P534" s="58">
        <v>50</v>
      </c>
      <c r="Q534" s="58">
        <v>50</v>
      </c>
      <c r="R534" s="22"/>
      <c r="S534" s="117" t="str">
        <f t="shared" si="79"/>
        <v>N</v>
      </c>
      <c r="T534" s="114">
        <f>IFERROR(SUMIF('Current NLData'!A:A,'Payment Changes'!G534,'Current NLData'!K:K)/COUNTIF('Current NLData'!A:A,'Payment Changes'!G534),0)+IFERROR(VLOOKUP(G534&amp;"-ALL",NLPaymentExport,10,FALSE),0)</f>
        <v>50</v>
      </c>
      <c r="U534" s="118">
        <f t="shared" si="80"/>
        <v>0</v>
      </c>
    </row>
    <row r="535" spans="1:54" ht="17.100000000000001" hidden="1" customHeight="1" outlineLevel="1" x14ac:dyDescent="0.25">
      <c r="A535" s="3"/>
      <c r="C535" s="4"/>
      <c r="D535" s="181"/>
      <c r="E535" s="91" t="str">
        <f t="shared" si="81"/>
        <v xml:space="preserve">Las Vegas </v>
      </c>
      <c r="F535" s="93" t="str">
        <f t="shared" si="82"/>
        <v>CP570</v>
      </c>
      <c r="G535" s="99" t="str">
        <f t="shared" si="83"/>
        <v>CP570-RETURN - 2nd don of the week -BONUS</v>
      </c>
      <c r="H535" s="182"/>
      <c r="I535" s="36" t="s">
        <v>46</v>
      </c>
      <c r="J535" s="58">
        <v>25</v>
      </c>
      <c r="K535" s="58">
        <f>J535</f>
        <v>25</v>
      </c>
      <c r="L535" s="58">
        <v>25</v>
      </c>
      <c r="M535" s="58">
        <v>25</v>
      </c>
      <c r="N535" s="58">
        <v>25</v>
      </c>
      <c r="O535" s="58">
        <v>25</v>
      </c>
      <c r="P535" s="58">
        <v>25</v>
      </c>
      <c r="Q535" s="58">
        <v>25</v>
      </c>
      <c r="R535" s="22"/>
      <c r="S535" s="117" t="str">
        <f t="shared" si="79"/>
        <v>N</v>
      </c>
      <c r="T535" s="114">
        <f>IFERROR(SUMIF('Current NLData'!A:A,'Payment Changes'!G535,'Current NLData'!K:K)/COUNTIF('Current NLData'!A:A,'Payment Changes'!G535),0)+IFERROR(VLOOKUP(G535&amp;"-ALL",NLPaymentExport,10,FALSE),0)</f>
        <v>25</v>
      </c>
      <c r="U535" s="118">
        <f t="shared" si="80"/>
        <v>0</v>
      </c>
    </row>
    <row r="536" spans="1:54" ht="17.100000000000001" hidden="1" customHeight="1" outlineLevel="1" x14ac:dyDescent="0.25">
      <c r="A536" s="3"/>
      <c r="C536" s="4"/>
      <c r="D536" s="181"/>
      <c r="E536" s="91" t="str">
        <f t="shared" si="81"/>
        <v xml:space="preserve">Las Vegas </v>
      </c>
      <c r="F536" s="93" t="str">
        <f t="shared" si="82"/>
        <v>CP570</v>
      </c>
      <c r="G536" s="99" t="str">
        <f t="shared" si="83"/>
        <v>CP570-RETURN - 5th don of the month -BONUS</v>
      </c>
      <c r="H536" s="182"/>
      <c r="I536" s="37" t="s">
        <v>47</v>
      </c>
      <c r="J536" s="65">
        <v>0</v>
      </c>
      <c r="K536" s="65">
        <v>0</v>
      </c>
      <c r="L536" s="65">
        <v>0</v>
      </c>
      <c r="M536" s="65">
        <v>0</v>
      </c>
      <c r="N536" s="65">
        <v>0</v>
      </c>
      <c r="O536" s="65">
        <v>0</v>
      </c>
      <c r="P536" s="65">
        <v>0</v>
      </c>
      <c r="Q536" s="65">
        <v>0</v>
      </c>
      <c r="R536" s="22"/>
      <c r="S536" s="117" t="str">
        <f t="shared" si="79"/>
        <v>N</v>
      </c>
      <c r="T536" s="114">
        <f>IFERROR(SUMIF('Current NLData'!A:A,'Payment Changes'!G536,'Current NLData'!K:K)/COUNTIF('Current NLData'!A:A,'Payment Changes'!G536),0)+IFERROR(VLOOKUP(G536&amp;"-ALL",NLPaymentExport,10,FALSE),0)</f>
        <v>0</v>
      </c>
      <c r="U536" s="118">
        <f t="shared" si="80"/>
        <v>0</v>
      </c>
    </row>
    <row r="537" spans="1:54" ht="17.100000000000001" hidden="1" customHeight="1" outlineLevel="1" x14ac:dyDescent="0.25">
      <c r="A537" s="3"/>
      <c r="C537" s="4"/>
      <c r="D537" s="181"/>
      <c r="E537" s="91" t="str">
        <f t="shared" si="81"/>
        <v xml:space="preserve">Las Vegas </v>
      </c>
      <c r="F537" s="93" t="str">
        <f t="shared" si="82"/>
        <v>CP570</v>
      </c>
      <c r="G537" s="99" t="str">
        <f t="shared" si="83"/>
        <v>CP570-RETURN - 6th don of the month -BONUS</v>
      </c>
      <c r="H537" s="182"/>
      <c r="I537" s="38" t="s">
        <v>48</v>
      </c>
      <c r="J537" s="58">
        <v>0</v>
      </c>
      <c r="K537" s="58">
        <v>0</v>
      </c>
      <c r="L537" s="58">
        <v>0</v>
      </c>
      <c r="M537" s="58">
        <v>0</v>
      </c>
      <c r="N537" s="58">
        <v>0</v>
      </c>
      <c r="O537" s="58">
        <v>0</v>
      </c>
      <c r="P537" s="58">
        <v>0</v>
      </c>
      <c r="Q537" s="58">
        <v>0</v>
      </c>
      <c r="R537" s="22"/>
      <c r="S537" s="117" t="str">
        <f t="shared" si="79"/>
        <v>N</v>
      </c>
      <c r="T537" s="114">
        <f>IFERROR(SUMIF('Current NLData'!A:A,'Payment Changes'!G537,'Current NLData'!K:K)/COUNTIF('Current NLData'!A:A,'Payment Changes'!G537),0)+IFERROR(VLOOKUP(G537&amp;"-ALL",NLPaymentExport,10,FALSE),0)</f>
        <v>0</v>
      </c>
      <c r="U537" s="118">
        <f t="shared" si="80"/>
        <v>0</v>
      </c>
    </row>
    <row r="538" spans="1:54" ht="17.100000000000001" hidden="1" customHeight="1" outlineLevel="1" x14ac:dyDescent="0.25">
      <c r="A538" s="3"/>
      <c r="C538" s="4"/>
      <c r="D538" s="181"/>
      <c r="E538" s="91" t="str">
        <f t="shared" si="81"/>
        <v xml:space="preserve">Las Vegas </v>
      </c>
      <c r="F538" s="93" t="str">
        <f t="shared" si="82"/>
        <v>CP570</v>
      </c>
      <c r="G538" s="99" t="str">
        <f t="shared" si="83"/>
        <v>CP570-RETURN - 7th don of the month -BONUS</v>
      </c>
      <c r="H538" s="182"/>
      <c r="I538" s="38" t="s">
        <v>49</v>
      </c>
      <c r="J538" s="58">
        <v>0</v>
      </c>
      <c r="K538" s="58">
        <v>0</v>
      </c>
      <c r="L538" s="58">
        <v>0</v>
      </c>
      <c r="M538" s="58">
        <v>0</v>
      </c>
      <c r="N538" s="58">
        <v>0</v>
      </c>
      <c r="O538" s="58">
        <v>0</v>
      </c>
      <c r="P538" s="58">
        <v>0</v>
      </c>
      <c r="Q538" s="58">
        <v>0</v>
      </c>
      <c r="R538" s="22"/>
      <c r="S538" s="117" t="str">
        <f t="shared" si="79"/>
        <v>N</v>
      </c>
      <c r="T538" s="114">
        <f>IFERROR(SUMIF('Current NLData'!A:A,'Payment Changes'!G538,'Current NLData'!K:K)/COUNTIF('Current NLData'!A:A,'Payment Changes'!G538),0)+IFERROR(VLOOKUP(G538&amp;"-ALL",NLPaymentExport,10,FALSE),0)</f>
        <v>0</v>
      </c>
      <c r="U538" s="118">
        <f t="shared" si="80"/>
        <v>0</v>
      </c>
    </row>
    <row r="539" spans="1:54" ht="17.100000000000001" hidden="1" customHeight="1" outlineLevel="1" x14ac:dyDescent="0.25">
      <c r="A539" s="3"/>
      <c r="C539" s="4"/>
      <c r="D539" s="181"/>
      <c r="E539" s="91" t="str">
        <f t="shared" si="81"/>
        <v xml:space="preserve">Las Vegas </v>
      </c>
      <c r="F539" s="93" t="str">
        <f t="shared" si="82"/>
        <v>CP570</v>
      </c>
      <c r="G539" s="99" t="str">
        <f t="shared" si="83"/>
        <v>CP570-RETURN - 8th don of the month -BONUS</v>
      </c>
      <c r="H539" s="182"/>
      <c r="I539" s="38" t="s">
        <v>50</v>
      </c>
      <c r="J539" s="58">
        <v>25</v>
      </c>
      <c r="K539" s="58">
        <f>J539</f>
        <v>25</v>
      </c>
      <c r="L539" s="58">
        <v>25</v>
      </c>
      <c r="M539" s="58">
        <v>25</v>
      </c>
      <c r="N539" s="58">
        <v>25</v>
      </c>
      <c r="O539" s="58">
        <v>25</v>
      </c>
      <c r="P539" s="58">
        <v>25</v>
      </c>
      <c r="Q539" s="58">
        <v>25</v>
      </c>
      <c r="R539" s="22"/>
      <c r="S539" s="117" t="str">
        <f t="shared" si="79"/>
        <v>N</v>
      </c>
      <c r="T539" s="114">
        <f>IFERROR(SUMIF('Current NLData'!A:A,'Payment Changes'!G539,'Current NLData'!K:K)/COUNTIF('Current NLData'!A:A,'Payment Changes'!G539),0)+IFERROR(VLOOKUP(G539&amp;"-ALL",NLPaymentExport,10,FALSE),0)</f>
        <v>25</v>
      </c>
      <c r="U539" s="118">
        <f t="shared" si="80"/>
        <v>0</v>
      </c>
    </row>
    <row r="540" spans="1:54" ht="17.100000000000001" hidden="1" customHeight="1" outlineLevel="1" x14ac:dyDescent="0.25">
      <c r="A540" s="3"/>
      <c r="C540" s="4" t="str">
        <f>IF(J540=0,"Warning","")</f>
        <v/>
      </c>
      <c r="D540" s="181"/>
      <c r="E540" s="91" t="str">
        <f t="shared" si="81"/>
        <v xml:space="preserve">Las Vegas </v>
      </c>
      <c r="F540" s="93" t="str">
        <f t="shared" si="82"/>
        <v>CP570</v>
      </c>
      <c r="G540" s="99" t="str">
        <f t="shared" si="83"/>
        <v>CP570-RETURN - Buddy referral  -BONUS</v>
      </c>
      <c r="H540" s="182"/>
      <c r="I540" s="39" t="s">
        <v>51</v>
      </c>
      <c r="J540" s="58">
        <v>50</v>
      </c>
      <c r="K540" s="58">
        <v>50</v>
      </c>
      <c r="L540" s="58">
        <v>50</v>
      </c>
      <c r="M540" s="58">
        <v>50</v>
      </c>
      <c r="N540" s="58">
        <v>50</v>
      </c>
      <c r="O540" s="58">
        <v>50</v>
      </c>
      <c r="P540" s="58">
        <v>50</v>
      </c>
      <c r="Q540" s="58">
        <v>50</v>
      </c>
      <c r="R540" s="22"/>
      <c r="S540" s="117" t="str">
        <f t="shared" si="79"/>
        <v>N</v>
      </c>
      <c r="T540" s="114">
        <f>IFERROR(SUMIF('Current NLData'!A:A,'Payment Changes'!G540,'Current NLData'!K:K)/COUNTIF('Current NLData'!A:A,'Payment Changes'!G540),0)+IFERROR(VLOOKUP(G540&amp;"-ALL",NLPaymentExport,10,FALSE),0)</f>
        <v>50</v>
      </c>
      <c r="U540" s="118">
        <f t="shared" si="80"/>
        <v>0</v>
      </c>
    </row>
    <row r="541" spans="1:54" s="90" customFormat="1" ht="17.100000000000001" hidden="1" customHeight="1" collapsed="1" x14ac:dyDescent="0.35">
      <c r="A541" s="85"/>
      <c r="B541" s="85"/>
      <c r="C541" s="86"/>
      <c r="D541" s="87"/>
      <c r="E541" s="87"/>
      <c r="F541" s="87"/>
      <c r="G541" s="87"/>
      <c r="H541" s="96"/>
      <c r="I541" s="88"/>
      <c r="J541" s="89"/>
      <c r="K541" s="89"/>
      <c r="L541" s="89"/>
      <c r="M541" s="89"/>
      <c r="N541" s="89"/>
      <c r="O541" s="89"/>
      <c r="P541" s="89"/>
      <c r="Q541" s="89"/>
      <c r="R541" s="26"/>
      <c r="S541" s="117" t="str">
        <f t="shared" si="79"/>
        <v>N</v>
      </c>
      <c r="T541" s="114">
        <f>IFERROR(SUMIF('Current NLData'!A:A,'Payment Changes'!G541,'Current NLData'!K:K)/COUNTIF('Current NLData'!A:A,'Payment Changes'!G541),0)+IFERROR(VLOOKUP(G541&amp;"-ALL",NLPaymentExport,10,FALSE),0)</f>
        <v>0</v>
      </c>
      <c r="U541" s="118" t="str">
        <f t="shared" si="80"/>
        <v/>
      </c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</row>
    <row r="542" spans="1:54" s="10" customFormat="1" ht="17.100000000000001" hidden="1" customHeight="1" x14ac:dyDescent="0.25">
      <c r="A542" s="165">
        <v>28</v>
      </c>
      <c r="B542" s="168" t="s">
        <v>170</v>
      </c>
      <c r="C542" s="171" t="s">
        <v>19</v>
      </c>
      <c r="D542" s="174" t="s">
        <v>157</v>
      </c>
      <c r="E542" s="106" t="str">
        <f t="shared" si="81"/>
        <v>Tucker</v>
      </c>
      <c r="F542" s="107" t="s">
        <v>171</v>
      </c>
      <c r="G542" s="108" t="str">
        <f t="shared" ref="G542:G560" si="85">F542&amp;"-"&amp;I542</f>
        <v>CP128-New Donor</v>
      </c>
      <c r="H542" s="177" t="s">
        <v>75</v>
      </c>
      <c r="I542" s="76" t="s">
        <v>23</v>
      </c>
      <c r="J542" s="40" t="s">
        <v>172</v>
      </c>
      <c r="K542" s="41" t="s">
        <v>173</v>
      </c>
      <c r="L542" s="41" t="s">
        <v>174</v>
      </c>
      <c r="M542" s="41" t="s">
        <v>175</v>
      </c>
      <c r="N542" s="40" t="s">
        <v>175</v>
      </c>
      <c r="O542" s="40" t="s">
        <v>175</v>
      </c>
      <c r="P542" s="40" t="s">
        <v>175</v>
      </c>
      <c r="Q542" s="40" t="s">
        <v>176</v>
      </c>
      <c r="R542" s="109"/>
      <c r="S542" s="117" t="str">
        <f t="shared" si="79"/>
        <v>Y</v>
      </c>
      <c r="T542" s="114">
        <f>IFERROR(SUMIF('Current NLData'!A:A,'Payment Changes'!G542,'Current NLData'!K:K)/COUNTIF('Current NLData'!A:A,'Payment Changes'!G542),0)+IFERROR(VLOOKUP(G542&amp;"-ALL",NLPaymentExport,10,FALSE),0)</f>
        <v>0</v>
      </c>
      <c r="U542" s="118" t="str">
        <f t="shared" si="80"/>
        <v/>
      </c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</row>
    <row r="543" spans="1:54" ht="17.100000000000001" hidden="1" customHeight="1" x14ac:dyDescent="0.25">
      <c r="A543" s="166"/>
      <c r="B543" s="169"/>
      <c r="C543" s="172"/>
      <c r="D543" s="175"/>
      <c r="E543" s="91" t="str">
        <f t="shared" si="81"/>
        <v>Tucker</v>
      </c>
      <c r="F543" s="92" t="s">
        <v>171</v>
      </c>
      <c r="G543" s="98" t="str">
        <f t="shared" si="85"/>
        <v>CP128-Return Donor</v>
      </c>
      <c r="H543" s="178"/>
      <c r="I543" s="77" t="s">
        <v>29</v>
      </c>
      <c r="J543" s="43" t="s">
        <v>177</v>
      </c>
      <c r="K543" s="43" t="s">
        <v>177</v>
      </c>
      <c r="L543" s="44" t="s">
        <v>177</v>
      </c>
      <c r="M543" s="44" t="s">
        <v>178</v>
      </c>
      <c r="N543" s="43" t="s">
        <v>178</v>
      </c>
      <c r="O543" s="43" t="s">
        <v>178</v>
      </c>
      <c r="P543" s="43" t="s">
        <v>178</v>
      </c>
      <c r="Q543" s="43" t="s">
        <v>179</v>
      </c>
      <c r="R543" s="21"/>
      <c r="S543" s="117" t="str">
        <f t="shared" si="79"/>
        <v>Y</v>
      </c>
      <c r="T543" s="114">
        <f>IFERROR(SUMIF('Current NLData'!A:A,'Payment Changes'!G543,'Current NLData'!K:K)/COUNTIF('Current NLData'!A:A,'Payment Changes'!G543),0)+IFERROR(VLOOKUP(G543&amp;"-ALL",NLPaymentExport,10,FALSE),0)</f>
        <v>0</v>
      </c>
      <c r="U543" s="118" t="str">
        <f t="shared" si="80"/>
        <v/>
      </c>
    </row>
    <row r="544" spans="1:54" ht="17.100000000000001" hidden="1" customHeight="1" x14ac:dyDescent="0.25">
      <c r="A544" s="166"/>
      <c r="B544" s="169"/>
      <c r="C544" s="172"/>
      <c r="D544" s="175"/>
      <c r="E544" s="91" t="str">
        <f t="shared" si="81"/>
        <v>Tucker</v>
      </c>
      <c r="F544" s="92" t="s">
        <v>171</v>
      </c>
      <c r="G544" s="98" t="str">
        <f t="shared" si="85"/>
        <v>CP128-Retention Bonus</v>
      </c>
      <c r="H544" s="178"/>
      <c r="I544" s="78" t="s">
        <v>30</v>
      </c>
      <c r="J544" s="46" t="s">
        <v>180</v>
      </c>
      <c r="K544" s="46" t="s">
        <v>180</v>
      </c>
      <c r="L544" s="47" t="s">
        <v>32</v>
      </c>
      <c r="M544" s="47" t="s">
        <v>33</v>
      </c>
      <c r="N544" s="46" t="s">
        <v>33</v>
      </c>
      <c r="O544" s="46" t="s">
        <v>33</v>
      </c>
      <c r="P544" s="46" t="s">
        <v>33</v>
      </c>
      <c r="Q544" s="46" t="s">
        <v>33</v>
      </c>
      <c r="R544" s="21"/>
      <c r="S544" s="117" t="str">
        <f t="shared" si="79"/>
        <v>N</v>
      </c>
      <c r="T544" s="114">
        <f>IFERROR(SUMIF('Current NLData'!A:A,'Payment Changes'!G544,'Current NLData'!K:K)/COUNTIF('Current NLData'!A:A,'Payment Changes'!G544),0)+IFERROR(VLOOKUP(G544&amp;"-ALL",NLPaymentExport,10,FALSE),0)</f>
        <v>0</v>
      </c>
      <c r="U544" s="118" t="str">
        <f t="shared" si="80"/>
        <v/>
      </c>
    </row>
    <row r="545" spans="1:54" s="15" customFormat="1" ht="17.100000000000001" hidden="1" customHeight="1" x14ac:dyDescent="0.25">
      <c r="A545" s="167"/>
      <c r="B545" s="170"/>
      <c r="C545" s="173"/>
      <c r="D545" s="176"/>
      <c r="E545" s="110" t="str">
        <f t="shared" si="81"/>
        <v>Tucker</v>
      </c>
      <c r="F545" s="111" t="s">
        <v>171</v>
      </c>
      <c r="G545" s="112" t="str">
        <f t="shared" si="85"/>
        <v>CP128-Referral</v>
      </c>
      <c r="H545" s="179"/>
      <c r="I545" s="79" t="s">
        <v>34</v>
      </c>
      <c r="J545" s="49">
        <v>50</v>
      </c>
      <c r="K545" s="49">
        <v>50</v>
      </c>
      <c r="L545" s="50" t="s">
        <v>32</v>
      </c>
      <c r="M545" s="50" t="s">
        <v>35</v>
      </c>
      <c r="N545" s="49" t="s">
        <v>35</v>
      </c>
      <c r="O545" s="49" t="s">
        <v>35</v>
      </c>
      <c r="P545" s="49" t="s">
        <v>35</v>
      </c>
      <c r="Q545" s="49" t="s">
        <v>35</v>
      </c>
      <c r="R545" s="113"/>
      <c r="S545" s="117" t="str">
        <f t="shared" si="79"/>
        <v>N</v>
      </c>
      <c r="T545" s="114">
        <f>IFERROR(SUMIF('Current NLData'!A:A,'Payment Changes'!G545,'Current NLData'!K:K)/COUNTIF('Current NLData'!A:A,'Payment Changes'!G545),0)+IFERROR(VLOOKUP(G545&amp;"-ALL",NLPaymentExport,10,FALSE),0)</f>
        <v>0</v>
      </c>
      <c r="U545" s="118" t="str">
        <f t="shared" si="80"/>
        <v/>
      </c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</row>
    <row r="546" spans="1:54" ht="17.100000000000001" hidden="1" customHeight="1" outlineLevel="1" x14ac:dyDescent="0.25">
      <c r="A546" s="3"/>
      <c r="C546" s="4"/>
      <c r="D546" s="180" t="s">
        <v>171</v>
      </c>
      <c r="E546" s="91" t="str">
        <f t="shared" si="81"/>
        <v>Tucker</v>
      </c>
      <c r="F546" s="93" t="str">
        <f t="shared" si="82"/>
        <v>CP128</v>
      </c>
      <c r="G546" s="99" t="str">
        <f t="shared" si="85"/>
        <v>CP128-NEW DONOR -1st</v>
      </c>
      <c r="H546" s="182" t="s">
        <v>36</v>
      </c>
      <c r="I546" s="33" t="s">
        <v>37</v>
      </c>
      <c r="J546" s="60">
        <v>100</v>
      </c>
      <c r="K546" s="61">
        <f>J546</f>
        <v>100</v>
      </c>
      <c r="L546" s="60">
        <v>100</v>
      </c>
      <c r="M546" s="60">
        <v>100</v>
      </c>
      <c r="N546" s="60">
        <v>100</v>
      </c>
      <c r="O546" s="60">
        <v>100</v>
      </c>
      <c r="P546" s="60">
        <v>100</v>
      </c>
      <c r="Q546" s="60">
        <v>125</v>
      </c>
      <c r="R546" s="23"/>
      <c r="S546" s="117" t="str">
        <f t="shared" si="79"/>
        <v>Y</v>
      </c>
      <c r="T546" s="114">
        <f>IFERROR(SUMIF('Current NLData'!A:A,'Payment Changes'!G546,'Current NLData'!K:K)/COUNTIF('Current NLData'!A:A,'Payment Changes'!G546),0)+IFERROR(VLOOKUP(G546&amp;"-ALL",NLPaymentExport,10,FALSE),0)</f>
        <v>100</v>
      </c>
      <c r="U546" s="118">
        <f t="shared" si="80"/>
        <v>-25</v>
      </c>
    </row>
    <row r="547" spans="1:54" ht="17.100000000000001" hidden="1" customHeight="1" outlineLevel="1" x14ac:dyDescent="0.25">
      <c r="A547" s="3"/>
      <c r="C547" s="4"/>
      <c r="D547" s="181"/>
      <c r="E547" s="91" t="str">
        <f t="shared" si="81"/>
        <v>Tucker</v>
      </c>
      <c r="F547" s="93" t="str">
        <f t="shared" si="82"/>
        <v>CP128</v>
      </c>
      <c r="G547" s="99" t="str">
        <f t="shared" si="85"/>
        <v>CP128-NEW DONOR -2nd</v>
      </c>
      <c r="H547" s="182"/>
      <c r="I547" s="34" t="s">
        <v>38</v>
      </c>
      <c r="J547" s="58">
        <v>100</v>
      </c>
      <c r="K547" s="62">
        <f>J547</f>
        <v>100</v>
      </c>
      <c r="L547" s="58">
        <v>100</v>
      </c>
      <c r="M547" s="58">
        <v>100</v>
      </c>
      <c r="N547" s="58">
        <v>100</v>
      </c>
      <c r="O547" s="58">
        <v>100</v>
      </c>
      <c r="P547" s="58">
        <v>100</v>
      </c>
      <c r="Q547" s="58">
        <v>125</v>
      </c>
      <c r="R547" s="23"/>
      <c r="S547" s="117" t="str">
        <f t="shared" si="79"/>
        <v>Y</v>
      </c>
      <c r="T547" s="114">
        <f>IFERROR(SUMIF('Current NLData'!A:A,'Payment Changes'!G547,'Current NLData'!K:K)/COUNTIF('Current NLData'!A:A,'Payment Changes'!G547),0)+IFERROR(VLOOKUP(G547&amp;"-ALL",NLPaymentExport,10,FALSE),0)</f>
        <v>100</v>
      </c>
      <c r="U547" s="118">
        <f t="shared" si="80"/>
        <v>-25</v>
      </c>
    </row>
    <row r="548" spans="1:54" ht="17.100000000000001" hidden="1" customHeight="1" outlineLevel="1" x14ac:dyDescent="0.25">
      <c r="A548" s="3"/>
      <c r="C548" s="4"/>
      <c r="D548" s="181"/>
      <c r="E548" s="91" t="str">
        <f t="shared" si="81"/>
        <v>Tucker</v>
      </c>
      <c r="F548" s="93" t="str">
        <f t="shared" si="82"/>
        <v>CP128</v>
      </c>
      <c r="G548" s="99" t="str">
        <f t="shared" si="85"/>
        <v>CP128-NEW DONOR -3rd</v>
      </c>
      <c r="H548" s="182"/>
      <c r="I548" s="34" t="s">
        <v>39</v>
      </c>
      <c r="J548" s="58">
        <v>100</v>
      </c>
      <c r="K548" s="62">
        <f t="shared" ref="K548:K551" si="86">J548</f>
        <v>100</v>
      </c>
      <c r="L548" s="58">
        <v>100</v>
      </c>
      <c r="M548" s="58">
        <v>100</v>
      </c>
      <c r="N548" s="58">
        <v>100</v>
      </c>
      <c r="O548" s="58">
        <v>100</v>
      </c>
      <c r="P548" s="58">
        <v>100</v>
      </c>
      <c r="Q548" s="58">
        <v>125</v>
      </c>
      <c r="R548" s="23"/>
      <c r="S548" s="117" t="str">
        <f t="shared" si="79"/>
        <v>Y</v>
      </c>
      <c r="T548" s="114">
        <f>IFERROR(SUMIF('Current NLData'!A:A,'Payment Changes'!G548,'Current NLData'!K:K)/COUNTIF('Current NLData'!A:A,'Payment Changes'!G548),0)+IFERROR(VLOOKUP(G548&amp;"-ALL",NLPaymentExport,10,FALSE),0)</f>
        <v>100</v>
      </c>
      <c r="U548" s="118">
        <f t="shared" si="80"/>
        <v>-25</v>
      </c>
    </row>
    <row r="549" spans="1:54" ht="17.100000000000001" hidden="1" customHeight="1" outlineLevel="1" x14ac:dyDescent="0.25">
      <c r="A549" s="3"/>
      <c r="C549" s="4"/>
      <c r="D549" s="181"/>
      <c r="E549" s="91" t="str">
        <f t="shared" si="81"/>
        <v>Tucker</v>
      </c>
      <c r="F549" s="93" t="str">
        <f t="shared" si="82"/>
        <v>CP128</v>
      </c>
      <c r="G549" s="99" t="str">
        <f t="shared" si="85"/>
        <v>CP128-NEW DONOR -4th</v>
      </c>
      <c r="H549" s="182"/>
      <c r="I549" s="34" t="s">
        <v>40</v>
      </c>
      <c r="J549" s="58">
        <v>100</v>
      </c>
      <c r="K549" s="62">
        <f t="shared" si="86"/>
        <v>100</v>
      </c>
      <c r="L549" s="58">
        <v>40</v>
      </c>
      <c r="M549" s="58">
        <v>100</v>
      </c>
      <c r="N549" s="58">
        <v>100</v>
      </c>
      <c r="O549" s="58">
        <v>100</v>
      </c>
      <c r="P549" s="58">
        <v>100</v>
      </c>
      <c r="Q549" s="58">
        <v>125</v>
      </c>
      <c r="R549" s="23"/>
      <c r="S549" s="117" t="str">
        <f t="shared" si="79"/>
        <v>Y</v>
      </c>
      <c r="T549" s="114">
        <f>IFERROR(SUMIF('Current NLData'!A:A,'Payment Changes'!G549,'Current NLData'!K:K)/COUNTIF('Current NLData'!A:A,'Payment Changes'!G549),0)+IFERROR(VLOOKUP(G549&amp;"-ALL",NLPaymentExport,10,FALSE),0)</f>
        <v>100</v>
      </c>
      <c r="U549" s="118">
        <f t="shared" si="80"/>
        <v>-25</v>
      </c>
    </row>
    <row r="550" spans="1:54" ht="17.100000000000001" hidden="1" customHeight="1" outlineLevel="1" x14ac:dyDescent="0.25">
      <c r="A550" s="3"/>
      <c r="C550" s="4"/>
      <c r="D550" s="181"/>
      <c r="E550" s="91" t="str">
        <f t="shared" si="81"/>
        <v>Tucker</v>
      </c>
      <c r="F550" s="93" t="str">
        <f t="shared" si="82"/>
        <v>CP128</v>
      </c>
      <c r="G550" s="99" t="str">
        <f t="shared" si="85"/>
        <v>CP128-NEW DONOR -5th</v>
      </c>
      <c r="H550" s="182"/>
      <c r="I550" s="34" t="s">
        <v>41</v>
      </c>
      <c r="J550" s="58">
        <v>100</v>
      </c>
      <c r="K550" s="62">
        <f t="shared" si="86"/>
        <v>100</v>
      </c>
      <c r="L550" s="58">
        <v>40</v>
      </c>
      <c r="M550" s="58">
        <v>100</v>
      </c>
      <c r="N550" s="58">
        <v>100</v>
      </c>
      <c r="O550" s="58">
        <v>100</v>
      </c>
      <c r="P550" s="58">
        <v>100</v>
      </c>
      <c r="Q550" s="58">
        <v>125</v>
      </c>
      <c r="R550" s="23"/>
      <c r="S550" s="117" t="str">
        <f t="shared" si="79"/>
        <v>Y</v>
      </c>
      <c r="T550" s="114">
        <f>IFERROR(SUMIF('Current NLData'!A:A,'Payment Changes'!G550,'Current NLData'!K:K)/COUNTIF('Current NLData'!A:A,'Payment Changes'!G550),0)+IFERROR(VLOOKUP(G550&amp;"-ALL",NLPaymentExport,10,FALSE),0)</f>
        <v>100</v>
      </c>
      <c r="U550" s="118">
        <f t="shared" si="80"/>
        <v>-25</v>
      </c>
    </row>
    <row r="551" spans="1:54" ht="17.100000000000001" hidden="1" customHeight="1" outlineLevel="1" x14ac:dyDescent="0.25">
      <c r="A551" s="3"/>
      <c r="C551" s="4"/>
      <c r="D551" s="181"/>
      <c r="E551" s="91" t="str">
        <f t="shared" si="81"/>
        <v>Tucker</v>
      </c>
      <c r="F551" s="93" t="str">
        <f t="shared" si="82"/>
        <v>CP128</v>
      </c>
      <c r="G551" s="99" t="str">
        <f t="shared" si="85"/>
        <v>CP128-NEW DONOR -6th</v>
      </c>
      <c r="H551" s="182"/>
      <c r="I551" s="34" t="s">
        <v>42</v>
      </c>
      <c r="J551" s="58">
        <v>40</v>
      </c>
      <c r="K551" s="62">
        <f t="shared" si="86"/>
        <v>40</v>
      </c>
      <c r="L551" s="58">
        <v>40</v>
      </c>
      <c r="M551" s="58">
        <v>100</v>
      </c>
      <c r="N551" s="58">
        <v>100</v>
      </c>
      <c r="O551" s="58">
        <v>100</v>
      </c>
      <c r="P551" s="58">
        <v>100</v>
      </c>
      <c r="Q551" s="58">
        <v>40</v>
      </c>
      <c r="R551" s="23"/>
      <c r="S551" s="117" t="str">
        <f t="shared" si="79"/>
        <v>Y</v>
      </c>
      <c r="T551" s="114">
        <f>IFERROR(SUMIF('Current NLData'!A:A,'Payment Changes'!G551,'Current NLData'!K:K)/COUNTIF('Current NLData'!A:A,'Payment Changes'!G551),0)+IFERROR(VLOOKUP(G551&amp;"-ALL",NLPaymentExport,10,FALSE),0)</f>
        <v>100</v>
      </c>
      <c r="U551" s="118">
        <f t="shared" si="80"/>
        <v>60</v>
      </c>
    </row>
    <row r="552" spans="1:54" ht="17.100000000000001" hidden="1" customHeight="1" outlineLevel="1" x14ac:dyDescent="0.25">
      <c r="A552" s="3"/>
      <c r="C552" s="4"/>
      <c r="D552" s="181"/>
      <c r="E552" s="91" t="str">
        <f t="shared" si="81"/>
        <v>Tucker</v>
      </c>
      <c r="F552" s="93" t="str">
        <f t="shared" si="82"/>
        <v>CP128</v>
      </c>
      <c r="G552" s="99" t="str">
        <f t="shared" si="85"/>
        <v>CP128-NEW DONOR -7th</v>
      </c>
      <c r="H552" s="182"/>
      <c r="I552" s="34" t="s">
        <v>43</v>
      </c>
      <c r="J552" s="58">
        <v>40</v>
      </c>
      <c r="K552" s="62">
        <v>70</v>
      </c>
      <c r="L552" s="58">
        <v>40</v>
      </c>
      <c r="M552" s="58">
        <v>40</v>
      </c>
      <c r="N552" s="58">
        <v>40</v>
      </c>
      <c r="O552" s="58">
        <v>40</v>
      </c>
      <c r="P552" s="58">
        <v>40</v>
      </c>
      <c r="Q552" s="58">
        <v>40</v>
      </c>
      <c r="R552" s="23"/>
      <c r="S552" s="117" t="str">
        <f t="shared" si="79"/>
        <v>N</v>
      </c>
      <c r="T552" s="114">
        <f>IFERROR(SUMIF('Current NLData'!A:A,'Payment Changes'!G552,'Current NLData'!K:K)/COUNTIF('Current NLData'!A:A,'Payment Changes'!G552),0)+IFERROR(VLOOKUP(G552&amp;"-ALL",NLPaymentExport,10,FALSE),0)</f>
        <v>40</v>
      </c>
      <c r="U552" s="118">
        <f t="shared" si="80"/>
        <v>0</v>
      </c>
    </row>
    <row r="553" spans="1:54" ht="17.100000000000001" hidden="1" customHeight="1" outlineLevel="1" x14ac:dyDescent="0.25">
      <c r="A553" s="3"/>
      <c r="C553" s="4"/>
      <c r="D553" s="181"/>
      <c r="E553" s="91" t="str">
        <f t="shared" si="81"/>
        <v>Tucker</v>
      </c>
      <c r="F553" s="93" t="str">
        <f t="shared" si="82"/>
        <v>CP128</v>
      </c>
      <c r="G553" s="99" t="str">
        <f t="shared" si="85"/>
        <v>CP128-NEW DONOR -8th</v>
      </c>
      <c r="H553" s="182"/>
      <c r="I553" s="35" t="s">
        <v>44</v>
      </c>
      <c r="J553" s="63">
        <v>40</v>
      </c>
      <c r="K553" s="64">
        <f t="shared" ref="K553:K555" si="87">J553</f>
        <v>40</v>
      </c>
      <c r="L553" s="63">
        <v>40</v>
      </c>
      <c r="M553" s="63">
        <v>40</v>
      </c>
      <c r="N553" s="63">
        <v>40</v>
      </c>
      <c r="O553" s="63">
        <v>40</v>
      </c>
      <c r="P553" s="63">
        <v>40</v>
      </c>
      <c r="Q553" s="63">
        <v>40</v>
      </c>
      <c r="R553" s="23"/>
      <c r="S553" s="117" t="str">
        <f t="shared" si="79"/>
        <v>N</v>
      </c>
      <c r="T553" s="114">
        <f>IFERROR(SUMIF('Current NLData'!A:A,'Payment Changes'!G553,'Current NLData'!K:K)/COUNTIF('Current NLData'!A:A,'Payment Changes'!G553),0)+IFERROR(VLOOKUP(G553&amp;"-ALL",NLPaymentExport,10,FALSE),0)</f>
        <v>40</v>
      </c>
      <c r="U553" s="118">
        <f t="shared" si="80"/>
        <v>0</v>
      </c>
    </row>
    <row r="554" spans="1:54" ht="17.100000000000001" hidden="1" customHeight="1" outlineLevel="1" x14ac:dyDescent="0.25">
      <c r="A554" s="3"/>
      <c r="C554" s="4"/>
      <c r="D554" s="181"/>
      <c r="E554" s="91" t="str">
        <f t="shared" si="81"/>
        <v>Tucker</v>
      </c>
      <c r="F554" s="93" t="str">
        <f t="shared" si="82"/>
        <v>CP128</v>
      </c>
      <c r="G554" s="99" t="str">
        <f t="shared" si="85"/>
        <v>CP128-RETURN - 1st don of the week -STD</v>
      </c>
      <c r="H554" s="182"/>
      <c r="I554" s="36" t="s">
        <v>45</v>
      </c>
      <c r="J554" s="58">
        <v>40</v>
      </c>
      <c r="K554" s="58">
        <f t="shared" si="87"/>
        <v>40</v>
      </c>
      <c r="L554" s="58">
        <v>40</v>
      </c>
      <c r="M554" s="58">
        <v>40</v>
      </c>
      <c r="N554" s="58">
        <v>40</v>
      </c>
      <c r="O554" s="58">
        <v>40</v>
      </c>
      <c r="P554" s="58">
        <v>40</v>
      </c>
      <c r="Q554" s="58">
        <v>40</v>
      </c>
      <c r="R554" s="22"/>
      <c r="S554" s="117" t="str">
        <f t="shared" si="79"/>
        <v>N</v>
      </c>
      <c r="T554" s="114">
        <f>IFERROR(SUMIF('Current NLData'!A:A,'Payment Changes'!G554,'Current NLData'!K:K)/COUNTIF('Current NLData'!A:A,'Payment Changes'!G554),0)+IFERROR(VLOOKUP(G554&amp;"-ALL",NLPaymentExport,10,FALSE),0)</f>
        <v>40</v>
      </c>
      <c r="U554" s="118">
        <f t="shared" si="80"/>
        <v>0</v>
      </c>
    </row>
    <row r="555" spans="1:54" ht="17.100000000000001" hidden="1" customHeight="1" outlineLevel="1" x14ac:dyDescent="0.25">
      <c r="A555" s="3"/>
      <c r="C555" s="4"/>
      <c r="D555" s="181"/>
      <c r="E555" s="91" t="str">
        <f t="shared" si="81"/>
        <v>Tucker</v>
      </c>
      <c r="F555" s="93" t="str">
        <f t="shared" si="82"/>
        <v>CP128</v>
      </c>
      <c r="G555" s="99" t="str">
        <f t="shared" si="85"/>
        <v>CP128-RETURN - 2nd don of the week -BONUS</v>
      </c>
      <c r="H555" s="182"/>
      <c r="I555" s="36" t="s">
        <v>46</v>
      </c>
      <c r="J555" s="58">
        <v>30</v>
      </c>
      <c r="K555" s="58">
        <f t="shared" si="87"/>
        <v>30</v>
      </c>
      <c r="L555" s="58">
        <v>30</v>
      </c>
      <c r="M555" s="58">
        <v>35</v>
      </c>
      <c r="N555" s="58">
        <v>35</v>
      </c>
      <c r="O555" s="58">
        <v>35</v>
      </c>
      <c r="P555" s="58">
        <v>35</v>
      </c>
      <c r="Q555" s="58">
        <v>40</v>
      </c>
      <c r="R555" s="22"/>
      <c r="S555" s="117" t="str">
        <f t="shared" si="79"/>
        <v>Y</v>
      </c>
      <c r="T555" s="114">
        <f>IFERROR(SUMIF('Current NLData'!A:A,'Payment Changes'!G555,'Current NLData'!K:K)/COUNTIF('Current NLData'!A:A,'Payment Changes'!G555),0)+IFERROR(VLOOKUP(G555&amp;"-ALL",NLPaymentExport,10,FALSE),0)</f>
        <v>35</v>
      </c>
      <c r="U555" s="118">
        <f t="shared" si="80"/>
        <v>-5</v>
      </c>
    </row>
    <row r="556" spans="1:54" ht="17.100000000000001" hidden="1" customHeight="1" outlineLevel="1" x14ac:dyDescent="0.25">
      <c r="A556" s="3"/>
      <c r="C556" s="4"/>
      <c r="D556" s="181"/>
      <c r="E556" s="91" t="str">
        <f t="shared" si="81"/>
        <v>Tucker</v>
      </c>
      <c r="F556" s="93" t="str">
        <f t="shared" si="82"/>
        <v>CP128</v>
      </c>
      <c r="G556" s="99" t="str">
        <f t="shared" si="85"/>
        <v>CP128-RETURN - 5th don of the month -BONUS</v>
      </c>
      <c r="H556" s="182"/>
      <c r="I556" s="37" t="s">
        <v>47</v>
      </c>
      <c r="J556" s="65">
        <v>0</v>
      </c>
      <c r="K556" s="65">
        <v>0</v>
      </c>
      <c r="L556" s="65">
        <v>0</v>
      </c>
      <c r="M556" s="65">
        <v>0</v>
      </c>
      <c r="N556" s="65">
        <v>0</v>
      </c>
      <c r="O556" s="65">
        <v>0</v>
      </c>
      <c r="P556" s="65">
        <v>0</v>
      </c>
      <c r="Q556" s="65">
        <v>0</v>
      </c>
      <c r="R556" s="22"/>
      <c r="S556" s="117" t="str">
        <f t="shared" si="79"/>
        <v>N</v>
      </c>
      <c r="T556" s="114">
        <f>IFERROR(SUMIF('Current NLData'!A:A,'Payment Changes'!G556,'Current NLData'!K:K)/COUNTIF('Current NLData'!A:A,'Payment Changes'!G556),0)+IFERROR(VLOOKUP(G556&amp;"-ALL",NLPaymentExport,10,FALSE),0)</f>
        <v>0</v>
      </c>
      <c r="U556" s="118">
        <f t="shared" si="80"/>
        <v>0</v>
      </c>
    </row>
    <row r="557" spans="1:54" ht="17.100000000000001" hidden="1" customHeight="1" outlineLevel="1" x14ac:dyDescent="0.25">
      <c r="A557" s="3"/>
      <c r="C557" s="4"/>
      <c r="D557" s="181"/>
      <c r="E557" s="91" t="str">
        <f t="shared" si="81"/>
        <v>Tucker</v>
      </c>
      <c r="F557" s="93" t="str">
        <f t="shared" si="82"/>
        <v>CP128</v>
      </c>
      <c r="G557" s="99" t="str">
        <f t="shared" si="85"/>
        <v>CP128-RETURN - 6th don of the month -BONUS</v>
      </c>
      <c r="H557" s="182"/>
      <c r="I557" s="38" t="s">
        <v>48</v>
      </c>
      <c r="J557" s="58">
        <v>0</v>
      </c>
      <c r="K557" s="58">
        <v>0</v>
      </c>
      <c r="L557" s="58">
        <v>0</v>
      </c>
      <c r="M557" s="58">
        <v>30</v>
      </c>
      <c r="N557" s="58">
        <v>30</v>
      </c>
      <c r="O557" s="58">
        <v>30</v>
      </c>
      <c r="P557" s="58">
        <v>30</v>
      </c>
      <c r="Q557" s="58">
        <v>30</v>
      </c>
      <c r="R557" s="22"/>
      <c r="S557" s="117" t="str">
        <f t="shared" si="79"/>
        <v>N</v>
      </c>
      <c r="T557" s="114">
        <f>IFERROR(SUMIF('Current NLData'!A:A,'Payment Changes'!G557,'Current NLData'!K:K)/COUNTIF('Current NLData'!A:A,'Payment Changes'!G557),0)+IFERROR(VLOOKUP(G557&amp;"-ALL",NLPaymentExport,10,FALSE),0)</f>
        <v>30</v>
      </c>
      <c r="U557" s="118">
        <f t="shared" si="80"/>
        <v>0</v>
      </c>
    </row>
    <row r="558" spans="1:54" ht="17.100000000000001" hidden="1" customHeight="1" outlineLevel="1" x14ac:dyDescent="0.25">
      <c r="A558" s="3"/>
      <c r="C558" s="4"/>
      <c r="D558" s="181"/>
      <c r="E558" s="91" t="str">
        <f t="shared" si="81"/>
        <v>Tucker</v>
      </c>
      <c r="F558" s="93" t="str">
        <f t="shared" si="82"/>
        <v>CP128</v>
      </c>
      <c r="G558" s="99" t="str">
        <f t="shared" si="85"/>
        <v>CP128-RETURN - 7th don of the month -BONUS</v>
      </c>
      <c r="H558" s="182"/>
      <c r="I558" s="38" t="s">
        <v>49</v>
      </c>
      <c r="J558" s="58">
        <v>0</v>
      </c>
      <c r="K558" s="58">
        <v>0</v>
      </c>
      <c r="L558" s="58">
        <v>0</v>
      </c>
      <c r="M558" s="58">
        <v>0</v>
      </c>
      <c r="N558" s="58">
        <v>0</v>
      </c>
      <c r="O558" s="58">
        <v>0</v>
      </c>
      <c r="P558" s="58">
        <v>0</v>
      </c>
      <c r="Q558" s="58">
        <v>0</v>
      </c>
      <c r="R558" s="22"/>
      <c r="S558" s="117" t="str">
        <f t="shared" si="79"/>
        <v>N</v>
      </c>
      <c r="T558" s="114">
        <f>IFERROR(SUMIF('Current NLData'!A:A,'Payment Changes'!G558,'Current NLData'!K:K)/COUNTIF('Current NLData'!A:A,'Payment Changes'!G558),0)+IFERROR(VLOOKUP(G558&amp;"-ALL",NLPaymentExport,10,FALSE),0)</f>
        <v>0</v>
      </c>
      <c r="U558" s="118">
        <f t="shared" si="80"/>
        <v>0</v>
      </c>
    </row>
    <row r="559" spans="1:54" ht="17.100000000000001" hidden="1" customHeight="1" outlineLevel="1" x14ac:dyDescent="0.25">
      <c r="A559" s="3"/>
      <c r="C559" s="4"/>
      <c r="D559" s="181"/>
      <c r="E559" s="91" t="str">
        <f t="shared" si="81"/>
        <v>Tucker</v>
      </c>
      <c r="F559" s="93" t="str">
        <f t="shared" si="82"/>
        <v>CP128</v>
      </c>
      <c r="G559" s="99" t="str">
        <f t="shared" si="85"/>
        <v>CP128-RETURN - 8th don of the month -BONUS</v>
      </c>
      <c r="H559" s="182"/>
      <c r="I559" s="38" t="s">
        <v>50</v>
      </c>
      <c r="J559" s="58">
        <v>10</v>
      </c>
      <c r="K559" s="58">
        <f>J559</f>
        <v>10</v>
      </c>
      <c r="L559" s="58">
        <v>0</v>
      </c>
      <c r="M559" s="58">
        <v>0</v>
      </c>
      <c r="N559" s="58">
        <v>0</v>
      </c>
      <c r="O559" s="58">
        <v>0</v>
      </c>
      <c r="P559" s="58">
        <v>0</v>
      </c>
      <c r="Q559" s="58">
        <v>0</v>
      </c>
      <c r="R559" s="22"/>
      <c r="S559" s="117" t="str">
        <f t="shared" si="79"/>
        <v>N</v>
      </c>
      <c r="T559" s="114">
        <f>IFERROR(SUMIF('Current NLData'!A:A,'Payment Changes'!G559,'Current NLData'!K:K)/COUNTIF('Current NLData'!A:A,'Payment Changes'!G559),0)+IFERROR(VLOOKUP(G559&amp;"-ALL",NLPaymentExport,10,FALSE),0)</f>
        <v>0</v>
      </c>
      <c r="U559" s="118">
        <f t="shared" si="80"/>
        <v>0</v>
      </c>
    </row>
    <row r="560" spans="1:54" ht="17.100000000000001" hidden="1" customHeight="1" outlineLevel="1" x14ac:dyDescent="0.25">
      <c r="A560" s="3"/>
      <c r="C560" s="4" t="str">
        <f>IF(J560=0,"Warning","")</f>
        <v/>
      </c>
      <c r="D560" s="181"/>
      <c r="E560" s="91" t="str">
        <f t="shared" si="81"/>
        <v>Tucker</v>
      </c>
      <c r="F560" s="93" t="str">
        <f t="shared" si="82"/>
        <v>CP128</v>
      </c>
      <c r="G560" s="99" t="str">
        <f t="shared" si="85"/>
        <v>CP128-RETURN - Buddy referral  -BONUS</v>
      </c>
      <c r="H560" s="182"/>
      <c r="I560" s="39" t="s">
        <v>51</v>
      </c>
      <c r="J560" s="58">
        <v>50</v>
      </c>
      <c r="K560" s="58">
        <v>50</v>
      </c>
      <c r="L560" s="58">
        <v>0</v>
      </c>
      <c r="M560" s="58">
        <v>50</v>
      </c>
      <c r="N560" s="58">
        <v>50</v>
      </c>
      <c r="O560" s="58">
        <v>50</v>
      </c>
      <c r="P560" s="58">
        <v>50</v>
      </c>
      <c r="Q560" s="58">
        <v>50</v>
      </c>
      <c r="R560" s="22"/>
      <c r="S560" s="117" t="str">
        <f t="shared" si="79"/>
        <v>N</v>
      </c>
      <c r="T560" s="114">
        <f>IFERROR(SUMIF('Current NLData'!A:A,'Payment Changes'!G560,'Current NLData'!K:K)/COUNTIF('Current NLData'!A:A,'Payment Changes'!G560),0)+IFERROR(VLOOKUP(G560&amp;"-ALL",NLPaymentExport,10,FALSE),0)</f>
        <v>50</v>
      </c>
      <c r="U560" s="118">
        <f t="shared" si="80"/>
        <v>0</v>
      </c>
    </row>
    <row r="561" spans="1:54" s="90" customFormat="1" ht="17.100000000000001" hidden="1" customHeight="1" collapsed="1" x14ac:dyDescent="0.35">
      <c r="A561" s="85"/>
      <c r="B561" s="85"/>
      <c r="C561" s="86"/>
      <c r="D561" s="87"/>
      <c r="E561" s="87"/>
      <c r="F561" s="87"/>
      <c r="G561" s="87"/>
      <c r="H561" s="96"/>
      <c r="I561" s="88"/>
      <c r="J561" s="89"/>
      <c r="K561" s="89"/>
      <c r="L561" s="89"/>
      <c r="M561" s="89"/>
      <c r="N561" s="89"/>
      <c r="O561" s="89"/>
      <c r="P561" s="89"/>
      <c r="Q561" s="89"/>
      <c r="R561" s="21"/>
      <c r="S561" s="117" t="str">
        <f t="shared" si="79"/>
        <v>N</v>
      </c>
      <c r="T561" s="114">
        <f>IFERROR(SUMIF('Current NLData'!A:A,'Payment Changes'!G561,'Current NLData'!K:K)/COUNTIF('Current NLData'!A:A,'Payment Changes'!G561),0)+IFERROR(VLOOKUP(G561&amp;"-ALL",NLPaymentExport,10,FALSE),0)</f>
        <v>0</v>
      </c>
      <c r="U561" s="118" t="str">
        <f t="shared" si="80"/>
        <v/>
      </c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</row>
    <row r="562" spans="1:54" s="10" customFormat="1" ht="17.100000000000001" hidden="1" customHeight="1" x14ac:dyDescent="0.25">
      <c r="A562" s="165">
        <v>29</v>
      </c>
      <c r="B562" s="168" t="s">
        <v>181</v>
      </c>
      <c r="C562" s="171" t="s">
        <v>19</v>
      </c>
      <c r="D562" s="174" t="s">
        <v>157</v>
      </c>
      <c r="E562" s="106" t="str">
        <f t="shared" si="81"/>
        <v>College Park</v>
      </c>
      <c r="F562" s="107" t="s">
        <v>182</v>
      </c>
      <c r="G562" s="108" t="str">
        <f t="shared" ref="G562:G580" si="88">F562&amp;"-"&amp;I562</f>
        <v>CP134-New Donor</v>
      </c>
      <c r="H562" s="177" t="s">
        <v>75</v>
      </c>
      <c r="I562" s="76" t="s">
        <v>23</v>
      </c>
      <c r="J562" s="40" t="s">
        <v>183</v>
      </c>
      <c r="K562" s="41" t="s">
        <v>184</v>
      </c>
      <c r="L562" s="41" t="s">
        <v>174</v>
      </c>
      <c r="M562" s="41" t="s">
        <v>175</v>
      </c>
      <c r="N562" s="40" t="s">
        <v>175</v>
      </c>
      <c r="O562" s="40" t="s">
        <v>175</v>
      </c>
      <c r="P562" s="40" t="s">
        <v>175</v>
      </c>
      <c r="Q562" s="40" t="s">
        <v>175</v>
      </c>
      <c r="R562" s="109"/>
      <c r="S562" s="117" t="str">
        <f t="shared" si="79"/>
        <v>N</v>
      </c>
      <c r="T562" s="114">
        <f>IFERROR(SUMIF('Current NLData'!A:A,'Payment Changes'!G562,'Current NLData'!K:K)/COUNTIF('Current NLData'!A:A,'Payment Changes'!G562),0)+IFERROR(VLOOKUP(G562&amp;"-ALL",NLPaymentExport,10,FALSE),0)</f>
        <v>0</v>
      </c>
      <c r="U562" s="118" t="str">
        <f t="shared" si="80"/>
        <v/>
      </c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</row>
    <row r="563" spans="1:54" ht="17.100000000000001" hidden="1" customHeight="1" x14ac:dyDescent="0.25">
      <c r="A563" s="166"/>
      <c r="B563" s="169"/>
      <c r="C563" s="172"/>
      <c r="D563" s="175"/>
      <c r="E563" s="91" t="str">
        <f t="shared" si="81"/>
        <v>College Park</v>
      </c>
      <c r="F563" s="92" t="s">
        <v>182</v>
      </c>
      <c r="G563" s="98" t="str">
        <f t="shared" si="88"/>
        <v>CP134-Return Donor</v>
      </c>
      <c r="H563" s="178"/>
      <c r="I563" s="77" t="s">
        <v>29</v>
      </c>
      <c r="J563" s="43" t="s">
        <v>177</v>
      </c>
      <c r="K563" s="43" t="s">
        <v>177</v>
      </c>
      <c r="L563" s="44" t="s">
        <v>177</v>
      </c>
      <c r="M563" s="44" t="s">
        <v>178</v>
      </c>
      <c r="N563" s="43" t="s">
        <v>178</v>
      </c>
      <c r="O563" s="43" t="s">
        <v>178</v>
      </c>
      <c r="P563" s="43" t="s">
        <v>178</v>
      </c>
      <c r="Q563" s="43" t="s">
        <v>178</v>
      </c>
      <c r="R563" s="21"/>
      <c r="S563" s="117" t="str">
        <f t="shared" si="79"/>
        <v>N</v>
      </c>
      <c r="T563" s="114">
        <f>IFERROR(SUMIF('Current NLData'!A:A,'Payment Changes'!G563,'Current NLData'!K:K)/COUNTIF('Current NLData'!A:A,'Payment Changes'!G563),0)+IFERROR(VLOOKUP(G563&amp;"-ALL",NLPaymentExport,10,FALSE),0)</f>
        <v>0</v>
      </c>
      <c r="U563" s="118" t="str">
        <f t="shared" si="80"/>
        <v/>
      </c>
    </row>
    <row r="564" spans="1:54" ht="17.100000000000001" hidden="1" customHeight="1" x14ac:dyDescent="0.25">
      <c r="A564" s="166"/>
      <c r="B564" s="169"/>
      <c r="C564" s="172"/>
      <c r="D564" s="175"/>
      <c r="E564" s="91" t="str">
        <f t="shared" si="81"/>
        <v>College Park</v>
      </c>
      <c r="F564" s="92" t="s">
        <v>182</v>
      </c>
      <c r="G564" s="98" t="str">
        <f t="shared" si="88"/>
        <v>CP134-Retention Bonus</v>
      </c>
      <c r="H564" s="178"/>
      <c r="I564" s="78" t="s">
        <v>30</v>
      </c>
      <c r="J564" s="46" t="s">
        <v>180</v>
      </c>
      <c r="K564" s="46" t="s">
        <v>180</v>
      </c>
      <c r="L564" s="47" t="s">
        <v>32</v>
      </c>
      <c r="M564" s="47" t="s">
        <v>33</v>
      </c>
      <c r="N564" s="46" t="s">
        <v>33</v>
      </c>
      <c r="O564" s="46" t="s">
        <v>33</v>
      </c>
      <c r="P564" s="46" t="s">
        <v>33</v>
      </c>
      <c r="Q564" s="46" t="s">
        <v>33</v>
      </c>
      <c r="R564" s="21"/>
      <c r="S564" s="117" t="str">
        <f t="shared" si="79"/>
        <v>N</v>
      </c>
      <c r="T564" s="114">
        <f>IFERROR(SUMIF('Current NLData'!A:A,'Payment Changes'!G564,'Current NLData'!K:K)/COUNTIF('Current NLData'!A:A,'Payment Changes'!G564),0)+IFERROR(VLOOKUP(G564&amp;"-ALL",NLPaymentExport,10,FALSE),0)</f>
        <v>0</v>
      </c>
      <c r="U564" s="118" t="str">
        <f t="shared" si="80"/>
        <v/>
      </c>
    </row>
    <row r="565" spans="1:54" s="15" customFormat="1" ht="17.100000000000001" hidden="1" customHeight="1" x14ac:dyDescent="0.25">
      <c r="A565" s="167"/>
      <c r="B565" s="170"/>
      <c r="C565" s="173"/>
      <c r="D565" s="176"/>
      <c r="E565" s="110" t="str">
        <f t="shared" si="81"/>
        <v>College Park</v>
      </c>
      <c r="F565" s="111" t="s">
        <v>182</v>
      </c>
      <c r="G565" s="112" t="str">
        <f t="shared" si="88"/>
        <v>CP134-Referral</v>
      </c>
      <c r="H565" s="179"/>
      <c r="I565" s="79" t="s">
        <v>34</v>
      </c>
      <c r="J565" s="49">
        <v>50</v>
      </c>
      <c r="K565" s="49">
        <v>50</v>
      </c>
      <c r="L565" s="50" t="s">
        <v>32</v>
      </c>
      <c r="M565" s="50" t="s">
        <v>35</v>
      </c>
      <c r="N565" s="49" t="s">
        <v>35</v>
      </c>
      <c r="O565" s="49" t="s">
        <v>35</v>
      </c>
      <c r="P565" s="49" t="s">
        <v>35</v>
      </c>
      <c r="Q565" s="49" t="s">
        <v>35</v>
      </c>
      <c r="R565" s="113"/>
      <c r="S565" s="117" t="str">
        <f t="shared" si="79"/>
        <v>N</v>
      </c>
      <c r="T565" s="114">
        <f>IFERROR(SUMIF('Current NLData'!A:A,'Payment Changes'!G565,'Current NLData'!K:K)/COUNTIF('Current NLData'!A:A,'Payment Changes'!G565),0)+IFERROR(VLOOKUP(G565&amp;"-ALL",NLPaymentExport,10,FALSE),0)</f>
        <v>0</v>
      </c>
      <c r="U565" s="118" t="str">
        <f t="shared" si="80"/>
        <v/>
      </c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</row>
    <row r="566" spans="1:54" ht="17.100000000000001" hidden="1" customHeight="1" outlineLevel="1" x14ac:dyDescent="0.25">
      <c r="A566" s="3"/>
      <c r="C566" s="4"/>
      <c r="D566" s="180" t="s">
        <v>182</v>
      </c>
      <c r="E566" s="91" t="str">
        <f t="shared" si="81"/>
        <v>College Park</v>
      </c>
      <c r="F566" s="93" t="str">
        <f t="shared" si="82"/>
        <v>CP134</v>
      </c>
      <c r="G566" s="99" t="str">
        <f t="shared" si="88"/>
        <v>CP134-NEW DONOR -1st</v>
      </c>
      <c r="H566" s="182" t="s">
        <v>36</v>
      </c>
      <c r="I566" s="33" t="s">
        <v>37</v>
      </c>
      <c r="J566" s="60">
        <v>100</v>
      </c>
      <c r="K566" s="61">
        <v>100</v>
      </c>
      <c r="L566" s="60">
        <v>100</v>
      </c>
      <c r="M566" s="60">
        <v>100</v>
      </c>
      <c r="N566" s="60">
        <v>100</v>
      </c>
      <c r="O566" s="60">
        <v>100</v>
      </c>
      <c r="P566" s="60">
        <v>100</v>
      </c>
      <c r="Q566" s="60">
        <v>100</v>
      </c>
      <c r="R566" s="23"/>
      <c r="S566" s="117" t="str">
        <f t="shared" si="79"/>
        <v>N</v>
      </c>
      <c r="T566" s="114">
        <f>IFERROR(SUMIF('Current NLData'!A:A,'Payment Changes'!G566,'Current NLData'!K:K)/COUNTIF('Current NLData'!A:A,'Payment Changes'!G566),0)+IFERROR(VLOOKUP(G566&amp;"-ALL",NLPaymentExport,10,FALSE),0)</f>
        <v>100</v>
      </c>
      <c r="U566" s="118">
        <f t="shared" si="80"/>
        <v>0</v>
      </c>
    </row>
    <row r="567" spans="1:54" ht="17.100000000000001" hidden="1" customHeight="1" outlineLevel="1" x14ac:dyDescent="0.25">
      <c r="A567" s="3"/>
      <c r="C567" s="4"/>
      <c r="D567" s="181"/>
      <c r="E567" s="91" t="str">
        <f t="shared" si="81"/>
        <v>College Park</v>
      </c>
      <c r="F567" s="93" t="str">
        <f t="shared" si="82"/>
        <v>CP134</v>
      </c>
      <c r="G567" s="99" t="str">
        <f t="shared" si="88"/>
        <v>CP134-NEW DONOR -2nd</v>
      </c>
      <c r="H567" s="182"/>
      <c r="I567" s="34" t="s">
        <v>38</v>
      </c>
      <c r="J567" s="58">
        <v>100</v>
      </c>
      <c r="K567" s="62">
        <v>100</v>
      </c>
      <c r="L567" s="58">
        <v>100</v>
      </c>
      <c r="M567" s="58">
        <v>100</v>
      </c>
      <c r="N567" s="58">
        <v>100</v>
      </c>
      <c r="O567" s="58">
        <v>100</v>
      </c>
      <c r="P567" s="58">
        <v>100</v>
      </c>
      <c r="Q567" s="58">
        <v>100</v>
      </c>
      <c r="R567" s="23"/>
      <c r="S567" s="117" t="str">
        <f t="shared" si="79"/>
        <v>N</v>
      </c>
      <c r="T567" s="114">
        <f>IFERROR(SUMIF('Current NLData'!A:A,'Payment Changes'!G567,'Current NLData'!K:K)/COUNTIF('Current NLData'!A:A,'Payment Changes'!G567),0)+IFERROR(VLOOKUP(G567&amp;"-ALL",NLPaymentExport,10,FALSE),0)</f>
        <v>100</v>
      </c>
      <c r="U567" s="118">
        <f t="shared" si="80"/>
        <v>0</v>
      </c>
    </row>
    <row r="568" spans="1:54" ht="17.100000000000001" hidden="1" customHeight="1" outlineLevel="1" x14ac:dyDescent="0.25">
      <c r="A568" s="3"/>
      <c r="C568" s="4"/>
      <c r="D568" s="181"/>
      <c r="E568" s="91" t="str">
        <f t="shared" si="81"/>
        <v>College Park</v>
      </c>
      <c r="F568" s="93" t="str">
        <f t="shared" si="82"/>
        <v>CP134</v>
      </c>
      <c r="G568" s="99" t="str">
        <f t="shared" si="88"/>
        <v>CP134-NEW DONOR -3rd</v>
      </c>
      <c r="H568" s="182"/>
      <c r="I568" s="34" t="s">
        <v>39</v>
      </c>
      <c r="J568" s="58">
        <v>100</v>
      </c>
      <c r="K568" s="62">
        <v>100</v>
      </c>
      <c r="L568" s="58">
        <v>100</v>
      </c>
      <c r="M568" s="58">
        <v>100</v>
      </c>
      <c r="N568" s="58">
        <v>100</v>
      </c>
      <c r="O568" s="58">
        <v>100</v>
      </c>
      <c r="P568" s="58">
        <v>100</v>
      </c>
      <c r="Q568" s="58">
        <v>100</v>
      </c>
      <c r="R568" s="23"/>
      <c r="S568" s="117" t="str">
        <f t="shared" si="79"/>
        <v>N</v>
      </c>
      <c r="T568" s="114">
        <f>IFERROR(SUMIF('Current NLData'!A:A,'Payment Changes'!G568,'Current NLData'!K:K)/COUNTIF('Current NLData'!A:A,'Payment Changes'!G568),0)+IFERROR(VLOOKUP(G568&amp;"-ALL",NLPaymentExport,10,FALSE),0)</f>
        <v>100</v>
      </c>
      <c r="U568" s="118">
        <f t="shared" si="80"/>
        <v>0</v>
      </c>
    </row>
    <row r="569" spans="1:54" ht="17.100000000000001" hidden="1" customHeight="1" outlineLevel="1" x14ac:dyDescent="0.25">
      <c r="A569" s="3"/>
      <c r="C569" s="4"/>
      <c r="D569" s="181"/>
      <c r="E569" s="91" t="str">
        <f t="shared" si="81"/>
        <v>College Park</v>
      </c>
      <c r="F569" s="93" t="str">
        <f t="shared" si="82"/>
        <v>CP134</v>
      </c>
      <c r="G569" s="99" t="str">
        <f t="shared" si="88"/>
        <v>CP134-NEW DONOR -4th</v>
      </c>
      <c r="H569" s="182"/>
      <c r="I569" s="34" t="s">
        <v>40</v>
      </c>
      <c r="J569" s="58">
        <v>100</v>
      </c>
      <c r="K569" s="62">
        <v>100</v>
      </c>
      <c r="L569" s="58">
        <v>40</v>
      </c>
      <c r="M569" s="58">
        <v>100</v>
      </c>
      <c r="N569" s="58">
        <v>100</v>
      </c>
      <c r="O569" s="58">
        <v>100</v>
      </c>
      <c r="P569" s="58">
        <v>100</v>
      </c>
      <c r="Q569" s="58">
        <v>100</v>
      </c>
      <c r="R569" s="23"/>
      <c r="S569" s="117" t="str">
        <f t="shared" si="79"/>
        <v>N</v>
      </c>
      <c r="T569" s="114">
        <f>IFERROR(SUMIF('Current NLData'!A:A,'Payment Changes'!G569,'Current NLData'!K:K)/COUNTIF('Current NLData'!A:A,'Payment Changes'!G569),0)+IFERROR(VLOOKUP(G569&amp;"-ALL",NLPaymentExport,10,FALSE),0)</f>
        <v>100</v>
      </c>
      <c r="U569" s="118">
        <f t="shared" si="80"/>
        <v>0</v>
      </c>
    </row>
    <row r="570" spans="1:54" ht="17.100000000000001" hidden="1" customHeight="1" outlineLevel="1" x14ac:dyDescent="0.25">
      <c r="A570" s="3"/>
      <c r="C570" s="4"/>
      <c r="D570" s="181"/>
      <c r="E570" s="91" t="str">
        <f t="shared" si="81"/>
        <v>College Park</v>
      </c>
      <c r="F570" s="93" t="str">
        <f t="shared" si="82"/>
        <v>CP134</v>
      </c>
      <c r="G570" s="99" t="str">
        <f t="shared" si="88"/>
        <v>CP134-NEW DONOR -5th</v>
      </c>
      <c r="H570" s="182"/>
      <c r="I570" s="34" t="s">
        <v>41</v>
      </c>
      <c r="J570" s="58">
        <v>40</v>
      </c>
      <c r="K570" s="62">
        <v>40</v>
      </c>
      <c r="L570" s="58">
        <v>40</v>
      </c>
      <c r="M570" s="58">
        <v>100</v>
      </c>
      <c r="N570" s="58">
        <v>100</v>
      </c>
      <c r="O570" s="58">
        <v>100</v>
      </c>
      <c r="P570" s="58">
        <v>100</v>
      </c>
      <c r="Q570" s="58">
        <v>100</v>
      </c>
      <c r="R570" s="23"/>
      <c r="S570" s="117" t="str">
        <f t="shared" si="79"/>
        <v>N</v>
      </c>
      <c r="T570" s="114">
        <f>IFERROR(SUMIF('Current NLData'!A:A,'Payment Changes'!G570,'Current NLData'!K:K)/COUNTIF('Current NLData'!A:A,'Payment Changes'!G570),0)+IFERROR(VLOOKUP(G570&amp;"-ALL",NLPaymentExport,10,FALSE),0)</f>
        <v>100</v>
      </c>
      <c r="U570" s="118">
        <f t="shared" si="80"/>
        <v>0</v>
      </c>
    </row>
    <row r="571" spans="1:54" ht="17.100000000000001" hidden="1" customHeight="1" outlineLevel="1" x14ac:dyDescent="0.25">
      <c r="A571" s="3"/>
      <c r="C571" s="4"/>
      <c r="D571" s="181"/>
      <c r="E571" s="91" t="str">
        <f t="shared" si="81"/>
        <v>College Park</v>
      </c>
      <c r="F571" s="93" t="str">
        <f t="shared" si="82"/>
        <v>CP134</v>
      </c>
      <c r="G571" s="99" t="str">
        <f t="shared" si="88"/>
        <v>CP134-NEW DONOR -6th</v>
      </c>
      <c r="H571" s="182"/>
      <c r="I571" s="34" t="s">
        <v>42</v>
      </c>
      <c r="J571" s="58">
        <v>40</v>
      </c>
      <c r="K571" s="62">
        <v>70</v>
      </c>
      <c r="L571" s="58">
        <v>40</v>
      </c>
      <c r="M571" s="58">
        <v>100</v>
      </c>
      <c r="N571" s="58">
        <v>100</v>
      </c>
      <c r="O571" s="58">
        <v>100</v>
      </c>
      <c r="P571" s="58">
        <v>100</v>
      </c>
      <c r="Q571" s="58">
        <v>100</v>
      </c>
      <c r="R571" s="23"/>
      <c r="S571" s="117" t="str">
        <f t="shared" si="79"/>
        <v>N</v>
      </c>
      <c r="T571" s="114">
        <f>IFERROR(SUMIF('Current NLData'!A:A,'Payment Changes'!G571,'Current NLData'!K:K)/COUNTIF('Current NLData'!A:A,'Payment Changes'!G571),0)+IFERROR(VLOOKUP(G571&amp;"-ALL",NLPaymentExport,10,FALSE),0)</f>
        <v>100</v>
      </c>
      <c r="U571" s="118">
        <f t="shared" si="80"/>
        <v>0</v>
      </c>
    </row>
    <row r="572" spans="1:54" ht="17.100000000000001" hidden="1" customHeight="1" outlineLevel="1" x14ac:dyDescent="0.25">
      <c r="A572" s="3"/>
      <c r="C572" s="4"/>
      <c r="D572" s="181"/>
      <c r="E572" s="91" t="str">
        <f t="shared" si="81"/>
        <v>College Park</v>
      </c>
      <c r="F572" s="93" t="str">
        <f t="shared" si="82"/>
        <v>CP134</v>
      </c>
      <c r="G572" s="99" t="str">
        <f t="shared" si="88"/>
        <v>CP134-NEW DONOR -7th</v>
      </c>
      <c r="H572" s="182"/>
      <c r="I572" s="34" t="s">
        <v>43</v>
      </c>
      <c r="J572" s="58">
        <v>40</v>
      </c>
      <c r="K572" s="62">
        <f t="shared" ref="K572" si="89">J572</f>
        <v>40</v>
      </c>
      <c r="L572" s="58">
        <v>40</v>
      </c>
      <c r="M572" s="58">
        <v>40</v>
      </c>
      <c r="N572" s="58">
        <v>40</v>
      </c>
      <c r="O572" s="58">
        <v>40</v>
      </c>
      <c r="P572" s="58">
        <v>40</v>
      </c>
      <c r="Q572" s="58">
        <v>40</v>
      </c>
      <c r="R572" s="23"/>
      <c r="S572" s="117" t="str">
        <f t="shared" si="79"/>
        <v>N</v>
      </c>
      <c r="T572" s="114">
        <f>IFERROR(SUMIF('Current NLData'!A:A,'Payment Changes'!G572,'Current NLData'!K:K)/COUNTIF('Current NLData'!A:A,'Payment Changes'!G572),0)+IFERROR(VLOOKUP(G572&amp;"-ALL",NLPaymentExport,10,FALSE),0)</f>
        <v>40</v>
      </c>
      <c r="U572" s="118">
        <f t="shared" si="80"/>
        <v>0</v>
      </c>
    </row>
    <row r="573" spans="1:54" ht="17.100000000000001" hidden="1" customHeight="1" outlineLevel="1" x14ac:dyDescent="0.25">
      <c r="A573" s="3"/>
      <c r="C573" s="4"/>
      <c r="D573" s="181"/>
      <c r="E573" s="91" t="str">
        <f t="shared" si="81"/>
        <v>College Park</v>
      </c>
      <c r="F573" s="93" t="str">
        <f t="shared" si="82"/>
        <v>CP134</v>
      </c>
      <c r="G573" s="99" t="str">
        <f t="shared" si="88"/>
        <v>CP134-NEW DONOR -8th</v>
      </c>
      <c r="H573" s="182"/>
      <c r="I573" s="35" t="s">
        <v>44</v>
      </c>
      <c r="J573" s="63">
        <v>40</v>
      </c>
      <c r="K573" s="64">
        <v>70</v>
      </c>
      <c r="L573" s="63">
        <v>40</v>
      </c>
      <c r="M573" s="63">
        <v>40</v>
      </c>
      <c r="N573" s="63">
        <v>40</v>
      </c>
      <c r="O573" s="63">
        <v>40</v>
      </c>
      <c r="P573" s="63">
        <v>40</v>
      </c>
      <c r="Q573" s="63">
        <v>40</v>
      </c>
      <c r="R573" s="23"/>
      <c r="S573" s="117" t="str">
        <f t="shared" si="79"/>
        <v>N</v>
      </c>
      <c r="T573" s="114">
        <f>IFERROR(SUMIF('Current NLData'!A:A,'Payment Changes'!G573,'Current NLData'!K:K)/COUNTIF('Current NLData'!A:A,'Payment Changes'!G573),0)+IFERROR(VLOOKUP(G573&amp;"-ALL",NLPaymentExport,10,FALSE),0)</f>
        <v>40</v>
      </c>
      <c r="U573" s="118">
        <f t="shared" si="80"/>
        <v>0</v>
      </c>
    </row>
    <row r="574" spans="1:54" ht="17.100000000000001" hidden="1" customHeight="1" outlineLevel="1" x14ac:dyDescent="0.25">
      <c r="A574" s="3"/>
      <c r="C574" s="4"/>
      <c r="D574" s="181"/>
      <c r="E574" s="91" t="str">
        <f t="shared" si="81"/>
        <v>College Park</v>
      </c>
      <c r="F574" s="93" t="str">
        <f t="shared" si="82"/>
        <v>CP134</v>
      </c>
      <c r="G574" s="99" t="str">
        <f t="shared" si="88"/>
        <v>CP134-RETURN - 1st don of the week -STD</v>
      </c>
      <c r="H574" s="182"/>
      <c r="I574" s="36" t="s">
        <v>45</v>
      </c>
      <c r="J574" s="58">
        <v>40</v>
      </c>
      <c r="K574" s="58">
        <f>J574</f>
        <v>40</v>
      </c>
      <c r="L574" s="58">
        <v>40</v>
      </c>
      <c r="M574" s="58">
        <v>40</v>
      </c>
      <c r="N574" s="58">
        <v>40</v>
      </c>
      <c r="O574" s="58">
        <v>40</v>
      </c>
      <c r="P574" s="58">
        <v>40</v>
      </c>
      <c r="Q574" s="58">
        <v>40</v>
      </c>
      <c r="R574" s="22"/>
      <c r="S574" s="117" t="str">
        <f t="shared" si="79"/>
        <v>N</v>
      </c>
      <c r="T574" s="114">
        <f>IFERROR(SUMIF('Current NLData'!A:A,'Payment Changes'!G574,'Current NLData'!K:K)/COUNTIF('Current NLData'!A:A,'Payment Changes'!G574),0)+IFERROR(VLOOKUP(G574&amp;"-ALL",NLPaymentExport,10,FALSE),0)</f>
        <v>40</v>
      </c>
      <c r="U574" s="118">
        <f t="shared" si="80"/>
        <v>0</v>
      </c>
    </row>
    <row r="575" spans="1:54" ht="17.100000000000001" hidden="1" customHeight="1" outlineLevel="1" x14ac:dyDescent="0.25">
      <c r="A575" s="3"/>
      <c r="C575" s="4"/>
      <c r="D575" s="181"/>
      <c r="E575" s="91" t="str">
        <f t="shared" si="81"/>
        <v>College Park</v>
      </c>
      <c r="F575" s="93" t="str">
        <f t="shared" si="82"/>
        <v>CP134</v>
      </c>
      <c r="G575" s="99" t="str">
        <f t="shared" si="88"/>
        <v>CP134-RETURN - 2nd don of the week -BONUS</v>
      </c>
      <c r="H575" s="182"/>
      <c r="I575" s="36" t="s">
        <v>46</v>
      </c>
      <c r="J575" s="58">
        <v>30</v>
      </c>
      <c r="K575" s="58">
        <f>J575</f>
        <v>30</v>
      </c>
      <c r="L575" s="58">
        <v>30</v>
      </c>
      <c r="M575" s="58">
        <v>35</v>
      </c>
      <c r="N575" s="58">
        <v>35</v>
      </c>
      <c r="O575" s="58">
        <v>35</v>
      </c>
      <c r="P575" s="58">
        <v>35</v>
      </c>
      <c r="Q575" s="58">
        <v>35</v>
      </c>
      <c r="R575" s="22"/>
      <c r="S575" s="117" t="str">
        <f t="shared" si="79"/>
        <v>N</v>
      </c>
      <c r="T575" s="114">
        <f>IFERROR(SUMIF('Current NLData'!A:A,'Payment Changes'!G575,'Current NLData'!K:K)/COUNTIF('Current NLData'!A:A,'Payment Changes'!G575),0)+IFERROR(VLOOKUP(G575&amp;"-ALL",NLPaymentExport,10,FALSE),0)</f>
        <v>35</v>
      </c>
      <c r="U575" s="118">
        <f t="shared" si="80"/>
        <v>0</v>
      </c>
    </row>
    <row r="576" spans="1:54" ht="17.100000000000001" hidden="1" customHeight="1" outlineLevel="1" x14ac:dyDescent="0.25">
      <c r="A576" s="3"/>
      <c r="C576" s="4"/>
      <c r="D576" s="181"/>
      <c r="E576" s="91" t="str">
        <f t="shared" si="81"/>
        <v>College Park</v>
      </c>
      <c r="F576" s="93" t="str">
        <f t="shared" si="82"/>
        <v>CP134</v>
      </c>
      <c r="G576" s="99" t="str">
        <f t="shared" si="88"/>
        <v>CP134-RETURN - 5th don of the month -BONUS</v>
      </c>
      <c r="H576" s="182"/>
      <c r="I576" s="37" t="s">
        <v>47</v>
      </c>
      <c r="J576" s="65">
        <v>0</v>
      </c>
      <c r="K576" s="65">
        <v>0</v>
      </c>
      <c r="L576" s="65">
        <v>0</v>
      </c>
      <c r="M576" s="65">
        <v>0</v>
      </c>
      <c r="N576" s="65">
        <v>0</v>
      </c>
      <c r="O576" s="65">
        <v>0</v>
      </c>
      <c r="P576" s="65">
        <v>0</v>
      </c>
      <c r="Q576" s="65">
        <v>0</v>
      </c>
      <c r="R576" s="22"/>
      <c r="S576" s="117" t="str">
        <f t="shared" si="79"/>
        <v>N</v>
      </c>
      <c r="T576" s="114">
        <f>IFERROR(SUMIF('Current NLData'!A:A,'Payment Changes'!G576,'Current NLData'!K:K)/COUNTIF('Current NLData'!A:A,'Payment Changes'!G576),0)+IFERROR(VLOOKUP(G576&amp;"-ALL",NLPaymentExport,10,FALSE),0)</f>
        <v>0</v>
      </c>
      <c r="U576" s="118">
        <f t="shared" si="80"/>
        <v>0</v>
      </c>
    </row>
    <row r="577" spans="1:54" ht="17.100000000000001" hidden="1" customHeight="1" outlineLevel="1" x14ac:dyDescent="0.25">
      <c r="A577" s="3"/>
      <c r="C577" s="4"/>
      <c r="D577" s="181"/>
      <c r="E577" s="91" t="str">
        <f t="shared" si="81"/>
        <v>College Park</v>
      </c>
      <c r="F577" s="93" t="str">
        <f t="shared" si="82"/>
        <v>CP134</v>
      </c>
      <c r="G577" s="99" t="str">
        <f t="shared" si="88"/>
        <v>CP134-RETURN - 6th don of the month -BONUS</v>
      </c>
      <c r="H577" s="182"/>
      <c r="I577" s="38" t="s">
        <v>48</v>
      </c>
      <c r="J577" s="58">
        <v>0</v>
      </c>
      <c r="K577" s="58">
        <v>0</v>
      </c>
      <c r="L577" s="58">
        <v>0</v>
      </c>
      <c r="M577" s="58">
        <v>30</v>
      </c>
      <c r="N577" s="58">
        <v>30</v>
      </c>
      <c r="O577" s="58">
        <v>30</v>
      </c>
      <c r="P577" s="58">
        <v>30</v>
      </c>
      <c r="Q577" s="58">
        <v>30</v>
      </c>
      <c r="R577" s="22"/>
      <c r="S577" s="117" t="str">
        <f t="shared" si="79"/>
        <v>N</v>
      </c>
      <c r="T577" s="114">
        <f>IFERROR(SUMIF('Current NLData'!A:A,'Payment Changes'!G577,'Current NLData'!K:K)/COUNTIF('Current NLData'!A:A,'Payment Changes'!G577),0)+IFERROR(VLOOKUP(G577&amp;"-ALL",NLPaymentExport,10,FALSE),0)</f>
        <v>30</v>
      </c>
      <c r="U577" s="118">
        <f t="shared" si="80"/>
        <v>0</v>
      </c>
    </row>
    <row r="578" spans="1:54" ht="17.100000000000001" hidden="1" customHeight="1" outlineLevel="1" x14ac:dyDescent="0.25">
      <c r="A578" s="3"/>
      <c r="C578" s="4"/>
      <c r="D578" s="181"/>
      <c r="E578" s="91" t="str">
        <f t="shared" si="81"/>
        <v>College Park</v>
      </c>
      <c r="F578" s="93" t="str">
        <f t="shared" si="82"/>
        <v>CP134</v>
      </c>
      <c r="G578" s="99" t="str">
        <f t="shared" si="88"/>
        <v>CP134-RETURN - 7th don of the month -BONUS</v>
      </c>
      <c r="H578" s="182"/>
      <c r="I578" s="38" t="s">
        <v>49</v>
      </c>
      <c r="J578" s="58">
        <v>0</v>
      </c>
      <c r="K578" s="58">
        <v>10</v>
      </c>
      <c r="L578" s="58">
        <v>0</v>
      </c>
      <c r="M578" s="58">
        <v>0</v>
      </c>
      <c r="N578" s="58">
        <v>0</v>
      </c>
      <c r="O578" s="58">
        <v>0</v>
      </c>
      <c r="P578" s="58">
        <v>0</v>
      </c>
      <c r="Q578" s="58">
        <v>0</v>
      </c>
      <c r="R578" s="22"/>
      <c r="S578" s="117" t="str">
        <f t="shared" si="79"/>
        <v>N</v>
      </c>
      <c r="T578" s="114">
        <f>IFERROR(SUMIF('Current NLData'!A:A,'Payment Changes'!G578,'Current NLData'!K:K)/COUNTIF('Current NLData'!A:A,'Payment Changes'!G578),0)+IFERROR(VLOOKUP(G578&amp;"-ALL",NLPaymentExport,10,FALSE),0)</f>
        <v>0</v>
      </c>
      <c r="U578" s="118">
        <f t="shared" si="80"/>
        <v>0</v>
      </c>
    </row>
    <row r="579" spans="1:54" ht="17.100000000000001" hidden="1" customHeight="1" outlineLevel="1" x14ac:dyDescent="0.25">
      <c r="A579" s="3"/>
      <c r="C579" s="4"/>
      <c r="D579" s="181"/>
      <c r="E579" s="91" t="str">
        <f t="shared" si="81"/>
        <v>College Park</v>
      </c>
      <c r="F579" s="93" t="str">
        <f t="shared" si="82"/>
        <v>CP134</v>
      </c>
      <c r="G579" s="99" t="str">
        <f t="shared" si="88"/>
        <v>CP134-RETURN - 8th don of the month -BONUS</v>
      </c>
      <c r="H579" s="182"/>
      <c r="I579" s="38" t="s">
        <v>50</v>
      </c>
      <c r="J579" s="58">
        <v>10</v>
      </c>
      <c r="K579" s="58">
        <v>0</v>
      </c>
      <c r="L579" s="58">
        <v>0</v>
      </c>
      <c r="M579" s="58">
        <v>0</v>
      </c>
      <c r="N579" s="58">
        <v>0</v>
      </c>
      <c r="O579" s="58">
        <v>0</v>
      </c>
      <c r="P579" s="58">
        <v>0</v>
      </c>
      <c r="Q579" s="58">
        <v>0</v>
      </c>
      <c r="R579" s="22"/>
      <c r="S579" s="117" t="str">
        <f t="shared" ref="S579:S642" si="90">IF(P579=Q579,"N","Y")</f>
        <v>N</v>
      </c>
      <c r="T579" s="114">
        <f>IFERROR(SUMIF('Current NLData'!A:A,'Payment Changes'!G579,'Current NLData'!K:K)/COUNTIF('Current NLData'!A:A,'Payment Changes'!G579),0)+IFERROR(VLOOKUP(G579&amp;"-ALL",NLPaymentExport,10,FALSE),0)</f>
        <v>0</v>
      </c>
      <c r="U579" s="118">
        <f t="shared" si="80"/>
        <v>0</v>
      </c>
    </row>
    <row r="580" spans="1:54" ht="17.100000000000001" hidden="1" customHeight="1" outlineLevel="1" x14ac:dyDescent="0.25">
      <c r="A580" s="3"/>
      <c r="C580" s="4" t="str">
        <f>IF(J580=0,"Warning","")</f>
        <v/>
      </c>
      <c r="D580" s="181"/>
      <c r="E580" s="91" t="str">
        <f t="shared" si="81"/>
        <v>College Park</v>
      </c>
      <c r="F580" s="93" t="str">
        <f t="shared" si="82"/>
        <v>CP134</v>
      </c>
      <c r="G580" s="99" t="str">
        <f t="shared" si="88"/>
        <v>CP134-RETURN - Buddy referral  -BONUS</v>
      </c>
      <c r="H580" s="182"/>
      <c r="I580" s="39" t="s">
        <v>51</v>
      </c>
      <c r="J580" s="58">
        <v>50</v>
      </c>
      <c r="K580" s="58">
        <v>50</v>
      </c>
      <c r="L580" s="58">
        <v>0</v>
      </c>
      <c r="M580" s="58">
        <v>50</v>
      </c>
      <c r="N580" s="58">
        <v>50</v>
      </c>
      <c r="O580" s="58">
        <v>50</v>
      </c>
      <c r="P580" s="58">
        <v>50</v>
      </c>
      <c r="Q580" s="58">
        <v>50</v>
      </c>
      <c r="R580" s="22"/>
      <c r="S580" s="117" t="str">
        <f t="shared" si="90"/>
        <v>N</v>
      </c>
      <c r="T580" s="114">
        <f>IFERROR(SUMIF('Current NLData'!A:A,'Payment Changes'!G580,'Current NLData'!K:K)/COUNTIF('Current NLData'!A:A,'Payment Changes'!G580),0)+IFERROR(VLOOKUP(G580&amp;"-ALL",NLPaymentExport,10,FALSE),0)</f>
        <v>50</v>
      </c>
      <c r="U580" s="118">
        <f t="shared" si="80"/>
        <v>0</v>
      </c>
    </row>
    <row r="581" spans="1:54" s="90" customFormat="1" ht="17.100000000000001" hidden="1" customHeight="1" collapsed="1" x14ac:dyDescent="0.35">
      <c r="A581" s="85"/>
      <c r="B581" s="85"/>
      <c r="C581" s="86"/>
      <c r="D581" s="87"/>
      <c r="E581" s="87"/>
      <c r="F581" s="87"/>
      <c r="G581" s="87"/>
      <c r="H581" s="96"/>
      <c r="I581" s="88"/>
      <c r="J581" s="89"/>
      <c r="K581" s="89"/>
      <c r="L581" s="89"/>
      <c r="M581" s="89"/>
      <c r="N581" s="89"/>
      <c r="O581" s="89"/>
      <c r="P581" s="89"/>
      <c r="Q581" s="89"/>
      <c r="R581" s="21"/>
      <c r="S581" s="117" t="str">
        <f t="shared" si="90"/>
        <v>N</v>
      </c>
      <c r="T581" s="114">
        <f>IFERROR(SUMIF('Current NLData'!A:A,'Payment Changes'!G581,'Current NLData'!K:K)/COUNTIF('Current NLData'!A:A,'Payment Changes'!G581),0)+IFERROR(VLOOKUP(G581&amp;"-ALL",NLPaymentExport,10,FALSE),0)</f>
        <v>0</v>
      </c>
      <c r="U581" s="118" t="str">
        <f t="shared" si="80"/>
        <v/>
      </c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</row>
    <row r="582" spans="1:54" s="10" customFormat="1" ht="17.100000000000001" hidden="1" customHeight="1" x14ac:dyDescent="0.25">
      <c r="A582" s="165">
        <v>30</v>
      </c>
      <c r="B582" s="168" t="s">
        <v>185</v>
      </c>
      <c r="C582" s="171" t="s">
        <v>53</v>
      </c>
      <c r="D582" s="174" t="s">
        <v>157</v>
      </c>
      <c r="E582" s="106" t="str">
        <f t="shared" si="81"/>
        <v>Cinnaminson</v>
      </c>
      <c r="F582" s="107" t="s">
        <v>186</v>
      </c>
      <c r="G582" s="108" t="str">
        <f t="shared" ref="G582:G600" si="91">F582&amp;"-"&amp;I582</f>
        <v>CP138-New Donor</v>
      </c>
      <c r="H582" s="177" t="s">
        <v>75</v>
      </c>
      <c r="I582" s="76" t="s">
        <v>23</v>
      </c>
      <c r="J582" s="40" t="s">
        <v>187</v>
      </c>
      <c r="K582" s="41" t="s">
        <v>188</v>
      </c>
      <c r="L582" s="41" t="s">
        <v>187</v>
      </c>
      <c r="M582" s="41" t="s">
        <v>189</v>
      </c>
      <c r="N582" s="40" t="s">
        <v>189</v>
      </c>
      <c r="O582" s="40" t="s">
        <v>189</v>
      </c>
      <c r="P582" s="40" t="s">
        <v>189</v>
      </c>
      <c r="Q582" s="40" t="s">
        <v>189</v>
      </c>
      <c r="R582" s="109"/>
      <c r="S582" s="117" t="str">
        <f t="shared" si="90"/>
        <v>N</v>
      </c>
      <c r="T582" s="114">
        <f>IFERROR(SUMIF('Current NLData'!A:A,'Payment Changes'!G582,'Current NLData'!K:K)/COUNTIF('Current NLData'!A:A,'Payment Changes'!G582),0)+IFERROR(VLOOKUP(G582&amp;"-ALL",NLPaymentExport,10,FALSE),0)</f>
        <v>0</v>
      </c>
      <c r="U582" s="118" t="str">
        <f t="shared" si="80"/>
        <v/>
      </c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</row>
    <row r="583" spans="1:54" ht="17.100000000000001" hidden="1" customHeight="1" x14ac:dyDescent="0.25">
      <c r="A583" s="166"/>
      <c r="B583" s="169"/>
      <c r="C583" s="172"/>
      <c r="D583" s="175"/>
      <c r="E583" s="91" t="str">
        <f t="shared" si="81"/>
        <v>Cinnaminson</v>
      </c>
      <c r="F583" s="92" t="s">
        <v>186</v>
      </c>
      <c r="G583" s="98" t="str">
        <f t="shared" si="91"/>
        <v>CP138-Return Donor</v>
      </c>
      <c r="H583" s="178"/>
      <c r="I583" s="77" t="s">
        <v>29</v>
      </c>
      <c r="J583" s="43" t="s">
        <v>190</v>
      </c>
      <c r="K583" s="43" t="s">
        <v>191</v>
      </c>
      <c r="L583" s="44" t="s">
        <v>192</v>
      </c>
      <c r="M583" s="44" t="s">
        <v>193</v>
      </c>
      <c r="N583" s="43" t="s">
        <v>193</v>
      </c>
      <c r="O583" s="43" t="s">
        <v>194</v>
      </c>
      <c r="P583" s="43" t="s">
        <v>194</v>
      </c>
      <c r="Q583" s="43" t="s">
        <v>194</v>
      </c>
      <c r="R583" s="21"/>
      <c r="S583" s="117" t="str">
        <f t="shared" si="90"/>
        <v>N</v>
      </c>
      <c r="T583" s="114">
        <f>IFERROR(SUMIF('Current NLData'!A:A,'Payment Changes'!G583,'Current NLData'!K:K)/COUNTIF('Current NLData'!A:A,'Payment Changes'!G583),0)+IFERROR(VLOOKUP(G583&amp;"-ALL",NLPaymentExport,10,FALSE),0)</f>
        <v>0</v>
      </c>
      <c r="U583" s="118" t="str">
        <f t="shared" ref="U583:U646" si="92">IF(OR(I583 = "New Donor", I583="Return Donor", I583="Retention Bonus", I583="Referral", I583 = ""),"",T583-Q583 )</f>
        <v/>
      </c>
    </row>
    <row r="584" spans="1:54" ht="17.100000000000001" hidden="1" customHeight="1" x14ac:dyDescent="0.25">
      <c r="A584" s="166"/>
      <c r="B584" s="169"/>
      <c r="C584" s="172"/>
      <c r="D584" s="175"/>
      <c r="E584" s="91" t="str">
        <f t="shared" ref="E584:E647" si="93">IF(B584 = "",E583,B584)</f>
        <v>Cinnaminson</v>
      </c>
      <c r="F584" s="92" t="s">
        <v>186</v>
      </c>
      <c r="G584" s="98" t="str">
        <f t="shared" si="91"/>
        <v>CP138-Retention Bonus</v>
      </c>
      <c r="H584" s="178"/>
      <c r="I584" s="78" t="s">
        <v>30</v>
      </c>
      <c r="J584" s="46" t="s">
        <v>195</v>
      </c>
      <c r="K584" s="46" t="s">
        <v>195</v>
      </c>
      <c r="L584" s="47" t="s">
        <v>196</v>
      </c>
      <c r="M584" s="48" t="s">
        <v>196</v>
      </c>
      <c r="N584" s="46" t="s">
        <v>196</v>
      </c>
      <c r="O584" s="46" t="s">
        <v>197</v>
      </c>
      <c r="P584" s="46" t="s">
        <v>197</v>
      </c>
      <c r="Q584" s="46" t="s">
        <v>197</v>
      </c>
      <c r="R584" s="21"/>
      <c r="S584" s="117" t="str">
        <f t="shared" si="90"/>
        <v>N</v>
      </c>
      <c r="T584" s="114">
        <f>IFERROR(SUMIF('Current NLData'!A:A,'Payment Changes'!G584,'Current NLData'!K:K)/COUNTIF('Current NLData'!A:A,'Payment Changes'!G584),0)+IFERROR(VLOOKUP(G584&amp;"-ALL",NLPaymentExport,10,FALSE),0)</f>
        <v>0</v>
      </c>
      <c r="U584" s="118" t="str">
        <f t="shared" si="92"/>
        <v/>
      </c>
    </row>
    <row r="585" spans="1:54" s="15" customFormat="1" ht="17.100000000000001" hidden="1" customHeight="1" x14ac:dyDescent="0.25">
      <c r="A585" s="167"/>
      <c r="B585" s="170"/>
      <c r="C585" s="173"/>
      <c r="D585" s="176"/>
      <c r="E585" s="110" t="str">
        <f t="shared" si="93"/>
        <v>Cinnaminson</v>
      </c>
      <c r="F585" s="111" t="s">
        <v>186</v>
      </c>
      <c r="G585" s="112" t="str">
        <f t="shared" si="91"/>
        <v>CP138-Referral</v>
      </c>
      <c r="H585" s="179"/>
      <c r="I585" s="79" t="s">
        <v>34</v>
      </c>
      <c r="J585" s="49">
        <v>50</v>
      </c>
      <c r="K585" s="49">
        <v>50</v>
      </c>
      <c r="L585" s="50">
        <v>50</v>
      </c>
      <c r="M585" s="51">
        <v>50</v>
      </c>
      <c r="N585" s="49">
        <v>50</v>
      </c>
      <c r="O585" s="49">
        <v>50</v>
      </c>
      <c r="P585" s="49">
        <v>50</v>
      </c>
      <c r="Q585" s="49">
        <v>50</v>
      </c>
      <c r="R585" s="113"/>
      <c r="S585" s="117" t="str">
        <f t="shared" si="90"/>
        <v>N</v>
      </c>
      <c r="T585" s="114">
        <f>IFERROR(SUMIF('Current NLData'!A:A,'Payment Changes'!G585,'Current NLData'!K:K)/COUNTIF('Current NLData'!A:A,'Payment Changes'!G585),0)+IFERROR(VLOOKUP(G585&amp;"-ALL",NLPaymentExport,10,FALSE),0)</f>
        <v>0</v>
      </c>
      <c r="U585" s="118" t="str">
        <f t="shared" si="92"/>
        <v/>
      </c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</row>
    <row r="586" spans="1:54" ht="17.100000000000001" hidden="1" customHeight="1" outlineLevel="1" x14ac:dyDescent="0.25">
      <c r="A586" s="3"/>
      <c r="C586" s="4"/>
      <c r="D586" s="181" t="s">
        <v>186</v>
      </c>
      <c r="E586" s="94" t="str">
        <f t="shared" si="93"/>
        <v>Cinnaminson</v>
      </c>
      <c r="F586" s="93" t="str">
        <f t="shared" ref="F586:F647" si="94">IF(D586 = "",F585,D586)</f>
        <v>CP138</v>
      </c>
      <c r="G586" s="99" t="str">
        <f t="shared" si="91"/>
        <v>CP138-NEW DONOR -1st</v>
      </c>
      <c r="H586" s="182" t="s">
        <v>36</v>
      </c>
      <c r="I586" s="80" t="s">
        <v>37</v>
      </c>
      <c r="J586" s="54">
        <v>125</v>
      </c>
      <c r="K586" s="54">
        <f>J586</f>
        <v>125</v>
      </c>
      <c r="L586" s="54">
        <v>125</v>
      </c>
      <c r="M586" s="58">
        <v>100</v>
      </c>
      <c r="N586" s="58">
        <v>100</v>
      </c>
      <c r="O586" s="58">
        <v>100</v>
      </c>
      <c r="P586" s="58">
        <v>100</v>
      </c>
      <c r="Q586" s="58">
        <v>100</v>
      </c>
      <c r="R586" s="23"/>
      <c r="S586" s="117" t="str">
        <f t="shared" si="90"/>
        <v>N</v>
      </c>
      <c r="T586" s="114">
        <f>IFERROR(SUMIF('Current NLData'!A:A,'Payment Changes'!G586,'Current NLData'!K:K)/COUNTIF('Current NLData'!A:A,'Payment Changes'!G586),0)+IFERROR(VLOOKUP(G586&amp;"-ALL",NLPaymentExport,10,FALSE),0)</f>
        <v>100</v>
      </c>
      <c r="U586" s="118">
        <f t="shared" si="92"/>
        <v>0</v>
      </c>
    </row>
    <row r="587" spans="1:54" ht="17.100000000000001" hidden="1" customHeight="1" outlineLevel="1" x14ac:dyDescent="0.25">
      <c r="A587" s="3"/>
      <c r="B587" s="135"/>
      <c r="C587" s="30"/>
      <c r="D587" s="181"/>
      <c r="E587" s="94" t="str">
        <f t="shared" si="93"/>
        <v>Cinnaminson</v>
      </c>
      <c r="F587" s="93" t="str">
        <f t="shared" si="94"/>
        <v>CP138</v>
      </c>
      <c r="G587" s="99" t="str">
        <f t="shared" si="91"/>
        <v>CP138-NEW DONOR -2nd</v>
      </c>
      <c r="H587" s="182"/>
      <c r="I587" s="81" t="s">
        <v>38</v>
      </c>
      <c r="J587" s="54">
        <v>125</v>
      </c>
      <c r="K587" s="54">
        <f>J587</f>
        <v>125</v>
      </c>
      <c r="L587" s="54">
        <v>125</v>
      </c>
      <c r="M587" s="54">
        <v>100</v>
      </c>
      <c r="N587" s="54">
        <v>100</v>
      </c>
      <c r="O587" s="54">
        <v>100</v>
      </c>
      <c r="P587" s="54">
        <v>100</v>
      </c>
      <c r="Q587" s="54">
        <v>100</v>
      </c>
      <c r="R587" s="23"/>
      <c r="S587" s="117" t="str">
        <f t="shared" si="90"/>
        <v>N</v>
      </c>
      <c r="T587" s="114">
        <f>IFERROR(SUMIF('Current NLData'!A:A,'Payment Changes'!G587,'Current NLData'!K:K)/COUNTIF('Current NLData'!A:A,'Payment Changes'!G587),0)+IFERROR(VLOOKUP(G587&amp;"-ALL",NLPaymentExport,10,FALSE),0)</f>
        <v>100</v>
      </c>
      <c r="U587" s="118">
        <f t="shared" si="92"/>
        <v>0</v>
      </c>
    </row>
    <row r="588" spans="1:54" ht="17.100000000000001" hidden="1" customHeight="1" outlineLevel="1" x14ac:dyDescent="0.25">
      <c r="A588" s="3"/>
      <c r="B588" s="135"/>
      <c r="C588" s="30"/>
      <c r="D588" s="181"/>
      <c r="E588" s="94" t="str">
        <f t="shared" si="93"/>
        <v>Cinnaminson</v>
      </c>
      <c r="F588" s="93" t="str">
        <f t="shared" si="94"/>
        <v>CP138</v>
      </c>
      <c r="G588" s="99" t="str">
        <f t="shared" si="91"/>
        <v>CP138-NEW DONOR -3rd</v>
      </c>
      <c r="H588" s="182"/>
      <c r="I588" s="81" t="s">
        <v>39</v>
      </c>
      <c r="J588" s="54">
        <v>125</v>
      </c>
      <c r="K588" s="54">
        <f t="shared" ref="K588:K592" si="95">J588</f>
        <v>125</v>
      </c>
      <c r="L588" s="54">
        <v>125</v>
      </c>
      <c r="M588" s="54">
        <v>100</v>
      </c>
      <c r="N588" s="54">
        <v>100</v>
      </c>
      <c r="O588" s="54">
        <v>100</v>
      </c>
      <c r="P588" s="54">
        <v>100</v>
      </c>
      <c r="Q588" s="54">
        <v>100</v>
      </c>
      <c r="R588" s="23"/>
      <c r="S588" s="117" t="str">
        <f t="shared" si="90"/>
        <v>N</v>
      </c>
      <c r="T588" s="114">
        <f>IFERROR(SUMIF('Current NLData'!A:A,'Payment Changes'!G588,'Current NLData'!K:K)/COUNTIF('Current NLData'!A:A,'Payment Changes'!G588),0)+IFERROR(VLOOKUP(G588&amp;"-ALL",NLPaymentExport,10,FALSE),0)</f>
        <v>100</v>
      </c>
      <c r="U588" s="118">
        <f t="shared" si="92"/>
        <v>0</v>
      </c>
    </row>
    <row r="589" spans="1:54" ht="17.100000000000001" hidden="1" customHeight="1" outlineLevel="1" x14ac:dyDescent="0.25">
      <c r="A589" s="3"/>
      <c r="B589" s="135"/>
      <c r="C589" s="30"/>
      <c r="D589" s="181"/>
      <c r="E589" s="94" t="str">
        <f t="shared" si="93"/>
        <v>Cinnaminson</v>
      </c>
      <c r="F589" s="93" t="str">
        <f t="shared" si="94"/>
        <v>CP138</v>
      </c>
      <c r="G589" s="99" t="str">
        <f t="shared" si="91"/>
        <v>CP138-NEW DONOR -4th</v>
      </c>
      <c r="H589" s="182"/>
      <c r="I589" s="81" t="s">
        <v>40</v>
      </c>
      <c r="J589" s="54">
        <v>125</v>
      </c>
      <c r="K589" s="54">
        <f t="shared" si="95"/>
        <v>125</v>
      </c>
      <c r="L589" s="54">
        <v>125</v>
      </c>
      <c r="M589" s="54">
        <v>100</v>
      </c>
      <c r="N589" s="54">
        <v>100</v>
      </c>
      <c r="O589" s="54">
        <v>100</v>
      </c>
      <c r="P589" s="54">
        <v>100</v>
      </c>
      <c r="Q589" s="54">
        <v>100</v>
      </c>
      <c r="R589" s="23"/>
      <c r="S589" s="117" t="str">
        <f t="shared" si="90"/>
        <v>N</v>
      </c>
      <c r="T589" s="114">
        <f>IFERROR(SUMIF('Current NLData'!A:A,'Payment Changes'!G589,'Current NLData'!K:K)/COUNTIF('Current NLData'!A:A,'Payment Changes'!G589),0)+IFERROR(VLOOKUP(G589&amp;"-ALL",NLPaymentExport,10,FALSE),0)</f>
        <v>100</v>
      </c>
      <c r="U589" s="118">
        <f t="shared" si="92"/>
        <v>0</v>
      </c>
    </row>
    <row r="590" spans="1:54" ht="17.100000000000001" hidden="1" customHeight="1" outlineLevel="1" x14ac:dyDescent="0.25">
      <c r="A590" s="3"/>
      <c r="B590" s="135"/>
      <c r="C590" s="30"/>
      <c r="D590" s="181"/>
      <c r="E590" s="94" t="str">
        <f t="shared" si="93"/>
        <v>Cinnaminson</v>
      </c>
      <c r="F590" s="93" t="str">
        <f t="shared" si="94"/>
        <v>CP138</v>
      </c>
      <c r="G590" s="99" t="str">
        <f t="shared" si="91"/>
        <v>CP138-NEW DONOR -5th</v>
      </c>
      <c r="H590" s="182"/>
      <c r="I590" s="81" t="s">
        <v>41</v>
      </c>
      <c r="J590" s="54">
        <v>40</v>
      </c>
      <c r="K590" s="54">
        <f t="shared" si="95"/>
        <v>40</v>
      </c>
      <c r="L590" s="54">
        <v>45</v>
      </c>
      <c r="M590" s="54">
        <v>100</v>
      </c>
      <c r="N590" s="54">
        <v>100</v>
      </c>
      <c r="O590" s="54">
        <v>100</v>
      </c>
      <c r="P590" s="54">
        <v>100</v>
      </c>
      <c r="Q590" s="54">
        <v>100</v>
      </c>
      <c r="R590" s="23"/>
      <c r="S590" s="117" t="str">
        <f t="shared" si="90"/>
        <v>N</v>
      </c>
      <c r="T590" s="114">
        <f>IFERROR(SUMIF('Current NLData'!A:A,'Payment Changes'!G590,'Current NLData'!K:K)/COUNTIF('Current NLData'!A:A,'Payment Changes'!G590),0)+IFERROR(VLOOKUP(G590&amp;"-ALL",NLPaymentExport,10,FALSE),0)</f>
        <v>100</v>
      </c>
      <c r="U590" s="118">
        <f t="shared" si="92"/>
        <v>0</v>
      </c>
    </row>
    <row r="591" spans="1:54" ht="17.100000000000001" hidden="1" customHeight="1" outlineLevel="1" x14ac:dyDescent="0.25">
      <c r="A591" s="3"/>
      <c r="B591" s="135"/>
      <c r="C591" s="30"/>
      <c r="D591" s="181"/>
      <c r="E591" s="94" t="str">
        <f t="shared" si="93"/>
        <v>Cinnaminson</v>
      </c>
      <c r="F591" s="93" t="str">
        <f t="shared" si="94"/>
        <v>CP138</v>
      </c>
      <c r="G591" s="99" t="str">
        <f t="shared" si="91"/>
        <v>CP138-NEW DONOR -6th</v>
      </c>
      <c r="H591" s="182"/>
      <c r="I591" s="81" t="s">
        <v>42</v>
      </c>
      <c r="J591" s="54">
        <v>40</v>
      </c>
      <c r="K591" s="54">
        <v>65</v>
      </c>
      <c r="L591" s="54">
        <v>45</v>
      </c>
      <c r="M591" s="54">
        <v>100</v>
      </c>
      <c r="N591" s="54">
        <v>100</v>
      </c>
      <c r="O591" s="54">
        <v>100</v>
      </c>
      <c r="P591" s="54">
        <v>100</v>
      </c>
      <c r="Q591" s="54">
        <v>100</v>
      </c>
      <c r="R591" s="23"/>
      <c r="S591" s="117" t="str">
        <f t="shared" si="90"/>
        <v>N</v>
      </c>
      <c r="T591" s="114">
        <f>IFERROR(SUMIF('Current NLData'!A:A,'Payment Changes'!G591,'Current NLData'!K:K)/COUNTIF('Current NLData'!A:A,'Payment Changes'!G591),0)+IFERROR(VLOOKUP(G591&amp;"-ALL",NLPaymentExport,10,FALSE),0)</f>
        <v>100</v>
      </c>
      <c r="U591" s="118">
        <f t="shared" si="92"/>
        <v>0</v>
      </c>
    </row>
    <row r="592" spans="1:54" ht="17.100000000000001" hidden="1" customHeight="1" outlineLevel="1" x14ac:dyDescent="0.25">
      <c r="A592" s="3"/>
      <c r="B592" s="135"/>
      <c r="C592" s="30"/>
      <c r="D592" s="181"/>
      <c r="E592" s="94" t="str">
        <f t="shared" si="93"/>
        <v>Cinnaminson</v>
      </c>
      <c r="F592" s="93" t="str">
        <f t="shared" si="94"/>
        <v>CP138</v>
      </c>
      <c r="G592" s="99" t="str">
        <f t="shared" si="91"/>
        <v>CP138-NEW DONOR -7th</v>
      </c>
      <c r="H592" s="182"/>
      <c r="I592" s="81" t="s">
        <v>43</v>
      </c>
      <c r="J592" s="54">
        <v>40</v>
      </c>
      <c r="K592" s="54">
        <f t="shared" si="95"/>
        <v>40</v>
      </c>
      <c r="L592" s="54">
        <v>45</v>
      </c>
      <c r="M592" s="54">
        <v>100</v>
      </c>
      <c r="N592" s="54">
        <v>100</v>
      </c>
      <c r="O592" s="54">
        <v>100</v>
      </c>
      <c r="P592" s="54">
        <v>100</v>
      </c>
      <c r="Q592" s="54">
        <v>100</v>
      </c>
      <c r="R592" s="23"/>
      <c r="S592" s="117" t="str">
        <f t="shared" si="90"/>
        <v>N</v>
      </c>
      <c r="T592" s="114">
        <f>IFERROR(SUMIF('Current NLData'!A:A,'Payment Changes'!G592,'Current NLData'!K:K)/COUNTIF('Current NLData'!A:A,'Payment Changes'!G592),0)+IFERROR(VLOOKUP(G592&amp;"-ALL",NLPaymentExport,10,FALSE),0)</f>
        <v>100</v>
      </c>
      <c r="U592" s="118">
        <f t="shared" si="92"/>
        <v>0</v>
      </c>
    </row>
    <row r="593" spans="1:54" ht="17.100000000000001" hidden="1" customHeight="1" outlineLevel="1" x14ac:dyDescent="0.25">
      <c r="A593" s="3"/>
      <c r="B593" s="135"/>
      <c r="C593" s="30"/>
      <c r="D593" s="181"/>
      <c r="E593" s="94" t="str">
        <f t="shared" si="93"/>
        <v>Cinnaminson</v>
      </c>
      <c r="F593" s="93" t="str">
        <f t="shared" si="94"/>
        <v>CP138</v>
      </c>
      <c r="G593" s="99" t="str">
        <f t="shared" si="91"/>
        <v>CP138-NEW DONOR -8th</v>
      </c>
      <c r="H593" s="182"/>
      <c r="I593" s="81" t="s">
        <v>44</v>
      </c>
      <c r="J593" s="54">
        <v>40</v>
      </c>
      <c r="K593" s="54">
        <v>65</v>
      </c>
      <c r="L593" s="54">
        <v>45</v>
      </c>
      <c r="M593" s="54">
        <v>50</v>
      </c>
      <c r="N593" s="54">
        <v>50</v>
      </c>
      <c r="O593" s="54">
        <v>40</v>
      </c>
      <c r="P593" s="54">
        <v>40</v>
      </c>
      <c r="Q593" s="54">
        <v>40</v>
      </c>
      <c r="R593" s="23"/>
      <c r="S593" s="117" t="str">
        <f t="shared" si="90"/>
        <v>N</v>
      </c>
      <c r="T593" s="114">
        <f>IFERROR(SUMIF('Current NLData'!A:A,'Payment Changes'!G593,'Current NLData'!K:K)/COUNTIF('Current NLData'!A:A,'Payment Changes'!G593),0)+IFERROR(VLOOKUP(G593&amp;"-ALL",NLPaymentExport,10,FALSE),0)</f>
        <v>40</v>
      </c>
      <c r="U593" s="118">
        <f t="shared" si="92"/>
        <v>0</v>
      </c>
    </row>
    <row r="594" spans="1:54" ht="17.100000000000001" hidden="1" customHeight="1" outlineLevel="1" x14ac:dyDescent="0.25">
      <c r="A594" s="3"/>
      <c r="B594" s="135"/>
      <c r="C594" s="30"/>
      <c r="D594" s="181"/>
      <c r="E594" s="94" t="str">
        <f t="shared" si="93"/>
        <v>Cinnaminson</v>
      </c>
      <c r="F594" s="93" t="str">
        <f t="shared" si="94"/>
        <v>CP138</v>
      </c>
      <c r="G594" s="99" t="str">
        <f t="shared" si="91"/>
        <v>CP138-RETURN - 1st don of the week -STD</v>
      </c>
      <c r="H594" s="182"/>
      <c r="I594" s="82" t="s">
        <v>45</v>
      </c>
      <c r="J594" s="54">
        <v>40</v>
      </c>
      <c r="K594" s="54">
        <f t="shared" ref="K594:K600" si="96">J594</f>
        <v>40</v>
      </c>
      <c r="L594" s="54">
        <v>45</v>
      </c>
      <c r="M594" s="54">
        <v>50</v>
      </c>
      <c r="N594" s="54">
        <v>50</v>
      </c>
      <c r="O594" s="54">
        <v>40</v>
      </c>
      <c r="P594" s="54">
        <v>40</v>
      </c>
      <c r="Q594" s="54">
        <v>40</v>
      </c>
      <c r="R594" s="22"/>
      <c r="S594" s="117" t="str">
        <f t="shared" si="90"/>
        <v>N</v>
      </c>
      <c r="T594" s="114">
        <f>IFERROR(SUMIF('Current NLData'!A:A,'Payment Changes'!G594,'Current NLData'!K:K)/COUNTIF('Current NLData'!A:A,'Payment Changes'!G594),0)+IFERROR(VLOOKUP(G594&amp;"-ALL",NLPaymentExport,10,FALSE),0)</f>
        <v>40</v>
      </c>
      <c r="U594" s="118">
        <f t="shared" si="92"/>
        <v>0</v>
      </c>
    </row>
    <row r="595" spans="1:54" ht="17.100000000000001" hidden="1" customHeight="1" outlineLevel="1" x14ac:dyDescent="0.25">
      <c r="A595" s="3"/>
      <c r="B595" s="135"/>
      <c r="C595" s="30"/>
      <c r="D595" s="181"/>
      <c r="E595" s="94" t="str">
        <f t="shared" si="93"/>
        <v>Cinnaminson</v>
      </c>
      <c r="F595" s="93" t="str">
        <f t="shared" si="94"/>
        <v>CP138</v>
      </c>
      <c r="G595" s="99" t="str">
        <f t="shared" si="91"/>
        <v>CP138-RETURN - 2nd don of the week -BONUS</v>
      </c>
      <c r="H595" s="182"/>
      <c r="I595" s="82" t="s">
        <v>46</v>
      </c>
      <c r="J595" s="54">
        <v>25</v>
      </c>
      <c r="K595" s="54">
        <f t="shared" si="96"/>
        <v>25</v>
      </c>
      <c r="L595" s="54">
        <v>30</v>
      </c>
      <c r="M595" s="54">
        <v>30</v>
      </c>
      <c r="N595" s="54">
        <v>30</v>
      </c>
      <c r="O595" s="54">
        <v>50</v>
      </c>
      <c r="P595" s="54">
        <v>50</v>
      </c>
      <c r="Q595" s="54">
        <v>50</v>
      </c>
      <c r="R595" s="22"/>
      <c r="S595" s="117" t="str">
        <f t="shared" si="90"/>
        <v>N</v>
      </c>
      <c r="T595" s="114">
        <f>IFERROR(SUMIF('Current NLData'!A:A,'Payment Changes'!G595,'Current NLData'!K:K)/COUNTIF('Current NLData'!A:A,'Payment Changes'!G595),0)+IFERROR(VLOOKUP(G595&amp;"-ALL",NLPaymentExport,10,FALSE),0)</f>
        <v>50</v>
      </c>
      <c r="U595" s="118">
        <f t="shared" si="92"/>
        <v>0</v>
      </c>
    </row>
    <row r="596" spans="1:54" ht="17.100000000000001" hidden="1" customHeight="1" outlineLevel="1" x14ac:dyDescent="0.25">
      <c r="A596" s="3"/>
      <c r="B596" s="135"/>
      <c r="C596" s="30"/>
      <c r="D596" s="181"/>
      <c r="E596" s="94" t="str">
        <f t="shared" si="93"/>
        <v>Cinnaminson</v>
      </c>
      <c r="F596" s="93" t="str">
        <f t="shared" si="94"/>
        <v>CP138</v>
      </c>
      <c r="G596" s="99" t="str">
        <f t="shared" si="91"/>
        <v>CP138-RETURN - 5th don of the month -BONUS</v>
      </c>
      <c r="H596" s="182"/>
      <c r="I596" s="83" t="s">
        <v>47</v>
      </c>
      <c r="J596" s="54">
        <v>0</v>
      </c>
      <c r="K596" s="54">
        <f t="shared" si="96"/>
        <v>0</v>
      </c>
      <c r="L596" s="54">
        <v>0</v>
      </c>
      <c r="M596" s="54">
        <v>0</v>
      </c>
      <c r="N596" s="54">
        <v>0</v>
      </c>
      <c r="O596" s="54">
        <v>20</v>
      </c>
      <c r="P596" s="54">
        <v>20</v>
      </c>
      <c r="Q596" s="54">
        <v>20</v>
      </c>
      <c r="R596" s="22"/>
      <c r="S596" s="117" t="str">
        <f t="shared" si="90"/>
        <v>N</v>
      </c>
      <c r="T596" s="114">
        <f>IFERROR(SUMIF('Current NLData'!A:A,'Payment Changes'!G596,'Current NLData'!K:K)/COUNTIF('Current NLData'!A:A,'Payment Changes'!G596),0)+IFERROR(VLOOKUP(G596&amp;"-ALL",NLPaymentExport,10,FALSE),0)</f>
        <v>20</v>
      </c>
      <c r="U596" s="118">
        <f t="shared" si="92"/>
        <v>0</v>
      </c>
    </row>
    <row r="597" spans="1:54" ht="17.100000000000001" hidden="1" customHeight="1" outlineLevel="1" x14ac:dyDescent="0.25">
      <c r="A597" s="3"/>
      <c r="B597" s="135"/>
      <c r="C597" s="30"/>
      <c r="D597" s="181"/>
      <c r="E597" s="94" t="str">
        <f t="shared" si="93"/>
        <v>Cinnaminson</v>
      </c>
      <c r="F597" s="93" t="str">
        <f t="shared" si="94"/>
        <v>CP138</v>
      </c>
      <c r="G597" s="99" t="str">
        <f t="shared" si="91"/>
        <v>CP138-RETURN - 6th don of the month -BONUS</v>
      </c>
      <c r="H597" s="182"/>
      <c r="I597" s="83" t="s">
        <v>48</v>
      </c>
      <c r="J597" s="54">
        <v>20</v>
      </c>
      <c r="K597" s="54">
        <f t="shared" si="96"/>
        <v>20</v>
      </c>
      <c r="L597" s="54">
        <v>30</v>
      </c>
      <c r="M597" s="54">
        <v>30</v>
      </c>
      <c r="N597" s="54">
        <v>30</v>
      </c>
      <c r="O597" s="54">
        <v>20</v>
      </c>
      <c r="P597" s="54">
        <v>20</v>
      </c>
      <c r="Q597" s="54">
        <v>20</v>
      </c>
      <c r="R597" s="22"/>
      <c r="S597" s="117" t="str">
        <f t="shared" si="90"/>
        <v>N</v>
      </c>
      <c r="T597" s="114">
        <f>IFERROR(SUMIF('Current NLData'!A:A,'Payment Changes'!G597,'Current NLData'!K:K)/COUNTIF('Current NLData'!A:A,'Payment Changes'!G597),0)+IFERROR(VLOOKUP(G597&amp;"-ALL",NLPaymentExport,10,FALSE),0)</f>
        <v>20</v>
      </c>
      <c r="U597" s="118">
        <f t="shared" si="92"/>
        <v>0</v>
      </c>
    </row>
    <row r="598" spans="1:54" ht="17.100000000000001" hidden="1" customHeight="1" outlineLevel="1" x14ac:dyDescent="0.25">
      <c r="A598" s="3"/>
      <c r="B598" s="135"/>
      <c r="C598" s="30"/>
      <c r="D598" s="181"/>
      <c r="E598" s="94" t="str">
        <f t="shared" si="93"/>
        <v>Cinnaminson</v>
      </c>
      <c r="F598" s="93" t="str">
        <f t="shared" si="94"/>
        <v>CP138</v>
      </c>
      <c r="G598" s="99" t="str">
        <f t="shared" si="91"/>
        <v>CP138-RETURN - 7th don of the month -BONUS</v>
      </c>
      <c r="H598" s="182"/>
      <c r="I598" s="83" t="s">
        <v>49</v>
      </c>
      <c r="J598" s="54">
        <v>0</v>
      </c>
      <c r="K598" s="54">
        <f t="shared" si="96"/>
        <v>0</v>
      </c>
      <c r="L598" s="54">
        <v>0</v>
      </c>
      <c r="M598" s="54">
        <v>0</v>
      </c>
      <c r="N598" s="54">
        <v>0</v>
      </c>
      <c r="O598" s="54">
        <v>0</v>
      </c>
      <c r="P598" s="54">
        <v>0</v>
      </c>
      <c r="Q598" s="54">
        <v>0</v>
      </c>
      <c r="R598" s="22"/>
      <c r="S598" s="117" t="str">
        <f t="shared" si="90"/>
        <v>N</v>
      </c>
      <c r="T598" s="114">
        <f>IFERROR(SUMIF('Current NLData'!A:A,'Payment Changes'!G598,'Current NLData'!K:K)/COUNTIF('Current NLData'!A:A,'Payment Changes'!G598),0)+IFERROR(VLOOKUP(G598&amp;"-ALL",NLPaymentExport,10,FALSE),0)</f>
        <v>0</v>
      </c>
      <c r="U598" s="118">
        <f t="shared" si="92"/>
        <v>0</v>
      </c>
    </row>
    <row r="599" spans="1:54" ht="17.100000000000001" hidden="1" customHeight="1" outlineLevel="1" x14ac:dyDescent="0.25">
      <c r="A599" s="3"/>
      <c r="B599" s="135"/>
      <c r="C599" s="30"/>
      <c r="D599" s="181"/>
      <c r="E599" s="94" t="str">
        <f t="shared" si="93"/>
        <v>Cinnaminson</v>
      </c>
      <c r="F599" s="93" t="str">
        <f t="shared" si="94"/>
        <v>CP138</v>
      </c>
      <c r="G599" s="99" t="str">
        <f t="shared" si="91"/>
        <v>CP138-RETURN - 8th don of the month -BONUS</v>
      </c>
      <c r="H599" s="182"/>
      <c r="I599" s="83" t="s">
        <v>50</v>
      </c>
      <c r="J599" s="54">
        <v>20</v>
      </c>
      <c r="K599" s="54">
        <f t="shared" si="96"/>
        <v>20</v>
      </c>
      <c r="L599" s="54">
        <v>0</v>
      </c>
      <c r="M599" s="54">
        <v>0</v>
      </c>
      <c r="N599" s="54">
        <v>0</v>
      </c>
      <c r="O599" s="54">
        <v>0</v>
      </c>
      <c r="P599" s="54">
        <v>0</v>
      </c>
      <c r="Q599" s="54">
        <v>0</v>
      </c>
      <c r="R599" s="22"/>
      <c r="S599" s="117" t="str">
        <f t="shared" si="90"/>
        <v>N</v>
      </c>
      <c r="T599" s="114">
        <f>IFERROR(SUMIF('Current NLData'!A:A,'Payment Changes'!G599,'Current NLData'!K:K)/COUNTIF('Current NLData'!A:A,'Payment Changes'!G599),0)+IFERROR(VLOOKUP(G599&amp;"-ALL",NLPaymentExport,10,FALSE),0)</f>
        <v>0</v>
      </c>
      <c r="U599" s="118">
        <f t="shared" si="92"/>
        <v>0</v>
      </c>
    </row>
    <row r="600" spans="1:54" ht="17.100000000000001" hidden="1" customHeight="1" outlineLevel="1" x14ac:dyDescent="0.25">
      <c r="A600" s="3"/>
      <c r="B600" s="135"/>
      <c r="C600" s="30" t="str">
        <f>IF(J600=0,"Warning","")</f>
        <v/>
      </c>
      <c r="D600" s="188"/>
      <c r="E600" s="94" t="str">
        <f t="shared" si="93"/>
        <v>Cinnaminson</v>
      </c>
      <c r="F600" s="93" t="str">
        <f t="shared" si="94"/>
        <v>CP138</v>
      </c>
      <c r="G600" s="99" t="str">
        <f t="shared" si="91"/>
        <v>CP138-RETURN - Buddy referral  -BONUS</v>
      </c>
      <c r="H600" s="182"/>
      <c r="I600" s="83" t="s">
        <v>51</v>
      </c>
      <c r="J600" s="54">
        <v>50</v>
      </c>
      <c r="K600" s="54">
        <f t="shared" si="96"/>
        <v>50</v>
      </c>
      <c r="L600" s="54">
        <v>50</v>
      </c>
      <c r="M600" s="54">
        <v>50</v>
      </c>
      <c r="N600" s="54">
        <v>50</v>
      </c>
      <c r="O600" s="54">
        <v>50</v>
      </c>
      <c r="P600" s="54">
        <v>50</v>
      </c>
      <c r="Q600" s="54">
        <v>50</v>
      </c>
      <c r="R600" s="22"/>
      <c r="S600" s="117" t="str">
        <f t="shared" si="90"/>
        <v>N</v>
      </c>
      <c r="T600" s="114">
        <f>IFERROR(SUMIF('Current NLData'!A:A,'Payment Changes'!G600,'Current NLData'!K:K)/COUNTIF('Current NLData'!A:A,'Payment Changes'!G600),0)+IFERROR(VLOOKUP(G600&amp;"-ALL",NLPaymentExport,10,FALSE),0)</f>
        <v>50</v>
      </c>
      <c r="U600" s="118">
        <f t="shared" si="92"/>
        <v>0</v>
      </c>
    </row>
    <row r="601" spans="1:54" s="90" customFormat="1" ht="17.100000000000001" hidden="1" customHeight="1" collapsed="1" x14ac:dyDescent="0.35">
      <c r="A601" s="85"/>
      <c r="B601" s="85"/>
      <c r="C601" s="86"/>
      <c r="D601" s="87"/>
      <c r="E601" s="87"/>
      <c r="F601" s="87"/>
      <c r="G601" s="87"/>
      <c r="H601" s="96"/>
      <c r="I601" s="88"/>
      <c r="J601" s="89"/>
      <c r="K601" s="89"/>
      <c r="L601" s="89"/>
      <c r="M601" s="89"/>
      <c r="N601" s="89"/>
      <c r="O601" s="89"/>
      <c r="P601" s="89"/>
      <c r="Q601" s="89"/>
      <c r="R601" s="21"/>
      <c r="S601" s="117" t="str">
        <f t="shared" si="90"/>
        <v>N</v>
      </c>
      <c r="T601" s="114">
        <f>IFERROR(SUMIF('Current NLData'!A:A,'Payment Changes'!G601,'Current NLData'!K:K)/COUNTIF('Current NLData'!A:A,'Payment Changes'!G601),0)+IFERROR(VLOOKUP(G601&amp;"-ALL",NLPaymentExport,10,FALSE),0)</f>
        <v>0</v>
      </c>
      <c r="U601" s="118" t="str">
        <f t="shared" si="92"/>
        <v/>
      </c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</row>
    <row r="602" spans="1:54" s="10" customFormat="1" ht="17.100000000000001" hidden="1" customHeight="1" x14ac:dyDescent="0.25">
      <c r="A602" s="165">
        <v>31</v>
      </c>
      <c r="B602" s="168" t="s">
        <v>198</v>
      </c>
      <c r="C602" s="171" t="s">
        <v>53</v>
      </c>
      <c r="D602" s="174" t="s">
        <v>157</v>
      </c>
      <c r="E602" s="106" t="str">
        <f t="shared" si="93"/>
        <v>Norman</v>
      </c>
      <c r="F602" s="107" t="s">
        <v>199</v>
      </c>
      <c r="G602" s="108" t="str">
        <f t="shared" ref="G602:G620" si="97">F602&amp;"-"&amp;I602</f>
        <v>CP139-New Donor</v>
      </c>
      <c r="H602" s="177" t="s">
        <v>75</v>
      </c>
      <c r="I602" s="76" t="s">
        <v>23</v>
      </c>
      <c r="J602" s="40" t="s">
        <v>200</v>
      </c>
      <c r="K602" s="41" t="s">
        <v>201</v>
      </c>
      <c r="L602" s="41" t="s">
        <v>200</v>
      </c>
      <c r="M602" s="41" t="s">
        <v>202</v>
      </c>
      <c r="N602" s="40" t="s">
        <v>202</v>
      </c>
      <c r="O602" s="40" t="s">
        <v>202</v>
      </c>
      <c r="P602" s="40" t="s">
        <v>202</v>
      </c>
      <c r="Q602" s="40" t="s">
        <v>203</v>
      </c>
      <c r="R602" s="109"/>
      <c r="S602" s="117" t="str">
        <f t="shared" si="90"/>
        <v>Y</v>
      </c>
      <c r="T602" s="114">
        <f>IFERROR(SUMIF('Current NLData'!A:A,'Payment Changes'!G602,'Current NLData'!K:K)/COUNTIF('Current NLData'!A:A,'Payment Changes'!G602),0)+IFERROR(VLOOKUP(G602&amp;"-ALL",NLPaymentExport,10,FALSE),0)</f>
        <v>0</v>
      </c>
      <c r="U602" s="118" t="str">
        <f t="shared" si="92"/>
        <v/>
      </c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</row>
    <row r="603" spans="1:54" ht="17.100000000000001" hidden="1" customHeight="1" x14ac:dyDescent="0.25">
      <c r="A603" s="166"/>
      <c r="B603" s="169"/>
      <c r="C603" s="172"/>
      <c r="D603" s="175"/>
      <c r="E603" s="91" t="str">
        <f t="shared" si="93"/>
        <v>Norman</v>
      </c>
      <c r="F603" s="92" t="s">
        <v>199</v>
      </c>
      <c r="G603" s="98" t="str">
        <f t="shared" si="97"/>
        <v>CP139-Return Donor</v>
      </c>
      <c r="H603" s="178"/>
      <c r="I603" s="77" t="s">
        <v>29</v>
      </c>
      <c r="J603" s="43" t="s">
        <v>204</v>
      </c>
      <c r="K603" s="43" t="s">
        <v>204</v>
      </c>
      <c r="L603" s="44" t="s">
        <v>205</v>
      </c>
      <c r="M603" s="45" t="s">
        <v>205</v>
      </c>
      <c r="N603" s="43" t="s">
        <v>205</v>
      </c>
      <c r="O603" s="43" t="s">
        <v>205</v>
      </c>
      <c r="P603" s="43" t="s">
        <v>205</v>
      </c>
      <c r="Q603" s="43" t="s">
        <v>205</v>
      </c>
      <c r="R603" s="21"/>
      <c r="S603" s="117" t="str">
        <f t="shared" si="90"/>
        <v>N</v>
      </c>
      <c r="T603" s="114">
        <f>IFERROR(SUMIF('Current NLData'!A:A,'Payment Changes'!G603,'Current NLData'!K:K)/COUNTIF('Current NLData'!A:A,'Payment Changes'!G603),0)+IFERROR(VLOOKUP(G603&amp;"-ALL",NLPaymentExport,10,FALSE),0)</f>
        <v>0</v>
      </c>
      <c r="U603" s="118" t="str">
        <f t="shared" si="92"/>
        <v/>
      </c>
    </row>
    <row r="604" spans="1:54" ht="17.100000000000001" hidden="1" customHeight="1" x14ac:dyDescent="0.25">
      <c r="A604" s="166"/>
      <c r="B604" s="169"/>
      <c r="C604" s="172"/>
      <c r="D604" s="175"/>
      <c r="E604" s="91" t="str">
        <f t="shared" si="93"/>
        <v>Norman</v>
      </c>
      <c r="F604" s="92" t="s">
        <v>199</v>
      </c>
      <c r="G604" s="98" t="str">
        <f t="shared" si="97"/>
        <v>CP139-Retention Bonus</v>
      </c>
      <c r="H604" s="178"/>
      <c r="I604" s="78" t="s">
        <v>30</v>
      </c>
      <c r="J604" s="46" t="s">
        <v>206</v>
      </c>
      <c r="K604" s="46" t="s">
        <v>206</v>
      </c>
      <c r="L604" s="47" t="s">
        <v>196</v>
      </c>
      <c r="M604" s="48" t="s">
        <v>196</v>
      </c>
      <c r="N604" s="46" t="s">
        <v>196</v>
      </c>
      <c r="O604" s="46" t="s">
        <v>196</v>
      </c>
      <c r="P604" s="46" t="s">
        <v>196</v>
      </c>
      <c r="Q604" s="46" t="s">
        <v>196</v>
      </c>
      <c r="R604" s="21"/>
      <c r="S604" s="117" t="str">
        <f t="shared" si="90"/>
        <v>N</v>
      </c>
      <c r="T604" s="114">
        <f>IFERROR(SUMIF('Current NLData'!A:A,'Payment Changes'!G604,'Current NLData'!K:K)/COUNTIF('Current NLData'!A:A,'Payment Changes'!G604),0)+IFERROR(VLOOKUP(G604&amp;"-ALL",NLPaymentExport,10,FALSE),0)</f>
        <v>0</v>
      </c>
      <c r="U604" s="118" t="str">
        <f t="shared" si="92"/>
        <v/>
      </c>
    </row>
    <row r="605" spans="1:54" s="15" customFormat="1" ht="17.100000000000001" hidden="1" customHeight="1" x14ac:dyDescent="0.25">
      <c r="A605" s="167"/>
      <c r="B605" s="170"/>
      <c r="C605" s="173"/>
      <c r="D605" s="176"/>
      <c r="E605" s="110" t="str">
        <f t="shared" si="93"/>
        <v>Norman</v>
      </c>
      <c r="F605" s="111" t="s">
        <v>199</v>
      </c>
      <c r="G605" s="112" t="str">
        <f t="shared" si="97"/>
        <v>CP139-Referral</v>
      </c>
      <c r="H605" s="179"/>
      <c r="I605" s="79" t="s">
        <v>34</v>
      </c>
      <c r="J605" s="49">
        <v>50</v>
      </c>
      <c r="K605" s="49">
        <v>50</v>
      </c>
      <c r="L605" s="50">
        <v>50</v>
      </c>
      <c r="M605" s="51">
        <v>50</v>
      </c>
      <c r="N605" s="49">
        <v>50</v>
      </c>
      <c r="O605" s="49">
        <v>50</v>
      </c>
      <c r="P605" s="49">
        <v>50</v>
      </c>
      <c r="Q605" s="49">
        <v>50</v>
      </c>
      <c r="R605" s="113"/>
      <c r="S605" s="117" t="str">
        <f t="shared" si="90"/>
        <v>N</v>
      </c>
      <c r="T605" s="114">
        <f>IFERROR(SUMIF('Current NLData'!A:A,'Payment Changes'!G605,'Current NLData'!K:K)/COUNTIF('Current NLData'!A:A,'Payment Changes'!G605),0)+IFERROR(VLOOKUP(G605&amp;"-ALL",NLPaymentExport,10,FALSE),0)</f>
        <v>0</v>
      </c>
      <c r="U605" s="118" t="str">
        <f t="shared" si="92"/>
        <v/>
      </c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</row>
    <row r="606" spans="1:54" ht="17.100000000000001" hidden="1" customHeight="1" outlineLevel="1" x14ac:dyDescent="0.25">
      <c r="A606" s="3"/>
      <c r="C606" s="4"/>
      <c r="D606" s="180" t="s">
        <v>199</v>
      </c>
      <c r="E606" s="91" t="str">
        <f t="shared" si="93"/>
        <v>Norman</v>
      </c>
      <c r="F606" s="93" t="str">
        <f t="shared" si="94"/>
        <v>CP139</v>
      </c>
      <c r="G606" s="99" t="str">
        <f t="shared" si="97"/>
        <v>CP139-NEW DONOR -1st</v>
      </c>
      <c r="H606" s="182" t="s">
        <v>36</v>
      </c>
      <c r="I606" s="33" t="s">
        <v>37</v>
      </c>
      <c r="J606" s="60">
        <v>100</v>
      </c>
      <c r="K606" s="61">
        <v>100</v>
      </c>
      <c r="L606" s="60">
        <v>100</v>
      </c>
      <c r="M606" s="60">
        <v>100</v>
      </c>
      <c r="N606" s="60">
        <v>100</v>
      </c>
      <c r="O606" s="60">
        <v>100</v>
      </c>
      <c r="P606" s="60">
        <v>100</v>
      </c>
      <c r="Q606" s="60">
        <v>125</v>
      </c>
      <c r="R606" s="23"/>
      <c r="S606" s="117" t="str">
        <f t="shared" si="90"/>
        <v>Y</v>
      </c>
      <c r="T606" s="114">
        <f>IFERROR(SUMIF('Current NLData'!A:A,'Payment Changes'!G606,'Current NLData'!K:K)/COUNTIF('Current NLData'!A:A,'Payment Changes'!G606),0)+IFERROR(VLOOKUP(G606&amp;"-ALL",NLPaymentExport,10,FALSE),0)</f>
        <v>100</v>
      </c>
      <c r="U606" s="118">
        <f t="shared" si="92"/>
        <v>-25</v>
      </c>
    </row>
    <row r="607" spans="1:54" ht="17.100000000000001" hidden="1" customHeight="1" outlineLevel="1" x14ac:dyDescent="0.25">
      <c r="A607" s="3"/>
      <c r="C607" s="4"/>
      <c r="D607" s="181"/>
      <c r="E607" s="91" t="str">
        <f t="shared" si="93"/>
        <v>Norman</v>
      </c>
      <c r="F607" s="93" t="str">
        <f t="shared" si="94"/>
        <v>CP139</v>
      </c>
      <c r="G607" s="99" t="str">
        <f t="shared" si="97"/>
        <v>CP139-NEW DONOR -2nd</v>
      </c>
      <c r="H607" s="182"/>
      <c r="I607" s="34" t="s">
        <v>38</v>
      </c>
      <c r="J607" s="58">
        <v>100</v>
      </c>
      <c r="K607" s="62">
        <v>100</v>
      </c>
      <c r="L607" s="58">
        <v>100</v>
      </c>
      <c r="M607" s="58">
        <v>100</v>
      </c>
      <c r="N607" s="58">
        <v>100</v>
      </c>
      <c r="O607" s="58">
        <v>100</v>
      </c>
      <c r="P607" s="58">
        <v>100</v>
      </c>
      <c r="Q607" s="58">
        <v>125</v>
      </c>
      <c r="R607" s="23"/>
      <c r="S607" s="117" t="str">
        <f t="shared" si="90"/>
        <v>Y</v>
      </c>
      <c r="T607" s="114">
        <f>IFERROR(SUMIF('Current NLData'!A:A,'Payment Changes'!G607,'Current NLData'!K:K)/COUNTIF('Current NLData'!A:A,'Payment Changes'!G607),0)+IFERROR(VLOOKUP(G607&amp;"-ALL",NLPaymentExport,10,FALSE),0)</f>
        <v>100</v>
      </c>
      <c r="U607" s="118">
        <f t="shared" si="92"/>
        <v>-25</v>
      </c>
    </row>
    <row r="608" spans="1:54" ht="17.100000000000001" hidden="1" customHeight="1" outlineLevel="1" x14ac:dyDescent="0.25">
      <c r="A608" s="3"/>
      <c r="C608" s="4"/>
      <c r="D608" s="181"/>
      <c r="E608" s="91" t="str">
        <f t="shared" si="93"/>
        <v>Norman</v>
      </c>
      <c r="F608" s="93" t="str">
        <f t="shared" si="94"/>
        <v>CP139</v>
      </c>
      <c r="G608" s="99" t="str">
        <f t="shared" si="97"/>
        <v>CP139-NEW DONOR -3rd</v>
      </c>
      <c r="H608" s="182"/>
      <c r="I608" s="34" t="s">
        <v>39</v>
      </c>
      <c r="J608" s="58">
        <v>100</v>
      </c>
      <c r="K608" s="62">
        <v>100</v>
      </c>
      <c r="L608" s="58">
        <v>100</v>
      </c>
      <c r="M608" s="58">
        <v>100</v>
      </c>
      <c r="N608" s="58">
        <v>100</v>
      </c>
      <c r="O608" s="58">
        <v>100</v>
      </c>
      <c r="P608" s="58">
        <v>100</v>
      </c>
      <c r="Q608" s="58">
        <v>125</v>
      </c>
      <c r="R608" s="23"/>
      <c r="S608" s="117" t="str">
        <f t="shared" si="90"/>
        <v>Y</v>
      </c>
      <c r="T608" s="114">
        <f>IFERROR(SUMIF('Current NLData'!A:A,'Payment Changes'!G608,'Current NLData'!K:K)/COUNTIF('Current NLData'!A:A,'Payment Changes'!G608),0)+IFERROR(VLOOKUP(G608&amp;"-ALL",NLPaymentExport,10,FALSE),0)</f>
        <v>100</v>
      </c>
      <c r="U608" s="118">
        <f t="shared" si="92"/>
        <v>-25</v>
      </c>
    </row>
    <row r="609" spans="1:54" ht="17.100000000000001" hidden="1" customHeight="1" outlineLevel="1" x14ac:dyDescent="0.25">
      <c r="A609" s="3"/>
      <c r="C609" s="4"/>
      <c r="D609" s="181"/>
      <c r="E609" s="91" t="str">
        <f t="shared" si="93"/>
        <v>Norman</v>
      </c>
      <c r="F609" s="93" t="str">
        <f t="shared" si="94"/>
        <v>CP139</v>
      </c>
      <c r="G609" s="99" t="str">
        <f t="shared" si="97"/>
        <v>CP139-NEW DONOR -4th</v>
      </c>
      <c r="H609" s="182"/>
      <c r="I609" s="34" t="s">
        <v>40</v>
      </c>
      <c r="J609" s="58">
        <v>100</v>
      </c>
      <c r="K609" s="62">
        <v>100</v>
      </c>
      <c r="L609" s="58">
        <v>100</v>
      </c>
      <c r="M609" s="58">
        <v>100</v>
      </c>
      <c r="N609" s="58">
        <v>100</v>
      </c>
      <c r="O609" s="58">
        <v>100</v>
      </c>
      <c r="P609" s="58">
        <v>100</v>
      </c>
      <c r="Q609" s="58">
        <v>45</v>
      </c>
      <c r="R609" s="23"/>
      <c r="S609" s="117" t="str">
        <f t="shared" si="90"/>
        <v>Y</v>
      </c>
      <c r="T609" s="114">
        <f>IFERROR(SUMIF('Current NLData'!A:A,'Payment Changes'!G609,'Current NLData'!K:K)/COUNTIF('Current NLData'!A:A,'Payment Changes'!G609),0)+IFERROR(VLOOKUP(G609&amp;"-ALL",NLPaymentExport,10,FALSE),0)</f>
        <v>100</v>
      </c>
      <c r="U609" s="118">
        <f t="shared" si="92"/>
        <v>55</v>
      </c>
    </row>
    <row r="610" spans="1:54" ht="17.100000000000001" hidden="1" customHeight="1" outlineLevel="1" x14ac:dyDescent="0.25">
      <c r="A610" s="3"/>
      <c r="C610" s="4"/>
      <c r="D610" s="181"/>
      <c r="E610" s="91" t="str">
        <f t="shared" si="93"/>
        <v>Norman</v>
      </c>
      <c r="F610" s="93" t="str">
        <f t="shared" si="94"/>
        <v>CP139</v>
      </c>
      <c r="G610" s="99" t="str">
        <f t="shared" si="97"/>
        <v>CP139-NEW DONOR -5th</v>
      </c>
      <c r="H610" s="182"/>
      <c r="I610" s="34" t="s">
        <v>41</v>
      </c>
      <c r="J610" s="58">
        <v>100</v>
      </c>
      <c r="K610" s="62">
        <v>100</v>
      </c>
      <c r="L610" s="58">
        <v>100</v>
      </c>
      <c r="M610" s="58">
        <v>100</v>
      </c>
      <c r="N610" s="58">
        <v>100</v>
      </c>
      <c r="O610" s="58">
        <v>100</v>
      </c>
      <c r="P610" s="58">
        <v>100</v>
      </c>
      <c r="Q610" s="58">
        <v>45</v>
      </c>
      <c r="R610" s="23"/>
      <c r="S610" s="117" t="str">
        <f t="shared" si="90"/>
        <v>Y</v>
      </c>
      <c r="T610" s="114">
        <f>IFERROR(SUMIF('Current NLData'!A:A,'Payment Changes'!G610,'Current NLData'!K:K)/COUNTIF('Current NLData'!A:A,'Payment Changes'!G610),0)+IFERROR(VLOOKUP(G610&amp;"-ALL",NLPaymentExport,10,FALSE),0)</f>
        <v>100</v>
      </c>
      <c r="U610" s="118">
        <f t="shared" si="92"/>
        <v>55</v>
      </c>
    </row>
    <row r="611" spans="1:54" ht="17.100000000000001" hidden="1" customHeight="1" outlineLevel="1" x14ac:dyDescent="0.25">
      <c r="A611" s="3"/>
      <c r="C611" s="4"/>
      <c r="D611" s="181"/>
      <c r="E611" s="91" t="str">
        <f t="shared" si="93"/>
        <v>Norman</v>
      </c>
      <c r="F611" s="93" t="str">
        <f t="shared" si="94"/>
        <v>CP139</v>
      </c>
      <c r="G611" s="99" t="str">
        <f t="shared" si="97"/>
        <v>CP139-NEW DONOR -6th</v>
      </c>
      <c r="H611" s="182"/>
      <c r="I611" s="34" t="s">
        <v>42</v>
      </c>
      <c r="J611" s="58">
        <v>40</v>
      </c>
      <c r="K611" s="62">
        <v>40</v>
      </c>
      <c r="L611" s="58">
        <v>45</v>
      </c>
      <c r="M611" s="58">
        <v>100</v>
      </c>
      <c r="N611" s="58">
        <v>100</v>
      </c>
      <c r="O611" s="58">
        <v>100</v>
      </c>
      <c r="P611" s="58">
        <v>100</v>
      </c>
      <c r="Q611" s="58">
        <v>45</v>
      </c>
      <c r="R611" s="23"/>
      <c r="S611" s="117" t="str">
        <f t="shared" si="90"/>
        <v>Y</v>
      </c>
      <c r="T611" s="114">
        <f>IFERROR(SUMIF('Current NLData'!A:A,'Payment Changes'!G611,'Current NLData'!K:K)/COUNTIF('Current NLData'!A:A,'Payment Changes'!G611),0)+IFERROR(VLOOKUP(G611&amp;"-ALL",NLPaymentExport,10,FALSE),0)</f>
        <v>100</v>
      </c>
      <c r="U611" s="118">
        <f t="shared" si="92"/>
        <v>55</v>
      </c>
    </row>
    <row r="612" spans="1:54" ht="17.100000000000001" hidden="1" customHeight="1" outlineLevel="1" x14ac:dyDescent="0.25">
      <c r="A612" s="3"/>
      <c r="C612" s="4"/>
      <c r="D612" s="181"/>
      <c r="E612" s="91" t="str">
        <f t="shared" si="93"/>
        <v>Norman</v>
      </c>
      <c r="F612" s="93" t="str">
        <f t="shared" si="94"/>
        <v>CP139</v>
      </c>
      <c r="G612" s="99" t="str">
        <f t="shared" si="97"/>
        <v>CP139-NEW DONOR -7th</v>
      </c>
      <c r="H612" s="182"/>
      <c r="I612" s="34" t="s">
        <v>43</v>
      </c>
      <c r="J612" s="58">
        <v>40</v>
      </c>
      <c r="K612" s="62">
        <v>60</v>
      </c>
      <c r="L612" s="58">
        <v>45</v>
      </c>
      <c r="M612" s="58">
        <v>45</v>
      </c>
      <c r="N612" s="58">
        <v>45</v>
      </c>
      <c r="O612" s="58">
        <v>45</v>
      </c>
      <c r="P612" s="58">
        <v>45</v>
      </c>
      <c r="Q612" s="58">
        <v>45</v>
      </c>
      <c r="R612" s="23"/>
      <c r="S612" s="117" t="str">
        <f t="shared" si="90"/>
        <v>N</v>
      </c>
      <c r="T612" s="114">
        <f>IFERROR(SUMIF('Current NLData'!A:A,'Payment Changes'!G612,'Current NLData'!K:K)/COUNTIF('Current NLData'!A:A,'Payment Changes'!G612),0)+IFERROR(VLOOKUP(G612&amp;"-ALL",NLPaymentExport,10,FALSE),0)</f>
        <v>45</v>
      </c>
      <c r="U612" s="118">
        <f t="shared" si="92"/>
        <v>0</v>
      </c>
    </row>
    <row r="613" spans="1:54" ht="17.100000000000001" hidden="1" customHeight="1" outlineLevel="1" x14ac:dyDescent="0.25">
      <c r="A613" s="3"/>
      <c r="C613" s="4"/>
      <c r="D613" s="181"/>
      <c r="E613" s="91" t="str">
        <f t="shared" si="93"/>
        <v>Norman</v>
      </c>
      <c r="F613" s="93" t="str">
        <f t="shared" si="94"/>
        <v>CP139</v>
      </c>
      <c r="G613" s="99" t="str">
        <f t="shared" si="97"/>
        <v>CP139-NEW DONOR -8th</v>
      </c>
      <c r="H613" s="182"/>
      <c r="I613" s="35" t="s">
        <v>44</v>
      </c>
      <c r="J613" s="63">
        <v>40</v>
      </c>
      <c r="K613" s="64">
        <v>40</v>
      </c>
      <c r="L613" s="63">
        <v>45</v>
      </c>
      <c r="M613" s="63">
        <v>45</v>
      </c>
      <c r="N613" s="63">
        <v>45</v>
      </c>
      <c r="O613" s="63">
        <v>45</v>
      </c>
      <c r="P613" s="63">
        <v>45</v>
      </c>
      <c r="Q613" s="63">
        <v>45</v>
      </c>
      <c r="R613" s="23"/>
      <c r="S613" s="117" t="str">
        <f t="shared" si="90"/>
        <v>N</v>
      </c>
      <c r="T613" s="114">
        <f>IFERROR(SUMIF('Current NLData'!A:A,'Payment Changes'!G613,'Current NLData'!K:K)/COUNTIF('Current NLData'!A:A,'Payment Changes'!G613),0)+IFERROR(VLOOKUP(G613&amp;"-ALL",NLPaymentExport,10,FALSE),0)</f>
        <v>45</v>
      </c>
      <c r="U613" s="118">
        <f t="shared" si="92"/>
        <v>0</v>
      </c>
    </row>
    <row r="614" spans="1:54" ht="17.100000000000001" hidden="1" customHeight="1" outlineLevel="1" x14ac:dyDescent="0.25">
      <c r="A614" s="3"/>
      <c r="C614" s="4"/>
      <c r="D614" s="181"/>
      <c r="E614" s="91" t="str">
        <f t="shared" si="93"/>
        <v>Norman</v>
      </c>
      <c r="F614" s="93" t="str">
        <f t="shared" si="94"/>
        <v>CP139</v>
      </c>
      <c r="G614" s="99" t="str">
        <f t="shared" si="97"/>
        <v>CP139-RETURN - 1st don of the week -STD</v>
      </c>
      <c r="H614" s="182"/>
      <c r="I614" s="36" t="s">
        <v>45</v>
      </c>
      <c r="J614" s="58">
        <v>40</v>
      </c>
      <c r="K614" s="58">
        <v>40</v>
      </c>
      <c r="L614" s="58">
        <v>45</v>
      </c>
      <c r="M614" s="58">
        <v>45</v>
      </c>
      <c r="N614" s="58">
        <v>45</v>
      </c>
      <c r="O614" s="58">
        <v>45</v>
      </c>
      <c r="P614" s="58">
        <v>45</v>
      </c>
      <c r="Q614" s="58">
        <v>45</v>
      </c>
      <c r="R614" s="22"/>
      <c r="S614" s="117" t="str">
        <f t="shared" si="90"/>
        <v>N</v>
      </c>
      <c r="T614" s="114">
        <f>IFERROR(SUMIF('Current NLData'!A:A,'Payment Changes'!G614,'Current NLData'!K:K)/COUNTIF('Current NLData'!A:A,'Payment Changes'!G614),0)+IFERROR(VLOOKUP(G614&amp;"-ALL",NLPaymentExport,10,FALSE),0)</f>
        <v>45</v>
      </c>
      <c r="U614" s="118">
        <f t="shared" si="92"/>
        <v>0</v>
      </c>
    </row>
    <row r="615" spans="1:54" ht="17.100000000000001" hidden="1" customHeight="1" outlineLevel="1" x14ac:dyDescent="0.25">
      <c r="A615" s="3"/>
      <c r="C615" s="4"/>
      <c r="D615" s="181"/>
      <c r="E615" s="91" t="str">
        <f t="shared" si="93"/>
        <v>Norman</v>
      </c>
      <c r="F615" s="93" t="str">
        <f t="shared" si="94"/>
        <v>CP139</v>
      </c>
      <c r="G615" s="99" t="str">
        <f t="shared" si="97"/>
        <v>CP139-RETURN - 2nd don of the week -BONUS</v>
      </c>
      <c r="H615" s="182"/>
      <c r="I615" s="36" t="s">
        <v>46</v>
      </c>
      <c r="J615" s="58">
        <v>20</v>
      </c>
      <c r="K615" s="58">
        <v>20</v>
      </c>
      <c r="L615" s="58">
        <v>20</v>
      </c>
      <c r="M615" s="58">
        <v>20</v>
      </c>
      <c r="N615" s="58">
        <v>20</v>
      </c>
      <c r="O615" s="58">
        <v>20</v>
      </c>
      <c r="P615" s="58">
        <v>20</v>
      </c>
      <c r="Q615" s="58">
        <v>20</v>
      </c>
      <c r="R615" s="22"/>
      <c r="S615" s="117" t="str">
        <f t="shared" si="90"/>
        <v>N</v>
      </c>
      <c r="T615" s="114">
        <f>IFERROR(SUMIF('Current NLData'!A:A,'Payment Changes'!G615,'Current NLData'!K:K)/COUNTIF('Current NLData'!A:A,'Payment Changes'!G615),0)+IFERROR(VLOOKUP(G615&amp;"-ALL",NLPaymentExport,10,FALSE),0)</f>
        <v>20</v>
      </c>
      <c r="U615" s="118">
        <f t="shared" si="92"/>
        <v>0</v>
      </c>
    </row>
    <row r="616" spans="1:54" ht="17.100000000000001" hidden="1" customHeight="1" outlineLevel="1" x14ac:dyDescent="0.25">
      <c r="A616" s="3"/>
      <c r="C616" s="4"/>
      <c r="D616" s="181"/>
      <c r="E616" s="91" t="str">
        <f t="shared" si="93"/>
        <v>Norman</v>
      </c>
      <c r="F616" s="93" t="str">
        <f t="shared" si="94"/>
        <v>CP139</v>
      </c>
      <c r="G616" s="99" t="str">
        <f t="shared" si="97"/>
        <v>CP139-RETURN - 5th don of the month -BONUS</v>
      </c>
      <c r="H616" s="182"/>
      <c r="I616" s="37" t="s">
        <v>47</v>
      </c>
      <c r="J616" s="65">
        <v>0</v>
      </c>
      <c r="K616" s="65">
        <v>0</v>
      </c>
      <c r="L616" s="65">
        <v>0</v>
      </c>
      <c r="M616" s="65">
        <v>0</v>
      </c>
      <c r="N616" s="65">
        <v>0</v>
      </c>
      <c r="O616" s="65">
        <v>0</v>
      </c>
      <c r="P616" s="65">
        <v>0</v>
      </c>
      <c r="Q616" s="65">
        <v>0</v>
      </c>
      <c r="R616" s="22"/>
      <c r="S616" s="117" t="str">
        <f t="shared" si="90"/>
        <v>N</v>
      </c>
      <c r="T616" s="114">
        <f>IFERROR(SUMIF('Current NLData'!A:A,'Payment Changes'!G616,'Current NLData'!K:K)/COUNTIF('Current NLData'!A:A,'Payment Changes'!G616),0)+IFERROR(VLOOKUP(G616&amp;"-ALL",NLPaymentExport,10,FALSE),0)</f>
        <v>0</v>
      </c>
      <c r="U616" s="118">
        <f t="shared" si="92"/>
        <v>0</v>
      </c>
    </row>
    <row r="617" spans="1:54" ht="17.100000000000001" hidden="1" customHeight="1" outlineLevel="1" x14ac:dyDescent="0.25">
      <c r="A617" s="3"/>
      <c r="C617" s="4"/>
      <c r="D617" s="181"/>
      <c r="E617" s="91" t="str">
        <f t="shared" si="93"/>
        <v>Norman</v>
      </c>
      <c r="F617" s="93" t="str">
        <f t="shared" si="94"/>
        <v>CP139</v>
      </c>
      <c r="G617" s="99" t="str">
        <f t="shared" si="97"/>
        <v>CP139-RETURN - 6th don of the month -BONUS</v>
      </c>
      <c r="H617" s="182"/>
      <c r="I617" s="38" t="s">
        <v>48</v>
      </c>
      <c r="J617" s="58">
        <v>0</v>
      </c>
      <c r="K617" s="58">
        <v>0</v>
      </c>
      <c r="L617" s="58">
        <v>30</v>
      </c>
      <c r="M617" s="58">
        <v>30</v>
      </c>
      <c r="N617" s="58">
        <v>30</v>
      </c>
      <c r="O617" s="58">
        <v>30</v>
      </c>
      <c r="P617" s="58">
        <v>30</v>
      </c>
      <c r="Q617" s="58">
        <v>30</v>
      </c>
      <c r="R617" s="22"/>
      <c r="S617" s="117" t="str">
        <f t="shared" si="90"/>
        <v>N</v>
      </c>
      <c r="T617" s="114">
        <f>IFERROR(SUMIF('Current NLData'!A:A,'Payment Changes'!G617,'Current NLData'!K:K)/COUNTIF('Current NLData'!A:A,'Payment Changes'!G617),0)+IFERROR(VLOOKUP(G617&amp;"-ALL",NLPaymentExport,10,FALSE),0)</f>
        <v>30</v>
      </c>
      <c r="U617" s="118">
        <f t="shared" si="92"/>
        <v>0</v>
      </c>
    </row>
    <row r="618" spans="1:54" ht="17.100000000000001" hidden="1" customHeight="1" outlineLevel="1" x14ac:dyDescent="0.25">
      <c r="A618" s="3"/>
      <c r="C618" s="4"/>
      <c r="D618" s="181"/>
      <c r="E618" s="91" t="str">
        <f t="shared" si="93"/>
        <v>Norman</v>
      </c>
      <c r="F618" s="93" t="str">
        <f t="shared" si="94"/>
        <v>CP139</v>
      </c>
      <c r="G618" s="99" t="str">
        <f t="shared" si="97"/>
        <v>CP139-RETURN - 7th don of the month -BONUS</v>
      </c>
      <c r="H618" s="182"/>
      <c r="I618" s="38" t="s">
        <v>49</v>
      </c>
      <c r="J618" s="58">
        <v>25</v>
      </c>
      <c r="K618" s="58">
        <v>25</v>
      </c>
      <c r="L618" s="58">
        <v>0</v>
      </c>
      <c r="M618" s="58">
        <v>0</v>
      </c>
      <c r="N618" s="58">
        <v>0</v>
      </c>
      <c r="O618" s="58">
        <v>0</v>
      </c>
      <c r="P618" s="58">
        <v>0</v>
      </c>
      <c r="Q618" s="58">
        <v>0</v>
      </c>
      <c r="R618" s="22"/>
      <c r="S618" s="117" t="str">
        <f t="shared" si="90"/>
        <v>N</v>
      </c>
      <c r="T618" s="114">
        <f>IFERROR(SUMIF('Current NLData'!A:A,'Payment Changes'!G618,'Current NLData'!K:K)/COUNTIF('Current NLData'!A:A,'Payment Changes'!G618),0)+IFERROR(VLOOKUP(G618&amp;"-ALL",NLPaymentExport,10,FALSE),0)</f>
        <v>0</v>
      </c>
      <c r="U618" s="118">
        <f t="shared" si="92"/>
        <v>0</v>
      </c>
    </row>
    <row r="619" spans="1:54" ht="17.100000000000001" hidden="1" customHeight="1" outlineLevel="1" x14ac:dyDescent="0.25">
      <c r="A619" s="3"/>
      <c r="C619" s="4"/>
      <c r="D619" s="181"/>
      <c r="E619" s="91" t="str">
        <f t="shared" si="93"/>
        <v>Norman</v>
      </c>
      <c r="F619" s="93" t="str">
        <f t="shared" si="94"/>
        <v>CP139</v>
      </c>
      <c r="G619" s="99" t="str">
        <f t="shared" si="97"/>
        <v>CP139-RETURN - 8th don of the month -BONUS</v>
      </c>
      <c r="H619" s="182"/>
      <c r="I619" s="38" t="s">
        <v>50</v>
      </c>
      <c r="J619" s="58">
        <v>0</v>
      </c>
      <c r="K619" s="58">
        <v>0</v>
      </c>
      <c r="L619" s="58">
        <v>0</v>
      </c>
      <c r="M619" s="58">
        <v>0</v>
      </c>
      <c r="N619" s="58">
        <v>0</v>
      </c>
      <c r="O619" s="58">
        <v>0</v>
      </c>
      <c r="P619" s="58">
        <v>0</v>
      </c>
      <c r="Q619" s="58">
        <v>0</v>
      </c>
      <c r="R619" s="22"/>
      <c r="S619" s="117" t="str">
        <f t="shared" si="90"/>
        <v>N</v>
      </c>
      <c r="T619" s="114">
        <f>IFERROR(SUMIF('Current NLData'!A:A,'Payment Changes'!G619,'Current NLData'!K:K)/COUNTIF('Current NLData'!A:A,'Payment Changes'!G619),0)+IFERROR(VLOOKUP(G619&amp;"-ALL",NLPaymentExport,10,FALSE),0)</f>
        <v>0</v>
      </c>
      <c r="U619" s="118">
        <f t="shared" si="92"/>
        <v>0</v>
      </c>
    </row>
    <row r="620" spans="1:54" ht="17.100000000000001" hidden="1" customHeight="1" outlineLevel="1" x14ac:dyDescent="0.25">
      <c r="A620" s="3"/>
      <c r="C620" s="4" t="str">
        <f>IF(J620=0,"Warning","")</f>
        <v/>
      </c>
      <c r="D620" s="181"/>
      <c r="E620" s="91" t="str">
        <f t="shared" si="93"/>
        <v>Norman</v>
      </c>
      <c r="F620" s="93" t="str">
        <f t="shared" si="94"/>
        <v>CP139</v>
      </c>
      <c r="G620" s="99" t="str">
        <f t="shared" si="97"/>
        <v>CP139-RETURN - Buddy referral  -BONUS</v>
      </c>
      <c r="H620" s="182"/>
      <c r="I620" s="39" t="s">
        <v>51</v>
      </c>
      <c r="J620" s="58">
        <v>50</v>
      </c>
      <c r="K620" s="58">
        <v>50</v>
      </c>
      <c r="L620" s="58">
        <v>50</v>
      </c>
      <c r="M620" s="58">
        <v>50</v>
      </c>
      <c r="N620" s="58">
        <v>50</v>
      </c>
      <c r="O620" s="58">
        <v>50</v>
      </c>
      <c r="P620" s="58">
        <v>50</v>
      </c>
      <c r="Q620" s="58">
        <v>50</v>
      </c>
      <c r="R620" s="22"/>
      <c r="S620" s="117" t="str">
        <f t="shared" si="90"/>
        <v>N</v>
      </c>
      <c r="T620" s="114">
        <f>IFERROR(SUMIF('Current NLData'!A:A,'Payment Changes'!G620,'Current NLData'!K:K)/COUNTIF('Current NLData'!A:A,'Payment Changes'!G620),0)+IFERROR(VLOOKUP(G620&amp;"-ALL",NLPaymentExport,10,FALSE),0)</f>
        <v>50</v>
      </c>
      <c r="U620" s="118">
        <f t="shared" si="92"/>
        <v>0</v>
      </c>
    </row>
    <row r="621" spans="1:54" s="90" customFormat="1" ht="17.100000000000001" hidden="1" customHeight="1" collapsed="1" x14ac:dyDescent="0.35">
      <c r="A621" s="85"/>
      <c r="B621" s="85"/>
      <c r="C621" s="86"/>
      <c r="D621" s="87"/>
      <c r="E621" s="87"/>
      <c r="F621" s="87"/>
      <c r="G621" s="87"/>
      <c r="H621" s="96"/>
      <c r="I621" s="88"/>
      <c r="J621" s="89"/>
      <c r="K621" s="89"/>
      <c r="L621" s="89"/>
      <c r="M621" s="89"/>
      <c r="N621" s="89"/>
      <c r="O621" s="89"/>
      <c r="P621" s="89"/>
      <c r="Q621" s="89"/>
      <c r="R621" s="21"/>
      <c r="S621" s="117" t="str">
        <f t="shared" si="90"/>
        <v>N</v>
      </c>
      <c r="T621" s="114">
        <f>IFERROR(SUMIF('Current NLData'!A:A,'Payment Changes'!G621,'Current NLData'!K:K)/COUNTIF('Current NLData'!A:A,'Payment Changes'!G621),0)+IFERROR(VLOOKUP(G621&amp;"-ALL",NLPaymentExport,10,FALSE),0)</f>
        <v>0</v>
      </c>
      <c r="U621" s="118" t="str">
        <f t="shared" si="92"/>
        <v/>
      </c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</row>
    <row r="622" spans="1:54" s="10" customFormat="1" ht="17.100000000000001" hidden="1" customHeight="1" x14ac:dyDescent="0.25">
      <c r="A622" s="165">
        <v>32</v>
      </c>
      <c r="B622" s="168" t="s">
        <v>207</v>
      </c>
      <c r="C622" s="171" t="s">
        <v>19</v>
      </c>
      <c r="D622" s="174" t="s">
        <v>157</v>
      </c>
      <c r="E622" s="106" t="str">
        <f t="shared" si="93"/>
        <v>Irving</v>
      </c>
      <c r="F622" s="107" t="s">
        <v>208</v>
      </c>
      <c r="G622" s="108" t="str">
        <f t="shared" ref="G622:G640" si="98">F622&amp;"-"&amp;I622</f>
        <v>CP869-New Donor</v>
      </c>
      <c r="H622" s="177" t="s">
        <v>75</v>
      </c>
      <c r="I622" s="76" t="s">
        <v>23</v>
      </c>
      <c r="J622" s="40" t="s">
        <v>209</v>
      </c>
      <c r="K622" s="41" t="s">
        <v>210</v>
      </c>
      <c r="L622" s="41" t="s">
        <v>211</v>
      </c>
      <c r="M622" s="42" t="s">
        <v>211</v>
      </c>
      <c r="N622" s="40" t="s">
        <v>211</v>
      </c>
      <c r="O622" s="40" t="s">
        <v>212</v>
      </c>
      <c r="P622" s="40" t="s">
        <v>212</v>
      </c>
      <c r="Q622" s="40" t="s">
        <v>212</v>
      </c>
      <c r="R622" s="109"/>
      <c r="S622" s="117" t="str">
        <f t="shared" si="90"/>
        <v>N</v>
      </c>
      <c r="T622" s="114">
        <f>IFERROR(SUMIF('Current NLData'!A:A,'Payment Changes'!G622,'Current NLData'!K:K)/COUNTIF('Current NLData'!A:A,'Payment Changes'!G622),0)+IFERROR(VLOOKUP(G622&amp;"-ALL",NLPaymentExport,10,FALSE),0)</f>
        <v>0</v>
      </c>
      <c r="U622" s="118" t="str">
        <f t="shared" si="92"/>
        <v/>
      </c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</row>
    <row r="623" spans="1:54" ht="17.100000000000001" hidden="1" customHeight="1" x14ac:dyDescent="0.25">
      <c r="A623" s="166"/>
      <c r="B623" s="169"/>
      <c r="C623" s="172"/>
      <c r="D623" s="175"/>
      <c r="E623" s="91" t="str">
        <f t="shared" si="93"/>
        <v>Irving</v>
      </c>
      <c r="F623" s="92" t="s">
        <v>208</v>
      </c>
      <c r="G623" s="98" t="str">
        <f t="shared" si="98"/>
        <v>CP869-Return Donor</v>
      </c>
      <c r="H623" s="178"/>
      <c r="I623" s="77" t="s">
        <v>29</v>
      </c>
      <c r="J623" s="43" t="s">
        <v>213</v>
      </c>
      <c r="K623" s="43" t="s">
        <v>213</v>
      </c>
      <c r="L623" s="44" t="s">
        <v>214</v>
      </c>
      <c r="M623" s="45" t="s">
        <v>214</v>
      </c>
      <c r="N623" s="43" t="s">
        <v>214</v>
      </c>
      <c r="O623" s="43" t="s">
        <v>214</v>
      </c>
      <c r="P623" s="43" t="s">
        <v>214</v>
      </c>
      <c r="Q623" s="43" t="s">
        <v>214</v>
      </c>
      <c r="R623" s="21"/>
      <c r="S623" s="117" t="str">
        <f t="shared" si="90"/>
        <v>N</v>
      </c>
      <c r="T623" s="114">
        <f>IFERROR(SUMIF('Current NLData'!A:A,'Payment Changes'!G623,'Current NLData'!K:K)/COUNTIF('Current NLData'!A:A,'Payment Changes'!G623),0)+IFERROR(VLOOKUP(G623&amp;"-ALL",NLPaymentExport,10,FALSE),0)</f>
        <v>0</v>
      </c>
      <c r="U623" s="118" t="str">
        <f t="shared" si="92"/>
        <v/>
      </c>
    </row>
    <row r="624" spans="1:54" ht="17.100000000000001" hidden="1" customHeight="1" x14ac:dyDescent="0.25">
      <c r="A624" s="166"/>
      <c r="B624" s="169"/>
      <c r="C624" s="172"/>
      <c r="D624" s="175"/>
      <c r="E624" s="91" t="str">
        <f t="shared" si="93"/>
        <v>Irving</v>
      </c>
      <c r="F624" s="92" t="s">
        <v>208</v>
      </c>
      <c r="G624" s="98" t="str">
        <f t="shared" si="98"/>
        <v>CP869-Retention Bonus</v>
      </c>
      <c r="H624" s="178"/>
      <c r="I624" s="78" t="s">
        <v>30</v>
      </c>
      <c r="J624" s="46" t="s">
        <v>215</v>
      </c>
      <c r="K624" s="46" t="s">
        <v>215</v>
      </c>
      <c r="L624" s="47" t="s">
        <v>32</v>
      </c>
      <c r="M624" s="47" t="s">
        <v>196</v>
      </c>
      <c r="N624" s="46" t="s">
        <v>196</v>
      </c>
      <c r="O624" s="46" t="s">
        <v>196</v>
      </c>
      <c r="P624" s="46" t="s">
        <v>196</v>
      </c>
      <c r="Q624" s="46" t="s">
        <v>196</v>
      </c>
      <c r="R624" s="21"/>
      <c r="S624" s="117" t="str">
        <f t="shared" si="90"/>
        <v>N</v>
      </c>
      <c r="T624" s="114">
        <f>IFERROR(SUMIF('Current NLData'!A:A,'Payment Changes'!G624,'Current NLData'!K:K)/COUNTIF('Current NLData'!A:A,'Payment Changes'!G624),0)+IFERROR(VLOOKUP(G624&amp;"-ALL",NLPaymentExport,10,FALSE),0)</f>
        <v>0</v>
      </c>
      <c r="U624" s="118" t="str">
        <f t="shared" si="92"/>
        <v/>
      </c>
    </row>
    <row r="625" spans="1:54" s="15" customFormat="1" ht="17.100000000000001" hidden="1" customHeight="1" x14ac:dyDescent="0.25">
      <c r="A625" s="167"/>
      <c r="B625" s="170"/>
      <c r="C625" s="173"/>
      <c r="D625" s="176"/>
      <c r="E625" s="110" t="str">
        <f t="shared" si="93"/>
        <v>Irving</v>
      </c>
      <c r="F625" s="111" t="s">
        <v>208</v>
      </c>
      <c r="G625" s="112" t="str">
        <f t="shared" si="98"/>
        <v>CP869-Referral</v>
      </c>
      <c r="H625" s="179"/>
      <c r="I625" s="79" t="s">
        <v>34</v>
      </c>
      <c r="J625" s="49">
        <v>50</v>
      </c>
      <c r="K625" s="49">
        <v>0</v>
      </c>
      <c r="L625" s="50" t="s">
        <v>32</v>
      </c>
      <c r="M625" s="51" t="s">
        <v>32</v>
      </c>
      <c r="N625" s="49" t="s">
        <v>32</v>
      </c>
      <c r="O625" s="49">
        <v>50</v>
      </c>
      <c r="P625" s="49">
        <v>50</v>
      </c>
      <c r="Q625" s="49">
        <v>50</v>
      </c>
      <c r="R625" s="113"/>
      <c r="S625" s="117" t="str">
        <f t="shared" si="90"/>
        <v>N</v>
      </c>
      <c r="T625" s="114">
        <f>IFERROR(SUMIF('Current NLData'!A:A,'Payment Changes'!G625,'Current NLData'!K:K)/COUNTIF('Current NLData'!A:A,'Payment Changes'!G625),0)+IFERROR(VLOOKUP(G625&amp;"-ALL",NLPaymentExport,10,FALSE),0)</f>
        <v>0</v>
      </c>
      <c r="U625" s="118" t="str">
        <f t="shared" si="92"/>
        <v/>
      </c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</row>
    <row r="626" spans="1:54" ht="17.100000000000001" hidden="1" customHeight="1" outlineLevel="1" x14ac:dyDescent="0.25">
      <c r="A626" s="3"/>
      <c r="C626" s="4"/>
      <c r="D626" s="180" t="s">
        <v>208</v>
      </c>
      <c r="E626" s="91" t="str">
        <f t="shared" si="93"/>
        <v>Irving</v>
      </c>
      <c r="F626" s="93" t="str">
        <f t="shared" si="94"/>
        <v>CP869</v>
      </c>
      <c r="G626" s="99" t="str">
        <f t="shared" si="98"/>
        <v>CP869-NEW DONOR -1st</v>
      </c>
      <c r="H626" s="182" t="s">
        <v>36</v>
      </c>
      <c r="I626" s="33" t="s">
        <v>37</v>
      </c>
      <c r="J626" s="60">
        <v>100</v>
      </c>
      <c r="K626" s="61">
        <v>100</v>
      </c>
      <c r="L626" s="60">
        <v>100</v>
      </c>
      <c r="M626" s="60">
        <v>100</v>
      </c>
      <c r="N626" s="60">
        <v>100</v>
      </c>
      <c r="O626" s="60">
        <v>100</v>
      </c>
      <c r="P626" s="60">
        <v>100</v>
      </c>
      <c r="Q626" s="60">
        <v>100</v>
      </c>
      <c r="R626" s="23"/>
      <c r="S626" s="117" t="str">
        <f t="shared" si="90"/>
        <v>N</v>
      </c>
      <c r="T626" s="114">
        <f>IFERROR(SUMIF('Current NLData'!A:A,'Payment Changes'!G626,'Current NLData'!K:K)/COUNTIF('Current NLData'!A:A,'Payment Changes'!G626),0)+IFERROR(VLOOKUP(G626&amp;"-ALL",NLPaymentExport,10,FALSE),0)</f>
        <v>100</v>
      </c>
      <c r="U626" s="118">
        <f t="shared" si="92"/>
        <v>0</v>
      </c>
    </row>
    <row r="627" spans="1:54" ht="17.100000000000001" hidden="1" customHeight="1" outlineLevel="1" x14ac:dyDescent="0.25">
      <c r="A627" s="3"/>
      <c r="C627" s="4"/>
      <c r="D627" s="181"/>
      <c r="E627" s="91" t="str">
        <f t="shared" si="93"/>
        <v>Irving</v>
      </c>
      <c r="F627" s="93" t="str">
        <f t="shared" si="94"/>
        <v>CP869</v>
      </c>
      <c r="G627" s="99" t="str">
        <f t="shared" si="98"/>
        <v>CP869-NEW DONOR -2nd</v>
      </c>
      <c r="H627" s="182"/>
      <c r="I627" s="34" t="s">
        <v>38</v>
      </c>
      <c r="J627" s="58">
        <v>100</v>
      </c>
      <c r="K627" s="62">
        <v>100</v>
      </c>
      <c r="L627" s="58">
        <v>100</v>
      </c>
      <c r="M627" s="58">
        <v>100</v>
      </c>
      <c r="N627" s="58">
        <v>100</v>
      </c>
      <c r="O627" s="58">
        <v>100</v>
      </c>
      <c r="P627" s="58">
        <v>100</v>
      </c>
      <c r="Q627" s="58">
        <v>100</v>
      </c>
      <c r="R627" s="23"/>
      <c r="S627" s="117" t="str">
        <f t="shared" si="90"/>
        <v>N</v>
      </c>
      <c r="T627" s="114">
        <f>IFERROR(SUMIF('Current NLData'!A:A,'Payment Changes'!G627,'Current NLData'!K:K)/COUNTIF('Current NLData'!A:A,'Payment Changes'!G627),0)+IFERROR(VLOOKUP(G627&amp;"-ALL",NLPaymentExport,10,FALSE),0)</f>
        <v>100</v>
      </c>
      <c r="U627" s="118">
        <f t="shared" si="92"/>
        <v>0</v>
      </c>
    </row>
    <row r="628" spans="1:54" ht="17.100000000000001" hidden="1" customHeight="1" outlineLevel="1" x14ac:dyDescent="0.25">
      <c r="A628" s="3"/>
      <c r="C628" s="4"/>
      <c r="D628" s="181"/>
      <c r="E628" s="91" t="str">
        <f t="shared" si="93"/>
        <v>Irving</v>
      </c>
      <c r="F628" s="93" t="str">
        <f t="shared" si="94"/>
        <v>CP869</v>
      </c>
      <c r="G628" s="99" t="str">
        <f t="shared" si="98"/>
        <v>CP869-NEW DONOR -3rd</v>
      </c>
      <c r="H628" s="182"/>
      <c r="I628" s="34" t="s">
        <v>39</v>
      </c>
      <c r="J628" s="58">
        <v>100</v>
      </c>
      <c r="K628" s="62">
        <v>100</v>
      </c>
      <c r="L628" s="58">
        <v>100</v>
      </c>
      <c r="M628" s="58">
        <v>100</v>
      </c>
      <c r="N628" s="58">
        <v>100</v>
      </c>
      <c r="O628" s="58">
        <v>100</v>
      </c>
      <c r="P628" s="58">
        <v>100</v>
      </c>
      <c r="Q628" s="58">
        <v>100</v>
      </c>
      <c r="R628" s="23"/>
      <c r="S628" s="117" t="str">
        <f t="shared" si="90"/>
        <v>N</v>
      </c>
      <c r="T628" s="114">
        <f>IFERROR(SUMIF('Current NLData'!A:A,'Payment Changes'!G628,'Current NLData'!K:K)/COUNTIF('Current NLData'!A:A,'Payment Changes'!G628),0)+IFERROR(VLOOKUP(G628&amp;"-ALL",NLPaymentExport,10,FALSE),0)</f>
        <v>100</v>
      </c>
      <c r="U628" s="118">
        <f t="shared" si="92"/>
        <v>0</v>
      </c>
    </row>
    <row r="629" spans="1:54" ht="17.100000000000001" hidden="1" customHeight="1" outlineLevel="1" x14ac:dyDescent="0.25">
      <c r="A629" s="3"/>
      <c r="C629" s="4"/>
      <c r="D629" s="181"/>
      <c r="E629" s="91" t="str">
        <f t="shared" si="93"/>
        <v>Irving</v>
      </c>
      <c r="F629" s="93" t="str">
        <f t="shared" si="94"/>
        <v>CP869</v>
      </c>
      <c r="G629" s="99" t="str">
        <f t="shared" si="98"/>
        <v>CP869-NEW DONOR -4th</v>
      </c>
      <c r="H629" s="182"/>
      <c r="I629" s="34" t="s">
        <v>40</v>
      </c>
      <c r="J629" s="58">
        <v>100</v>
      </c>
      <c r="K629" s="62">
        <v>100</v>
      </c>
      <c r="L629" s="58">
        <v>100</v>
      </c>
      <c r="M629" s="58">
        <v>100</v>
      </c>
      <c r="N629" s="58">
        <v>100</v>
      </c>
      <c r="O629" s="58">
        <v>100</v>
      </c>
      <c r="P629" s="58">
        <v>100</v>
      </c>
      <c r="Q629" s="58">
        <v>100</v>
      </c>
      <c r="R629" s="23"/>
      <c r="S629" s="117" t="str">
        <f t="shared" si="90"/>
        <v>N</v>
      </c>
      <c r="T629" s="114">
        <f>IFERROR(SUMIF('Current NLData'!A:A,'Payment Changes'!G629,'Current NLData'!K:K)/COUNTIF('Current NLData'!A:A,'Payment Changes'!G629),0)+IFERROR(VLOOKUP(G629&amp;"-ALL",NLPaymentExport,10,FALSE),0)</f>
        <v>100</v>
      </c>
      <c r="U629" s="118">
        <f t="shared" si="92"/>
        <v>0</v>
      </c>
    </row>
    <row r="630" spans="1:54" ht="17.100000000000001" hidden="1" customHeight="1" outlineLevel="1" x14ac:dyDescent="0.25">
      <c r="A630" s="3"/>
      <c r="C630" s="4"/>
      <c r="D630" s="181"/>
      <c r="E630" s="91" t="str">
        <f t="shared" si="93"/>
        <v>Irving</v>
      </c>
      <c r="F630" s="93" t="str">
        <f t="shared" si="94"/>
        <v>CP869</v>
      </c>
      <c r="G630" s="99" t="str">
        <f t="shared" si="98"/>
        <v>CP869-NEW DONOR -5th</v>
      </c>
      <c r="H630" s="182"/>
      <c r="I630" s="34" t="s">
        <v>41</v>
      </c>
      <c r="J630" s="58">
        <v>100</v>
      </c>
      <c r="K630" s="62">
        <v>45</v>
      </c>
      <c r="L630" s="58">
        <v>50</v>
      </c>
      <c r="M630" s="58">
        <v>50</v>
      </c>
      <c r="N630" s="58">
        <v>50</v>
      </c>
      <c r="O630" s="58">
        <v>100</v>
      </c>
      <c r="P630" s="58">
        <v>100</v>
      </c>
      <c r="Q630" s="58">
        <v>100</v>
      </c>
      <c r="R630" s="23"/>
      <c r="S630" s="117" t="str">
        <f t="shared" si="90"/>
        <v>N</v>
      </c>
      <c r="T630" s="114">
        <f>IFERROR(SUMIF('Current NLData'!A:A,'Payment Changes'!G630,'Current NLData'!K:K)/COUNTIF('Current NLData'!A:A,'Payment Changes'!G630),0)+IFERROR(VLOOKUP(G630&amp;"-ALL",NLPaymentExport,10,FALSE),0)</f>
        <v>100</v>
      </c>
      <c r="U630" s="118">
        <f t="shared" si="92"/>
        <v>0</v>
      </c>
    </row>
    <row r="631" spans="1:54" ht="17.100000000000001" hidden="1" customHeight="1" outlineLevel="1" x14ac:dyDescent="0.25">
      <c r="A631" s="3"/>
      <c r="C631" s="4"/>
      <c r="D631" s="181"/>
      <c r="E631" s="91" t="str">
        <f t="shared" si="93"/>
        <v>Irving</v>
      </c>
      <c r="F631" s="93" t="str">
        <f t="shared" si="94"/>
        <v>CP869</v>
      </c>
      <c r="G631" s="99" t="str">
        <f t="shared" si="98"/>
        <v>CP869-NEW DONOR -6th</v>
      </c>
      <c r="H631" s="182"/>
      <c r="I631" s="34" t="s">
        <v>42</v>
      </c>
      <c r="J631" s="58">
        <v>45</v>
      </c>
      <c r="K631" s="62">
        <v>65</v>
      </c>
      <c r="L631" s="58">
        <v>50</v>
      </c>
      <c r="M631" s="58">
        <v>50</v>
      </c>
      <c r="N631" s="58">
        <v>50</v>
      </c>
      <c r="O631" s="58">
        <v>100</v>
      </c>
      <c r="P631" s="58">
        <v>100</v>
      </c>
      <c r="Q631" s="58">
        <v>100</v>
      </c>
      <c r="R631" s="23"/>
      <c r="S631" s="117" t="str">
        <f t="shared" si="90"/>
        <v>N</v>
      </c>
      <c r="T631" s="114">
        <f>IFERROR(SUMIF('Current NLData'!A:A,'Payment Changes'!G631,'Current NLData'!K:K)/COUNTIF('Current NLData'!A:A,'Payment Changes'!G631),0)+IFERROR(VLOOKUP(G631&amp;"-ALL",NLPaymentExport,10,FALSE),0)</f>
        <v>100</v>
      </c>
      <c r="U631" s="118">
        <f t="shared" si="92"/>
        <v>0</v>
      </c>
    </row>
    <row r="632" spans="1:54" ht="17.100000000000001" hidden="1" customHeight="1" outlineLevel="1" x14ac:dyDescent="0.25">
      <c r="A632" s="3"/>
      <c r="C632" s="4"/>
      <c r="D632" s="181"/>
      <c r="E632" s="91" t="str">
        <f t="shared" si="93"/>
        <v>Irving</v>
      </c>
      <c r="F632" s="93" t="str">
        <f t="shared" si="94"/>
        <v>CP869</v>
      </c>
      <c r="G632" s="99" t="str">
        <f t="shared" si="98"/>
        <v>CP869-NEW DONOR -7th</v>
      </c>
      <c r="H632" s="182"/>
      <c r="I632" s="34" t="s">
        <v>43</v>
      </c>
      <c r="J632" s="58">
        <v>45</v>
      </c>
      <c r="K632" s="62">
        <v>45</v>
      </c>
      <c r="L632" s="58">
        <v>50</v>
      </c>
      <c r="M632" s="58">
        <v>50</v>
      </c>
      <c r="N632" s="58">
        <v>50</v>
      </c>
      <c r="O632" s="58">
        <v>50</v>
      </c>
      <c r="P632" s="58">
        <v>50</v>
      </c>
      <c r="Q632" s="58">
        <v>50</v>
      </c>
      <c r="R632" s="23"/>
      <c r="S632" s="117" t="str">
        <f t="shared" si="90"/>
        <v>N</v>
      </c>
      <c r="T632" s="114">
        <f>IFERROR(SUMIF('Current NLData'!A:A,'Payment Changes'!G632,'Current NLData'!K:K)/COUNTIF('Current NLData'!A:A,'Payment Changes'!G632),0)+IFERROR(VLOOKUP(G632&amp;"-ALL",NLPaymentExport,10,FALSE),0)</f>
        <v>50</v>
      </c>
      <c r="U632" s="118">
        <f t="shared" si="92"/>
        <v>0</v>
      </c>
    </row>
    <row r="633" spans="1:54" ht="17.100000000000001" hidden="1" customHeight="1" outlineLevel="1" x14ac:dyDescent="0.25">
      <c r="A633" s="3"/>
      <c r="C633" s="4"/>
      <c r="D633" s="181"/>
      <c r="E633" s="91" t="str">
        <f t="shared" si="93"/>
        <v>Irving</v>
      </c>
      <c r="F633" s="93" t="str">
        <f t="shared" si="94"/>
        <v>CP869</v>
      </c>
      <c r="G633" s="99" t="str">
        <f t="shared" si="98"/>
        <v>CP869-NEW DONOR -8th</v>
      </c>
      <c r="H633" s="182"/>
      <c r="I633" s="35" t="s">
        <v>44</v>
      </c>
      <c r="J633" s="63">
        <v>45</v>
      </c>
      <c r="K633" s="64">
        <v>65</v>
      </c>
      <c r="L633" s="63">
        <v>50</v>
      </c>
      <c r="M633" s="63">
        <v>50</v>
      </c>
      <c r="N633" s="63">
        <v>50</v>
      </c>
      <c r="O633" s="63">
        <v>50</v>
      </c>
      <c r="P633" s="63">
        <v>50</v>
      </c>
      <c r="Q633" s="63">
        <v>50</v>
      </c>
      <c r="R633" s="23"/>
      <c r="S633" s="117" t="str">
        <f t="shared" si="90"/>
        <v>N</v>
      </c>
      <c r="T633" s="114">
        <f>IFERROR(SUMIF('Current NLData'!A:A,'Payment Changes'!G633,'Current NLData'!K:K)/COUNTIF('Current NLData'!A:A,'Payment Changes'!G633),0)+IFERROR(VLOOKUP(G633&amp;"-ALL",NLPaymentExport,10,FALSE),0)</f>
        <v>50</v>
      </c>
      <c r="U633" s="118">
        <f t="shared" si="92"/>
        <v>0</v>
      </c>
    </row>
    <row r="634" spans="1:54" ht="17.100000000000001" hidden="1" customHeight="1" outlineLevel="1" x14ac:dyDescent="0.25">
      <c r="A634" s="3"/>
      <c r="C634" s="4"/>
      <c r="D634" s="181"/>
      <c r="E634" s="91" t="str">
        <f t="shared" si="93"/>
        <v>Irving</v>
      </c>
      <c r="F634" s="93" t="str">
        <f t="shared" si="94"/>
        <v>CP869</v>
      </c>
      <c r="G634" s="99" t="str">
        <f t="shared" si="98"/>
        <v>CP869-RETURN - 1st don of the week -STD</v>
      </c>
      <c r="H634" s="182"/>
      <c r="I634" s="36" t="s">
        <v>45</v>
      </c>
      <c r="J634" s="58">
        <v>45</v>
      </c>
      <c r="K634" s="58">
        <v>45</v>
      </c>
      <c r="L634" s="58">
        <v>50</v>
      </c>
      <c r="M634" s="58">
        <v>50</v>
      </c>
      <c r="N634" s="58">
        <v>50</v>
      </c>
      <c r="O634" s="58">
        <v>50</v>
      </c>
      <c r="P634" s="58">
        <v>50</v>
      </c>
      <c r="Q634" s="58">
        <v>50</v>
      </c>
      <c r="R634" s="22"/>
      <c r="S634" s="117" t="str">
        <f t="shared" si="90"/>
        <v>N</v>
      </c>
      <c r="T634" s="114">
        <f>IFERROR(SUMIF('Current NLData'!A:A,'Payment Changes'!G634,'Current NLData'!K:K)/COUNTIF('Current NLData'!A:A,'Payment Changes'!G634),0)+IFERROR(VLOOKUP(G634&amp;"-ALL",NLPaymentExport,10,FALSE),0)</f>
        <v>50</v>
      </c>
      <c r="U634" s="118">
        <f t="shared" si="92"/>
        <v>0</v>
      </c>
    </row>
    <row r="635" spans="1:54" ht="17.100000000000001" hidden="1" customHeight="1" outlineLevel="1" x14ac:dyDescent="0.25">
      <c r="A635" s="3"/>
      <c r="C635" s="4"/>
      <c r="D635" s="181"/>
      <c r="E635" s="91" t="str">
        <f t="shared" si="93"/>
        <v>Irving</v>
      </c>
      <c r="F635" s="93" t="str">
        <f t="shared" si="94"/>
        <v>CP869</v>
      </c>
      <c r="G635" s="99" t="str">
        <f t="shared" si="98"/>
        <v>CP869-RETURN - 2nd don of the week -BONUS</v>
      </c>
      <c r="H635" s="182"/>
      <c r="I635" s="36" t="s">
        <v>46</v>
      </c>
      <c r="J635" s="58">
        <v>20</v>
      </c>
      <c r="K635" s="58">
        <v>20</v>
      </c>
      <c r="L635" s="58">
        <v>20</v>
      </c>
      <c r="M635" s="58">
        <v>20</v>
      </c>
      <c r="N635" s="58">
        <v>20</v>
      </c>
      <c r="O635" s="58">
        <v>20</v>
      </c>
      <c r="P635" s="58">
        <v>20</v>
      </c>
      <c r="Q635" s="58">
        <v>20</v>
      </c>
      <c r="R635" s="22"/>
      <c r="S635" s="117" t="str">
        <f t="shared" si="90"/>
        <v>N</v>
      </c>
      <c r="T635" s="114">
        <f>IFERROR(SUMIF('Current NLData'!A:A,'Payment Changes'!G635,'Current NLData'!K:K)/COUNTIF('Current NLData'!A:A,'Payment Changes'!G635),0)+IFERROR(VLOOKUP(G635&amp;"-ALL",NLPaymentExport,10,FALSE),0)</f>
        <v>20</v>
      </c>
      <c r="U635" s="118">
        <f t="shared" si="92"/>
        <v>0</v>
      </c>
    </row>
    <row r="636" spans="1:54" ht="17.100000000000001" hidden="1" customHeight="1" outlineLevel="1" x14ac:dyDescent="0.25">
      <c r="A636" s="3"/>
      <c r="C636" s="4"/>
      <c r="D636" s="181"/>
      <c r="E636" s="91" t="str">
        <f t="shared" si="93"/>
        <v>Irving</v>
      </c>
      <c r="F636" s="93" t="str">
        <f t="shared" si="94"/>
        <v>CP869</v>
      </c>
      <c r="G636" s="99" t="str">
        <f t="shared" si="98"/>
        <v>CP869-RETURN - 5th don of the month -BONUS</v>
      </c>
      <c r="H636" s="182"/>
      <c r="I636" s="37" t="s">
        <v>47</v>
      </c>
      <c r="J636" s="65">
        <v>0</v>
      </c>
      <c r="K636" s="65">
        <v>0</v>
      </c>
      <c r="L636" s="65">
        <v>0</v>
      </c>
      <c r="M636" s="65">
        <v>0</v>
      </c>
      <c r="N636" s="65">
        <v>0</v>
      </c>
      <c r="O636" s="65">
        <v>0</v>
      </c>
      <c r="P636" s="65">
        <v>0</v>
      </c>
      <c r="Q636" s="65">
        <v>0</v>
      </c>
      <c r="R636" s="22"/>
      <c r="S636" s="117" t="str">
        <f t="shared" si="90"/>
        <v>N</v>
      </c>
      <c r="T636" s="114">
        <f>IFERROR(SUMIF('Current NLData'!A:A,'Payment Changes'!G636,'Current NLData'!K:K)/COUNTIF('Current NLData'!A:A,'Payment Changes'!G636),0)+IFERROR(VLOOKUP(G636&amp;"-ALL",NLPaymentExport,10,FALSE),0)</f>
        <v>0</v>
      </c>
      <c r="U636" s="118">
        <f t="shared" si="92"/>
        <v>0</v>
      </c>
    </row>
    <row r="637" spans="1:54" ht="17.100000000000001" hidden="1" customHeight="1" outlineLevel="1" x14ac:dyDescent="0.25">
      <c r="A637" s="3"/>
      <c r="C637" s="4"/>
      <c r="D637" s="181"/>
      <c r="E637" s="91" t="str">
        <f t="shared" si="93"/>
        <v>Irving</v>
      </c>
      <c r="F637" s="93" t="str">
        <f t="shared" si="94"/>
        <v>CP869</v>
      </c>
      <c r="G637" s="99" t="str">
        <f t="shared" si="98"/>
        <v>CP869-RETURN - 6th don of the month -BONUS</v>
      </c>
      <c r="H637" s="182"/>
      <c r="I637" s="38" t="s">
        <v>48</v>
      </c>
      <c r="J637" s="58">
        <v>0</v>
      </c>
      <c r="K637" s="58">
        <v>0</v>
      </c>
      <c r="L637" s="58">
        <v>0</v>
      </c>
      <c r="M637" s="58">
        <v>30</v>
      </c>
      <c r="N637" s="58">
        <v>30</v>
      </c>
      <c r="O637" s="58">
        <v>30</v>
      </c>
      <c r="P637" s="58">
        <v>30</v>
      </c>
      <c r="Q637" s="58">
        <v>30</v>
      </c>
      <c r="R637" s="22"/>
      <c r="S637" s="117" t="str">
        <f t="shared" si="90"/>
        <v>N</v>
      </c>
      <c r="T637" s="114">
        <f>IFERROR(SUMIF('Current NLData'!A:A,'Payment Changes'!G637,'Current NLData'!K:K)/COUNTIF('Current NLData'!A:A,'Payment Changes'!G637),0)+IFERROR(VLOOKUP(G637&amp;"-ALL",NLPaymentExport,10,FALSE),0)</f>
        <v>30</v>
      </c>
      <c r="U637" s="118">
        <f t="shared" si="92"/>
        <v>0</v>
      </c>
    </row>
    <row r="638" spans="1:54" ht="17.100000000000001" hidden="1" customHeight="1" outlineLevel="1" x14ac:dyDescent="0.25">
      <c r="A638" s="3"/>
      <c r="C638" s="4"/>
      <c r="D638" s="181"/>
      <c r="E638" s="91" t="str">
        <f t="shared" si="93"/>
        <v>Irving</v>
      </c>
      <c r="F638" s="93" t="str">
        <f t="shared" si="94"/>
        <v>CP869</v>
      </c>
      <c r="G638" s="99" t="str">
        <f t="shared" si="98"/>
        <v>CP869-RETURN - 7th don of the month -BONUS</v>
      </c>
      <c r="H638" s="182"/>
      <c r="I638" s="38" t="s">
        <v>49</v>
      </c>
      <c r="J638" s="58">
        <v>0</v>
      </c>
      <c r="K638" s="58">
        <v>0</v>
      </c>
      <c r="L638" s="58">
        <v>0</v>
      </c>
      <c r="M638" s="58">
        <v>0</v>
      </c>
      <c r="N638" s="58">
        <v>0</v>
      </c>
      <c r="O638" s="58">
        <v>0</v>
      </c>
      <c r="P638" s="58">
        <v>0</v>
      </c>
      <c r="Q638" s="58">
        <v>0</v>
      </c>
      <c r="R638" s="22"/>
      <c r="S638" s="117" t="str">
        <f t="shared" si="90"/>
        <v>N</v>
      </c>
      <c r="T638" s="114">
        <f>IFERROR(SUMIF('Current NLData'!A:A,'Payment Changes'!G638,'Current NLData'!K:K)/COUNTIF('Current NLData'!A:A,'Payment Changes'!G638),0)+IFERROR(VLOOKUP(G638&amp;"-ALL",NLPaymentExport,10,FALSE),0)</f>
        <v>0</v>
      </c>
      <c r="U638" s="118">
        <f t="shared" si="92"/>
        <v>0</v>
      </c>
    </row>
    <row r="639" spans="1:54" ht="17.100000000000001" hidden="1" customHeight="1" outlineLevel="1" x14ac:dyDescent="0.25">
      <c r="A639" s="3"/>
      <c r="C639" s="4"/>
      <c r="D639" s="181"/>
      <c r="E639" s="91" t="str">
        <f t="shared" si="93"/>
        <v>Irving</v>
      </c>
      <c r="F639" s="93" t="str">
        <f t="shared" si="94"/>
        <v>CP869</v>
      </c>
      <c r="G639" s="99" t="str">
        <f t="shared" si="98"/>
        <v>CP869-RETURN - 8th don of the month -BONUS</v>
      </c>
      <c r="H639" s="182"/>
      <c r="I639" s="38" t="s">
        <v>50</v>
      </c>
      <c r="J639" s="58">
        <v>30</v>
      </c>
      <c r="K639" s="58">
        <v>30</v>
      </c>
      <c r="L639" s="58">
        <v>0</v>
      </c>
      <c r="M639" s="58">
        <v>0</v>
      </c>
      <c r="N639" s="58">
        <v>0</v>
      </c>
      <c r="O639" s="58">
        <v>0</v>
      </c>
      <c r="P639" s="58">
        <v>0</v>
      </c>
      <c r="Q639" s="58">
        <v>0</v>
      </c>
      <c r="R639" s="22"/>
      <c r="S639" s="117" t="str">
        <f t="shared" si="90"/>
        <v>N</v>
      </c>
      <c r="T639" s="114">
        <f>IFERROR(SUMIF('Current NLData'!A:A,'Payment Changes'!G639,'Current NLData'!K:K)/COUNTIF('Current NLData'!A:A,'Payment Changes'!G639),0)+IFERROR(VLOOKUP(G639&amp;"-ALL",NLPaymentExport,10,FALSE),0)</f>
        <v>0</v>
      </c>
      <c r="U639" s="118">
        <f t="shared" si="92"/>
        <v>0</v>
      </c>
    </row>
    <row r="640" spans="1:54" ht="17.100000000000001" hidden="1" customHeight="1" outlineLevel="1" x14ac:dyDescent="0.25">
      <c r="A640" s="3"/>
      <c r="C640" s="4" t="str">
        <f>IF(J640=0,"Warning","")</f>
        <v/>
      </c>
      <c r="D640" s="181"/>
      <c r="E640" s="91" t="str">
        <f t="shared" si="93"/>
        <v>Irving</v>
      </c>
      <c r="F640" s="93" t="str">
        <f t="shared" si="94"/>
        <v>CP869</v>
      </c>
      <c r="G640" s="99" t="str">
        <f t="shared" si="98"/>
        <v>CP869-RETURN - Buddy referral  -BONUS</v>
      </c>
      <c r="H640" s="182"/>
      <c r="I640" s="39" t="s">
        <v>51</v>
      </c>
      <c r="J640" s="58">
        <v>50</v>
      </c>
      <c r="K640" s="62">
        <v>0</v>
      </c>
      <c r="L640" s="58">
        <v>0</v>
      </c>
      <c r="M640" s="58">
        <v>0</v>
      </c>
      <c r="N640" s="58">
        <v>0</v>
      </c>
      <c r="O640" s="58">
        <v>50</v>
      </c>
      <c r="P640" s="58">
        <v>50</v>
      </c>
      <c r="Q640" s="58">
        <v>50</v>
      </c>
      <c r="R640" s="23"/>
      <c r="S640" s="117" t="str">
        <f t="shared" si="90"/>
        <v>N</v>
      </c>
      <c r="T640" s="114">
        <f>IFERROR(SUMIF('Current NLData'!A:A,'Payment Changes'!G640,'Current NLData'!K:K)/COUNTIF('Current NLData'!A:A,'Payment Changes'!G640),0)+IFERROR(VLOOKUP(G640&amp;"-ALL",NLPaymentExport,10,FALSE),0)</f>
        <v>50</v>
      </c>
      <c r="U640" s="118">
        <f t="shared" si="92"/>
        <v>0</v>
      </c>
    </row>
    <row r="641" spans="1:54" s="90" customFormat="1" ht="17.100000000000001" hidden="1" customHeight="1" collapsed="1" x14ac:dyDescent="0.35">
      <c r="A641" s="85"/>
      <c r="B641" s="85"/>
      <c r="C641" s="86"/>
      <c r="D641" s="87"/>
      <c r="E641" s="87"/>
      <c r="F641" s="87"/>
      <c r="G641" s="87"/>
      <c r="H641" s="96"/>
      <c r="I641" s="88"/>
      <c r="J641" s="89"/>
      <c r="K641" s="89"/>
      <c r="L641" s="89"/>
      <c r="M641" s="89"/>
      <c r="N641" s="89"/>
      <c r="O641" s="89"/>
      <c r="P641" s="89"/>
      <c r="Q641" s="89"/>
      <c r="R641" s="21"/>
      <c r="S641" s="117" t="str">
        <f t="shared" si="90"/>
        <v>N</v>
      </c>
      <c r="T641" s="114">
        <f>IFERROR(SUMIF('Current NLData'!A:A,'Payment Changes'!G641,'Current NLData'!K:K)/COUNTIF('Current NLData'!A:A,'Payment Changes'!G641),0)+IFERROR(VLOOKUP(G641&amp;"-ALL",NLPaymentExport,10,FALSE),0)</f>
        <v>0</v>
      </c>
      <c r="U641" s="118" t="str">
        <f t="shared" si="92"/>
        <v/>
      </c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</row>
    <row r="642" spans="1:54" s="10" customFormat="1" ht="17.100000000000001" hidden="1" customHeight="1" x14ac:dyDescent="0.25">
      <c r="A642" s="165">
        <v>33</v>
      </c>
      <c r="B642" s="168" t="s">
        <v>216</v>
      </c>
      <c r="C642" s="171" t="s">
        <v>19</v>
      </c>
      <c r="D642" s="174" t="s">
        <v>157</v>
      </c>
      <c r="E642" s="106" t="str">
        <f t="shared" si="93"/>
        <v>Bedford</v>
      </c>
      <c r="F642" s="107" t="s">
        <v>217</v>
      </c>
      <c r="G642" s="108" t="str">
        <f t="shared" ref="G642:G660" si="99">F642&amp;"-"&amp;I642</f>
        <v>CP946-New Donor</v>
      </c>
      <c r="H642" s="177" t="s">
        <v>75</v>
      </c>
      <c r="I642" s="76" t="s">
        <v>23</v>
      </c>
      <c r="J642" s="40" t="s">
        <v>218</v>
      </c>
      <c r="K642" s="41" t="s">
        <v>219</v>
      </c>
      <c r="L642" s="41" t="s">
        <v>220</v>
      </c>
      <c r="M642" s="41" t="s">
        <v>221</v>
      </c>
      <c r="N642" s="40" t="s">
        <v>221</v>
      </c>
      <c r="O642" s="40" t="s">
        <v>221</v>
      </c>
      <c r="P642" s="40" t="s">
        <v>221</v>
      </c>
      <c r="Q642" s="40" t="s">
        <v>221</v>
      </c>
      <c r="R642" s="109"/>
      <c r="S642" s="117" t="str">
        <f t="shared" si="90"/>
        <v>N</v>
      </c>
      <c r="T642" s="114">
        <f>IFERROR(SUMIF('Current NLData'!A:A,'Payment Changes'!G642,'Current NLData'!K:K)/COUNTIF('Current NLData'!A:A,'Payment Changes'!G642),0)+IFERROR(VLOOKUP(G642&amp;"-ALL",NLPaymentExport,10,FALSE),0)</f>
        <v>0</v>
      </c>
      <c r="U642" s="118" t="str">
        <f t="shared" si="92"/>
        <v/>
      </c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</row>
    <row r="643" spans="1:54" ht="17.100000000000001" hidden="1" customHeight="1" x14ac:dyDescent="0.25">
      <c r="A643" s="166"/>
      <c r="B643" s="169"/>
      <c r="C643" s="172"/>
      <c r="D643" s="175"/>
      <c r="E643" s="91" t="str">
        <f t="shared" si="93"/>
        <v>Bedford</v>
      </c>
      <c r="F643" s="92" t="s">
        <v>217</v>
      </c>
      <c r="G643" s="98" t="str">
        <f t="shared" si="99"/>
        <v>CP946-Return Donor</v>
      </c>
      <c r="H643" s="178"/>
      <c r="I643" s="77" t="s">
        <v>29</v>
      </c>
      <c r="J643" s="43" t="s">
        <v>205</v>
      </c>
      <c r="K643" s="43" t="s">
        <v>205</v>
      </c>
      <c r="L643" s="44" t="s">
        <v>222</v>
      </c>
      <c r="M643" s="45" t="s">
        <v>222</v>
      </c>
      <c r="N643" s="43" t="s">
        <v>222</v>
      </c>
      <c r="O643" s="43" t="s">
        <v>222</v>
      </c>
      <c r="P643" s="43" t="s">
        <v>222</v>
      </c>
      <c r="Q643" s="43" t="s">
        <v>222</v>
      </c>
      <c r="R643" s="21"/>
      <c r="S643" s="117" t="str">
        <f t="shared" ref="S643:S706" si="100">IF(P643=Q643,"N","Y")</f>
        <v>N</v>
      </c>
      <c r="T643" s="114">
        <f>IFERROR(SUMIF('Current NLData'!A:A,'Payment Changes'!G643,'Current NLData'!K:K)/COUNTIF('Current NLData'!A:A,'Payment Changes'!G643),0)+IFERROR(VLOOKUP(G643&amp;"-ALL",NLPaymentExport,10,FALSE),0)</f>
        <v>0</v>
      </c>
      <c r="U643" s="118" t="str">
        <f t="shared" si="92"/>
        <v/>
      </c>
    </row>
    <row r="644" spans="1:54" ht="17.100000000000001" hidden="1" customHeight="1" x14ac:dyDescent="0.25">
      <c r="A644" s="166"/>
      <c r="B644" s="169"/>
      <c r="C644" s="172"/>
      <c r="D644" s="175"/>
      <c r="E644" s="91" t="str">
        <f t="shared" si="93"/>
        <v>Bedford</v>
      </c>
      <c r="F644" s="92" t="s">
        <v>217</v>
      </c>
      <c r="G644" s="98" t="str">
        <f t="shared" si="99"/>
        <v>CP946-Retention Bonus</v>
      </c>
      <c r="H644" s="178"/>
      <c r="I644" s="78" t="s">
        <v>30</v>
      </c>
      <c r="J644" s="46" t="s">
        <v>223</v>
      </c>
      <c r="K644" s="46" t="s">
        <v>223</v>
      </c>
      <c r="L644" s="47" t="s">
        <v>196</v>
      </c>
      <c r="M644" s="48" t="s">
        <v>196</v>
      </c>
      <c r="N644" s="46" t="s">
        <v>196</v>
      </c>
      <c r="O644" s="46" t="s">
        <v>196</v>
      </c>
      <c r="P644" s="46" t="s">
        <v>196</v>
      </c>
      <c r="Q644" s="46" t="s">
        <v>196</v>
      </c>
      <c r="R644" s="21"/>
      <c r="S644" s="117" t="str">
        <f t="shared" si="100"/>
        <v>N</v>
      </c>
      <c r="T644" s="114">
        <f>IFERROR(SUMIF('Current NLData'!A:A,'Payment Changes'!G644,'Current NLData'!K:K)/COUNTIF('Current NLData'!A:A,'Payment Changes'!G644),0)+IFERROR(VLOOKUP(G644&amp;"-ALL",NLPaymentExport,10,FALSE),0)</f>
        <v>0</v>
      </c>
      <c r="U644" s="118" t="str">
        <f t="shared" si="92"/>
        <v/>
      </c>
    </row>
    <row r="645" spans="1:54" s="15" customFormat="1" ht="17.100000000000001" hidden="1" customHeight="1" x14ac:dyDescent="0.25">
      <c r="A645" s="167"/>
      <c r="B645" s="170"/>
      <c r="C645" s="173"/>
      <c r="D645" s="176"/>
      <c r="E645" s="110" t="str">
        <f t="shared" si="93"/>
        <v>Bedford</v>
      </c>
      <c r="F645" s="111" t="s">
        <v>217</v>
      </c>
      <c r="G645" s="112" t="str">
        <f t="shared" si="99"/>
        <v>CP946-Referral</v>
      </c>
      <c r="H645" s="179"/>
      <c r="I645" s="79" t="s">
        <v>34</v>
      </c>
      <c r="J645" s="49">
        <v>50</v>
      </c>
      <c r="K645" s="49">
        <v>0</v>
      </c>
      <c r="L645" s="50">
        <v>0</v>
      </c>
      <c r="M645" s="50">
        <v>50</v>
      </c>
      <c r="N645" s="49">
        <v>50</v>
      </c>
      <c r="O645" s="49">
        <v>50</v>
      </c>
      <c r="P645" s="49">
        <v>50</v>
      </c>
      <c r="Q645" s="49">
        <v>50</v>
      </c>
      <c r="R645" s="113"/>
      <c r="S645" s="117" t="str">
        <f t="shared" si="100"/>
        <v>N</v>
      </c>
      <c r="T645" s="114">
        <f>IFERROR(SUMIF('Current NLData'!A:A,'Payment Changes'!G645,'Current NLData'!K:K)/COUNTIF('Current NLData'!A:A,'Payment Changes'!G645),0)+IFERROR(VLOOKUP(G645&amp;"-ALL",NLPaymentExport,10,FALSE),0)</f>
        <v>0</v>
      </c>
      <c r="U645" s="118" t="str">
        <f t="shared" si="92"/>
        <v/>
      </c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</row>
    <row r="646" spans="1:54" ht="17.100000000000001" hidden="1" customHeight="1" outlineLevel="1" x14ac:dyDescent="0.25">
      <c r="A646" s="3"/>
      <c r="C646" s="4"/>
      <c r="D646" s="180" t="s">
        <v>217</v>
      </c>
      <c r="E646" s="91" t="str">
        <f t="shared" si="93"/>
        <v>Bedford</v>
      </c>
      <c r="F646" s="93" t="str">
        <f t="shared" si="94"/>
        <v>CP946</v>
      </c>
      <c r="G646" s="99" t="str">
        <f t="shared" si="99"/>
        <v>CP946-NEW DONOR -1st</v>
      </c>
      <c r="H646" s="182" t="s">
        <v>36</v>
      </c>
      <c r="I646" s="33" t="s">
        <v>37</v>
      </c>
      <c r="J646" s="60">
        <v>100</v>
      </c>
      <c r="K646" s="61">
        <v>100</v>
      </c>
      <c r="L646" s="60">
        <v>100</v>
      </c>
      <c r="M646" s="60">
        <v>100</v>
      </c>
      <c r="N646" s="60">
        <v>100</v>
      </c>
      <c r="O646" s="60">
        <v>100</v>
      </c>
      <c r="P646" s="60">
        <v>100</v>
      </c>
      <c r="Q646" s="60">
        <v>100</v>
      </c>
      <c r="R646" s="23"/>
      <c r="S646" s="117" t="str">
        <f t="shared" si="100"/>
        <v>N</v>
      </c>
      <c r="T646" s="114">
        <f>IFERROR(SUMIF('Current NLData'!A:A,'Payment Changes'!G646,'Current NLData'!K:K)/COUNTIF('Current NLData'!A:A,'Payment Changes'!G646),0)+IFERROR(VLOOKUP(G646&amp;"-ALL",NLPaymentExport,10,FALSE),0)</f>
        <v>100</v>
      </c>
      <c r="U646" s="118">
        <f t="shared" si="92"/>
        <v>0</v>
      </c>
    </row>
    <row r="647" spans="1:54" ht="17.100000000000001" hidden="1" customHeight="1" outlineLevel="1" x14ac:dyDescent="0.25">
      <c r="A647" s="3"/>
      <c r="C647" s="4"/>
      <c r="D647" s="181"/>
      <c r="E647" s="91" t="str">
        <f t="shared" si="93"/>
        <v>Bedford</v>
      </c>
      <c r="F647" s="93" t="str">
        <f t="shared" si="94"/>
        <v>CP946</v>
      </c>
      <c r="G647" s="99" t="str">
        <f t="shared" si="99"/>
        <v>CP946-NEW DONOR -2nd</v>
      </c>
      <c r="H647" s="182"/>
      <c r="I647" s="34" t="s">
        <v>38</v>
      </c>
      <c r="J647" s="58">
        <v>100</v>
      </c>
      <c r="K647" s="62">
        <v>100</v>
      </c>
      <c r="L647" s="58">
        <v>100</v>
      </c>
      <c r="M647" s="58">
        <v>100</v>
      </c>
      <c r="N647" s="58">
        <v>100</v>
      </c>
      <c r="O647" s="58">
        <v>100</v>
      </c>
      <c r="P647" s="58">
        <v>100</v>
      </c>
      <c r="Q647" s="58">
        <v>100</v>
      </c>
      <c r="R647" s="23"/>
      <c r="S647" s="117" t="str">
        <f t="shared" si="100"/>
        <v>N</v>
      </c>
      <c r="T647" s="114">
        <f>IFERROR(SUMIF('Current NLData'!A:A,'Payment Changes'!G647,'Current NLData'!K:K)/COUNTIF('Current NLData'!A:A,'Payment Changes'!G647),0)+IFERROR(VLOOKUP(G647&amp;"-ALL",NLPaymentExport,10,FALSE),0)</f>
        <v>100</v>
      </c>
      <c r="U647" s="118">
        <f t="shared" ref="U647:U710" si="101">IF(OR(I647 = "New Donor", I647="Return Donor", I647="Retention Bonus", I647="Referral", I647 = ""),"",T647-Q647 )</f>
        <v>0</v>
      </c>
    </row>
    <row r="648" spans="1:54" ht="17.100000000000001" hidden="1" customHeight="1" outlineLevel="1" x14ac:dyDescent="0.25">
      <c r="A648" s="3"/>
      <c r="C648" s="4"/>
      <c r="D648" s="181"/>
      <c r="E648" s="91" t="str">
        <f t="shared" ref="E648:E711" si="102">IF(B648 = "",E647,B648)</f>
        <v>Bedford</v>
      </c>
      <c r="F648" s="93" t="str">
        <f t="shared" ref="F648:F711" si="103">IF(D648 = "",F647,D648)</f>
        <v>CP946</v>
      </c>
      <c r="G648" s="99" t="str">
        <f t="shared" si="99"/>
        <v>CP946-NEW DONOR -3rd</v>
      </c>
      <c r="H648" s="182"/>
      <c r="I648" s="34" t="s">
        <v>39</v>
      </c>
      <c r="J648" s="58">
        <v>100</v>
      </c>
      <c r="K648" s="62">
        <v>100</v>
      </c>
      <c r="L648" s="58">
        <v>100</v>
      </c>
      <c r="M648" s="58">
        <v>100</v>
      </c>
      <c r="N648" s="58">
        <v>100</v>
      </c>
      <c r="O648" s="58">
        <v>100</v>
      </c>
      <c r="P648" s="58">
        <v>100</v>
      </c>
      <c r="Q648" s="58">
        <v>100</v>
      </c>
      <c r="R648" s="23"/>
      <c r="S648" s="117" t="str">
        <f t="shared" si="100"/>
        <v>N</v>
      </c>
      <c r="T648" s="114">
        <f>IFERROR(SUMIF('Current NLData'!A:A,'Payment Changes'!G648,'Current NLData'!K:K)/COUNTIF('Current NLData'!A:A,'Payment Changes'!G648),0)+IFERROR(VLOOKUP(G648&amp;"-ALL",NLPaymentExport,10,FALSE),0)</f>
        <v>100</v>
      </c>
      <c r="U648" s="118">
        <f t="shared" si="101"/>
        <v>0</v>
      </c>
    </row>
    <row r="649" spans="1:54" ht="17.100000000000001" hidden="1" customHeight="1" outlineLevel="1" x14ac:dyDescent="0.25">
      <c r="A649" s="3"/>
      <c r="C649" s="4"/>
      <c r="D649" s="181"/>
      <c r="E649" s="91" t="str">
        <f t="shared" si="102"/>
        <v>Bedford</v>
      </c>
      <c r="F649" s="93" t="str">
        <f t="shared" si="103"/>
        <v>CP946</v>
      </c>
      <c r="G649" s="99" t="str">
        <f t="shared" si="99"/>
        <v>CP946-NEW DONOR -4th</v>
      </c>
      <c r="H649" s="182"/>
      <c r="I649" s="34" t="s">
        <v>40</v>
      </c>
      <c r="J649" s="58">
        <v>100</v>
      </c>
      <c r="K649" s="62">
        <v>100</v>
      </c>
      <c r="L649" s="58">
        <v>100</v>
      </c>
      <c r="M649" s="58">
        <v>100</v>
      </c>
      <c r="N649" s="58">
        <v>100</v>
      </c>
      <c r="O649" s="58">
        <v>100</v>
      </c>
      <c r="P649" s="58">
        <v>100</v>
      </c>
      <c r="Q649" s="58">
        <v>100</v>
      </c>
      <c r="R649" s="23"/>
      <c r="S649" s="117" t="str">
        <f t="shared" si="100"/>
        <v>N</v>
      </c>
      <c r="T649" s="114">
        <f>IFERROR(SUMIF('Current NLData'!A:A,'Payment Changes'!G649,'Current NLData'!K:K)/COUNTIF('Current NLData'!A:A,'Payment Changes'!G649),0)+IFERROR(VLOOKUP(G649&amp;"-ALL",NLPaymentExport,10,FALSE),0)</f>
        <v>100</v>
      </c>
      <c r="U649" s="118">
        <f t="shared" si="101"/>
        <v>0</v>
      </c>
    </row>
    <row r="650" spans="1:54" ht="17.100000000000001" hidden="1" customHeight="1" outlineLevel="1" x14ac:dyDescent="0.25">
      <c r="A650" s="3"/>
      <c r="C650" s="4"/>
      <c r="D650" s="181"/>
      <c r="E650" s="91" t="str">
        <f t="shared" si="102"/>
        <v>Bedford</v>
      </c>
      <c r="F650" s="93" t="str">
        <f t="shared" si="103"/>
        <v>CP946</v>
      </c>
      <c r="G650" s="99" t="str">
        <f t="shared" si="99"/>
        <v>CP946-NEW DONOR -5th</v>
      </c>
      <c r="H650" s="182"/>
      <c r="I650" s="34" t="s">
        <v>41</v>
      </c>
      <c r="J650" s="58">
        <v>100</v>
      </c>
      <c r="K650" s="62">
        <v>100</v>
      </c>
      <c r="L650" s="58">
        <v>100</v>
      </c>
      <c r="M650" s="58">
        <v>100</v>
      </c>
      <c r="N650" s="58">
        <v>100</v>
      </c>
      <c r="O650" s="58">
        <v>100</v>
      </c>
      <c r="P650" s="58">
        <v>100</v>
      </c>
      <c r="Q650" s="58">
        <v>100</v>
      </c>
      <c r="R650" s="23"/>
      <c r="S650" s="117" t="str">
        <f t="shared" si="100"/>
        <v>N</v>
      </c>
      <c r="T650" s="114">
        <f>IFERROR(SUMIF('Current NLData'!A:A,'Payment Changes'!G650,'Current NLData'!K:K)/COUNTIF('Current NLData'!A:A,'Payment Changes'!G650),0)+IFERROR(VLOOKUP(G650&amp;"-ALL",NLPaymentExport,10,FALSE),0)</f>
        <v>100</v>
      </c>
      <c r="U650" s="118">
        <f t="shared" si="101"/>
        <v>0</v>
      </c>
    </row>
    <row r="651" spans="1:54" ht="17.100000000000001" hidden="1" customHeight="1" outlineLevel="1" x14ac:dyDescent="0.25">
      <c r="A651" s="3"/>
      <c r="C651" s="4"/>
      <c r="D651" s="181"/>
      <c r="E651" s="91" t="str">
        <f t="shared" si="102"/>
        <v>Bedford</v>
      </c>
      <c r="F651" s="93" t="str">
        <f t="shared" si="103"/>
        <v>CP946</v>
      </c>
      <c r="G651" s="99" t="str">
        <f t="shared" si="99"/>
        <v>CP946-NEW DONOR -6th</v>
      </c>
      <c r="H651" s="182"/>
      <c r="I651" s="34" t="s">
        <v>42</v>
      </c>
      <c r="J651" s="58">
        <v>45</v>
      </c>
      <c r="K651" s="62">
        <v>45</v>
      </c>
      <c r="L651" s="58">
        <v>50</v>
      </c>
      <c r="M651" s="58">
        <v>100</v>
      </c>
      <c r="N651" s="58">
        <v>100</v>
      </c>
      <c r="O651" s="58">
        <v>100</v>
      </c>
      <c r="P651" s="58">
        <v>100</v>
      </c>
      <c r="Q651" s="58">
        <v>100</v>
      </c>
      <c r="R651" s="23"/>
      <c r="S651" s="117" t="str">
        <f t="shared" si="100"/>
        <v>N</v>
      </c>
      <c r="T651" s="114">
        <f>IFERROR(SUMIF('Current NLData'!A:A,'Payment Changes'!G651,'Current NLData'!K:K)/COUNTIF('Current NLData'!A:A,'Payment Changes'!G651),0)+IFERROR(VLOOKUP(G651&amp;"-ALL",NLPaymentExport,10,FALSE),0)</f>
        <v>100</v>
      </c>
      <c r="U651" s="118">
        <f t="shared" si="101"/>
        <v>0</v>
      </c>
    </row>
    <row r="652" spans="1:54" ht="17.100000000000001" hidden="1" customHeight="1" outlineLevel="1" x14ac:dyDescent="0.25">
      <c r="A652" s="3"/>
      <c r="C652" s="4"/>
      <c r="D652" s="181"/>
      <c r="E652" s="91" t="str">
        <f t="shared" si="102"/>
        <v>Bedford</v>
      </c>
      <c r="F652" s="93" t="str">
        <f t="shared" si="103"/>
        <v>CP946</v>
      </c>
      <c r="G652" s="99" t="str">
        <f t="shared" si="99"/>
        <v>CP946-NEW DONOR -7th</v>
      </c>
      <c r="H652" s="182"/>
      <c r="I652" s="34" t="s">
        <v>43</v>
      </c>
      <c r="J652" s="58">
        <v>45</v>
      </c>
      <c r="K652" s="62">
        <v>65</v>
      </c>
      <c r="L652" s="58">
        <v>50</v>
      </c>
      <c r="M652" s="58">
        <v>50</v>
      </c>
      <c r="N652" s="58">
        <v>50</v>
      </c>
      <c r="O652" s="58">
        <v>50</v>
      </c>
      <c r="P652" s="58">
        <v>50</v>
      </c>
      <c r="Q652" s="58">
        <v>50</v>
      </c>
      <c r="R652" s="23"/>
      <c r="S652" s="117" t="str">
        <f t="shared" si="100"/>
        <v>N</v>
      </c>
      <c r="T652" s="114">
        <f>IFERROR(SUMIF('Current NLData'!A:A,'Payment Changes'!G652,'Current NLData'!K:K)/COUNTIF('Current NLData'!A:A,'Payment Changes'!G652),0)+IFERROR(VLOOKUP(G652&amp;"-ALL",NLPaymentExport,10,FALSE),0)</f>
        <v>50</v>
      </c>
      <c r="U652" s="118">
        <f t="shared" si="101"/>
        <v>0</v>
      </c>
    </row>
    <row r="653" spans="1:54" ht="17.100000000000001" hidden="1" customHeight="1" outlineLevel="1" x14ac:dyDescent="0.25">
      <c r="A653" s="3"/>
      <c r="C653" s="4"/>
      <c r="D653" s="181"/>
      <c r="E653" s="91" t="str">
        <f t="shared" si="102"/>
        <v>Bedford</v>
      </c>
      <c r="F653" s="93" t="str">
        <f t="shared" si="103"/>
        <v>CP946</v>
      </c>
      <c r="G653" s="99" t="str">
        <f t="shared" si="99"/>
        <v>CP946-NEW DONOR -8th</v>
      </c>
      <c r="H653" s="182"/>
      <c r="I653" s="35" t="s">
        <v>44</v>
      </c>
      <c r="J653" s="63">
        <v>45</v>
      </c>
      <c r="K653" s="64">
        <v>45</v>
      </c>
      <c r="L653" s="63">
        <v>50</v>
      </c>
      <c r="M653" s="63">
        <v>50</v>
      </c>
      <c r="N653" s="63">
        <v>50</v>
      </c>
      <c r="O653" s="63">
        <v>50</v>
      </c>
      <c r="P653" s="63">
        <v>50</v>
      </c>
      <c r="Q653" s="63">
        <v>50</v>
      </c>
      <c r="R653" s="23"/>
      <c r="S653" s="117" t="str">
        <f t="shared" si="100"/>
        <v>N</v>
      </c>
      <c r="T653" s="114">
        <f>IFERROR(SUMIF('Current NLData'!A:A,'Payment Changes'!G653,'Current NLData'!K:K)/COUNTIF('Current NLData'!A:A,'Payment Changes'!G653),0)+IFERROR(VLOOKUP(G653&amp;"-ALL",NLPaymentExport,10,FALSE),0)</f>
        <v>50</v>
      </c>
      <c r="U653" s="118">
        <f t="shared" si="101"/>
        <v>0</v>
      </c>
    </row>
    <row r="654" spans="1:54" ht="17.100000000000001" hidden="1" customHeight="1" outlineLevel="1" x14ac:dyDescent="0.25">
      <c r="A654" s="3"/>
      <c r="C654" s="4"/>
      <c r="D654" s="181"/>
      <c r="E654" s="91" t="str">
        <f t="shared" si="102"/>
        <v>Bedford</v>
      </c>
      <c r="F654" s="93" t="str">
        <f t="shared" si="103"/>
        <v>CP946</v>
      </c>
      <c r="G654" s="99" t="str">
        <f t="shared" si="99"/>
        <v>CP946-RETURN - 1st don of the week -STD</v>
      </c>
      <c r="H654" s="182"/>
      <c r="I654" s="36" t="s">
        <v>45</v>
      </c>
      <c r="J654" s="58">
        <v>45</v>
      </c>
      <c r="K654" s="58">
        <v>45</v>
      </c>
      <c r="L654" s="58">
        <v>50</v>
      </c>
      <c r="M654" s="58">
        <v>50</v>
      </c>
      <c r="N654" s="58">
        <v>50</v>
      </c>
      <c r="O654" s="58">
        <v>50</v>
      </c>
      <c r="P654" s="58">
        <v>50</v>
      </c>
      <c r="Q654" s="58">
        <v>50</v>
      </c>
      <c r="R654" s="22"/>
      <c r="S654" s="117" t="str">
        <f t="shared" si="100"/>
        <v>N</v>
      </c>
      <c r="T654" s="114">
        <f>IFERROR(SUMIF('Current NLData'!A:A,'Payment Changes'!G654,'Current NLData'!K:K)/COUNTIF('Current NLData'!A:A,'Payment Changes'!G654),0)+IFERROR(VLOOKUP(G654&amp;"-ALL",NLPaymentExport,10,FALSE),0)</f>
        <v>50</v>
      </c>
      <c r="U654" s="118">
        <f t="shared" si="101"/>
        <v>0</v>
      </c>
    </row>
    <row r="655" spans="1:54" ht="17.100000000000001" hidden="1" customHeight="1" outlineLevel="1" x14ac:dyDescent="0.25">
      <c r="A655" s="3"/>
      <c r="C655" s="4"/>
      <c r="D655" s="181"/>
      <c r="E655" s="91" t="str">
        <f t="shared" si="102"/>
        <v>Bedford</v>
      </c>
      <c r="F655" s="93" t="str">
        <f t="shared" si="103"/>
        <v>CP946</v>
      </c>
      <c r="G655" s="99" t="str">
        <f t="shared" si="99"/>
        <v>CP946-RETURN - 2nd don of the week -BONUS</v>
      </c>
      <c r="H655" s="182"/>
      <c r="I655" s="36" t="s">
        <v>46</v>
      </c>
      <c r="J655" s="58">
        <v>20</v>
      </c>
      <c r="K655" s="58">
        <v>20</v>
      </c>
      <c r="L655" s="58">
        <v>20</v>
      </c>
      <c r="M655" s="58">
        <v>20</v>
      </c>
      <c r="N655" s="58">
        <v>20</v>
      </c>
      <c r="O655" s="58">
        <v>20</v>
      </c>
      <c r="P655" s="58">
        <v>20</v>
      </c>
      <c r="Q655" s="58">
        <v>20</v>
      </c>
      <c r="R655" s="22"/>
      <c r="S655" s="117" t="str">
        <f t="shared" si="100"/>
        <v>N</v>
      </c>
      <c r="T655" s="114">
        <f>IFERROR(SUMIF('Current NLData'!A:A,'Payment Changes'!G655,'Current NLData'!K:K)/COUNTIF('Current NLData'!A:A,'Payment Changes'!G655),0)+IFERROR(VLOOKUP(G655&amp;"-ALL",NLPaymentExport,10,FALSE),0)</f>
        <v>20</v>
      </c>
      <c r="U655" s="118">
        <f t="shared" si="101"/>
        <v>0</v>
      </c>
    </row>
    <row r="656" spans="1:54" ht="17.100000000000001" hidden="1" customHeight="1" outlineLevel="1" x14ac:dyDescent="0.25">
      <c r="A656" s="3"/>
      <c r="C656" s="4"/>
      <c r="D656" s="181"/>
      <c r="E656" s="91" t="str">
        <f t="shared" si="102"/>
        <v>Bedford</v>
      </c>
      <c r="F656" s="93" t="str">
        <f t="shared" si="103"/>
        <v>CP946</v>
      </c>
      <c r="G656" s="99" t="str">
        <f t="shared" si="99"/>
        <v>CP946-RETURN - 5th don of the month -BONUS</v>
      </c>
      <c r="H656" s="182"/>
      <c r="I656" s="37" t="s">
        <v>47</v>
      </c>
      <c r="J656" s="65">
        <v>0</v>
      </c>
      <c r="K656" s="65">
        <v>0</v>
      </c>
      <c r="L656" s="65">
        <v>0</v>
      </c>
      <c r="M656" s="65">
        <v>0</v>
      </c>
      <c r="N656" s="65">
        <v>0</v>
      </c>
      <c r="O656" s="65">
        <v>0</v>
      </c>
      <c r="P656" s="65">
        <v>0</v>
      </c>
      <c r="Q656" s="65">
        <v>0</v>
      </c>
      <c r="R656" s="22"/>
      <c r="S656" s="117" t="str">
        <f t="shared" si="100"/>
        <v>N</v>
      </c>
      <c r="T656" s="114">
        <f>IFERROR(SUMIF('Current NLData'!A:A,'Payment Changes'!G656,'Current NLData'!K:K)/COUNTIF('Current NLData'!A:A,'Payment Changes'!G656),0)+IFERROR(VLOOKUP(G656&amp;"-ALL",NLPaymentExport,10,FALSE),0)</f>
        <v>0</v>
      </c>
      <c r="U656" s="118">
        <f t="shared" si="101"/>
        <v>0</v>
      </c>
    </row>
    <row r="657" spans="1:54" ht="17.100000000000001" hidden="1" customHeight="1" outlineLevel="1" x14ac:dyDescent="0.25">
      <c r="A657" s="3"/>
      <c r="C657" s="4"/>
      <c r="D657" s="181"/>
      <c r="E657" s="91" t="str">
        <f t="shared" si="102"/>
        <v>Bedford</v>
      </c>
      <c r="F657" s="93" t="str">
        <f t="shared" si="103"/>
        <v>CP946</v>
      </c>
      <c r="G657" s="99" t="str">
        <f t="shared" si="99"/>
        <v>CP946-RETURN - 6th don of the month -BONUS</v>
      </c>
      <c r="H657" s="182"/>
      <c r="I657" s="38" t="s">
        <v>48</v>
      </c>
      <c r="J657" s="58">
        <v>0</v>
      </c>
      <c r="K657" s="58">
        <v>0</v>
      </c>
      <c r="L657" s="58">
        <v>30</v>
      </c>
      <c r="M657" s="58">
        <v>30</v>
      </c>
      <c r="N657" s="58">
        <v>30</v>
      </c>
      <c r="O657" s="58">
        <v>30</v>
      </c>
      <c r="P657" s="58">
        <v>30</v>
      </c>
      <c r="Q657" s="58">
        <v>30</v>
      </c>
      <c r="R657" s="22"/>
      <c r="S657" s="117" t="str">
        <f t="shared" si="100"/>
        <v>N</v>
      </c>
      <c r="T657" s="114">
        <f>IFERROR(SUMIF('Current NLData'!A:A,'Payment Changes'!G657,'Current NLData'!K:K)/COUNTIF('Current NLData'!A:A,'Payment Changes'!G657),0)+IFERROR(VLOOKUP(G657&amp;"-ALL",NLPaymentExport,10,FALSE),0)</f>
        <v>30</v>
      </c>
      <c r="U657" s="118">
        <f t="shared" si="101"/>
        <v>0</v>
      </c>
    </row>
    <row r="658" spans="1:54" ht="17.100000000000001" hidden="1" customHeight="1" outlineLevel="1" x14ac:dyDescent="0.25">
      <c r="A658" s="3"/>
      <c r="C658" s="4"/>
      <c r="D658" s="181"/>
      <c r="E658" s="91" t="str">
        <f t="shared" si="102"/>
        <v>Bedford</v>
      </c>
      <c r="F658" s="93" t="str">
        <f t="shared" si="103"/>
        <v>CP946</v>
      </c>
      <c r="G658" s="99" t="str">
        <f t="shared" si="99"/>
        <v>CP946-RETURN - 7th don of the month -BONUS</v>
      </c>
      <c r="H658" s="182"/>
      <c r="I658" s="38" t="s">
        <v>49</v>
      </c>
      <c r="J658" s="58">
        <v>0</v>
      </c>
      <c r="K658" s="58">
        <v>0</v>
      </c>
      <c r="L658" s="58">
        <v>0</v>
      </c>
      <c r="M658" s="58">
        <v>0</v>
      </c>
      <c r="N658" s="58">
        <v>0</v>
      </c>
      <c r="O658" s="58">
        <v>0</v>
      </c>
      <c r="P658" s="58">
        <v>0</v>
      </c>
      <c r="Q658" s="58">
        <v>0</v>
      </c>
      <c r="R658" s="22"/>
      <c r="S658" s="117" t="str">
        <f t="shared" si="100"/>
        <v>N</v>
      </c>
      <c r="T658" s="114">
        <f>IFERROR(SUMIF('Current NLData'!A:A,'Payment Changes'!G658,'Current NLData'!K:K)/COUNTIF('Current NLData'!A:A,'Payment Changes'!G658),0)+IFERROR(VLOOKUP(G658&amp;"-ALL",NLPaymentExport,10,FALSE),0)</f>
        <v>0</v>
      </c>
      <c r="U658" s="118">
        <f t="shared" si="101"/>
        <v>0</v>
      </c>
    </row>
    <row r="659" spans="1:54" ht="17.100000000000001" hidden="1" customHeight="1" outlineLevel="1" x14ac:dyDescent="0.25">
      <c r="A659" s="3"/>
      <c r="C659" s="4"/>
      <c r="D659" s="181"/>
      <c r="E659" s="91" t="str">
        <f t="shared" si="102"/>
        <v>Bedford</v>
      </c>
      <c r="F659" s="93" t="str">
        <f t="shared" si="103"/>
        <v>CP946</v>
      </c>
      <c r="G659" s="99" t="str">
        <f t="shared" si="99"/>
        <v>CP946-RETURN - 8th don of the month -BONUS</v>
      </c>
      <c r="H659" s="182"/>
      <c r="I659" s="38" t="s">
        <v>50</v>
      </c>
      <c r="J659" s="58">
        <v>60</v>
      </c>
      <c r="K659" s="58">
        <v>60</v>
      </c>
      <c r="L659" s="58">
        <v>0</v>
      </c>
      <c r="M659" s="58">
        <v>0</v>
      </c>
      <c r="N659" s="58">
        <v>0</v>
      </c>
      <c r="O659" s="58">
        <v>0</v>
      </c>
      <c r="P659" s="58">
        <v>0</v>
      </c>
      <c r="Q659" s="58">
        <v>0</v>
      </c>
      <c r="R659" s="22"/>
      <c r="S659" s="117" t="str">
        <f t="shared" si="100"/>
        <v>N</v>
      </c>
      <c r="T659" s="114">
        <f>IFERROR(SUMIF('Current NLData'!A:A,'Payment Changes'!G659,'Current NLData'!K:K)/COUNTIF('Current NLData'!A:A,'Payment Changes'!G659),0)+IFERROR(VLOOKUP(G659&amp;"-ALL",NLPaymentExport,10,FALSE),0)</f>
        <v>0</v>
      </c>
      <c r="U659" s="118">
        <f t="shared" si="101"/>
        <v>0</v>
      </c>
    </row>
    <row r="660" spans="1:54" ht="17.100000000000001" hidden="1" customHeight="1" outlineLevel="1" x14ac:dyDescent="0.25">
      <c r="A660" s="3"/>
      <c r="C660" s="4" t="str">
        <f>IF(J660=0,"Warning","")</f>
        <v/>
      </c>
      <c r="D660" s="181"/>
      <c r="E660" s="91" t="str">
        <f t="shared" si="102"/>
        <v>Bedford</v>
      </c>
      <c r="F660" s="93" t="str">
        <f t="shared" si="103"/>
        <v>CP946</v>
      </c>
      <c r="G660" s="99" t="str">
        <f t="shared" si="99"/>
        <v>CP946-RETURN - Buddy referral  -BONUS</v>
      </c>
      <c r="H660" s="182"/>
      <c r="I660" s="39" t="s">
        <v>51</v>
      </c>
      <c r="J660" s="58">
        <v>50</v>
      </c>
      <c r="K660" s="57">
        <v>0</v>
      </c>
      <c r="L660" s="56">
        <v>0</v>
      </c>
      <c r="M660" s="56">
        <v>50</v>
      </c>
      <c r="N660" s="56">
        <v>50</v>
      </c>
      <c r="O660" s="56">
        <v>50</v>
      </c>
      <c r="P660" s="56">
        <v>50</v>
      </c>
      <c r="Q660" s="56">
        <v>50</v>
      </c>
      <c r="R660" s="23"/>
      <c r="S660" s="117" t="str">
        <f t="shared" si="100"/>
        <v>N</v>
      </c>
      <c r="T660" s="114">
        <f>IFERROR(SUMIF('Current NLData'!A:A,'Payment Changes'!G660,'Current NLData'!K:K)/COUNTIF('Current NLData'!A:A,'Payment Changes'!G660),0)+IFERROR(VLOOKUP(G660&amp;"-ALL",NLPaymentExport,10,FALSE),0)</f>
        <v>50</v>
      </c>
      <c r="U660" s="118">
        <f t="shared" si="101"/>
        <v>0</v>
      </c>
    </row>
    <row r="661" spans="1:54" s="90" customFormat="1" ht="17.100000000000001" hidden="1" customHeight="1" collapsed="1" x14ac:dyDescent="0.35">
      <c r="A661" s="85"/>
      <c r="B661" s="85"/>
      <c r="C661" s="86"/>
      <c r="D661" s="87"/>
      <c r="E661" s="87"/>
      <c r="F661" s="87"/>
      <c r="G661" s="87"/>
      <c r="H661" s="96"/>
      <c r="I661" s="88"/>
      <c r="J661" s="89"/>
      <c r="K661" s="89"/>
      <c r="L661" s="89"/>
      <c r="M661" s="89"/>
      <c r="N661" s="89"/>
      <c r="O661" s="89"/>
      <c r="P661" s="89"/>
      <c r="Q661" s="89"/>
      <c r="R661" s="21"/>
      <c r="S661" s="117" t="str">
        <f t="shared" si="100"/>
        <v>N</v>
      </c>
      <c r="T661" s="114">
        <f>IFERROR(SUMIF('Current NLData'!A:A,'Payment Changes'!G661,'Current NLData'!K:K)/COUNTIF('Current NLData'!A:A,'Payment Changes'!G661),0)+IFERROR(VLOOKUP(G661&amp;"-ALL",NLPaymentExport,10,FALSE),0)</f>
        <v>0</v>
      </c>
      <c r="U661" s="118" t="str">
        <f t="shared" si="101"/>
        <v/>
      </c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</row>
    <row r="662" spans="1:54" s="10" customFormat="1" ht="17.100000000000001" hidden="1" customHeight="1" x14ac:dyDescent="0.25">
      <c r="A662" s="165">
        <v>34</v>
      </c>
      <c r="B662" s="168" t="s">
        <v>224</v>
      </c>
      <c r="C662" s="171" t="s">
        <v>19</v>
      </c>
      <c r="D662" s="174" t="s">
        <v>157</v>
      </c>
      <c r="E662" s="106" t="str">
        <f t="shared" si="102"/>
        <v>Lithia Springs</v>
      </c>
      <c r="F662" s="107" t="s">
        <v>225</v>
      </c>
      <c r="G662" s="108" t="str">
        <f t="shared" ref="G662:G680" si="104">F662&amp;"-"&amp;I662</f>
        <v>CP949-New Donor</v>
      </c>
      <c r="H662" s="177" t="s">
        <v>75</v>
      </c>
      <c r="I662" s="76" t="s">
        <v>23</v>
      </c>
      <c r="J662" s="40" t="s">
        <v>226</v>
      </c>
      <c r="K662" s="41" t="s">
        <v>227</v>
      </c>
      <c r="L662" s="41" t="s">
        <v>183</v>
      </c>
      <c r="M662" s="42" t="s">
        <v>183</v>
      </c>
      <c r="N662" s="40" t="s">
        <v>183</v>
      </c>
      <c r="O662" s="40" t="s">
        <v>183</v>
      </c>
      <c r="P662" s="40" t="s">
        <v>183</v>
      </c>
      <c r="Q662" s="40" t="s">
        <v>183</v>
      </c>
      <c r="R662" s="109"/>
      <c r="S662" s="117" t="str">
        <f t="shared" si="100"/>
        <v>N</v>
      </c>
      <c r="T662" s="114">
        <f>IFERROR(SUMIF('Current NLData'!A:A,'Payment Changes'!G662,'Current NLData'!K:K)/COUNTIF('Current NLData'!A:A,'Payment Changes'!G662),0)+IFERROR(VLOOKUP(G662&amp;"-ALL",NLPaymentExport,10,FALSE),0)</f>
        <v>0</v>
      </c>
      <c r="U662" s="118" t="str">
        <f t="shared" si="101"/>
        <v/>
      </c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</row>
    <row r="663" spans="1:54" ht="17.100000000000001" hidden="1" customHeight="1" x14ac:dyDescent="0.25">
      <c r="A663" s="166"/>
      <c r="B663" s="169"/>
      <c r="C663" s="172"/>
      <c r="D663" s="175"/>
      <c r="E663" s="91" t="str">
        <f t="shared" si="102"/>
        <v>Lithia Springs</v>
      </c>
      <c r="F663" s="92" t="s">
        <v>225</v>
      </c>
      <c r="G663" s="98" t="str">
        <f t="shared" si="104"/>
        <v>CP949-Return Donor</v>
      </c>
      <c r="H663" s="178"/>
      <c r="I663" s="77" t="s">
        <v>29</v>
      </c>
      <c r="J663" s="43" t="s">
        <v>228</v>
      </c>
      <c r="K663" s="43" t="s">
        <v>228</v>
      </c>
      <c r="L663" s="44" t="s">
        <v>228</v>
      </c>
      <c r="M663" s="45" t="s">
        <v>228</v>
      </c>
      <c r="N663" s="43" t="s">
        <v>228</v>
      </c>
      <c r="O663" s="43" t="s">
        <v>228</v>
      </c>
      <c r="P663" s="43" t="s">
        <v>228</v>
      </c>
      <c r="Q663" s="43" t="s">
        <v>228</v>
      </c>
      <c r="R663" s="21"/>
      <c r="S663" s="117" t="str">
        <f t="shared" si="100"/>
        <v>N</v>
      </c>
      <c r="T663" s="114">
        <f>IFERROR(SUMIF('Current NLData'!A:A,'Payment Changes'!G663,'Current NLData'!K:K)/COUNTIF('Current NLData'!A:A,'Payment Changes'!G663),0)+IFERROR(VLOOKUP(G663&amp;"-ALL",NLPaymentExport,10,FALSE),0)</f>
        <v>0</v>
      </c>
      <c r="U663" s="118" t="str">
        <f t="shared" si="101"/>
        <v/>
      </c>
    </row>
    <row r="664" spans="1:54" ht="17.100000000000001" hidden="1" customHeight="1" x14ac:dyDescent="0.25">
      <c r="A664" s="166"/>
      <c r="B664" s="169"/>
      <c r="C664" s="172"/>
      <c r="D664" s="175"/>
      <c r="E664" s="91" t="str">
        <f t="shared" si="102"/>
        <v>Lithia Springs</v>
      </c>
      <c r="F664" s="92" t="s">
        <v>225</v>
      </c>
      <c r="G664" s="98" t="str">
        <f t="shared" si="104"/>
        <v>CP949-Retention Bonus</v>
      </c>
      <c r="H664" s="178"/>
      <c r="I664" s="78" t="s">
        <v>30</v>
      </c>
      <c r="J664" s="46" t="s">
        <v>229</v>
      </c>
      <c r="K664" s="46" t="s">
        <v>229</v>
      </c>
      <c r="L664" s="47" t="s">
        <v>32</v>
      </c>
      <c r="M664" s="48" t="s">
        <v>32</v>
      </c>
      <c r="N664" s="46" t="s">
        <v>32</v>
      </c>
      <c r="O664" s="46" t="s">
        <v>32</v>
      </c>
      <c r="P664" s="46" t="s">
        <v>32</v>
      </c>
      <c r="Q664" s="46" t="s">
        <v>32</v>
      </c>
      <c r="R664" s="21"/>
      <c r="S664" s="117" t="str">
        <f t="shared" si="100"/>
        <v>N</v>
      </c>
      <c r="T664" s="114">
        <f>IFERROR(SUMIF('Current NLData'!A:A,'Payment Changes'!G664,'Current NLData'!K:K)/COUNTIF('Current NLData'!A:A,'Payment Changes'!G664),0)+IFERROR(VLOOKUP(G664&amp;"-ALL",NLPaymentExport,10,FALSE),0)</f>
        <v>0</v>
      </c>
      <c r="U664" s="118" t="str">
        <f t="shared" si="101"/>
        <v/>
      </c>
    </row>
    <row r="665" spans="1:54" s="15" customFormat="1" ht="17.100000000000001" hidden="1" customHeight="1" x14ac:dyDescent="0.25">
      <c r="A665" s="167"/>
      <c r="B665" s="170"/>
      <c r="C665" s="173"/>
      <c r="D665" s="176"/>
      <c r="E665" s="110" t="str">
        <f t="shared" si="102"/>
        <v>Lithia Springs</v>
      </c>
      <c r="F665" s="111" t="s">
        <v>225</v>
      </c>
      <c r="G665" s="112" t="str">
        <f t="shared" si="104"/>
        <v>CP949-Referral</v>
      </c>
      <c r="H665" s="179"/>
      <c r="I665" s="79" t="s">
        <v>34</v>
      </c>
      <c r="J665" s="49">
        <v>50</v>
      </c>
      <c r="K665" s="49">
        <v>50</v>
      </c>
      <c r="L665" s="50" t="s">
        <v>32</v>
      </c>
      <c r="M665" s="51" t="s">
        <v>32</v>
      </c>
      <c r="N665" s="49" t="s">
        <v>32</v>
      </c>
      <c r="O665" s="49">
        <v>50</v>
      </c>
      <c r="P665" s="49">
        <v>50</v>
      </c>
      <c r="Q665" s="49">
        <v>50</v>
      </c>
      <c r="R665" s="113"/>
      <c r="S665" s="117" t="str">
        <f t="shared" si="100"/>
        <v>N</v>
      </c>
      <c r="T665" s="114">
        <f>IFERROR(SUMIF('Current NLData'!A:A,'Payment Changes'!G665,'Current NLData'!K:K)/COUNTIF('Current NLData'!A:A,'Payment Changes'!G665),0)+IFERROR(VLOOKUP(G665&amp;"-ALL",NLPaymentExport,10,FALSE),0)</f>
        <v>0</v>
      </c>
      <c r="U665" s="118" t="str">
        <f t="shared" si="101"/>
        <v/>
      </c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</row>
    <row r="666" spans="1:54" ht="17.100000000000001" hidden="1" customHeight="1" outlineLevel="1" x14ac:dyDescent="0.25">
      <c r="A666" s="3"/>
      <c r="C666" s="4"/>
      <c r="D666" s="180" t="s">
        <v>225</v>
      </c>
      <c r="E666" s="91" t="str">
        <f t="shared" si="102"/>
        <v>Lithia Springs</v>
      </c>
      <c r="F666" s="93" t="str">
        <f t="shared" si="103"/>
        <v>CP949</v>
      </c>
      <c r="G666" s="99" t="str">
        <f t="shared" si="104"/>
        <v>CP949-NEW DONOR -1st</v>
      </c>
      <c r="H666" s="182" t="s">
        <v>36</v>
      </c>
      <c r="I666" s="33" t="s">
        <v>37</v>
      </c>
      <c r="J666" s="60">
        <v>100</v>
      </c>
      <c r="K666" s="61">
        <v>100</v>
      </c>
      <c r="L666" s="60">
        <v>100</v>
      </c>
      <c r="M666" s="60">
        <v>100</v>
      </c>
      <c r="N666" s="60">
        <v>100</v>
      </c>
      <c r="O666" s="60">
        <v>100</v>
      </c>
      <c r="P666" s="60">
        <v>100</v>
      </c>
      <c r="Q666" s="60">
        <v>100</v>
      </c>
      <c r="R666" s="23"/>
      <c r="S666" s="117" t="str">
        <f t="shared" si="100"/>
        <v>N</v>
      </c>
      <c r="T666" s="114">
        <f>IFERROR(SUMIF('Current NLData'!A:A,'Payment Changes'!G666,'Current NLData'!K:K)/COUNTIF('Current NLData'!A:A,'Payment Changes'!G666),0)+IFERROR(VLOOKUP(G666&amp;"-ALL",NLPaymentExport,10,FALSE),0)</f>
        <v>100</v>
      </c>
      <c r="U666" s="118">
        <f t="shared" si="101"/>
        <v>0</v>
      </c>
    </row>
    <row r="667" spans="1:54" ht="17.100000000000001" hidden="1" customHeight="1" outlineLevel="1" x14ac:dyDescent="0.25">
      <c r="A667" s="3"/>
      <c r="C667" s="4"/>
      <c r="D667" s="181"/>
      <c r="E667" s="91" t="str">
        <f t="shared" si="102"/>
        <v>Lithia Springs</v>
      </c>
      <c r="F667" s="93" t="str">
        <f t="shared" si="103"/>
        <v>CP949</v>
      </c>
      <c r="G667" s="99" t="str">
        <f t="shared" si="104"/>
        <v>CP949-NEW DONOR -2nd</v>
      </c>
      <c r="H667" s="182"/>
      <c r="I667" s="34" t="s">
        <v>38</v>
      </c>
      <c r="J667" s="58">
        <v>100</v>
      </c>
      <c r="K667" s="62">
        <v>100</v>
      </c>
      <c r="L667" s="58">
        <v>100</v>
      </c>
      <c r="M667" s="58">
        <v>100</v>
      </c>
      <c r="N667" s="58">
        <v>100</v>
      </c>
      <c r="O667" s="58">
        <v>100</v>
      </c>
      <c r="P667" s="58">
        <v>100</v>
      </c>
      <c r="Q667" s="58">
        <v>100</v>
      </c>
      <c r="R667" s="23"/>
      <c r="S667" s="117" t="str">
        <f t="shared" si="100"/>
        <v>N</v>
      </c>
      <c r="T667" s="114">
        <f>IFERROR(SUMIF('Current NLData'!A:A,'Payment Changes'!G667,'Current NLData'!K:K)/COUNTIF('Current NLData'!A:A,'Payment Changes'!G667),0)+IFERROR(VLOOKUP(G667&amp;"-ALL",NLPaymentExport,10,FALSE),0)</f>
        <v>100</v>
      </c>
      <c r="U667" s="118">
        <f t="shared" si="101"/>
        <v>0</v>
      </c>
    </row>
    <row r="668" spans="1:54" ht="17.100000000000001" hidden="1" customHeight="1" outlineLevel="1" x14ac:dyDescent="0.25">
      <c r="A668" s="3"/>
      <c r="C668" s="4"/>
      <c r="D668" s="181"/>
      <c r="E668" s="91" t="str">
        <f t="shared" si="102"/>
        <v>Lithia Springs</v>
      </c>
      <c r="F668" s="93" t="str">
        <f t="shared" si="103"/>
        <v>CP949</v>
      </c>
      <c r="G668" s="99" t="str">
        <f t="shared" si="104"/>
        <v>CP949-NEW DONOR -3rd</v>
      </c>
      <c r="H668" s="182"/>
      <c r="I668" s="34" t="s">
        <v>39</v>
      </c>
      <c r="J668" s="58">
        <v>100</v>
      </c>
      <c r="K668" s="62">
        <v>100</v>
      </c>
      <c r="L668" s="58">
        <v>100</v>
      </c>
      <c r="M668" s="58">
        <v>100</v>
      </c>
      <c r="N668" s="58">
        <v>100</v>
      </c>
      <c r="O668" s="58">
        <v>100</v>
      </c>
      <c r="P668" s="58">
        <v>100</v>
      </c>
      <c r="Q668" s="58">
        <v>100</v>
      </c>
      <c r="R668" s="23"/>
      <c r="S668" s="117" t="str">
        <f t="shared" si="100"/>
        <v>N</v>
      </c>
      <c r="T668" s="114">
        <f>IFERROR(SUMIF('Current NLData'!A:A,'Payment Changes'!G668,'Current NLData'!K:K)/COUNTIF('Current NLData'!A:A,'Payment Changes'!G668),0)+IFERROR(VLOOKUP(G668&amp;"-ALL",NLPaymentExport,10,FALSE),0)</f>
        <v>100</v>
      </c>
      <c r="U668" s="118">
        <f t="shared" si="101"/>
        <v>0</v>
      </c>
    </row>
    <row r="669" spans="1:54" ht="17.100000000000001" hidden="1" customHeight="1" outlineLevel="1" x14ac:dyDescent="0.25">
      <c r="A669" s="3"/>
      <c r="C669" s="4"/>
      <c r="D669" s="181"/>
      <c r="E669" s="91" t="str">
        <f t="shared" si="102"/>
        <v>Lithia Springs</v>
      </c>
      <c r="F669" s="93" t="str">
        <f t="shared" si="103"/>
        <v>CP949</v>
      </c>
      <c r="G669" s="99" t="str">
        <f t="shared" si="104"/>
        <v>CP949-NEW DONOR -4th</v>
      </c>
      <c r="H669" s="182"/>
      <c r="I669" s="34" t="s">
        <v>40</v>
      </c>
      <c r="J669" s="58">
        <v>100</v>
      </c>
      <c r="K669" s="62">
        <v>100</v>
      </c>
      <c r="L669" s="58">
        <v>100</v>
      </c>
      <c r="M669" s="58">
        <v>100</v>
      </c>
      <c r="N669" s="58">
        <v>100</v>
      </c>
      <c r="O669" s="58">
        <v>100</v>
      </c>
      <c r="P669" s="58">
        <v>100</v>
      </c>
      <c r="Q669" s="58">
        <v>100</v>
      </c>
      <c r="R669" s="23"/>
      <c r="S669" s="117" t="str">
        <f t="shared" si="100"/>
        <v>N</v>
      </c>
      <c r="T669" s="114">
        <f>IFERROR(SUMIF('Current NLData'!A:A,'Payment Changes'!G669,'Current NLData'!K:K)/COUNTIF('Current NLData'!A:A,'Payment Changes'!G669),0)+IFERROR(VLOOKUP(G669&amp;"-ALL",NLPaymentExport,10,FALSE),0)</f>
        <v>100</v>
      </c>
      <c r="U669" s="118">
        <f t="shared" si="101"/>
        <v>0</v>
      </c>
    </row>
    <row r="670" spans="1:54" ht="17.100000000000001" hidden="1" customHeight="1" outlineLevel="1" x14ac:dyDescent="0.25">
      <c r="A670" s="3"/>
      <c r="C670" s="4"/>
      <c r="D670" s="181"/>
      <c r="E670" s="91" t="str">
        <f t="shared" si="102"/>
        <v>Lithia Springs</v>
      </c>
      <c r="F670" s="93" t="str">
        <f t="shared" si="103"/>
        <v>CP949</v>
      </c>
      <c r="G670" s="99" t="str">
        <f t="shared" si="104"/>
        <v>CP949-NEW DONOR -5th</v>
      </c>
      <c r="H670" s="182"/>
      <c r="I670" s="34" t="s">
        <v>41</v>
      </c>
      <c r="J670" s="58">
        <v>50</v>
      </c>
      <c r="K670" s="62">
        <v>50</v>
      </c>
      <c r="L670" s="58">
        <v>50</v>
      </c>
      <c r="M670" s="58">
        <v>50</v>
      </c>
      <c r="N670" s="58">
        <v>50</v>
      </c>
      <c r="O670" s="58">
        <v>50</v>
      </c>
      <c r="P670" s="58">
        <v>50</v>
      </c>
      <c r="Q670" s="58">
        <v>50</v>
      </c>
      <c r="R670" s="23"/>
      <c r="S670" s="117" t="str">
        <f t="shared" si="100"/>
        <v>N</v>
      </c>
      <c r="T670" s="114">
        <f>IFERROR(SUMIF('Current NLData'!A:A,'Payment Changes'!G670,'Current NLData'!K:K)/COUNTIF('Current NLData'!A:A,'Payment Changes'!G670),0)+IFERROR(VLOOKUP(G670&amp;"-ALL",NLPaymentExport,10,FALSE),0)</f>
        <v>50</v>
      </c>
      <c r="U670" s="118">
        <f t="shared" si="101"/>
        <v>0</v>
      </c>
    </row>
    <row r="671" spans="1:54" ht="17.100000000000001" hidden="1" customHeight="1" outlineLevel="1" x14ac:dyDescent="0.25">
      <c r="A671" s="3"/>
      <c r="C671" s="4"/>
      <c r="D671" s="181"/>
      <c r="E671" s="91" t="str">
        <f t="shared" si="102"/>
        <v>Lithia Springs</v>
      </c>
      <c r="F671" s="93" t="str">
        <f t="shared" si="103"/>
        <v>CP949</v>
      </c>
      <c r="G671" s="99" t="str">
        <f t="shared" si="104"/>
        <v>CP949-NEW DONOR -6th</v>
      </c>
      <c r="H671" s="182"/>
      <c r="I671" s="34" t="s">
        <v>42</v>
      </c>
      <c r="J671" s="58">
        <v>50</v>
      </c>
      <c r="K671" s="62">
        <v>65</v>
      </c>
      <c r="L671" s="58">
        <v>50</v>
      </c>
      <c r="M671" s="58">
        <v>50</v>
      </c>
      <c r="N671" s="58">
        <v>50</v>
      </c>
      <c r="O671" s="58">
        <v>50</v>
      </c>
      <c r="P671" s="58">
        <v>50</v>
      </c>
      <c r="Q671" s="58">
        <v>50</v>
      </c>
      <c r="R671" s="23"/>
      <c r="S671" s="117" t="str">
        <f t="shared" si="100"/>
        <v>N</v>
      </c>
      <c r="T671" s="114">
        <f>IFERROR(SUMIF('Current NLData'!A:A,'Payment Changes'!G671,'Current NLData'!K:K)/COUNTIF('Current NLData'!A:A,'Payment Changes'!G671),0)+IFERROR(VLOOKUP(G671&amp;"-ALL",NLPaymentExport,10,FALSE),0)</f>
        <v>50</v>
      </c>
      <c r="U671" s="118">
        <f t="shared" si="101"/>
        <v>0</v>
      </c>
    </row>
    <row r="672" spans="1:54" ht="17.100000000000001" hidden="1" customHeight="1" outlineLevel="1" x14ac:dyDescent="0.25">
      <c r="A672" s="3"/>
      <c r="C672" s="4"/>
      <c r="D672" s="181"/>
      <c r="E672" s="91" t="str">
        <f t="shared" si="102"/>
        <v>Lithia Springs</v>
      </c>
      <c r="F672" s="93" t="str">
        <f t="shared" si="103"/>
        <v>CP949</v>
      </c>
      <c r="G672" s="99" t="str">
        <f t="shared" si="104"/>
        <v>CP949-NEW DONOR -7th</v>
      </c>
      <c r="H672" s="182"/>
      <c r="I672" s="34" t="s">
        <v>43</v>
      </c>
      <c r="J672" s="58">
        <v>50</v>
      </c>
      <c r="K672" s="62">
        <v>50</v>
      </c>
      <c r="L672" s="58">
        <v>50</v>
      </c>
      <c r="M672" s="58">
        <v>50</v>
      </c>
      <c r="N672" s="58">
        <v>50</v>
      </c>
      <c r="O672" s="58">
        <v>50</v>
      </c>
      <c r="P672" s="58">
        <v>50</v>
      </c>
      <c r="Q672" s="58">
        <v>50</v>
      </c>
      <c r="R672" s="23"/>
      <c r="S672" s="117" t="str">
        <f t="shared" si="100"/>
        <v>N</v>
      </c>
      <c r="T672" s="114">
        <f>IFERROR(SUMIF('Current NLData'!A:A,'Payment Changes'!G672,'Current NLData'!K:K)/COUNTIF('Current NLData'!A:A,'Payment Changes'!G672),0)+IFERROR(VLOOKUP(G672&amp;"-ALL",NLPaymentExport,10,FALSE),0)</f>
        <v>50</v>
      </c>
      <c r="U672" s="118">
        <f t="shared" si="101"/>
        <v>0</v>
      </c>
    </row>
    <row r="673" spans="1:54" ht="17.100000000000001" hidden="1" customHeight="1" outlineLevel="1" x14ac:dyDescent="0.25">
      <c r="A673" s="3"/>
      <c r="C673" s="4"/>
      <c r="D673" s="181"/>
      <c r="E673" s="91" t="str">
        <f t="shared" si="102"/>
        <v>Lithia Springs</v>
      </c>
      <c r="F673" s="93" t="str">
        <f t="shared" si="103"/>
        <v>CP949</v>
      </c>
      <c r="G673" s="99" t="str">
        <f t="shared" si="104"/>
        <v>CP949-NEW DONOR -8th</v>
      </c>
      <c r="H673" s="182"/>
      <c r="I673" s="35" t="s">
        <v>44</v>
      </c>
      <c r="J673" s="63">
        <v>50</v>
      </c>
      <c r="K673" s="64">
        <v>65</v>
      </c>
      <c r="L673" s="63">
        <v>50</v>
      </c>
      <c r="M673" s="63">
        <v>50</v>
      </c>
      <c r="N673" s="63">
        <v>50</v>
      </c>
      <c r="O673" s="63">
        <v>50</v>
      </c>
      <c r="P673" s="63">
        <v>50</v>
      </c>
      <c r="Q673" s="63">
        <v>50</v>
      </c>
      <c r="R673" s="23"/>
      <c r="S673" s="117" t="str">
        <f t="shared" si="100"/>
        <v>N</v>
      </c>
      <c r="T673" s="114">
        <f>IFERROR(SUMIF('Current NLData'!A:A,'Payment Changes'!G673,'Current NLData'!K:K)/COUNTIF('Current NLData'!A:A,'Payment Changes'!G673),0)+IFERROR(VLOOKUP(G673&amp;"-ALL",NLPaymentExport,10,FALSE),0)</f>
        <v>50</v>
      </c>
      <c r="U673" s="118">
        <f t="shared" si="101"/>
        <v>0</v>
      </c>
    </row>
    <row r="674" spans="1:54" ht="17.100000000000001" hidden="1" customHeight="1" outlineLevel="1" x14ac:dyDescent="0.25">
      <c r="A674" s="3"/>
      <c r="C674" s="4"/>
      <c r="D674" s="181"/>
      <c r="E674" s="91" t="str">
        <f t="shared" si="102"/>
        <v>Lithia Springs</v>
      </c>
      <c r="F674" s="93" t="str">
        <f t="shared" si="103"/>
        <v>CP949</v>
      </c>
      <c r="G674" s="99" t="str">
        <f t="shared" si="104"/>
        <v>CP949-RETURN - 1st don of the week -STD</v>
      </c>
      <c r="H674" s="182"/>
      <c r="I674" s="36" t="s">
        <v>45</v>
      </c>
      <c r="J674" s="58">
        <v>50</v>
      </c>
      <c r="K674" s="58">
        <v>50</v>
      </c>
      <c r="L674" s="58">
        <v>50</v>
      </c>
      <c r="M674" s="58">
        <v>50</v>
      </c>
      <c r="N674" s="58">
        <v>50</v>
      </c>
      <c r="O674" s="58">
        <v>50</v>
      </c>
      <c r="P674" s="58">
        <v>50</v>
      </c>
      <c r="Q674" s="58">
        <v>50</v>
      </c>
      <c r="R674" s="22"/>
      <c r="S674" s="117" t="str">
        <f t="shared" si="100"/>
        <v>N</v>
      </c>
      <c r="T674" s="114">
        <f>IFERROR(SUMIF('Current NLData'!A:A,'Payment Changes'!G674,'Current NLData'!K:K)/COUNTIF('Current NLData'!A:A,'Payment Changes'!G674),0)+IFERROR(VLOOKUP(G674&amp;"-ALL",NLPaymentExport,10,FALSE),0)</f>
        <v>50</v>
      </c>
      <c r="U674" s="118">
        <f t="shared" si="101"/>
        <v>0</v>
      </c>
    </row>
    <row r="675" spans="1:54" ht="17.100000000000001" hidden="1" customHeight="1" outlineLevel="1" x14ac:dyDescent="0.25">
      <c r="A675" s="3"/>
      <c r="C675" s="4"/>
      <c r="D675" s="181"/>
      <c r="E675" s="91" t="str">
        <f t="shared" si="102"/>
        <v>Lithia Springs</v>
      </c>
      <c r="F675" s="93" t="str">
        <f t="shared" si="103"/>
        <v>CP949</v>
      </c>
      <c r="G675" s="99" t="str">
        <f t="shared" si="104"/>
        <v>CP949-RETURN - 2nd don of the week -BONUS</v>
      </c>
      <c r="H675" s="182"/>
      <c r="I675" s="36" t="s">
        <v>46</v>
      </c>
      <c r="J675" s="58">
        <v>15</v>
      </c>
      <c r="K675" s="58">
        <v>15</v>
      </c>
      <c r="L675" s="58">
        <v>15</v>
      </c>
      <c r="M675" s="58">
        <v>15</v>
      </c>
      <c r="N675" s="58">
        <v>15</v>
      </c>
      <c r="O675" s="58">
        <v>15</v>
      </c>
      <c r="P675" s="58">
        <v>15</v>
      </c>
      <c r="Q675" s="58">
        <v>15</v>
      </c>
      <c r="R675" s="22"/>
      <c r="S675" s="117" t="str">
        <f t="shared" si="100"/>
        <v>N</v>
      </c>
      <c r="T675" s="114">
        <f>IFERROR(SUMIF('Current NLData'!A:A,'Payment Changes'!G675,'Current NLData'!K:K)/COUNTIF('Current NLData'!A:A,'Payment Changes'!G675),0)+IFERROR(VLOOKUP(G675&amp;"-ALL",NLPaymentExport,10,FALSE),0)</f>
        <v>15</v>
      </c>
      <c r="U675" s="118">
        <f t="shared" si="101"/>
        <v>0</v>
      </c>
    </row>
    <row r="676" spans="1:54" ht="17.100000000000001" hidden="1" customHeight="1" outlineLevel="1" x14ac:dyDescent="0.25">
      <c r="A676" s="3"/>
      <c r="C676" s="4"/>
      <c r="D676" s="181"/>
      <c r="E676" s="91" t="str">
        <f t="shared" si="102"/>
        <v>Lithia Springs</v>
      </c>
      <c r="F676" s="93" t="str">
        <f t="shared" si="103"/>
        <v>CP949</v>
      </c>
      <c r="G676" s="99" t="str">
        <f t="shared" si="104"/>
        <v>CP949-RETURN - 5th don of the month -BONUS</v>
      </c>
      <c r="H676" s="182"/>
      <c r="I676" s="37" t="s">
        <v>47</v>
      </c>
      <c r="J676" s="65">
        <v>0</v>
      </c>
      <c r="K676" s="65">
        <v>0</v>
      </c>
      <c r="L676" s="65">
        <v>0</v>
      </c>
      <c r="M676" s="65">
        <v>0</v>
      </c>
      <c r="N676" s="65">
        <v>0</v>
      </c>
      <c r="O676" s="65">
        <v>0</v>
      </c>
      <c r="P676" s="65">
        <v>0</v>
      </c>
      <c r="Q676" s="65">
        <v>0</v>
      </c>
      <c r="R676" s="22"/>
      <c r="S676" s="117" t="str">
        <f t="shared" si="100"/>
        <v>N</v>
      </c>
      <c r="T676" s="114">
        <f>IFERROR(SUMIF('Current NLData'!A:A,'Payment Changes'!G676,'Current NLData'!K:K)/COUNTIF('Current NLData'!A:A,'Payment Changes'!G676),0)+IFERROR(VLOOKUP(G676&amp;"-ALL",NLPaymentExport,10,FALSE),0)</f>
        <v>0</v>
      </c>
      <c r="U676" s="118">
        <f t="shared" si="101"/>
        <v>0</v>
      </c>
    </row>
    <row r="677" spans="1:54" ht="17.100000000000001" hidden="1" customHeight="1" outlineLevel="1" x14ac:dyDescent="0.25">
      <c r="A677" s="3"/>
      <c r="C677" s="4"/>
      <c r="D677" s="181"/>
      <c r="E677" s="91" t="str">
        <f t="shared" si="102"/>
        <v>Lithia Springs</v>
      </c>
      <c r="F677" s="93" t="str">
        <f t="shared" si="103"/>
        <v>CP949</v>
      </c>
      <c r="G677" s="99" t="str">
        <f t="shared" si="104"/>
        <v>CP949-RETURN - 6th don of the month -BONUS</v>
      </c>
      <c r="H677" s="182"/>
      <c r="I677" s="38" t="s">
        <v>48</v>
      </c>
      <c r="J677" s="58">
        <v>0</v>
      </c>
      <c r="K677" s="58">
        <v>0</v>
      </c>
      <c r="L677" s="58">
        <v>0</v>
      </c>
      <c r="M677" s="58">
        <v>0</v>
      </c>
      <c r="N677" s="58">
        <v>0</v>
      </c>
      <c r="O677" s="58">
        <v>0</v>
      </c>
      <c r="P677" s="58">
        <v>0</v>
      </c>
      <c r="Q677" s="58">
        <v>0</v>
      </c>
      <c r="R677" s="22"/>
      <c r="S677" s="117" t="str">
        <f t="shared" si="100"/>
        <v>N</v>
      </c>
      <c r="T677" s="114">
        <f>IFERROR(SUMIF('Current NLData'!A:A,'Payment Changes'!G677,'Current NLData'!K:K)/COUNTIF('Current NLData'!A:A,'Payment Changes'!G677),0)+IFERROR(VLOOKUP(G677&amp;"-ALL",NLPaymentExport,10,FALSE),0)</f>
        <v>0</v>
      </c>
      <c r="U677" s="118">
        <f t="shared" si="101"/>
        <v>0</v>
      </c>
    </row>
    <row r="678" spans="1:54" ht="17.100000000000001" hidden="1" customHeight="1" outlineLevel="1" x14ac:dyDescent="0.25">
      <c r="A678" s="3"/>
      <c r="C678" s="4"/>
      <c r="D678" s="181"/>
      <c r="E678" s="91" t="str">
        <f t="shared" si="102"/>
        <v>Lithia Springs</v>
      </c>
      <c r="F678" s="93" t="str">
        <f t="shared" si="103"/>
        <v>CP949</v>
      </c>
      <c r="G678" s="99" t="str">
        <f t="shared" si="104"/>
        <v>CP949-RETURN - 7th don of the month -BONUS</v>
      </c>
      <c r="H678" s="182"/>
      <c r="I678" s="38" t="s">
        <v>49</v>
      </c>
      <c r="J678" s="58">
        <v>0</v>
      </c>
      <c r="K678" s="58">
        <v>0</v>
      </c>
      <c r="L678" s="58">
        <v>0</v>
      </c>
      <c r="M678" s="58">
        <v>0</v>
      </c>
      <c r="N678" s="58">
        <v>0</v>
      </c>
      <c r="O678" s="58">
        <v>0</v>
      </c>
      <c r="P678" s="58">
        <v>0</v>
      </c>
      <c r="Q678" s="58">
        <v>0</v>
      </c>
      <c r="R678" s="22"/>
      <c r="S678" s="117" t="str">
        <f t="shared" si="100"/>
        <v>N</v>
      </c>
      <c r="T678" s="114">
        <f>IFERROR(SUMIF('Current NLData'!A:A,'Payment Changes'!G678,'Current NLData'!K:K)/COUNTIF('Current NLData'!A:A,'Payment Changes'!G678),0)+IFERROR(VLOOKUP(G678&amp;"-ALL",NLPaymentExport,10,FALSE),0)</f>
        <v>0</v>
      </c>
      <c r="U678" s="118">
        <f t="shared" si="101"/>
        <v>0</v>
      </c>
    </row>
    <row r="679" spans="1:54" ht="17.100000000000001" hidden="1" customHeight="1" outlineLevel="1" x14ac:dyDescent="0.25">
      <c r="A679" s="3"/>
      <c r="C679" s="4"/>
      <c r="D679" s="181"/>
      <c r="E679" s="91" t="str">
        <f t="shared" si="102"/>
        <v>Lithia Springs</v>
      </c>
      <c r="F679" s="93" t="str">
        <f t="shared" si="103"/>
        <v>CP949</v>
      </c>
      <c r="G679" s="99" t="str">
        <f t="shared" si="104"/>
        <v>CP949-RETURN - 8th don of the month -BONUS</v>
      </c>
      <c r="H679" s="182"/>
      <c r="I679" s="38" t="s">
        <v>50</v>
      </c>
      <c r="J679" s="58">
        <v>40</v>
      </c>
      <c r="K679" s="58">
        <v>40</v>
      </c>
      <c r="L679" s="58">
        <v>0</v>
      </c>
      <c r="M679" s="58">
        <v>0</v>
      </c>
      <c r="N679" s="58">
        <v>0</v>
      </c>
      <c r="O679" s="58">
        <v>0</v>
      </c>
      <c r="P679" s="58">
        <v>0</v>
      </c>
      <c r="Q679" s="58">
        <v>0</v>
      </c>
      <c r="R679" s="22"/>
      <c r="S679" s="117" t="str">
        <f t="shared" si="100"/>
        <v>N</v>
      </c>
      <c r="T679" s="114">
        <f>IFERROR(SUMIF('Current NLData'!A:A,'Payment Changes'!G679,'Current NLData'!K:K)/COUNTIF('Current NLData'!A:A,'Payment Changes'!G679),0)+IFERROR(VLOOKUP(G679&amp;"-ALL",NLPaymentExport,10,FALSE),0)</f>
        <v>0</v>
      </c>
      <c r="U679" s="118">
        <f t="shared" si="101"/>
        <v>0</v>
      </c>
    </row>
    <row r="680" spans="1:54" ht="17.100000000000001" hidden="1" customHeight="1" outlineLevel="1" x14ac:dyDescent="0.25">
      <c r="A680" s="3"/>
      <c r="C680" s="4" t="str">
        <f>IF(J680=0,"Warning","")</f>
        <v/>
      </c>
      <c r="D680" s="181"/>
      <c r="E680" s="91" t="str">
        <f t="shared" si="102"/>
        <v>Lithia Springs</v>
      </c>
      <c r="F680" s="93" t="str">
        <f t="shared" si="103"/>
        <v>CP949</v>
      </c>
      <c r="G680" s="99" t="str">
        <f t="shared" si="104"/>
        <v>CP949-RETURN - Buddy referral  -BONUS</v>
      </c>
      <c r="H680" s="182"/>
      <c r="I680" s="39" t="s">
        <v>51</v>
      </c>
      <c r="J680" s="58">
        <v>50</v>
      </c>
      <c r="K680" s="58">
        <v>50</v>
      </c>
      <c r="L680" s="58">
        <v>0</v>
      </c>
      <c r="M680" s="58">
        <v>0</v>
      </c>
      <c r="N680" s="58">
        <v>0</v>
      </c>
      <c r="O680" s="58">
        <v>50</v>
      </c>
      <c r="P680" s="58">
        <v>50</v>
      </c>
      <c r="Q680" s="58">
        <v>50</v>
      </c>
      <c r="R680" s="22"/>
      <c r="S680" s="117" t="str">
        <f t="shared" si="100"/>
        <v>N</v>
      </c>
      <c r="T680" s="114">
        <f>IFERROR(SUMIF('Current NLData'!A:A,'Payment Changes'!G680,'Current NLData'!K:K)/COUNTIF('Current NLData'!A:A,'Payment Changes'!G680),0)+IFERROR(VLOOKUP(G680&amp;"-ALL",NLPaymentExport,10,FALSE),0)</f>
        <v>50</v>
      </c>
      <c r="U680" s="118">
        <f t="shared" si="101"/>
        <v>0</v>
      </c>
    </row>
    <row r="681" spans="1:54" s="90" customFormat="1" ht="17.100000000000001" hidden="1" customHeight="1" collapsed="1" x14ac:dyDescent="0.35">
      <c r="A681" s="85"/>
      <c r="B681" s="85"/>
      <c r="C681" s="86"/>
      <c r="D681" s="87"/>
      <c r="E681" s="87"/>
      <c r="F681" s="87"/>
      <c r="G681" s="87"/>
      <c r="H681" s="96"/>
      <c r="I681" s="88"/>
      <c r="J681" s="89"/>
      <c r="K681" s="89"/>
      <c r="L681" s="89"/>
      <c r="M681" s="89"/>
      <c r="N681" s="89"/>
      <c r="O681" s="89"/>
      <c r="P681" s="89"/>
      <c r="Q681" s="89"/>
      <c r="R681" s="21"/>
      <c r="S681" s="117" t="str">
        <f t="shared" si="100"/>
        <v>N</v>
      </c>
      <c r="T681" s="114">
        <f>IFERROR(SUMIF('Current NLData'!A:A,'Payment Changes'!G681,'Current NLData'!K:K)/COUNTIF('Current NLData'!A:A,'Payment Changes'!G681),0)+IFERROR(VLOOKUP(G681&amp;"-ALL",NLPaymentExport,10,FALSE),0)</f>
        <v>0</v>
      </c>
      <c r="U681" s="118" t="str">
        <f t="shared" si="101"/>
        <v/>
      </c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4" s="10" customFormat="1" ht="17.100000000000001" hidden="1" customHeight="1" x14ac:dyDescent="0.25">
      <c r="A682" s="165">
        <v>35</v>
      </c>
      <c r="B682" s="168" t="s">
        <v>230</v>
      </c>
      <c r="C682" s="171" t="s">
        <v>19</v>
      </c>
      <c r="D682" s="174" t="s">
        <v>157</v>
      </c>
      <c r="E682" s="106" t="str">
        <f t="shared" si="102"/>
        <v>Forest Lane</v>
      </c>
      <c r="F682" s="107" t="s">
        <v>231</v>
      </c>
      <c r="G682" s="108" t="str">
        <f t="shared" ref="G682:G700" si="105">F682&amp;"-"&amp;I682</f>
        <v>CP894-New Donor</v>
      </c>
      <c r="H682" s="177" t="s">
        <v>22</v>
      </c>
      <c r="I682" s="76" t="s">
        <v>23</v>
      </c>
      <c r="J682" s="40" t="s">
        <v>232</v>
      </c>
      <c r="K682" s="41" t="s">
        <v>233</v>
      </c>
      <c r="L682" s="41" t="s">
        <v>211</v>
      </c>
      <c r="M682" s="41" t="s">
        <v>234</v>
      </c>
      <c r="N682" s="40" t="s">
        <v>234</v>
      </c>
      <c r="O682" s="40" t="s">
        <v>234</v>
      </c>
      <c r="P682" s="40" t="s">
        <v>234</v>
      </c>
      <c r="Q682" s="40" t="s">
        <v>234</v>
      </c>
      <c r="R682" s="109"/>
      <c r="S682" s="117" t="str">
        <f t="shared" si="100"/>
        <v>N</v>
      </c>
      <c r="T682" s="114">
        <f>IFERROR(SUMIF('Current NLData'!A:A,'Payment Changes'!G682,'Current NLData'!K:K)/COUNTIF('Current NLData'!A:A,'Payment Changes'!G682),0)+IFERROR(VLOOKUP(G682&amp;"-ALL",NLPaymentExport,10,FALSE),0)</f>
        <v>0</v>
      </c>
      <c r="U682" s="118" t="str">
        <f t="shared" si="101"/>
        <v/>
      </c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4" ht="17.100000000000001" hidden="1" customHeight="1" x14ac:dyDescent="0.25">
      <c r="A683" s="166"/>
      <c r="B683" s="169"/>
      <c r="C683" s="172"/>
      <c r="D683" s="175"/>
      <c r="E683" s="91" t="str">
        <f t="shared" si="102"/>
        <v>Forest Lane</v>
      </c>
      <c r="F683" s="92" t="s">
        <v>231</v>
      </c>
      <c r="G683" s="98" t="str">
        <f t="shared" si="105"/>
        <v>CP894-Return Donor</v>
      </c>
      <c r="H683" s="178"/>
      <c r="I683" s="77" t="s">
        <v>29</v>
      </c>
      <c r="J683" s="43" t="s">
        <v>205</v>
      </c>
      <c r="K683" s="43" t="s">
        <v>205</v>
      </c>
      <c r="L683" s="44" t="s">
        <v>205</v>
      </c>
      <c r="M683" s="44" t="s">
        <v>235</v>
      </c>
      <c r="N683" s="43" t="s">
        <v>235</v>
      </c>
      <c r="O683" s="43" t="s">
        <v>235</v>
      </c>
      <c r="P683" s="43" t="s">
        <v>235</v>
      </c>
      <c r="Q683" s="43" t="s">
        <v>235</v>
      </c>
      <c r="R683" s="21"/>
      <c r="S683" s="117" t="str">
        <f t="shared" si="100"/>
        <v>N</v>
      </c>
      <c r="T683" s="114">
        <f>IFERROR(SUMIF('Current NLData'!A:A,'Payment Changes'!G683,'Current NLData'!K:K)/COUNTIF('Current NLData'!A:A,'Payment Changes'!G683),0)+IFERROR(VLOOKUP(G683&amp;"-ALL",NLPaymentExport,10,FALSE),0)</f>
        <v>0</v>
      </c>
      <c r="U683" s="118" t="str">
        <f t="shared" si="101"/>
        <v/>
      </c>
    </row>
    <row r="684" spans="1:54" ht="17.100000000000001" hidden="1" customHeight="1" x14ac:dyDescent="0.25">
      <c r="A684" s="166"/>
      <c r="B684" s="169"/>
      <c r="C684" s="172"/>
      <c r="D684" s="175"/>
      <c r="E684" s="91" t="str">
        <f t="shared" si="102"/>
        <v>Forest Lane</v>
      </c>
      <c r="F684" s="92" t="s">
        <v>231</v>
      </c>
      <c r="G684" s="98" t="str">
        <f t="shared" si="105"/>
        <v>CP894-Retention Bonus</v>
      </c>
      <c r="H684" s="178"/>
      <c r="I684" s="78" t="s">
        <v>30</v>
      </c>
      <c r="J684" s="46" t="s">
        <v>236</v>
      </c>
      <c r="K684" s="46" t="s">
        <v>236</v>
      </c>
      <c r="L684" s="47" t="s">
        <v>237</v>
      </c>
      <c r="M684" s="48" t="s">
        <v>237</v>
      </c>
      <c r="N684" s="46" t="s">
        <v>237</v>
      </c>
      <c r="O684" s="46" t="s">
        <v>237</v>
      </c>
      <c r="P684" s="46" t="s">
        <v>237</v>
      </c>
      <c r="Q684" s="46" t="s">
        <v>238</v>
      </c>
      <c r="R684" s="21"/>
      <c r="S684" s="117" t="str">
        <f t="shared" si="100"/>
        <v>Y</v>
      </c>
      <c r="T684" s="114">
        <f>IFERROR(SUMIF('Current NLData'!A:A,'Payment Changes'!G684,'Current NLData'!K:K)/COUNTIF('Current NLData'!A:A,'Payment Changes'!G684),0)+IFERROR(VLOOKUP(G684&amp;"-ALL",NLPaymentExport,10,FALSE),0)</f>
        <v>0</v>
      </c>
      <c r="U684" s="118" t="str">
        <f t="shared" si="101"/>
        <v/>
      </c>
    </row>
    <row r="685" spans="1:54" s="15" customFormat="1" ht="17.100000000000001" hidden="1" customHeight="1" x14ac:dyDescent="0.25">
      <c r="A685" s="167"/>
      <c r="B685" s="170"/>
      <c r="C685" s="173"/>
      <c r="D685" s="176"/>
      <c r="E685" s="110" t="str">
        <f t="shared" si="102"/>
        <v>Forest Lane</v>
      </c>
      <c r="F685" s="111" t="s">
        <v>231</v>
      </c>
      <c r="G685" s="112" t="str">
        <f t="shared" si="105"/>
        <v>CP894-Referral</v>
      </c>
      <c r="H685" s="179"/>
      <c r="I685" s="79" t="s">
        <v>34</v>
      </c>
      <c r="J685" s="49">
        <v>50</v>
      </c>
      <c r="K685" s="49">
        <v>50</v>
      </c>
      <c r="L685" s="50">
        <v>50</v>
      </c>
      <c r="M685" s="51">
        <v>50</v>
      </c>
      <c r="N685" s="49">
        <v>50</v>
      </c>
      <c r="O685" s="49">
        <v>50</v>
      </c>
      <c r="P685" s="49">
        <v>50</v>
      </c>
      <c r="Q685" s="49">
        <v>50</v>
      </c>
      <c r="R685" s="113"/>
      <c r="S685" s="117" t="str">
        <f t="shared" si="100"/>
        <v>N</v>
      </c>
      <c r="T685" s="114">
        <f>IFERROR(SUMIF('Current NLData'!A:A,'Payment Changes'!G685,'Current NLData'!K:K)/COUNTIF('Current NLData'!A:A,'Payment Changes'!G685),0)+IFERROR(VLOOKUP(G685&amp;"-ALL",NLPaymentExport,10,FALSE),0)</f>
        <v>0</v>
      </c>
      <c r="U685" s="118" t="str">
        <f t="shared" si="101"/>
        <v/>
      </c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4" ht="17.100000000000001" hidden="1" customHeight="1" outlineLevel="1" x14ac:dyDescent="0.25">
      <c r="A686" s="3"/>
      <c r="C686" s="4"/>
      <c r="D686" s="180" t="s">
        <v>231</v>
      </c>
      <c r="E686" s="91" t="str">
        <f t="shared" si="102"/>
        <v>Forest Lane</v>
      </c>
      <c r="F686" s="93" t="str">
        <f t="shared" si="103"/>
        <v>CP894</v>
      </c>
      <c r="G686" s="99" t="str">
        <f t="shared" si="105"/>
        <v>CP894-NEW DONOR -1st</v>
      </c>
      <c r="H686" s="182" t="s">
        <v>36</v>
      </c>
      <c r="I686" s="33" t="s">
        <v>37</v>
      </c>
      <c r="J686" s="60">
        <v>100</v>
      </c>
      <c r="K686" s="61">
        <v>100</v>
      </c>
      <c r="L686" s="60">
        <v>100</v>
      </c>
      <c r="M686" s="60">
        <v>100</v>
      </c>
      <c r="N686" s="60">
        <v>100</v>
      </c>
      <c r="O686" s="60">
        <v>100</v>
      </c>
      <c r="P686" s="60">
        <v>100</v>
      </c>
      <c r="Q686" s="60">
        <v>100</v>
      </c>
      <c r="R686" s="23"/>
      <c r="S686" s="117" t="str">
        <f t="shared" si="100"/>
        <v>N</v>
      </c>
      <c r="T686" s="114">
        <f>IFERROR(SUMIF('Current NLData'!A:A,'Payment Changes'!G686,'Current NLData'!K:K)/COUNTIF('Current NLData'!A:A,'Payment Changes'!G686),0)+IFERROR(VLOOKUP(G686&amp;"-ALL",NLPaymentExport,10,FALSE),0)</f>
        <v>100</v>
      </c>
      <c r="U686" s="118">
        <f t="shared" si="101"/>
        <v>0</v>
      </c>
    </row>
    <row r="687" spans="1:54" ht="17.100000000000001" hidden="1" customHeight="1" outlineLevel="1" x14ac:dyDescent="0.25">
      <c r="A687" s="3"/>
      <c r="C687" s="4"/>
      <c r="D687" s="181"/>
      <c r="E687" s="91" t="str">
        <f t="shared" si="102"/>
        <v>Forest Lane</v>
      </c>
      <c r="F687" s="93" t="str">
        <f t="shared" si="103"/>
        <v>CP894</v>
      </c>
      <c r="G687" s="99" t="str">
        <f t="shared" si="105"/>
        <v>CP894-NEW DONOR -2nd</v>
      </c>
      <c r="H687" s="182"/>
      <c r="I687" s="34" t="s">
        <v>38</v>
      </c>
      <c r="J687" s="58">
        <v>100</v>
      </c>
      <c r="K687" s="62">
        <v>100</v>
      </c>
      <c r="L687" s="58">
        <v>100</v>
      </c>
      <c r="M687" s="58">
        <v>100</v>
      </c>
      <c r="N687" s="58">
        <v>100</v>
      </c>
      <c r="O687" s="58">
        <v>100</v>
      </c>
      <c r="P687" s="58">
        <v>100</v>
      </c>
      <c r="Q687" s="58">
        <v>100</v>
      </c>
      <c r="R687" s="23"/>
      <c r="S687" s="117" t="str">
        <f t="shared" si="100"/>
        <v>N</v>
      </c>
      <c r="T687" s="114">
        <f>IFERROR(SUMIF('Current NLData'!A:A,'Payment Changes'!G687,'Current NLData'!K:K)/COUNTIF('Current NLData'!A:A,'Payment Changes'!G687),0)+IFERROR(VLOOKUP(G687&amp;"-ALL",NLPaymentExport,10,FALSE),0)</f>
        <v>100</v>
      </c>
      <c r="U687" s="118">
        <f t="shared" si="101"/>
        <v>0</v>
      </c>
    </row>
    <row r="688" spans="1:54" ht="17.100000000000001" hidden="1" customHeight="1" outlineLevel="1" x14ac:dyDescent="0.25">
      <c r="A688" s="3"/>
      <c r="C688" s="4"/>
      <c r="D688" s="181"/>
      <c r="E688" s="91" t="str">
        <f t="shared" si="102"/>
        <v>Forest Lane</v>
      </c>
      <c r="F688" s="93" t="str">
        <f t="shared" si="103"/>
        <v>CP894</v>
      </c>
      <c r="G688" s="99" t="str">
        <f t="shared" si="105"/>
        <v>CP894-NEW DONOR -3rd</v>
      </c>
      <c r="H688" s="182"/>
      <c r="I688" s="34" t="s">
        <v>39</v>
      </c>
      <c r="J688" s="58">
        <v>100</v>
      </c>
      <c r="K688" s="62">
        <v>100</v>
      </c>
      <c r="L688" s="58">
        <v>100</v>
      </c>
      <c r="M688" s="58">
        <v>100</v>
      </c>
      <c r="N688" s="58">
        <v>100</v>
      </c>
      <c r="O688" s="58">
        <v>100</v>
      </c>
      <c r="P688" s="58">
        <v>100</v>
      </c>
      <c r="Q688" s="58">
        <v>100</v>
      </c>
      <c r="R688" s="23"/>
      <c r="S688" s="117" t="str">
        <f t="shared" si="100"/>
        <v>N</v>
      </c>
      <c r="T688" s="114">
        <f>IFERROR(SUMIF('Current NLData'!A:A,'Payment Changes'!G688,'Current NLData'!K:K)/COUNTIF('Current NLData'!A:A,'Payment Changes'!G688),0)+IFERROR(VLOOKUP(G688&amp;"-ALL",NLPaymentExport,10,FALSE),0)</f>
        <v>100</v>
      </c>
      <c r="U688" s="118">
        <f t="shared" si="101"/>
        <v>0</v>
      </c>
    </row>
    <row r="689" spans="1:54" ht="17.100000000000001" hidden="1" customHeight="1" outlineLevel="1" x14ac:dyDescent="0.25">
      <c r="A689" s="3"/>
      <c r="C689" s="4"/>
      <c r="D689" s="181"/>
      <c r="E689" s="91" t="str">
        <f t="shared" si="102"/>
        <v>Forest Lane</v>
      </c>
      <c r="F689" s="93" t="str">
        <f t="shared" si="103"/>
        <v>CP894</v>
      </c>
      <c r="G689" s="99" t="str">
        <f t="shared" si="105"/>
        <v>CP894-NEW DONOR -4th</v>
      </c>
      <c r="H689" s="182"/>
      <c r="I689" s="34" t="s">
        <v>40</v>
      </c>
      <c r="J689" s="58">
        <v>100</v>
      </c>
      <c r="K689" s="62">
        <v>100</v>
      </c>
      <c r="L689" s="58">
        <v>100</v>
      </c>
      <c r="M689" s="58">
        <v>100</v>
      </c>
      <c r="N689" s="58">
        <v>100</v>
      </c>
      <c r="O689" s="58">
        <v>100</v>
      </c>
      <c r="P689" s="58">
        <v>100</v>
      </c>
      <c r="Q689" s="58">
        <v>100</v>
      </c>
      <c r="R689" s="23"/>
      <c r="S689" s="117" t="str">
        <f t="shared" si="100"/>
        <v>N</v>
      </c>
      <c r="T689" s="114">
        <f>IFERROR(SUMIF('Current NLData'!A:A,'Payment Changes'!G689,'Current NLData'!K:K)/COUNTIF('Current NLData'!A:A,'Payment Changes'!G689),0)+IFERROR(VLOOKUP(G689&amp;"-ALL",NLPaymentExport,10,FALSE),0)</f>
        <v>100</v>
      </c>
      <c r="U689" s="118">
        <f t="shared" si="101"/>
        <v>0</v>
      </c>
    </row>
    <row r="690" spans="1:54" ht="17.100000000000001" hidden="1" customHeight="1" outlineLevel="1" x14ac:dyDescent="0.25">
      <c r="A690" s="3"/>
      <c r="C690" s="4"/>
      <c r="D690" s="181"/>
      <c r="E690" s="91" t="str">
        <f t="shared" si="102"/>
        <v>Forest Lane</v>
      </c>
      <c r="F690" s="93" t="str">
        <f t="shared" si="103"/>
        <v>CP894</v>
      </c>
      <c r="G690" s="99" t="str">
        <f t="shared" si="105"/>
        <v>CP894-NEW DONOR -5th</v>
      </c>
      <c r="H690" s="182"/>
      <c r="I690" s="34" t="s">
        <v>41</v>
      </c>
      <c r="J690" s="58">
        <v>45</v>
      </c>
      <c r="K690" s="62">
        <v>45</v>
      </c>
      <c r="L690" s="58">
        <v>45</v>
      </c>
      <c r="M690" s="58">
        <v>100</v>
      </c>
      <c r="N690" s="58">
        <v>100</v>
      </c>
      <c r="O690" s="58">
        <v>100</v>
      </c>
      <c r="P690" s="58">
        <v>100</v>
      </c>
      <c r="Q690" s="58">
        <v>100</v>
      </c>
      <c r="R690" s="23"/>
      <c r="S690" s="117" t="str">
        <f t="shared" si="100"/>
        <v>N</v>
      </c>
      <c r="T690" s="114">
        <f>IFERROR(SUMIF('Current NLData'!A:A,'Payment Changes'!G690,'Current NLData'!K:K)/COUNTIF('Current NLData'!A:A,'Payment Changes'!G690),0)+IFERROR(VLOOKUP(G690&amp;"-ALL",NLPaymentExport,10,FALSE),0)</f>
        <v>100</v>
      </c>
      <c r="U690" s="118">
        <f t="shared" si="101"/>
        <v>0</v>
      </c>
    </row>
    <row r="691" spans="1:54" ht="17.100000000000001" hidden="1" customHeight="1" outlineLevel="1" x14ac:dyDescent="0.25">
      <c r="A691" s="3"/>
      <c r="C691" s="4"/>
      <c r="D691" s="181"/>
      <c r="E691" s="91" t="str">
        <f t="shared" si="102"/>
        <v>Forest Lane</v>
      </c>
      <c r="F691" s="93" t="str">
        <f t="shared" si="103"/>
        <v>CP894</v>
      </c>
      <c r="G691" s="99" t="str">
        <f t="shared" si="105"/>
        <v>CP894-NEW DONOR -6th</v>
      </c>
      <c r="H691" s="182"/>
      <c r="I691" s="34" t="s">
        <v>42</v>
      </c>
      <c r="J691" s="58">
        <v>45</v>
      </c>
      <c r="K691" s="62">
        <v>65</v>
      </c>
      <c r="L691" s="58">
        <v>45</v>
      </c>
      <c r="M691" s="58">
        <v>100</v>
      </c>
      <c r="N691" s="58">
        <v>100</v>
      </c>
      <c r="O691" s="58">
        <v>100</v>
      </c>
      <c r="P691" s="58">
        <v>100</v>
      </c>
      <c r="Q691" s="58">
        <v>100</v>
      </c>
      <c r="R691" s="23"/>
      <c r="S691" s="117" t="str">
        <f t="shared" si="100"/>
        <v>N</v>
      </c>
      <c r="T691" s="114">
        <f>IFERROR(SUMIF('Current NLData'!A:A,'Payment Changes'!G691,'Current NLData'!K:K)/COUNTIF('Current NLData'!A:A,'Payment Changes'!G691),0)+IFERROR(VLOOKUP(G691&amp;"-ALL",NLPaymentExport,10,FALSE),0)</f>
        <v>100</v>
      </c>
      <c r="U691" s="118">
        <f t="shared" si="101"/>
        <v>0</v>
      </c>
    </row>
    <row r="692" spans="1:54" ht="17.100000000000001" hidden="1" customHeight="1" outlineLevel="1" x14ac:dyDescent="0.25">
      <c r="A692" s="3"/>
      <c r="C692" s="4"/>
      <c r="D692" s="181"/>
      <c r="E692" s="91" t="str">
        <f t="shared" si="102"/>
        <v>Forest Lane</v>
      </c>
      <c r="F692" s="93" t="str">
        <f t="shared" si="103"/>
        <v>CP894</v>
      </c>
      <c r="G692" s="99" t="str">
        <f t="shared" si="105"/>
        <v>CP894-NEW DONOR -7th</v>
      </c>
      <c r="H692" s="182"/>
      <c r="I692" s="34" t="s">
        <v>43</v>
      </c>
      <c r="J692" s="58">
        <v>45</v>
      </c>
      <c r="K692" s="62">
        <v>45</v>
      </c>
      <c r="L692" s="58">
        <v>45</v>
      </c>
      <c r="M692" s="58">
        <v>100</v>
      </c>
      <c r="N692" s="58">
        <v>100</v>
      </c>
      <c r="O692" s="58">
        <v>100</v>
      </c>
      <c r="P692" s="58">
        <v>100</v>
      </c>
      <c r="Q692" s="58">
        <v>100</v>
      </c>
      <c r="R692" s="23"/>
      <c r="S692" s="117" t="str">
        <f t="shared" si="100"/>
        <v>N</v>
      </c>
      <c r="T692" s="114">
        <f>IFERROR(SUMIF('Current NLData'!A:A,'Payment Changes'!G692,'Current NLData'!K:K)/COUNTIF('Current NLData'!A:A,'Payment Changes'!G692),0)+IFERROR(VLOOKUP(G692&amp;"-ALL",NLPaymentExport,10,FALSE),0)</f>
        <v>100</v>
      </c>
      <c r="U692" s="118">
        <f t="shared" si="101"/>
        <v>0</v>
      </c>
    </row>
    <row r="693" spans="1:54" ht="17.100000000000001" hidden="1" customHeight="1" outlineLevel="1" x14ac:dyDescent="0.25">
      <c r="A693" s="3"/>
      <c r="C693" s="4"/>
      <c r="D693" s="181"/>
      <c r="E693" s="91" t="str">
        <f t="shared" si="102"/>
        <v>Forest Lane</v>
      </c>
      <c r="F693" s="93" t="str">
        <f t="shared" si="103"/>
        <v>CP894</v>
      </c>
      <c r="G693" s="99" t="str">
        <f t="shared" si="105"/>
        <v>CP894-NEW DONOR -8th</v>
      </c>
      <c r="H693" s="182"/>
      <c r="I693" s="35" t="s">
        <v>44</v>
      </c>
      <c r="J693" s="63">
        <v>45</v>
      </c>
      <c r="K693" s="64">
        <v>65</v>
      </c>
      <c r="L693" s="63">
        <v>45</v>
      </c>
      <c r="M693" s="63">
        <v>45</v>
      </c>
      <c r="N693" s="63">
        <v>45</v>
      </c>
      <c r="O693" s="63">
        <v>45</v>
      </c>
      <c r="P693" s="63">
        <v>45</v>
      </c>
      <c r="Q693" s="63">
        <v>45</v>
      </c>
      <c r="R693" s="23"/>
      <c r="S693" s="117" t="str">
        <f t="shared" si="100"/>
        <v>N</v>
      </c>
      <c r="T693" s="114">
        <f>IFERROR(SUMIF('Current NLData'!A:A,'Payment Changes'!G693,'Current NLData'!K:K)/COUNTIF('Current NLData'!A:A,'Payment Changes'!G693),0)+IFERROR(VLOOKUP(G693&amp;"-ALL",NLPaymentExport,10,FALSE),0)</f>
        <v>45</v>
      </c>
      <c r="U693" s="118">
        <f t="shared" si="101"/>
        <v>0</v>
      </c>
    </row>
    <row r="694" spans="1:54" ht="17.100000000000001" hidden="1" customHeight="1" outlineLevel="1" x14ac:dyDescent="0.25">
      <c r="A694" s="3"/>
      <c r="C694" s="4"/>
      <c r="D694" s="181"/>
      <c r="E694" s="91" t="str">
        <f t="shared" si="102"/>
        <v>Forest Lane</v>
      </c>
      <c r="F694" s="93" t="str">
        <f t="shared" si="103"/>
        <v>CP894</v>
      </c>
      <c r="G694" s="99" t="str">
        <f t="shared" si="105"/>
        <v>CP894-RETURN - 1st don of the week -STD</v>
      </c>
      <c r="H694" s="182"/>
      <c r="I694" s="36" t="s">
        <v>45</v>
      </c>
      <c r="J694" s="58">
        <v>45</v>
      </c>
      <c r="K694" s="58">
        <v>45</v>
      </c>
      <c r="L694" s="58">
        <v>45</v>
      </c>
      <c r="M694" s="58">
        <v>45</v>
      </c>
      <c r="N694" s="58">
        <v>45</v>
      </c>
      <c r="O694" s="58">
        <v>45</v>
      </c>
      <c r="P694" s="58">
        <v>45</v>
      </c>
      <c r="Q694" s="58">
        <v>45</v>
      </c>
      <c r="R694" s="22"/>
      <c r="S694" s="117" t="str">
        <f t="shared" si="100"/>
        <v>N</v>
      </c>
      <c r="T694" s="114">
        <f>IFERROR(SUMIF('Current NLData'!A:A,'Payment Changes'!G694,'Current NLData'!K:K)/COUNTIF('Current NLData'!A:A,'Payment Changes'!G694),0)+IFERROR(VLOOKUP(G694&amp;"-ALL",NLPaymentExport,10,FALSE),0)</f>
        <v>45</v>
      </c>
      <c r="U694" s="118">
        <f t="shared" si="101"/>
        <v>0</v>
      </c>
    </row>
    <row r="695" spans="1:54" ht="17.100000000000001" hidden="1" customHeight="1" outlineLevel="1" x14ac:dyDescent="0.25">
      <c r="A695" s="3"/>
      <c r="C695" s="4"/>
      <c r="D695" s="181"/>
      <c r="E695" s="91" t="str">
        <f t="shared" si="102"/>
        <v>Forest Lane</v>
      </c>
      <c r="F695" s="93" t="str">
        <f t="shared" si="103"/>
        <v>CP894</v>
      </c>
      <c r="G695" s="99" t="str">
        <f t="shared" si="105"/>
        <v>CP894-RETURN - 2nd don of the week -BONUS</v>
      </c>
      <c r="H695" s="182"/>
      <c r="I695" s="36" t="s">
        <v>46</v>
      </c>
      <c r="J695" s="58">
        <v>20</v>
      </c>
      <c r="K695" s="58">
        <v>20</v>
      </c>
      <c r="L695" s="58">
        <v>20</v>
      </c>
      <c r="M695" s="62">
        <v>25</v>
      </c>
      <c r="N695" s="58">
        <v>25</v>
      </c>
      <c r="O695" s="58">
        <v>25</v>
      </c>
      <c r="P695" s="58">
        <v>25</v>
      </c>
      <c r="Q695" s="58">
        <v>25</v>
      </c>
      <c r="R695" s="22"/>
      <c r="S695" s="117" t="str">
        <f t="shared" si="100"/>
        <v>N</v>
      </c>
      <c r="T695" s="114">
        <f>IFERROR(SUMIF('Current NLData'!A:A,'Payment Changes'!G695,'Current NLData'!K:K)/COUNTIF('Current NLData'!A:A,'Payment Changes'!G695),0)+IFERROR(VLOOKUP(G695&amp;"-ALL",NLPaymentExport,10,FALSE),0)</f>
        <v>25</v>
      </c>
      <c r="U695" s="118">
        <f t="shared" si="101"/>
        <v>0</v>
      </c>
    </row>
    <row r="696" spans="1:54" ht="17.100000000000001" hidden="1" customHeight="1" outlineLevel="1" x14ac:dyDescent="0.25">
      <c r="A696" s="3"/>
      <c r="C696" s="4"/>
      <c r="D696" s="181"/>
      <c r="E696" s="91" t="str">
        <f t="shared" si="102"/>
        <v>Forest Lane</v>
      </c>
      <c r="F696" s="93" t="str">
        <f t="shared" si="103"/>
        <v>CP894</v>
      </c>
      <c r="G696" s="99" t="str">
        <f t="shared" si="105"/>
        <v>CP894-RETURN - 5th don of the month -BONUS</v>
      </c>
      <c r="H696" s="182"/>
      <c r="I696" s="37" t="s">
        <v>47</v>
      </c>
      <c r="J696" s="65">
        <v>0</v>
      </c>
      <c r="K696" s="65">
        <v>0</v>
      </c>
      <c r="L696" s="65">
        <v>0</v>
      </c>
      <c r="M696" s="65">
        <v>0</v>
      </c>
      <c r="N696" s="65">
        <v>0</v>
      </c>
      <c r="O696" s="65">
        <v>0</v>
      </c>
      <c r="P696" s="65">
        <v>0</v>
      </c>
      <c r="Q696" s="65">
        <v>30</v>
      </c>
      <c r="R696" s="22"/>
      <c r="S696" s="117" t="str">
        <f t="shared" si="100"/>
        <v>Y</v>
      </c>
      <c r="T696" s="114">
        <f>IFERROR(SUMIF('Current NLData'!A:A,'Payment Changes'!G696,'Current NLData'!K:K)/COUNTIF('Current NLData'!A:A,'Payment Changes'!G696),0)+IFERROR(VLOOKUP(G696&amp;"-ALL",NLPaymentExport,10,FALSE),0)</f>
        <v>0</v>
      </c>
      <c r="U696" s="118">
        <f t="shared" si="101"/>
        <v>-30</v>
      </c>
    </row>
    <row r="697" spans="1:54" ht="17.100000000000001" hidden="1" customHeight="1" outlineLevel="1" x14ac:dyDescent="0.25">
      <c r="A697" s="3"/>
      <c r="C697" s="4"/>
      <c r="D697" s="181"/>
      <c r="E697" s="91" t="str">
        <f t="shared" si="102"/>
        <v>Forest Lane</v>
      </c>
      <c r="F697" s="93" t="str">
        <f t="shared" si="103"/>
        <v>CP894</v>
      </c>
      <c r="G697" s="99" t="str">
        <f t="shared" si="105"/>
        <v>CP894-RETURN - 6th don of the month -BONUS</v>
      </c>
      <c r="H697" s="182"/>
      <c r="I697" s="38" t="s">
        <v>48</v>
      </c>
      <c r="J697" s="58">
        <v>0</v>
      </c>
      <c r="K697" s="58">
        <v>0</v>
      </c>
      <c r="L697" s="58">
        <v>30</v>
      </c>
      <c r="M697" s="58">
        <v>30</v>
      </c>
      <c r="N697" s="58">
        <v>30</v>
      </c>
      <c r="O697" s="58">
        <v>30</v>
      </c>
      <c r="P697" s="58">
        <v>30</v>
      </c>
      <c r="Q697" s="58">
        <v>0</v>
      </c>
      <c r="R697" s="22"/>
      <c r="S697" s="117" t="str">
        <f t="shared" si="100"/>
        <v>Y</v>
      </c>
      <c r="T697" s="114">
        <f>IFERROR(SUMIF('Current NLData'!A:A,'Payment Changes'!G697,'Current NLData'!K:K)/COUNTIF('Current NLData'!A:A,'Payment Changes'!G697),0)+IFERROR(VLOOKUP(G697&amp;"-ALL",NLPaymentExport,10,FALSE),0)</f>
        <v>30</v>
      </c>
      <c r="U697" s="118">
        <f t="shared" si="101"/>
        <v>30</v>
      </c>
    </row>
    <row r="698" spans="1:54" ht="17.100000000000001" hidden="1" customHeight="1" outlineLevel="1" x14ac:dyDescent="0.25">
      <c r="A698" s="3"/>
      <c r="C698" s="4"/>
      <c r="D698" s="181"/>
      <c r="E698" s="91" t="str">
        <f t="shared" si="102"/>
        <v>Forest Lane</v>
      </c>
      <c r="F698" s="93" t="str">
        <f t="shared" si="103"/>
        <v>CP894</v>
      </c>
      <c r="G698" s="99" t="str">
        <f t="shared" si="105"/>
        <v>CP894-RETURN - 7th don of the month -BONUS</v>
      </c>
      <c r="H698" s="182"/>
      <c r="I698" s="38" t="s">
        <v>49</v>
      </c>
      <c r="J698" s="58">
        <v>0</v>
      </c>
      <c r="K698" s="58">
        <v>0</v>
      </c>
      <c r="L698" s="58">
        <v>0</v>
      </c>
      <c r="M698" s="58">
        <v>0</v>
      </c>
      <c r="N698" s="58">
        <v>0</v>
      </c>
      <c r="O698" s="58">
        <v>0</v>
      </c>
      <c r="P698" s="58">
        <v>0</v>
      </c>
      <c r="Q698" s="58">
        <v>0</v>
      </c>
      <c r="R698" s="22"/>
      <c r="S698" s="117" t="str">
        <f t="shared" si="100"/>
        <v>N</v>
      </c>
      <c r="T698" s="114">
        <f>IFERROR(SUMIF('Current NLData'!A:A,'Payment Changes'!G698,'Current NLData'!K:K)/COUNTIF('Current NLData'!A:A,'Payment Changes'!G698),0)+IFERROR(VLOOKUP(G698&amp;"-ALL",NLPaymentExport,10,FALSE),0)</f>
        <v>0</v>
      </c>
      <c r="U698" s="118">
        <f t="shared" si="101"/>
        <v>0</v>
      </c>
    </row>
    <row r="699" spans="1:54" ht="17.100000000000001" hidden="1" customHeight="1" outlineLevel="1" x14ac:dyDescent="0.25">
      <c r="A699" s="3"/>
      <c r="C699" s="4"/>
      <c r="D699" s="181"/>
      <c r="E699" s="91" t="str">
        <f t="shared" si="102"/>
        <v>Forest Lane</v>
      </c>
      <c r="F699" s="93" t="str">
        <f t="shared" si="103"/>
        <v>CP894</v>
      </c>
      <c r="G699" s="99" t="str">
        <f t="shared" si="105"/>
        <v>CP894-RETURN - 8th don of the month -BONUS</v>
      </c>
      <c r="H699" s="182"/>
      <c r="I699" s="38" t="s">
        <v>50</v>
      </c>
      <c r="J699" s="58">
        <v>30</v>
      </c>
      <c r="K699" s="58">
        <v>30</v>
      </c>
      <c r="L699" s="58">
        <v>0</v>
      </c>
      <c r="M699" s="58">
        <v>0</v>
      </c>
      <c r="N699" s="58">
        <v>0</v>
      </c>
      <c r="O699" s="58">
        <v>0</v>
      </c>
      <c r="P699" s="58">
        <v>0</v>
      </c>
      <c r="Q699" s="58">
        <v>0</v>
      </c>
      <c r="R699" s="22"/>
      <c r="S699" s="117" t="str">
        <f t="shared" si="100"/>
        <v>N</v>
      </c>
      <c r="T699" s="114">
        <f>IFERROR(SUMIF('Current NLData'!A:A,'Payment Changes'!G699,'Current NLData'!K:K)/COUNTIF('Current NLData'!A:A,'Payment Changes'!G699),0)+IFERROR(VLOOKUP(G699&amp;"-ALL",NLPaymentExport,10,FALSE),0)</f>
        <v>0</v>
      </c>
      <c r="U699" s="118">
        <f t="shared" si="101"/>
        <v>0</v>
      </c>
    </row>
    <row r="700" spans="1:54" ht="17.100000000000001" hidden="1" customHeight="1" outlineLevel="1" x14ac:dyDescent="0.25">
      <c r="A700" s="3"/>
      <c r="C700" s="4" t="str">
        <f>IF(J700=0,"Warning","")</f>
        <v/>
      </c>
      <c r="D700" s="181"/>
      <c r="E700" s="91" t="str">
        <f t="shared" si="102"/>
        <v>Forest Lane</v>
      </c>
      <c r="F700" s="93" t="str">
        <f t="shared" si="103"/>
        <v>CP894</v>
      </c>
      <c r="G700" s="99" t="str">
        <f t="shared" si="105"/>
        <v>CP894-RETURN - Buddy referral  -BONUS</v>
      </c>
      <c r="H700" s="182"/>
      <c r="I700" s="39" t="s">
        <v>51</v>
      </c>
      <c r="J700" s="58">
        <v>50</v>
      </c>
      <c r="K700" s="58">
        <v>50</v>
      </c>
      <c r="L700" s="58">
        <v>50</v>
      </c>
      <c r="M700" s="58">
        <v>50</v>
      </c>
      <c r="N700" s="58">
        <v>50</v>
      </c>
      <c r="O700" s="58">
        <v>50</v>
      </c>
      <c r="P700" s="58">
        <v>50</v>
      </c>
      <c r="Q700" s="58">
        <v>50</v>
      </c>
      <c r="R700" s="22"/>
      <c r="S700" s="117" t="str">
        <f t="shared" si="100"/>
        <v>N</v>
      </c>
      <c r="T700" s="114">
        <f>IFERROR(SUMIF('Current NLData'!A:A,'Payment Changes'!G700,'Current NLData'!K:K)/COUNTIF('Current NLData'!A:A,'Payment Changes'!G700),0)+IFERROR(VLOOKUP(G700&amp;"-ALL",NLPaymentExport,10,FALSE),0)</f>
        <v>50</v>
      </c>
      <c r="U700" s="118">
        <f t="shared" si="101"/>
        <v>0</v>
      </c>
    </row>
    <row r="701" spans="1:54" s="90" customFormat="1" ht="17.100000000000001" hidden="1" customHeight="1" collapsed="1" x14ac:dyDescent="0.35">
      <c r="A701" s="85"/>
      <c r="B701" s="85"/>
      <c r="C701" s="86"/>
      <c r="D701" s="87"/>
      <c r="E701" s="87"/>
      <c r="F701" s="87"/>
      <c r="G701" s="87"/>
      <c r="H701" s="96"/>
      <c r="I701" s="88"/>
      <c r="J701" s="89"/>
      <c r="K701" s="89"/>
      <c r="L701" s="89"/>
      <c r="M701" s="89"/>
      <c r="N701" s="89"/>
      <c r="O701" s="89"/>
      <c r="P701" s="89"/>
      <c r="Q701" s="89"/>
      <c r="R701" s="21"/>
      <c r="S701" s="117" t="str">
        <f t="shared" si="100"/>
        <v>N</v>
      </c>
      <c r="T701" s="114">
        <f>IFERROR(SUMIF('Current NLData'!A:A,'Payment Changes'!G701,'Current NLData'!K:K)/COUNTIF('Current NLData'!A:A,'Payment Changes'!G701),0)+IFERROR(VLOOKUP(G701&amp;"-ALL",NLPaymentExport,10,FALSE),0)</f>
        <v>0</v>
      </c>
      <c r="U701" s="118" t="str">
        <f t="shared" si="101"/>
        <v/>
      </c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1:54" s="10" customFormat="1" ht="17.100000000000001" hidden="1" customHeight="1" x14ac:dyDescent="0.25">
      <c r="A702" s="165">
        <v>36</v>
      </c>
      <c r="B702" s="168" t="s">
        <v>239</v>
      </c>
      <c r="C702" s="171" t="s">
        <v>19</v>
      </c>
      <c r="D702" s="174" t="s">
        <v>157</v>
      </c>
      <c r="E702" s="106" t="str">
        <f t="shared" si="102"/>
        <v>Augusta</v>
      </c>
      <c r="F702" s="107" t="s">
        <v>240</v>
      </c>
      <c r="G702" s="108" t="str">
        <f t="shared" ref="G702:G720" si="106">F702&amp;"-"&amp;I702</f>
        <v>CP078-New Donor</v>
      </c>
      <c r="H702" s="177" t="s">
        <v>22</v>
      </c>
      <c r="I702" s="76" t="s">
        <v>23</v>
      </c>
      <c r="J702" s="40" t="s">
        <v>211</v>
      </c>
      <c r="K702" s="41" t="s">
        <v>241</v>
      </c>
      <c r="L702" s="41" t="s">
        <v>232</v>
      </c>
      <c r="M702" s="42" t="s">
        <v>232</v>
      </c>
      <c r="N702" s="40" t="s">
        <v>232</v>
      </c>
      <c r="O702" s="40" t="s">
        <v>232</v>
      </c>
      <c r="P702" s="40" t="s">
        <v>232</v>
      </c>
      <c r="Q702" s="40" t="s">
        <v>232</v>
      </c>
      <c r="R702" s="109"/>
      <c r="S702" s="117" t="str">
        <f t="shared" si="100"/>
        <v>N</v>
      </c>
      <c r="T702" s="114">
        <f>IFERROR(SUMIF('Current NLData'!A:A,'Payment Changes'!G702,'Current NLData'!K:K)/COUNTIF('Current NLData'!A:A,'Payment Changes'!G702),0)+IFERROR(VLOOKUP(G702&amp;"-ALL",NLPaymentExport,10,FALSE),0)</f>
        <v>0</v>
      </c>
      <c r="U702" s="118" t="str">
        <f t="shared" si="101"/>
        <v/>
      </c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1:54" ht="17.100000000000001" hidden="1" customHeight="1" x14ac:dyDescent="0.25">
      <c r="A703" s="166"/>
      <c r="B703" s="169"/>
      <c r="C703" s="172"/>
      <c r="D703" s="175"/>
      <c r="E703" s="91" t="str">
        <f t="shared" si="102"/>
        <v>Augusta</v>
      </c>
      <c r="F703" s="92" t="s">
        <v>240</v>
      </c>
      <c r="G703" s="98" t="str">
        <f t="shared" si="106"/>
        <v>CP078-Return Donor</v>
      </c>
      <c r="H703" s="178"/>
      <c r="I703" s="77" t="s">
        <v>29</v>
      </c>
      <c r="J703" s="43" t="s">
        <v>242</v>
      </c>
      <c r="K703" s="43" t="s">
        <v>242</v>
      </c>
      <c r="L703" s="44" t="s">
        <v>192</v>
      </c>
      <c r="M703" s="45" t="s">
        <v>192</v>
      </c>
      <c r="N703" s="43" t="s">
        <v>192</v>
      </c>
      <c r="O703" s="43" t="s">
        <v>243</v>
      </c>
      <c r="P703" s="43" t="s">
        <v>243</v>
      </c>
      <c r="Q703" s="43" t="s">
        <v>243</v>
      </c>
      <c r="R703" s="21"/>
      <c r="S703" s="117" t="str">
        <f t="shared" si="100"/>
        <v>N</v>
      </c>
      <c r="T703" s="114">
        <f>IFERROR(SUMIF('Current NLData'!A:A,'Payment Changes'!G703,'Current NLData'!K:K)/COUNTIF('Current NLData'!A:A,'Payment Changes'!G703),0)+IFERROR(VLOOKUP(G703&amp;"-ALL",NLPaymentExport,10,FALSE),0)</f>
        <v>0</v>
      </c>
      <c r="U703" s="118" t="str">
        <f t="shared" si="101"/>
        <v/>
      </c>
    </row>
    <row r="704" spans="1:54" ht="17.100000000000001" hidden="1" customHeight="1" x14ac:dyDescent="0.25">
      <c r="A704" s="166"/>
      <c r="B704" s="169"/>
      <c r="C704" s="172"/>
      <c r="D704" s="175"/>
      <c r="E704" s="91" t="str">
        <f t="shared" si="102"/>
        <v>Augusta</v>
      </c>
      <c r="F704" s="92" t="s">
        <v>240</v>
      </c>
      <c r="G704" s="98" t="str">
        <f t="shared" si="106"/>
        <v>CP078-Retention Bonus</v>
      </c>
      <c r="H704" s="178"/>
      <c r="I704" s="78" t="s">
        <v>30</v>
      </c>
      <c r="J704" s="46" t="s">
        <v>244</v>
      </c>
      <c r="K704" s="46" t="s">
        <v>244</v>
      </c>
      <c r="L704" s="47" t="s">
        <v>245</v>
      </c>
      <c r="M704" s="48" t="s">
        <v>245</v>
      </c>
      <c r="N704" s="46" t="s">
        <v>245</v>
      </c>
      <c r="O704" s="46" t="s">
        <v>245</v>
      </c>
      <c r="P704" s="46" t="s">
        <v>245</v>
      </c>
      <c r="Q704" s="46" t="s">
        <v>245</v>
      </c>
      <c r="R704" s="21"/>
      <c r="S704" s="117" t="str">
        <f t="shared" si="100"/>
        <v>N</v>
      </c>
      <c r="T704" s="114">
        <f>IFERROR(SUMIF('Current NLData'!A:A,'Payment Changes'!G704,'Current NLData'!K:K)/COUNTIF('Current NLData'!A:A,'Payment Changes'!G704),0)+IFERROR(VLOOKUP(G704&amp;"-ALL",NLPaymentExport,10,FALSE),0)</f>
        <v>0</v>
      </c>
      <c r="U704" s="118" t="str">
        <f t="shared" si="101"/>
        <v/>
      </c>
    </row>
    <row r="705" spans="1:54" s="15" customFormat="1" ht="17.100000000000001" hidden="1" customHeight="1" x14ac:dyDescent="0.25">
      <c r="A705" s="167"/>
      <c r="B705" s="170"/>
      <c r="C705" s="173"/>
      <c r="D705" s="176"/>
      <c r="E705" s="110" t="str">
        <f t="shared" si="102"/>
        <v>Augusta</v>
      </c>
      <c r="F705" s="111" t="s">
        <v>240</v>
      </c>
      <c r="G705" s="112" t="str">
        <f t="shared" si="106"/>
        <v>CP078-Referral</v>
      </c>
      <c r="H705" s="179"/>
      <c r="I705" s="79" t="s">
        <v>34</v>
      </c>
      <c r="J705" s="49" t="s">
        <v>246</v>
      </c>
      <c r="K705" s="49" t="s">
        <v>246</v>
      </c>
      <c r="L705" s="50" t="s">
        <v>32</v>
      </c>
      <c r="M705" s="50" t="s">
        <v>247</v>
      </c>
      <c r="N705" s="49" t="s">
        <v>247</v>
      </c>
      <c r="O705" s="49" t="s">
        <v>247</v>
      </c>
      <c r="P705" s="49" t="s">
        <v>247</v>
      </c>
      <c r="Q705" s="49" t="s">
        <v>247</v>
      </c>
      <c r="R705" s="113"/>
      <c r="S705" s="117" t="str">
        <f t="shared" si="100"/>
        <v>N</v>
      </c>
      <c r="T705" s="114">
        <f>IFERROR(SUMIF('Current NLData'!A:A,'Payment Changes'!G705,'Current NLData'!K:K)/COUNTIF('Current NLData'!A:A,'Payment Changes'!G705),0)+IFERROR(VLOOKUP(G705&amp;"-ALL",NLPaymentExport,10,FALSE),0)</f>
        <v>0</v>
      </c>
      <c r="U705" s="118" t="str">
        <f t="shared" si="101"/>
        <v/>
      </c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1:54" ht="17.100000000000001" hidden="1" customHeight="1" outlineLevel="1" x14ac:dyDescent="0.25">
      <c r="A706" s="3"/>
      <c r="C706" s="4"/>
      <c r="D706" s="180" t="s">
        <v>240</v>
      </c>
      <c r="E706" s="91" t="str">
        <f t="shared" si="102"/>
        <v>Augusta</v>
      </c>
      <c r="F706" s="93" t="str">
        <f t="shared" si="103"/>
        <v>CP078</v>
      </c>
      <c r="G706" s="99" t="str">
        <f t="shared" si="106"/>
        <v>CP078-NEW DONOR -1st</v>
      </c>
      <c r="H706" s="182" t="s">
        <v>36</v>
      </c>
      <c r="I706" s="33" t="s">
        <v>37</v>
      </c>
      <c r="J706" s="60">
        <v>100</v>
      </c>
      <c r="K706" s="61">
        <v>100</v>
      </c>
      <c r="L706" s="60">
        <v>100</v>
      </c>
      <c r="M706" s="60">
        <v>100</v>
      </c>
      <c r="N706" s="60">
        <v>100</v>
      </c>
      <c r="O706" s="60">
        <v>100</v>
      </c>
      <c r="P706" s="60">
        <v>100</v>
      </c>
      <c r="Q706" s="60">
        <v>100</v>
      </c>
      <c r="R706" s="23"/>
      <c r="S706" s="117" t="str">
        <f t="shared" si="100"/>
        <v>N</v>
      </c>
      <c r="T706" s="114">
        <f>IFERROR(SUMIF('Current NLData'!A:A,'Payment Changes'!G706,'Current NLData'!K:K)/COUNTIF('Current NLData'!A:A,'Payment Changes'!G706),0)+IFERROR(VLOOKUP(G706&amp;"-ALL",NLPaymentExport,10,FALSE),0)</f>
        <v>100</v>
      </c>
      <c r="U706" s="118">
        <f t="shared" si="101"/>
        <v>0</v>
      </c>
    </row>
    <row r="707" spans="1:54" ht="17.100000000000001" hidden="1" customHeight="1" outlineLevel="1" x14ac:dyDescent="0.25">
      <c r="A707" s="3"/>
      <c r="C707" s="4"/>
      <c r="D707" s="181"/>
      <c r="E707" s="91" t="str">
        <f t="shared" si="102"/>
        <v>Augusta</v>
      </c>
      <c r="F707" s="93" t="str">
        <f t="shared" si="103"/>
        <v>CP078</v>
      </c>
      <c r="G707" s="99" t="str">
        <f t="shared" si="106"/>
        <v>CP078-NEW DONOR -2nd</v>
      </c>
      <c r="H707" s="182"/>
      <c r="I707" s="34" t="s">
        <v>38</v>
      </c>
      <c r="J707" s="58">
        <v>100</v>
      </c>
      <c r="K707" s="62">
        <v>100</v>
      </c>
      <c r="L707" s="58">
        <v>100</v>
      </c>
      <c r="M707" s="58">
        <v>100</v>
      </c>
      <c r="N707" s="58">
        <v>100</v>
      </c>
      <c r="O707" s="58">
        <v>100</v>
      </c>
      <c r="P707" s="58">
        <v>100</v>
      </c>
      <c r="Q707" s="58">
        <v>100</v>
      </c>
      <c r="R707" s="23"/>
      <c r="S707" s="117" t="str">
        <f t="shared" ref="S707:S770" si="107">IF(P707=Q707,"N","Y")</f>
        <v>N</v>
      </c>
      <c r="T707" s="114">
        <f>IFERROR(SUMIF('Current NLData'!A:A,'Payment Changes'!G707,'Current NLData'!K:K)/COUNTIF('Current NLData'!A:A,'Payment Changes'!G707),0)+IFERROR(VLOOKUP(G707&amp;"-ALL",NLPaymentExport,10,FALSE),0)</f>
        <v>100</v>
      </c>
      <c r="U707" s="118">
        <f t="shared" si="101"/>
        <v>0</v>
      </c>
    </row>
    <row r="708" spans="1:54" ht="17.100000000000001" hidden="1" customHeight="1" outlineLevel="1" x14ac:dyDescent="0.25">
      <c r="A708" s="3"/>
      <c r="C708" s="4"/>
      <c r="D708" s="181"/>
      <c r="E708" s="91" t="str">
        <f t="shared" si="102"/>
        <v>Augusta</v>
      </c>
      <c r="F708" s="93" t="str">
        <f t="shared" si="103"/>
        <v>CP078</v>
      </c>
      <c r="G708" s="99" t="str">
        <f t="shared" si="106"/>
        <v>CP078-NEW DONOR -3rd</v>
      </c>
      <c r="H708" s="182"/>
      <c r="I708" s="34" t="s">
        <v>39</v>
      </c>
      <c r="J708" s="58">
        <v>100</v>
      </c>
      <c r="K708" s="62">
        <v>100</v>
      </c>
      <c r="L708" s="58">
        <v>100</v>
      </c>
      <c r="M708" s="58">
        <v>100</v>
      </c>
      <c r="N708" s="58">
        <v>100</v>
      </c>
      <c r="O708" s="58">
        <v>100</v>
      </c>
      <c r="P708" s="58">
        <v>100</v>
      </c>
      <c r="Q708" s="58">
        <v>100</v>
      </c>
      <c r="R708" s="23"/>
      <c r="S708" s="117" t="str">
        <f t="shared" si="107"/>
        <v>N</v>
      </c>
      <c r="T708" s="114">
        <f>IFERROR(SUMIF('Current NLData'!A:A,'Payment Changes'!G708,'Current NLData'!K:K)/COUNTIF('Current NLData'!A:A,'Payment Changes'!G708),0)+IFERROR(VLOOKUP(G708&amp;"-ALL",NLPaymentExport,10,FALSE),0)</f>
        <v>100</v>
      </c>
      <c r="U708" s="118">
        <f t="shared" si="101"/>
        <v>0</v>
      </c>
    </row>
    <row r="709" spans="1:54" ht="17.100000000000001" hidden="1" customHeight="1" outlineLevel="1" x14ac:dyDescent="0.25">
      <c r="A709" s="3"/>
      <c r="C709" s="4"/>
      <c r="D709" s="181"/>
      <c r="E709" s="91" t="str">
        <f t="shared" si="102"/>
        <v>Augusta</v>
      </c>
      <c r="F709" s="93" t="str">
        <f t="shared" si="103"/>
        <v>CP078</v>
      </c>
      <c r="G709" s="99" t="str">
        <f t="shared" si="106"/>
        <v>CP078-NEW DONOR -4th</v>
      </c>
      <c r="H709" s="182"/>
      <c r="I709" s="34" t="s">
        <v>40</v>
      </c>
      <c r="J709" s="58">
        <v>100</v>
      </c>
      <c r="K709" s="62">
        <v>100</v>
      </c>
      <c r="L709" s="58">
        <v>100</v>
      </c>
      <c r="M709" s="58">
        <v>100</v>
      </c>
      <c r="N709" s="58">
        <v>100</v>
      </c>
      <c r="O709" s="58">
        <v>100</v>
      </c>
      <c r="P709" s="58">
        <v>100</v>
      </c>
      <c r="Q709" s="58">
        <v>100</v>
      </c>
      <c r="R709" s="23"/>
      <c r="S709" s="117" t="str">
        <f t="shared" si="107"/>
        <v>N</v>
      </c>
      <c r="T709" s="114">
        <f>IFERROR(SUMIF('Current NLData'!A:A,'Payment Changes'!G709,'Current NLData'!K:K)/COUNTIF('Current NLData'!A:A,'Payment Changes'!G709),0)+IFERROR(VLOOKUP(G709&amp;"-ALL",NLPaymentExport,10,FALSE),0)</f>
        <v>100</v>
      </c>
      <c r="U709" s="118">
        <f t="shared" si="101"/>
        <v>0</v>
      </c>
    </row>
    <row r="710" spans="1:54" ht="17.100000000000001" hidden="1" customHeight="1" outlineLevel="1" x14ac:dyDescent="0.25">
      <c r="A710" s="3"/>
      <c r="C710" s="4"/>
      <c r="D710" s="181"/>
      <c r="E710" s="91" t="str">
        <f t="shared" si="102"/>
        <v>Augusta</v>
      </c>
      <c r="F710" s="93" t="str">
        <f t="shared" si="103"/>
        <v>CP078</v>
      </c>
      <c r="G710" s="99" t="str">
        <f t="shared" si="106"/>
        <v>CP078-NEW DONOR -5th</v>
      </c>
      <c r="H710" s="182"/>
      <c r="I710" s="34" t="s">
        <v>41</v>
      </c>
      <c r="J710" s="58">
        <v>45</v>
      </c>
      <c r="K710" s="62">
        <v>45</v>
      </c>
      <c r="L710" s="58">
        <v>45</v>
      </c>
      <c r="M710" s="58">
        <v>45</v>
      </c>
      <c r="N710" s="58">
        <v>45</v>
      </c>
      <c r="O710" s="58">
        <v>55</v>
      </c>
      <c r="P710" s="58">
        <v>55</v>
      </c>
      <c r="Q710" s="58">
        <v>55</v>
      </c>
      <c r="R710" s="23"/>
      <c r="S710" s="117" t="str">
        <f t="shared" si="107"/>
        <v>N</v>
      </c>
      <c r="T710" s="114">
        <f>IFERROR(SUMIF('Current NLData'!A:A,'Payment Changes'!G710,'Current NLData'!K:K)/COUNTIF('Current NLData'!A:A,'Payment Changes'!G710),0)+IFERROR(VLOOKUP(G710&amp;"-ALL",NLPaymentExport,10,FALSE),0)</f>
        <v>55</v>
      </c>
      <c r="U710" s="118">
        <f t="shared" si="101"/>
        <v>0</v>
      </c>
    </row>
    <row r="711" spans="1:54" ht="17.100000000000001" hidden="1" customHeight="1" outlineLevel="1" x14ac:dyDescent="0.25">
      <c r="A711" s="3"/>
      <c r="C711" s="4"/>
      <c r="D711" s="181"/>
      <c r="E711" s="91" t="str">
        <f t="shared" si="102"/>
        <v>Augusta</v>
      </c>
      <c r="F711" s="93" t="str">
        <f t="shared" si="103"/>
        <v>CP078</v>
      </c>
      <c r="G711" s="99" t="str">
        <f t="shared" si="106"/>
        <v>CP078-NEW DONOR -6th</v>
      </c>
      <c r="H711" s="182"/>
      <c r="I711" s="34" t="s">
        <v>42</v>
      </c>
      <c r="J711" s="58">
        <v>45</v>
      </c>
      <c r="K711" s="62">
        <v>80</v>
      </c>
      <c r="L711" s="58">
        <v>45</v>
      </c>
      <c r="M711" s="58">
        <v>45</v>
      </c>
      <c r="N711" s="58">
        <v>45</v>
      </c>
      <c r="O711" s="58">
        <v>55</v>
      </c>
      <c r="P711" s="58">
        <v>55</v>
      </c>
      <c r="Q711" s="58">
        <v>55</v>
      </c>
      <c r="R711" s="23"/>
      <c r="S711" s="117" t="str">
        <f t="shared" si="107"/>
        <v>N</v>
      </c>
      <c r="T711" s="114">
        <f>IFERROR(SUMIF('Current NLData'!A:A,'Payment Changes'!G711,'Current NLData'!K:K)/COUNTIF('Current NLData'!A:A,'Payment Changes'!G711),0)+IFERROR(VLOOKUP(G711&amp;"-ALL",NLPaymentExport,10,FALSE),0)</f>
        <v>55</v>
      </c>
      <c r="U711" s="118">
        <f t="shared" ref="U711:U774" si="108">IF(OR(I711 = "New Donor", I711="Return Donor", I711="Retention Bonus", I711="Referral", I711 = ""),"",T711-Q711 )</f>
        <v>0</v>
      </c>
    </row>
    <row r="712" spans="1:54" ht="17.100000000000001" hidden="1" customHeight="1" outlineLevel="1" x14ac:dyDescent="0.25">
      <c r="A712" s="3"/>
      <c r="C712" s="4"/>
      <c r="D712" s="181"/>
      <c r="E712" s="91" t="str">
        <f t="shared" ref="E712:E775" si="109">IF(B712 = "",E711,B712)</f>
        <v>Augusta</v>
      </c>
      <c r="F712" s="93" t="str">
        <f t="shared" ref="F712:F775" si="110">IF(D712 = "",F711,D712)</f>
        <v>CP078</v>
      </c>
      <c r="G712" s="99" t="str">
        <f t="shared" si="106"/>
        <v>CP078-NEW DONOR -7th</v>
      </c>
      <c r="H712" s="182"/>
      <c r="I712" s="34" t="s">
        <v>43</v>
      </c>
      <c r="J712" s="58">
        <v>45</v>
      </c>
      <c r="K712" s="62">
        <v>45</v>
      </c>
      <c r="L712" s="58">
        <v>45</v>
      </c>
      <c r="M712" s="58">
        <v>45</v>
      </c>
      <c r="N712" s="58">
        <v>45</v>
      </c>
      <c r="O712" s="58">
        <v>55</v>
      </c>
      <c r="P712" s="58">
        <v>55</v>
      </c>
      <c r="Q712" s="58">
        <v>55</v>
      </c>
      <c r="R712" s="23"/>
      <c r="S712" s="117" t="str">
        <f t="shared" si="107"/>
        <v>N</v>
      </c>
      <c r="T712" s="114">
        <f>IFERROR(SUMIF('Current NLData'!A:A,'Payment Changes'!G712,'Current NLData'!K:K)/COUNTIF('Current NLData'!A:A,'Payment Changes'!G712),0)+IFERROR(VLOOKUP(G712&amp;"-ALL",NLPaymentExport,10,FALSE),0)</f>
        <v>55</v>
      </c>
      <c r="U712" s="118">
        <f t="shared" si="108"/>
        <v>0</v>
      </c>
    </row>
    <row r="713" spans="1:54" ht="17.100000000000001" hidden="1" customHeight="1" outlineLevel="1" x14ac:dyDescent="0.25">
      <c r="A713" s="3"/>
      <c r="C713" s="4"/>
      <c r="D713" s="181"/>
      <c r="E713" s="91" t="str">
        <f t="shared" si="109"/>
        <v>Augusta</v>
      </c>
      <c r="F713" s="93" t="str">
        <f t="shared" si="110"/>
        <v>CP078</v>
      </c>
      <c r="G713" s="99" t="str">
        <f t="shared" si="106"/>
        <v>CP078-NEW DONOR -8th</v>
      </c>
      <c r="H713" s="182"/>
      <c r="I713" s="35" t="s">
        <v>44</v>
      </c>
      <c r="J713" s="63">
        <v>45</v>
      </c>
      <c r="K713" s="64">
        <v>80</v>
      </c>
      <c r="L713" s="63">
        <v>45</v>
      </c>
      <c r="M713" s="63">
        <v>45</v>
      </c>
      <c r="N713" s="63">
        <v>45</v>
      </c>
      <c r="O713" s="63">
        <v>55</v>
      </c>
      <c r="P713" s="63">
        <v>55</v>
      </c>
      <c r="Q713" s="63">
        <v>55</v>
      </c>
      <c r="R713" s="23"/>
      <c r="S713" s="117" t="str">
        <f t="shared" si="107"/>
        <v>N</v>
      </c>
      <c r="T713" s="114">
        <f>IFERROR(SUMIF('Current NLData'!A:A,'Payment Changes'!G713,'Current NLData'!K:K)/COUNTIF('Current NLData'!A:A,'Payment Changes'!G713),0)+IFERROR(VLOOKUP(G713&amp;"-ALL",NLPaymentExport,10,FALSE),0)</f>
        <v>55</v>
      </c>
      <c r="U713" s="118">
        <f t="shared" si="108"/>
        <v>0</v>
      </c>
    </row>
    <row r="714" spans="1:54" ht="17.100000000000001" hidden="1" customHeight="1" outlineLevel="1" x14ac:dyDescent="0.25">
      <c r="A714" s="3"/>
      <c r="C714" s="4"/>
      <c r="D714" s="181"/>
      <c r="E714" s="91" t="str">
        <f t="shared" si="109"/>
        <v>Augusta</v>
      </c>
      <c r="F714" s="93" t="str">
        <f t="shared" si="110"/>
        <v>CP078</v>
      </c>
      <c r="G714" s="99" t="str">
        <f t="shared" si="106"/>
        <v>CP078-RETURN - 1st don of the week -STD</v>
      </c>
      <c r="H714" s="182"/>
      <c r="I714" s="36" t="s">
        <v>45</v>
      </c>
      <c r="J714" s="58">
        <v>45</v>
      </c>
      <c r="K714" s="58">
        <v>45</v>
      </c>
      <c r="L714" s="58">
        <v>45</v>
      </c>
      <c r="M714" s="58">
        <v>45</v>
      </c>
      <c r="N714" s="58">
        <v>45</v>
      </c>
      <c r="O714" s="58">
        <v>55</v>
      </c>
      <c r="P714" s="58">
        <v>55</v>
      </c>
      <c r="Q714" s="58">
        <v>55</v>
      </c>
      <c r="R714" s="22"/>
      <c r="S714" s="117" t="str">
        <f t="shared" si="107"/>
        <v>N</v>
      </c>
      <c r="T714" s="114">
        <f>IFERROR(SUMIF('Current NLData'!A:A,'Payment Changes'!G714,'Current NLData'!K:K)/COUNTIF('Current NLData'!A:A,'Payment Changes'!G714),0)+IFERROR(VLOOKUP(G714&amp;"-ALL",NLPaymentExport,10,FALSE),0)</f>
        <v>55</v>
      </c>
      <c r="U714" s="118">
        <f t="shared" si="108"/>
        <v>0</v>
      </c>
    </row>
    <row r="715" spans="1:54" ht="17.100000000000001" hidden="1" customHeight="1" outlineLevel="1" x14ac:dyDescent="0.25">
      <c r="A715" s="3"/>
      <c r="C715" s="4"/>
      <c r="D715" s="181"/>
      <c r="E715" s="91" t="str">
        <f t="shared" si="109"/>
        <v>Augusta</v>
      </c>
      <c r="F715" s="93" t="str">
        <f t="shared" si="110"/>
        <v>CP078</v>
      </c>
      <c r="G715" s="99" t="str">
        <f t="shared" si="106"/>
        <v>CP078-RETURN - 2nd don of the week -BONUS</v>
      </c>
      <c r="H715" s="182"/>
      <c r="I715" s="36" t="s">
        <v>46</v>
      </c>
      <c r="J715" s="58">
        <v>35</v>
      </c>
      <c r="K715" s="58">
        <v>35</v>
      </c>
      <c r="L715" s="58">
        <v>30</v>
      </c>
      <c r="M715" s="58">
        <v>30</v>
      </c>
      <c r="N715" s="58">
        <v>30</v>
      </c>
      <c r="O715" s="58">
        <v>20</v>
      </c>
      <c r="P715" s="58">
        <v>20</v>
      </c>
      <c r="Q715" s="58">
        <v>20</v>
      </c>
      <c r="R715" s="22"/>
      <c r="S715" s="117" t="str">
        <f t="shared" si="107"/>
        <v>N</v>
      </c>
      <c r="T715" s="114">
        <f>IFERROR(SUMIF('Current NLData'!A:A,'Payment Changes'!G715,'Current NLData'!K:K)/COUNTIF('Current NLData'!A:A,'Payment Changes'!G715),0)+IFERROR(VLOOKUP(G715&amp;"-ALL",NLPaymentExport,10,FALSE),0)</f>
        <v>20</v>
      </c>
      <c r="U715" s="118">
        <f t="shared" si="108"/>
        <v>0</v>
      </c>
    </row>
    <row r="716" spans="1:54" ht="17.100000000000001" hidden="1" customHeight="1" outlineLevel="1" x14ac:dyDescent="0.25">
      <c r="A716" s="3"/>
      <c r="C716" s="4"/>
      <c r="D716" s="181"/>
      <c r="E716" s="91" t="str">
        <f t="shared" si="109"/>
        <v>Augusta</v>
      </c>
      <c r="F716" s="93" t="str">
        <f t="shared" si="110"/>
        <v>CP078</v>
      </c>
      <c r="G716" s="99" t="str">
        <f t="shared" si="106"/>
        <v>CP078-RETURN - 5th don of the month -BONUS</v>
      </c>
      <c r="H716" s="182"/>
      <c r="I716" s="37" t="s">
        <v>47</v>
      </c>
      <c r="J716" s="65">
        <v>0</v>
      </c>
      <c r="K716" s="65">
        <v>0</v>
      </c>
      <c r="L716" s="65">
        <v>0</v>
      </c>
      <c r="M716" s="65">
        <v>0</v>
      </c>
      <c r="N716" s="65">
        <v>0</v>
      </c>
      <c r="O716" s="65">
        <v>0</v>
      </c>
      <c r="P716" s="65">
        <v>0</v>
      </c>
      <c r="Q716" s="65">
        <v>0</v>
      </c>
      <c r="R716" s="22"/>
      <c r="S716" s="117" t="str">
        <f t="shared" si="107"/>
        <v>N</v>
      </c>
      <c r="T716" s="114">
        <f>IFERROR(SUMIF('Current NLData'!A:A,'Payment Changes'!G716,'Current NLData'!K:K)/COUNTIF('Current NLData'!A:A,'Payment Changes'!G716),0)+IFERROR(VLOOKUP(G716&amp;"-ALL",NLPaymentExport,10,FALSE),0)</f>
        <v>0</v>
      </c>
      <c r="U716" s="118">
        <f t="shared" si="108"/>
        <v>0</v>
      </c>
    </row>
    <row r="717" spans="1:54" ht="17.100000000000001" hidden="1" customHeight="1" outlineLevel="1" x14ac:dyDescent="0.25">
      <c r="A717" s="3"/>
      <c r="C717" s="4"/>
      <c r="D717" s="181"/>
      <c r="E717" s="91" t="str">
        <f t="shared" si="109"/>
        <v>Augusta</v>
      </c>
      <c r="F717" s="93" t="str">
        <f t="shared" si="110"/>
        <v>CP078</v>
      </c>
      <c r="G717" s="99" t="str">
        <f t="shared" si="106"/>
        <v>CP078-RETURN - 6th don of the month -BONUS</v>
      </c>
      <c r="H717" s="182"/>
      <c r="I717" s="38" t="s">
        <v>48</v>
      </c>
      <c r="J717" s="58">
        <v>40</v>
      </c>
      <c r="K717" s="58">
        <v>40</v>
      </c>
      <c r="L717" s="58">
        <v>40</v>
      </c>
      <c r="M717" s="58">
        <v>40</v>
      </c>
      <c r="N717" s="58">
        <v>40</v>
      </c>
      <c r="O717" s="58">
        <v>40</v>
      </c>
      <c r="P717" s="58">
        <v>40</v>
      </c>
      <c r="Q717" s="58">
        <v>40</v>
      </c>
      <c r="R717" s="22"/>
      <c r="S717" s="117" t="str">
        <f t="shared" si="107"/>
        <v>N</v>
      </c>
      <c r="T717" s="114">
        <f>IFERROR(SUMIF('Current NLData'!A:A,'Payment Changes'!G717,'Current NLData'!K:K)/COUNTIF('Current NLData'!A:A,'Payment Changes'!G717),0)+IFERROR(VLOOKUP(G717&amp;"-ALL",NLPaymentExport,10,FALSE),0)</f>
        <v>40</v>
      </c>
      <c r="U717" s="118">
        <f t="shared" si="108"/>
        <v>0</v>
      </c>
    </row>
    <row r="718" spans="1:54" ht="17.100000000000001" hidden="1" customHeight="1" outlineLevel="1" x14ac:dyDescent="0.25">
      <c r="A718" s="3"/>
      <c r="C718" s="4"/>
      <c r="D718" s="181"/>
      <c r="E718" s="91" t="str">
        <f t="shared" si="109"/>
        <v>Augusta</v>
      </c>
      <c r="F718" s="93" t="str">
        <f t="shared" si="110"/>
        <v>CP078</v>
      </c>
      <c r="G718" s="99" t="str">
        <f t="shared" si="106"/>
        <v>CP078-RETURN - 7th don of the month -BONUS</v>
      </c>
      <c r="H718" s="182"/>
      <c r="I718" s="38" t="s">
        <v>49</v>
      </c>
      <c r="J718" s="58">
        <v>0</v>
      </c>
      <c r="K718" s="58">
        <v>0</v>
      </c>
      <c r="L718" s="58">
        <v>0</v>
      </c>
      <c r="M718" s="58">
        <v>0</v>
      </c>
      <c r="N718" s="58">
        <v>0</v>
      </c>
      <c r="O718" s="58">
        <v>0</v>
      </c>
      <c r="P718" s="58">
        <v>0</v>
      </c>
      <c r="Q718" s="58">
        <v>0</v>
      </c>
      <c r="R718" s="22"/>
      <c r="S718" s="117" t="str">
        <f t="shared" si="107"/>
        <v>N</v>
      </c>
      <c r="T718" s="114">
        <f>IFERROR(SUMIF('Current NLData'!A:A,'Payment Changes'!G718,'Current NLData'!K:K)/COUNTIF('Current NLData'!A:A,'Payment Changes'!G718),0)+IFERROR(VLOOKUP(G718&amp;"-ALL",NLPaymentExport,10,FALSE),0)</f>
        <v>0</v>
      </c>
      <c r="U718" s="118">
        <f t="shared" si="108"/>
        <v>0</v>
      </c>
    </row>
    <row r="719" spans="1:54" ht="17.100000000000001" hidden="1" customHeight="1" outlineLevel="1" x14ac:dyDescent="0.25">
      <c r="A719" s="3"/>
      <c r="C719" s="4"/>
      <c r="D719" s="181"/>
      <c r="E719" s="91" t="str">
        <f t="shared" si="109"/>
        <v>Augusta</v>
      </c>
      <c r="F719" s="93" t="str">
        <f t="shared" si="110"/>
        <v>CP078</v>
      </c>
      <c r="G719" s="99" t="str">
        <f t="shared" si="106"/>
        <v>CP078-RETURN - 8th don of the month -BONUS</v>
      </c>
      <c r="H719" s="182"/>
      <c r="I719" s="38" t="s">
        <v>50</v>
      </c>
      <c r="J719" s="58">
        <v>20</v>
      </c>
      <c r="K719" s="58">
        <v>20</v>
      </c>
      <c r="L719" s="58">
        <v>0</v>
      </c>
      <c r="M719" s="58">
        <v>0</v>
      </c>
      <c r="N719" s="58">
        <v>0</v>
      </c>
      <c r="O719" s="58">
        <v>0</v>
      </c>
      <c r="P719" s="58">
        <v>0</v>
      </c>
      <c r="Q719" s="58">
        <v>0</v>
      </c>
      <c r="R719" s="22"/>
      <c r="S719" s="117" t="str">
        <f t="shared" si="107"/>
        <v>N</v>
      </c>
      <c r="T719" s="114">
        <f>IFERROR(SUMIF('Current NLData'!A:A,'Payment Changes'!G719,'Current NLData'!K:K)/COUNTIF('Current NLData'!A:A,'Payment Changes'!G719),0)+IFERROR(VLOOKUP(G719&amp;"-ALL",NLPaymentExport,10,FALSE),0)</f>
        <v>0</v>
      </c>
      <c r="U719" s="118">
        <f t="shared" si="108"/>
        <v>0</v>
      </c>
    </row>
    <row r="720" spans="1:54" ht="17.100000000000001" hidden="1" customHeight="1" outlineLevel="1" x14ac:dyDescent="0.25">
      <c r="A720" s="3"/>
      <c r="C720" s="4"/>
      <c r="D720" s="181"/>
      <c r="E720" s="91" t="str">
        <f t="shared" si="109"/>
        <v>Augusta</v>
      </c>
      <c r="F720" s="93" t="str">
        <f t="shared" si="110"/>
        <v>CP078</v>
      </c>
      <c r="G720" s="99" t="str">
        <f t="shared" si="106"/>
        <v>CP078-RETURN - Buddy referral  -BONUS</v>
      </c>
      <c r="H720" s="182"/>
      <c r="I720" s="39" t="s">
        <v>51</v>
      </c>
      <c r="J720" s="58"/>
      <c r="K720" s="58"/>
      <c r="L720" s="58"/>
      <c r="M720" s="58"/>
      <c r="N720" s="58">
        <v>50</v>
      </c>
      <c r="O720" s="58">
        <v>50</v>
      </c>
      <c r="P720" s="58">
        <v>50</v>
      </c>
      <c r="Q720" s="58">
        <v>50</v>
      </c>
      <c r="R720" s="22"/>
      <c r="S720" s="117" t="str">
        <f t="shared" si="107"/>
        <v>N</v>
      </c>
      <c r="T720" s="114">
        <f>IFERROR(SUMIF('Current NLData'!A:A,'Payment Changes'!G720,'Current NLData'!K:K)/COUNTIF('Current NLData'!A:A,'Payment Changes'!G720),0)+IFERROR(VLOOKUP(G720&amp;"-ALL",NLPaymentExport,10,FALSE),0)</f>
        <v>50</v>
      </c>
      <c r="U720" s="118">
        <f t="shared" si="108"/>
        <v>0</v>
      </c>
    </row>
    <row r="721" spans="1:54" s="90" customFormat="1" ht="17.100000000000001" hidden="1" customHeight="1" collapsed="1" x14ac:dyDescent="0.35">
      <c r="A721" s="85"/>
      <c r="B721" s="85"/>
      <c r="C721" s="86"/>
      <c r="D721" s="87"/>
      <c r="E721" s="87"/>
      <c r="F721" s="87"/>
      <c r="G721" s="87"/>
      <c r="H721" s="96"/>
      <c r="I721" s="88"/>
      <c r="J721" s="89"/>
      <c r="K721" s="89"/>
      <c r="L721" s="89"/>
      <c r="M721" s="89"/>
      <c r="N721" s="89"/>
      <c r="O721" s="89"/>
      <c r="P721" s="89"/>
      <c r="Q721" s="89"/>
      <c r="R721" s="21"/>
      <c r="S721" s="117" t="str">
        <f t="shared" si="107"/>
        <v>N</v>
      </c>
      <c r="T721" s="114">
        <f>IFERROR(SUMIF('Current NLData'!A:A,'Payment Changes'!G721,'Current NLData'!K:K)/COUNTIF('Current NLData'!A:A,'Payment Changes'!G721),0)+IFERROR(VLOOKUP(G721&amp;"-ALL",NLPaymentExport,10,FALSE),0)</f>
        <v>0</v>
      </c>
      <c r="U721" s="118" t="str">
        <f t="shared" si="108"/>
        <v/>
      </c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1:54" s="10" customFormat="1" ht="17.100000000000001" hidden="1" customHeight="1" x14ac:dyDescent="0.25">
      <c r="A722" s="165">
        <v>37</v>
      </c>
      <c r="B722" s="168" t="s">
        <v>248</v>
      </c>
      <c r="C722" s="171" t="s">
        <v>19</v>
      </c>
      <c r="D722" s="174" t="s">
        <v>157</v>
      </c>
      <c r="E722" s="106" t="str">
        <f t="shared" si="109"/>
        <v>Mobile Montlimar</v>
      </c>
      <c r="F722" s="107" t="s">
        <v>249</v>
      </c>
      <c r="G722" s="108" t="str">
        <f t="shared" ref="G722:G740" si="111">F722&amp;"-"&amp;I722</f>
        <v>CP133-New Donor</v>
      </c>
      <c r="H722" s="177" t="s">
        <v>22</v>
      </c>
      <c r="I722" s="76" t="s">
        <v>23</v>
      </c>
      <c r="J722" s="40" t="s">
        <v>250</v>
      </c>
      <c r="K722" s="41" t="s">
        <v>251</v>
      </c>
      <c r="L722" s="41" t="s">
        <v>250</v>
      </c>
      <c r="M722" s="119" t="s">
        <v>252</v>
      </c>
      <c r="N722" s="139" t="s">
        <v>252</v>
      </c>
      <c r="O722" s="139" t="s">
        <v>252</v>
      </c>
      <c r="P722" s="139" t="s">
        <v>252</v>
      </c>
      <c r="Q722" s="139" t="s">
        <v>252</v>
      </c>
      <c r="R722" s="109"/>
      <c r="S722" s="117" t="str">
        <f t="shared" si="107"/>
        <v>N</v>
      </c>
      <c r="T722" s="114">
        <f>IFERROR(SUMIF('Current NLData'!A:A,'Payment Changes'!G722,'Current NLData'!K:K)/COUNTIF('Current NLData'!A:A,'Payment Changes'!G722),0)+IFERROR(VLOOKUP(G722&amp;"-ALL",NLPaymentExport,10,FALSE),0)</f>
        <v>0</v>
      </c>
      <c r="U722" s="118" t="str">
        <f t="shared" si="108"/>
        <v/>
      </c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1:54" ht="17.100000000000001" hidden="1" customHeight="1" x14ac:dyDescent="0.25">
      <c r="A723" s="166"/>
      <c r="B723" s="169"/>
      <c r="C723" s="172"/>
      <c r="D723" s="175"/>
      <c r="E723" s="91" t="str">
        <f t="shared" si="109"/>
        <v>Mobile Montlimar</v>
      </c>
      <c r="F723" s="92" t="s">
        <v>249</v>
      </c>
      <c r="G723" s="98" t="str">
        <f t="shared" si="111"/>
        <v>CP133-Return Donor</v>
      </c>
      <c r="H723" s="178"/>
      <c r="I723" s="77" t="s">
        <v>29</v>
      </c>
      <c r="J723" s="43" t="s">
        <v>253</v>
      </c>
      <c r="K723" s="43" t="s">
        <v>253</v>
      </c>
      <c r="L723" s="44" t="s">
        <v>253</v>
      </c>
      <c r="M723" s="120" t="s">
        <v>194</v>
      </c>
      <c r="N723" s="140" t="s">
        <v>194</v>
      </c>
      <c r="O723" s="140" t="s">
        <v>194</v>
      </c>
      <c r="P723" s="140" t="s">
        <v>194</v>
      </c>
      <c r="Q723" s="140" t="s">
        <v>194</v>
      </c>
      <c r="R723" s="21"/>
      <c r="S723" s="117" t="str">
        <f t="shared" si="107"/>
        <v>N</v>
      </c>
      <c r="T723" s="114">
        <f>IFERROR(SUMIF('Current NLData'!A:A,'Payment Changes'!G723,'Current NLData'!K:K)/COUNTIF('Current NLData'!A:A,'Payment Changes'!G723),0)+IFERROR(VLOOKUP(G723&amp;"-ALL",NLPaymentExport,10,FALSE),0)</f>
        <v>0</v>
      </c>
      <c r="U723" s="118" t="str">
        <f t="shared" si="108"/>
        <v/>
      </c>
    </row>
    <row r="724" spans="1:54" ht="17.100000000000001" hidden="1" customHeight="1" x14ac:dyDescent="0.25">
      <c r="A724" s="166"/>
      <c r="B724" s="169"/>
      <c r="C724" s="172"/>
      <c r="D724" s="175"/>
      <c r="E724" s="91" t="str">
        <f t="shared" si="109"/>
        <v>Mobile Montlimar</v>
      </c>
      <c r="F724" s="92" t="s">
        <v>249</v>
      </c>
      <c r="G724" s="98" t="str">
        <f t="shared" si="111"/>
        <v>CP133-Retention Bonus</v>
      </c>
      <c r="H724" s="178"/>
      <c r="I724" s="78" t="s">
        <v>30</v>
      </c>
      <c r="J724" s="46" t="s">
        <v>163</v>
      </c>
      <c r="K724" s="46" t="s">
        <v>163</v>
      </c>
      <c r="L724" s="47" t="s">
        <v>32</v>
      </c>
      <c r="M724" s="121" t="s">
        <v>33</v>
      </c>
      <c r="N724" s="137" t="s">
        <v>33</v>
      </c>
      <c r="O724" s="137" t="s">
        <v>33</v>
      </c>
      <c r="P724" s="137" t="s">
        <v>33</v>
      </c>
      <c r="Q724" s="137" t="s">
        <v>33</v>
      </c>
      <c r="R724" s="21"/>
      <c r="S724" s="117" t="str">
        <f t="shared" si="107"/>
        <v>N</v>
      </c>
      <c r="T724" s="114">
        <f>IFERROR(SUMIF('Current NLData'!A:A,'Payment Changes'!G724,'Current NLData'!K:K)/COUNTIF('Current NLData'!A:A,'Payment Changes'!G724),0)+IFERROR(VLOOKUP(G724&amp;"-ALL",NLPaymentExport,10,FALSE),0)</f>
        <v>0</v>
      </c>
      <c r="U724" s="118" t="str">
        <f t="shared" si="108"/>
        <v/>
      </c>
    </row>
    <row r="725" spans="1:54" s="15" customFormat="1" ht="17.100000000000001" hidden="1" customHeight="1" x14ac:dyDescent="0.25">
      <c r="A725" s="167"/>
      <c r="B725" s="170"/>
      <c r="C725" s="173"/>
      <c r="D725" s="176"/>
      <c r="E725" s="110" t="str">
        <f t="shared" si="109"/>
        <v>Mobile Montlimar</v>
      </c>
      <c r="F725" s="111" t="s">
        <v>249</v>
      </c>
      <c r="G725" s="112" t="str">
        <f t="shared" si="111"/>
        <v>CP133-Referral</v>
      </c>
      <c r="H725" s="179"/>
      <c r="I725" s="79" t="s">
        <v>34</v>
      </c>
      <c r="J725" s="49">
        <v>50</v>
      </c>
      <c r="K725" s="49">
        <v>50</v>
      </c>
      <c r="L725" s="50" t="s">
        <v>32</v>
      </c>
      <c r="M725" s="122" t="s">
        <v>35</v>
      </c>
      <c r="N725" s="138" t="s">
        <v>35</v>
      </c>
      <c r="O725" s="138" t="s">
        <v>35</v>
      </c>
      <c r="P725" s="138" t="s">
        <v>35</v>
      </c>
      <c r="Q725" s="138" t="s">
        <v>35</v>
      </c>
      <c r="R725" s="132"/>
      <c r="S725" s="117" t="str">
        <f t="shared" si="107"/>
        <v>N</v>
      </c>
      <c r="T725" s="114">
        <f>IFERROR(SUMIF('Current NLData'!A:A,'Payment Changes'!G725,'Current NLData'!K:K)/COUNTIF('Current NLData'!A:A,'Payment Changes'!G725),0)+IFERROR(VLOOKUP(G725&amp;"-ALL",NLPaymentExport,10,FALSE),0)</f>
        <v>0</v>
      </c>
      <c r="U725" s="118" t="str">
        <f t="shared" si="108"/>
        <v/>
      </c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1:54" ht="17.100000000000001" hidden="1" customHeight="1" outlineLevel="1" x14ac:dyDescent="0.25">
      <c r="A726" s="3"/>
      <c r="C726" s="4"/>
      <c r="D726" s="180" t="s">
        <v>249</v>
      </c>
      <c r="E726" s="91" t="str">
        <f t="shared" si="109"/>
        <v>Mobile Montlimar</v>
      </c>
      <c r="F726" s="93" t="str">
        <f t="shared" si="110"/>
        <v>CP133</v>
      </c>
      <c r="G726" s="99" t="str">
        <f t="shared" si="111"/>
        <v>CP133-NEW DONOR -1st</v>
      </c>
      <c r="H726" s="182" t="s">
        <v>36</v>
      </c>
      <c r="I726" s="33" t="s">
        <v>37</v>
      </c>
      <c r="J726" s="60">
        <v>100</v>
      </c>
      <c r="K726" s="61">
        <v>100</v>
      </c>
      <c r="L726" s="60">
        <v>100</v>
      </c>
      <c r="M726" s="60">
        <v>100</v>
      </c>
      <c r="N726" s="60">
        <v>100</v>
      </c>
      <c r="O726" s="60">
        <v>100</v>
      </c>
      <c r="P726" s="60">
        <v>100</v>
      </c>
      <c r="Q726" s="60">
        <v>100</v>
      </c>
      <c r="R726" s="23"/>
      <c r="S726" s="117" t="str">
        <f t="shared" si="107"/>
        <v>N</v>
      </c>
      <c r="T726" s="114">
        <f>IFERROR(SUMIF('Current NLData'!A:A,'Payment Changes'!G726,'Current NLData'!K:K)/COUNTIF('Current NLData'!A:A,'Payment Changes'!G726),0)+IFERROR(VLOOKUP(G726&amp;"-ALL",NLPaymentExport,10,FALSE),0)</f>
        <v>100</v>
      </c>
      <c r="U726" s="118">
        <f t="shared" si="108"/>
        <v>0</v>
      </c>
    </row>
    <row r="727" spans="1:54" ht="17.100000000000001" hidden="1" customHeight="1" outlineLevel="1" x14ac:dyDescent="0.25">
      <c r="A727" s="3"/>
      <c r="C727" s="4"/>
      <c r="D727" s="181"/>
      <c r="E727" s="91" t="str">
        <f t="shared" si="109"/>
        <v>Mobile Montlimar</v>
      </c>
      <c r="F727" s="93" t="str">
        <f t="shared" si="110"/>
        <v>CP133</v>
      </c>
      <c r="G727" s="99" t="str">
        <f t="shared" si="111"/>
        <v>CP133-NEW DONOR -2nd</v>
      </c>
      <c r="H727" s="182"/>
      <c r="I727" s="34" t="s">
        <v>38</v>
      </c>
      <c r="J727" s="58">
        <v>100</v>
      </c>
      <c r="K727" s="62">
        <v>100</v>
      </c>
      <c r="L727" s="58">
        <v>100</v>
      </c>
      <c r="M727" s="58">
        <v>100</v>
      </c>
      <c r="N727" s="58">
        <v>100</v>
      </c>
      <c r="O727" s="58">
        <v>100</v>
      </c>
      <c r="P727" s="58">
        <v>100</v>
      </c>
      <c r="Q727" s="58">
        <v>100</v>
      </c>
      <c r="R727" s="23"/>
      <c r="S727" s="117" t="str">
        <f t="shared" si="107"/>
        <v>N</v>
      </c>
      <c r="T727" s="114">
        <f>IFERROR(SUMIF('Current NLData'!A:A,'Payment Changes'!G727,'Current NLData'!K:K)/COUNTIF('Current NLData'!A:A,'Payment Changes'!G727),0)+IFERROR(VLOOKUP(G727&amp;"-ALL",NLPaymentExport,10,FALSE),0)</f>
        <v>100</v>
      </c>
      <c r="U727" s="118">
        <f t="shared" si="108"/>
        <v>0</v>
      </c>
    </row>
    <row r="728" spans="1:54" ht="17.100000000000001" hidden="1" customHeight="1" outlineLevel="1" x14ac:dyDescent="0.25">
      <c r="A728" s="3"/>
      <c r="C728" s="4"/>
      <c r="D728" s="181"/>
      <c r="E728" s="91" t="str">
        <f t="shared" si="109"/>
        <v>Mobile Montlimar</v>
      </c>
      <c r="F728" s="93" t="str">
        <f t="shared" si="110"/>
        <v>CP133</v>
      </c>
      <c r="G728" s="99" t="str">
        <f t="shared" si="111"/>
        <v>CP133-NEW DONOR -3rd</v>
      </c>
      <c r="H728" s="182"/>
      <c r="I728" s="34" t="s">
        <v>39</v>
      </c>
      <c r="J728" s="58">
        <v>100</v>
      </c>
      <c r="K728" s="62">
        <v>100</v>
      </c>
      <c r="L728" s="58">
        <v>100</v>
      </c>
      <c r="M728" s="58">
        <v>100</v>
      </c>
      <c r="N728" s="58">
        <v>100</v>
      </c>
      <c r="O728" s="58">
        <v>100</v>
      </c>
      <c r="P728" s="58">
        <v>100</v>
      </c>
      <c r="Q728" s="58">
        <v>100</v>
      </c>
      <c r="R728" s="23"/>
      <c r="S728" s="117" t="str">
        <f t="shared" si="107"/>
        <v>N</v>
      </c>
      <c r="T728" s="114">
        <f>IFERROR(SUMIF('Current NLData'!A:A,'Payment Changes'!G728,'Current NLData'!K:K)/COUNTIF('Current NLData'!A:A,'Payment Changes'!G728),0)+IFERROR(VLOOKUP(G728&amp;"-ALL",NLPaymentExport,10,FALSE),0)</f>
        <v>100</v>
      </c>
      <c r="U728" s="118">
        <f t="shared" si="108"/>
        <v>0</v>
      </c>
    </row>
    <row r="729" spans="1:54" ht="17.100000000000001" hidden="1" customHeight="1" outlineLevel="1" x14ac:dyDescent="0.25">
      <c r="A729" s="3"/>
      <c r="C729" s="4"/>
      <c r="D729" s="181"/>
      <c r="E729" s="91" t="str">
        <f t="shared" si="109"/>
        <v>Mobile Montlimar</v>
      </c>
      <c r="F729" s="93" t="str">
        <f t="shared" si="110"/>
        <v>CP133</v>
      </c>
      <c r="G729" s="99" t="str">
        <f t="shared" si="111"/>
        <v>CP133-NEW DONOR -4th</v>
      </c>
      <c r="H729" s="182"/>
      <c r="I729" s="34" t="s">
        <v>40</v>
      </c>
      <c r="J729" s="58">
        <v>100</v>
      </c>
      <c r="K729" s="62">
        <v>100</v>
      </c>
      <c r="L729" s="58">
        <v>100</v>
      </c>
      <c r="M729" s="58">
        <v>100</v>
      </c>
      <c r="N729" s="58">
        <v>100</v>
      </c>
      <c r="O729" s="58">
        <v>100</v>
      </c>
      <c r="P729" s="58">
        <v>100</v>
      </c>
      <c r="Q729" s="58">
        <v>100</v>
      </c>
      <c r="R729" s="23"/>
      <c r="S729" s="117" t="str">
        <f t="shared" si="107"/>
        <v>N</v>
      </c>
      <c r="T729" s="114">
        <f>IFERROR(SUMIF('Current NLData'!A:A,'Payment Changes'!G729,'Current NLData'!K:K)/COUNTIF('Current NLData'!A:A,'Payment Changes'!G729),0)+IFERROR(VLOOKUP(G729&amp;"-ALL",NLPaymentExport,10,FALSE),0)</f>
        <v>100</v>
      </c>
      <c r="U729" s="118">
        <f t="shared" si="108"/>
        <v>0</v>
      </c>
    </row>
    <row r="730" spans="1:54" ht="17.100000000000001" hidden="1" customHeight="1" outlineLevel="1" x14ac:dyDescent="0.25">
      <c r="A730" s="3"/>
      <c r="C730" s="4"/>
      <c r="D730" s="181"/>
      <c r="E730" s="91" t="str">
        <f t="shared" si="109"/>
        <v>Mobile Montlimar</v>
      </c>
      <c r="F730" s="93" t="str">
        <f t="shared" si="110"/>
        <v>CP133</v>
      </c>
      <c r="G730" s="99" t="str">
        <f t="shared" si="111"/>
        <v>CP133-NEW DONOR -5th</v>
      </c>
      <c r="H730" s="182"/>
      <c r="I730" s="34" t="s">
        <v>41</v>
      </c>
      <c r="J730" s="58">
        <v>40</v>
      </c>
      <c r="K730" s="62">
        <v>40</v>
      </c>
      <c r="L730" s="58">
        <v>40</v>
      </c>
      <c r="M730" s="58">
        <v>100</v>
      </c>
      <c r="N730" s="58">
        <v>100</v>
      </c>
      <c r="O730" s="58">
        <v>100</v>
      </c>
      <c r="P730" s="58">
        <v>100</v>
      </c>
      <c r="Q730" s="58">
        <v>100</v>
      </c>
      <c r="R730" s="23"/>
      <c r="S730" s="117" t="str">
        <f t="shared" si="107"/>
        <v>N</v>
      </c>
      <c r="T730" s="114">
        <f>IFERROR(SUMIF('Current NLData'!A:A,'Payment Changes'!G730,'Current NLData'!K:K)/COUNTIF('Current NLData'!A:A,'Payment Changes'!G730),0)+IFERROR(VLOOKUP(G730&amp;"-ALL",NLPaymentExport,10,FALSE),0)</f>
        <v>100</v>
      </c>
      <c r="U730" s="118">
        <f t="shared" si="108"/>
        <v>0</v>
      </c>
    </row>
    <row r="731" spans="1:54" ht="17.100000000000001" hidden="1" customHeight="1" outlineLevel="1" x14ac:dyDescent="0.25">
      <c r="A731" s="3"/>
      <c r="C731" s="4"/>
      <c r="D731" s="181"/>
      <c r="E731" s="91" t="str">
        <f t="shared" si="109"/>
        <v>Mobile Montlimar</v>
      </c>
      <c r="F731" s="93" t="str">
        <f t="shared" si="110"/>
        <v>CP133</v>
      </c>
      <c r="G731" s="99" t="str">
        <f t="shared" si="111"/>
        <v>CP133-NEW DONOR -6th</v>
      </c>
      <c r="H731" s="182"/>
      <c r="I731" s="34" t="s">
        <v>42</v>
      </c>
      <c r="J731" s="58">
        <v>40</v>
      </c>
      <c r="K731" s="62">
        <v>85</v>
      </c>
      <c r="L731" s="58">
        <v>40</v>
      </c>
      <c r="M731" s="58">
        <v>100</v>
      </c>
      <c r="N731" s="58">
        <v>100</v>
      </c>
      <c r="O731" s="58">
        <v>100</v>
      </c>
      <c r="P731" s="58">
        <v>100</v>
      </c>
      <c r="Q731" s="58">
        <v>100</v>
      </c>
      <c r="R731" s="23"/>
      <c r="S731" s="117" t="str">
        <f t="shared" si="107"/>
        <v>N</v>
      </c>
      <c r="T731" s="114">
        <f>IFERROR(SUMIF('Current NLData'!A:A,'Payment Changes'!G731,'Current NLData'!K:K)/COUNTIF('Current NLData'!A:A,'Payment Changes'!G731),0)+IFERROR(VLOOKUP(G731&amp;"-ALL",NLPaymentExport,10,FALSE),0)</f>
        <v>100</v>
      </c>
      <c r="U731" s="118">
        <f t="shared" si="108"/>
        <v>0</v>
      </c>
    </row>
    <row r="732" spans="1:54" ht="17.100000000000001" hidden="1" customHeight="1" outlineLevel="1" x14ac:dyDescent="0.25">
      <c r="A732" s="3"/>
      <c r="C732" s="4"/>
      <c r="D732" s="181"/>
      <c r="E732" s="91" t="str">
        <f t="shared" si="109"/>
        <v>Mobile Montlimar</v>
      </c>
      <c r="F732" s="93" t="str">
        <f t="shared" si="110"/>
        <v>CP133</v>
      </c>
      <c r="G732" s="99" t="str">
        <f t="shared" si="111"/>
        <v>CP133-NEW DONOR -7th</v>
      </c>
      <c r="H732" s="182"/>
      <c r="I732" s="34" t="s">
        <v>43</v>
      </c>
      <c r="J732" s="58">
        <v>40</v>
      </c>
      <c r="K732" s="62">
        <v>40</v>
      </c>
      <c r="L732" s="58">
        <v>40</v>
      </c>
      <c r="M732" s="58">
        <v>40</v>
      </c>
      <c r="N732" s="58">
        <v>40</v>
      </c>
      <c r="O732" s="58">
        <v>40</v>
      </c>
      <c r="P732" s="58">
        <v>40</v>
      </c>
      <c r="Q732" s="58">
        <v>40</v>
      </c>
      <c r="R732" s="23"/>
      <c r="S732" s="117" t="str">
        <f t="shared" si="107"/>
        <v>N</v>
      </c>
      <c r="T732" s="114">
        <f>IFERROR(SUMIF('Current NLData'!A:A,'Payment Changes'!G732,'Current NLData'!K:K)/COUNTIF('Current NLData'!A:A,'Payment Changes'!G732),0)+IFERROR(VLOOKUP(G732&amp;"-ALL",NLPaymentExport,10,FALSE),0)</f>
        <v>40</v>
      </c>
      <c r="U732" s="118">
        <f t="shared" si="108"/>
        <v>0</v>
      </c>
    </row>
    <row r="733" spans="1:54" ht="17.100000000000001" hidden="1" customHeight="1" outlineLevel="1" x14ac:dyDescent="0.25">
      <c r="A733" s="3"/>
      <c r="C733" s="4"/>
      <c r="D733" s="181"/>
      <c r="E733" s="91" t="str">
        <f t="shared" si="109"/>
        <v>Mobile Montlimar</v>
      </c>
      <c r="F733" s="93" t="str">
        <f t="shared" si="110"/>
        <v>CP133</v>
      </c>
      <c r="G733" s="99" t="str">
        <f t="shared" si="111"/>
        <v>CP133-NEW DONOR -8th</v>
      </c>
      <c r="H733" s="182"/>
      <c r="I733" s="35" t="s">
        <v>44</v>
      </c>
      <c r="J733" s="63">
        <v>40</v>
      </c>
      <c r="K733" s="64">
        <v>85</v>
      </c>
      <c r="L733" s="63">
        <v>40</v>
      </c>
      <c r="M733" s="63">
        <v>40</v>
      </c>
      <c r="N733" s="63">
        <v>40</v>
      </c>
      <c r="O733" s="63">
        <v>40</v>
      </c>
      <c r="P733" s="63">
        <v>40</v>
      </c>
      <c r="Q733" s="63">
        <v>40</v>
      </c>
      <c r="R733" s="23"/>
      <c r="S733" s="117" t="str">
        <f t="shared" si="107"/>
        <v>N</v>
      </c>
      <c r="T733" s="114">
        <f>IFERROR(SUMIF('Current NLData'!A:A,'Payment Changes'!G733,'Current NLData'!K:K)/COUNTIF('Current NLData'!A:A,'Payment Changes'!G733),0)+IFERROR(VLOOKUP(G733&amp;"-ALL",NLPaymentExport,10,FALSE),0)</f>
        <v>40</v>
      </c>
      <c r="U733" s="118">
        <f t="shared" si="108"/>
        <v>0</v>
      </c>
    </row>
    <row r="734" spans="1:54" ht="17.100000000000001" hidden="1" customHeight="1" outlineLevel="1" x14ac:dyDescent="0.25">
      <c r="A734" s="3"/>
      <c r="C734" s="4"/>
      <c r="D734" s="181"/>
      <c r="E734" s="91" t="str">
        <f t="shared" si="109"/>
        <v>Mobile Montlimar</v>
      </c>
      <c r="F734" s="93" t="str">
        <f t="shared" si="110"/>
        <v>CP133</v>
      </c>
      <c r="G734" s="99" t="str">
        <f t="shared" si="111"/>
        <v>CP133-RETURN - 1st don of the week -STD</v>
      </c>
      <c r="H734" s="182"/>
      <c r="I734" s="36" t="s">
        <v>45</v>
      </c>
      <c r="J734" s="58">
        <v>40</v>
      </c>
      <c r="K734" s="58">
        <v>40</v>
      </c>
      <c r="L734" s="58">
        <v>40</v>
      </c>
      <c r="M734" s="58">
        <v>40</v>
      </c>
      <c r="N734" s="58">
        <v>40</v>
      </c>
      <c r="O734" s="58">
        <v>40</v>
      </c>
      <c r="P734" s="58">
        <v>40</v>
      </c>
      <c r="Q734" s="58">
        <v>40</v>
      </c>
      <c r="R734" s="22"/>
      <c r="S734" s="117" t="str">
        <f t="shared" si="107"/>
        <v>N</v>
      </c>
      <c r="T734" s="114">
        <f>IFERROR(SUMIF('Current NLData'!A:A,'Payment Changes'!G734,'Current NLData'!K:K)/COUNTIF('Current NLData'!A:A,'Payment Changes'!G734),0)+IFERROR(VLOOKUP(G734&amp;"-ALL",NLPaymentExport,10,FALSE),0)</f>
        <v>40</v>
      </c>
      <c r="U734" s="118">
        <f t="shared" si="108"/>
        <v>0</v>
      </c>
    </row>
    <row r="735" spans="1:54" ht="17.100000000000001" hidden="1" customHeight="1" outlineLevel="1" x14ac:dyDescent="0.25">
      <c r="A735" s="3"/>
      <c r="C735" s="4"/>
      <c r="D735" s="181"/>
      <c r="E735" s="91" t="str">
        <f t="shared" si="109"/>
        <v>Mobile Montlimar</v>
      </c>
      <c r="F735" s="93" t="str">
        <f t="shared" si="110"/>
        <v>CP133</v>
      </c>
      <c r="G735" s="99" t="str">
        <f t="shared" si="111"/>
        <v>CP133-RETURN - 2nd don of the week -BONUS</v>
      </c>
      <c r="H735" s="182"/>
      <c r="I735" s="36" t="s">
        <v>46</v>
      </c>
      <c r="J735" s="58">
        <v>45</v>
      </c>
      <c r="K735" s="58">
        <v>45</v>
      </c>
      <c r="L735" s="58">
        <v>45</v>
      </c>
      <c r="M735" s="58">
        <v>50</v>
      </c>
      <c r="N735" s="58">
        <v>50</v>
      </c>
      <c r="O735" s="58">
        <v>50</v>
      </c>
      <c r="P735" s="58">
        <v>50</v>
      </c>
      <c r="Q735" s="58">
        <v>50</v>
      </c>
      <c r="R735" s="22"/>
      <c r="S735" s="117" t="str">
        <f t="shared" si="107"/>
        <v>N</v>
      </c>
      <c r="T735" s="114">
        <f>IFERROR(SUMIF('Current NLData'!A:A,'Payment Changes'!G735,'Current NLData'!K:K)/COUNTIF('Current NLData'!A:A,'Payment Changes'!G735),0)+IFERROR(VLOOKUP(G735&amp;"-ALL",NLPaymentExport,10,FALSE),0)</f>
        <v>50</v>
      </c>
      <c r="U735" s="118">
        <f t="shared" si="108"/>
        <v>0</v>
      </c>
    </row>
    <row r="736" spans="1:54" ht="17.100000000000001" hidden="1" customHeight="1" outlineLevel="1" x14ac:dyDescent="0.25">
      <c r="A736" s="3"/>
      <c r="C736" s="4"/>
      <c r="D736" s="181"/>
      <c r="E736" s="91" t="str">
        <f t="shared" si="109"/>
        <v>Mobile Montlimar</v>
      </c>
      <c r="F736" s="93" t="str">
        <f t="shared" si="110"/>
        <v>CP133</v>
      </c>
      <c r="G736" s="99" t="str">
        <f t="shared" si="111"/>
        <v>CP133-RETURN - 5th don of the month -BONUS</v>
      </c>
      <c r="H736" s="182"/>
      <c r="I736" s="37" t="s">
        <v>47</v>
      </c>
      <c r="J736" s="65">
        <v>0</v>
      </c>
      <c r="K736" s="65">
        <v>0</v>
      </c>
      <c r="L736" s="65">
        <v>0</v>
      </c>
      <c r="M736" s="65">
        <v>0</v>
      </c>
      <c r="N736" s="65">
        <v>0</v>
      </c>
      <c r="O736" s="65">
        <v>0</v>
      </c>
      <c r="P736" s="65">
        <v>0</v>
      </c>
      <c r="Q736" s="65">
        <v>0</v>
      </c>
      <c r="R736" s="22"/>
      <c r="S736" s="117" t="str">
        <f t="shared" si="107"/>
        <v>N</v>
      </c>
      <c r="T736" s="114">
        <f>IFERROR(SUMIF('Current NLData'!A:A,'Payment Changes'!G736,'Current NLData'!K:K)/COUNTIF('Current NLData'!A:A,'Payment Changes'!G736),0)+IFERROR(VLOOKUP(G736&amp;"-ALL",NLPaymentExport,10,FALSE),0)</f>
        <v>0</v>
      </c>
      <c r="U736" s="118">
        <f t="shared" si="108"/>
        <v>0</v>
      </c>
    </row>
    <row r="737" spans="1:54" ht="17.100000000000001" hidden="1" customHeight="1" outlineLevel="1" x14ac:dyDescent="0.25">
      <c r="A737" s="3"/>
      <c r="C737" s="4"/>
      <c r="D737" s="181"/>
      <c r="E737" s="91" t="str">
        <f t="shared" si="109"/>
        <v>Mobile Montlimar</v>
      </c>
      <c r="F737" s="93" t="str">
        <f t="shared" si="110"/>
        <v>CP133</v>
      </c>
      <c r="G737" s="99" t="str">
        <f t="shared" si="111"/>
        <v>CP133-RETURN - 6th don of the month -BONUS</v>
      </c>
      <c r="H737" s="182"/>
      <c r="I737" s="38" t="s">
        <v>48</v>
      </c>
      <c r="J737" s="58">
        <v>0</v>
      </c>
      <c r="K737" s="58">
        <v>0</v>
      </c>
      <c r="L737" s="58">
        <v>0</v>
      </c>
      <c r="M737" s="58">
        <v>30</v>
      </c>
      <c r="N737" s="58">
        <v>30</v>
      </c>
      <c r="O737" s="58">
        <v>30</v>
      </c>
      <c r="P737" s="58">
        <v>30</v>
      </c>
      <c r="Q737" s="58">
        <v>30</v>
      </c>
      <c r="R737" s="22"/>
      <c r="S737" s="117" t="str">
        <f t="shared" si="107"/>
        <v>N</v>
      </c>
      <c r="T737" s="114">
        <f>IFERROR(SUMIF('Current NLData'!A:A,'Payment Changes'!G737,'Current NLData'!K:K)/COUNTIF('Current NLData'!A:A,'Payment Changes'!G737),0)+IFERROR(VLOOKUP(G737&amp;"-ALL",NLPaymentExport,10,FALSE),0)</f>
        <v>30</v>
      </c>
      <c r="U737" s="118">
        <f t="shared" si="108"/>
        <v>0</v>
      </c>
    </row>
    <row r="738" spans="1:54" ht="17.100000000000001" hidden="1" customHeight="1" outlineLevel="1" x14ac:dyDescent="0.25">
      <c r="A738" s="3"/>
      <c r="C738" s="4"/>
      <c r="D738" s="181"/>
      <c r="E738" s="91" t="str">
        <f t="shared" si="109"/>
        <v>Mobile Montlimar</v>
      </c>
      <c r="F738" s="93" t="str">
        <f t="shared" si="110"/>
        <v>CP133</v>
      </c>
      <c r="G738" s="99" t="str">
        <f t="shared" si="111"/>
        <v>CP133-RETURN - 7th don of the month -BONUS</v>
      </c>
      <c r="H738" s="182"/>
      <c r="I738" s="38" t="s">
        <v>49</v>
      </c>
      <c r="J738" s="58">
        <v>0</v>
      </c>
      <c r="K738" s="58">
        <v>0</v>
      </c>
      <c r="L738" s="58">
        <v>0</v>
      </c>
      <c r="M738" s="58">
        <v>0</v>
      </c>
      <c r="N738" s="58">
        <v>0</v>
      </c>
      <c r="O738" s="58">
        <v>0</v>
      </c>
      <c r="P738" s="58">
        <v>0</v>
      </c>
      <c r="Q738" s="58">
        <v>0</v>
      </c>
      <c r="R738" s="22"/>
      <c r="S738" s="117" t="str">
        <f t="shared" si="107"/>
        <v>N</v>
      </c>
      <c r="T738" s="114">
        <f>IFERROR(SUMIF('Current NLData'!A:A,'Payment Changes'!G738,'Current NLData'!K:K)/COUNTIF('Current NLData'!A:A,'Payment Changes'!G738),0)+IFERROR(VLOOKUP(G738&amp;"-ALL",NLPaymentExport,10,FALSE),0)</f>
        <v>0</v>
      </c>
      <c r="U738" s="118">
        <f t="shared" si="108"/>
        <v>0</v>
      </c>
    </row>
    <row r="739" spans="1:54" ht="17.100000000000001" hidden="1" customHeight="1" outlineLevel="1" x14ac:dyDescent="0.25">
      <c r="A739" s="3"/>
      <c r="C739" s="4"/>
      <c r="D739" s="181"/>
      <c r="E739" s="91" t="str">
        <f t="shared" si="109"/>
        <v>Mobile Montlimar</v>
      </c>
      <c r="F739" s="93" t="str">
        <f t="shared" si="110"/>
        <v>CP133</v>
      </c>
      <c r="G739" s="99" t="str">
        <f t="shared" si="111"/>
        <v>CP133-RETURN - 8th don of the month -BONUS</v>
      </c>
      <c r="H739" s="182"/>
      <c r="I739" s="38" t="s">
        <v>50</v>
      </c>
      <c r="J739" s="58">
        <v>0</v>
      </c>
      <c r="K739" s="58">
        <v>0</v>
      </c>
      <c r="L739" s="58">
        <v>0</v>
      </c>
      <c r="M739" s="58">
        <v>0</v>
      </c>
      <c r="N739" s="58">
        <v>0</v>
      </c>
      <c r="O739" s="58">
        <v>0</v>
      </c>
      <c r="P739" s="58">
        <v>0</v>
      </c>
      <c r="Q739" s="58">
        <v>0</v>
      </c>
      <c r="R739" s="22"/>
      <c r="S739" s="117" t="str">
        <f t="shared" si="107"/>
        <v>N</v>
      </c>
      <c r="T739" s="114">
        <f>IFERROR(SUMIF('Current NLData'!A:A,'Payment Changes'!G739,'Current NLData'!K:K)/COUNTIF('Current NLData'!A:A,'Payment Changes'!G739),0)+IFERROR(VLOOKUP(G739&amp;"-ALL",NLPaymentExport,10,FALSE),0)</f>
        <v>0</v>
      </c>
      <c r="U739" s="118">
        <f t="shared" si="108"/>
        <v>0</v>
      </c>
    </row>
    <row r="740" spans="1:54" ht="17.100000000000001" hidden="1" customHeight="1" outlineLevel="1" x14ac:dyDescent="0.25">
      <c r="A740" s="3"/>
      <c r="C740" s="4" t="str">
        <f>IF(J740=0,"Warning","")</f>
        <v/>
      </c>
      <c r="D740" s="181"/>
      <c r="E740" s="91" t="str">
        <f t="shared" si="109"/>
        <v>Mobile Montlimar</v>
      </c>
      <c r="F740" s="93" t="str">
        <f t="shared" si="110"/>
        <v>CP133</v>
      </c>
      <c r="G740" s="99" t="str">
        <f t="shared" si="111"/>
        <v>CP133-RETURN - Buddy referral  -BONUS</v>
      </c>
      <c r="H740" s="182"/>
      <c r="I740" s="39" t="s">
        <v>51</v>
      </c>
      <c r="J740" s="58">
        <v>50</v>
      </c>
      <c r="K740" s="58">
        <v>50</v>
      </c>
      <c r="L740" s="58">
        <v>0</v>
      </c>
      <c r="M740" s="58">
        <v>50</v>
      </c>
      <c r="N740" s="58">
        <v>50</v>
      </c>
      <c r="O740" s="58">
        <v>50</v>
      </c>
      <c r="P740" s="58">
        <v>50</v>
      </c>
      <c r="Q740" s="58">
        <v>50</v>
      </c>
      <c r="R740" s="22"/>
      <c r="S740" s="117" t="str">
        <f t="shared" si="107"/>
        <v>N</v>
      </c>
      <c r="T740" s="114">
        <f>IFERROR(SUMIF('Current NLData'!A:A,'Payment Changes'!G740,'Current NLData'!K:K)/COUNTIF('Current NLData'!A:A,'Payment Changes'!G740),0)+IFERROR(VLOOKUP(G740&amp;"-ALL",NLPaymentExport,10,FALSE),0)</f>
        <v>50</v>
      </c>
      <c r="U740" s="118">
        <f t="shared" si="108"/>
        <v>0</v>
      </c>
    </row>
    <row r="741" spans="1:54" s="90" customFormat="1" ht="17.100000000000001" hidden="1" customHeight="1" collapsed="1" x14ac:dyDescent="0.35">
      <c r="A741" s="85"/>
      <c r="B741" s="85"/>
      <c r="C741" s="86"/>
      <c r="D741" s="87"/>
      <c r="E741" s="87"/>
      <c r="F741" s="87"/>
      <c r="G741" s="87"/>
      <c r="H741" s="96"/>
      <c r="I741" s="88"/>
      <c r="J741" s="89"/>
      <c r="K741" s="89"/>
      <c r="L741" s="89"/>
      <c r="M741" s="89"/>
      <c r="N741" s="89"/>
      <c r="O741" s="89"/>
      <c r="P741" s="89"/>
      <c r="Q741" s="89"/>
      <c r="R741" s="21"/>
      <c r="S741" s="117" t="str">
        <f t="shared" si="107"/>
        <v>N</v>
      </c>
      <c r="T741" s="114">
        <f>IFERROR(SUMIF('Current NLData'!A:A,'Payment Changes'!G741,'Current NLData'!K:K)/COUNTIF('Current NLData'!A:A,'Payment Changes'!G741),0)+IFERROR(VLOOKUP(G741&amp;"-ALL",NLPaymentExport,10,FALSE),0)</f>
        <v>0</v>
      </c>
      <c r="U741" s="118" t="str">
        <f t="shared" si="108"/>
        <v/>
      </c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1:54" s="10" customFormat="1" ht="17.100000000000001" hidden="1" customHeight="1" x14ac:dyDescent="0.25">
      <c r="A742" s="165">
        <v>38</v>
      </c>
      <c r="B742" s="168" t="s">
        <v>254</v>
      </c>
      <c r="C742" s="171" t="s">
        <v>19</v>
      </c>
      <c r="D742" s="174" t="s">
        <v>157</v>
      </c>
      <c r="E742" s="106" t="str">
        <f t="shared" si="109"/>
        <v>Mobile Moffet</v>
      </c>
      <c r="F742" s="107" t="s">
        <v>255</v>
      </c>
      <c r="G742" s="108" t="str">
        <f t="shared" ref="G742:G760" si="112">F742&amp;"-"&amp;I742</f>
        <v>CP328-New Donor</v>
      </c>
      <c r="H742" s="177" t="s">
        <v>22</v>
      </c>
      <c r="I742" s="76" t="s">
        <v>23</v>
      </c>
      <c r="J742" s="40" t="s">
        <v>250</v>
      </c>
      <c r="K742" s="41" t="s">
        <v>251</v>
      </c>
      <c r="L742" s="41" t="s">
        <v>256</v>
      </c>
      <c r="M742" s="41" t="s">
        <v>252</v>
      </c>
      <c r="N742" s="40" t="s">
        <v>252</v>
      </c>
      <c r="O742" s="40" t="s">
        <v>252</v>
      </c>
      <c r="P742" s="40" t="s">
        <v>252</v>
      </c>
      <c r="Q742" s="40" t="s">
        <v>252</v>
      </c>
      <c r="R742" s="109"/>
      <c r="S742" s="117" t="str">
        <f t="shared" si="107"/>
        <v>N</v>
      </c>
      <c r="T742" s="114">
        <f>IFERROR(SUMIF('Current NLData'!A:A,'Payment Changes'!G742,'Current NLData'!K:K)/COUNTIF('Current NLData'!A:A,'Payment Changes'!G742),0)+IFERROR(VLOOKUP(G742&amp;"-ALL",NLPaymentExport,10,FALSE),0)</f>
        <v>0</v>
      </c>
      <c r="U742" s="118" t="str">
        <f t="shared" si="108"/>
        <v/>
      </c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1:54" ht="17.100000000000001" hidden="1" customHeight="1" x14ac:dyDescent="0.25">
      <c r="A743" s="166"/>
      <c r="B743" s="169"/>
      <c r="C743" s="172"/>
      <c r="D743" s="175"/>
      <c r="E743" s="91" t="str">
        <f t="shared" si="109"/>
        <v>Mobile Moffet</v>
      </c>
      <c r="F743" s="92" t="s">
        <v>255</v>
      </c>
      <c r="G743" s="98" t="str">
        <f t="shared" si="112"/>
        <v>CP328-Return Donor</v>
      </c>
      <c r="H743" s="178"/>
      <c r="I743" s="77" t="s">
        <v>29</v>
      </c>
      <c r="J743" s="43" t="s">
        <v>253</v>
      </c>
      <c r="K743" s="43" t="s">
        <v>253</v>
      </c>
      <c r="L743" s="44" t="s">
        <v>253</v>
      </c>
      <c r="M743" s="44" t="s">
        <v>194</v>
      </c>
      <c r="N743" s="43" t="s">
        <v>194</v>
      </c>
      <c r="O743" s="43" t="s">
        <v>194</v>
      </c>
      <c r="P743" s="43" t="s">
        <v>194</v>
      </c>
      <c r="Q743" s="43" t="s">
        <v>194</v>
      </c>
      <c r="R743" s="21"/>
      <c r="S743" s="117" t="str">
        <f t="shared" si="107"/>
        <v>N</v>
      </c>
      <c r="T743" s="114">
        <f>IFERROR(SUMIF('Current NLData'!A:A,'Payment Changes'!G743,'Current NLData'!K:K)/COUNTIF('Current NLData'!A:A,'Payment Changes'!G743),0)+IFERROR(VLOOKUP(G743&amp;"-ALL",NLPaymentExport,10,FALSE),0)</f>
        <v>0</v>
      </c>
      <c r="U743" s="118" t="str">
        <f t="shared" si="108"/>
        <v/>
      </c>
    </row>
    <row r="744" spans="1:54" ht="17.100000000000001" hidden="1" customHeight="1" x14ac:dyDescent="0.25">
      <c r="A744" s="166"/>
      <c r="B744" s="169"/>
      <c r="C744" s="172"/>
      <c r="D744" s="175"/>
      <c r="E744" s="91" t="str">
        <f t="shared" si="109"/>
        <v>Mobile Moffet</v>
      </c>
      <c r="F744" s="92" t="s">
        <v>255</v>
      </c>
      <c r="G744" s="98" t="str">
        <f t="shared" si="112"/>
        <v>CP328-Retention Bonus</v>
      </c>
      <c r="H744" s="178"/>
      <c r="I744" s="78" t="s">
        <v>30</v>
      </c>
      <c r="J744" s="46" t="s">
        <v>163</v>
      </c>
      <c r="K744" s="46" t="s">
        <v>163</v>
      </c>
      <c r="L744" s="47" t="s">
        <v>32</v>
      </c>
      <c r="M744" s="121" t="s">
        <v>33</v>
      </c>
      <c r="N744" s="137" t="s">
        <v>33</v>
      </c>
      <c r="O744" s="137" t="s">
        <v>33</v>
      </c>
      <c r="P744" s="137" t="s">
        <v>33</v>
      </c>
      <c r="Q744" s="137" t="s">
        <v>33</v>
      </c>
      <c r="R744" s="21"/>
      <c r="S744" s="117" t="str">
        <f t="shared" si="107"/>
        <v>N</v>
      </c>
      <c r="T744" s="114">
        <f>IFERROR(SUMIF('Current NLData'!A:A,'Payment Changes'!G744,'Current NLData'!K:K)/COUNTIF('Current NLData'!A:A,'Payment Changes'!G744),0)+IFERROR(VLOOKUP(G744&amp;"-ALL",NLPaymentExport,10,FALSE),0)</f>
        <v>0</v>
      </c>
      <c r="U744" s="118" t="str">
        <f t="shared" si="108"/>
        <v/>
      </c>
    </row>
    <row r="745" spans="1:54" s="15" customFormat="1" ht="17.100000000000001" hidden="1" customHeight="1" x14ac:dyDescent="0.25">
      <c r="A745" s="167"/>
      <c r="B745" s="170"/>
      <c r="C745" s="173"/>
      <c r="D745" s="176"/>
      <c r="E745" s="110" t="str">
        <f t="shared" si="109"/>
        <v>Mobile Moffet</v>
      </c>
      <c r="F745" s="111" t="s">
        <v>255</v>
      </c>
      <c r="G745" s="112" t="str">
        <f t="shared" si="112"/>
        <v>CP328-Referral</v>
      </c>
      <c r="H745" s="179"/>
      <c r="I745" s="79" t="s">
        <v>34</v>
      </c>
      <c r="J745" s="49">
        <v>50</v>
      </c>
      <c r="K745" s="49">
        <v>50</v>
      </c>
      <c r="L745" s="50" t="s">
        <v>32</v>
      </c>
      <c r="M745" s="122" t="s">
        <v>35</v>
      </c>
      <c r="N745" s="138" t="s">
        <v>35</v>
      </c>
      <c r="O745" s="138" t="s">
        <v>35</v>
      </c>
      <c r="P745" s="138" t="s">
        <v>35</v>
      </c>
      <c r="Q745" s="138" t="s">
        <v>35</v>
      </c>
      <c r="R745" s="113"/>
      <c r="S745" s="117" t="str">
        <f t="shared" si="107"/>
        <v>N</v>
      </c>
      <c r="T745" s="114">
        <f>IFERROR(SUMIF('Current NLData'!A:A,'Payment Changes'!G745,'Current NLData'!K:K)/COUNTIF('Current NLData'!A:A,'Payment Changes'!G745),0)+IFERROR(VLOOKUP(G745&amp;"-ALL",NLPaymentExport,10,FALSE),0)</f>
        <v>0</v>
      </c>
      <c r="U745" s="118" t="str">
        <f t="shared" si="108"/>
        <v/>
      </c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1:54" ht="17.100000000000001" hidden="1" customHeight="1" outlineLevel="1" x14ac:dyDescent="0.25">
      <c r="A746" s="3"/>
      <c r="C746" s="4"/>
      <c r="D746" s="180" t="s">
        <v>255</v>
      </c>
      <c r="E746" s="91" t="str">
        <f t="shared" si="109"/>
        <v>Mobile Moffet</v>
      </c>
      <c r="F746" s="93" t="str">
        <f t="shared" si="110"/>
        <v>CP328</v>
      </c>
      <c r="G746" s="99" t="str">
        <f t="shared" si="112"/>
        <v>CP328-NEW DONOR -1st</v>
      </c>
      <c r="H746" s="182" t="s">
        <v>36</v>
      </c>
      <c r="I746" s="33" t="s">
        <v>37</v>
      </c>
      <c r="J746" s="60">
        <v>100</v>
      </c>
      <c r="K746" s="61">
        <v>100</v>
      </c>
      <c r="L746" s="60">
        <v>100</v>
      </c>
      <c r="M746" s="60">
        <v>100</v>
      </c>
      <c r="N746" s="60">
        <v>100</v>
      </c>
      <c r="O746" s="60">
        <v>100</v>
      </c>
      <c r="P746" s="60">
        <v>100</v>
      </c>
      <c r="Q746" s="60">
        <v>100</v>
      </c>
      <c r="R746" s="23"/>
      <c r="S746" s="117" t="str">
        <f t="shared" si="107"/>
        <v>N</v>
      </c>
      <c r="T746" s="114">
        <f>IFERROR(SUMIF('Current NLData'!A:A,'Payment Changes'!G746,'Current NLData'!K:K)/COUNTIF('Current NLData'!A:A,'Payment Changes'!G746),0)+IFERROR(VLOOKUP(G746&amp;"-ALL",NLPaymentExport,10,FALSE),0)</f>
        <v>100</v>
      </c>
      <c r="U746" s="118">
        <f t="shared" si="108"/>
        <v>0</v>
      </c>
    </row>
    <row r="747" spans="1:54" ht="17.100000000000001" hidden="1" customHeight="1" outlineLevel="1" x14ac:dyDescent="0.25">
      <c r="A747" s="3"/>
      <c r="C747" s="4"/>
      <c r="D747" s="181"/>
      <c r="E747" s="91" t="str">
        <f t="shared" si="109"/>
        <v>Mobile Moffet</v>
      </c>
      <c r="F747" s="93" t="str">
        <f t="shared" si="110"/>
        <v>CP328</v>
      </c>
      <c r="G747" s="99" t="str">
        <f t="shared" si="112"/>
        <v>CP328-NEW DONOR -2nd</v>
      </c>
      <c r="H747" s="182"/>
      <c r="I747" s="34" t="s">
        <v>38</v>
      </c>
      <c r="J747" s="58">
        <v>100</v>
      </c>
      <c r="K747" s="62">
        <v>100</v>
      </c>
      <c r="L747" s="58">
        <v>100</v>
      </c>
      <c r="M747" s="58">
        <v>100</v>
      </c>
      <c r="N747" s="58">
        <v>100</v>
      </c>
      <c r="O747" s="58">
        <v>100</v>
      </c>
      <c r="P747" s="58">
        <v>100</v>
      </c>
      <c r="Q747" s="58">
        <v>100</v>
      </c>
      <c r="R747" s="23"/>
      <c r="S747" s="117" t="str">
        <f t="shared" si="107"/>
        <v>N</v>
      </c>
      <c r="T747" s="114">
        <f>IFERROR(SUMIF('Current NLData'!A:A,'Payment Changes'!G747,'Current NLData'!K:K)/COUNTIF('Current NLData'!A:A,'Payment Changes'!G747),0)+IFERROR(VLOOKUP(G747&amp;"-ALL",NLPaymentExport,10,FALSE),0)</f>
        <v>100</v>
      </c>
      <c r="U747" s="118">
        <f t="shared" si="108"/>
        <v>0</v>
      </c>
    </row>
    <row r="748" spans="1:54" ht="17.100000000000001" hidden="1" customHeight="1" outlineLevel="1" x14ac:dyDescent="0.25">
      <c r="A748" s="3"/>
      <c r="C748" s="4"/>
      <c r="D748" s="181"/>
      <c r="E748" s="91" t="str">
        <f t="shared" si="109"/>
        <v>Mobile Moffet</v>
      </c>
      <c r="F748" s="93" t="str">
        <f t="shared" si="110"/>
        <v>CP328</v>
      </c>
      <c r="G748" s="99" t="str">
        <f t="shared" si="112"/>
        <v>CP328-NEW DONOR -3rd</v>
      </c>
      <c r="H748" s="182"/>
      <c r="I748" s="34" t="s">
        <v>39</v>
      </c>
      <c r="J748" s="58">
        <v>100</v>
      </c>
      <c r="K748" s="62">
        <v>100</v>
      </c>
      <c r="L748" s="58">
        <v>100</v>
      </c>
      <c r="M748" s="58">
        <v>100</v>
      </c>
      <c r="N748" s="58">
        <v>100</v>
      </c>
      <c r="O748" s="58">
        <v>100</v>
      </c>
      <c r="P748" s="58">
        <v>100</v>
      </c>
      <c r="Q748" s="58">
        <v>100</v>
      </c>
      <c r="R748" s="23"/>
      <c r="S748" s="117" t="str">
        <f t="shared" si="107"/>
        <v>N</v>
      </c>
      <c r="T748" s="114">
        <f>IFERROR(SUMIF('Current NLData'!A:A,'Payment Changes'!G748,'Current NLData'!K:K)/COUNTIF('Current NLData'!A:A,'Payment Changes'!G748),0)+IFERROR(VLOOKUP(G748&amp;"-ALL",NLPaymentExport,10,FALSE),0)</f>
        <v>100</v>
      </c>
      <c r="U748" s="118">
        <f t="shared" si="108"/>
        <v>0</v>
      </c>
    </row>
    <row r="749" spans="1:54" ht="17.100000000000001" hidden="1" customHeight="1" outlineLevel="1" x14ac:dyDescent="0.25">
      <c r="A749" s="3"/>
      <c r="C749" s="4"/>
      <c r="D749" s="181"/>
      <c r="E749" s="91" t="str">
        <f t="shared" si="109"/>
        <v>Mobile Moffet</v>
      </c>
      <c r="F749" s="93" t="str">
        <f t="shared" si="110"/>
        <v>CP328</v>
      </c>
      <c r="G749" s="99" t="str">
        <f t="shared" si="112"/>
        <v>CP328-NEW DONOR -4th</v>
      </c>
      <c r="H749" s="182"/>
      <c r="I749" s="34" t="s">
        <v>40</v>
      </c>
      <c r="J749" s="58">
        <v>100</v>
      </c>
      <c r="K749" s="62">
        <v>100</v>
      </c>
      <c r="L749" s="58">
        <v>100</v>
      </c>
      <c r="M749" s="58">
        <v>100</v>
      </c>
      <c r="N749" s="58">
        <v>100</v>
      </c>
      <c r="O749" s="58">
        <v>100</v>
      </c>
      <c r="P749" s="58">
        <v>100</v>
      </c>
      <c r="Q749" s="58">
        <v>100</v>
      </c>
      <c r="R749" s="23"/>
      <c r="S749" s="117" t="str">
        <f t="shared" si="107"/>
        <v>N</v>
      </c>
      <c r="T749" s="114">
        <f>IFERROR(SUMIF('Current NLData'!A:A,'Payment Changes'!G749,'Current NLData'!K:K)/COUNTIF('Current NLData'!A:A,'Payment Changes'!G749),0)+IFERROR(VLOOKUP(G749&amp;"-ALL",NLPaymentExport,10,FALSE),0)</f>
        <v>100</v>
      </c>
      <c r="U749" s="118">
        <f t="shared" si="108"/>
        <v>0</v>
      </c>
    </row>
    <row r="750" spans="1:54" ht="17.100000000000001" hidden="1" customHeight="1" outlineLevel="1" x14ac:dyDescent="0.25">
      <c r="A750" s="3"/>
      <c r="C750" s="4"/>
      <c r="D750" s="181"/>
      <c r="E750" s="91" t="str">
        <f t="shared" si="109"/>
        <v>Mobile Moffet</v>
      </c>
      <c r="F750" s="93" t="str">
        <f t="shared" si="110"/>
        <v>CP328</v>
      </c>
      <c r="G750" s="99" t="str">
        <f t="shared" si="112"/>
        <v>CP328-NEW DONOR -5th</v>
      </c>
      <c r="H750" s="182"/>
      <c r="I750" s="34" t="s">
        <v>41</v>
      </c>
      <c r="J750" s="58">
        <v>40</v>
      </c>
      <c r="K750" s="62">
        <v>40</v>
      </c>
      <c r="L750" s="58">
        <v>40</v>
      </c>
      <c r="M750" s="58">
        <v>100</v>
      </c>
      <c r="N750" s="58">
        <v>100</v>
      </c>
      <c r="O750" s="58">
        <v>100</v>
      </c>
      <c r="P750" s="58">
        <v>100</v>
      </c>
      <c r="Q750" s="58">
        <v>100</v>
      </c>
      <c r="R750" s="23"/>
      <c r="S750" s="117" t="str">
        <f t="shared" si="107"/>
        <v>N</v>
      </c>
      <c r="T750" s="114">
        <f>IFERROR(SUMIF('Current NLData'!A:A,'Payment Changes'!G750,'Current NLData'!K:K)/COUNTIF('Current NLData'!A:A,'Payment Changes'!G750),0)+IFERROR(VLOOKUP(G750&amp;"-ALL",NLPaymentExport,10,FALSE),0)</f>
        <v>100</v>
      </c>
      <c r="U750" s="118">
        <f t="shared" si="108"/>
        <v>0</v>
      </c>
    </row>
    <row r="751" spans="1:54" ht="17.100000000000001" hidden="1" customHeight="1" outlineLevel="1" x14ac:dyDescent="0.25">
      <c r="A751" s="3"/>
      <c r="C751" s="4"/>
      <c r="D751" s="181"/>
      <c r="E751" s="91" t="str">
        <f t="shared" si="109"/>
        <v>Mobile Moffet</v>
      </c>
      <c r="F751" s="93" t="str">
        <f t="shared" si="110"/>
        <v>CP328</v>
      </c>
      <c r="G751" s="99" t="str">
        <f t="shared" si="112"/>
        <v>CP328-NEW DONOR -6th</v>
      </c>
      <c r="H751" s="182"/>
      <c r="I751" s="34" t="s">
        <v>42</v>
      </c>
      <c r="J751" s="58">
        <v>40</v>
      </c>
      <c r="K751" s="62">
        <v>85</v>
      </c>
      <c r="L751" s="58">
        <v>40</v>
      </c>
      <c r="M751" s="58">
        <v>100</v>
      </c>
      <c r="N751" s="58">
        <v>100</v>
      </c>
      <c r="O751" s="58">
        <v>100</v>
      </c>
      <c r="P751" s="58">
        <v>100</v>
      </c>
      <c r="Q751" s="58">
        <v>100</v>
      </c>
      <c r="R751" s="23"/>
      <c r="S751" s="117" t="str">
        <f t="shared" si="107"/>
        <v>N</v>
      </c>
      <c r="T751" s="114">
        <f>IFERROR(SUMIF('Current NLData'!A:A,'Payment Changes'!G751,'Current NLData'!K:K)/COUNTIF('Current NLData'!A:A,'Payment Changes'!G751),0)+IFERROR(VLOOKUP(G751&amp;"-ALL",NLPaymentExport,10,FALSE),0)</f>
        <v>100</v>
      </c>
      <c r="U751" s="118">
        <f t="shared" si="108"/>
        <v>0</v>
      </c>
    </row>
    <row r="752" spans="1:54" ht="17.100000000000001" hidden="1" customHeight="1" outlineLevel="1" x14ac:dyDescent="0.25">
      <c r="A752" s="3"/>
      <c r="C752" s="4"/>
      <c r="D752" s="181"/>
      <c r="E752" s="91" t="str">
        <f t="shared" si="109"/>
        <v>Mobile Moffet</v>
      </c>
      <c r="F752" s="93" t="str">
        <f t="shared" si="110"/>
        <v>CP328</v>
      </c>
      <c r="G752" s="99" t="str">
        <f t="shared" si="112"/>
        <v>CP328-NEW DONOR -7th</v>
      </c>
      <c r="H752" s="182"/>
      <c r="I752" s="34" t="s">
        <v>43</v>
      </c>
      <c r="J752" s="58">
        <v>40</v>
      </c>
      <c r="K752" s="62">
        <v>40</v>
      </c>
      <c r="L752" s="58">
        <v>40</v>
      </c>
      <c r="M752" s="58">
        <v>40</v>
      </c>
      <c r="N752" s="58">
        <v>40</v>
      </c>
      <c r="O752" s="58">
        <v>40</v>
      </c>
      <c r="P752" s="58">
        <v>40</v>
      </c>
      <c r="Q752" s="58">
        <v>40</v>
      </c>
      <c r="R752" s="23"/>
      <c r="S752" s="117" t="str">
        <f t="shared" si="107"/>
        <v>N</v>
      </c>
      <c r="T752" s="114">
        <f>IFERROR(SUMIF('Current NLData'!A:A,'Payment Changes'!G752,'Current NLData'!K:K)/COUNTIF('Current NLData'!A:A,'Payment Changes'!G752),0)+IFERROR(VLOOKUP(G752&amp;"-ALL",NLPaymentExport,10,FALSE),0)</f>
        <v>40</v>
      </c>
      <c r="U752" s="118">
        <f t="shared" si="108"/>
        <v>0</v>
      </c>
    </row>
    <row r="753" spans="1:54" ht="17.100000000000001" hidden="1" customHeight="1" outlineLevel="1" x14ac:dyDescent="0.25">
      <c r="A753" s="3"/>
      <c r="C753" s="4"/>
      <c r="D753" s="181"/>
      <c r="E753" s="91" t="str">
        <f t="shared" si="109"/>
        <v>Mobile Moffet</v>
      </c>
      <c r="F753" s="93" t="str">
        <f t="shared" si="110"/>
        <v>CP328</v>
      </c>
      <c r="G753" s="99" t="str">
        <f t="shared" si="112"/>
        <v>CP328-NEW DONOR -8th</v>
      </c>
      <c r="H753" s="182"/>
      <c r="I753" s="35" t="s">
        <v>44</v>
      </c>
      <c r="J753" s="63">
        <v>40</v>
      </c>
      <c r="K753" s="64">
        <v>85</v>
      </c>
      <c r="L753" s="63">
        <v>40</v>
      </c>
      <c r="M753" s="63">
        <v>40</v>
      </c>
      <c r="N753" s="63">
        <v>40</v>
      </c>
      <c r="O753" s="63">
        <v>40</v>
      </c>
      <c r="P753" s="63">
        <v>40</v>
      </c>
      <c r="Q753" s="63">
        <v>40</v>
      </c>
      <c r="R753" s="23"/>
      <c r="S753" s="117" t="str">
        <f t="shared" si="107"/>
        <v>N</v>
      </c>
      <c r="T753" s="114">
        <f>IFERROR(SUMIF('Current NLData'!A:A,'Payment Changes'!G753,'Current NLData'!K:K)/COUNTIF('Current NLData'!A:A,'Payment Changes'!G753),0)+IFERROR(VLOOKUP(G753&amp;"-ALL",NLPaymentExport,10,FALSE),0)</f>
        <v>40</v>
      </c>
      <c r="U753" s="118">
        <f t="shared" si="108"/>
        <v>0</v>
      </c>
    </row>
    <row r="754" spans="1:54" ht="17.100000000000001" hidden="1" customHeight="1" outlineLevel="1" x14ac:dyDescent="0.25">
      <c r="A754" s="3"/>
      <c r="C754" s="4"/>
      <c r="D754" s="181"/>
      <c r="E754" s="91" t="str">
        <f t="shared" si="109"/>
        <v>Mobile Moffet</v>
      </c>
      <c r="F754" s="93" t="str">
        <f t="shared" si="110"/>
        <v>CP328</v>
      </c>
      <c r="G754" s="99" t="str">
        <f t="shared" si="112"/>
        <v>CP328-RETURN - 1st don of the week -STD</v>
      </c>
      <c r="H754" s="182"/>
      <c r="I754" s="36" t="s">
        <v>45</v>
      </c>
      <c r="J754" s="58">
        <v>40</v>
      </c>
      <c r="K754" s="58">
        <v>40</v>
      </c>
      <c r="L754" s="58">
        <v>40</v>
      </c>
      <c r="M754" s="58">
        <v>40</v>
      </c>
      <c r="N754" s="58">
        <v>40</v>
      </c>
      <c r="O754" s="58">
        <v>40</v>
      </c>
      <c r="P754" s="58">
        <v>40</v>
      </c>
      <c r="Q754" s="58">
        <v>40</v>
      </c>
      <c r="R754" s="22"/>
      <c r="S754" s="117" t="str">
        <f t="shared" si="107"/>
        <v>N</v>
      </c>
      <c r="T754" s="114">
        <f>IFERROR(SUMIF('Current NLData'!A:A,'Payment Changes'!G754,'Current NLData'!K:K)/COUNTIF('Current NLData'!A:A,'Payment Changes'!G754),0)+IFERROR(VLOOKUP(G754&amp;"-ALL",NLPaymentExport,10,FALSE),0)</f>
        <v>40</v>
      </c>
      <c r="U754" s="118">
        <f t="shared" si="108"/>
        <v>0</v>
      </c>
    </row>
    <row r="755" spans="1:54" ht="17.100000000000001" hidden="1" customHeight="1" outlineLevel="1" x14ac:dyDescent="0.25">
      <c r="A755" s="3"/>
      <c r="C755" s="4"/>
      <c r="D755" s="181"/>
      <c r="E755" s="91" t="str">
        <f t="shared" si="109"/>
        <v>Mobile Moffet</v>
      </c>
      <c r="F755" s="93" t="str">
        <f t="shared" si="110"/>
        <v>CP328</v>
      </c>
      <c r="G755" s="99" t="str">
        <f t="shared" si="112"/>
        <v>CP328-RETURN - 2nd don of the week -BONUS</v>
      </c>
      <c r="H755" s="182"/>
      <c r="I755" s="36" t="s">
        <v>46</v>
      </c>
      <c r="J755" s="58">
        <v>45</v>
      </c>
      <c r="K755" s="58">
        <v>45</v>
      </c>
      <c r="L755" s="58">
        <v>45</v>
      </c>
      <c r="M755" s="58">
        <v>50</v>
      </c>
      <c r="N755" s="58">
        <v>50</v>
      </c>
      <c r="O755" s="58">
        <v>50</v>
      </c>
      <c r="P755" s="58">
        <v>50</v>
      </c>
      <c r="Q755" s="58">
        <v>50</v>
      </c>
      <c r="R755" s="22"/>
      <c r="S755" s="117" t="str">
        <f t="shared" si="107"/>
        <v>N</v>
      </c>
      <c r="T755" s="114">
        <f>IFERROR(SUMIF('Current NLData'!A:A,'Payment Changes'!G755,'Current NLData'!K:K)/COUNTIF('Current NLData'!A:A,'Payment Changes'!G755),0)+IFERROR(VLOOKUP(G755&amp;"-ALL",NLPaymentExport,10,FALSE),0)</f>
        <v>50</v>
      </c>
      <c r="U755" s="118">
        <f t="shared" si="108"/>
        <v>0</v>
      </c>
    </row>
    <row r="756" spans="1:54" ht="17.100000000000001" hidden="1" customHeight="1" outlineLevel="1" x14ac:dyDescent="0.25">
      <c r="A756" s="3"/>
      <c r="C756" s="4"/>
      <c r="D756" s="181"/>
      <c r="E756" s="91" t="str">
        <f t="shared" si="109"/>
        <v>Mobile Moffet</v>
      </c>
      <c r="F756" s="93" t="str">
        <f t="shared" si="110"/>
        <v>CP328</v>
      </c>
      <c r="G756" s="99" t="str">
        <f t="shared" si="112"/>
        <v>CP328-RETURN - 5th don of the month -BONUS</v>
      </c>
      <c r="H756" s="182"/>
      <c r="I756" s="37" t="s">
        <v>47</v>
      </c>
      <c r="J756" s="65">
        <v>0</v>
      </c>
      <c r="K756" s="65">
        <v>0</v>
      </c>
      <c r="L756" s="65">
        <v>0</v>
      </c>
      <c r="M756" s="65">
        <v>0</v>
      </c>
      <c r="N756" s="65">
        <v>0</v>
      </c>
      <c r="O756" s="65">
        <v>0</v>
      </c>
      <c r="P756" s="65">
        <v>0</v>
      </c>
      <c r="Q756" s="65">
        <v>0</v>
      </c>
      <c r="R756" s="22"/>
      <c r="S756" s="117" t="str">
        <f t="shared" si="107"/>
        <v>N</v>
      </c>
      <c r="T756" s="114">
        <f>IFERROR(SUMIF('Current NLData'!A:A,'Payment Changes'!G756,'Current NLData'!K:K)/COUNTIF('Current NLData'!A:A,'Payment Changes'!G756),0)+IFERROR(VLOOKUP(G756&amp;"-ALL",NLPaymentExport,10,FALSE),0)</f>
        <v>0</v>
      </c>
      <c r="U756" s="118">
        <f t="shared" si="108"/>
        <v>0</v>
      </c>
    </row>
    <row r="757" spans="1:54" ht="17.100000000000001" hidden="1" customHeight="1" outlineLevel="1" x14ac:dyDescent="0.25">
      <c r="A757" s="3"/>
      <c r="C757" s="4"/>
      <c r="D757" s="181"/>
      <c r="E757" s="91" t="str">
        <f t="shared" si="109"/>
        <v>Mobile Moffet</v>
      </c>
      <c r="F757" s="93" t="str">
        <f t="shared" si="110"/>
        <v>CP328</v>
      </c>
      <c r="G757" s="99" t="str">
        <f t="shared" si="112"/>
        <v>CP328-RETURN - 6th don of the month -BONUS</v>
      </c>
      <c r="H757" s="182"/>
      <c r="I757" s="38" t="s">
        <v>48</v>
      </c>
      <c r="J757" s="58">
        <v>0</v>
      </c>
      <c r="K757" s="58">
        <v>0</v>
      </c>
      <c r="L757" s="58">
        <v>0</v>
      </c>
      <c r="M757" s="58">
        <v>30</v>
      </c>
      <c r="N757" s="58">
        <v>30</v>
      </c>
      <c r="O757" s="58">
        <v>30</v>
      </c>
      <c r="P757" s="58">
        <v>30</v>
      </c>
      <c r="Q757" s="58">
        <v>30</v>
      </c>
      <c r="R757" s="22"/>
      <c r="S757" s="117" t="str">
        <f t="shared" si="107"/>
        <v>N</v>
      </c>
      <c r="T757" s="114">
        <f>IFERROR(SUMIF('Current NLData'!A:A,'Payment Changes'!G757,'Current NLData'!K:K)/COUNTIF('Current NLData'!A:A,'Payment Changes'!G757),0)+IFERROR(VLOOKUP(G757&amp;"-ALL",NLPaymentExport,10,FALSE),0)</f>
        <v>30</v>
      </c>
      <c r="U757" s="118">
        <f t="shared" si="108"/>
        <v>0</v>
      </c>
    </row>
    <row r="758" spans="1:54" ht="17.100000000000001" hidden="1" customHeight="1" outlineLevel="1" x14ac:dyDescent="0.25">
      <c r="A758" s="3"/>
      <c r="C758" s="4"/>
      <c r="D758" s="181"/>
      <c r="E758" s="91" t="str">
        <f t="shared" si="109"/>
        <v>Mobile Moffet</v>
      </c>
      <c r="F758" s="93" t="str">
        <f t="shared" si="110"/>
        <v>CP328</v>
      </c>
      <c r="G758" s="99" t="str">
        <f t="shared" si="112"/>
        <v>CP328-RETURN - 7th don of the month -BONUS</v>
      </c>
      <c r="H758" s="182"/>
      <c r="I758" s="38" t="s">
        <v>49</v>
      </c>
      <c r="J758" s="58">
        <v>0</v>
      </c>
      <c r="K758" s="58">
        <v>0</v>
      </c>
      <c r="L758" s="58">
        <v>0</v>
      </c>
      <c r="M758" s="58">
        <v>0</v>
      </c>
      <c r="N758" s="58">
        <v>0</v>
      </c>
      <c r="O758" s="58">
        <v>0</v>
      </c>
      <c r="P758" s="58">
        <v>0</v>
      </c>
      <c r="Q758" s="58">
        <v>0</v>
      </c>
      <c r="R758" s="22"/>
      <c r="S758" s="117" t="str">
        <f t="shared" si="107"/>
        <v>N</v>
      </c>
      <c r="T758" s="114">
        <f>IFERROR(SUMIF('Current NLData'!A:A,'Payment Changes'!G758,'Current NLData'!K:K)/COUNTIF('Current NLData'!A:A,'Payment Changes'!G758),0)+IFERROR(VLOOKUP(G758&amp;"-ALL",NLPaymentExport,10,FALSE),0)</f>
        <v>0</v>
      </c>
      <c r="U758" s="118">
        <f t="shared" si="108"/>
        <v>0</v>
      </c>
    </row>
    <row r="759" spans="1:54" ht="17.100000000000001" hidden="1" customHeight="1" outlineLevel="1" x14ac:dyDescent="0.25">
      <c r="A759" s="3"/>
      <c r="C759" s="4"/>
      <c r="D759" s="181"/>
      <c r="E759" s="91" t="str">
        <f t="shared" si="109"/>
        <v>Mobile Moffet</v>
      </c>
      <c r="F759" s="93" t="str">
        <f t="shared" si="110"/>
        <v>CP328</v>
      </c>
      <c r="G759" s="99" t="str">
        <f t="shared" si="112"/>
        <v>CP328-RETURN - 8th don of the month -BONUS</v>
      </c>
      <c r="H759" s="182"/>
      <c r="I759" s="38" t="s">
        <v>50</v>
      </c>
      <c r="J759" s="58">
        <v>0</v>
      </c>
      <c r="K759" s="58">
        <v>0</v>
      </c>
      <c r="L759" s="58">
        <v>0</v>
      </c>
      <c r="M759" s="58">
        <v>0</v>
      </c>
      <c r="N759" s="58">
        <v>0</v>
      </c>
      <c r="O759" s="58">
        <v>0</v>
      </c>
      <c r="P759" s="58">
        <v>0</v>
      </c>
      <c r="Q759" s="58">
        <v>0</v>
      </c>
      <c r="R759" s="22"/>
      <c r="S759" s="117" t="str">
        <f t="shared" si="107"/>
        <v>N</v>
      </c>
      <c r="T759" s="114">
        <f>IFERROR(SUMIF('Current NLData'!A:A,'Payment Changes'!G759,'Current NLData'!K:K)/COUNTIF('Current NLData'!A:A,'Payment Changes'!G759),0)+IFERROR(VLOOKUP(G759&amp;"-ALL",NLPaymentExport,10,FALSE),0)</f>
        <v>0</v>
      </c>
      <c r="U759" s="118">
        <f t="shared" si="108"/>
        <v>0</v>
      </c>
    </row>
    <row r="760" spans="1:54" ht="17.100000000000001" hidden="1" customHeight="1" outlineLevel="1" x14ac:dyDescent="0.25">
      <c r="A760" s="3"/>
      <c r="C760" s="4" t="str">
        <f>IF(J760=0,"Warning","")</f>
        <v/>
      </c>
      <c r="D760" s="181"/>
      <c r="E760" s="91" t="str">
        <f t="shared" si="109"/>
        <v>Mobile Moffet</v>
      </c>
      <c r="F760" s="93" t="str">
        <f t="shared" si="110"/>
        <v>CP328</v>
      </c>
      <c r="G760" s="99" t="str">
        <f t="shared" si="112"/>
        <v>CP328-RETURN - Buddy referral  -BONUS</v>
      </c>
      <c r="H760" s="182"/>
      <c r="I760" s="39" t="s">
        <v>51</v>
      </c>
      <c r="J760" s="58">
        <v>50</v>
      </c>
      <c r="K760" s="58">
        <v>50</v>
      </c>
      <c r="L760" s="58">
        <v>0</v>
      </c>
      <c r="M760" s="58">
        <v>50</v>
      </c>
      <c r="N760" s="58">
        <v>50</v>
      </c>
      <c r="O760" s="58">
        <v>50</v>
      </c>
      <c r="P760" s="58">
        <v>50</v>
      </c>
      <c r="Q760" s="58">
        <v>50</v>
      </c>
      <c r="R760" s="22"/>
      <c r="S760" s="117" t="str">
        <f t="shared" si="107"/>
        <v>N</v>
      </c>
      <c r="T760" s="114">
        <f>IFERROR(SUMIF('Current NLData'!A:A,'Payment Changes'!G760,'Current NLData'!K:K)/COUNTIF('Current NLData'!A:A,'Payment Changes'!G760),0)+IFERROR(VLOOKUP(G760&amp;"-ALL",NLPaymentExport,10,FALSE),0)</f>
        <v>50</v>
      </c>
      <c r="U760" s="118">
        <f t="shared" si="108"/>
        <v>0</v>
      </c>
    </row>
    <row r="761" spans="1:54" s="90" customFormat="1" ht="17.100000000000001" hidden="1" customHeight="1" collapsed="1" x14ac:dyDescent="0.35">
      <c r="A761" s="85"/>
      <c r="B761" s="85"/>
      <c r="C761" s="86"/>
      <c r="D761" s="87"/>
      <c r="E761" s="87"/>
      <c r="F761" s="87"/>
      <c r="G761" s="87"/>
      <c r="H761" s="96"/>
      <c r="I761" s="88"/>
      <c r="J761" s="89"/>
      <c r="K761" s="89"/>
      <c r="L761" s="89"/>
      <c r="M761" s="89"/>
      <c r="N761" s="89"/>
      <c r="O761" s="89"/>
      <c r="P761" s="89"/>
      <c r="Q761" s="89"/>
      <c r="R761" s="21"/>
      <c r="S761" s="117" t="str">
        <f t="shared" si="107"/>
        <v>N</v>
      </c>
      <c r="T761" s="114">
        <f>IFERROR(SUMIF('Current NLData'!A:A,'Payment Changes'!G761,'Current NLData'!K:K)/COUNTIF('Current NLData'!A:A,'Payment Changes'!G761),0)+IFERROR(VLOOKUP(G761&amp;"-ALL",NLPaymentExport,10,FALSE),0)</f>
        <v>0</v>
      </c>
      <c r="U761" s="118" t="str">
        <f t="shared" si="108"/>
        <v/>
      </c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1:54" s="10" customFormat="1" ht="17.100000000000001" hidden="1" customHeight="1" x14ac:dyDescent="0.25">
      <c r="A762" s="165">
        <v>39</v>
      </c>
      <c r="B762" s="168" t="s">
        <v>257</v>
      </c>
      <c r="C762" s="171" t="s">
        <v>19</v>
      </c>
      <c r="D762" s="174" t="s">
        <v>157</v>
      </c>
      <c r="E762" s="106" t="str">
        <f t="shared" si="109"/>
        <v>Lincoln</v>
      </c>
      <c r="F762" s="107" t="s">
        <v>258</v>
      </c>
      <c r="G762" s="108" t="str">
        <f t="shared" ref="G762:G780" si="113">F762&amp;"-"&amp;I762</f>
        <v>CP069-New Donor</v>
      </c>
      <c r="H762" s="177" t="s">
        <v>75</v>
      </c>
      <c r="I762" s="76" t="s">
        <v>23</v>
      </c>
      <c r="J762" s="40" t="s">
        <v>259</v>
      </c>
      <c r="K762" s="41" t="s">
        <v>260</v>
      </c>
      <c r="L762" s="41" t="s">
        <v>259</v>
      </c>
      <c r="M762" s="42" t="s">
        <v>261</v>
      </c>
      <c r="N762" s="40" t="s">
        <v>261</v>
      </c>
      <c r="O762" s="40" t="s">
        <v>261</v>
      </c>
      <c r="P762" s="40" t="s">
        <v>261</v>
      </c>
      <c r="Q762" s="40" t="s">
        <v>261</v>
      </c>
      <c r="R762" s="109"/>
      <c r="S762" s="117" t="str">
        <f t="shared" si="107"/>
        <v>N</v>
      </c>
      <c r="T762" s="114">
        <f>IFERROR(SUMIF('Current NLData'!A:A,'Payment Changes'!G762,'Current NLData'!K:K)/COUNTIF('Current NLData'!A:A,'Payment Changes'!G762),0)+IFERROR(VLOOKUP(G762&amp;"-ALL",NLPaymentExport,10,FALSE),0)</f>
        <v>0</v>
      </c>
      <c r="U762" s="118" t="str">
        <f t="shared" si="108"/>
        <v/>
      </c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1:54" ht="17.100000000000001" hidden="1" customHeight="1" x14ac:dyDescent="0.25">
      <c r="A763" s="166"/>
      <c r="B763" s="169"/>
      <c r="C763" s="172"/>
      <c r="D763" s="175"/>
      <c r="E763" s="91" t="str">
        <f t="shared" si="109"/>
        <v>Lincoln</v>
      </c>
      <c r="F763" s="92" t="s">
        <v>258</v>
      </c>
      <c r="G763" s="98" t="str">
        <f t="shared" si="113"/>
        <v>CP069-Return Donor</v>
      </c>
      <c r="H763" s="178"/>
      <c r="I763" s="77" t="s">
        <v>29</v>
      </c>
      <c r="J763" s="43" t="s">
        <v>194</v>
      </c>
      <c r="K763" s="43" t="s">
        <v>194</v>
      </c>
      <c r="L763" s="44" t="s">
        <v>194</v>
      </c>
      <c r="M763" s="45" t="s">
        <v>194</v>
      </c>
      <c r="N763" s="43" t="s">
        <v>194</v>
      </c>
      <c r="O763" s="43" t="s">
        <v>194</v>
      </c>
      <c r="P763" s="43" t="s">
        <v>194</v>
      </c>
      <c r="Q763" s="43" t="s">
        <v>194</v>
      </c>
      <c r="R763" s="21"/>
      <c r="S763" s="117" t="str">
        <f t="shared" si="107"/>
        <v>N</v>
      </c>
      <c r="T763" s="114">
        <f>IFERROR(SUMIF('Current NLData'!A:A,'Payment Changes'!G763,'Current NLData'!K:K)/COUNTIF('Current NLData'!A:A,'Payment Changes'!G763),0)+IFERROR(VLOOKUP(G763&amp;"-ALL",NLPaymentExport,10,FALSE),0)</f>
        <v>0</v>
      </c>
      <c r="U763" s="118" t="str">
        <f t="shared" si="108"/>
        <v/>
      </c>
    </row>
    <row r="764" spans="1:54" ht="17.100000000000001" hidden="1" customHeight="1" x14ac:dyDescent="0.25">
      <c r="A764" s="166"/>
      <c r="B764" s="169"/>
      <c r="C764" s="172"/>
      <c r="D764" s="175"/>
      <c r="E764" s="91" t="str">
        <f t="shared" si="109"/>
        <v>Lincoln</v>
      </c>
      <c r="F764" s="92" t="s">
        <v>258</v>
      </c>
      <c r="G764" s="98" t="str">
        <f t="shared" si="113"/>
        <v>CP069-Retention Bonus</v>
      </c>
      <c r="H764" s="178"/>
      <c r="I764" s="78" t="s">
        <v>30</v>
      </c>
      <c r="J764" s="46" t="s">
        <v>163</v>
      </c>
      <c r="K764" s="46" t="s">
        <v>163</v>
      </c>
      <c r="L764" s="47" t="s">
        <v>101</v>
      </c>
      <c r="M764" s="48" t="s">
        <v>101</v>
      </c>
      <c r="N764" s="46" t="s">
        <v>101</v>
      </c>
      <c r="O764" s="46" t="s">
        <v>101</v>
      </c>
      <c r="P764" s="46" t="s">
        <v>101</v>
      </c>
      <c r="Q764" s="46" t="s">
        <v>262</v>
      </c>
      <c r="R764" s="21"/>
      <c r="S764" s="117" t="str">
        <f t="shared" si="107"/>
        <v>Y</v>
      </c>
      <c r="T764" s="114">
        <f>IFERROR(SUMIF('Current NLData'!A:A,'Payment Changes'!G764,'Current NLData'!K:K)/COUNTIF('Current NLData'!A:A,'Payment Changes'!G764),0)+IFERROR(VLOOKUP(G764&amp;"-ALL",NLPaymentExport,10,FALSE),0)</f>
        <v>0</v>
      </c>
      <c r="U764" s="118" t="str">
        <f t="shared" si="108"/>
        <v/>
      </c>
    </row>
    <row r="765" spans="1:54" s="15" customFormat="1" ht="17.100000000000001" hidden="1" customHeight="1" x14ac:dyDescent="0.25">
      <c r="A765" s="167"/>
      <c r="B765" s="170"/>
      <c r="C765" s="173"/>
      <c r="D765" s="176"/>
      <c r="E765" s="110" t="str">
        <f t="shared" si="109"/>
        <v>Lincoln</v>
      </c>
      <c r="F765" s="111" t="s">
        <v>258</v>
      </c>
      <c r="G765" s="112" t="str">
        <f t="shared" si="113"/>
        <v>CP069-Referral</v>
      </c>
      <c r="H765" s="179"/>
      <c r="I765" s="79" t="s">
        <v>34</v>
      </c>
      <c r="J765" s="49">
        <v>50</v>
      </c>
      <c r="K765" s="49">
        <v>50</v>
      </c>
      <c r="L765" s="50" t="s">
        <v>32</v>
      </c>
      <c r="M765" s="50">
        <v>50</v>
      </c>
      <c r="N765" s="49">
        <v>50</v>
      </c>
      <c r="O765" s="49">
        <v>50</v>
      </c>
      <c r="P765" s="49">
        <v>50</v>
      </c>
      <c r="Q765" s="49">
        <v>50</v>
      </c>
      <c r="R765" s="113"/>
      <c r="S765" s="117" t="str">
        <f t="shared" si="107"/>
        <v>N</v>
      </c>
      <c r="T765" s="114">
        <f>IFERROR(SUMIF('Current NLData'!A:A,'Payment Changes'!G765,'Current NLData'!K:K)/COUNTIF('Current NLData'!A:A,'Payment Changes'!G765),0)+IFERROR(VLOOKUP(G765&amp;"-ALL",NLPaymentExport,10,FALSE),0)</f>
        <v>0</v>
      </c>
      <c r="U765" s="118" t="str">
        <f t="shared" si="108"/>
        <v/>
      </c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1:54" ht="17.100000000000001" hidden="1" customHeight="1" outlineLevel="1" x14ac:dyDescent="0.25">
      <c r="A766" s="3"/>
      <c r="C766" s="4"/>
      <c r="D766" s="180" t="s">
        <v>258</v>
      </c>
      <c r="E766" s="91" t="str">
        <f t="shared" si="109"/>
        <v>Lincoln</v>
      </c>
      <c r="F766" s="93" t="str">
        <f t="shared" si="110"/>
        <v>CP069</v>
      </c>
      <c r="G766" s="99" t="str">
        <f t="shared" si="113"/>
        <v>CP069-NEW DONOR -1st</v>
      </c>
      <c r="H766" s="182" t="s">
        <v>36</v>
      </c>
      <c r="I766" s="33" t="s">
        <v>37</v>
      </c>
      <c r="J766" s="60">
        <v>125</v>
      </c>
      <c r="K766" s="61">
        <v>125</v>
      </c>
      <c r="L766" s="60">
        <v>125</v>
      </c>
      <c r="M766" s="60">
        <v>100</v>
      </c>
      <c r="N766" s="60">
        <v>100</v>
      </c>
      <c r="O766" s="60">
        <v>100</v>
      </c>
      <c r="P766" s="60">
        <v>100</v>
      </c>
      <c r="Q766" s="60">
        <v>100</v>
      </c>
      <c r="R766" s="23"/>
      <c r="S766" s="117" t="str">
        <f t="shared" si="107"/>
        <v>N</v>
      </c>
      <c r="T766" s="114">
        <f>IFERROR(SUMIF('Current NLData'!A:A,'Payment Changes'!G766,'Current NLData'!K:K)/COUNTIF('Current NLData'!A:A,'Payment Changes'!G766),0)+IFERROR(VLOOKUP(G766&amp;"-ALL",NLPaymentExport,10,FALSE),0)</f>
        <v>100</v>
      </c>
      <c r="U766" s="118">
        <f t="shared" si="108"/>
        <v>0</v>
      </c>
    </row>
    <row r="767" spans="1:54" ht="17.100000000000001" hidden="1" customHeight="1" outlineLevel="1" x14ac:dyDescent="0.25">
      <c r="A767" s="3"/>
      <c r="C767" s="4"/>
      <c r="D767" s="181"/>
      <c r="E767" s="91" t="str">
        <f t="shared" si="109"/>
        <v>Lincoln</v>
      </c>
      <c r="F767" s="93" t="str">
        <f t="shared" si="110"/>
        <v>CP069</v>
      </c>
      <c r="G767" s="99" t="str">
        <f t="shared" si="113"/>
        <v>CP069-NEW DONOR -2nd</v>
      </c>
      <c r="H767" s="182"/>
      <c r="I767" s="34" t="s">
        <v>38</v>
      </c>
      <c r="J767" s="58">
        <v>125</v>
      </c>
      <c r="K767" s="62">
        <v>125</v>
      </c>
      <c r="L767" s="58">
        <v>125</v>
      </c>
      <c r="M767" s="58">
        <v>100</v>
      </c>
      <c r="N767" s="58">
        <v>100</v>
      </c>
      <c r="O767" s="58">
        <v>100</v>
      </c>
      <c r="P767" s="58">
        <v>100</v>
      </c>
      <c r="Q767" s="58">
        <v>100</v>
      </c>
      <c r="R767" s="23"/>
      <c r="S767" s="117" t="str">
        <f t="shared" si="107"/>
        <v>N</v>
      </c>
      <c r="T767" s="114">
        <f>IFERROR(SUMIF('Current NLData'!A:A,'Payment Changes'!G767,'Current NLData'!K:K)/COUNTIF('Current NLData'!A:A,'Payment Changes'!G767),0)+IFERROR(VLOOKUP(G767&amp;"-ALL",NLPaymentExport,10,FALSE),0)</f>
        <v>100</v>
      </c>
      <c r="U767" s="118">
        <f t="shared" si="108"/>
        <v>0</v>
      </c>
    </row>
    <row r="768" spans="1:54" ht="17.100000000000001" hidden="1" customHeight="1" outlineLevel="1" x14ac:dyDescent="0.25">
      <c r="A768" s="3"/>
      <c r="C768" s="4"/>
      <c r="D768" s="181"/>
      <c r="E768" s="91" t="str">
        <f t="shared" si="109"/>
        <v>Lincoln</v>
      </c>
      <c r="F768" s="93" t="str">
        <f t="shared" si="110"/>
        <v>CP069</v>
      </c>
      <c r="G768" s="99" t="str">
        <f t="shared" si="113"/>
        <v>CP069-NEW DONOR -3rd</v>
      </c>
      <c r="H768" s="182"/>
      <c r="I768" s="34" t="s">
        <v>39</v>
      </c>
      <c r="J768" s="58">
        <v>40</v>
      </c>
      <c r="K768" s="62">
        <v>40</v>
      </c>
      <c r="L768" s="58">
        <v>40</v>
      </c>
      <c r="M768" s="58">
        <v>100</v>
      </c>
      <c r="N768" s="58">
        <v>100</v>
      </c>
      <c r="O768" s="58">
        <v>100</v>
      </c>
      <c r="P768" s="58">
        <v>100</v>
      </c>
      <c r="Q768" s="58">
        <v>100</v>
      </c>
      <c r="R768" s="23"/>
      <c r="S768" s="117" t="str">
        <f t="shared" si="107"/>
        <v>N</v>
      </c>
      <c r="T768" s="114">
        <f>IFERROR(SUMIF('Current NLData'!A:A,'Payment Changes'!G768,'Current NLData'!K:K)/COUNTIF('Current NLData'!A:A,'Payment Changes'!G768),0)+IFERROR(VLOOKUP(G768&amp;"-ALL",NLPaymentExport,10,FALSE),0)</f>
        <v>100</v>
      </c>
      <c r="U768" s="118">
        <f t="shared" si="108"/>
        <v>0</v>
      </c>
    </row>
    <row r="769" spans="1:54" ht="17.100000000000001" hidden="1" customHeight="1" outlineLevel="1" x14ac:dyDescent="0.25">
      <c r="A769" s="3"/>
      <c r="C769" s="4"/>
      <c r="D769" s="181"/>
      <c r="E769" s="91" t="str">
        <f t="shared" si="109"/>
        <v>Lincoln</v>
      </c>
      <c r="F769" s="93" t="str">
        <f t="shared" si="110"/>
        <v>CP069</v>
      </c>
      <c r="G769" s="99" t="str">
        <f t="shared" si="113"/>
        <v>CP069-NEW DONOR -4th</v>
      </c>
      <c r="H769" s="182"/>
      <c r="I769" s="34" t="s">
        <v>40</v>
      </c>
      <c r="J769" s="58">
        <v>40</v>
      </c>
      <c r="K769" s="62">
        <v>90</v>
      </c>
      <c r="L769" s="58">
        <v>40</v>
      </c>
      <c r="M769" s="58">
        <v>100</v>
      </c>
      <c r="N769" s="58">
        <v>100</v>
      </c>
      <c r="O769" s="58">
        <v>100</v>
      </c>
      <c r="P769" s="58">
        <v>100</v>
      </c>
      <c r="Q769" s="58">
        <v>100</v>
      </c>
      <c r="R769" s="23"/>
      <c r="S769" s="117" t="str">
        <f t="shared" si="107"/>
        <v>N</v>
      </c>
      <c r="T769" s="114">
        <f>IFERROR(SUMIF('Current NLData'!A:A,'Payment Changes'!G769,'Current NLData'!K:K)/COUNTIF('Current NLData'!A:A,'Payment Changes'!G769),0)+IFERROR(VLOOKUP(G769&amp;"-ALL",NLPaymentExport,10,FALSE),0)</f>
        <v>100</v>
      </c>
      <c r="U769" s="118">
        <f t="shared" si="108"/>
        <v>0</v>
      </c>
    </row>
    <row r="770" spans="1:54" ht="17.100000000000001" hidden="1" customHeight="1" outlineLevel="1" x14ac:dyDescent="0.25">
      <c r="A770" s="3"/>
      <c r="C770" s="4"/>
      <c r="D770" s="181"/>
      <c r="E770" s="91" t="str">
        <f t="shared" si="109"/>
        <v>Lincoln</v>
      </c>
      <c r="F770" s="93" t="str">
        <f t="shared" si="110"/>
        <v>CP069</v>
      </c>
      <c r="G770" s="99" t="str">
        <f t="shared" si="113"/>
        <v>CP069-NEW DONOR -5th</v>
      </c>
      <c r="H770" s="182"/>
      <c r="I770" s="34" t="s">
        <v>41</v>
      </c>
      <c r="J770" s="58">
        <v>40</v>
      </c>
      <c r="K770" s="62">
        <v>40</v>
      </c>
      <c r="L770" s="58">
        <v>40</v>
      </c>
      <c r="M770" s="58">
        <v>40</v>
      </c>
      <c r="N770" s="58">
        <v>40</v>
      </c>
      <c r="O770" s="58">
        <v>40</v>
      </c>
      <c r="P770" s="58">
        <v>40</v>
      </c>
      <c r="Q770" s="58">
        <v>40</v>
      </c>
      <c r="R770" s="23"/>
      <c r="S770" s="117" t="str">
        <f t="shared" si="107"/>
        <v>N</v>
      </c>
      <c r="T770" s="114">
        <f>IFERROR(SUMIF('Current NLData'!A:A,'Payment Changes'!G770,'Current NLData'!K:K)/COUNTIF('Current NLData'!A:A,'Payment Changes'!G770),0)+IFERROR(VLOOKUP(G770&amp;"-ALL",NLPaymentExport,10,FALSE),0)</f>
        <v>40</v>
      </c>
      <c r="U770" s="118">
        <f t="shared" si="108"/>
        <v>0</v>
      </c>
    </row>
    <row r="771" spans="1:54" ht="17.100000000000001" hidden="1" customHeight="1" outlineLevel="1" x14ac:dyDescent="0.25">
      <c r="A771" s="3"/>
      <c r="C771" s="4"/>
      <c r="D771" s="181"/>
      <c r="E771" s="91" t="str">
        <f t="shared" si="109"/>
        <v>Lincoln</v>
      </c>
      <c r="F771" s="93" t="str">
        <f t="shared" si="110"/>
        <v>CP069</v>
      </c>
      <c r="G771" s="99" t="str">
        <f t="shared" si="113"/>
        <v>CP069-NEW DONOR -6th</v>
      </c>
      <c r="H771" s="182"/>
      <c r="I771" s="34" t="s">
        <v>42</v>
      </c>
      <c r="J771" s="58">
        <v>40</v>
      </c>
      <c r="K771" s="62">
        <v>90</v>
      </c>
      <c r="L771" s="58">
        <v>40</v>
      </c>
      <c r="M771" s="58">
        <v>40</v>
      </c>
      <c r="N771" s="58">
        <v>40</v>
      </c>
      <c r="O771" s="58">
        <v>40</v>
      </c>
      <c r="P771" s="58">
        <v>40</v>
      </c>
      <c r="Q771" s="58">
        <v>40</v>
      </c>
      <c r="R771" s="23"/>
      <c r="S771" s="117" t="str">
        <f t="shared" ref="S771:S834" si="114">IF(P771=Q771,"N","Y")</f>
        <v>N</v>
      </c>
      <c r="T771" s="114">
        <f>IFERROR(SUMIF('Current NLData'!A:A,'Payment Changes'!G771,'Current NLData'!K:K)/COUNTIF('Current NLData'!A:A,'Payment Changes'!G771),0)+IFERROR(VLOOKUP(G771&amp;"-ALL",NLPaymentExport,10,FALSE),0)</f>
        <v>40</v>
      </c>
      <c r="U771" s="118">
        <f t="shared" si="108"/>
        <v>0</v>
      </c>
    </row>
    <row r="772" spans="1:54" ht="17.100000000000001" hidden="1" customHeight="1" outlineLevel="1" x14ac:dyDescent="0.25">
      <c r="A772" s="3"/>
      <c r="C772" s="4"/>
      <c r="D772" s="181"/>
      <c r="E772" s="91" t="str">
        <f t="shared" si="109"/>
        <v>Lincoln</v>
      </c>
      <c r="F772" s="93" t="str">
        <f t="shared" si="110"/>
        <v>CP069</v>
      </c>
      <c r="G772" s="99" t="str">
        <f t="shared" si="113"/>
        <v>CP069-NEW DONOR -7th</v>
      </c>
      <c r="H772" s="182"/>
      <c r="I772" s="34" t="s">
        <v>43</v>
      </c>
      <c r="J772" s="58">
        <v>40</v>
      </c>
      <c r="K772" s="62">
        <v>40</v>
      </c>
      <c r="L772" s="58">
        <v>40</v>
      </c>
      <c r="M772" s="58">
        <v>40</v>
      </c>
      <c r="N772" s="58">
        <v>40</v>
      </c>
      <c r="O772" s="58">
        <v>40</v>
      </c>
      <c r="P772" s="58">
        <v>40</v>
      </c>
      <c r="Q772" s="58">
        <v>40</v>
      </c>
      <c r="R772" s="23"/>
      <c r="S772" s="117" t="str">
        <f t="shared" si="114"/>
        <v>N</v>
      </c>
      <c r="T772" s="114">
        <f>IFERROR(SUMIF('Current NLData'!A:A,'Payment Changes'!G772,'Current NLData'!K:K)/COUNTIF('Current NLData'!A:A,'Payment Changes'!G772),0)+IFERROR(VLOOKUP(G772&amp;"-ALL",NLPaymentExport,10,FALSE),0)</f>
        <v>40</v>
      </c>
      <c r="U772" s="118">
        <f t="shared" si="108"/>
        <v>0</v>
      </c>
    </row>
    <row r="773" spans="1:54" ht="17.100000000000001" hidden="1" customHeight="1" outlineLevel="1" x14ac:dyDescent="0.25">
      <c r="A773" s="3"/>
      <c r="C773" s="4"/>
      <c r="D773" s="181"/>
      <c r="E773" s="91" t="str">
        <f t="shared" si="109"/>
        <v>Lincoln</v>
      </c>
      <c r="F773" s="93" t="str">
        <f t="shared" si="110"/>
        <v>CP069</v>
      </c>
      <c r="G773" s="99" t="str">
        <f t="shared" si="113"/>
        <v>CP069-NEW DONOR -8th</v>
      </c>
      <c r="H773" s="182"/>
      <c r="I773" s="35" t="s">
        <v>44</v>
      </c>
      <c r="J773" s="63">
        <v>40</v>
      </c>
      <c r="K773" s="64">
        <v>90</v>
      </c>
      <c r="L773" s="63">
        <v>40</v>
      </c>
      <c r="M773" s="63">
        <v>40</v>
      </c>
      <c r="N773" s="63">
        <v>40</v>
      </c>
      <c r="O773" s="63">
        <v>40</v>
      </c>
      <c r="P773" s="63">
        <v>40</v>
      </c>
      <c r="Q773" s="63">
        <v>40</v>
      </c>
      <c r="R773" s="23"/>
      <c r="S773" s="117" t="str">
        <f t="shared" si="114"/>
        <v>N</v>
      </c>
      <c r="T773" s="114">
        <f>IFERROR(SUMIF('Current NLData'!A:A,'Payment Changes'!G773,'Current NLData'!K:K)/COUNTIF('Current NLData'!A:A,'Payment Changes'!G773),0)+IFERROR(VLOOKUP(G773&amp;"-ALL",NLPaymentExport,10,FALSE),0)</f>
        <v>40</v>
      </c>
      <c r="U773" s="118">
        <f t="shared" si="108"/>
        <v>0</v>
      </c>
    </row>
    <row r="774" spans="1:54" ht="17.100000000000001" hidden="1" customHeight="1" outlineLevel="1" x14ac:dyDescent="0.25">
      <c r="A774" s="3"/>
      <c r="C774" s="4"/>
      <c r="D774" s="181"/>
      <c r="E774" s="91" t="str">
        <f t="shared" si="109"/>
        <v>Lincoln</v>
      </c>
      <c r="F774" s="93" t="str">
        <f t="shared" si="110"/>
        <v>CP069</v>
      </c>
      <c r="G774" s="99" t="str">
        <f t="shared" si="113"/>
        <v>CP069-RETURN - 1st don of the week -STD</v>
      </c>
      <c r="H774" s="182"/>
      <c r="I774" s="36" t="s">
        <v>45</v>
      </c>
      <c r="J774" s="58">
        <v>40</v>
      </c>
      <c r="K774" s="58">
        <v>40</v>
      </c>
      <c r="L774" s="58">
        <v>40</v>
      </c>
      <c r="M774" s="58">
        <v>40</v>
      </c>
      <c r="N774" s="58">
        <v>40</v>
      </c>
      <c r="O774" s="58">
        <v>40</v>
      </c>
      <c r="P774" s="58">
        <v>40</v>
      </c>
      <c r="Q774" s="58">
        <v>40</v>
      </c>
      <c r="R774" s="22"/>
      <c r="S774" s="117" t="str">
        <f t="shared" si="114"/>
        <v>N</v>
      </c>
      <c r="T774" s="114">
        <f>IFERROR(SUMIF('Current NLData'!A:A,'Payment Changes'!G774,'Current NLData'!K:K)/COUNTIF('Current NLData'!A:A,'Payment Changes'!G774),0)+IFERROR(VLOOKUP(G774&amp;"-ALL",NLPaymentExport,10,FALSE),0)</f>
        <v>40</v>
      </c>
      <c r="U774" s="118">
        <f t="shared" si="108"/>
        <v>0</v>
      </c>
    </row>
    <row r="775" spans="1:54" ht="17.100000000000001" hidden="1" customHeight="1" outlineLevel="1" x14ac:dyDescent="0.25">
      <c r="A775" s="3"/>
      <c r="C775" s="4"/>
      <c r="D775" s="181"/>
      <c r="E775" s="91" t="str">
        <f t="shared" si="109"/>
        <v>Lincoln</v>
      </c>
      <c r="F775" s="93" t="str">
        <f t="shared" si="110"/>
        <v>CP069</v>
      </c>
      <c r="G775" s="99" t="str">
        <f t="shared" si="113"/>
        <v>CP069-RETURN - 2nd don of the week -BONUS</v>
      </c>
      <c r="H775" s="182"/>
      <c r="I775" s="36" t="s">
        <v>46</v>
      </c>
      <c r="J775" s="58">
        <v>50</v>
      </c>
      <c r="K775" s="58">
        <v>50</v>
      </c>
      <c r="L775" s="58">
        <v>50</v>
      </c>
      <c r="M775" s="58">
        <v>50</v>
      </c>
      <c r="N775" s="58">
        <v>50</v>
      </c>
      <c r="O775" s="58">
        <v>50</v>
      </c>
      <c r="P775" s="58">
        <v>50</v>
      </c>
      <c r="Q775" s="58">
        <v>50</v>
      </c>
      <c r="R775" s="22"/>
      <c r="S775" s="117" t="str">
        <f t="shared" si="114"/>
        <v>N</v>
      </c>
      <c r="T775" s="114">
        <f>IFERROR(SUMIF('Current NLData'!A:A,'Payment Changes'!G775,'Current NLData'!K:K)/COUNTIF('Current NLData'!A:A,'Payment Changes'!G775),0)+IFERROR(VLOOKUP(G775&amp;"-ALL",NLPaymentExport,10,FALSE),0)</f>
        <v>50</v>
      </c>
      <c r="U775" s="118">
        <f t="shared" ref="U775:U838" si="115">IF(OR(I775 = "New Donor", I775="Return Donor", I775="Retention Bonus", I775="Referral", I775 = ""),"",T775-Q775 )</f>
        <v>0</v>
      </c>
    </row>
    <row r="776" spans="1:54" ht="17.100000000000001" hidden="1" customHeight="1" outlineLevel="1" x14ac:dyDescent="0.25">
      <c r="A776" s="3"/>
      <c r="C776" s="4"/>
      <c r="D776" s="181"/>
      <c r="E776" s="91" t="str">
        <f t="shared" ref="E776:E839" si="116">IF(B776 = "",E775,B776)</f>
        <v>Lincoln</v>
      </c>
      <c r="F776" s="93" t="str">
        <f t="shared" ref="F776:F839" si="117">IF(D776 = "",F775,D776)</f>
        <v>CP069</v>
      </c>
      <c r="G776" s="99" t="str">
        <f t="shared" si="113"/>
        <v>CP069-RETURN - 5th don of the month -BONUS</v>
      </c>
      <c r="H776" s="182"/>
      <c r="I776" s="37" t="s">
        <v>47</v>
      </c>
      <c r="J776" s="65">
        <v>0</v>
      </c>
      <c r="K776" s="65">
        <v>0</v>
      </c>
      <c r="L776" s="65">
        <v>0</v>
      </c>
      <c r="M776" s="65">
        <v>0</v>
      </c>
      <c r="N776" s="65">
        <v>0</v>
      </c>
      <c r="O776" s="65">
        <v>0</v>
      </c>
      <c r="P776" s="65">
        <v>0</v>
      </c>
      <c r="Q776" s="65">
        <v>0</v>
      </c>
      <c r="R776" s="22"/>
      <c r="S776" s="117" t="str">
        <f t="shared" si="114"/>
        <v>N</v>
      </c>
      <c r="T776" s="114">
        <f>IFERROR(SUMIF('Current NLData'!A:A,'Payment Changes'!G776,'Current NLData'!K:K)/COUNTIF('Current NLData'!A:A,'Payment Changes'!G776),0)+IFERROR(VLOOKUP(G776&amp;"-ALL",NLPaymentExport,10,FALSE),0)</f>
        <v>0</v>
      </c>
      <c r="U776" s="118">
        <f t="shared" si="115"/>
        <v>0</v>
      </c>
    </row>
    <row r="777" spans="1:54" ht="17.100000000000001" hidden="1" customHeight="1" outlineLevel="1" x14ac:dyDescent="0.25">
      <c r="A777" s="3"/>
      <c r="C777" s="4"/>
      <c r="D777" s="181"/>
      <c r="E777" s="91" t="str">
        <f t="shared" si="116"/>
        <v>Lincoln</v>
      </c>
      <c r="F777" s="93" t="str">
        <f t="shared" si="117"/>
        <v>CP069</v>
      </c>
      <c r="G777" s="99" t="str">
        <f t="shared" si="113"/>
        <v>CP069-RETURN - 6th don of the month -BONUS</v>
      </c>
      <c r="H777" s="182"/>
      <c r="I777" s="38" t="s">
        <v>48</v>
      </c>
      <c r="J777" s="58">
        <v>0</v>
      </c>
      <c r="K777" s="58">
        <v>0</v>
      </c>
      <c r="L777" s="58">
        <v>30</v>
      </c>
      <c r="M777" s="58">
        <v>30</v>
      </c>
      <c r="N777" s="58">
        <v>30</v>
      </c>
      <c r="O777" s="58">
        <v>30</v>
      </c>
      <c r="P777" s="58">
        <v>30</v>
      </c>
      <c r="Q777" s="58">
        <v>30</v>
      </c>
      <c r="R777" s="22"/>
      <c r="S777" s="117" t="str">
        <f t="shared" si="114"/>
        <v>N</v>
      </c>
      <c r="T777" s="114">
        <f>IFERROR(SUMIF('Current NLData'!A:A,'Payment Changes'!G777,'Current NLData'!K:K)/COUNTIF('Current NLData'!A:A,'Payment Changes'!G777),0)+IFERROR(VLOOKUP(G777&amp;"-ALL",NLPaymentExport,10,FALSE),0)</f>
        <v>30</v>
      </c>
      <c r="U777" s="118">
        <f t="shared" si="115"/>
        <v>0</v>
      </c>
    </row>
    <row r="778" spans="1:54" ht="17.100000000000001" hidden="1" customHeight="1" outlineLevel="1" x14ac:dyDescent="0.25">
      <c r="A778" s="3"/>
      <c r="C778" s="4"/>
      <c r="D778" s="181"/>
      <c r="E778" s="91" t="str">
        <f t="shared" si="116"/>
        <v>Lincoln</v>
      </c>
      <c r="F778" s="93" t="str">
        <f t="shared" si="117"/>
        <v>CP069</v>
      </c>
      <c r="G778" s="99" t="str">
        <f t="shared" si="113"/>
        <v>CP069-RETURN - 7th don of the month -BONUS</v>
      </c>
      <c r="H778" s="182"/>
      <c r="I778" s="38" t="s">
        <v>49</v>
      </c>
      <c r="J778" s="58">
        <v>0</v>
      </c>
      <c r="K778" s="58">
        <v>0</v>
      </c>
      <c r="L778" s="58">
        <v>0</v>
      </c>
      <c r="M778" s="58">
        <v>0</v>
      </c>
      <c r="N778" s="58">
        <v>0</v>
      </c>
      <c r="O778" s="58">
        <v>0</v>
      </c>
      <c r="P778" s="58">
        <v>0</v>
      </c>
      <c r="Q778" s="58">
        <v>0</v>
      </c>
      <c r="R778" s="22"/>
      <c r="S778" s="117" t="str">
        <f t="shared" si="114"/>
        <v>N</v>
      </c>
      <c r="T778" s="114">
        <f>IFERROR(SUMIF('Current NLData'!A:A,'Payment Changes'!G778,'Current NLData'!K:K)/COUNTIF('Current NLData'!A:A,'Payment Changes'!G778),0)+IFERROR(VLOOKUP(G778&amp;"-ALL",NLPaymentExport,10,FALSE),0)</f>
        <v>0</v>
      </c>
      <c r="U778" s="118">
        <f t="shared" si="115"/>
        <v>0</v>
      </c>
    </row>
    <row r="779" spans="1:54" ht="17.100000000000001" hidden="1" customHeight="1" outlineLevel="1" x14ac:dyDescent="0.25">
      <c r="A779" s="3"/>
      <c r="C779" s="4"/>
      <c r="D779" s="181"/>
      <c r="E779" s="91" t="str">
        <f t="shared" si="116"/>
        <v>Lincoln</v>
      </c>
      <c r="F779" s="93" t="str">
        <f t="shared" si="117"/>
        <v>CP069</v>
      </c>
      <c r="G779" s="99" t="str">
        <f t="shared" si="113"/>
        <v>CP069-RETURN - 8th don of the month -BONUS</v>
      </c>
      <c r="H779" s="182"/>
      <c r="I779" s="38" t="s">
        <v>50</v>
      </c>
      <c r="J779" s="58">
        <v>0</v>
      </c>
      <c r="K779" s="58">
        <v>0</v>
      </c>
      <c r="L779" s="58">
        <v>0</v>
      </c>
      <c r="M779" s="58">
        <v>0</v>
      </c>
      <c r="N779" s="58">
        <v>0</v>
      </c>
      <c r="O779" s="58">
        <v>0</v>
      </c>
      <c r="P779" s="58">
        <v>0</v>
      </c>
      <c r="Q779" s="58">
        <v>30</v>
      </c>
      <c r="R779" s="22"/>
      <c r="S779" s="117" t="str">
        <f t="shared" si="114"/>
        <v>Y</v>
      </c>
      <c r="T779" s="114">
        <f>IFERROR(SUMIF('Current NLData'!A:A,'Payment Changes'!G779,'Current NLData'!K:K)/COUNTIF('Current NLData'!A:A,'Payment Changes'!G779),0)+IFERROR(VLOOKUP(G779&amp;"-ALL",NLPaymentExport,10,FALSE),0)</f>
        <v>0</v>
      </c>
      <c r="U779" s="118">
        <f t="shared" si="115"/>
        <v>-30</v>
      </c>
    </row>
    <row r="780" spans="1:54" ht="17.100000000000001" hidden="1" customHeight="1" outlineLevel="1" x14ac:dyDescent="0.25">
      <c r="A780" s="3"/>
      <c r="C780" s="4" t="str">
        <f>IF(J780=0,"Warning","")</f>
        <v/>
      </c>
      <c r="D780" s="181"/>
      <c r="E780" s="91" t="str">
        <f t="shared" si="116"/>
        <v>Lincoln</v>
      </c>
      <c r="F780" s="93" t="str">
        <f t="shared" si="117"/>
        <v>CP069</v>
      </c>
      <c r="G780" s="99" t="str">
        <f t="shared" si="113"/>
        <v>CP069-RETURN - Buddy referral  -BONUS</v>
      </c>
      <c r="H780" s="182"/>
      <c r="I780" s="39" t="s">
        <v>51</v>
      </c>
      <c r="J780" s="58">
        <v>50</v>
      </c>
      <c r="K780" s="58">
        <v>50</v>
      </c>
      <c r="L780" s="58">
        <v>0</v>
      </c>
      <c r="M780" s="58">
        <v>50</v>
      </c>
      <c r="N780" s="58">
        <v>50</v>
      </c>
      <c r="O780" s="58">
        <v>50</v>
      </c>
      <c r="P780" s="58">
        <v>50</v>
      </c>
      <c r="Q780" s="58">
        <v>50</v>
      </c>
      <c r="R780" s="22"/>
      <c r="S780" s="117" t="str">
        <f t="shared" si="114"/>
        <v>N</v>
      </c>
      <c r="T780" s="114">
        <f>IFERROR(SUMIF('Current NLData'!A:A,'Payment Changes'!G780,'Current NLData'!K:K)/COUNTIF('Current NLData'!A:A,'Payment Changes'!G780),0)+IFERROR(VLOOKUP(G780&amp;"-ALL",NLPaymentExport,10,FALSE),0)</f>
        <v>50</v>
      </c>
      <c r="U780" s="118">
        <f t="shared" si="115"/>
        <v>0</v>
      </c>
    </row>
    <row r="781" spans="1:54" s="90" customFormat="1" ht="17.100000000000001" hidden="1" customHeight="1" collapsed="1" x14ac:dyDescent="0.35">
      <c r="A781" s="85"/>
      <c r="B781" s="85"/>
      <c r="C781" s="86"/>
      <c r="D781" s="87"/>
      <c r="E781" s="87"/>
      <c r="F781" s="87"/>
      <c r="G781" s="87"/>
      <c r="H781" s="96"/>
      <c r="I781" s="88"/>
      <c r="J781" s="89"/>
      <c r="K781" s="89"/>
      <c r="L781" s="89"/>
      <c r="M781" s="89"/>
      <c r="N781" s="89"/>
      <c r="O781" s="89"/>
      <c r="P781" s="89"/>
      <c r="Q781" s="89"/>
      <c r="R781" s="21"/>
      <c r="S781" s="117" t="str">
        <f t="shared" si="114"/>
        <v>N</v>
      </c>
      <c r="T781" s="114">
        <f>IFERROR(SUMIF('Current NLData'!A:A,'Payment Changes'!G781,'Current NLData'!K:K)/COUNTIF('Current NLData'!A:A,'Payment Changes'!G781),0)+IFERROR(VLOOKUP(G781&amp;"-ALL",NLPaymentExport,10,FALSE),0)</f>
        <v>0</v>
      </c>
      <c r="U781" s="118" t="str">
        <f t="shared" si="115"/>
        <v/>
      </c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1:54" s="10" customFormat="1" ht="17.100000000000001" hidden="1" customHeight="1" x14ac:dyDescent="0.25">
      <c r="A782" s="165">
        <v>40</v>
      </c>
      <c r="B782" s="168" t="s">
        <v>263</v>
      </c>
      <c r="C782" s="171" t="s">
        <v>19</v>
      </c>
      <c r="D782" s="174" t="s">
        <v>157</v>
      </c>
      <c r="E782" s="106" t="str">
        <f t="shared" si="116"/>
        <v>Youngstown</v>
      </c>
      <c r="F782" s="107" t="s">
        <v>264</v>
      </c>
      <c r="G782" s="108" t="str">
        <f t="shared" ref="G782:G800" si="118">F782&amp;"-"&amp;I782</f>
        <v>CP082-New Donor</v>
      </c>
      <c r="H782" s="177" t="s">
        <v>75</v>
      </c>
      <c r="I782" s="76" t="s">
        <v>23</v>
      </c>
      <c r="J782" s="40" t="s">
        <v>232</v>
      </c>
      <c r="K782" s="41" t="s">
        <v>265</v>
      </c>
      <c r="L782" s="41" t="s">
        <v>232</v>
      </c>
      <c r="M782" s="41" t="s">
        <v>209</v>
      </c>
      <c r="N782" s="40" t="s">
        <v>209</v>
      </c>
      <c r="O782" s="40" t="s">
        <v>209</v>
      </c>
      <c r="P782" s="40" t="s">
        <v>209</v>
      </c>
      <c r="Q782" s="40" t="s">
        <v>209</v>
      </c>
      <c r="R782" s="109"/>
      <c r="S782" s="117" t="str">
        <f t="shared" si="114"/>
        <v>N</v>
      </c>
      <c r="T782" s="114">
        <f>IFERROR(SUMIF('Current NLData'!A:A,'Payment Changes'!G782,'Current NLData'!K:K)/COUNTIF('Current NLData'!A:A,'Payment Changes'!G782),0)+IFERROR(VLOOKUP(G782&amp;"-ALL",NLPaymentExport,10,FALSE),0)</f>
        <v>0</v>
      </c>
      <c r="U782" s="118" t="str">
        <f t="shared" si="115"/>
        <v/>
      </c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1:54" ht="17.100000000000001" hidden="1" customHeight="1" x14ac:dyDescent="0.25">
      <c r="A783" s="166"/>
      <c r="B783" s="169"/>
      <c r="C783" s="172"/>
      <c r="D783" s="175"/>
      <c r="E783" s="91" t="str">
        <f t="shared" si="116"/>
        <v>Youngstown</v>
      </c>
      <c r="F783" s="92" t="s">
        <v>264</v>
      </c>
      <c r="G783" s="98" t="str">
        <f t="shared" si="118"/>
        <v>CP082-Return Donor</v>
      </c>
      <c r="H783" s="178"/>
      <c r="I783" s="77" t="s">
        <v>29</v>
      </c>
      <c r="J783" s="43" t="s">
        <v>110</v>
      </c>
      <c r="K783" s="43" t="s">
        <v>214</v>
      </c>
      <c r="L783" s="44" t="s">
        <v>266</v>
      </c>
      <c r="M783" s="45" t="s">
        <v>266</v>
      </c>
      <c r="N783" s="43" t="s">
        <v>266</v>
      </c>
      <c r="O783" s="43" t="s">
        <v>266</v>
      </c>
      <c r="P783" s="43" t="s">
        <v>266</v>
      </c>
      <c r="Q783" s="43" t="s">
        <v>266</v>
      </c>
      <c r="R783" s="21"/>
      <c r="S783" s="117" t="str">
        <f t="shared" si="114"/>
        <v>N</v>
      </c>
      <c r="T783" s="114">
        <f>IFERROR(SUMIF('Current NLData'!A:A,'Payment Changes'!G783,'Current NLData'!K:K)/COUNTIF('Current NLData'!A:A,'Payment Changes'!G783),0)+IFERROR(VLOOKUP(G783&amp;"-ALL",NLPaymentExport,10,FALSE),0)</f>
        <v>0</v>
      </c>
      <c r="U783" s="118" t="str">
        <f t="shared" si="115"/>
        <v/>
      </c>
    </row>
    <row r="784" spans="1:54" ht="17.100000000000001" hidden="1" customHeight="1" x14ac:dyDescent="0.25">
      <c r="A784" s="166"/>
      <c r="B784" s="169"/>
      <c r="C784" s="172"/>
      <c r="D784" s="175"/>
      <c r="E784" s="91" t="str">
        <f t="shared" si="116"/>
        <v>Youngstown</v>
      </c>
      <c r="F784" s="92" t="s">
        <v>264</v>
      </c>
      <c r="G784" s="98" t="str">
        <f t="shared" si="118"/>
        <v>CP082-Retention Bonus</v>
      </c>
      <c r="H784" s="178"/>
      <c r="I784" s="78" t="s">
        <v>30</v>
      </c>
      <c r="J784" s="46" t="s">
        <v>267</v>
      </c>
      <c r="K784" s="46" t="s">
        <v>267</v>
      </c>
      <c r="L784" s="47" t="s">
        <v>267</v>
      </c>
      <c r="M784" s="47" t="s">
        <v>268</v>
      </c>
      <c r="N784" s="46" t="s">
        <v>268</v>
      </c>
      <c r="O784" s="46" t="s">
        <v>268</v>
      </c>
      <c r="P784" s="46" t="s">
        <v>268</v>
      </c>
      <c r="Q784" s="46" t="s">
        <v>268</v>
      </c>
      <c r="R784" s="21"/>
      <c r="S784" s="117" t="str">
        <f t="shared" si="114"/>
        <v>N</v>
      </c>
      <c r="T784" s="114">
        <f>IFERROR(SUMIF('Current NLData'!A:A,'Payment Changes'!G784,'Current NLData'!K:K)/COUNTIF('Current NLData'!A:A,'Payment Changes'!G784),0)+IFERROR(VLOOKUP(G784&amp;"-ALL",NLPaymentExport,10,FALSE),0)</f>
        <v>0</v>
      </c>
      <c r="U784" s="118" t="str">
        <f t="shared" si="115"/>
        <v/>
      </c>
    </row>
    <row r="785" spans="1:54" s="15" customFormat="1" ht="17.100000000000001" hidden="1" customHeight="1" x14ac:dyDescent="0.25">
      <c r="A785" s="167"/>
      <c r="B785" s="170"/>
      <c r="C785" s="173"/>
      <c r="D785" s="176"/>
      <c r="E785" s="110" t="str">
        <f t="shared" si="116"/>
        <v>Youngstown</v>
      </c>
      <c r="F785" s="111" t="s">
        <v>264</v>
      </c>
      <c r="G785" s="112" t="str">
        <f t="shared" si="118"/>
        <v>CP082-Referral</v>
      </c>
      <c r="H785" s="179"/>
      <c r="I785" s="79" t="s">
        <v>34</v>
      </c>
      <c r="J785" s="49">
        <v>50</v>
      </c>
      <c r="K785" s="49">
        <v>50</v>
      </c>
      <c r="L785" s="50" t="s">
        <v>32</v>
      </c>
      <c r="M785" s="50" t="s">
        <v>247</v>
      </c>
      <c r="N785" s="49" t="s">
        <v>247</v>
      </c>
      <c r="O785" s="49" t="s">
        <v>247</v>
      </c>
      <c r="P785" s="49" t="s">
        <v>247</v>
      </c>
      <c r="Q785" s="49" t="s">
        <v>247</v>
      </c>
      <c r="R785" s="113"/>
      <c r="S785" s="117" t="str">
        <f t="shared" si="114"/>
        <v>N</v>
      </c>
      <c r="T785" s="114">
        <f>IFERROR(SUMIF('Current NLData'!A:A,'Payment Changes'!G785,'Current NLData'!K:K)/COUNTIF('Current NLData'!A:A,'Payment Changes'!G785),0)+IFERROR(VLOOKUP(G785&amp;"-ALL",NLPaymentExport,10,FALSE),0)</f>
        <v>0</v>
      </c>
      <c r="U785" s="118" t="str">
        <f t="shared" si="115"/>
        <v/>
      </c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1:54" ht="17.100000000000001" hidden="1" customHeight="1" outlineLevel="1" x14ac:dyDescent="0.25">
      <c r="A786" s="3"/>
      <c r="C786" s="4"/>
      <c r="D786" s="180" t="s">
        <v>264</v>
      </c>
      <c r="E786" s="91" t="str">
        <f t="shared" si="116"/>
        <v>Youngstown</v>
      </c>
      <c r="F786" s="93" t="str">
        <f t="shared" si="117"/>
        <v>CP082</v>
      </c>
      <c r="G786" s="99" t="str">
        <f t="shared" si="118"/>
        <v>CP082-NEW DONOR -1st</v>
      </c>
      <c r="H786" s="182" t="s">
        <v>36</v>
      </c>
      <c r="I786" s="33" t="s">
        <v>37</v>
      </c>
      <c r="J786" s="60">
        <v>100</v>
      </c>
      <c r="K786" s="61">
        <v>100</v>
      </c>
      <c r="L786" s="60">
        <v>100</v>
      </c>
      <c r="M786" s="60">
        <v>100</v>
      </c>
      <c r="N786" s="60">
        <v>100</v>
      </c>
      <c r="O786" s="60">
        <v>100</v>
      </c>
      <c r="P786" s="60">
        <v>100</v>
      </c>
      <c r="Q786" s="60">
        <v>100</v>
      </c>
      <c r="R786" s="23"/>
      <c r="S786" s="117" t="str">
        <f t="shared" si="114"/>
        <v>N</v>
      </c>
      <c r="T786" s="114">
        <f>IFERROR(SUMIF('Current NLData'!A:A,'Payment Changes'!G786,'Current NLData'!K:K)/COUNTIF('Current NLData'!A:A,'Payment Changes'!G786),0)+IFERROR(VLOOKUP(G786&amp;"-ALL",NLPaymentExport,10,FALSE),0)</f>
        <v>100</v>
      </c>
      <c r="U786" s="118">
        <f t="shared" si="115"/>
        <v>0</v>
      </c>
    </row>
    <row r="787" spans="1:54" ht="17.100000000000001" hidden="1" customHeight="1" outlineLevel="1" x14ac:dyDescent="0.25">
      <c r="A787" s="3"/>
      <c r="C787" s="4"/>
      <c r="D787" s="181"/>
      <c r="E787" s="91" t="str">
        <f t="shared" si="116"/>
        <v>Youngstown</v>
      </c>
      <c r="F787" s="93" t="str">
        <f t="shared" si="117"/>
        <v>CP082</v>
      </c>
      <c r="G787" s="99" t="str">
        <f t="shared" si="118"/>
        <v>CP082-NEW DONOR -2nd</v>
      </c>
      <c r="H787" s="182"/>
      <c r="I787" s="34" t="s">
        <v>38</v>
      </c>
      <c r="J787" s="58">
        <v>100</v>
      </c>
      <c r="K787" s="62">
        <v>100</v>
      </c>
      <c r="L787" s="58">
        <v>100</v>
      </c>
      <c r="M787" s="58">
        <v>100</v>
      </c>
      <c r="N787" s="58">
        <v>100</v>
      </c>
      <c r="O787" s="58">
        <v>100</v>
      </c>
      <c r="P787" s="58">
        <v>100</v>
      </c>
      <c r="Q787" s="58">
        <v>100</v>
      </c>
      <c r="R787" s="23"/>
      <c r="S787" s="117" t="str">
        <f t="shared" si="114"/>
        <v>N</v>
      </c>
      <c r="T787" s="114">
        <f>IFERROR(SUMIF('Current NLData'!A:A,'Payment Changes'!G787,'Current NLData'!K:K)/COUNTIF('Current NLData'!A:A,'Payment Changes'!G787),0)+IFERROR(VLOOKUP(G787&amp;"-ALL",NLPaymentExport,10,FALSE),0)</f>
        <v>100</v>
      </c>
      <c r="U787" s="118">
        <f t="shared" si="115"/>
        <v>0</v>
      </c>
    </row>
    <row r="788" spans="1:54" ht="17.100000000000001" hidden="1" customHeight="1" outlineLevel="1" x14ac:dyDescent="0.25">
      <c r="A788" s="3"/>
      <c r="C788" s="4"/>
      <c r="D788" s="181"/>
      <c r="E788" s="91" t="str">
        <f t="shared" si="116"/>
        <v>Youngstown</v>
      </c>
      <c r="F788" s="93" t="str">
        <f t="shared" si="117"/>
        <v>CP082</v>
      </c>
      <c r="G788" s="99" t="str">
        <f t="shared" si="118"/>
        <v>CP082-NEW DONOR -3rd</v>
      </c>
      <c r="H788" s="182"/>
      <c r="I788" s="34" t="s">
        <v>39</v>
      </c>
      <c r="J788" s="58">
        <v>100</v>
      </c>
      <c r="K788" s="62">
        <v>100</v>
      </c>
      <c r="L788" s="58">
        <v>100</v>
      </c>
      <c r="M788" s="58">
        <v>100</v>
      </c>
      <c r="N788" s="58">
        <v>100</v>
      </c>
      <c r="O788" s="58">
        <v>100</v>
      </c>
      <c r="P788" s="58">
        <v>100</v>
      </c>
      <c r="Q788" s="58">
        <v>100</v>
      </c>
      <c r="R788" s="23"/>
      <c r="S788" s="117" t="str">
        <f t="shared" si="114"/>
        <v>N</v>
      </c>
      <c r="T788" s="114">
        <f>IFERROR(SUMIF('Current NLData'!A:A,'Payment Changes'!G788,'Current NLData'!K:K)/COUNTIF('Current NLData'!A:A,'Payment Changes'!G788),0)+IFERROR(VLOOKUP(G788&amp;"-ALL",NLPaymentExport,10,FALSE),0)</f>
        <v>100</v>
      </c>
      <c r="U788" s="118">
        <f t="shared" si="115"/>
        <v>0</v>
      </c>
    </row>
    <row r="789" spans="1:54" ht="17.100000000000001" hidden="1" customHeight="1" outlineLevel="1" x14ac:dyDescent="0.25">
      <c r="A789" s="3"/>
      <c r="C789" s="4"/>
      <c r="D789" s="181"/>
      <c r="E789" s="91" t="str">
        <f t="shared" si="116"/>
        <v>Youngstown</v>
      </c>
      <c r="F789" s="93" t="str">
        <f t="shared" si="117"/>
        <v>CP082</v>
      </c>
      <c r="G789" s="99" t="str">
        <f t="shared" si="118"/>
        <v>CP082-NEW DONOR -4th</v>
      </c>
      <c r="H789" s="182"/>
      <c r="I789" s="34" t="s">
        <v>40</v>
      </c>
      <c r="J789" s="58">
        <v>100</v>
      </c>
      <c r="K789" s="62">
        <v>100</v>
      </c>
      <c r="L789" s="58">
        <v>100</v>
      </c>
      <c r="M789" s="58">
        <v>100</v>
      </c>
      <c r="N789" s="58">
        <v>100</v>
      </c>
      <c r="O789" s="58">
        <v>100</v>
      </c>
      <c r="P789" s="58">
        <v>100</v>
      </c>
      <c r="Q789" s="58">
        <v>100</v>
      </c>
      <c r="R789" s="23"/>
      <c r="S789" s="117" t="str">
        <f t="shared" si="114"/>
        <v>N</v>
      </c>
      <c r="T789" s="114">
        <f>IFERROR(SUMIF('Current NLData'!A:A,'Payment Changes'!G789,'Current NLData'!K:K)/COUNTIF('Current NLData'!A:A,'Payment Changes'!G789),0)+IFERROR(VLOOKUP(G789&amp;"-ALL",NLPaymentExport,10,FALSE),0)</f>
        <v>100</v>
      </c>
      <c r="U789" s="118">
        <f t="shared" si="115"/>
        <v>0</v>
      </c>
    </row>
    <row r="790" spans="1:54" ht="17.100000000000001" hidden="1" customHeight="1" outlineLevel="1" x14ac:dyDescent="0.25">
      <c r="A790" s="3"/>
      <c r="C790" s="4"/>
      <c r="D790" s="181"/>
      <c r="E790" s="91" t="str">
        <f t="shared" si="116"/>
        <v>Youngstown</v>
      </c>
      <c r="F790" s="93" t="str">
        <f t="shared" si="117"/>
        <v>CP082</v>
      </c>
      <c r="G790" s="99" t="str">
        <f t="shared" si="118"/>
        <v>CP082-NEW DONOR -5th</v>
      </c>
      <c r="H790" s="182"/>
      <c r="I790" s="34" t="s">
        <v>41</v>
      </c>
      <c r="J790" s="58">
        <v>60</v>
      </c>
      <c r="K790" s="62">
        <v>50</v>
      </c>
      <c r="L790" s="58">
        <v>45</v>
      </c>
      <c r="M790" s="58">
        <v>100</v>
      </c>
      <c r="N790" s="58">
        <v>100</v>
      </c>
      <c r="O790" s="58">
        <v>100</v>
      </c>
      <c r="P790" s="58">
        <v>100</v>
      </c>
      <c r="Q790" s="58">
        <v>100</v>
      </c>
      <c r="R790" s="23"/>
      <c r="S790" s="117" t="str">
        <f t="shared" si="114"/>
        <v>N</v>
      </c>
      <c r="T790" s="114">
        <f>IFERROR(SUMIF('Current NLData'!A:A,'Payment Changes'!G790,'Current NLData'!K:K)/COUNTIF('Current NLData'!A:A,'Payment Changes'!G790),0)+IFERROR(VLOOKUP(G790&amp;"-ALL",NLPaymentExport,10,FALSE),0)</f>
        <v>100</v>
      </c>
      <c r="U790" s="118">
        <f t="shared" si="115"/>
        <v>0</v>
      </c>
    </row>
    <row r="791" spans="1:54" ht="17.100000000000001" hidden="1" customHeight="1" outlineLevel="1" x14ac:dyDescent="0.25">
      <c r="A791" s="3"/>
      <c r="C791" s="4"/>
      <c r="D791" s="181"/>
      <c r="E791" s="91" t="str">
        <f t="shared" si="116"/>
        <v>Youngstown</v>
      </c>
      <c r="F791" s="93" t="str">
        <f t="shared" si="117"/>
        <v>CP082</v>
      </c>
      <c r="G791" s="99" t="str">
        <f t="shared" si="118"/>
        <v>CP082-NEW DONOR -6th</v>
      </c>
      <c r="H791" s="182"/>
      <c r="I791" s="34" t="s">
        <v>42</v>
      </c>
      <c r="J791" s="58">
        <v>60</v>
      </c>
      <c r="K791" s="62">
        <v>70</v>
      </c>
      <c r="L791" s="58">
        <v>45</v>
      </c>
      <c r="M791" s="58">
        <v>45</v>
      </c>
      <c r="N791" s="58">
        <v>45</v>
      </c>
      <c r="O791" s="58">
        <v>45</v>
      </c>
      <c r="P791" s="58">
        <v>45</v>
      </c>
      <c r="Q791" s="58">
        <v>45</v>
      </c>
      <c r="R791" s="23"/>
      <c r="S791" s="117" t="str">
        <f t="shared" si="114"/>
        <v>N</v>
      </c>
      <c r="T791" s="114">
        <f>IFERROR(SUMIF('Current NLData'!A:A,'Payment Changes'!G791,'Current NLData'!K:K)/COUNTIF('Current NLData'!A:A,'Payment Changes'!G791),0)+IFERROR(VLOOKUP(G791&amp;"-ALL",NLPaymentExport,10,FALSE),0)</f>
        <v>45</v>
      </c>
      <c r="U791" s="118">
        <f t="shared" si="115"/>
        <v>0</v>
      </c>
    </row>
    <row r="792" spans="1:54" ht="17.100000000000001" hidden="1" customHeight="1" outlineLevel="1" x14ac:dyDescent="0.25">
      <c r="A792" s="3"/>
      <c r="C792" s="4"/>
      <c r="D792" s="181"/>
      <c r="E792" s="91" t="str">
        <f t="shared" si="116"/>
        <v>Youngstown</v>
      </c>
      <c r="F792" s="93" t="str">
        <f t="shared" si="117"/>
        <v>CP082</v>
      </c>
      <c r="G792" s="99" t="str">
        <f t="shared" si="118"/>
        <v>CP082-NEW DONOR -7th</v>
      </c>
      <c r="H792" s="182"/>
      <c r="I792" s="34" t="s">
        <v>43</v>
      </c>
      <c r="J792" s="58">
        <v>60</v>
      </c>
      <c r="K792" s="62">
        <v>50</v>
      </c>
      <c r="L792" s="58">
        <v>45</v>
      </c>
      <c r="M792" s="58">
        <v>45</v>
      </c>
      <c r="N792" s="58">
        <v>45</v>
      </c>
      <c r="O792" s="58">
        <v>45</v>
      </c>
      <c r="P792" s="58">
        <v>45</v>
      </c>
      <c r="Q792" s="58">
        <v>45</v>
      </c>
      <c r="R792" s="23"/>
      <c r="S792" s="117" t="str">
        <f t="shared" si="114"/>
        <v>N</v>
      </c>
      <c r="T792" s="114">
        <f>IFERROR(SUMIF('Current NLData'!A:A,'Payment Changes'!G792,'Current NLData'!K:K)/COUNTIF('Current NLData'!A:A,'Payment Changes'!G792),0)+IFERROR(VLOOKUP(G792&amp;"-ALL",NLPaymentExport,10,FALSE),0)</f>
        <v>45</v>
      </c>
      <c r="U792" s="118">
        <f t="shared" si="115"/>
        <v>0</v>
      </c>
    </row>
    <row r="793" spans="1:54" ht="17.100000000000001" hidden="1" customHeight="1" outlineLevel="1" x14ac:dyDescent="0.25">
      <c r="A793" s="3"/>
      <c r="C793" s="4"/>
      <c r="D793" s="181"/>
      <c r="E793" s="91" t="str">
        <f t="shared" si="116"/>
        <v>Youngstown</v>
      </c>
      <c r="F793" s="93" t="str">
        <f t="shared" si="117"/>
        <v>CP082</v>
      </c>
      <c r="G793" s="99" t="str">
        <f t="shared" si="118"/>
        <v>CP082-NEW DONOR -8th</v>
      </c>
      <c r="H793" s="182"/>
      <c r="I793" s="35" t="s">
        <v>44</v>
      </c>
      <c r="J793" s="63">
        <v>60</v>
      </c>
      <c r="K793" s="64">
        <v>70</v>
      </c>
      <c r="L793" s="63">
        <v>45</v>
      </c>
      <c r="M793" s="63">
        <v>45</v>
      </c>
      <c r="N793" s="63">
        <v>45</v>
      </c>
      <c r="O793" s="63">
        <v>45</v>
      </c>
      <c r="P793" s="63">
        <v>45</v>
      </c>
      <c r="Q793" s="63">
        <v>45</v>
      </c>
      <c r="R793" s="23"/>
      <c r="S793" s="117" t="str">
        <f t="shared" si="114"/>
        <v>N</v>
      </c>
      <c r="T793" s="114">
        <f>IFERROR(SUMIF('Current NLData'!A:A,'Payment Changes'!G793,'Current NLData'!K:K)/COUNTIF('Current NLData'!A:A,'Payment Changes'!G793),0)+IFERROR(VLOOKUP(G793&amp;"-ALL",NLPaymentExport,10,FALSE),0)</f>
        <v>45</v>
      </c>
      <c r="U793" s="118">
        <f t="shared" si="115"/>
        <v>0</v>
      </c>
    </row>
    <row r="794" spans="1:54" ht="17.100000000000001" hidden="1" customHeight="1" outlineLevel="1" x14ac:dyDescent="0.25">
      <c r="A794" s="3"/>
      <c r="C794" s="4"/>
      <c r="D794" s="181"/>
      <c r="E794" s="91" t="str">
        <f t="shared" si="116"/>
        <v>Youngstown</v>
      </c>
      <c r="F794" s="93" t="str">
        <f t="shared" si="117"/>
        <v>CP082</v>
      </c>
      <c r="G794" s="99" t="str">
        <f t="shared" si="118"/>
        <v>CP082-RETURN - 1st don of the week -STD</v>
      </c>
      <c r="H794" s="182"/>
      <c r="I794" s="36" t="s">
        <v>45</v>
      </c>
      <c r="J794" s="58">
        <v>60</v>
      </c>
      <c r="K794" s="62">
        <v>50</v>
      </c>
      <c r="L794" s="58">
        <v>45</v>
      </c>
      <c r="M794" s="58">
        <v>45</v>
      </c>
      <c r="N794" s="58">
        <v>45</v>
      </c>
      <c r="O794" s="58">
        <v>45</v>
      </c>
      <c r="P794" s="58">
        <v>45</v>
      </c>
      <c r="Q794" s="58">
        <v>45</v>
      </c>
      <c r="R794" s="23"/>
      <c r="S794" s="117" t="str">
        <f t="shared" si="114"/>
        <v>N</v>
      </c>
      <c r="T794" s="114">
        <f>IFERROR(SUMIF('Current NLData'!A:A,'Payment Changes'!G794,'Current NLData'!K:K)/COUNTIF('Current NLData'!A:A,'Payment Changes'!G794),0)+IFERROR(VLOOKUP(G794&amp;"-ALL",NLPaymentExport,10,FALSE),0)</f>
        <v>45</v>
      </c>
      <c r="U794" s="118">
        <f t="shared" si="115"/>
        <v>0</v>
      </c>
    </row>
    <row r="795" spans="1:54" ht="17.100000000000001" hidden="1" customHeight="1" outlineLevel="1" x14ac:dyDescent="0.25">
      <c r="A795" s="3"/>
      <c r="C795" s="4"/>
      <c r="D795" s="181"/>
      <c r="E795" s="91" t="str">
        <f t="shared" si="116"/>
        <v>Youngstown</v>
      </c>
      <c r="F795" s="93" t="str">
        <f t="shared" si="117"/>
        <v>CP082</v>
      </c>
      <c r="G795" s="99" t="str">
        <f t="shared" si="118"/>
        <v>CP082-RETURN - 2nd don of the week -BONUS</v>
      </c>
      <c r="H795" s="182"/>
      <c r="I795" s="36" t="s">
        <v>46</v>
      </c>
      <c r="J795" s="58">
        <v>10</v>
      </c>
      <c r="K795" s="62">
        <v>20</v>
      </c>
      <c r="L795" s="58">
        <v>25</v>
      </c>
      <c r="M795" s="58">
        <v>25</v>
      </c>
      <c r="N795" s="58">
        <v>25</v>
      </c>
      <c r="O795" s="58">
        <v>25</v>
      </c>
      <c r="P795" s="58">
        <v>25</v>
      </c>
      <c r="Q795" s="58">
        <v>25</v>
      </c>
      <c r="R795" s="23"/>
      <c r="S795" s="117" t="str">
        <f t="shared" si="114"/>
        <v>N</v>
      </c>
      <c r="T795" s="114">
        <f>IFERROR(SUMIF('Current NLData'!A:A,'Payment Changes'!G795,'Current NLData'!K:K)/COUNTIF('Current NLData'!A:A,'Payment Changes'!G795),0)+IFERROR(VLOOKUP(G795&amp;"-ALL",NLPaymentExport,10,FALSE),0)</f>
        <v>25</v>
      </c>
      <c r="U795" s="118">
        <f t="shared" si="115"/>
        <v>0</v>
      </c>
    </row>
    <row r="796" spans="1:54" ht="17.100000000000001" hidden="1" customHeight="1" outlineLevel="1" x14ac:dyDescent="0.25">
      <c r="A796" s="3"/>
      <c r="C796" s="4"/>
      <c r="D796" s="181"/>
      <c r="E796" s="91" t="str">
        <f t="shared" si="116"/>
        <v>Youngstown</v>
      </c>
      <c r="F796" s="93" t="str">
        <f t="shared" si="117"/>
        <v>CP082</v>
      </c>
      <c r="G796" s="99" t="str">
        <f t="shared" si="118"/>
        <v>CP082-RETURN - 5th don of the month -BONUS</v>
      </c>
      <c r="H796" s="182"/>
      <c r="I796" s="37" t="s">
        <v>47</v>
      </c>
      <c r="J796" s="65">
        <v>0</v>
      </c>
      <c r="K796" s="65">
        <v>0</v>
      </c>
      <c r="L796" s="65">
        <v>0</v>
      </c>
      <c r="M796" s="65">
        <v>0</v>
      </c>
      <c r="N796" s="65">
        <v>0</v>
      </c>
      <c r="O796" s="65">
        <v>0</v>
      </c>
      <c r="P796" s="65">
        <v>0</v>
      </c>
      <c r="Q796" s="65">
        <v>0</v>
      </c>
      <c r="R796" s="22"/>
      <c r="S796" s="117" t="str">
        <f t="shared" si="114"/>
        <v>N</v>
      </c>
      <c r="T796" s="114">
        <f>IFERROR(SUMIF('Current NLData'!A:A,'Payment Changes'!G796,'Current NLData'!K:K)/COUNTIF('Current NLData'!A:A,'Payment Changes'!G796),0)+IFERROR(VLOOKUP(G796&amp;"-ALL",NLPaymentExport,10,FALSE),0)</f>
        <v>0</v>
      </c>
      <c r="U796" s="118">
        <f t="shared" si="115"/>
        <v>0</v>
      </c>
    </row>
    <row r="797" spans="1:54" ht="17.100000000000001" hidden="1" customHeight="1" outlineLevel="1" x14ac:dyDescent="0.25">
      <c r="A797" s="3"/>
      <c r="C797" s="4"/>
      <c r="D797" s="181"/>
      <c r="E797" s="91" t="str">
        <f t="shared" si="116"/>
        <v>Youngstown</v>
      </c>
      <c r="F797" s="93" t="str">
        <f t="shared" si="117"/>
        <v>CP082</v>
      </c>
      <c r="G797" s="99" t="str">
        <f t="shared" si="118"/>
        <v>CP082-RETURN - 6th don of the month -BONUS</v>
      </c>
      <c r="H797" s="182"/>
      <c r="I797" s="38" t="s">
        <v>48</v>
      </c>
      <c r="J797" s="58">
        <v>25</v>
      </c>
      <c r="K797" s="58">
        <v>25</v>
      </c>
      <c r="L797" s="58">
        <v>25</v>
      </c>
      <c r="M797" s="58">
        <v>30</v>
      </c>
      <c r="N797" s="58">
        <v>30</v>
      </c>
      <c r="O797" s="58">
        <v>30</v>
      </c>
      <c r="P797" s="58">
        <v>30</v>
      </c>
      <c r="Q797" s="58">
        <v>30</v>
      </c>
      <c r="R797" s="22"/>
      <c r="S797" s="117" t="str">
        <f t="shared" si="114"/>
        <v>N</v>
      </c>
      <c r="T797" s="114">
        <f>IFERROR(SUMIF('Current NLData'!A:A,'Payment Changes'!G797,'Current NLData'!K:K)/COUNTIF('Current NLData'!A:A,'Payment Changes'!G797),0)+IFERROR(VLOOKUP(G797&amp;"-ALL",NLPaymentExport,10,FALSE),0)</f>
        <v>30</v>
      </c>
      <c r="U797" s="118">
        <f t="shared" si="115"/>
        <v>0</v>
      </c>
    </row>
    <row r="798" spans="1:54" ht="17.100000000000001" hidden="1" customHeight="1" outlineLevel="1" x14ac:dyDescent="0.25">
      <c r="A798" s="3"/>
      <c r="C798" s="4"/>
      <c r="D798" s="181"/>
      <c r="E798" s="91" t="str">
        <f t="shared" si="116"/>
        <v>Youngstown</v>
      </c>
      <c r="F798" s="93" t="str">
        <f t="shared" si="117"/>
        <v>CP082</v>
      </c>
      <c r="G798" s="99" t="str">
        <f t="shared" si="118"/>
        <v>CP082-RETURN - 7th don of the month -BONUS</v>
      </c>
      <c r="H798" s="182"/>
      <c r="I798" s="38" t="s">
        <v>49</v>
      </c>
      <c r="J798" s="58">
        <v>0</v>
      </c>
      <c r="K798" s="58">
        <v>0</v>
      </c>
      <c r="L798" s="58">
        <v>0</v>
      </c>
      <c r="M798" s="58">
        <v>0</v>
      </c>
      <c r="N798" s="58">
        <v>0</v>
      </c>
      <c r="O798" s="58">
        <v>0</v>
      </c>
      <c r="P798" s="58">
        <v>0</v>
      </c>
      <c r="Q798" s="58">
        <v>0</v>
      </c>
      <c r="R798" s="22"/>
      <c r="S798" s="117" t="str">
        <f t="shared" si="114"/>
        <v>N</v>
      </c>
      <c r="T798" s="114">
        <f>IFERROR(SUMIF('Current NLData'!A:A,'Payment Changes'!G798,'Current NLData'!K:K)/COUNTIF('Current NLData'!A:A,'Payment Changes'!G798),0)+IFERROR(VLOOKUP(G798&amp;"-ALL",NLPaymentExport,10,FALSE),0)</f>
        <v>0</v>
      </c>
      <c r="U798" s="118">
        <f t="shared" si="115"/>
        <v>0</v>
      </c>
    </row>
    <row r="799" spans="1:54" ht="17.100000000000001" hidden="1" customHeight="1" outlineLevel="1" x14ac:dyDescent="0.25">
      <c r="A799" s="3"/>
      <c r="C799" s="4"/>
      <c r="D799" s="181"/>
      <c r="E799" s="91" t="str">
        <f t="shared" si="116"/>
        <v>Youngstown</v>
      </c>
      <c r="F799" s="93" t="str">
        <f t="shared" si="117"/>
        <v>CP082</v>
      </c>
      <c r="G799" s="99" t="str">
        <f t="shared" si="118"/>
        <v>CP082-RETURN - 8th don of the month -BONUS</v>
      </c>
      <c r="H799" s="182"/>
      <c r="I799" s="38" t="s">
        <v>50</v>
      </c>
      <c r="J799" s="58">
        <v>0</v>
      </c>
      <c r="K799" s="58">
        <v>0</v>
      </c>
      <c r="L799" s="58">
        <v>0</v>
      </c>
      <c r="M799" s="58">
        <v>0</v>
      </c>
      <c r="N799" s="58">
        <v>0</v>
      </c>
      <c r="O799" s="58">
        <v>0</v>
      </c>
      <c r="P799" s="58">
        <v>0</v>
      </c>
      <c r="Q799" s="58">
        <v>0</v>
      </c>
      <c r="R799" s="22"/>
      <c r="S799" s="117" t="str">
        <f t="shared" si="114"/>
        <v>N</v>
      </c>
      <c r="T799" s="114">
        <f>IFERROR(SUMIF('Current NLData'!A:A,'Payment Changes'!G799,'Current NLData'!K:K)/COUNTIF('Current NLData'!A:A,'Payment Changes'!G799),0)+IFERROR(VLOOKUP(G799&amp;"-ALL",NLPaymentExport,10,FALSE),0)</f>
        <v>0</v>
      </c>
      <c r="U799" s="118">
        <f t="shared" si="115"/>
        <v>0</v>
      </c>
    </row>
    <row r="800" spans="1:54" ht="17.100000000000001" hidden="1" customHeight="1" outlineLevel="1" x14ac:dyDescent="0.25">
      <c r="A800" s="3"/>
      <c r="C800" s="4" t="str">
        <f>IF(J800=0,"Warning","")</f>
        <v/>
      </c>
      <c r="D800" s="181"/>
      <c r="E800" s="91" t="str">
        <f t="shared" si="116"/>
        <v>Youngstown</v>
      </c>
      <c r="F800" s="93" t="str">
        <f t="shared" si="117"/>
        <v>CP082</v>
      </c>
      <c r="G800" s="99" t="str">
        <f t="shared" si="118"/>
        <v>CP082-RETURN - Buddy referral  -BONUS</v>
      </c>
      <c r="H800" s="182"/>
      <c r="I800" s="39" t="s">
        <v>51</v>
      </c>
      <c r="J800" s="58">
        <v>50</v>
      </c>
      <c r="K800" s="58">
        <v>50</v>
      </c>
      <c r="L800" s="58">
        <v>0</v>
      </c>
      <c r="M800" s="58">
        <v>50</v>
      </c>
      <c r="N800" s="58">
        <v>50</v>
      </c>
      <c r="O800" s="58">
        <v>50</v>
      </c>
      <c r="P800" s="58">
        <v>50</v>
      </c>
      <c r="Q800" s="58">
        <v>50</v>
      </c>
      <c r="R800" s="22"/>
      <c r="S800" s="117" t="str">
        <f t="shared" si="114"/>
        <v>N</v>
      </c>
      <c r="T800" s="114">
        <f>IFERROR(SUMIF('Current NLData'!A:A,'Payment Changes'!G800,'Current NLData'!K:K)/COUNTIF('Current NLData'!A:A,'Payment Changes'!G800),0)+IFERROR(VLOOKUP(G800&amp;"-ALL",NLPaymentExport,10,FALSE),0)</f>
        <v>50</v>
      </c>
      <c r="U800" s="118">
        <f t="shared" si="115"/>
        <v>0</v>
      </c>
    </row>
    <row r="801" spans="1:54" s="90" customFormat="1" ht="17.100000000000001" hidden="1" customHeight="1" collapsed="1" x14ac:dyDescent="0.35">
      <c r="A801" s="85"/>
      <c r="B801" s="85"/>
      <c r="C801" s="86"/>
      <c r="D801" s="87"/>
      <c r="E801" s="87"/>
      <c r="F801" s="87"/>
      <c r="G801" s="87"/>
      <c r="H801" s="96"/>
      <c r="I801" s="88"/>
      <c r="J801" s="89"/>
      <c r="K801" s="89"/>
      <c r="L801" s="89"/>
      <c r="M801" s="89"/>
      <c r="N801" s="89"/>
      <c r="O801" s="89"/>
      <c r="P801" s="89"/>
      <c r="Q801" s="89"/>
      <c r="R801" s="21"/>
      <c r="S801" s="117" t="str">
        <f t="shared" si="114"/>
        <v>N</v>
      </c>
      <c r="T801" s="114">
        <f>IFERROR(SUMIF('Current NLData'!A:A,'Payment Changes'!G801,'Current NLData'!K:K)/COUNTIF('Current NLData'!A:A,'Payment Changes'!G801),0)+IFERROR(VLOOKUP(G801&amp;"-ALL",NLPaymentExport,10,FALSE),0)</f>
        <v>0</v>
      </c>
      <c r="U801" s="118" t="str">
        <f t="shared" si="115"/>
        <v/>
      </c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1:54" s="10" customFormat="1" ht="17.100000000000001" hidden="1" customHeight="1" x14ac:dyDescent="0.25">
      <c r="A802" s="165">
        <v>41</v>
      </c>
      <c r="B802" s="168" t="s">
        <v>269</v>
      </c>
      <c r="C802" s="171" t="s">
        <v>19</v>
      </c>
      <c r="D802" s="174" t="s">
        <v>157</v>
      </c>
      <c r="E802" s="106" t="str">
        <f t="shared" si="116"/>
        <v>Amarillo</v>
      </c>
      <c r="F802" s="107" t="s">
        <v>270</v>
      </c>
      <c r="G802" s="108" t="str">
        <f t="shared" ref="G802:G820" si="119">F802&amp;"-"&amp;I802</f>
        <v>CP893-New Donor</v>
      </c>
      <c r="H802" s="177" t="s">
        <v>75</v>
      </c>
      <c r="I802" s="76" t="s">
        <v>23</v>
      </c>
      <c r="J802" s="40" t="s">
        <v>232</v>
      </c>
      <c r="K802" s="41" t="s">
        <v>271</v>
      </c>
      <c r="L802" s="41" t="s">
        <v>232</v>
      </c>
      <c r="M802" s="41" t="s">
        <v>272</v>
      </c>
      <c r="N802" s="40" t="s">
        <v>272</v>
      </c>
      <c r="O802" s="40" t="s">
        <v>272</v>
      </c>
      <c r="P802" s="40" t="s">
        <v>272</v>
      </c>
      <c r="Q802" s="40" t="s">
        <v>272</v>
      </c>
      <c r="R802" s="109"/>
      <c r="S802" s="117" t="str">
        <f t="shared" si="114"/>
        <v>N</v>
      </c>
      <c r="T802" s="114">
        <f>IFERROR(SUMIF('Current NLData'!A:A,'Payment Changes'!G802,'Current NLData'!K:K)/COUNTIF('Current NLData'!A:A,'Payment Changes'!G802),0)+IFERROR(VLOOKUP(G802&amp;"-ALL",NLPaymentExport,10,FALSE),0)</f>
        <v>0</v>
      </c>
      <c r="U802" s="118" t="str">
        <f t="shared" si="115"/>
        <v/>
      </c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1:54" ht="17.100000000000001" hidden="1" customHeight="1" x14ac:dyDescent="0.25">
      <c r="A803" s="166"/>
      <c r="B803" s="169"/>
      <c r="C803" s="172"/>
      <c r="D803" s="175"/>
      <c r="E803" s="91" t="str">
        <f t="shared" si="116"/>
        <v>Amarillo</v>
      </c>
      <c r="F803" s="92" t="s">
        <v>270</v>
      </c>
      <c r="G803" s="98" t="str">
        <f t="shared" si="119"/>
        <v>CP893-Return Donor</v>
      </c>
      <c r="H803" s="178"/>
      <c r="I803" s="77" t="s">
        <v>29</v>
      </c>
      <c r="J803" s="43" t="s">
        <v>205</v>
      </c>
      <c r="K803" s="43" t="s">
        <v>205</v>
      </c>
      <c r="L803" s="44" t="s">
        <v>222</v>
      </c>
      <c r="M803" s="45" t="s">
        <v>222</v>
      </c>
      <c r="N803" s="43" t="s">
        <v>222</v>
      </c>
      <c r="O803" s="43" t="s">
        <v>222</v>
      </c>
      <c r="P803" s="43" t="s">
        <v>222</v>
      </c>
      <c r="Q803" s="43" t="s">
        <v>222</v>
      </c>
      <c r="R803" s="21"/>
      <c r="S803" s="117" t="str">
        <f t="shared" si="114"/>
        <v>N</v>
      </c>
      <c r="T803" s="114">
        <f>IFERROR(SUMIF('Current NLData'!A:A,'Payment Changes'!G803,'Current NLData'!K:K)/COUNTIF('Current NLData'!A:A,'Payment Changes'!G803),0)+IFERROR(VLOOKUP(G803&amp;"-ALL",NLPaymentExport,10,FALSE),0)</f>
        <v>0</v>
      </c>
      <c r="U803" s="118" t="str">
        <f t="shared" si="115"/>
        <v/>
      </c>
    </row>
    <row r="804" spans="1:54" ht="17.100000000000001" hidden="1" customHeight="1" x14ac:dyDescent="0.25">
      <c r="A804" s="166"/>
      <c r="B804" s="169"/>
      <c r="C804" s="172"/>
      <c r="D804" s="175"/>
      <c r="E804" s="91" t="str">
        <f t="shared" si="116"/>
        <v>Amarillo</v>
      </c>
      <c r="F804" s="92" t="s">
        <v>270</v>
      </c>
      <c r="G804" s="98" t="str">
        <f t="shared" si="119"/>
        <v>CP893-Retention Bonus</v>
      </c>
      <c r="H804" s="178"/>
      <c r="I804" s="78" t="s">
        <v>30</v>
      </c>
      <c r="J804" s="46" t="s">
        <v>215</v>
      </c>
      <c r="K804" s="46" t="s">
        <v>215</v>
      </c>
      <c r="L804" s="47" t="s">
        <v>33</v>
      </c>
      <c r="M804" s="48" t="s">
        <v>33</v>
      </c>
      <c r="N804" s="46" t="s">
        <v>33</v>
      </c>
      <c r="O804" s="46" t="s">
        <v>33</v>
      </c>
      <c r="P804" s="46" t="s">
        <v>33</v>
      </c>
      <c r="Q804" s="46" t="s">
        <v>33</v>
      </c>
      <c r="R804" s="21"/>
      <c r="S804" s="117" t="str">
        <f t="shared" si="114"/>
        <v>N</v>
      </c>
      <c r="T804" s="114">
        <f>IFERROR(SUMIF('Current NLData'!A:A,'Payment Changes'!G804,'Current NLData'!K:K)/COUNTIF('Current NLData'!A:A,'Payment Changes'!G804),0)+IFERROR(VLOOKUP(G804&amp;"-ALL",NLPaymentExport,10,FALSE),0)</f>
        <v>0</v>
      </c>
      <c r="U804" s="118" t="str">
        <f t="shared" si="115"/>
        <v/>
      </c>
    </row>
    <row r="805" spans="1:54" s="15" customFormat="1" ht="17.100000000000001" hidden="1" customHeight="1" x14ac:dyDescent="0.25">
      <c r="A805" s="167"/>
      <c r="B805" s="170"/>
      <c r="C805" s="173"/>
      <c r="D805" s="176"/>
      <c r="E805" s="110" t="str">
        <f t="shared" si="116"/>
        <v>Amarillo</v>
      </c>
      <c r="F805" s="111" t="s">
        <v>270</v>
      </c>
      <c r="G805" s="112" t="str">
        <f t="shared" si="119"/>
        <v>CP893-Referral</v>
      </c>
      <c r="H805" s="179"/>
      <c r="I805" s="79" t="s">
        <v>34</v>
      </c>
      <c r="J805" s="49">
        <v>50</v>
      </c>
      <c r="K805" s="49">
        <v>50</v>
      </c>
      <c r="L805" s="50" t="s">
        <v>35</v>
      </c>
      <c r="M805" s="51" t="s">
        <v>35</v>
      </c>
      <c r="N805" s="49" t="s">
        <v>35</v>
      </c>
      <c r="O805" s="49" t="s">
        <v>35</v>
      </c>
      <c r="P805" s="49" t="s">
        <v>35</v>
      </c>
      <c r="Q805" s="49" t="s">
        <v>35</v>
      </c>
      <c r="R805" s="113"/>
      <c r="S805" s="117" t="str">
        <f t="shared" si="114"/>
        <v>N</v>
      </c>
      <c r="T805" s="114">
        <f>IFERROR(SUMIF('Current NLData'!A:A,'Payment Changes'!G805,'Current NLData'!K:K)/COUNTIF('Current NLData'!A:A,'Payment Changes'!G805),0)+IFERROR(VLOOKUP(G805&amp;"-ALL",NLPaymentExport,10,FALSE),0)</f>
        <v>0</v>
      </c>
      <c r="U805" s="118" t="str">
        <f t="shared" si="115"/>
        <v/>
      </c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1:54" ht="17.100000000000001" hidden="1" customHeight="1" outlineLevel="1" x14ac:dyDescent="0.25">
      <c r="A806" s="3"/>
      <c r="C806" s="4"/>
      <c r="D806" s="180" t="s">
        <v>270</v>
      </c>
      <c r="E806" s="91" t="str">
        <f t="shared" si="116"/>
        <v>Amarillo</v>
      </c>
      <c r="F806" s="93" t="str">
        <f t="shared" si="117"/>
        <v>CP893</v>
      </c>
      <c r="G806" s="99" t="str">
        <f t="shared" si="119"/>
        <v>CP893-NEW DONOR -1st</v>
      </c>
      <c r="H806" s="182" t="s">
        <v>36</v>
      </c>
      <c r="I806" s="33" t="s">
        <v>37</v>
      </c>
      <c r="J806" s="60">
        <v>100</v>
      </c>
      <c r="K806" s="61">
        <v>100</v>
      </c>
      <c r="L806" s="60">
        <v>100</v>
      </c>
      <c r="M806" s="60">
        <v>100</v>
      </c>
      <c r="N806" s="60">
        <v>100</v>
      </c>
      <c r="O806" s="60">
        <v>100</v>
      </c>
      <c r="P806" s="60">
        <v>100</v>
      </c>
      <c r="Q806" s="60">
        <v>100</v>
      </c>
      <c r="R806" s="23"/>
      <c r="S806" s="117" t="str">
        <f t="shared" si="114"/>
        <v>N</v>
      </c>
      <c r="T806" s="114">
        <f>IFERROR(SUMIF('Current NLData'!A:A,'Payment Changes'!G806,'Current NLData'!K:K)/COUNTIF('Current NLData'!A:A,'Payment Changes'!G806),0)+IFERROR(VLOOKUP(G806&amp;"-ALL",NLPaymentExport,10,FALSE),0)</f>
        <v>100</v>
      </c>
      <c r="U806" s="118">
        <f t="shared" si="115"/>
        <v>0</v>
      </c>
    </row>
    <row r="807" spans="1:54" ht="17.100000000000001" hidden="1" customHeight="1" outlineLevel="1" x14ac:dyDescent="0.25">
      <c r="A807" s="3"/>
      <c r="C807" s="4"/>
      <c r="D807" s="181"/>
      <c r="E807" s="91" t="str">
        <f t="shared" si="116"/>
        <v>Amarillo</v>
      </c>
      <c r="F807" s="93" t="str">
        <f t="shared" si="117"/>
        <v>CP893</v>
      </c>
      <c r="G807" s="99" t="str">
        <f t="shared" si="119"/>
        <v>CP893-NEW DONOR -2nd</v>
      </c>
      <c r="H807" s="182"/>
      <c r="I807" s="34" t="s">
        <v>38</v>
      </c>
      <c r="J807" s="58">
        <v>100</v>
      </c>
      <c r="K807" s="62">
        <v>100</v>
      </c>
      <c r="L807" s="58">
        <v>100</v>
      </c>
      <c r="M807" s="58">
        <v>100</v>
      </c>
      <c r="N807" s="58">
        <v>100</v>
      </c>
      <c r="O807" s="58">
        <v>100</v>
      </c>
      <c r="P807" s="58">
        <v>100</v>
      </c>
      <c r="Q807" s="58">
        <v>100</v>
      </c>
      <c r="R807" s="23"/>
      <c r="S807" s="117" t="str">
        <f t="shared" si="114"/>
        <v>N</v>
      </c>
      <c r="T807" s="114">
        <f>IFERROR(SUMIF('Current NLData'!A:A,'Payment Changes'!G807,'Current NLData'!K:K)/COUNTIF('Current NLData'!A:A,'Payment Changes'!G807),0)+IFERROR(VLOOKUP(G807&amp;"-ALL",NLPaymentExport,10,FALSE),0)</f>
        <v>100</v>
      </c>
      <c r="U807" s="118">
        <f t="shared" si="115"/>
        <v>0</v>
      </c>
    </row>
    <row r="808" spans="1:54" ht="17.100000000000001" hidden="1" customHeight="1" outlineLevel="1" x14ac:dyDescent="0.25">
      <c r="A808" s="3"/>
      <c r="C808" s="4"/>
      <c r="D808" s="181"/>
      <c r="E808" s="91" t="str">
        <f t="shared" si="116"/>
        <v>Amarillo</v>
      </c>
      <c r="F808" s="93" t="str">
        <f t="shared" si="117"/>
        <v>CP893</v>
      </c>
      <c r="G808" s="99" t="str">
        <f t="shared" si="119"/>
        <v>CP893-NEW DONOR -3rd</v>
      </c>
      <c r="H808" s="182"/>
      <c r="I808" s="34" t="s">
        <v>39</v>
      </c>
      <c r="J808" s="58">
        <v>100</v>
      </c>
      <c r="K808" s="62">
        <v>100</v>
      </c>
      <c r="L808" s="58">
        <v>100</v>
      </c>
      <c r="M808" s="58">
        <v>100</v>
      </c>
      <c r="N808" s="58">
        <v>100</v>
      </c>
      <c r="O808" s="58">
        <v>100</v>
      </c>
      <c r="P808" s="58">
        <v>100</v>
      </c>
      <c r="Q808" s="58">
        <v>100</v>
      </c>
      <c r="R808" s="23"/>
      <c r="S808" s="117" t="str">
        <f t="shared" si="114"/>
        <v>N</v>
      </c>
      <c r="T808" s="114">
        <f>IFERROR(SUMIF('Current NLData'!A:A,'Payment Changes'!G808,'Current NLData'!K:K)/COUNTIF('Current NLData'!A:A,'Payment Changes'!G808),0)+IFERROR(VLOOKUP(G808&amp;"-ALL",NLPaymentExport,10,FALSE),0)</f>
        <v>100</v>
      </c>
      <c r="U808" s="118">
        <f t="shared" si="115"/>
        <v>0</v>
      </c>
    </row>
    <row r="809" spans="1:54" ht="17.100000000000001" hidden="1" customHeight="1" outlineLevel="1" x14ac:dyDescent="0.25">
      <c r="A809" s="3"/>
      <c r="C809" s="4"/>
      <c r="D809" s="181"/>
      <c r="E809" s="91" t="str">
        <f t="shared" si="116"/>
        <v>Amarillo</v>
      </c>
      <c r="F809" s="93" t="str">
        <f t="shared" si="117"/>
        <v>CP893</v>
      </c>
      <c r="G809" s="99" t="str">
        <f t="shared" si="119"/>
        <v>CP893-NEW DONOR -4th</v>
      </c>
      <c r="H809" s="182"/>
      <c r="I809" s="34" t="s">
        <v>40</v>
      </c>
      <c r="J809" s="58">
        <v>100</v>
      </c>
      <c r="K809" s="62">
        <v>100</v>
      </c>
      <c r="L809" s="58">
        <v>100</v>
      </c>
      <c r="M809" s="58">
        <v>100</v>
      </c>
      <c r="N809" s="58">
        <v>100</v>
      </c>
      <c r="O809" s="58">
        <v>100</v>
      </c>
      <c r="P809" s="58">
        <v>100</v>
      </c>
      <c r="Q809" s="58">
        <v>100</v>
      </c>
      <c r="R809" s="23"/>
      <c r="S809" s="117" t="str">
        <f t="shared" si="114"/>
        <v>N</v>
      </c>
      <c r="T809" s="114">
        <f>IFERROR(SUMIF('Current NLData'!A:A,'Payment Changes'!G809,'Current NLData'!K:K)/COUNTIF('Current NLData'!A:A,'Payment Changes'!G809),0)+IFERROR(VLOOKUP(G809&amp;"-ALL",NLPaymentExport,10,FALSE),0)</f>
        <v>100</v>
      </c>
      <c r="U809" s="118">
        <f t="shared" si="115"/>
        <v>0</v>
      </c>
    </row>
    <row r="810" spans="1:54" ht="17.100000000000001" hidden="1" customHeight="1" outlineLevel="1" x14ac:dyDescent="0.25">
      <c r="A810" s="3"/>
      <c r="C810" s="4"/>
      <c r="D810" s="181"/>
      <c r="E810" s="91" t="str">
        <f t="shared" si="116"/>
        <v>Amarillo</v>
      </c>
      <c r="F810" s="93" t="str">
        <f t="shared" si="117"/>
        <v>CP893</v>
      </c>
      <c r="G810" s="99" t="str">
        <f t="shared" si="119"/>
        <v>CP893-NEW DONOR -5th</v>
      </c>
      <c r="H810" s="182"/>
      <c r="I810" s="34" t="s">
        <v>41</v>
      </c>
      <c r="J810" s="58">
        <v>45</v>
      </c>
      <c r="K810" s="62">
        <v>45</v>
      </c>
      <c r="L810" s="58">
        <v>50</v>
      </c>
      <c r="M810" s="58">
        <v>100</v>
      </c>
      <c r="N810" s="58">
        <v>100</v>
      </c>
      <c r="O810" s="58">
        <v>100</v>
      </c>
      <c r="P810" s="58">
        <v>100</v>
      </c>
      <c r="Q810" s="58">
        <v>100</v>
      </c>
      <c r="R810" s="23"/>
      <c r="S810" s="117" t="str">
        <f t="shared" si="114"/>
        <v>N</v>
      </c>
      <c r="T810" s="114">
        <f>IFERROR(SUMIF('Current NLData'!A:A,'Payment Changes'!G810,'Current NLData'!K:K)/COUNTIF('Current NLData'!A:A,'Payment Changes'!G810),0)+IFERROR(VLOOKUP(G810&amp;"-ALL",NLPaymentExport,10,FALSE),0)</f>
        <v>100</v>
      </c>
      <c r="U810" s="118">
        <f t="shared" si="115"/>
        <v>0</v>
      </c>
    </row>
    <row r="811" spans="1:54" ht="17.100000000000001" hidden="1" customHeight="1" outlineLevel="1" x14ac:dyDescent="0.25">
      <c r="A811" s="3"/>
      <c r="C811" s="4"/>
      <c r="D811" s="181"/>
      <c r="E811" s="91" t="str">
        <f t="shared" si="116"/>
        <v>Amarillo</v>
      </c>
      <c r="F811" s="93" t="str">
        <f t="shared" si="117"/>
        <v>CP893</v>
      </c>
      <c r="G811" s="99" t="str">
        <f t="shared" si="119"/>
        <v>CP893-NEW DONOR -6th</v>
      </c>
      <c r="H811" s="182"/>
      <c r="I811" s="34" t="s">
        <v>42</v>
      </c>
      <c r="J811" s="58">
        <v>45</v>
      </c>
      <c r="K811" s="62">
        <v>65</v>
      </c>
      <c r="L811" s="58">
        <v>50</v>
      </c>
      <c r="M811" s="58">
        <v>50</v>
      </c>
      <c r="N811" s="58">
        <v>50</v>
      </c>
      <c r="O811" s="58">
        <v>50</v>
      </c>
      <c r="P811" s="58">
        <v>50</v>
      </c>
      <c r="Q811" s="58">
        <v>50</v>
      </c>
      <c r="R811" s="23"/>
      <c r="S811" s="117" t="str">
        <f t="shared" si="114"/>
        <v>N</v>
      </c>
      <c r="T811" s="114">
        <f>IFERROR(SUMIF('Current NLData'!A:A,'Payment Changes'!G811,'Current NLData'!K:K)/COUNTIF('Current NLData'!A:A,'Payment Changes'!G811),0)+IFERROR(VLOOKUP(G811&amp;"-ALL",NLPaymentExport,10,FALSE),0)</f>
        <v>50</v>
      </c>
      <c r="U811" s="118">
        <f t="shared" si="115"/>
        <v>0</v>
      </c>
    </row>
    <row r="812" spans="1:54" ht="17.100000000000001" hidden="1" customHeight="1" outlineLevel="1" x14ac:dyDescent="0.25">
      <c r="A812" s="3"/>
      <c r="C812" s="4"/>
      <c r="D812" s="181"/>
      <c r="E812" s="91" t="str">
        <f t="shared" si="116"/>
        <v>Amarillo</v>
      </c>
      <c r="F812" s="93" t="str">
        <f t="shared" si="117"/>
        <v>CP893</v>
      </c>
      <c r="G812" s="99" t="str">
        <f t="shared" si="119"/>
        <v>CP893-NEW DONOR -7th</v>
      </c>
      <c r="H812" s="182"/>
      <c r="I812" s="34" t="s">
        <v>43</v>
      </c>
      <c r="J812" s="58">
        <v>45</v>
      </c>
      <c r="K812" s="62">
        <v>45</v>
      </c>
      <c r="L812" s="58">
        <v>50</v>
      </c>
      <c r="M812" s="58">
        <v>50</v>
      </c>
      <c r="N812" s="58">
        <v>50</v>
      </c>
      <c r="O812" s="58">
        <v>50</v>
      </c>
      <c r="P812" s="58">
        <v>50</v>
      </c>
      <c r="Q812" s="58">
        <v>50</v>
      </c>
      <c r="R812" s="23"/>
      <c r="S812" s="117" t="str">
        <f t="shared" si="114"/>
        <v>N</v>
      </c>
      <c r="T812" s="114">
        <f>IFERROR(SUMIF('Current NLData'!A:A,'Payment Changes'!G812,'Current NLData'!K:K)/COUNTIF('Current NLData'!A:A,'Payment Changes'!G812),0)+IFERROR(VLOOKUP(G812&amp;"-ALL",NLPaymentExport,10,FALSE),0)</f>
        <v>50</v>
      </c>
      <c r="U812" s="118">
        <f t="shared" si="115"/>
        <v>0</v>
      </c>
    </row>
    <row r="813" spans="1:54" ht="17.100000000000001" hidden="1" customHeight="1" outlineLevel="1" x14ac:dyDescent="0.25">
      <c r="A813" s="3"/>
      <c r="C813" s="4"/>
      <c r="D813" s="181"/>
      <c r="E813" s="91" t="str">
        <f t="shared" si="116"/>
        <v>Amarillo</v>
      </c>
      <c r="F813" s="93" t="str">
        <f t="shared" si="117"/>
        <v>CP893</v>
      </c>
      <c r="G813" s="99" t="str">
        <f t="shared" si="119"/>
        <v>CP893-NEW DONOR -8th</v>
      </c>
      <c r="H813" s="182"/>
      <c r="I813" s="35" t="s">
        <v>44</v>
      </c>
      <c r="J813" s="63">
        <v>45</v>
      </c>
      <c r="K813" s="64">
        <v>65</v>
      </c>
      <c r="L813" s="63">
        <v>50</v>
      </c>
      <c r="M813" s="63">
        <v>50</v>
      </c>
      <c r="N813" s="63">
        <v>50</v>
      </c>
      <c r="O813" s="63">
        <v>50</v>
      </c>
      <c r="P813" s="63">
        <v>50</v>
      </c>
      <c r="Q813" s="63">
        <v>50</v>
      </c>
      <c r="R813" s="23"/>
      <c r="S813" s="117" t="str">
        <f t="shared" si="114"/>
        <v>N</v>
      </c>
      <c r="T813" s="114">
        <f>IFERROR(SUMIF('Current NLData'!A:A,'Payment Changes'!G813,'Current NLData'!K:K)/COUNTIF('Current NLData'!A:A,'Payment Changes'!G813),0)+IFERROR(VLOOKUP(G813&amp;"-ALL",NLPaymentExport,10,FALSE),0)</f>
        <v>50</v>
      </c>
      <c r="U813" s="118">
        <f t="shared" si="115"/>
        <v>0</v>
      </c>
    </row>
    <row r="814" spans="1:54" ht="17.100000000000001" hidden="1" customHeight="1" outlineLevel="1" x14ac:dyDescent="0.25">
      <c r="A814" s="3"/>
      <c r="C814" s="4"/>
      <c r="D814" s="181"/>
      <c r="E814" s="91" t="str">
        <f t="shared" si="116"/>
        <v>Amarillo</v>
      </c>
      <c r="F814" s="93" t="str">
        <f t="shared" si="117"/>
        <v>CP893</v>
      </c>
      <c r="G814" s="99" t="str">
        <f t="shared" si="119"/>
        <v>CP893-RETURN - 1st don of the week -STD</v>
      </c>
      <c r="H814" s="182"/>
      <c r="I814" s="36" t="s">
        <v>45</v>
      </c>
      <c r="J814" s="58">
        <v>45</v>
      </c>
      <c r="K814" s="58">
        <v>45</v>
      </c>
      <c r="L814" s="58">
        <v>50</v>
      </c>
      <c r="M814" s="58">
        <v>50</v>
      </c>
      <c r="N814" s="58">
        <v>50</v>
      </c>
      <c r="O814" s="58">
        <v>50</v>
      </c>
      <c r="P814" s="58">
        <v>50</v>
      </c>
      <c r="Q814" s="58">
        <v>50</v>
      </c>
      <c r="R814" s="22"/>
      <c r="S814" s="117" t="str">
        <f t="shared" si="114"/>
        <v>N</v>
      </c>
      <c r="T814" s="114">
        <f>IFERROR(SUMIF('Current NLData'!A:A,'Payment Changes'!G814,'Current NLData'!K:K)/COUNTIF('Current NLData'!A:A,'Payment Changes'!G814),0)+IFERROR(VLOOKUP(G814&amp;"-ALL",NLPaymentExport,10,FALSE),0)</f>
        <v>50</v>
      </c>
      <c r="U814" s="118">
        <f t="shared" si="115"/>
        <v>0</v>
      </c>
    </row>
    <row r="815" spans="1:54" ht="17.100000000000001" hidden="1" customHeight="1" outlineLevel="1" x14ac:dyDescent="0.25">
      <c r="A815" s="3"/>
      <c r="C815" s="4"/>
      <c r="D815" s="181"/>
      <c r="E815" s="91" t="str">
        <f t="shared" si="116"/>
        <v>Amarillo</v>
      </c>
      <c r="F815" s="93" t="str">
        <f t="shared" si="117"/>
        <v>CP893</v>
      </c>
      <c r="G815" s="99" t="str">
        <f t="shared" si="119"/>
        <v>CP893-RETURN - 2nd don of the week -BONUS</v>
      </c>
      <c r="H815" s="182"/>
      <c r="I815" s="36" t="s">
        <v>46</v>
      </c>
      <c r="J815" s="58">
        <v>20</v>
      </c>
      <c r="K815" s="58">
        <v>20</v>
      </c>
      <c r="L815" s="58">
        <v>20</v>
      </c>
      <c r="M815" s="58">
        <v>20</v>
      </c>
      <c r="N815" s="58">
        <v>20</v>
      </c>
      <c r="O815" s="58">
        <v>20</v>
      </c>
      <c r="P815" s="58">
        <v>20</v>
      </c>
      <c r="Q815" s="58">
        <v>20</v>
      </c>
      <c r="R815" s="22"/>
      <c r="S815" s="117" t="str">
        <f t="shared" si="114"/>
        <v>N</v>
      </c>
      <c r="T815" s="114">
        <f>IFERROR(SUMIF('Current NLData'!A:A,'Payment Changes'!G815,'Current NLData'!K:K)/COUNTIF('Current NLData'!A:A,'Payment Changes'!G815),0)+IFERROR(VLOOKUP(G815&amp;"-ALL",NLPaymentExport,10,FALSE),0)</f>
        <v>20</v>
      </c>
      <c r="U815" s="118">
        <f t="shared" si="115"/>
        <v>0</v>
      </c>
    </row>
    <row r="816" spans="1:54" ht="17.100000000000001" hidden="1" customHeight="1" outlineLevel="1" x14ac:dyDescent="0.25">
      <c r="A816" s="3"/>
      <c r="C816" s="4"/>
      <c r="D816" s="181"/>
      <c r="E816" s="91" t="str">
        <f t="shared" si="116"/>
        <v>Amarillo</v>
      </c>
      <c r="F816" s="93" t="str">
        <f t="shared" si="117"/>
        <v>CP893</v>
      </c>
      <c r="G816" s="99" t="str">
        <f t="shared" si="119"/>
        <v>CP893-RETURN - 5th don of the month -BONUS</v>
      </c>
      <c r="H816" s="182"/>
      <c r="I816" s="37" t="s">
        <v>47</v>
      </c>
      <c r="J816" s="65">
        <v>0</v>
      </c>
      <c r="K816" s="65">
        <v>0</v>
      </c>
      <c r="L816" s="65">
        <v>0</v>
      </c>
      <c r="M816" s="65">
        <v>0</v>
      </c>
      <c r="N816" s="65">
        <v>0</v>
      </c>
      <c r="O816" s="65">
        <v>0</v>
      </c>
      <c r="P816" s="65">
        <v>0</v>
      </c>
      <c r="Q816" s="65">
        <v>0</v>
      </c>
      <c r="R816" s="22"/>
      <c r="S816" s="117" t="str">
        <f t="shared" si="114"/>
        <v>N</v>
      </c>
      <c r="T816" s="114">
        <f>IFERROR(SUMIF('Current NLData'!A:A,'Payment Changes'!G816,'Current NLData'!K:K)/COUNTIF('Current NLData'!A:A,'Payment Changes'!G816),0)+IFERROR(VLOOKUP(G816&amp;"-ALL",NLPaymentExport,10,FALSE),0)</f>
        <v>0</v>
      </c>
      <c r="U816" s="118">
        <f t="shared" si="115"/>
        <v>0</v>
      </c>
    </row>
    <row r="817" spans="1:54" ht="17.100000000000001" hidden="1" customHeight="1" outlineLevel="1" x14ac:dyDescent="0.25">
      <c r="A817" s="3"/>
      <c r="C817" s="4"/>
      <c r="D817" s="181"/>
      <c r="E817" s="91" t="str">
        <f t="shared" si="116"/>
        <v>Amarillo</v>
      </c>
      <c r="F817" s="93" t="str">
        <f t="shared" si="117"/>
        <v>CP893</v>
      </c>
      <c r="G817" s="99" t="str">
        <f t="shared" si="119"/>
        <v>CP893-RETURN - 6th don of the month -BONUS</v>
      </c>
      <c r="H817" s="182"/>
      <c r="I817" s="38" t="s">
        <v>48</v>
      </c>
      <c r="J817" s="58">
        <v>0</v>
      </c>
      <c r="K817" s="58">
        <v>0</v>
      </c>
      <c r="L817" s="58">
        <v>30</v>
      </c>
      <c r="M817" s="58">
        <v>30</v>
      </c>
      <c r="N817" s="58">
        <v>30</v>
      </c>
      <c r="O817" s="58">
        <v>30</v>
      </c>
      <c r="P817" s="58">
        <v>30</v>
      </c>
      <c r="Q817" s="58">
        <v>30</v>
      </c>
      <c r="R817" s="22"/>
      <c r="S817" s="117" t="str">
        <f t="shared" si="114"/>
        <v>N</v>
      </c>
      <c r="T817" s="114">
        <f>IFERROR(SUMIF('Current NLData'!A:A,'Payment Changes'!G817,'Current NLData'!K:K)/COUNTIF('Current NLData'!A:A,'Payment Changes'!G817),0)+IFERROR(VLOOKUP(G817&amp;"-ALL",NLPaymentExport,10,FALSE),0)</f>
        <v>30</v>
      </c>
      <c r="U817" s="118">
        <f t="shared" si="115"/>
        <v>0</v>
      </c>
    </row>
    <row r="818" spans="1:54" ht="17.100000000000001" hidden="1" customHeight="1" outlineLevel="1" x14ac:dyDescent="0.25">
      <c r="A818" s="3"/>
      <c r="C818" s="4"/>
      <c r="D818" s="181"/>
      <c r="E818" s="91" t="str">
        <f t="shared" si="116"/>
        <v>Amarillo</v>
      </c>
      <c r="F818" s="93" t="str">
        <f t="shared" si="117"/>
        <v>CP893</v>
      </c>
      <c r="G818" s="99" t="str">
        <f t="shared" si="119"/>
        <v>CP893-RETURN - 7th don of the month -BONUS</v>
      </c>
      <c r="H818" s="182"/>
      <c r="I818" s="38" t="s">
        <v>49</v>
      </c>
      <c r="J818" s="58">
        <v>0</v>
      </c>
      <c r="K818" s="58">
        <v>0</v>
      </c>
      <c r="L818" s="58">
        <v>0</v>
      </c>
      <c r="M818" s="58">
        <v>0</v>
      </c>
      <c r="N818" s="58">
        <v>0</v>
      </c>
      <c r="O818" s="58">
        <v>0</v>
      </c>
      <c r="P818" s="58">
        <v>0</v>
      </c>
      <c r="Q818" s="58">
        <v>0</v>
      </c>
      <c r="R818" s="22"/>
      <c r="S818" s="117" t="str">
        <f t="shared" si="114"/>
        <v>N</v>
      </c>
      <c r="T818" s="114">
        <f>IFERROR(SUMIF('Current NLData'!A:A,'Payment Changes'!G818,'Current NLData'!K:K)/COUNTIF('Current NLData'!A:A,'Payment Changes'!G818),0)+IFERROR(VLOOKUP(G818&amp;"-ALL",NLPaymentExport,10,FALSE),0)</f>
        <v>0</v>
      </c>
      <c r="U818" s="118">
        <f t="shared" si="115"/>
        <v>0</v>
      </c>
    </row>
    <row r="819" spans="1:54" ht="17.100000000000001" hidden="1" customHeight="1" outlineLevel="1" x14ac:dyDescent="0.25">
      <c r="A819" s="3"/>
      <c r="C819" s="4"/>
      <c r="D819" s="181"/>
      <c r="E819" s="91" t="str">
        <f t="shared" si="116"/>
        <v>Amarillo</v>
      </c>
      <c r="F819" s="93" t="str">
        <f t="shared" si="117"/>
        <v>CP893</v>
      </c>
      <c r="G819" s="99" t="str">
        <f t="shared" si="119"/>
        <v>CP893-RETURN - 8th don of the month -BONUS</v>
      </c>
      <c r="H819" s="182"/>
      <c r="I819" s="38" t="s">
        <v>50</v>
      </c>
      <c r="J819" s="58">
        <v>30</v>
      </c>
      <c r="K819" s="58">
        <v>30</v>
      </c>
      <c r="L819" s="58">
        <v>0</v>
      </c>
      <c r="M819" s="58">
        <v>0</v>
      </c>
      <c r="N819" s="58">
        <v>0</v>
      </c>
      <c r="O819" s="58">
        <v>0</v>
      </c>
      <c r="P819" s="58">
        <v>0</v>
      </c>
      <c r="Q819" s="58">
        <v>0</v>
      </c>
      <c r="R819" s="22"/>
      <c r="S819" s="117" t="str">
        <f t="shared" si="114"/>
        <v>N</v>
      </c>
      <c r="T819" s="114">
        <f>IFERROR(SUMIF('Current NLData'!A:A,'Payment Changes'!G819,'Current NLData'!K:K)/COUNTIF('Current NLData'!A:A,'Payment Changes'!G819),0)+IFERROR(VLOOKUP(G819&amp;"-ALL",NLPaymentExport,10,FALSE),0)</f>
        <v>0</v>
      </c>
      <c r="U819" s="118">
        <f t="shared" si="115"/>
        <v>0</v>
      </c>
    </row>
    <row r="820" spans="1:54" ht="17.100000000000001" hidden="1" customHeight="1" outlineLevel="1" x14ac:dyDescent="0.25">
      <c r="A820" s="3"/>
      <c r="C820" s="4" t="str">
        <f>IF(J820=0,"Warning","")</f>
        <v/>
      </c>
      <c r="D820" s="181"/>
      <c r="E820" s="91" t="str">
        <f t="shared" si="116"/>
        <v>Amarillo</v>
      </c>
      <c r="F820" s="93" t="str">
        <f t="shared" si="117"/>
        <v>CP893</v>
      </c>
      <c r="G820" s="99" t="str">
        <f t="shared" si="119"/>
        <v>CP893-RETURN - Buddy referral  -BONUS</v>
      </c>
      <c r="H820" s="182"/>
      <c r="I820" s="39" t="s">
        <v>51</v>
      </c>
      <c r="J820" s="58">
        <v>50</v>
      </c>
      <c r="K820" s="58">
        <v>50</v>
      </c>
      <c r="L820" s="58">
        <v>50</v>
      </c>
      <c r="M820" s="58">
        <v>50</v>
      </c>
      <c r="N820" s="58">
        <v>50</v>
      </c>
      <c r="O820" s="58">
        <v>50</v>
      </c>
      <c r="P820" s="58">
        <v>50</v>
      </c>
      <c r="Q820" s="58">
        <v>50</v>
      </c>
      <c r="R820" s="22"/>
      <c r="S820" s="117" t="str">
        <f t="shared" si="114"/>
        <v>N</v>
      </c>
      <c r="T820" s="114">
        <f>IFERROR(SUMIF('Current NLData'!A:A,'Payment Changes'!G820,'Current NLData'!K:K)/COUNTIF('Current NLData'!A:A,'Payment Changes'!G820),0)+IFERROR(VLOOKUP(G820&amp;"-ALL",NLPaymentExport,10,FALSE),0)</f>
        <v>50</v>
      </c>
      <c r="U820" s="118">
        <f t="shared" si="115"/>
        <v>0</v>
      </c>
    </row>
    <row r="821" spans="1:54" s="90" customFormat="1" ht="17.100000000000001" hidden="1" customHeight="1" collapsed="1" x14ac:dyDescent="0.35">
      <c r="A821" s="85"/>
      <c r="B821" s="85"/>
      <c r="C821" s="86"/>
      <c r="D821" s="87"/>
      <c r="E821" s="87"/>
      <c r="F821" s="87"/>
      <c r="G821" s="87"/>
      <c r="H821" s="96"/>
      <c r="I821" s="88"/>
      <c r="J821" s="89"/>
      <c r="K821" s="89"/>
      <c r="L821" s="89"/>
      <c r="M821" s="89"/>
      <c r="N821" s="89"/>
      <c r="O821" s="89"/>
      <c r="P821" s="89"/>
      <c r="Q821" s="89"/>
      <c r="R821" s="21"/>
      <c r="S821" s="117" t="str">
        <f t="shared" si="114"/>
        <v>N</v>
      </c>
      <c r="T821" s="114">
        <f>IFERROR(SUMIF('Current NLData'!A:A,'Payment Changes'!G821,'Current NLData'!K:K)/COUNTIF('Current NLData'!A:A,'Payment Changes'!G821),0)+IFERROR(VLOOKUP(G821&amp;"-ALL",NLPaymentExport,10,FALSE),0)</f>
        <v>0</v>
      </c>
      <c r="U821" s="118" t="str">
        <f t="shared" si="115"/>
        <v/>
      </c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1:54" s="10" customFormat="1" ht="17.100000000000001" hidden="1" customHeight="1" x14ac:dyDescent="0.25">
      <c r="A822" s="165">
        <v>42</v>
      </c>
      <c r="B822" s="168" t="s">
        <v>273</v>
      </c>
      <c r="C822" s="171" t="s">
        <v>19</v>
      </c>
      <c r="D822" s="174" t="s">
        <v>157</v>
      </c>
      <c r="E822" s="106" t="str">
        <f t="shared" si="116"/>
        <v>Lincoln North</v>
      </c>
      <c r="F822" s="107" t="s">
        <v>274</v>
      </c>
      <c r="G822" s="108" t="str">
        <f t="shared" ref="G822:G840" si="120">F822&amp;"-"&amp;I822</f>
        <v>CP137-New Donor</v>
      </c>
      <c r="H822" s="177" t="s">
        <v>75</v>
      </c>
      <c r="I822" s="76" t="s">
        <v>23</v>
      </c>
      <c r="J822" s="40" t="s">
        <v>275</v>
      </c>
      <c r="K822" s="41" t="s">
        <v>276</v>
      </c>
      <c r="L822" s="41" t="s">
        <v>275</v>
      </c>
      <c r="M822" s="42" t="s">
        <v>261</v>
      </c>
      <c r="N822" s="40" t="s">
        <v>261</v>
      </c>
      <c r="O822" s="40" t="s">
        <v>261</v>
      </c>
      <c r="P822" s="40" t="s">
        <v>261</v>
      </c>
      <c r="Q822" s="40" t="s">
        <v>261</v>
      </c>
      <c r="R822" s="109"/>
      <c r="S822" s="117" t="str">
        <f t="shared" si="114"/>
        <v>N</v>
      </c>
      <c r="T822" s="114">
        <f>IFERROR(SUMIF('Current NLData'!A:A,'Payment Changes'!G822,'Current NLData'!K:K)/COUNTIF('Current NLData'!A:A,'Payment Changes'!G822),0)+IFERROR(VLOOKUP(G822&amp;"-ALL",NLPaymentExport,10,FALSE),0)</f>
        <v>0</v>
      </c>
      <c r="U822" s="118" t="str">
        <f t="shared" si="115"/>
        <v/>
      </c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1:54" ht="17.100000000000001" hidden="1" customHeight="1" x14ac:dyDescent="0.25">
      <c r="A823" s="166"/>
      <c r="B823" s="169"/>
      <c r="C823" s="172"/>
      <c r="D823" s="175"/>
      <c r="E823" s="91" t="str">
        <f t="shared" si="116"/>
        <v>Lincoln North</v>
      </c>
      <c r="F823" s="92" t="s">
        <v>274</v>
      </c>
      <c r="G823" s="98" t="str">
        <f t="shared" si="120"/>
        <v>CP137-Return Donor</v>
      </c>
      <c r="H823" s="178"/>
      <c r="I823" s="77" t="s">
        <v>29</v>
      </c>
      <c r="J823" s="43" t="s">
        <v>179</v>
      </c>
      <c r="K823" s="43" t="s">
        <v>179</v>
      </c>
      <c r="L823" s="44" t="s">
        <v>179</v>
      </c>
      <c r="M823" s="45" t="s">
        <v>179</v>
      </c>
      <c r="N823" s="43" t="s">
        <v>179</v>
      </c>
      <c r="O823" s="43" t="s">
        <v>194</v>
      </c>
      <c r="P823" s="43" t="s">
        <v>194</v>
      </c>
      <c r="Q823" s="43" t="s">
        <v>194</v>
      </c>
      <c r="R823" s="21"/>
      <c r="S823" s="117" t="str">
        <f t="shared" si="114"/>
        <v>N</v>
      </c>
      <c r="T823" s="114">
        <f>IFERROR(SUMIF('Current NLData'!A:A,'Payment Changes'!G823,'Current NLData'!K:K)/COUNTIF('Current NLData'!A:A,'Payment Changes'!G823),0)+IFERROR(VLOOKUP(G823&amp;"-ALL",NLPaymentExport,10,FALSE),0)</f>
        <v>0</v>
      </c>
      <c r="U823" s="118" t="str">
        <f t="shared" si="115"/>
        <v/>
      </c>
    </row>
    <row r="824" spans="1:54" ht="17.100000000000001" hidden="1" customHeight="1" x14ac:dyDescent="0.25">
      <c r="A824" s="166"/>
      <c r="B824" s="169"/>
      <c r="C824" s="172"/>
      <c r="D824" s="175"/>
      <c r="E824" s="91" t="str">
        <f t="shared" si="116"/>
        <v>Lincoln North</v>
      </c>
      <c r="F824" s="92" t="s">
        <v>274</v>
      </c>
      <c r="G824" s="98" t="str">
        <f t="shared" si="120"/>
        <v>CP137-Retention Bonus</v>
      </c>
      <c r="H824" s="178"/>
      <c r="I824" s="78" t="s">
        <v>30</v>
      </c>
      <c r="J824" s="46" t="s">
        <v>277</v>
      </c>
      <c r="K824" s="46" t="s">
        <v>277</v>
      </c>
      <c r="L824" s="47" t="s">
        <v>32</v>
      </c>
      <c r="M824" s="48" t="s">
        <v>32</v>
      </c>
      <c r="N824" s="46" t="s">
        <v>32</v>
      </c>
      <c r="O824" s="46" t="s">
        <v>32</v>
      </c>
      <c r="P824" s="46" t="s">
        <v>32</v>
      </c>
      <c r="Q824" s="46" t="s">
        <v>278</v>
      </c>
      <c r="R824" s="21"/>
      <c r="S824" s="117" t="str">
        <f t="shared" si="114"/>
        <v>Y</v>
      </c>
      <c r="T824" s="114">
        <f>IFERROR(SUMIF('Current NLData'!A:A,'Payment Changes'!G824,'Current NLData'!K:K)/COUNTIF('Current NLData'!A:A,'Payment Changes'!G824),0)+IFERROR(VLOOKUP(G824&amp;"-ALL",NLPaymentExport,10,FALSE),0)</f>
        <v>0</v>
      </c>
      <c r="U824" s="118" t="str">
        <f t="shared" si="115"/>
        <v/>
      </c>
    </row>
    <row r="825" spans="1:54" s="15" customFormat="1" ht="17.100000000000001" hidden="1" customHeight="1" x14ac:dyDescent="0.25">
      <c r="A825" s="167"/>
      <c r="B825" s="170"/>
      <c r="C825" s="173"/>
      <c r="D825" s="176"/>
      <c r="E825" s="110" t="str">
        <f t="shared" si="116"/>
        <v>Lincoln North</v>
      </c>
      <c r="F825" s="111" t="s">
        <v>274</v>
      </c>
      <c r="G825" s="112" t="str">
        <f t="shared" si="120"/>
        <v>CP137-Referral</v>
      </c>
      <c r="H825" s="179"/>
      <c r="I825" s="79" t="s">
        <v>34</v>
      </c>
      <c r="J825" s="49">
        <v>50</v>
      </c>
      <c r="K825" s="49">
        <v>50</v>
      </c>
      <c r="L825" s="50" t="s">
        <v>32</v>
      </c>
      <c r="M825" s="51" t="s">
        <v>32</v>
      </c>
      <c r="N825" s="49" t="s">
        <v>32</v>
      </c>
      <c r="O825" s="49">
        <v>50</v>
      </c>
      <c r="P825" s="49">
        <v>50</v>
      </c>
      <c r="Q825" s="49">
        <v>50</v>
      </c>
      <c r="R825" s="113"/>
      <c r="S825" s="117" t="str">
        <f t="shared" si="114"/>
        <v>N</v>
      </c>
      <c r="T825" s="114">
        <f>IFERROR(SUMIF('Current NLData'!A:A,'Payment Changes'!G825,'Current NLData'!K:K)/COUNTIF('Current NLData'!A:A,'Payment Changes'!G825),0)+IFERROR(VLOOKUP(G825&amp;"-ALL",NLPaymentExport,10,FALSE),0)</f>
        <v>0</v>
      </c>
      <c r="U825" s="118" t="str">
        <f t="shared" si="115"/>
        <v/>
      </c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1:54" ht="17.100000000000001" hidden="1" customHeight="1" outlineLevel="1" x14ac:dyDescent="0.25">
      <c r="A826" s="3"/>
      <c r="C826" s="4"/>
      <c r="D826" s="180" t="s">
        <v>274</v>
      </c>
      <c r="E826" s="91" t="str">
        <f t="shared" si="116"/>
        <v>Lincoln North</v>
      </c>
      <c r="F826" s="93" t="str">
        <f t="shared" si="117"/>
        <v>CP137</v>
      </c>
      <c r="G826" s="99" t="str">
        <f t="shared" si="120"/>
        <v>CP137-NEW DONOR -1st</v>
      </c>
      <c r="H826" s="182" t="s">
        <v>36</v>
      </c>
      <c r="I826" s="33" t="s">
        <v>37</v>
      </c>
      <c r="J826" s="60">
        <v>100</v>
      </c>
      <c r="K826" s="61">
        <v>100</v>
      </c>
      <c r="L826" s="60">
        <v>100</v>
      </c>
      <c r="M826" s="60">
        <v>100</v>
      </c>
      <c r="N826" s="60">
        <v>100</v>
      </c>
      <c r="O826" s="60">
        <v>100</v>
      </c>
      <c r="P826" s="60">
        <v>100</v>
      </c>
      <c r="Q826" s="60">
        <v>100</v>
      </c>
      <c r="R826" s="23"/>
      <c r="S826" s="117" t="str">
        <f t="shared" si="114"/>
        <v>N</v>
      </c>
      <c r="T826" s="114">
        <f>IFERROR(SUMIF('Current NLData'!A:A,'Payment Changes'!G826,'Current NLData'!K:K)/COUNTIF('Current NLData'!A:A,'Payment Changes'!G826),0)+IFERROR(VLOOKUP(G826&amp;"-ALL",NLPaymentExport,10,FALSE),0)</f>
        <v>100</v>
      </c>
      <c r="U826" s="118">
        <f t="shared" si="115"/>
        <v>0</v>
      </c>
    </row>
    <row r="827" spans="1:54" ht="17.100000000000001" hidden="1" customHeight="1" outlineLevel="1" x14ac:dyDescent="0.25">
      <c r="A827" s="3"/>
      <c r="C827" s="4"/>
      <c r="D827" s="181"/>
      <c r="E827" s="91" t="str">
        <f t="shared" si="116"/>
        <v>Lincoln North</v>
      </c>
      <c r="F827" s="93" t="str">
        <f t="shared" si="117"/>
        <v>CP137</v>
      </c>
      <c r="G827" s="99" t="str">
        <f t="shared" si="120"/>
        <v>CP137-NEW DONOR -2nd</v>
      </c>
      <c r="H827" s="182"/>
      <c r="I827" s="34" t="s">
        <v>38</v>
      </c>
      <c r="J827" s="58">
        <v>100</v>
      </c>
      <c r="K827" s="62">
        <v>100</v>
      </c>
      <c r="L827" s="58">
        <v>100</v>
      </c>
      <c r="M827" s="58">
        <v>100</v>
      </c>
      <c r="N827" s="58">
        <v>100</v>
      </c>
      <c r="O827" s="58">
        <v>100</v>
      </c>
      <c r="P827" s="58">
        <v>100</v>
      </c>
      <c r="Q827" s="58">
        <v>100</v>
      </c>
      <c r="R827" s="23"/>
      <c r="S827" s="117" t="str">
        <f t="shared" si="114"/>
        <v>N</v>
      </c>
      <c r="T827" s="114">
        <f>IFERROR(SUMIF('Current NLData'!A:A,'Payment Changes'!G827,'Current NLData'!K:K)/COUNTIF('Current NLData'!A:A,'Payment Changes'!G827),0)+IFERROR(VLOOKUP(G827&amp;"-ALL",NLPaymentExport,10,FALSE),0)</f>
        <v>100</v>
      </c>
      <c r="U827" s="118">
        <f t="shared" si="115"/>
        <v>0</v>
      </c>
    </row>
    <row r="828" spans="1:54" ht="17.100000000000001" hidden="1" customHeight="1" outlineLevel="1" x14ac:dyDescent="0.25">
      <c r="A828" s="3"/>
      <c r="C828" s="4"/>
      <c r="D828" s="181"/>
      <c r="E828" s="91" t="str">
        <f t="shared" si="116"/>
        <v>Lincoln North</v>
      </c>
      <c r="F828" s="93" t="str">
        <f t="shared" si="117"/>
        <v>CP137</v>
      </c>
      <c r="G828" s="99" t="str">
        <f t="shared" si="120"/>
        <v>CP137-NEW DONOR -3rd</v>
      </c>
      <c r="H828" s="182"/>
      <c r="I828" s="34" t="s">
        <v>39</v>
      </c>
      <c r="J828" s="58">
        <v>40</v>
      </c>
      <c r="K828" s="62">
        <v>40</v>
      </c>
      <c r="L828" s="58">
        <v>40</v>
      </c>
      <c r="M828" s="58">
        <v>100</v>
      </c>
      <c r="N828" s="58">
        <v>100</v>
      </c>
      <c r="O828" s="58">
        <v>100</v>
      </c>
      <c r="P828" s="58">
        <v>100</v>
      </c>
      <c r="Q828" s="58">
        <v>100</v>
      </c>
      <c r="R828" s="23"/>
      <c r="S828" s="117" t="str">
        <f t="shared" si="114"/>
        <v>N</v>
      </c>
      <c r="T828" s="114">
        <f>IFERROR(SUMIF('Current NLData'!A:A,'Payment Changes'!G828,'Current NLData'!K:K)/COUNTIF('Current NLData'!A:A,'Payment Changes'!G828),0)+IFERROR(VLOOKUP(G828&amp;"-ALL",NLPaymentExport,10,FALSE),0)</f>
        <v>100</v>
      </c>
      <c r="U828" s="118">
        <f t="shared" si="115"/>
        <v>0</v>
      </c>
    </row>
    <row r="829" spans="1:54" ht="17.100000000000001" hidden="1" customHeight="1" outlineLevel="1" x14ac:dyDescent="0.25">
      <c r="A829" s="3"/>
      <c r="C829" s="4"/>
      <c r="D829" s="181"/>
      <c r="E829" s="91" t="str">
        <f t="shared" si="116"/>
        <v>Lincoln North</v>
      </c>
      <c r="F829" s="93" t="str">
        <f t="shared" si="117"/>
        <v>CP137</v>
      </c>
      <c r="G829" s="99" t="str">
        <f t="shared" si="120"/>
        <v>CP137-NEW DONOR -4th</v>
      </c>
      <c r="H829" s="182"/>
      <c r="I829" s="34" t="s">
        <v>40</v>
      </c>
      <c r="J829" s="58">
        <v>40</v>
      </c>
      <c r="K829" s="62">
        <v>80</v>
      </c>
      <c r="L829" s="58">
        <v>40</v>
      </c>
      <c r="M829" s="58">
        <v>100</v>
      </c>
      <c r="N829" s="58">
        <v>100</v>
      </c>
      <c r="O829" s="58">
        <v>100</v>
      </c>
      <c r="P829" s="58">
        <v>100</v>
      </c>
      <c r="Q829" s="58">
        <v>100</v>
      </c>
      <c r="R829" s="23"/>
      <c r="S829" s="117" t="str">
        <f t="shared" si="114"/>
        <v>N</v>
      </c>
      <c r="T829" s="114">
        <f>IFERROR(SUMIF('Current NLData'!A:A,'Payment Changes'!G829,'Current NLData'!K:K)/COUNTIF('Current NLData'!A:A,'Payment Changes'!G829),0)+IFERROR(VLOOKUP(G829&amp;"-ALL",NLPaymentExport,10,FALSE),0)</f>
        <v>100</v>
      </c>
      <c r="U829" s="118">
        <f t="shared" si="115"/>
        <v>0</v>
      </c>
    </row>
    <row r="830" spans="1:54" ht="17.100000000000001" hidden="1" customHeight="1" outlineLevel="1" x14ac:dyDescent="0.25">
      <c r="A830" s="3"/>
      <c r="C830" s="4"/>
      <c r="D830" s="181"/>
      <c r="E830" s="91" t="str">
        <f t="shared" si="116"/>
        <v>Lincoln North</v>
      </c>
      <c r="F830" s="93" t="str">
        <f t="shared" si="117"/>
        <v>CP137</v>
      </c>
      <c r="G830" s="99" t="str">
        <f t="shared" si="120"/>
        <v>CP137-NEW DONOR -5th</v>
      </c>
      <c r="H830" s="182"/>
      <c r="I830" s="34" t="s">
        <v>41</v>
      </c>
      <c r="J830" s="58">
        <v>40</v>
      </c>
      <c r="K830" s="62">
        <v>40</v>
      </c>
      <c r="L830" s="58">
        <v>40</v>
      </c>
      <c r="M830" s="58">
        <v>40</v>
      </c>
      <c r="N830" s="58">
        <v>40</v>
      </c>
      <c r="O830" s="58">
        <v>40</v>
      </c>
      <c r="P830" s="58">
        <v>40</v>
      </c>
      <c r="Q830" s="58">
        <v>40</v>
      </c>
      <c r="R830" s="23"/>
      <c r="S830" s="117" t="str">
        <f t="shared" si="114"/>
        <v>N</v>
      </c>
      <c r="T830" s="114">
        <f>IFERROR(SUMIF('Current NLData'!A:A,'Payment Changes'!G830,'Current NLData'!K:K)/COUNTIF('Current NLData'!A:A,'Payment Changes'!G830),0)+IFERROR(VLOOKUP(G830&amp;"-ALL",NLPaymentExport,10,FALSE),0)</f>
        <v>40</v>
      </c>
      <c r="U830" s="118">
        <f t="shared" si="115"/>
        <v>0</v>
      </c>
    </row>
    <row r="831" spans="1:54" ht="17.100000000000001" hidden="1" customHeight="1" outlineLevel="1" x14ac:dyDescent="0.25">
      <c r="A831" s="3"/>
      <c r="C831" s="4"/>
      <c r="D831" s="181"/>
      <c r="E831" s="91" t="str">
        <f t="shared" si="116"/>
        <v>Lincoln North</v>
      </c>
      <c r="F831" s="93" t="str">
        <f t="shared" si="117"/>
        <v>CP137</v>
      </c>
      <c r="G831" s="99" t="str">
        <f t="shared" si="120"/>
        <v>CP137-NEW DONOR -6th</v>
      </c>
      <c r="H831" s="182"/>
      <c r="I831" s="34" t="s">
        <v>42</v>
      </c>
      <c r="J831" s="58">
        <v>40</v>
      </c>
      <c r="K831" s="62">
        <v>80</v>
      </c>
      <c r="L831" s="58">
        <v>40</v>
      </c>
      <c r="M831" s="58">
        <v>40</v>
      </c>
      <c r="N831" s="58">
        <v>40</v>
      </c>
      <c r="O831" s="58">
        <v>40</v>
      </c>
      <c r="P831" s="58">
        <v>40</v>
      </c>
      <c r="Q831" s="58">
        <v>40</v>
      </c>
      <c r="R831" s="23"/>
      <c r="S831" s="117" t="str">
        <f t="shared" si="114"/>
        <v>N</v>
      </c>
      <c r="T831" s="114">
        <f>IFERROR(SUMIF('Current NLData'!A:A,'Payment Changes'!G831,'Current NLData'!K:K)/COUNTIF('Current NLData'!A:A,'Payment Changes'!G831),0)+IFERROR(VLOOKUP(G831&amp;"-ALL",NLPaymentExport,10,FALSE),0)</f>
        <v>40</v>
      </c>
      <c r="U831" s="118">
        <f t="shared" si="115"/>
        <v>0</v>
      </c>
    </row>
    <row r="832" spans="1:54" ht="17.100000000000001" hidden="1" customHeight="1" outlineLevel="1" x14ac:dyDescent="0.25">
      <c r="A832" s="3"/>
      <c r="C832" s="4"/>
      <c r="D832" s="181"/>
      <c r="E832" s="91" t="str">
        <f t="shared" si="116"/>
        <v>Lincoln North</v>
      </c>
      <c r="F832" s="93" t="str">
        <f t="shared" si="117"/>
        <v>CP137</v>
      </c>
      <c r="G832" s="99" t="str">
        <f t="shared" si="120"/>
        <v>CP137-NEW DONOR -7th</v>
      </c>
      <c r="H832" s="182"/>
      <c r="I832" s="34" t="s">
        <v>43</v>
      </c>
      <c r="J832" s="58">
        <v>40</v>
      </c>
      <c r="K832" s="62">
        <v>40</v>
      </c>
      <c r="L832" s="58">
        <v>40</v>
      </c>
      <c r="M832" s="58">
        <v>40</v>
      </c>
      <c r="N832" s="58">
        <v>40</v>
      </c>
      <c r="O832" s="58">
        <v>40</v>
      </c>
      <c r="P832" s="58">
        <v>40</v>
      </c>
      <c r="Q832" s="58">
        <v>40</v>
      </c>
      <c r="R832" s="23"/>
      <c r="S832" s="117" t="str">
        <f t="shared" si="114"/>
        <v>N</v>
      </c>
      <c r="T832" s="114">
        <f>IFERROR(SUMIF('Current NLData'!A:A,'Payment Changes'!G832,'Current NLData'!K:K)/COUNTIF('Current NLData'!A:A,'Payment Changes'!G832),0)+IFERROR(VLOOKUP(G832&amp;"-ALL",NLPaymentExport,10,FALSE),0)</f>
        <v>40</v>
      </c>
      <c r="U832" s="118">
        <f t="shared" si="115"/>
        <v>0</v>
      </c>
    </row>
    <row r="833" spans="1:54" ht="17.100000000000001" hidden="1" customHeight="1" outlineLevel="1" x14ac:dyDescent="0.25">
      <c r="A833" s="3"/>
      <c r="C833" s="4"/>
      <c r="D833" s="181"/>
      <c r="E833" s="91" t="str">
        <f t="shared" si="116"/>
        <v>Lincoln North</v>
      </c>
      <c r="F833" s="93" t="str">
        <f t="shared" si="117"/>
        <v>CP137</v>
      </c>
      <c r="G833" s="99" t="str">
        <f t="shared" si="120"/>
        <v>CP137-NEW DONOR -8th</v>
      </c>
      <c r="H833" s="182"/>
      <c r="I833" s="35" t="s">
        <v>44</v>
      </c>
      <c r="J833" s="63">
        <v>40</v>
      </c>
      <c r="K833" s="64">
        <v>80</v>
      </c>
      <c r="L833" s="63">
        <v>40</v>
      </c>
      <c r="M833" s="63">
        <v>40</v>
      </c>
      <c r="N833" s="63">
        <v>40</v>
      </c>
      <c r="O833" s="63">
        <v>40</v>
      </c>
      <c r="P833" s="63">
        <v>40</v>
      </c>
      <c r="Q833" s="63">
        <v>40</v>
      </c>
      <c r="R833" s="23"/>
      <c r="S833" s="117" t="str">
        <f t="shared" si="114"/>
        <v>N</v>
      </c>
      <c r="T833" s="114">
        <f>IFERROR(SUMIF('Current NLData'!A:A,'Payment Changes'!G833,'Current NLData'!K:K)/COUNTIF('Current NLData'!A:A,'Payment Changes'!G833),0)+IFERROR(VLOOKUP(G833&amp;"-ALL",NLPaymentExport,10,FALSE),0)</f>
        <v>40</v>
      </c>
      <c r="U833" s="118">
        <f t="shared" si="115"/>
        <v>0</v>
      </c>
    </row>
    <row r="834" spans="1:54" ht="17.100000000000001" hidden="1" customHeight="1" outlineLevel="1" x14ac:dyDescent="0.25">
      <c r="A834" s="3"/>
      <c r="C834" s="4"/>
      <c r="D834" s="181"/>
      <c r="E834" s="91" t="str">
        <f t="shared" si="116"/>
        <v>Lincoln North</v>
      </c>
      <c r="F834" s="93" t="str">
        <f t="shared" si="117"/>
        <v>CP137</v>
      </c>
      <c r="G834" s="99" t="str">
        <f t="shared" si="120"/>
        <v>CP137-RETURN - 1st don of the week -STD</v>
      </c>
      <c r="H834" s="182"/>
      <c r="I834" s="36" t="s">
        <v>45</v>
      </c>
      <c r="J834" s="58">
        <v>40</v>
      </c>
      <c r="K834" s="58">
        <v>40</v>
      </c>
      <c r="L834" s="58">
        <v>40</v>
      </c>
      <c r="M834" s="58">
        <v>40</v>
      </c>
      <c r="N834" s="58">
        <v>40</v>
      </c>
      <c r="O834" s="58">
        <v>40</v>
      </c>
      <c r="P834" s="58">
        <v>40</v>
      </c>
      <c r="Q834" s="58">
        <v>40</v>
      </c>
      <c r="R834" s="22"/>
      <c r="S834" s="117" t="str">
        <f t="shared" si="114"/>
        <v>N</v>
      </c>
      <c r="T834" s="114">
        <f>IFERROR(SUMIF('Current NLData'!A:A,'Payment Changes'!G834,'Current NLData'!K:K)/COUNTIF('Current NLData'!A:A,'Payment Changes'!G834),0)+IFERROR(VLOOKUP(G834&amp;"-ALL",NLPaymentExport,10,FALSE),0)</f>
        <v>40</v>
      </c>
      <c r="U834" s="118">
        <f t="shared" si="115"/>
        <v>0</v>
      </c>
    </row>
    <row r="835" spans="1:54" ht="17.100000000000001" hidden="1" customHeight="1" outlineLevel="1" x14ac:dyDescent="0.25">
      <c r="A835" s="3"/>
      <c r="C835" s="4"/>
      <c r="D835" s="181"/>
      <c r="E835" s="91" t="str">
        <f t="shared" si="116"/>
        <v>Lincoln North</v>
      </c>
      <c r="F835" s="93" t="str">
        <f t="shared" si="117"/>
        <v>CP137</v>
      </c>
      <c r="G835" s="99" t="str">
        <f t="shared" si="120"/>
        <v>CP137-RETURN - 2nd don of the week -BONUS</v>
      </c>
      <c r="H835" s="182"/>
      <c r="I835" s="36" t="s">
        <v>46</v>
      </c>
      <c r="J835" s="58">
        <v>40</v>
      </c>
      <c r="K835" s="58">
        <v>40</v>
      </c>
      <c r="L835" s="58">
        <v>40</v>
      </c>
      <c r="M835" s="58">
        <v>40</v>
      </c>
      <c r="N835" s="58">
        <v>40</v>
      </c>
      <c r="O835" s="58">
        <v>50</v>
      </c>
      <c r="P835" s="58">
        <v>50</v>
      </c>
      <c r="Q835" s="58">
        <v>50</v>
      </c>
      <c r="R835" s="22"/>
      <c r="S835" s="117" t="str">
        <f t="shared" ref="S835:S898" si="121">IF(P835=Q835,"N","Y")</f>
        <v>N</v>
      </c>
      <c r="T835" s="114">
        <f>IFERROR(SUMIF('Current NLData'!A:A,'Payment Changes'!G835,'Current NLData'!K:K)/COUNTIF('Current NLData'!A:A,'Payment Changes'!G835),0)+IFERROR(VLOOKUP(G835&amp;"-ALL",NLPaymentExport,10,FALSE),0)</f>
        <v>50</v>
      </c>
      <c r="U835" s="118">
        <f t="shared" si="115"/>
        <v>0</v>
      </c>
    </row>
    <row r="836" spans="1:54" ht="17.100000000000001" hidden="1" customHeight="1" outlineLevel="1" x14ac:dyDescent="0.25">
      <c r="A836" s="3"/>
      <c r="C836" s="4"/>
      <c r="D836" s="181"/>
      <c r="E836" s="91" t="str">
        <f t="shared" si="116"/>
        <v>Lincoln North</v>
      </c>
      <c r="F836" s="93" t="str">
        <f t="shared" si="117"/>
        <v>CP137</v>
      </c>
      <c r="G836" s="99" t="str">
        <f t="shared" si="120"/>
        <v>CP137-RETURN - 5th don of the month -BONUS</v>
      </c>
      <c r="H836" s="182"/>
      <c r="I836" s="37" t="s">
        <v>47</v>
      </c>
      <c r="J836" s="65">
        <v>0</v>
      </c>
      <c r="K836" s="65">
        <v>0</v>
      </c>
      <c r="L836" s="65">
        <v>0</v>
      </c>
      <c r="M836" s="65">
        <v>0</v>
      </c>
      <c r="N836" s="65">
        <v>0</v>
      </c>
      <c r="O836" s="65">
        <v>0</v>
      </c>
      <c r="P836" s="65">
        <v>0</v>
      </c>
      <c r="Q836" s="65">
        <v>0</v>
      </c>
      <c r="R836" s="22"/>
      <c r="S836" s="117" t="str">
        <f t="shared" si="121"/>
        <v>N</v>
      </c>
      <c r="T836" s="114">
        <f>IFERROR(SUMIF('Current NLData'!A:A,'Payment Changes'!G836,'Current NLData'!K:K)/COUNTIF('Current NLData'!A:A,'Payment Changes'!G836),0)+IFERROR(VLOOKUP(G836&amp;"-ALL",NLPaymentExport,10,FALSE),0)</f>
        <v>0</v>
      </c>
      <c r="U836" s="118">
        <f t="shared" si="115"/>
        <v>0</v>
      </c>
    </row>
    <row r="837" spans="1:54" ht="17.100000000000001" hidden="1" customHeight="1" outlineLevel="1" x14ac:dyDescent="0.25">
      <c r="A837" s="3"/>
      <c r="C837" s="4"/>
      <c r="D837" s="181"/>
      <c r="E837" s="91" t="str">
        <f t="shared" si="116"/>
        <v>Lincoln North</v>
      </c>
      <c r="F837" s="93" t="str">
        <f t="shared" si="117"/>
        <v>CP137</v>
      </c>
      <c r="G837" s="99" t="str">
        <f t="shared" si="120"/>
        <v>CP137-RETURN - 6th don of the month -BONUS</v>
      </c>
      <c r="H837" s="182"/>
      <c r="I837" s="38" t="s">
        <v>48</v>
      </c>
      <c r="J837" s="58">
        <v>15</v>
      </c>
      <c r="K837" s="58">
        <v>15</v>
      </c>
      <c r="L837" s="58">
        <v>0</v>
      </c>
      <c r="M837" s="58">
        <v>0</v>
      </c>
      <c r="N837" s="58">
        <v>0</v>
      </c>
      <c r="O837" s="58">
        <v>0</v>
      </c>
      <c r="P837" s="58">
        <v>0</v>
      </c>
      <c r="Q837" s="58">
        <v>0</v>
      </c>
      <c r="R837" s="22"/>
      <c r="S837" s="117" t="str">
        <f t="shared" si="121"/>
        <v>N</v>
      </c>
      <c r="T837" s="114">
        <f>IFERROR(SUMIF('Current NLData'!A:A,'Payment Changes'!G837,'Current NLData'!K:K)/COUNTIF('Current NLData'!A:A,'Payment Changes'!G837),0)+IFERROR(VLOOKUP(G837&amp;"-ALL",NLPaymentExport,10,FALSE),0)</f>
        <v>0</v>
      </c>
      <c r="U837" s="118">
        <f t="shared" si="115"/>
        <v>0</v>
      </c>
    </row>
    <row r="838" spans="1:54" ht="17.100000000000001" hidden="1" customHeight="1" outlineLevel="1" x14ac:dyDescent="0.25">
      <c r="A838" s="3"/>
      <c r="C838" s="4"/>
      <c r="D838" s="181"/>
      <c r="E838" s="91" t="str">
        <f t="shared" si="116"/>
        <v>Lincoln North</v>
      </c>
      <c r="F838" s="93" t="str">
        <f t="shared" si="117"/>
        <v>CP137</v>
      </c>
      <c r="G838" s="99" t="str">
        <f t="shared" si="120"/>
        <v>CP137-RETURN - 7th don of the month -BONUS</v>
      </c>
      <c r="H838" s="182"/>
      <c r="I838" s="38" t="s">
        <v>49</v>
      </c>
      <c r="J838" s="58">
        <v>0</v>
      </c>
      <c r="K838" s="58">
        <v>0</v>
      </c>
      <c r="L838" s="58">
        <v>0</v>
      </c>
      <c r="M838" s="58">
        <v>0</v>
      </c>
      <c r="N838" s="58">
        <v>0</v>
      </c>
      <c r="O838" s="58">
        <v>0</v>
      </c>
      <c r="P838" s="58">
        <v>0</v>
      </c>
      <c r="Q838" s="58">
        <v>0</v>
      </c>
      <c r="R838" s="22"/>
      <c r="S838" s="117" t="str">
        <f t="shared" si="121"/>
        <v>N</v>
      </c>
      <c r="T838" s="114">
        <f>IFERROR(SUMIF('Current NLData'!A:A,'Payment Changes'!G838,'Current NLData'!K:K)/COUNTIF('Current NLData'!A:A,'Payment Changes'!G838),0)+IFERROR(VLOOKUP(G838&amp;"-ALL",NLPaymentExport,10,FALSE),0)</f>
        <v>0</v>
      </c>
      <c r="U838" s="118">
        <f t="shared" si="115"/>
        <v>0</v>
      </c>
    </row>
    <row r="839" spans="1:54" ht="17.100000000000001" hidden="1" customHeight="1" outlineLevel="1" x14ac:dyDescent="0.25">
      <c r="A839" s="3"/>
      <c r="C839" s="4"/>
      <c r="D839" s="181"/>
      <c r="E839" s="91" t="str">
        <f t="shared" si="116"/>
        <v>Lincoln North</v>
      </c>
      <c r="F839" s="93" t="str">
        <f t="shared" si="117"/>
        <v>CP137</v>
      </c>
      <c r="G839" s="99" t="str">
        <f t="shared" si="120"/>
        <v>CP137-RETURN - 8th don of the month -BONUS</v>
      </c>
      <c r="H839" s="182"/>
      <c r="I839" s="38" t="s">
        <v>50</v>
      </c>
      <c r="J839" s="58">
        <v>0</v>
      </c>
      <c r="K839" s="58">
        <v>0</v>
      </c>
      <c r="L839" s="58">
        <v>0</v>
      </c>
      <c r="M839" s="58">
        <v>0</v>
      </c>
      <c r="N839" s="58">
        <v>0</v>
      </c>
      <c r="O839" s="58">
        <v>0</v>
      </c>
      <c r="P839" s="58">
        <v>0</v>
      </c>
      <c r="Q839" s="58">
        <v>30</v>
      </c>
      <c r="R839" s="22"/>
      <c r="S839" s="117" t="str">
        <f t="shared" si="121"/>
        <v>Y</v>
      </c>
      <c r="T839" s="114">
        <f>IFERROR(SUMIF('Current NLData'!A:A,'Payment Changes'!G839,'Current NLData'!K:K)/COUNTIF('Current NLData'!A:A,'Payment Changes'!G839),0)+IFERROR(VLOOKUP(G839&amp;"-ALL",NLPaymentExport,10,FALSE),0)</f>
        <v>0</v>
      </c>
      <c r="U839" s="118">
        <f t="shared" ref="U839:U902" si="122">IF(OR(I839 = "New Donor", I839="Return Donor", I839="Retention Bonus", I839="Referral", I839 = ""),"",T839-Q839 )</f>
        <v>-30</v>
      </c>
    </row>
    <row r="840" spans="1:54" ht="17.100000000000001" hidden="1" customHeight="1" outlineLevel="1" x14ac:dyDescent="0.25">
      <c r="A840" s="3"/>
      <c r="C840" s="4" t="str">
        <f>IF(J840=0,"Warning","")</f>
        <v/>
      </c>
      <c r="D840" s="181"/>
      <c r="E840" s="91" t="str">
        <f t="shared" ref="E840:E903" si="123">IF(B840 = "",E839,B840)</f>
        <v>Lincoln North</v>
      </c>
      <c r="F840" s="93" t="str">
        <f t="shared" ref="F840:F900" si="124">IF(D840 = "",F839,D840)</f>
        <v>CP137</v>
      </c>
      <c r="G840" s="99" t="str">
        <f t="shared" si="120"/>
        <v>CP137-RETURN - Buddy referral  -BONUS</v>
      </c>
      <c r="H840" s="182"/>
      <c r="I840" s="39" t="s">
        <v>51</v>
      </c>
      <c r="J840" s="58">
        <v>50</v>
      </c>
      <c r="K840" s="58">
        <v>50</v>
      </c>
      <c r="L840" s="58">
        <v>0</v>
      </c>
      <c r="M840" s="58">
        <v>0</v>
      </c>
      <c r="N840" s="58">
        <v>0</v>
      </c>
      <c r="O840" s="58">
        <v>50</v>
      </c>
      <c r="P840" s="58">
        <v>50</v>
      </c>
      <c r="Q840" s="58">
        <v>50</v>
      </c>
      <c r="R840" s="22"/>
      <c r="S840" s="117" t="str">
        <f t="shared" si="121"/>
        <v>N</v>
      </c>
      <c r="T840" s="114">
        <f>IFERROR(SUMIF('Current NLData'!A:A,'Payment Changes'!G840,'Current NLData'!K:K)/COUNTIF('Current NLData'!A:A,'Payment Changes'!G840),0)+IFERROR(VLOOKUP(G840&amp;"-ALL",NLPaymentExport,10,FALSE),0)</f>
        <v>50</v>
      </c>
      <c r="U840" s="118">
        <f t="shared" si="122"/>
        <v>0</v>
      </c>
    </row>
    <row r="841" spans="1:54" s="90" customFormat="1" ht="15.75" hidden="1" customHeight="1" collapsed="1" x14ac:dyDescent="0.35">
      <c r="A841" s="85"/>
      <c r="B841" s="85"/>
      <c r="C841" s="86"/>
      <c r="D841" s="87"/>
      <c r="E841" s="87"/>
      <c r="F841" s="87"/>
      <c r="G841" s="87"/>
      <c r="H841" s="96"/>
      <c r="I841" s="88"/>
      <c r="J841" s="89"/>
      <c r="K841" s="89"/>
      <c r="L841" s="89"/>
      <c r="M841" s="89"/>
      <c r="N841" s="89"/>
      <c r="O841" s="89"/>
      <c r="P841" s="89"/>
      <c r="Q841" s="89"/>
      <c r="R841" s="21"/>
      <c r="S841" s="117" t="str">
        <f t="shared" si="121"/>
        <v>N</v>
      </c>
      <c r="T841" s="114">
        <f>IFERROR(SUMIF('Current NLData'!A:A,'Payment Changes'!G841,'Current NLData'!K:K)/COUNTIF('Current NLData'!A:A,'Payment Changes'!G841),0)+IFERROR(VLOOKUP(G841&amp;"-ALL",NLPaymentExport,10,FALSE),0)</f>
        <v>0</v>
      </c>
      <c r="U841" s="118" t="str">
        <f t="shared" si="122"/>
        <v/>
      </c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1:54" s="10" customFormat="1" ht="17.100000000000001" hidden="1" customHeight="1" x14ac:dyDescent="0.25">
      <c r="A842" s="165">
        <v>43</v>
      </c>
      <c r="B842" s="168" t="s">
        <v>279</v>
      </c>
      <c r="C842" s="171" t="s">
        <v>106</v>
      </c>
      <c r="D842" s="174" t="s">
        <v>157</v>
      </c>
      <c r="E842" s="106" t="str">
        <f t="shared" si="123"/>
        <v>Amherst</v>
      </c>
      <c r="F842" s="107" t="s">
        <v>280</v>
      </c>
      <c r="G842" s="108" t="str">
        <f t="shared" ref="G842:G860" si="125">F842&amp;"-"&amp;I842</f>
        <v>CP917-New Donor</v>
      </c>
      <c r="H842" s="177" t="s">
        <v>75</v>
      </c>
      <c r="I842" s="76" t="s">
        <v>23</v>
      </c>
      <c r="J842" s="40" t="s">
        <v>281</v>
      </c>
      <c r="K842" s="41" t="s">
        <v>281</v>
      </c>
      <c r="L842" s="41" t="s">
        <v>281</v>
      </c>
      <c r="M842" s="42" t="s">
        <v>281</v>
      </c>
      <c r="N842" s="40" t="s">
        <v>281</v>
      </c>
      <c r="O842" s="40" t="s">
        <v>281</v>
      </c>
      <c r="P842" s="40" t="s">
        <v>281</v>
      </c>
      <c r="Q842" s="40" t="s">
        <v>281</v>
      </c>
      <c r="R842" s="109"/>
      <c r="S842" s="117" t="str">
        <f t="shared" si="121"/>
        <v>N</v>
      </c>
      <c r="T842" s="114">
        <f>IFERROR(SUMIF('Current NLData'!A:A,'Payment Changes'!G842,'Current NLData'!K:K)/COUNTIF('Current NLData'!A:A,'Payment Changes'!G842),0)+IFERROR(VLOOKUP(G842&amp;"-ALL",NLPaymentExport,10,FALSE),0)</f>
        <v>0</v>
      </c>
      <c r="U842" s="118" t="str">
        <f t="shared" si="122"/>
        <v/>
      </c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1:54" ht="17.100000000000001" hidden="1" customHeight="1" x14ac:dyDescent="0.25">
      <c r="A843" s="166"/>
      <c r="B843" s="169"/>
      <c r="C843" s="172"/>
      <c r="D843" s="175"/>
      <c r="E843" s="91" t="str">
        <f t="shared" si="123"/>
        <v>Amherst</v>
      </c>
      <c r="F843" s="92" t="s">
        <v>280</v>
      </c>
      <c r="G843" s="98" t="str">
        <f t="shared" si="125"/>
        <v>CP917-Return Donor</v>
      </c>
      <c r="H843" s="178"/>
      <c r="I843" s="77" t="s">
        <v>29</v>
      </c>
      <c r="J843" s="43" t="s">
        <v>282</v>
      </c>
      <c r="K843" s="43" t="s">
        <v>282</v>
      </c>
      <c r="L843" s="44" t="s">
        <v>282</v>
      </c>
      <c r="M843" s="45" t="s">
        <v>282</v>
      </c>
      <c r="N843" s="43" t="s">
        <v>282</v>
      </c>
      <c r="O843" s="43" t="s">
        <v>282</v>
      </c>
      <c r="P843" s="43" t="s">
        <v>283</v>
      </c>
      <c r="Q843" s="43" t="s">
        <v>284</v>
      </c>
      <c r="R843" s="21"/>
      <c r="S843" s="117" t="str">
        <f t="shared" si="121"/>
        <v>Y</v>
      </c>
      <c r="T843" s="114">
        <f>IFERROR(SUMIF('Current NLData'!A:A,'Payment Changes'!G843,'Current NLData'!K:K)/COUNTIF('Current NLData'!A:A,'Payment Changes'!G843),0)+IFERROR(VLOOKUP(G843&amp;"-ALL",NLPaymentExport,10,FALSE),0)</f>
        <v>0</v>
      </c>
      <c r="U843" s="118" t="str">
        <f t="shared" si="122"/>
        <v/>
      </c>
    </row>
    <row r="844" spans="1:54" ht="17.100000000000001" hidden="1" customHeight="1" x14ac:dyDescent="0.25">
      <c r="A844" s="166"/>
      <c r="B844" s="169"/>
      <c r="C844" s="172"/>
      <c r="D844" s="175"/>
      <c r="E844" s="91" t="str">
        <f t="shared" si="123"/>
        <v>Amherst</v>
      </c>
      <c r="F844" s="92" t="s">
        <v>280</v>
      </c>
      <c r="G844" s="98" t="str">
        <f t="shared" si="125"/>
        <v>CP917-Retention Bonus</v>
      </c>
      <c r="H844" s="178"/>
      <c r="I844" s="78" t="s">
        <v>30</v>
      </c>
      <c r="J844" s="46" t="s">
        <v>285</v>
      </c>
      <c r="K844" s="46" t="s">
        <v>285</v>
      </c>
      <c r="L844" s="47" t="s">
        <v>101</v>
      </c>
      <c r="M844" s="48" t="s">
        <v>101</v>
      </c>
      <c r="N844" s="46" t="s">
        <v>101</v>
      </c>
      <c r="O844" s="46" t="s">
        <v>101</v>
      </c>
      <c r="P844" s="46" t="s">
        <v>101</v>
      </c>
      <c r="Q844" s="46" t="s">
        <v>101</v>
      </c>
      <c r="R844" s="21"/>
      <c r="S844" s="117" t="str">
        <f t="shared" si="121"/>
        <v>N</v>
      </c>
      <c r="T844" s="114">
        <f>IFERROR(SUMIF('Current NLData'!A:A,'Payment Changes'!G844,'Current NLData'!K:K)/COUNTIF('Current NLData'!A:A,'Payment Changes'!G844),0)+IFERROR(VLOOKUP(G844&amp;"-ALL",NLPaymentExport,10,FALSE),0)</f>
        <v>0</v>
      </c>
      <c r="U844" s="118" t="str">
        <f t="shared" si="122"/>
        <v/>
      </c>
    </row>
    <row r="845" spans="1:54" s="15" customFormat="1" ht="17.100000000000001" hidden="1" customHeight="1" x14ac:dyDescent="0.25">
      <c r="A845" s="167"/>
      <c r="B845" s="170"/>
      <c r="C845" s="173"/>
      <c r="D845" s="176"/>
      <c r="E845" s="110" t="str">
        <f t="shared" si="123"/>
        <v>Amherst</v>
      </c>
      <c r="F845" s="111" t="s">
        <v>280</v>
      </c>
      <c r="G845" s="112" t="str">
        <f t="shared" si="125"/>
        <v>CP917-Referral</v>
      </c>
      <c r="H845" s="179"/>
      <c r="I845" s="79" t="s">
        <v>34</v>
      </c>
      <c r="J845" s="49">
        <v>50</v>
      </c>
      <c r="K845" s="49">
        <v>50</v>
      </c>
      <c r="L845" s="50">
        <v>50</v>
      </c>
      <c r="M845" s="51">
        <v>50</v>
      </c>
      <c r="N845" s="49">
        <v>50</v>
      </c>
      <c r="O845" s="49">
        <v>50</v>
      </c>
      <c r="P845" s="49">
        <v>50</v>
      </c>
      <c r="Q845" s="49">
        <v>50</v>
      </c>
      <c r="R845" s="113"/>
      <c r="S845" s="117" t="str">
        <f t="shared" si="121"/>
        <v>N</v>
      </c>
      <c r="T845" s="114">
        <f>IFERROR(SUMIF('Current NLData'!A:A,'Payment Changes'!G845,'Current NLData'!K:K)/COUNTIF('Current NLData'!A:A,'Payment Changes'!G845),0)+IFERROR(VLOOKUP(G845&amp;"-ALL",NLPaymentExport,10,FALSE),0)</f>
        <v>0</v>
      </c>
      <c r="U845" s="118" t="str">
        <f t="shared" si="122"/>
        <v/>
      </c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1:54" ht="17.100000000000001" hidden="1" customHeight="1" outlineLevel="1" x14ac:dyDescent="0.25">
      <c r="A846" s="3"/>
      <c r="C846" s="4"/>
      <c r="D846" s="180" t="s">
        <v>280</v>
      </c>
      <c r="E846" s="91" t="str">
        <f t="shared" si="123"/>
        <v>Amherst</v>
      </c>
      <c r="F846" s="93" t="str">
        <f t="shared" si="124"/>
        <v>CP917</v>
      </c>
      <c r="G846" s="99" t="str">
        <f t="shared" si="125"/>
        <v>CP917-NEW DONOR -1st</v>
      </c>
      <c r="H846" s="182" t="s">
        <v>36</v>
      </c>
      <c r="I846" s="33" t="s">
        <v>37</v>
      </c>
      <c r="J846" s="60">
        <v>100</v>
      </c>
      <c r="K846" s="60">
        <v>100</v>
      </c>
      <c r="L846" s="60">
        <v>100</v>
      </c>
      <c r="M846" s="60">
        <v>100</v>
      </c>
      <c r="N846" s="60">
        <v>100</v>
      </c>
      <c r="O846" s="60">
        <v>100</v>
      </c>
      <c r="P846" s="60">
        <v>100</v>
      </c>
      <c r="Q846" s="60">
        <v>100</v>
      </c>
      <c r="R846" s="22"/>
      <c r="S846" s="117" t="str">
        <f t="shared" si="121"/>
        <v>N</v>
      </c>
      <c r="T846" s="114">
        <f>IFERROR(SUMIF('Current NLData'!A:A,'Payment Changes'!G846,'Current NLData'!K:K)/COUNTIF('Current NLData'!A:A,'Payment Changes'!G846),0)+IFERROR(VLOOKUP(G846&amp;"-ALL",NLPaymentExport,10,FALSE),0)</f>
        <v>100</v>
      </c>
      <c r="U846" s="118">
        <f t="shared" si="122"/>
        <v>0</v>
      </c>
    </row>
    <row r="847" spans="1:54" ht="17.100000000000001" hidden="1" customHeight="1" outlineLevel="1" x14ac:dyDescent="0.25">
      <c r="A847" s="3"/>
      <c r="C847" s="4"/>
      <c r="D847" s="181"/>
      <c r="E847" s="91" t="str">
        <f t="shared" si="123"/>
        <v>Amherst</v>
      </c>
      <c r="F847" s="93" t="str">
        <f t="shared" si="124"/>
        <v>CP917</v>
      </c>
      <c r="G847" s="99" t="str">
        <f t="shared" si="125"/>
        <v>CP917-NEW DONOR -2nd</v>
      </c>
      <c r="H847" s="182"/>
      <c r="I847" s="34" t="s">
        <v>38</v>
      </c>
      <c r="J847" s="58">
        <v>100</v>
      </c>
      <c r="K847" s="58">
        <v>100</v>
      </c>
      <c r="L847" s="58">
        <v>100</v>
      </c>
      <c r="M847" s="58">
        <v>100</v>
      </c>
      <c r="N847" s="58">
        <v>100</v>
      </c>
      <c r="O847" s="58">
        <v>100</v>
      </c>
      <c r="P847" s="58">
        <v>100</v>
      </c>
      <c r="Q847" s="58">
        <v>100</v>
      </c>
      <c r="R847" s="22"/>
      <c r="S847" s="117" t="str">
        <f t="shared" si="121"/>
        <v>N</v>
      </c>
      <c r="T847" s="114">
        <f>IFERROR(SUMIF('Current NLData'!A:A,'Payment Changes'!G847,'Current NLData'!K:K)/COUNTIF('Current NLData'!A:A,'Payment Changes'!G847),0)+IFERROR(VLOOKUP(G847&amp;"-ALL",NLPaymentExport,10,FALSE),0)</f>
        <v>100</v>
      </c>
      <c r="U847" s="118">
        <f t="shared" si="122"/>
        <v>0</v>
      </c>
    </row>
    <row r="848" spans="1:54" ht="17.100000000000001" hidden="1" customHeight="1" outlineLevel="1" x14ac:dyDescent="0.25">
      <c r="A848" s="3"/>
      <c r="C848" s="4"/>
      <c r="D848" s="181"/>
      <c r="E848" s="91" t="str">
        <f t="shared" si="123"/>
        <v>Amherst</v>
      </c>
      <c r="F848" s="93" t="str">
        <f t="shared" si="124"/>
        <v>CP917</v>
      </c>
      <c r="G848" s="99" t="str">
        <f t="shared" si="125"/>
        <v>CP917-NEW DONOR -3rd</v>
      </c>
      <c r="H848" s="182"/>
      <c r="I848" s="34" t="s">
        <v>39</v>
      </c>
      <c r="J848" s="58">
        <v>100</v>
      </c>
      <c r="K848" s="58">
        <v>100</v>
      </c>
      <c r="L848" s="58">
        <v>100</v>
      </c>
      <c r="M848" s="58">
        <v>100</v>
      </c>
      <c r="N848" s="58">
        <v>100</v>
      </c>
      <c r="O848" s="58">
        <v>100</v>
      </c>
      <c r="P848" s="58">
        <v>100</v>
      </c>
      <c r="Q848" s="58">
        <v>100</v>
      </c>
      <c r="R848" s="22"/>
      <c r="S848" s="117" t="str">
        <f t="shared" si="121"/>
        <v>N</v>
      </c>
      <c r="T848" s="114">
        <f>IFERROR(SUMIF('Current NLData'!A:A,'Payment Changes'!G848,'Current NLData'!K:K)/COUNTIF('Current NLData'!A:A,'Payment Changes'!G848),0)+IFERROR(VLOOKUP(G848&amp;"-ALL",NLPaymentExport,10,FALSE),0)</f>
        <v>100</v>
      </c>
      <c r="U848" s="118">
        <f t="shared" si="122"/>
        <v>0</v>
      </c>
    </row>
    <row r="849" spans="1:54" ht="17.100000000000001" hidden="1" customHeight="1" outlineLevel="1" x14ac:dyDescent="0.25">
      <c r="A849" s="3"/>
      <c r="C849" s="4"/>
      <c r="D849" s="181"/>
      <c r="E849" s="91" t="str">
        <f t="shared" si="123"/>
        <v>Amherst</v>
      </c>
      <c r="F849" s="93" t="str">
        <f t="shared" si="124"/>
        <v>CP917</v>
      </c>
      <c r="G849" s="99" t="str">
        <f t="shared" si="125"/>
        <v>CP917-NEW DONOR -4th</v>
      </c>
      <c r="H849" s="182"/>
      <c r="I849" s="34" t="s">
        <v>40</v>
      </c>
      <c r="J849" s="58">
        <v>100</v>
      </c>
      <c r="K849" s="58">
        <v>100</v>
      </c>
      <c r="L849" s="58">
        <v>100</v>
      </c>
      <c r="M849" s="58">
        <v>100</v>
      </c>
      <c r="N849" s="58">
        <v>100</v>
      </c>
      <c r="O849" s="58">
        <v>100</v>
      </c>
      <c r="P849" s="58">
        <v>100</v>
      </c>
      <c r="Q849" s="58">
        <v>100</v>
      </c>
      <c r="R849" s="22"/>
      <c r="S849" s="117" t="str">
        <f t="shared" si="121"/>
        <v>N</v>
      </c>
      <c r="T849" s="114">
        <f>IFERROR(SUMIF('Current NLData'!A:A,'Payment Changes'!G849,'Current NLData'!K:K)/COUNTIF('Current NLData'!A:A,'Payment Changes'!G849),0)+IFERROR(VLOOKUP(G849&amp;"-ALL",NLPaymentExport,10,FALSE),0)</f>
        <v>100</v>
      </c>
      <c r="U849" s="118">
        <f t="shared" si="122"/>
        <v>0</v>
      </c>
    </row>
    <row r="850" spans="1:54" ht="17.100000000000001" hidden="1" customHeight="1" outlineLevel="1" x14ac:dyDescent="0.25">
      <c r="A850" s="3"/>
      <c r="C850" s="4"/>
      <c r="D850" s="181"/>
      <c r="E850" s="91" t="str">
        <f t="shared" si="123"/>
        <v>Amherst</v>
      </c>
      <c r="F850" s="93" t="str">
        <f t="shared" si="124"/>
        <v>CP917</v>
      </c>
      <c r="G850" s="99" t="str">
        <f t="shared" si="125"/>
        <v>CP917-NEW DONOR -5th</v>
      </c>
      <c r="H850" s="182"/>
      <c r="I850" s="34" t="s">
        <v>41</v>
      </c>
      <c r="J850" s="58">
        <v>100</v>
      </c>
      <c r="K850" s="58">
        <v>100</v>
      </c>
      <c r="L850" s="58">
        <v>100</v>
      </c>
      <c r="M850" s="58">
        <v>100</v>
      </c>
      <c r="N850" s="58">
        <v>100</v>
      </c>
      <c r="O850" s="58">
        <v>100</v>
      </c>
      <c r="P850" s="58">
        <v>100</v>
      </c>
      <c r="Q850" s="58">
        <v>100</v>
      </c>
      <c r="R850" s="22"/>
      <c r="S850" s="117" t="str">
        <f t="shared" si="121"/>
        <v>N</v>
      </c>
      <c r="T850" s="114">
        <f>IFERROR(SUMIF('Current NLData'!A:A,'Payment Changes'!G850,'Current NLData'!K:K)/COUNTIF('Current NLData'!A:A,'Payment Changes'!G850),0)+IFERROR(VLOOKUP(G850&amp;"-ALL",NLPaymentExport,10,FALSE),0)</f>
        <v>100</v>
      </c>
      <c r="U850" s="118">
        <f t="shared" si="122"/>
        <v>0</v>
      </c>
    </row>
    <row r="851" spans="1:54" ht="17.100000000000001" hidden="1" customHeight="1" outlineLevel="1" x14ac:dyDescent="0.25">
      <c r="A851" s="3"/>
      <c r="C851" s="4"/>
      <c r="D851" s="181"/>
      <c r="E851" s="91" t="str">
        <f t="shared" si="123"/>
        <v>Amherst</v>
      </c>
      <c r="F851" s="93" t="str">
        <f t="shared" si="124"/>
        <v>CP917</v>
      </c>
      <c r="G851" s="99" t="str">
        <f t="shared" si="125"/>
        <v>CP917-NEW DONOR -6th</v>
      </c>
      <c r="H851" s="182"/>
      <c r="I851" s="34" t="s">
        <v>42</v>
      </c>
      <c r="J851" s="58">
        <v>100</v>
      </c>
      <c r="K851" s="58">
        <v>100</v>
      </c>
      <c r="L851" s="58">
        <v>100</v>
      </c>
      <c r="M851" s="58">
        <v>100</v>
      </c>
      <c r="N851" s="58">
        <v>100</v>
      </c>
      <c r="O851" s="58">
        <v>100</v>
      </c>
      <c r="P851" s="58">
        <v>100</v>
      </c>
      <c r="Q851" s="58">
        <v>100</v>
      </c>
      <c r="R851" s="22"/>
      <c r="S851" s="117" t="str">
        <f t="shared" si="121"/>
        <v>N</v>
      </c>
      <c r="T851" s="114">
        <f>IFERROR(SUMIF('Current NLData'!A:A,'Payment Changes'!G851,'Current NLData'!K:K)/COUNTIF('Current NLData'!A:A,'Payment Changes'!G851),0)+IFERROR(VLOOKUP(G851&amp;"-ALL",NLPaymentExport,10,FALSE),0)</f>
        <v>100</v>
      </c>
      <c r="U851" s="118">
        <f t="shared" si="122"/>
        <v>0</v>
      </c>
    </row>
    <row r="852" spans="1:54" ht="17.100000000000001" hidden="1" customHeight="1" outlineLevel="1" x14ac:dyDescent="0.25">
      <c r="A852" s="3"/>
      <c r="C852" s="4"/>
      <c r="D852" s="181"/>
      <c r="E852" s="91" t="str">
        <f t="shared" si="123"/>
        <v>Amherst</v>
      </c>
      <c r="F852" s="93" t="str">
        <f t="shared" si="124"/>
        <v>CP917</v>
      </c>
      <c r="G852" s="99" t="str">
        <f t="shared" si="125"/>
        <v>CP917-NEW DONOR -7th</v>
      </c>
      <c r="H852" s="182"/>
      <c r="I852" s="34" t="s">
        <v>43</v>
      </c>
      <c r="J852" s="58">
        <v>100</v>
      </c>
      <c r="K852" s="58">
        <v>100</v>
      </c>
      <c r="L852" s="58">
        <v>100</v>
      </c>
      <c r="M852" s="58">
        <v>100</v>
      </c>
      <c r="N852" s="58">
        <v>100</v>
      </c>
      <c r="O852" s="58">
        <v>100</v>
      </c>
      <c r="P852" s="58">
        <v>100</v>
      </c>
      <c r="Q852" s="58">
        <v>100</v>
      </c>
      <c r="R852" s="22"/>
      <c r="S852" s="117" t="str">
        <f t="shared" si="121"/>
        <v>N</v>
      </c>
      <c r="T852" s="114">
        <f>IFERROR(SUMIF('Current NLData'!A:A,'Payment Changes'!G852,'Current NLData'!K:K)/COUNTIF('Current NLData'!A:A,'Payment Changes'!G852),0)+IFERROR(VLOOKUP(G852&amp;"-ALL",NLPaymentExport,10,FALSE),0)</f>
        <v>100</v>
      </c>
      <c r="U852" s="118">
        <f t="shared" si="122"/>
        <v>0</v>
      </c>
    </row>
    <row r="853" spans="1:54" ht="17.100000000000001" hidden="1" customHeight="1" outlineLevel="1" x14ac:dyDescent="0.25">
      <c r="A853" s="3"/>
      <c r="C853" s="4"/>
      <c r="D853" s="181"/>
      <c r="E853" s="91" t="str">
        <f t="shared" si="123"/>
        <v>Amherst</v>
      </c>
      <c r="F853" s="93" t="str">
        <f t="shared" si="124"/>
        <v>CP917</v>
      </c>
      <c r="G853" s="99" t="str">
        <f t="shared" si="125"/>
        <v>CP917-NEW DONOR -8th</v>
      </c>
      <c r="H853" s="182"/>
      <c r="I853" s="35" t="s">
        <v>44</v>
      </c>
      <c r="J853" s="63">
        <v>30</v>
      </c>
      <c r="K853" s="63">
        <v>30</v>
      </c>
      <c r="L853" s="63">
        <v>30</v>
      </c>
      <c r="M853" s="63">
        <v>30</v>
      </c>
      <c r="N853" s="63">
        <v>30</v>
      </c>
      <c r="O853" s="63">
        <v>30</v>
      </c>
      <c r="P853" s="63">
        <v>30</v>
      </c>
      <c r="Q853" s="63">
        <v>30</v>
      </c>
      <c r="R853" s="22"/>
      <c r="S853" s="117" t="str">
        <f t="shared" si="121"/>
        <v>N</v>
      </c>
      <c r="T853" s="114">
        <f>IFERROR(SUMIF('Current NLData'!A:A,'Payment Changes'!G853,'Current NLData'!K:K)/COUNTIF('Current NLData'!A:A,'Payment Changes'!G853),0)+IFERROR(VLOOKUP(G853&amp;"-ALL",NLPaymentExport,10,FALSE),0)</f>
        <v>30</v>
      </c>
      <c r="U853" s="118">
        <f t="shared" si="122"/>
        <v>0</v>
      </c>
    </row>
    <row r="854" spans="1:54" ht="17.100000000000001" hidden="1" customHeight="1" outlineLevel="1" x14ac:dyDescent="0.25">
      <c r="A854" s="3"/>
      <c r="C854" s="4"/>
      <c r="D854" s="181"/>
      <c r="E854" s="91" t="str">
        <f t="shared" si="123"/>
        <v>Amherst</v>
      </c>
      <c r="F854" s="93" t="str">
        <f t="shared" si="124"/>
        <v>CP917</v>
      </c>
      <c r="G854" s="99" t="str">
        <f t="shared" si="125"/>
        <v>CP917-RETURN - 1st don of the week -STD</v>
      </c>
      <c r="H854" s="182"/>
      <c r="I854" s="36" t="s">
        <v>45</v>
      </c>
      <c r="J854" s="58">
        <v>30</v>
      </c>
      <c r="K854" s="58">
        <v>30</v>
      </c>
      <c r="L854" s="58">
        <v>30</v>
      </c>
      <c r="M854" s="58">
        <v>30</v>
      </c>
      <c r="N854" s="58">
        <v>30</v>
      </c>
      <c r="O854" s="58">
        <v>30</v>
      </c>
      <c r="P854" s="58">
        <v>30</v>
      </c>
      <c r="Q854" s="58">
        <v>30</v>
      </c>
      <c r="R854" s="22"/>
      <c r="S854" s="117" t="str">
        <f t="shared" si="121"/>
        <v>N</v>
      </c>
      <c r="T854" s="114">
        <f>IFERROR(SUMIF('Current NLData'!A:A,'Payment Changes'!G854,'Current NLData'!K:K)/COUNTIF('Current NLData'!A:A,'Payment Changes'!G854),0)+IFERROR(VLOOKUP(G854&amp;"-ALL",NLPaymentExport,10,FALSE),0)</f>
        <v>30</v>
      </c>
      <c r="U854" s="118">
        <f t="shared" si="122"/>
        <v>0</v>
      </c>
    </row>
    <row r="855" spans="1:54" ht="17.100000000000001" hidden="1" customHeight="1" outlineLevel="1" x14ac:dyDescent="0.25">
      <c r="A855" s="3"/>
      <c r="C855" s="4"/>
      <c r="D855" s="181"/>
      <c r="E855" s="91" t="str">
        <f t="shared" si="123"/>
        <v>Amherst</v>
      </c>
      <c r="F855" s="93" t="str">
        <f t="shared" si="124"/>
        <v>CP917</v>
      </c>
      <c r="G855" s="99" t="str">
        <f t="shared" si="125"/>
        <v>CP917-RETURN - 2nd don of the week -BONUS</v>
      </c>
      <c r="H855" s="182"/>
      <c r="I855" s="36" t="s">
        <v>46</v>
      </c>
      <c r="J855" s="58">
        <v>25</v>
      </c>
      <c r="K855" s="58">
        <v>25</v>
      </c>
      <c r="L855" s="58">
        <v>25</v>
      </c>
      <c r="M855" s="58">
        <v>25</v>
      </c>
      <c r="N855" s="58">
        <v>25</v>
      </c>
      <c r="O855" s="58">
        <v>25</v>
      </c>
      <c r="P855" s="58">
        <v>25</v>
      </c>
      <c r="Q855" s="58">
        <v>25</v>
      </c>
      <c r="R855" s="22"/>
      <c r="S855" s="117" t="str">
        <f t="shared" si="121"/>
        <v>N</v>
      </c>
      <c r="T855" s="114">
        <f>IFERROR(SUMIF('Current NLData'!A:A,'Payment Changes'!G855,'Current NLData'!K:K)/COUNTIF('Current NLData'!A:A,'Payment Changes'!G855),0)+IFERROR(VLOOKUP(G855&amp;"-ALL",NLPaymentExport,10,FALSE),0)</f>
        <v>25</v>
      </c>
      <c r="U855" s="118">
        <f t="shared" si="122"/>
        <v>0</v>
      </c>
    </row>
    <row r="856" spans="1:54" ht="17.100000000000001" hidden="1" customHeight="1" outlineLevel="1" x14ac:dyDescent="0.25">
      <c r="A856" s="3"/>
      <c r="C856" s="4"/>
      <c r="D856" s="181"/>
      <c r="E856" s="91" t="str">
        <f t="shared" si="123"/>
        <v>Amherst</v>
      </c>
      <c r="F856" s="93" t="str">
        <f t="shared" si="124"/>
        <v>CP917</v>
      </c>
      <c r="G856" s="99" t="str">
        <f t="shared" si="125"/>
        <v>CP917-RETURN - 5th don of the month -BONUS</v>
      </c>
      <c r="H856" s="182"/>
      <c r="I856" s="37" t="s">
        <v>47</v>
      </c>
      <c r="J856" s="65">
        <v>0</v>
      </c>
      <c r="K856" s="65">
        <v>0</v>
      </c>
      <c r="L856" s="65">
        <v>0</v>
      </c>
      <c r="M856" s="65">
        <v>0</v>
      </c>
      <c r="N856" s="65">
        <v>0</v>
      </c>
      <c r="O856" s="65">
        <v>0</v>
      </c>
      <c r="P856" s="65">
        <v>0</v>
      </c>
      <c r="Q856" s="65">
        <v>0</v>
      </c>
      <c r="R856" s="22"/>
      <c r="S856" s="117" t="str">
        <f t="shared" si="121"/>
        <v>N</v>
      </c>
      <c r="T856" s="114">
        <f>IFERROR(SUMIF('Current NLData'!A:A,'Payment Changes'!G856,'Current NLData'!K:K)/COUNTIF('Current NLData'!A:A,'Payment Changes'!G856),0)+IFERROR(VLOOKUP(G856&amp;"-ALL",NLPaymentExport,10,FALSE),0)</f>
        <v>0</v>
      </c>
      <c r="U856" s="118">
        <f t="shared" si="122"/>
        <v>0</v>
      </c>
    </row>
    <row r="857" spans="1:54" ht="17.100000000000001" hidden="1" customHeight="1" outlineLevel="1" x14ac:dyDescent="0.25">
      <c r="A857" s="3"/>
      <c r="C857" s="4"/>
      <c r="D857" s="181"/>
      <c r="E857" s="91" t="str">
        <f t="shared" si="123"/>
        <v>Amherst</v>
      </c>
      <c r="F857" s="93" t="str">
        <f t="shared" si="124"/>
        <v>CP917</v>
      </c>
      <c r="G857" s="99" t="str">
        <f t="shared" si="125"/>
        <v>CP917-RETURN - 6th don of the month -BONUS</v>
      </c>
      <c r="H857" s="182"/>
      <c r="I857" s="38" t="s">
        <v>48</v>
      </c>
      <c r="J857" s="58">
        <v>0</v>
      </c>
      <c r="K857" s="58">
        <v>0</v>
      </c>
      <c r="L857" s="58">
        <v>30</v>
      </c>
      <c r="M857" s="58">
        <v>30</v>
      </c>
      <c r="N857" s="58">
        <v>30</v>
      </c>
      <c r="O857" s="58">
        <v>30</v>
      </c>
      <c r="P857" s="58">
        <v>30</v>
      </c>
      <c r="Q857" s="58">
        <v>30</v>
      </c>
      <c r="R857" s="22"/>
      <c r="S857" s="117" t="str">
        <f t="shared" si="121"/>
        <v>N</v>
      </c>
      <c r="T857" s="114">
        <f>IFERROR(SUMIF('Current NLData'!A:A,'Payment Changes'!G857,'Current NLData'!K:K)/COUNTIF('Current NLData'!A:A,'Payment Changes'!G857),0)+IFERROR(VLOOKUP(G857&amp;"-ALL",NLPaymentExport,10,FALSE),0)</f>
        <v>30</v>
      </c>
      <c r="U857" s="118">
        <f t="shared" si="122"/>
        <v>0</v>
      </c>
    </row>
    <row r="858" spans="1:54" ht="17.100000000000001" hidden="1" customHeight="1" outlineLevel="1" x14ac:dyDescent="0.25">
      <c r="A858" s="3"/>
      <c r="C858" s="4"/>
      <c r="D858" s="181"/>
      <c r="E858" s="91" t="str">
        <f t="shared" si="123"/>
        <v>Amherst</v>
      </c>
      <c r="F858" s="93" t="str">
        <f t="shared" si="124"/>
        <v>CP917</v>
      </c>
      <c r="G858" s="99" t="str">
        <f t="shared" si="125"/>
        <v>CP917-RETURN - 7th don of the month -BONUS</v>
      </c>
      <c r="H858" s="182"/>
      <c r="I858" s="38" t="s">
        <v>49</v>
      </c>
      <c r="J858" s="58">
        <v>0</v>
      </c>
      <c r="K858" s="58">
        <v>0</v>
      </c>
      <c r="L858" s="58">
        <v>0</v>
      </c>
      <c r="M858" s="58">
        <v>0</v>
      </c>
      <c r="N858" s="58">
        <v>0</v>
      </c>
      <c r="O858" s="58">
        <v>0</v>
      </c>
      <c r="P858" s="58">
        <v>0</v>
      </c>
      <c r="Q858" s="58">
        <v>0</v>
      </c>
      <c r="R858" s="22"/>
      <c r="S858" s="117" t="str">
        <f t="shared" si="121"/>
        <v>N</v>
      </c>
      <c r="T858" s="114">
        <f>IFERROR(SUMIF('Current NLData'!A:A,'Payment Changes'!G858,'Current NLData'!K:K)/COUNTIF('Current NLData'!A:A,'Payment Changes'!G858),0)+IFERROR(VLOOKUP(G858&amp;"-ALL",NLPaymentExport,10,FALSE),0)</f>
        <v>0</v>
      </c>
      <c r="U858" s="118">
        <f t="shared" si="122"/>
        <v>0</v>
      </c>
    </row>
    <row r="859" spans="1:54" ht="17.100000000000001" hidden="1" customHeight="1" outlineLevel="1" x14ac:dyDescent="0.25">
      <c r="A859" s="3"/>
      <c r="C859" s="4"/>
      <c r="D859" s="181"/>
      <c r="E859" s="91" t="str">
        <f t="shared" si="123"/>
        <v>Amherst</v>
      </c>
      <c r="F859" s="93" t="str">
        <f t="shared" si="124"/>
        <v>CP917</v>
      </c>
      <c r="G859" s="99" t="str">
        <f t="shared" si="125"/>
        <v>CP917-RETURN - 8th don of the month -BONUS</v>
      </c>
      <c r="H859" s="182"/>
      <c r="I859" s="38" t="s">
        <v>50</v>
      </c>
      <c r="J859" s="58">
        <v>50</v>
      </c>
      <c r="K859" s="58">
        <v>50</v>
      </c>
      <c r="L859" s="58">
        <v>0</v>
      </c>
      <c r="M859" s="58">
        <v>0</v>
      </c>
      <c r="N859" s="58">
        <v>0</v>
      </c>
      <c r="O859" s="58">
        <v>0</v>
      </c>
      <c r="P859" s="58">
        <v>0</v>
      </c>
      <c r="Q859" s="58">
        <v>0</v>
      </c>
      <c r="R859" s="22"/>
      <c r="S859" s="117" t="str">
        <f t="shared" si="121"/>
        <v>N</v>
      </c>
      <c r="T859" s="114">
        <f>IFERROR(SUMIF('Current NLData'!A:A,'Payment Changes'!G859,'Current NLData'!K:K)/COUNTIF('Current NLData'!A:A,'Payment Changes'!G859),0)+IFERROR(VLOOKUP(G859&amp;"-ALL",NLPaymentExport,10,FALSE),0)</f>
        <v>0</v>
      </c>
      <c r="U859" s="118">
        <f t="shared" si="122"/>
        <v>0</v>
      </c>
    </row>
    <row r="860" spans="1:54" ht="17.100000000000001" hidden="1" customHeight="1" outlineLevel="1" x14ac:dyDescent="0.25">
      <c r="A860" s="3"/>
      <c r="C860" s="4" t="str">
        <f>IF(J860=0,"Warning","")</f>
        <v/>
      </c>
      <c r="D860" s="181"/>
      <c r="E860" s="91" t="str">
        <f t="shared" si="123"/>
        <v>Amherst</v>
      </c>
      <c r="F860" s="93" t="str">
        <f t="shared" si="124"/>
        <v>CP917</v>
      </c>
      <c r="G860" s="99" t="str">
        <f t="shared" si="125"/>
        <v>CP917-RETURN - Buddy referral  -BONUS</v>
      </c>
      <c r="H860" s="182"/>
      <c r="I860" s="39" t="s">
        <v>51</v>
      </c>
      <c r="J860" s="58">
        <v>50</v>
      </c>
      <c r="K860" s="58">
        <v>50</v>
      </c>
      <c r="L860" s="58">
        <v>50</v>
      </c>
      <c r="M860" s="58">
        <v>50</v>
      </c>
      <c r="N860" s="58">
        <v>50</v>
      </c>
      <c r="O860" s="58">
        <v>50</v>
      </c>
      <c r="P860" s="58">
        <v>50</v>
      </c>
      <c r="Q860" s="58">
        <v>50</v>
      </c>
      <c r="R860" s="22"/>
      <c r="S860" s="117" t="str">
        <f t="shared" si="121"/>
        <v>N</v>
      </c>
      <c r="T860" s="114">
        <f>IFERROR(SUMIF('Current NLData'!A:A,'Payment Changes'!G860,'Current NLData'!K:K)/COUNTIF('Current NLData'!A:A,'Payment Changes'!G860),0)+IFERROR(VLOOKUP(G860&amp;"-ALL",NLPaymentExport,10,FALSE),0)</f>
        <v>50</v>
      </c>
      <c r="U860" s="118">
        <f t="shared" si="122"/>
        <v>0</v>
      </c>
    </row>
    <row r="861" spans="1:54" s="90" customFormat="1" ht="17.100000000000001" hidden="1" customHeight="1" collapsed="1" x14ac:dyDescent="0.35">
      <c r="A861" s="85"/>
      <c r="B861" s="85"/>
      <c r="C861" s="86"/>
      <c r="D861" s="87"/>
      <c r="E861" s="87"/>
      <c r="F861" s="87"/>
      <c r="G861" s="87"/>
      <c r="H861" s="96"/>
      <c r="I861" s="88"/>
      <c r="J861" s="89"/>
      <c r="K861" s="89"/>
      <c r="L861" s="89"/>
      <c r="M861" s="89"/>
      <c r="N861" s="89"/>
      <c r="O861" s="89"/>
      <c r="P861" s="89"/>
      <c r="Q861" s="89"/>
      <c r="R861" s="21"/>
      <c r="S861" s="117" t="str">
        <f t="shared" si="121"/>
        <v>N</v>
      </c>
      <c r="T861" s="114">
        <f>IFERROR(SUMIF('Current NLData'!A:A,'Payment Changes'!G861,'Current NLData'!K:K)/COUNTIF('Current NLData'!A:A,'Payment Changes'!G861),0)+IFERROR(VLOOKUP(G861&amp;"-ALL",NLPaymentExport,10,FALSE),0)</f>
        <v>0</v>
      </c>
      <c r="U861" s="118" t="str">
        <f t="shared" si="122"/>
        <v/>
      </c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1:54" s="10" customFormat="1" ht="17.100000000000001" hidden="1" customHeight="1" x14ac:dyDescent="0.25">
      <c r="A862" s="165">
        <v>44</v>
      </c>
      <c r="B862" s="168" t="s">
        <v>286</v>
      </c>
      <c r="C862" s="171" t="s">
        <v>19</v>
      </c>
      <c r="D862" s="174" t="s">
        <v>157</v>
      </c>
      <c r="E862" s="106" t="str">
        <f t="shared" si="123"/>
        <v>Pittston</v>
      </c>
      <c r="F862" s="107" t="s">
        <v>287</v>
      </c>
      <c r="G862" s="108" t="str">
        <f t="shared" ref="G862:G880" si="126">F862&amp;"-"&amp;I862</f>
        <v>CP944-New Donor</v>
      </c>
      <c r="H862" s="177" t="s">
        <v>75</v>
      </c>
      <c r="I862" s="76" t="s">
        <v>23</v>
      </c>
      <c r="J862" s="40" t="s">
        <v>232</v>
      </c>
      <c r="K862" s="41" t="s">
        <v>288</v>
      </c>
      <c r="L862" s="41" t="s">
        <v>289</v>
      </c>
      <c r="M862" s="42" t="s">
        <v>289</v>
      </c>
      <c r="N862" s="40" t="s">
        <v>289</v>
      </c>
      <c r="O862" s="40" t="s">
        <v>289</v>
      </c>
      <c r="P862" s="40" t="s">
        <v>289</v>
      </c>
      <c r="Q862" s="40" t="s">
        <v>289</v>
      </c>
      <c r="R862" s="109"/>
      <c r="S862" s="117" t="str">
        <f t="shared" si="121"/>
        <v>N</v>
      </c>
      <c r="T862" s="114">
        <f>IFERROR(SUMIF('Current NLData'!A:A,'Payment Changes'!G862,'Current NLData'!K:K)/COUNTIF('Current NLData'!A:A,'Payment Changes'!G862),0)+IFERROR(VLOOKUP(G862&amp;"-ALL",NLPaymentExport,10,FALSE),0)</f>
        <v>0</v>
      </c>
      <c r="U862" s="118" t="str">
        <f t="shared" si="122"/>
        <v/>
      </c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1:54" ht="17.100000000000001" hidden="1" customHeight="1" x14ac:dyDescent="0.25">
      <c r="A863" s="166"/>
      <c r="B863" s="169"/>
      <c r="C863" s="172"/>
      <c r="D863" s="175"/>
      <c r="E863" s="91" t="str">
        <f t="shared" si="123"/>
        <v>Pittston</v>
      </c>
      <c r="F863" s="92" t="s">
        <v>287</v>
      </c>
      <c r="G863" s="98" t="str">
        <f t="shared" si="126"/>
        <v>CP944-Return Donor</v>
      </c>
      <c r="H863" s="178"/>
      <c r="I863" s="77" t="s">
        <v>29</v>
      </c>
      <c r="J863" s="43" t="s">
        <v>222</v>
      </c>
      <c r="K863" s="43" t="s">
        <v>222</v>
      </c>
      <c r="L863" s="44" t="s">
        <v>222</v>
      </c>
      <c r="M863" s="45" t="s">
        <v>222</v>
      </c>
      <c r="N863" s="43" t="s">
        <v>222</v>
      </c>
      <c r="O863" s="43" t="s">
        <v>222</v>
      </c>
      <c r="P863" s="43" t="s">
        <v>222</v>
      </c>
      <c r="Q863" s="43" t="s">
        <v>222</v>
      </c>
      <c r="R863" s="21"/>
      <c r="S863" s="117" t="str">
        <f t="shared" si="121"/>
        <v>N</v>
      </c>
      <c r="T863" s="114">
        <f>IFERROR(SUMIF('Current NLData'!A:A,'Payment Changes'!G863,'Current NLData'!K:K)/COUNTIF('Current NLData'!A:A,'Payment Changes'!G863),0)+IFERROR(VLOOKUP(G863&amp;"-ALL",NLPaymentExport,10,FALSE),0)</f>
        <v>0</v>
      </c>
      <c r="U863" s="118" t="str">
        <f t="shared" si="122"/>
        <v/>
      </c>
    </row>
    <row r="864" spans="1:54" ht="17.100000000000001" hidden="1" customHeight="1" x14ac:dyDescent="0.25">
      <c r="A864" s="166"/>
      <c r="B864" s="169"/>
      <c r="C864" s="172"/>
      <c r="D864" s="175"/>
      <c r="E864" s="91" t="str">
        <f t="shared" si="123"/>
        <v>Pittston</v>
      </c>
      <c r="F864" s="92" t="s">
        <v>287</v>
      </c>
      <c r="G864" s="98" t="str">
        <f t="shared" si="126"/>
        <v>CP944-Retention Bonus</v>
      </c>
      <c r="H864" s="178"/>
      <c r="I864" s="78" t="s">
        <v>30</v>
      </c>
      <c r="J864" s="46" t="s">
        <v>267</v>
      </c>
      <c r="K864" s="46" t="s">
        <v>267</v>
      </c>
      <c r="L864" s="47" t="s">
        <v>267</v>
      </c>
      <c r="M864" s="48" t="s">
        <v>267</v>
      </c>
      <c r="N864" s="46" t="s">
        <v>267</v>
      </c>
      <c r="O864" s="46" t="s">
        <v>267</v>
      </c>
      <c r="P864" s="46" t="s">
        <v>267</v>
      </c>
      <c r="Q864" s="46" t="s">
        <v>267</v>
      </c>
      <c r="R864" s="21"/>
      <c r="S864" s="117" t="str">
        <f t="shared" si="121"/>
        <v>N</v>
      </c>
      <c r="T864" s="114">
        <f>IFERROR(SUMIF('Current NLData'!A:A,'Payment Changes'!G864,'Current NLData'!K:K)/COUNTIF('Current NLData'!A:A,'Payment Changes'!G864),0)+IFERROR(VLOOKUP(G864&amp;"-ALL",NLPaymentExport,10,FALSE),0)</f>
        <v>0</v>
      </c>
      <c r="U864" s="118" t="str">
        <f t="shared" si="122"/>
        <v/>
      </c>
    </row>
    <row r="865" spans="1:54" s="15" customFormat="1" ht="17.100000000000001" hidden="1" customHeight="1" x14ac:dyDescent="0.25">
      <c r="A865" s="167"/>
      <c r="B865" s="170"/>
      <c r="C865" s="173"/>
      <c r="D865" s="176"/>
      <c r="E865" s="110" t="str">
        <f t="shared" si="123"/>
        <v>Pittston</v>
      </c>
      <c r="F865" s="111" t="s">
        <v>287</v>
      </c>
      <c r="G865" s="112" t="str">
        <f t="shared" si="126"/>
        <v>CP944-Referral</v>
      </c>
      <c r="H865" s="179"/>
      <c r="I865" s="79" t="s">
        <v>34</v>
      </c>
      <c r="J865" s="49">
        <v>50</v>
      </c>
      <c r="K865" s="49">
        <v>50</v>
      </c>
      <c r="L865" s="50" t="s">
        <v>32</v>
      </c>
      <c r="M865" s="51" t="s">
        <v>32</v>
      </c>
      <c r="N865" s="49" t="s">
        <v>32</v>
      </c>
      <c r="O865" s="49">
        <v>50</v>
      </c>
      <c r="P865" s="49">
        <v>50</v>
      </c>
      <c r="Q865" s="49">
        <v>50</v>
      </c>
      <c r="R865" s="113"/>
      <c r="S865" s="117" t="str">
        <f t="shared" si="121"/>
        <v>N</v>
      </c>
      <c r="T865" s="114">
        <f>IFERROR(SUMIF('Current NLData'!A:A,'Payment Changes'!G865,'Current NLData'!K:K)/COUNTIF('Current NLData'!A:A,'Payment Changes'!G865),0)+IFERROR(VLOOKUP(G865&amp;"-ALL",NLPaymentExport,10,FALSE),0)</f>
        <v>0</v>
      </c>
      <c r="U865" s="118" t="str">
        <f t="shared" si="122"/>
        <v/>
      </c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1:54" ht="17.100000000000001" hidden="1" customHeight="1" outlineLevel="1" x14ac:dyDescent="0.25">
      <c r="A866" s="3"/>
      <c r="C866" s="4"/>
      <c r="D866" s="180" t="s">
        <v>287</v>
      </c>
      <c r="E866" s="91" t="str">
        <f t="shared" si="123"/>
        <v>Pittston</v>
      </c>
      <c r="F866" s="93" t="str">
        <f t="shared" si="124"/>
        <v>CP944</v>
      </c>
      <c r="G866" s="99" t="str">
        <f t="shared" si="126"/>
        <v>CP944-NEW DONOR -1st</v>
      </c>
      <c r="H866" s="182" t="s">
        <v>36</v>
      </c>
      <c r="I866" s="33" t="s">
        <v>37</v>
      </c>
      <c r="J866" s="60">
        <v>100</v>
      </c>
      <c r="K866" s="61">
        <v>100</v>
      </c>
      <c r="L866" s="60">
        <v>100</v>
      </c>
      <c r="M866" s="60">
        <v>100</v>
      </c>
      <c r="N866" s="60">
        <v>100</v>
      </c>
      <c r="O866" s="60">
        <v>100</v>
      </c>
      <c r="P866" s="60">
        <v>100</v>
      </c>
      <c r="Q866" s="60">
        <v>100</v>
      </c>
      <c r="R866" s="23"/>
      <c r="S866" s="117" t="str">
        <f t="shared" si="121"/>
        <v>N</v>
      </c>
      <c r="T866" s="114">
        <f>IFERROR(SUMIF('Current NLData'!A:A,'Payment Changes'!G866,'Current NLData'!K:K)/COUNTIF('Current NLData'!A:A,'Payment Changes'!G866),0)+IFERROR(VLOOKUP(G866&amp;"-ALL",NLPaymentExport,10,FALSE),0)</f>
        <v>100</v>
      </c>
      <c r="U866" s="118">
        <f t="shared" si="122"/>
        <v>0</v>
      </c>
    </row>
    <row r="867" spans="1:54" ht="17.100000000000001" hidden="1" customHeight="1" outlineLevel="1" x14ac:dyDescent="0.25">
      <c r="A867" s="3"/>
      <c r="C867" s="4"/>
      <c r="D867" s="181"/>
      <c r="E867" s="91" t="str">
        <f t="shared" si="123"/>
        <v>Pittston</v>
      </c>
      <c r="F867" s="93" t="str">
        <f t="shared" si="124"/>
        <v>CP944</v>
      </c>
      <c r="G867" s="99" t="str">
        <f t="shared" si="126"/>
        <v>CP944-NEW DONOR -2nd</v>
      </c>
      <c r="H867" s="182"/>
      <c r="I867" s="34" t="s">
        <v>38</v>
      </c>
      <c r="J867" s="58">
        <v>100</v>
      </c>
      <c r="K867" s="62">
        <v>100</v>
      </c>
      <c r="L867" s="58">
        <v>100</v>
      </c>
      <c r="M867" s="58">
        <v>100</v>
      </c>
      <c r="N867" s="58">
        <v>100</v>
      </c>
      <c r="O867" s="58">
        <v>100</v>
      </c>
      <c r="P867" s="58">
        <v>100</v>
      </c>
      <c r="Q867" s="58">
        <v>100</v>
      </c>
      <c r="R867" s="23"/>
      <c r="S867" s="117" t="str">
        <f t="shared" si="121"/>
        <v>N</v>
      </c>
      <c r="T867" s="114">
        <f>IFERROR(SUMIF('Current NLData'!A:A,'Payment Changes'!G867,'Current NLData'!K:K)/COUNTIF('Current NLData'!A:A,'Payment Changes'!G867),0)+IFERROR(VLOOKUP(G867&amp;"-ALL",NLPaymentExport,10,FALSE),0)</f>
        <v>100</v>
      </c>
      <c r="U867" s="118">
        <f t="shared" si="122"/>
        <v>0</v>
      </c>
    </row>
    <row r="868" spans="1:54" ht="17.100000000000001" hidden="1" customHeight="1" outlineLevel="1" x14ac:dyDescent="0.25">
      <c r="A868" s="3"/>
      <c r="C868" s="4"/>
      <c r="D868" s="181"/>
      <c r="E868" s="91" t="str">
        <f t="shared" si="123"/>
        <v>Pittston</v>
      </c>
      <c r="F868" s="93" t="str">
        <f t="shared" si="124"/>
        <v>CP944</v>
      </c>
      <c r="G868" s="99" t="str">
        <f t="shared" si="126"/>
        <v>CP944-NEW DONOR -3rd</v>
      </c>
      <c r="H868" s="182"/>
      <c r="I868" s="34" t="s">
        <v>39</v>
      </c>
      <c r="J868" s="58">
        <v>100</v>
      </c>
      <c r="K868" s="62">
        <v>100</v>
      </c>
      <c r="L868" s="58">
        <v>100</v>
      </c>
      <c r="M868" s="58">
        <v>100</v>
      </c>
      <c r="N868" s="58">
        <v>100</v>
      </c>
      <c r="O868" s="58">
        <v>100</v>
      </c>
      <c r="P868" s="58">
        <v>100</v>
      </c>
      <c r="Q868" s="58">
        <v>100</v>
      </c>
      <c r="R868" s="23"/>
      <c r="S868" s="117" t="str">
        <f t="shared" si="121"/>
        <v>N</v>
      </c>
      <c r="T868" s="114">
        <f>IFERROR(SUMIF('Current NLData'!A:A,'Payment Changes'!G868,'Current NLData'!K:K)/COUNTIF('Current NLData'!A:A,'Payment Changes'!G868),0)+IFERROR(VLOOKUP(G868&amp;"-ALL",NLPaymentExport,10,FALSE),0)</f>
        <v>100</v>
      </c>
      <c r="U868" s="118">
        <f t="shared" si="122"/>
        <v>0</v>
      </c>
    </row>
    <row r="869" spans="1:54" ht="17.100000000000001" hidden="1" customHeight="1" outlineLevel="1" x14ac:dyDescent="0.25">
      <c r="A869" s="3"/>
      <c r="C869" s="4"/>
      <c r="D869" s="181"/>
      <c r="E869" s="91" t="str">
        <f t="shared" si="123"/>
        <v>Pittston</v>
      </c>
      <c r="F869" s="93" t="str">
        <f t="shared" si="124"/>
        <v>CP944</v>
      </c>
      <c r="G869" s="99" t="str">
        <f t="shared" si="126"/>
        <v>CP944-NEW DONOR -4th</v>
      </c>
      <c r="H869" s="182"/>
      <c r="I869" s="34" t="s">
        <v>40</v>
      </c>
      <c r="J869" s="58">
        <v>100</v>
      </c>
      <c r="K869" s="62">
        <v>100</v>
      </c>
      <c r="L869" s="58">
        <v>50</v>
      </c>
      <c r="M869" s="58">
        <v>50</v>
      </c>
      <c r="N869" s="58">
        <v>50</v>
      </c>
      <c r="O869" s="58">
        <v>50</v>
      </c>
      <c r="P869" s="58">
        <v>50</v>
      </c>
      <c r="Q869" s="58">
        <v>50</v>
      </c>
      <c r="R869" s="23"/>
      <c r="S869" s="117" t="str">
        <f t="shared" si="121"/>
        <v>N</v>
      </c>
      <c r="T869" s="114">
        <f>IFERROR(SUMIF('Current NLData'!A:A,'Payment Changes'!G869,'Current NLData'!K:K)/COUNTIF('Current NLData'!A:A,'Payment Changes'!G869),0)+IFERROR(VLOOKUP(G869&amp;"-ALL",NLPaymentExport,10,FALSE),0)</f>
        <v>50</v>
      </c>
      <c r="U869" s="118">
        <f t="shared" si="122"/>
        <v>0</v>
      </c>
    </row>
    <row r="870" spans="1:54" ht="17.100000000000001" hidden="1" customHeight="1" outlineLevel="1" x14ac:dyDescent="0.25">
      <c r="A870" s="3"/>
      <c r="C870" s="4"/>
      <c r="D870" s="181"/>
      <c r="E870" s="91" t="str">
        <f t="shared" si="123"/>
        <v>Pittston</v>
      </c>
      <c r="F870" s="93" t="str">
        <f t="shared" si="124"/>
        <v>CP944</v>
      </c>
      <c r="G870" s="99" t="str">
        <f t="shared" si="126"/>
        <v>CP944-NEW DONOR -5th</v>
      </c>
      <c r="H870" s="182"/>
      <c r="I870" s="34" t="s">
        <v>41</v>
      </c>
      <c r="J870" s="58">
        <v>50</v>
      </c>
      <c r="K870" s="62">
        <v>50</v>
      </c>
      <c r="L870" s="58">
        <v>50</v>
      </c>
      <c r="M870" s="58">
        <v>50</v>
      </c>
      <c r="N870" s="58">
        <v>50</v>
      </c>
      <c r="O870" s="58">
        <v>50</v>
      </c>
      <c r="P870" s="58">
        <v>50</v>
      </c>
      <c r="Q870" s="58">
        <v>50</v>
      </c>
      <c r="R870" s="23"/>
      <c r="S870" s="117" t="str">
        <f t="shared" si="121"/>
        <v>N</v>
      </c>
      <c r="T870" s="114">
        <f>IFERROR(SUMIF('Current NLData'!A:A,'Payment Changes'!G870,'Current NLData'!K:K)/COUNTIF('Current NLData'!A:A,'Payment Changes'!G870),0)+IFERROR(VLOOKUP(G870&amp;"-ALL",NLPaymentExport,10,FALSE),0)</f>
        <v>50</v>
      </c>
      <c r="U870" s="118">
        <f t="shared" si="122"/>
        <v>0</v>
      </c>
    </row>
    <row r="871" spans="1:54" ht="17.100000000000001" hidden="1" customHeight="1" outlineLevel="1" x14ac:dyDescent="0.25">
      <c r="A871" s="3"/>
      <c r="C871" s="4"/>
      <c r="D871" s="181"/>
      <c r="E871" s="91" t="str">
        <f t="shared" si="123"/>
        <v>Pittston</v>
      </c>
      <c r="F871" s="93" t="str">
        <f t="shared" si="124"/>
        <v>CP944</v>
      </c>
      <c r="G871" s="99" t="str">
        <f t="shared" si="126"/>
        <v>CP944-NEW DONOR -6th</v>
      </c>
      <c r="H871" s="182"/>
      <c r="I871" s="34" t="s">
        <v>42</v>
      </c>
      <c r="J871" s="58">
        <v>50</v>
      </c>
      <c r="K871" s="62">
        <v>70</v>
      </c>
      <c r="L871" s="58">
        <v>50</v>
      </c>
      <c r="M871" s="58">
        <v>50</v>
      </c>
      <c r="N871" s="58">
        <v>50</v>
      </c>
      <c r="O871" s="58">
        <v>50</v>
      </c>
      <c r="P871" s="58">
        <v>50</v>
      </c>
      <c r="Q871" s="58">
        <v>50</v>
      </c>
      <c r="R871" s="23"/>
      <c r="S871" s="117" t="str">
        <f t="shared" si="121"/>
        <v>N</v>
      </c>
      <c r="T871" s="114">
        <f>IFERROR(SUMIF('Current NLData'!A:A,'Payment Changes'!G871,'Current NLData'!K:K)/COUNTIF('Current NLData'!A:A,'Payment Changes'!G871),0)+IFERROR(VLOOKUP(G871&amp;"-ALL",NLPaymentExport,10,FALSE),0)</f>
        <v>50</v>
      </c>
      <c r="U871" s="118">
        <f t="shared" si="122"/>
        <v>0</v>
      </c>
    </row>
    <row r="872" spans="1:54" ht="17.100000000000001" hidden="1" customHeight="1" outlineLevel="1" x14ac:dyDescent="0.25">
      <c r="A872" s="3"/>
      <c r="C872" s="4"/>
      <c r="D872" s="181"/>
      <c r="E872" s="91" t="str">
        <f t="shared" si="123"/>
        <v>Pittston</v>
      </c>
      <c r="F872" s="93" t="str">
        <f t="shared" si="124"/>
        <v>CP944</v>
      </c>
      <c r="G872" s="99" t="str">
        <f t="shared" si="126"/>
        <v>CP944-NEW DONOR -7th</v>
      </c>
      <c r="H872" s="182"/>
      <c r="I872" s="34" t="s">
        <v>43</v>
      </c>
      <c r="J872" s="58">
        <v>50</v>
      </c>
      <c r="K872" s="62">
        <v>50</v>
      </c>
      <c r="L872" s="58">
        <v>50</v>
      </c>
      <c r="M872" s="58">
        <v>50</v>
      </c>
      <c r="N872" s="58">
        <v>50</v>
      </c>
      <c r="O872" s="58">
        <v>50</v>
      </c>
      <c r="P872" s="58">
        <v>50</v>
      </c>
      <c r="Q872" s="58">
        <v>50</v>
      </c>
      <c r="R872" s="23"/>
      <c r="S872" s="117" t="str">
        <f t="shared" si="121"/>
        <v>N</v>
      </c>
      <c r="T872" s="114">
        <f>IFERROR(SUMIF('Current NLData'!A:A,'Payment Changes'!G872,'Current NLData'!K:K)/COUNTIF('Current NLData'!A:A,'Payment Changes'!G872),0)+IFERROR(VLOOKUP(G872&amp;"-ALL",NLPaymentExport,10,FALSE),0)</f>
        <v>50</v>
      </c>
      <c r="U872" s="118">
        <f t="shared" si="122"/>
        <v>0</v>
      </c>
    </row>
    <row r="873" spans="1:54" ht="17.100000000000001" hidden="1" customHeight="1" outlineLevel="1" x14ac:dyDescent="0.25">
      <c r="A873" s="3"/>
      <c r="C873" s="4"/>
      <c r="D873" s="181"/>
      <c r="E873" s="91" t="str">
        <f t="shared" si="123"/>
        <v>Pittston</v>
      </c>
      <c r="F873" s="93" t="str">
        <f t="shared" si="124"/>
        <v>CP944</v>
      </c>
      <c r="G873" s="99" t="str">
        <f t="shared" si="126"/>
        <v>CP944-NEW DONOR -8th</v>
      </c>
      <c r="H873" s="182"/>
      <c r="I873" s="35" t="s">
        <v>44</v>
      </c>
      <c r="J873" s="63">
        <v>50</v>
      </c>
      <c r="K873" s="64">
        <v>70</v>
      </c>
      <c r="L873" s="63">
        <v>50</v>
      </c>
      <c r="M873" s="63">
        <v>50</v>
      </c>
      <c r="N873" s="63">
        <v>50</v>
      </c>
      <c r="O873" s="63">
        <v>50</v>
      </c>
      <c r="P873" s="63">
        <v>50</v>
      </c>
      <c r="Q873" s="63">
        <v>50</v>
      </c>
      <c r="R873" s="23"/>
      <c r="S873" s="117" t="str">
        <f t="shared" si="121"/>
        <v>N</v>
      </c>
      <c r="T873" s="114">
        <f>IFERROR(SUMIF('Current NLData'!A:A,'Payment Changes'!G873,'Current NLData'!K:K)/COUNTIF('Current NLData'!A:A,'Payment Changes'!G873),0)+IFERROR(VLOOKUP(G873&amp;"-ALL",NLPaymentExport,10,FALSE),0)</f>
        <v>50</v>
      </c>
      <c r="U873" s="118">
        <f t="shared" si="122"/>
        <v>0</v>
      </c>
    </row>
    <row r="874" spans="1:54" ht="17.100000000000001" hidden="1" customHeight="1" outlineLevel="1" x14ac:dyDescent="0.25">
      <c r="A874" s="3"/>
      <c r="C874" s="4"/>
      <c r="D874" s="181"/>
      <c r="E874" s="91" t="str">
        <f t="shared" si="123"/>
        <v>Pittston</v>
      </c>
      <c r="F874" s="93" t="str">
        <f t="shared" si="124"/>
        <v>CP944</v>
      </c>
      <c r="G874" s="99" t="str">
        <f t="shared" si="126"/>
        <v>CP944-RETURN - 1st don of the week -STD</v>
      </c>
      <c r="H874" s="182"/>
      <c r="I874" s="36" t="s">
        <v>45</v>
      </c>
      <c r="J874" s="58">
        <v>50</v>
      </c>
      <c r="K874" s="58">
        <v>50</v>
      </c>
      <c r="L874" s="58">
        <v>50</v>
      </c>
      <c r="M874" s="58">
        <v>50</v>
      </c>
      <c r="N874" s="58">
        <v>50</v>
      </c>
      <c r="O874" s="58">
        <v>50</v>
      </c>
      <c r="P874" s="58">
        <v>50</v>
      </c>
      <c r="Q874" s="58">
        <v>50</v>
      </c>
      <c r="R874" s="22"/>
      <c r="S874" s="117" t="str">
        <f t="shared" si="121"/>
        <v>N</v>
      </c>
      <c r="T874" s="114">
        <f>IFERROR(SUMIF('Current NLData'!A:A,'Payment Changes'!G874,'Current NLData'!K:K)/COUNTIF('Current NLData'!A:A,'Payment Changes'!G874),0)+IFERROR(VLOOKUP(G874&amp;"-ALL",NLPaymentExport,10,FALSE),0)</f>
        <v>50</v>
      </c>
      <c r="U874" s="118">
        <f t="shared" si="122"/>
        <v>0</v>
      </c>
    </row>
    <row r="875" spans="1:54" ht="17.100000000000001" hidden="1" customHeight="1" outlineLevel="1" x14ac:dyDescent="0.25">
      <c r="A875" s="3"/>
      <c r="C875" s="4"/>
      <c r="D875" s="181"/>
      <c r="E875" s="91" t="str">
        <f t="shared" si="123"/>
        <v>Pittston</v>
      </c>
      <c r="F875" s="93" t="str">
        <f t="shared" si="124"/>
        <v>CP944</v>
      </c>
      <c r="G875" s="99" t="str">
        <f t="shared" si="126"/>
        <v>CP944-RETURN - 2nd don of the week -BONUS</v>
      </c>
      <c r="H875" s="182"/>
      <c r="I875" s="36" t="s">
        <v>46</v>
      </c>
      <c r="J875" s="58">
        <v>20</v>
      </c>
      <c r="K875" s="58">
        <v>20</v>
      </c>
      <c r="L875" s="58">
        <v>20</v>
      </c>
      <c r="M875" s="58">
        <v>20</v>
      </c>
      <c r="N875" s="58">
        <v>20</v>
      </c>
      <c r="O875" s="58">
        <v>20</v>
      </c>
      <c r="P875" s="58">
        <v>20</v>
      </c>
      <c r="Q875" s="58">
        <v>20</v>
      </c>
      <c r="R875" s="22"/>
      <c r="S875" s="117" t="str">
        <f t="shared" si="121"/>
        <v>N</v>
      </c>
      <c r="T875" s="114">
        <f>IFERROR(SUMIF('Current NLData'!A:A,'Payment Changes'!G875,'Current NLData'!K:K)/COUNTIF('Current NLData'!A:A,'Payment Changes'!G875),0)+IFERROR(VLOOKUP(G875&amp;"-ALL",NLPaymentExport,10,FALSE),0)</f>
        <v>20</v>
      </c>
      <c r="U875" s="118">
        <f t="shared" si="122"/>
        <v>0</v>
      </c>
    </row>
    <row r="876" spans="1:54" ht="17.100000000000001" hidden="1" customHeight="1" outlineLevel="1" x14ac:dyDescent="0.25">
      <c r="A876" s="3"/>
      <c r="C876" s="4"/>
      <c r="D876" s="181"/>
      <c r="E876" s="91" t="str">
        <f t="shared" si="123"/>
        <v>Pittston</v>
      </c>
      <c r="F876" s="93" t="str">
        <f t="shared" si="124"/>
        <v>CP944</v>
      </c>
      <c r="G876" s="99" t="str">
        <f t="shared" si="126"/>
        <v>CP944-RETURN - 5th don of the month -BONUS</v>
      </c>
      <c r="H876" s="182"/>
      <c r="I876" s="37" t="s">
        <v>47</v>
      </c>
      <c r="J876" s="65">
        <v>0</v>
      </c>
      <c r="K876" s="65">
        <v>0</v>
      </c>
      <c r="L876" s="65">
        <v>0</v>
      </c>
      <c r="M876" s="65">
        <v>0</v>
      </c>
      <c r="N876" s="65">
        <v>0</v>
      </c>
      <c r="O876" s="65">
        <v>0</v>
      </c>
      <c r="P876" s="65">
        <v>0</v>
      </c>
      <c r="Q876" s="65">
        <v>0</v>
      </c>
      <c r="R876" s="22"/>
      <c r="S876" s="117" t="str">
        <f t="shared" si="121"/>
        <v>N</v>
      </c>
      <c r="T876" s="114">
        <f>IFERROR(SUMIF('Current NLData'!A:A,'Payment Changes'!G876,'Current NLData'!K:K)/COUNTIF('Current NLData'!A:A,'Payment Changes'!G876),0)+IFERROR(VLOOKUP(G876&amp;"-ALL",NLPaymentExport,10,FALSE),0)</f>
        <v>0</v>
      </c>
      <c r="U876" s="118">
        <f t="shared" si="122"/>
        <v>0</v>
      </c>
    </row>
    <row r="877" spans="1:54" ht="17.100000000000001" hidden="1" customHeight="1" outlineLevel="1" x14ac:dyDescent="0.25">
      <c r="A877" s="3"/>
      <c r="C877" s="4"/>
      <c r="D877" s="181"/>
      <c r="E877" s="91" t="str">
        <f t="shared" si="123"/>
        <v>Pittston</v>
      </c>
      <c r="F877" s="93" t="str">
        <f t="shared" si="124"/>
        <v>CP944</v>
      </c>
      <c r="G877" s="99" t="str">
        <f t="shared" si="126"/>
        <v>CP944-RETURN - 6th don of the month -BONUS</v>
      </c>
      <c r="H877" s="182"/>
      <c r="I877" s="38" t="s">
        <v>48</v>
      </c>
      <c r="J877" s="58">
        <v>25</v>
      </c>
      <c r="K877" s="58">
        <v>25</v>
      </c>
      <c r="L877" s="58">
        <v>25</v>
      </c>
      <c r="M877" s="58">
        <v>25</v>
      </c>
      <c r="N877" s="58">
        <v>25</v>
      </c>
      <c r="O877" s="58">
        <v>25</v>
      </c>
      <c r="P877" s="58">
        <v>25</v>
      </c>
      <c r="Q877" s="58">
        <v>25</v>
      </c>
      <c r="R877" s="22"/>
      <c r="S877" s="117" t="str">
        <f t="shared" si="121"/>
        <v>N</v>
      </c>
      <c r="T877" s="114">
        <f>IFERROR(SUMIF('Current NLData'!A:A,'Payment Changes'!G877,'Current NLData'!K:K)/COUNTIF('Current NLData'!A:A,'Payment Changes'!G877),0)+IFERROR(VLOOKUP(G877&amp;"-ALL",NLPaymentExport,10,FALSE),0)</f>
        <v>25</v>
      </c>
      <c r="U877" s="118">
        <f t="shared" si="122"/>
        <v>0</v>
      </c>
    </row>
    <row r="878" spans="1:54" ht="17.100000000000001" hidden="1" customHeight="1" outlineLevel="1" x14ac:dyDescent="0.25">
      <c r="A878" s="3"/>
      <c r="C878" s="4"/>
      <c r="D878" s="181"/>
      <c r="E878" s="91" t="str">
        <f t="shared" si="123"/>
        <v>Pittston</v>
      </c>
      <c r="F878" s="93" t="str">
        <f t="shared" si="124"/>
        <v>CP944</v>
      </c>
      <c r="G878" s="99" t="str">
        <f t="shared" si="126"/>
        <v>CP944-RETURN - 7th don of the month -BONUS</v>
      </c>
      <c r="H878" s="182"/>
      <c r="I878" s="38" t="s">
        <v>49</v>
      </c>
      <c r="J878" s="58">
        <v>0</v>
      </c>
      <c r="K878" s="58">
        <v>0</v>
      </c>
      <c r="L878" s="58">
        <v>0</v>
      </c>
      <c r="M878" s="58">
        <v>0</v>
      </c>
      <c r="N878" s="58">
        <v>0</v>
      </c>
      <c r="O878" s="58">
        <v>0</v>
      </c>
      <c r="P878" s="58">
        <v>0</v>
      </c>
      <c r="Q878" s="58">
        <v>0</v>
      </c>
      <c r="R878" s="22"/>
      <c r="S878" s="117" t="str">
        <f t="shared" si="121"/>
        <v>N</v>
      </c>
      <c r="T878" s="114">
        <f>IFERROR(SUMIF('Current NLData'!A:A,'Payment Changes'!G878,'Current NLData'!K:K)/COUNTIF('Current NLData'!A:A,'Payment Changes'!G878),0)+IFERROR(VLOOKUP(G878&amp;"-ALL",NLPaymentExport,10,FALSE),0)</f>
        <v>0</v>
      </c>
      <c r="U878" s="118">
        <f t="shared" si="122"/>
        <v>0</v>
      </c>
    </row>
    <row r="879" spans="1:54" ht="17.100000000000001" hidden="1" customHeight="1" outlineLevel="1" x14ac:dyDescent="0.25">
      <c r="A879" s="3"/>
      <c r="C879" s="4"/>
      <c r="D879" s="181"/>
      <c r="E879" s="91" t="str">
        <f t="shared" si="123"/>
        <v>Pittston</v>
      </c>
      <c r="F879" s="93" t="str">
        <f t="shared" si="124"/>
        <v>CP944</v>
      </c>
      <c r="G879" s="99" t="str">
        <f t="shared" si="126"/>
        <v>CP944-RETURN - 8th don of the month -BONUS</v>
      </c>
      <c r="H879" s="182"/>
      <c r="I879" s="38" t="s">
        <v>50</v>
      </c>
      <c r="J879" s="58">
        <v>0</v>
      </c>
      <c r="K879" s="58">
        <v>0</v>
      </c>
      <c r="L879" s="58">
        <v>0</v>
      </c>
      <c r="M879" s="58">
        <v>0</v>
      </c>
      <c r="N879" s="58">
        <v>0</v>
      </c>
      <c r="O879" s="58">
        <v>0</v>
      </c>
      <c r="P879" s="58">
        <v>0</v>
      </c>
      <c r="Q879" s="58">
        <v>0</v>
      </c>
      <c r="R879" s="22"/>
      <c r="S879" s="117" t="str">
        <f t="shared" si="121"/>
        <v>N</v>
      </c>
      <c r="T879" s="114">
        <f>IFERROR(SUMIF('Current NLData'!A:A,'Payment Changes'!G879,'Current NLData'!K:K)/COUNTIF('Current NLData'!A:A,'Payment Changes'!G879),0)+IFERROR(VLOOKUP(G879&amp;"-ALL",NLPaymentExport,10,FALSE),0)</f>
        <v>0</v>
      </c>
      <c r="U879" s="118">
        <f t="shared" si="122"/>
        <v>0</v>
      </c>
    </row>
    <row r="880" spans="1:54" ht="17.100000000000001" hidden="1" customHeight="1" outlineLevel="1" x14ac:dyDescent="0.25">
      <c r="A880" s="3"/>
      <c r="C880" s="4" t="str">
        <f>IF(J880=0,"Warning","")</f>
        <v/>
      </c>
      <c r="D880" s="181"/>
      <c r="E880" s="91" t="str">
        <f t="shared" si="123"/>
        <v>Pittston</v>
      </c>
      <c r="F880" s="93" t="str">
        <f t="shared" si="124"/>
        <v>CP944</v>
      </c>
      <c r="G880" s="99" t="str">
        <f t="shared" si="126"/>
        <v>CP944-RETURN - Buddy referral  -BONUS</v>
      </c>
      <c r="H880" s="182"/>
      <c r="I880" s="39" t="s">
        <v>51</v>
      </c>
      <c r="J880" s="58">
        <v>50</v>
      </c>
      <c r="K880" s="58">
        <v>50</v>
      </c>
      <c r="L880" s="58">
        <v>0</v>
      </c>
      <c r="M880" s="58">
        <v>0</v>
      </c>
      <c r="N880" s="58">
        <v>0</v>
      </c>
      <c r="O880" s="58">
        <v>50</v>
      </c>
      <c r="P880" s="58">
        <v>50</v>
      </c>
      <c r="Q880" s="58">
        <v>50</v>
      </c>
      <c r="R880" s="22"/>
      <c r="S880" s="117" t="str">
        <f t="shared" si="121"/>
        <v>N</v>
      </c>
      <c r="T880" s="114">
        <f>IFERROR(SUMIF('Current NLData'!A:A,'Payment Changes'!G880,'Current NLData'!K:K)/COUNTIF('Current NLData'!A:A,'Payment Changes'!G880),0)+IFERROR(VLOOKUP(G880&amp;"-ALL",NLPaymentExport,10,FALSE),0)</f>
        <v>50</v>
      </c>
      <c r="U880" s="118">
        <f t="shared" si="122"/>
        <v>0</v>
      </c>
    </row>
    <row r="881" spans="1:54" s="90" customFormat="1" ht="17.100000000000001" hidden="1" customHeight="1" collapsed="1" x14ac:dyDescent="0.35">
      <c r="A881" s="85"/>
      <c r="B881" s="85"/>
      <c r="C881" s="86"/>
      <c r="D881" s="87"/>
      <c r="E881" s="87"/>
      <c r="F881" s="87"/>
      <c r="G881" s="87"/>
      <c r="H881" s="96"/>
      <c r="I881" s="88"/>
      <c r="J881" s="89"/>
      <c r="K881" s="89"/>
      <c r="L881" s="89"/>
      <c r="M881" s="89"/>
      <c r="N881" s="89"/>
      <c r="O881" s="89"/>
      <c r="P881" s="89"/>
      <c r="Q881" s="89"/>
      <c r="R881" s="21"/>
      <c r="S881" s="117" t="str">
        <f t="shared" si="121"/>
        <v>N</v>
      </c>
      <c r="T881" s="114">
        <f>IFERROR(SUMIF('Current NLData'!A:A,'Payment Changes'!G881,'Current NLData'!K:K)/COUNTIF('Current NLData'!A:A,'Payment Changes'!G881),0)+IFERROR(VLOOKUP(G881&amp;"-ALL",NLPaymentExport,10,FALSE),0)</f>
        <v>0</v>
      </c>
      <c r="U881" s="118" t="str">
        <f t="shared" si="122"/>
        <v/>
      </c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1:54" s="10" customFormat="1" ht="17.100000000000001" hidden="1" customHeight="1" x14ac:dyDescent="0.25">
      <c r="A882" s="165">
        <v>45</v>
      </c>
      <c r="B882" s="168" t="s">
        <v>290</v>
      </c>
      <c r="C882" s="171" t="s">
        <v>19</v>
      </c>
      <c r="D882" s="174" t="s">
        <v>57</v>
      </c>
      <c r="E882" s="106" t="str">
        <f t="shared" si="123"/>
        <v>Hot Springs</v>
      </c>
      <c r="F882" s="107" t="s">
        <v>291</v>
      </c>
      <c r="G882" s="108" t="str">
        <f t="shared" ref="G882:G900" si="127">F882&amp;"-"&amp;I882</f>
        <v>CP224-New Donor</v>
      </c>
      <c r="H882" s="177" t="s">
        <v>147</v>
      </c>
      <c r="I882" s="76" t="s">
        <v>23</v>
      </c>
      <c r="J882" s="40" t="s">
        <v>292</v>
      </c>
      <c r="K882" s="41" t="s">
        <v>292</v>
      </c>
      <c r="L882" s="41" t="s">
        <v>292</v>
      </c>
      <c r="M882" s="41" t="s">
        <v>293</v>
      </c>
      <c r="N882" s="40" t="s">
        <v>293</v>
      </c>
      <c r="O882" s="40" t="s">
        <v>293</v>
      </c>
      <c r="P882" s="40" t="s">
        <v>293</v>
      </c>
      <c r="Q882" s="40" t="s">
        <v>289</v>
      </c>
      <c r="R882" s="109"/>
      <c r="S882" s="117" t="str">
        <f t="shared" si="121"/>
        <v>Y</v>
      </c>
      <c r="T882" s="114">
        <f>IFERROR(SUMIF('Current NLData'!A:A,'Payment Changes'!G882,'Current NLData'!K:K)/COUNTIF('Current NLData'!A:A,'Payment Changes'!G882),0)+IFERROR(VLOOKUP(G882&amp;"-ALL",NLPaymentExport,10,FALSE),0)</f>
        <v>0</v>
      </c>
      <c r="U882" s="118" t="str">
        <f t="shared" si="122"/>
        <v/>
      </c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1:54" ht="17.100000000000001" hidden="1" customHeight="1" x14ac:dyDescent="0.25">
      <c r="A883" s="166"/>
      <c r="B883" s="169"/>
      <c r="C883" s="172"/>
      <c r="D883" s="175"/>
      <c r="E883" s="91" t="str">
        <f t="shared" si="123"/>
        <v>Hot Springs</v>
      </c>
      <c r="F883" s="92" t="s">
        <v>291</v>
      </c>
      <c r="G883" s="98" t="str">
        <f t="shared" si="127"/>
        <v>CP224-Return Donor</v>
      </c>
      <c r="H883" s="178"/>
      <c r="I883" s="77" t="s">
        <v>29</v>
      </c>
      <c r="J883" s="43" t="s">
        <v>292</v>
      </c>
      <c r="K883" s="43" t="s">
        <v>292</v>
      </c>
      <c r="L883" s="44" t="s">
        <v>292</v>
      </c>
      <c r="M883" s="45" t="s">
        <v>292</v>
      </c>
      <c r="N883" s="43" t="s">
        <v>292</v>
      </c>
      <c r="O883" s="43" t="s">
        <v>292</v>
      </c>
      <c r="P883" s="43" t="s">
        <v>292</v>
      </c>
      <c r="Q883" s="43" t="s">
        <v>294</v>
      </c>
      <c r="R883" s="21"/>
      <c r="S883" s="117" t="str">
        <f t="shared" si="121"/>
        <v>Y</v>
      </c>
      <c r="T883" s="114">
        <f>IFERROR(SUMIF('Current NLData'!A:A,'Payment Changes'!G883,'Current NLData'!K:K)/COUNTIF('Current NLData'!A:A,'Payment Changes'!G883),0)+IFERROR(VLOOKUP(G883&amp;"-ALL",NLPaymentExport,10,FALSE),0)</f>
        <v>0</v>
      </c>
      <c r="U883" s="118" t="str">
        <f t="shared" si="122"/>
        <v/>
      </c>
    </row>
    <row r="884" spans="1:54" ht="17.100000000000001" hidden="1" customHeight="1" x14ac:dyDescent="0.25">
      <c r="A884" s="166"/>
      <c r="B884" s="169"/>
      <c r="C884" s="172"/>
      <c r="D884" s="175"/>
      <c r="E884" s="91" t="str">
        <f t="shared" si="123"/>
        <v>Hot Springs</v>
      </c>
      <c r="F884" s="92" t="s">
        <v>291</v>
      </c>
      <c r="G884" s="98" t="str">
        <f t="shared" si="127"/>
        <v>CP224-Retention Bonus</v>
      </c>
      <c r="H884" s="178"/>
      <c r="I884" s="78" t="s">
        <v>30</v>
      </c>
      <c r="J884" s="46" t="s">
        <v>31</v>
      </c>
      <c r="K884" s="46" t="s">
        <v>31</v>
      </c>
      <c r="L884" s="47" t="s">
        <v>32</v>
      </c>
      <c r="M884" s="47" t="s">
        <v>268</v>
      </c>
      <c r="N884" s="46" t="s">
        <v>268</v>
      </c>
      <c r="O884" s="46" t="s">
        <v>268</v>
      </c>
      <c r="P884" s="46" t="s">
        <v>268</v>
      </c>
      <c r="Q884" s="46" t="s">
        <v>268</v>
      </c>
      <c r="R884" s="21"/>
      <c r="S884" s="117" t="str">
        <f t="shared" si="121"/>
        <v>N</v>
      </c>
      <c r="T884" s="114">
        <f>IFERROR(SUMIF('Current NLData'!A:A,'Payment Changes'!G884,'Current NLData'!K:K)/COUNTIF('Current NLData'!A:A,'Payment Changes'!G884),0)+IFERROR(VLOOKUP(G884&amp;"-ALL",NLPaymentExport,10,FALSE),0)</f>
        <v>0</v>
      </c>
      <c r="U884" s="118" t="str">
        <f t="shared" si="122"/>
        <v/>
      </c>
    </row>
    <row r="885" spans="1:54" s="15" customFormat="1" ht="17.100000000000001" hidden="1" customHeight="1" x14ac:dyDescent="0.25">
      <c r="A885" s="167"/>
      <c r="B885" s="170"/>
      <c r="C885" s="173"/>
      <c r="D885" s="176"/>
      <c r="E885" s="110" t="str">
        <f t="shared" si="123"/>
        <v>Hot Springs</v>
      </c>
      <c r="F885" s="111" t="s">
        <v>291</v>
      </c>
      <c r="G885" s="112" t="str">
        <f t="shared" si="127"/>
        <v>CP224-Referral</v>
      </c>
      <c r="H885" s="179"/>
      <c r="I885" s="79" t="s">
        <v>34</v>
      </c>
      <c r="J885" s="49">
        <v>50</v>
      </c>
      <c r="K885" s="49">
        <v>50</v>
      </c>
      <c r="L885" s="50" t="s">
        <v>32</v>
      </c>
      <c r="M885" s="50" t="s">
        <v>247</v>
      </c>
      <c r="N885" s="49" t="s">
        <v>247</v>
      </c>
      <c r="O885" s="49" t="s">
        <v>247</v>
      </c>
      <c r="P885" s="49" t="s">
        <v>247</v>
      </c>
      <c r="Q885" s="49" t="s">
        <v>247</v>
      </c>
      <c r="R885" s="113"/>
      <c r="S885" s="117" t="str">
        <f t="shared" si="121"/>
        <v>N</v>
      </c>
      <c r="T885" s="114">
        <f>IFERROR(SUMIF('Current NLData'!A:A,'Payment Changes'!G885,'Current NLData'!K:K)/COUNTIF('Current NLData'!A:A,'Payment Changes'!G885),0)+IFERROR(VLOOKUP(G885&amp;"-ALL",NLPaymentExport,10,FALSE),0)</f>
        <v>0</v>
      </c>
      <c r="U885" s="118" t="str">
        <f t="shared" si="122"/>
        <v/>
      </c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1:54" ht="17.100000000000001" hidden="1" customHeight="1" outlineLevel="1" x14ac:dyDescent="0.25">
      <c r="A886" s="3"/>
      <c r="C886" s="4"/>
      <c r="D886" s="180" t="s">
        <v>291</v>
      </c>
      <c r="E886" s="91" t="str">
        <f t="shared" si="123"/>
        <v>Hot Springs</v>
      </c>
      <c r="F886" s="93" t="str">
        <f t="shared" si="124"/>
        <v>CP224</v>
      </c>
      <c r="G886" s="99" t="str">
        <f t="shared" si="127"/>
        <v>CP224-NEW DONOR -1st</v>
      </c>
      <c r="H886" s="182" t="s">
        <v>36</v>
      </c>
      <c r="I886" s="33" t="s">
        <v>37</v>
      </c>
      <c r="J886" s="70">
        <v>55</v>
      </c>
      <c r="K886" s="70">
        <v>55</v>
      </c>
      <c r="L886" s="70">
        <v>55</v>
      </c>
      <c r="M886" s="70">
        <v>100</v>
      </c>
      <c r="N886" s="70">
        <v>100</v>
      </c>
      <c r="O886" s="70">
        <v>100</v>
      </c>
      <c r="P886" s="70">
        <v>100</v>
      </c>
      <c r="Q886" s="70">
        <v>100</v>
      </c>
      <c r="R886" s="25"/>
      <c r="S886" s="117" t="str">
        <f t="shared" si="121"/>
        <v>N</v>
      </c>
      <c r="T886" s="114">
        <f>IFERROR(SUMIF('Current NLData'!A:A,'Payment Changes'!G886,'Current NLData'!K:K)/COUNTIF('Current NLData'!A:A,'Payment Changes'!G886),0)+IFERROR(VLOOKUP(G886&amp;"-ALL",NLPaymentExport,10,FALSE),0)</f>
        <v>100</v>
      </c>
      <c r="U886" s="118">
        <f t="shared" si="122"/>
        <v>0</v>
      </c>
    </row>
    <row r="887" spans="1:54" ht="17.100000000000001" hidden="1" customHeight="1" outlineLevel="1" x14ac:dyDescent="0.25">
      <c r="A887" s="3"/>
      <c r="C887" s="4"/>
      <c r="D887" s="181"/>
      <c r="E887" s="91" t="str">
        <f t="shared" si="123"/>
        <v>Hot Springs</v>
      </c>
      <c r="F887" s="93" t="str">
        <f t="shared" si="124"/>
        <v>CP224</v>
      </c>
      <c r="G887" s="99" t="str">
        <f t="shared" si="127"/>
        <v>CP224-NEW DONOR -2nd</v>
      </c>
      <c r="H887" s="182"/>
      <c r="I887" s="34" t="s">
        <v>38</v>
      </c>
      <c r="J887" s="72">
        <v>55</v>
      </c>
      <c r="K887" s="72">
        <f>K886</f>
        <v>55</v>
      </c>
      <c r="L887" s="72">
        <v>55</v>
      </c>
      <c r="M887" s="72">
        <v>100</v>
      </c>
      <c r="N887" s="72">
        <v>100</v>
      </c>
      <c r="O887" s="72">
        <v>100</v>
      </c>
      <c r="P887" s="72">
        <v>100</v>
      </c>
      <c r="Q887" s="72">
        <v>100</v>
      </c>
      <c r="R887" s="25"/>
      <c r="S887" s="117" t="str">
        <f t="shared" si="121"/>
        <v>N</v>
      </c>
      <c r="T887" s="114">
        <f>IFERROR(SUMIF('Current NLData'!A:A,'Payment Changes'!G887,'Current NLData'!K:K)/COUNTIF('Current NLData'!A:A,'Payment Changes'!G887),0)+IFERROR(VLOOKUP(G887&amp;"-ALL",NLPaymentExport,10,FALSE),0)</f>
        <v>100</v>
      </c>
      <c r="U887" s="118">
        <f t="shared" si="122"/>
        <v>0</v>
      </c>
    </row>
    <row r="888" spans="1:54" ht="17.100000000000001" hidden="1" customHeight="1" outlineLevel="1" x14ac:dyDescent="0.25">
      <c r="A888" s="3"/>
      <c r="C888" s="4"/>
      <c r="D888" s="181"/>
      <c r="E888" s="91" t="str">
        <f t="shared" si="123"/>
        <v>Hot Springs</v>
      </c>
      <c r="F888" s="93" t="str">
        <f t="shared" si="124"/>
        <v>CP224</v>
      </c>
      <c r="G888" s="99" t="str">
        <f t="shared" si="127"/>
        <v>CP224-NEW DONOR -3rd</v>
      </c>
      <c r="H888" s="182"/>
      <c r="I888" s="34" t="s">
        <v>39</v>
      </c>
      <c r="J888" s="72">
        <v>55</v>
      </c>
      <c r="K888" s="72">
        <f t="shared" ref="K888:K892" si="128">K887</f>
        <v>55</v>
      </c>
      <c r="L888" s="72">
        <v>55</v>
      </c>
      <c r="M888" s="72">
        <v>55</v>
      </c>
      <c r="N888" s="72">
        <v>55</v>
      </c>
      <c r="O888" s="72">
        <v>55</v>
      </c>
      <c r="P888" s="72">
        <v>55</v>
      </c>
      <c r="Q888" s="72">
        <v>100</v>
      </c>
      <c r="R888" s="25"/>
      <c r="S888" s="117" t="str">
        <f t="shared" si="121"/>
        <v>Y</v>
      </c>
      <c r="T888" s="114">
        <f>IFERROR(SUMIF('Current NLData'!A:A,'Payment Changes'!G888,'Current NLData'!K:K)/COUNTIF('Current NLData'!A:A,'Payment Changes'!G888),0)+IFERROR(VLOOKUP(G888&amp;"-ALL",NLPaymentExport,10,FALSE),0)</f>
        <v>55</v>
      </c>
      <c r="U888" s="118">
        <f t="shared" si="122"/>
        <v>-45</v>
      </c>
    </row>
    <row r="889" spans="1:54" ht="17.100000000000001" hidden="1" customHeight="1" outlineLevel="1" x14ac:dyDescent="0.25">
      <c r="A889" s="3"/>
      <c r="C889" s="4"/>
      <c r="D889" s="181"/>
      <c r="E889" s="91" t="str">
        <f t="shared" si="123"/>
        <v>Hot Springs</v>
      </c>
      <c r="F889" s="93" t="str">
        <f t="shared" si="124"/>
        <v>CP224</v>
      </c>
      <c r="G889" s="99" t="str">
        <f t="shared" si="127"/>
        <v>CP224-NEW DONOR -4th</v>
      </c>
      <c r="H889" s="182"/>
      <c r="I889" s="34" t="s">
        <v>40</v>
      </c>
      <c r="J889" s="72">
        <v>55</v>
      </c>
      <c r="K889" s="72">
        <f t="shared" si="128"/>
        <v>55</v>
      </c>
      <c r="L889" s="72">
        <v>55</v>
      </c>
      <c r="M889" s="72">
        <v>55</v>
      </c>
      <c r="N889" s="72">
        <v>55</v>
      </c>
      <c r="O889" s="72">
        <v>55</v>
      </c>
      <c r="P889" s="72">
        <v>55</v>
      </c>
      <c r="Q889" s="72">
        <v>50</v>
      </c>
      <c r="R889" s="25"/>
      <c r="S889" s="117" t="str">
        <f t="shared" si="121"/>
        <v>Y</v>
      </c>
      <c r="T889" s="114">
        <f>IFERROR(SUMIF('Current NLData'!A:A,'Payment Changes'!G889,'Current NLData'!K:K)/COUNTIF('Current NLData'!A:A,'Payment Changes'!G889),0)+IFERROR(VLOOKUP(G889&amp;"-ALL",NLPaymentExport,10,FALSE),0)</f>
        <v>55</v>
      </c>
      <c r="U889" s="118">
        <f t="shared" si="122"/>
        <v>5</v>
      </c>
    </row>
    <row r="890" spans="1:54" ht="17.100000000000001" hidden="1" customHeight="1" outlineLevel="1" x14ac:dyDescent="0.25">
      <c r="A890" s="3"/>
      <c r="C890" s="4"/>
      <c r="D890" s="181"/>
      <c r="E890" s="91" t="str">
        <f t="shared" si="123"/>
        <v>Hot Springs</v>
      </c>
      <c r="F890" s="93" t="str">
        <f t="shared" si="124"/>
        <v>CP224</v>
      </c>
      <c r="G890" s="99" t="str">
        <f t="shared" si="127"/>
        <v>CP224-NEW DONOR -5th</v>
      </c>
      <c r="H890" s="182"/>
      <c r="I890" s="34" t="s">
        <v>41</v>
      </c>
      <c r="J890" s="72">
        <v>55</v>
      </c>
      <c r="K890" s="72">
        <f t="shared" si="128"/>
        <v>55</v>
      </c>
      <c r="L890" s="72">
        <v>55</v>
      </c>
      <c r="M890" s="72">
        <v>55</v>
      </c>
      <c r="N890" s="72">
        <v>55</v>
      </c>
      <c r="O890" s="72">
        <v>55</v>
      </c>
      <c r="P890" s="72">
        <v>55</v>
      </c>
      <c r="Q890" s="72">
        <v>50</v>
      </c>
      <c r="R890" s="25"/>
      <c r="S890" s="117" t="str">
        <f t="shared" si="121"/>
        <v>Y</v>
      </c>
      <c r="T890" s="114">
        <f>IFERROR(SUMIF('Current NLData'!A:A,'Payment Changes'!G890,'Current NLData'!K:K)/COUNTIF('Current NLData'!A:A,'Payment Changes'!G890),0)+IFERROR(VLOOKUP(G890&amp;"-ALL",NLPaymentExport,10,FALSE),0)</f>
        <v>55</v>
      </c>
      <c r="U890" s="118">
        <f t="shared" si="122"/>
        <v>5</v>
      </c>
    </row>
    <row r="891" spans="1:54" ht="17.100000000000001" hidden="1" customHeight="1" outlineLevel="1" x14ac:dyDescent="0.25">
      <c r="A891" s="3"/>
      <c r="C891" s="4"/>
      <c r="D891" s="181"/>
      <c r="E891" s="91" t="str">
        <f t="shared" si="123"/>
        <v>Hot Springs</v>
      </c>
      <c r="F891" s="93" t="str">
        <f t="shared" si="124"/>
        <v>CP224</v>
      </c>
      <c r="G891" s="99" t="str">
        <f t="shared" si="127"/>
        <v>CP224-NEW DONOR -6th</v>
      </c>
      <c r="H891" s="182"/>
      <c r="I891" s="34" t="s">
        <v>42</v>
      </c>
      <c r="J891" s="72">
        <v>55</v>
      </c>
      <c r="K891" s="72">
        <f t="shared" si="128"/>
        <v>55</v>
      </c>
      <c r="L891" s="72">
        <v>55</v>
      </c>
      <c r="M891" s="72">
        <v>55</v>
      </c>
      <c r="N891" s="72">
        <v>55</v>
      </c>
      <c r="O891" s="72">
        <v>55</v>
      </c>
      <c r="P891" s="72">
        <v>55</v>
      </c>
      <c r="Q891" s="72">
        <v>50</v>
      </c>
      <c r="R891" s="25"/>
      <c r="S891" s="117" t="str">
        <f t="shared" si="121"/>
        <v>Y</v>
      </c>
      <c r="T891" s="114">
        <f>IFERROR(SUMIF('Current NLData'!A:A,'Payment Changes'!G891,'Current NLData'!K:K)/COUNTIF('Current NLData'!A:A,'Payment Changes'!G891),0)+IFERROR(VLOOKUP(G891&amp;"-ALL",NLPaymentExport,10,FALSE),0)</f>
        <v>55</v>
      </c>
      <c r="U891" s="118">
        <f t="shared" si="122"/>
        <v>5</v>
      </c>
    </row>
    <row r="892" spans="1:54" ht="17.100000000000001" hidden="1" customHeight="1" outlineLevel="1" x14ac:dyDescent="0.25">
      <c r="A892" s="3"/>
      <c r="C892" s="4"/>
      <c r="D892" s="181"/>
      <c r="E892" s="91" t="str">
        <f t="shared" si="123"/>
        <v>Hot Springs</v>
      </c>
      <c r="F892" s="93" t="str">
        <f t="shared" si="124"/>
        <v>CP224</v>
      </c>
      <c r="G892" s="99" t="str">
        <f t="shared" si="127"/>
        <v>CP224-NEW DONOR -7th</v>
      </c>
      <c r="H892" s="182"/>
      <c r="I892" s="34" t="s">
        <v>43</v>
      </c>
      <c r="J892" s="72">
        <v>55</v>
      </c>
      <c r="K892" s="72">
        <f t="shared" si="128"/>
        <v>55</v>
      </c>
      <c r="L892" s="72">
        <v>55</v>
      </c>
      <c r="M892" s="72">
        <v>55</v>
      </c>
      <c r="N892" s="72">
        <v>55</v>
      </c>
      <c r="O892" s="72">
        <v>55</v>
      </c>
      <c r="P892" s="72">
        <v>55</v>
      </c>
      <c r="Q892" s="72">
        <v>50</v>
      </c>
      <c r="R892" s="25"/>
      <c r="S892" s="117" t="str">
        <f t="shared" si="121"/>
        <v>Y</v>
      </c>
      <c r="T892" s="114">
        <f>IFERROR(SUMIF('Current NLData'!A:A,'Payment Changes'!G892,'Current NLData'!K:K)/COUNTIF('Current NLData'!A:A,'Payment Changes'!G892),0)+IFERROR(VLOOKUP(G892&amp;"-ALL",NLPaymentExport,10,FALSE),0)</f>
        <v>55</v>
      </c>
      <c r="U892" s="118">
        <f t="shared" si="122"/>
        <v>5</v>
      </c>
    </row>
    <row r="893" spans="1:54" ht="17.100000000000001" hidden="1" customHeight="1" outlineLevel="1" x14ac:dyDescent="0.25">
      <c r="A893" s="3"/>
      <c r="C893" s="4"/>
      <c r="D893" s="181"/>
      <c r="E893" s="91" t="str">
        <f t="shared" si="123"/>
        <v>Hot Springs</v>
      </c>
      <c r="F893" s="93" t="str">
        <f t="shared" si="124"/>
        <v>CP224</v>
      </c>
      <c r="G893" s="99" t="str">
        <f t="shared" si="127"/>
        <v>CP224-NEW DONOR -8th</v>
      </c>
      <c r="H893" s="182"/>
      <c r="I893" s="35" t="s">
        <v>44</v>
      </c>
      <c r="J893" s="74">
        <v>55</v>
      </c>
      <c r="K893" s="74">
        <f>K892</f>
        <v>55</v>
      </c>
      <c r="L893" s="74">
        <v>55</v>
      </c>
      <c r="M893" s="74">
        <v>55</v>
      </c>
      <c r="N893" s="74">
        <v>55</v>
      </c>
      <c r="O893" s="74">
        <v>55</v>
      </c>
      <c r="P893" s="74">
        <v>55</v>
      </c>
      <c r="Q893" s="74">
        <v>50</v>
      </c>
      <c r="R893" s="25"/>
      <c r="S893" s="117" t="str">
        <f t="shared" si="121"/>
        <v>Y</v>
      </c>
      <c r="T893" s="114">
        <f>IFERROR(SUMIF('Current NLData'!A:A,'Payment Changes'!G893,'Current NLData'!K:K)/COUNTIF('Current NLData'!A:A,'Payment Changes'!G893),0)+IFERROR(VLOOKUP(G893&amp;"-ALL",NLPaymentExport,10,FALSE),0)</f>
        <v>55</v>
      </c>
      <c r="U893" s="118">
        <f t="shared" si="122"/>
        <v>5</v>
      </c>
    </row>
    <row r="894" spans="1:54" ht="17.100000000000001" hidden="1" customHeight="1" outlineLevel="1" x14ac:dyDescent="0.25">
      <c r="A894" s="3"/>
      <c r="C894" s="4"/>
      <c r="D894" s="181"/>
      <c r="E894" s="91" t="str">
        <f t="shared" si="123"/>
        <v>Hot Springs</v>
      </c>
      <c r="F894" s="93" t="str">
        <f t="shared" si="124"/>
        <v>CP224</v>
      </c>
      <c r="G894" s="99" t="str">
        <f t="shared" si="127"/>
        <v>CP224-RETURN - 1st don of the week -STD</v>
      </c>
      <c r="H894" s="182"/>
      <c r="I894" s="36" t="s">
        <v>45</v>
      </c>
      <c r="J894" s="72">
        <v>55</v>
      </c>
      <c r="K894" s="72">
        <v>55</v>
      </c>
      <c r="L894" s="72">
        <v>55</v>
      </c>
      <c r="M894" s="72">
        <v>55</v>
      </c>
      <c r="N894" s="72">
        <v>55</v>
      </c>
      <c r="O894" s="72">
        <v>55</v>
      </c>
      <c r="P894" s="72">
        <v>55</v>
      </c>
      <c r="Q894" s="72">
        <v>50</v>
      </c>
      <c r="R894" s="25"/>
      <c r="S894" s="117" t="str">
        <f t="shared" si="121"/>
        <v>Y</v>
      </c>
      <c r="T894" s="114">
        <f>IFERROR(SUMIF('Current NLData'!A:A,'Payment Changes'!G894,'Current NLData'!K:K)/COUNTIF('Current NLData'!A:A,'Payment Changes'!G894),0)+IFERROR(VLOOKUP(G894&amp;"-ALL",NLPaymentExport,10,FALSE),0)</f>
        <v>55</v>
      </c>
      <c r="U894" s="118">
        <f t="shared" si="122"/>
        <v>5</v>
      </c>
    </row>
    <row r="895" spans="1:54" ht="17.100000000000001" hidden="1" customHeight="1" outlineLevel="1" x14ac:dyDescent="0.25">
      <c r="A895" s="3"/>
      <c r="C895" s="4"/>
      <c r="D895" s="181"/>
      <c r="E895" s="91" t="str">
        <f t="shared" si="123"/>
        <v>Hot Springs</v>
      </c>
      <c r="F895" s="93" t="str">
        <f t="shared" si="124"/>
        <v>CP224</v>
      </c>
      <c r="G895" s="99" t="str">
        <f t="shared" si="127"/>
        <v>CP224-RETURN - 2nd don of the week -BONUS</v>
      </c>
      <c r="H895" s="182"/>
      <c r="I895" s="36" t="s">
        <v>46</v>
      </c>
      <c r="J895" s="58">
        <v>0</v>
      </c>
      <c r="K895" s="58">
        <v>0</v>
      </c>
      <c r="L895" s="58">
        <v>0</v>
      </c>
      <c r="M895" s="58">
        <v>0</v>
      </c>
      <c r="N895" s="58">
        <v>0</v>
      </c>
      <c r="O895" s="58">
        <v>0</v>
      </c>
      <c r="P895" s="58">
        <v>0</v>
      </c>
      <c r="Q895" s="58">
        <v>5</v>
      </c>
      <c r="R895" s="22"/>
      <c r="S895" s="117" t="str">
        <f t="shared" si="121"/>
        <v>Y</v>
      </c>
      <c r="T895" s="114">
        <f>IFERROR(SUMIF('Current NLData'!A:A,'Payment Changes'!G895,'Current NLData'!K:K)/COUNTIF('Current NLData'!A:A,'Payment Changes'!G895),0)+IFERROR(VLOOKUP(G895&amp;"-ALL",NLPaymentExport,10,FALSE),0)</f>
        <v>0</v>
      </c>
      <c r="U895" s="118">
        <f t="shared" si="122"/>
        <v>-5</v>
      </c>
    </row>
    <row r="896" spans="1:54" ht="17.100000000000001" hidden="1" customHeight="1" outlineLevel="1" x14ac:dyDescent="0.25">
      <c r="A896" s="3"/>
      <c r="C896" s="4"/>
      <c r="D896" s="181"/>
      <c r="E896" s="91" t="str">
        <f t="shared" si="123"/>
        <v>Hot Springs</v>
      </c>
      <c r="F896" s="93" t="str">
        <f t="shared" si="124"/>
        <v>CP224</v>
      </c>
      <c r="G896" s="99" t="str">
        <f t="shared" si="127"/>
        <v>CP224-RETURN - 5th don of the month -BONUS</v>
      </c>
      <c r="H896" s="182"/>
      <c r="I896" s="37" t="s">
        <v>47</v>
      </c>
      <c r="J896" s="65">
        <v>0</v>
      </c>
      <c r="K896" s="65">
        <v>0</v>
      </c>
      <c r="L896" s="65">
        <v>0</v>
      </c>
      <c r="M896" s="65">
        <v>0</v>
      </c>
      <c r="N896" s="65">
        <v>0</v>
      </c>
      <c r="O896" s="65">
        <v>0</v>
      </c>
      <c r="P896" s="65">
        <v>0</v>
      </c>
      <c r="Q896" s="65">
        <v>0</v>
      </c>
      <c r="R896" s="22"/>
      <c r="S896" s="117" t="str">
        <f t="shared" si="121"/>
        <v>N</v>
      </c>
      <c r="T896" s="114">
        <f>IFERROR(SUMIF('Current NLData'!A:A,'Payment Changes'!G896,'Current NLData'!K:K)/COUNTIF('Current NLData'!A:A,'Payment Changes'!G896),0)+IFERROR(VLOOKUP(G896&amp;"-ALL",NLPaymentExport,10,FALSE),0)</f>
        <v>0</v>
      </c>
      <c r="U896" s="118">
        <f t="shared" si="122"/>
        <v>0</v>
      </c>
    </row>
    <row r="897" spans="1:54" ht="17.100000000000001" hidden="1" customHeight="1" outlineLevel="1" x14ac:dyDescent="0.25">
      <c r="A897" s="3"/>
      <c r="C897" s="4"/>
      <c r="D897" s="181"/>
      <c r="E897" s="91" t="str">
        <f t="shared" si="123"/>
        <v>Hot Springs</v>
      </c>
      <c r="F897" s="93" t="str">
        <f t="shared" si="124"/>
        <v>CP224</v>
      </c>
      <c r="G897" s="99" t="str">
        <f t="shared" si="127"/>
        <v>CP224-RETURN - 6th don of the month -BONUS</v>
      </c>
      <c r="H897" s="182"/>
      <c r="I897" s="38" t="s">
        <v>48</v>
      </c>
      <c r="J897" s="58">
        <v>0</v>
      </c>
      <c r="K897" s="58">
        <v>0</v>
      </c>
      <c r="L897" s="58">
        <v>0</v>
      </c>
      <c r="M897" s="58">
        <v>30</v>
      </c>
      <c r="N897" s="58">
        <v>30</v>
      </c>
      <c r="O897" s="58">
        <v>30</v>
      </c>
      <c r="P897" s="58">
        <v>30</v>
      </c>
      <c r="Q897" s="58">
        <v>30</v>
      </c>
      <c r="R897" s="22"/>
      <c r="S897" s="117" t="str">
        <f t="shared" si="121"/>
        <v>N</v>
      </c>
      <c r="T897" s="114">
        <f>IFERROR(SUMIF('Current NLData'!A:A,'Payment Changes'!G897,'Current NLData'!K:K)/COUNTIF('Current NLData'!A:A,'Payment Changes'!G897),0)+IFERROR(VLOOKUP(G897&amp;"-ALL",NLPaymentExport,10,FALSE),0)</f>
        <v>30</v>
      </c>
      <c r="U897" s="118">
        <f t="shared" si="122"/>
        <v>0</v>
      </c>
    </row>
    <row r="898" spans="1:54" ht="17.100000000000001" hidden="1" customHeight="1" outlineLevel="1" x14ac:dyDescent="0.25">
      <c r="A898" s="3"/>
      <c r="C898" s="4"/>
      <c r="D898" s="181"/>
      <c r="E898" s="91" t="str">
        <f t="shared" si="123"/>
        <v>Hot Springs</v>
      </c>
      <c r="F898" s="93" t="str">
        <f t="shared" si="124"/>
        <v>CP224</v>
      </c>
      <c r="G898" s="99" t="str">
        <f t="shared" si="127"/>
        <v>CP224-RETURN - 7th don of the month -BONUS</v>
      </c>
      <c r="H898" s="182"/>
      <c r="I898" s="38" t="s">
        <v>49</v>
      </c>
      <c r="J898" s="58">
        <v>0</v>
      </c>
      <c r="K898" s="58">
        <v>0</v>
      </c>
      <c r="L898" s="58">
        <v>0</v>
      </c>
      <c r="M898" s="58">
        <v>0</v>
      </c>
      <c r="N898" s="58">
        <v>0</v>
      </c>
      <c r="O898" s="58">
        <v>0</v>
      </c>
      <c r="P898" s="58">
        <v>0</v>
      </c>
      <c r="Q898" s="58">
        <v>0</v>
      </c>
      <c r="R898" s="22"/>
      <c r="S898" s="117" t="str">
        <f t="shared" si="121"/>
        <v>N</v>
      </c>
      <c r="T898" s="114">
        <f>IFERROR(SUMIF('Current NLData'!A:A,'Payment Changes'!G898,'Current NLData'!K:K)/COUNTIF('Current NLData'!A:A,'Payment Changes'!G898),0)+IFERROR(VLOOKUP(G898&amp;"-ALL",NLPaymentExport,10,FALSE),0)</f>
        <v>0</v>
      </c>
      <c r="U898" s="118">
        <f t="shared" si="122"/>
        <v>0</v>
      </c>
    </row>
    <row r="899" spans="1:54" ht="17.100000000000001" hidden="1" customHeight="1" outlineLevel="1" x14ac:dyDescent="0.25">
      <c r="A899" s="3"/>
      <c r="C899" s="4"/>
      <c r="D899" s="181"/>
      <c r="E899" s="91" t="str">
        <f t="shared" si="123"/>
        <v>Hot Springs</v>
      </c>
      <c r="F899" s="93" t="str">
        <f t="shared" si="124"/>
        <v>CP224</v>
      </c>
      <c r="G899" s="99" t="str">
        <f t="shared" si="127"/>
        <v>CP224-RETURN - 8th don of the month -BONUS</v>
      </c>
      <c r="H899" s="182"/>
      <c r="I899" s="38" t="s">
        <v>50</v>
      </c>
      <c r="J899" s="58">
        <v>25</v>
      </c>
      <c r="K899" s="58">
        <v>25</v>
      </c>
      <c r="L899" s="58">
        <v>0</v>
      </c>
      <c r="M899" s="58">
        <v>0</v>
      </c>
      <c r="N899" s="58">
        <v>0</v>
      </c>
      <c r="O899" s="58">
        <v>0</v>
      </c>
      <c r="P899" s="58">
        <v>0</v>
      </c>
      <c r="Q899" s="58">
        <v>0</v>
      </c>
      <c r="R899" s="22"/>
      <c r="S899" s="117" t="str">
        <f t="shared" ref="S899:S962" si="129">IF(P899=Q899,"N","Y")</f>
        <v>N</v>
      </c>
      <c r="T899" s="114">
        <f>IFERROR(SUMIF('Current NLData'!A:A,'Payment Changes'!G899,'Current NLData'!K:K)/COUNTIF('Current NLData'!A:A,'Payment Changes'!G899),0)+IFERROR(VLOOKUP(G899&amp;"-ALL",NLPaymentExport,10,FALSE),0)</f>
        <v>0</v>
      </c>
      <c r="U899" s="118">
        <f t="shared" si="122"/>
        <v>0</v>
      </c>
    </row>
    <row r="900" spans="1:54" ht="17.100000000000001" hidden="1" customHeight="1" outlineLevel="1" x14ac:dyDescent="0.25">
      <c r="A900" s="3"/>
      <c r="C900" s="4" t="str">
        <f>IF(J900=0,"Warning","")</f>
        <v/>
      </c>
      <c r="D900" s="181"/>
      <c r="E900" s="91" t="str">
        <f t="shared" si="123"/>
        <v>Hot Springs</v>
      </c>
      <c r="F900" s="93" t="str">
        <f t="shared" si="124"/>
        <v>CP224</v>
      </c>
      <c r="G900" s="99" t="str">
        <f t="shared" si="127"/>
        <v>CP224-RETURN - Buddy referral  -BONUS</v>
      </c>
      <c r="H900" s="182"/>
      <c r="I900" s="39" t="s">
        <v>51</v>
      </c>
      <c r="J900" s="58">
        <v>50</v>
      </c>
      <c r="K900" s="58">
        <v>50</v>
      </c>
      <c r="L900" s="58">
        <v>0</v>
      </c>
      <c r="M900" s="58">
        <v>50</v>
      </c>
      <c r="N900" s="58">
        <v>50</v>
      </c>
      <c r="O900" s="58">
        <v>50</v>
      </c>
      <c r="P900" s="58">
        <v>50</v>
      </c>
      <c r="Q900" s="58">
        <v>50</v>
      </c>
      <c r="R900" s="22"/>
      <c r="S900" s="117" t="str">
        <f t="shared" si="129"/>
        <v>N</v>
      </c>
      <c r="T900" s="114">
        <f>IFERROR(SUMIF('Current NLData'!A:A,'Payment Changes'!G900,'Current NLData'!K:K)/COUNTIF('Current NLData'!A:A,'Payment Changes'!G900),0)+IFERROR(VLOOKUP(G900&amp;"-ALL",NLPaymentExport,10,FALSE),0)</f>
        <v>50</v>
      </c>
      <c r="U900" s="118">
        <f t="shared" si="122"/>
        <v>0</v>
      </c>
    </row>
    <row r="901" spans="1:54" s="90" customFormat="1" ht="17.100000000000001" hidden="1" customHeight="1" collapsed="1" x14ac:dyDescent="0.35">
      <c r="A901" s="85"/>
      <c r="B901" s="85"/>
      <c r="C901" s="86"/>
      <c r="D901" s="87"/>
      <c r="E901" s="87"/>
      <c r="F901" s="87"/>
      <c r="G901" s="87"/>
      <c r="H901" s="96"/>
      <c r="I901" s="88"/>
      <c r="J901" s="89"/>
      <c r="K901" s="89"/>
      <c r="L901" s="89"/>
      <c r="M901" s="89"/>
      <c r="N901" s="89"/>
      <c r="O901" s="89"/>
      <c r="P901" s="89"/>
      <c r="Q901" s="89"/>
      <c r="R901" s="21"/>
      <c r="S901" s="117" t="str">
        <f t="shared" si="129"/>
        <v>N</v>
      </c>
      <c r="T901" s="114">
        <f>IFERROR(SUMIF('Current NLData'!A:A,'Payment Changes'!G901,'Current NLData'!K:K)/COUNTIF('Current NLData'!A:A,'Payment Changes'!G901),0)+IFERROR(VLOOKUP(G901&amp;"-ALL",NLPaymentExport,10,FALSE),0)</f>
        <v>0</v>
      </c>
      <c r="U901" s="118" t="str">
        <f t="shared" si="122"/>
        <v/>
      </c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1:54" s="10" customFormat="1" ht="17.100000000000001" hidden="1" customHeight="1" x14ac:dyDescent="0.25">
      <c r="A902" s="165">
        <v>46</v>
      </c>
      <c r="B902" s="168" t="s">
        <v>295</v>
      </c>
      <c r="C902" s="171" t="s">
        <v>19</v>
      </c>
      <c r="D902" s="174" t="s">
        <v>57</v>
      </c>
      <c r="E902" s="106" t="str">
        <f t="shared" si="123"/>
        <v>Jonesboro</v>
      </c>
      <c r="F902" s="107" t="s">
        <v>296</v>
      </c>
      <c r="G902" s="108" t="str">
        <f t="shared" ref="G902:G920" si="130">F902&amp;"-"&amp;I902</f>
        <v>CP226-New Donor</v>
      </c>
      <c r="H902" s="177" t="s">
        <v>147</v>
      </c>
      <c r="I902" s="76" t="s">
        <v>23</v>
      </c>
      <c r="J902" s="40" t="s">
        <v>292</v>
      </c>
      <c r="K902" s="41" t="s">
        <v>297</v>
      </c>
      <c r="L902" s="41" t="s">
        <v>297</v>
      </c>
      <c r="M902" s="42" t="s">
        <v>297</v>
      </c>
      <c r="N902" s="40" t="s">
        <v>297</v>
      </c>
      <c r="O902" s="40" t="s">
        <v>297</v>
      </c>
      <c r="P902" s="40" t="s">
        <v>297</v>
      </c>
      <c r="Q902" s="40" t="s">
        <v>297</v>
      </c>
      <c r="R902" s="109"/>
      <c r="S902" s="117" t="str">
        <f t="shared" si="129"/>
        <v>N</v>
      </c>
      <c r="T902" s="114">
        <f>IFERROR(SUMIF('Current NLData'!A:A,'Payment Changes'!G902,'Current NLData'!K:K)/COUNTIF('Current NLData'!A:A,'Payment Changes'!G902),0)+IFERROR(VLOOKUP(G902&amp;"-ALL",NLPaymentExport,10,FALSE),0)</f>
        <v>0</v>
      </c>
      <c r="U902" s="118" t="str">
        <f t="shared" si="122"/>
        <v/>
      </c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1:54" ht="17.100000000000001" hidden="1" customHeight="1" x14ac:dyDescent="0.25">
      <c r="A903" s="166"/>
      <c r="B903" s="169"/>
      <c r="C903" s="172"/>
      <c r="D903" s="175"/>
      <c r="E903" s="91" t="str">
        <f t="shared" si="123"/>
        <v>Jonesboro</v>
      </c>
      <c r="F903" s="92" t="s">
        <v>296</v>
      </c>
      <c r="G903" s="98" t="str">
        <f t="shared" si="130"/>
        <v>CP226-Return Donor</v>
      </c>
      <c r="H903" s="178"/>
      <c r="I903" s="77" t="s">
        <v>29</v>
      </c>
      <c r="J903" s="43" t="s">
        <v>292</v>
      </c>
      <c r="K903" s="43" t="s">
        <v>297</v>
      </c>
      <c r="L903" s="44" t="s">
        <v>297</v>
      </c>
      <c r="M903" s="45" t="s">
        <v>297</v>
      </c>
      <c r="N903" s="43" t="s">
        <v>297</v>
      </c>
      <c r="O903" s="43" t="s">
        <v>297</v>
      </c>
      <c r="P903" s="43" t="s">
        <v>297</v>
      </c>
      <c r="Q903" s="43" t="s">
        <v>297</v>
      </c>
      <c r="R903" s="21"/>
      <c r="S903" s="117" t="str">
        <f t="shared" si="129"/>
        <v>N</v>
      </c>
      <c r="T903" s="114">
        <f>IFERROR(SUMIF('Current NLData'!A:A,'Payment Changes'!G903,'Current NLData'!K:K)/COUNTIF('Current NLData'!A:A,'Payment Changes'!G903),0)+IFERROR(VLOOKUP(G903&amp;"-ALL",NLPaymentExport,10,FALSE),0)</f>
        <v>0</v>
      </c>
      <c r="U903" s="118" t="str">
        <f t="shared" ref="U903:U966" si="131">IF(OR(I903 = "New Donor", I903="Return Donor", I903="Retention Bonus", I903="Referral", I903 = ""),"",T903-Q903 )</f>
        <v/>
      </c>
    </row>
    <row r="904" spans="1:54" ht="17.100000000000001" hidden="1" customHeight="1" x14ac:dyDescent="0.25">
      <c r="A904" s="166"/>
      <c r="B904" s="169"/>
      <c r="C904" s="172"/>
      <c r="D904" s="175"/>
      <c r="E904" s="91" t="str">
        <f t="shared" ref="E904:E967" si="132">IF(B904 = "",E903,B904)</f>
        <v>Jonesboro</v>
      </c>
      <c r="F904" s="92" t="s">
        <v>296</v>
      </c>
      <c r="G904" s="98" t="str">
        <f t="shared" si="130"/>
        <v>CP226-Retention Bonus</v>
      </c>
      <c r="H904" s="178"/>
      <c r="I904" s="78" t="s">
        <v>30</v>
      </c>
      <c r="J904" s="46" t="s">
        <v>267</v>
      </c>
      <c r="K904" s="46" t="s">
        <v>267</v>
      </c>
      <c r="L904" s="47" t="s">
        <v>32</v>
      </c>
      <c r="M904" s="48" t="s">
        <v>32</v>
      </c>
      <c r="N904" s="46" t="s">
        <v>32</v>
      </c>
      <c r="O904" s="46" t="s">
        <v>32</v>
      </c>
      <c r="P904" s="46" t="s">
        <v>32</v>
      </c>
      <c r="Q904" s="46" t="s">
        <v>32</v>
      </c>
      <c r="R904" s="21"/>
      <c r="S904" s="117" t="str">
        <f t="shared" si="129"/>
        <v>N</v>
      </c>
      <c r="T904" s="114">
        <f>IFERROR(SUMIF('Current NLData'!A:A,'Payment Changes'!G904,'Current NLData'!K:K)/COUNTIF('Current NLData'!A:A,'Payment Changes'!G904),0)+IFERROR(VLOOKUP(G904&amp;"-ALL",NLPaymentExport,10,FALSE),0)</f>
        <v>0</v>
      </c>
      <c r="U904" s="118" t="str">
        <f t="shared" si="131"/>
        <v/>
      </c>
    </row>
    <row r="905" spans="1:54" s="15" customFormat="1" ht="17.100000000000001" hidden="1" customHeight="1" x14ac:dyDescent="0.25">
      <c r="A905" s="167"/>
      <c r="B905" s="170"/>
      <c r="C905" s="173"/>
      <c r="D905" s="176"/>
      <c r="E905" s="110" t="str">
        <f t="shared" si="132"/>
        <v>Jonesboro</v>
      </c>
      <c r="F905" s="111" t="s">
        <v>296</v>
      </c>
      <c r="G905" s="112" t="str">
        <f t="shared" si="130"/>
        <v>CP226-Referral</v>
      </c>
      <c r="H905" s="179"/>
      <c r="I905" s="79" t="s">
        <v>34</v>
      </c>
      <c r="J905" s="49">
        <v>50</v>
      </c>
      <c r="K905" s="49">
        <v>50</v>
      </c>
      <c r="L905" s="50" t="s">
        <v>32</v>
      </c>
      <c r="M905" s="51" t="s">
        <v>32</v>
      </c>
      <c r="N905" s="49" t="s">
        <v>32</v>
      </c>
      <c r="O905" s="49">
        <v>50</v>
      </c>
      <c r="P905" s="49">
        <v>50</v>
      </c>
      <c r="Q905" s="49">
        <v>50</v>
      </c>
      <c r="R905" s="113"/>
      <c r="S905" s="117" t="str">
        <f t="shared" si="129"/>
        <v>N</v>
      </c>
      <c r="T905" s="114">
        <f>IFERROR(SUMIF('Current NLData'!A:A,'Payment Changes'!G905,'Current NLData'!K:K)/COUNTIF('Current NLData'!A:A,'Payment Changes'!G905),0)+IFERROR(VLOOKUP(G905&amp;"-ALL",NLPaymentExport,10,FALSE),0)</f>
        <v>0</v>
      </c>
      <c r="U905" s="118" t="str">
        <f t="shared" si="131"/>
        <v/>
      </c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1:54" ht="17.100000000000001" hidden="1" customHeight="1" outlineLevel="1" x14ac:dyDescent="0.25">
      <c r="A906" s="3"/>
      <c r="C906" s="4"/>
      <c r="D906" s="180" t="s">
        <v>296</v>
      </c>
      <c r="E906" s="91" t="str">
        <f t="shared" si="132"/>
        <v>Jonesboro</v>
      </c>
      <c r="F906" s="93" t="str">
        <f t="shared" ref="F906:F967" si="133">IF(D906 = "",F905,D906)</f>
        <v>CP226</v>
      </c>
      <c r="G906" s="99" t="str">
        <f t="shared" si="130"/>
        <v>CP226-NEW DONOR -1st</v>
      </c>
      <c r="H906" s="182" t="s">
        <v>36</v>
      </c>
      <c r="I906" s="33" t="s">
        <v>37</v>
      </c>
      <c r="J906" s="70">
        <v>55</v>
      </c>
      <c r="K906" s="71">
        <v>50</v>
      </c>
      <c r="L906" s="70">
        <v>50</v>
      </c>
      <c r="M906" s="70">
        <v>50</v>
      </c>
      <c r="N906" s="70">
        <v>50</v>
      </c>
      <c r="O906" s="70">
        <v>50</v>
      </c>
      <c r="P906" s="70">
        <v>50</v>
      </c>
      <c r="Q906" s="70">
        <v>50</v>
      </c>
      <c r="R906" s="24"/>
      <c r="S906" s="117" t="str">
        <f t="shared" si="129"/>
        <v>N</v>
      </c>
      <c r="T906" s="114">
        <f>IFERROR(SUMIF('Current NLData'!A:A,'Payment Changes'!G906,'Current NLData'!K:K)/COUNTIF('Current NLData'!A:A,'Payment Changes'!G906),0)+IFERROR(VLOOKUP(G906&amp;"-ALL",NLPaymentExport,10,FALSE),0)</f>
        <v>50</v>
      </c>
      <c r="U906" s="118">
        <f t="shared" si="131"/>
        <v>0</v>
      </c>
    </row>
    <row r="907" spans="1:54" ht="17.100000000000001" hidden="1" customHeight="1" outlineLevel="1" x14ac:dyDescent="0.25">
      <c r="A907" s="3"/>
      <c r="C907" s="4"/>
      <c r="D907" s="181"/>
      <c r="E907" s="91" t="str">
        <f t="shared" si="132"/>
        <v>Jonesboro</v>
      </c>
      <c r="F907" s="93" t="str">
        <f t="shared" si="133"/>
        <v>CP226</v>
      </c>
      <c r="G907" s="99" t="str">
        <f t="shared" si="130"/>
        <v>CP226-NEW DONOR -2nd</v>
      </c>
      <c r="H907" s="182"/>
      <c r="I907" s="34" t="s">
        <v>38</v>
      </c>
      <c r="J907" s="72">
        <v>55</v>
      </c>
      <c r="K907" s="73">
        <v>50</v>
      </c>
      <c r="L907" s="72">
        <v>50</v>
      </c>
      <c r="M907" s="72">
        <v>50</v>
      </c>
      <c r="N907" s="72">
        <v>50</v>
      </c>
      <c r="O907" s="72">
        <v>50</v>
      </c>
      <c r="P907" s="72">
        <v>50</v>
      </c>
      <c r="Q907" s="72">
        <v>50</v>
      </c>
      <c r="R907" s="24"/>
      <c r="S907" s="117" t="str">
        <f t="shared" si="129"/>
        <v>N</v>
      </c>
      <c r="T907" s="114">
        <f>IFERROR(SUMIF('Current NLData'!A:A,'Payment Changes'!G907,'Current NLData'!K:K)/COUNTIF('Current NLData'!A:A,'Payment Changes'!G907),0)+IFERROR(VLOOKUP(G907&amp;"-ALL",NLPaymentExport,10,FALSE),0)</f>
        <v>50</v>
      </c>
      <c r="U907" s="118">
        <f t="shared" si="131"/>
        <v>0</v>
      </c>
    </row>
    <row r="908" spans="1:54" ht="17.100000000000001" hidden="1" customHeight="1" outlineLevel="1" x14ac:dyDescent="0.25">
      <c r="A908" s="3"/>
      <c r="C908" s="4"/>
      <c r="D908" s="181"/>
      <c r="E908" s="91" t="str">
        <f t="shared" si="132"/>
        <v>Jonesboro</v>
      </c>
      <c r="F908" s="93" t="str">
        <f t="shared" si="133"/>
        <v>CP226</v>
      </c>
      <c r="G908" s="99" t="str">
        <f t="shared" si="130"/>
        <v>CP226-NEW DONOR -3rd</v>
      </c>
      <c r="H908" s="182"/>
      <c r="I908" s="34" t="s">
        <v>39</v>
      </c>
      <c r="J908" s="72">
        <v>55</v>
      </c>
      <c r="K908" s="73">
        <f t="shared" ref="K908:K912" si="134">K907</f>
        <v>50</v>
      </c>
      <c r="L908" s="72">
        <v>50</v>
      </c>
      <c r="M908" s="72">
        <v>50</v>
      </c>
      <c r="N908" s="72">
        <v>50</v>
      </c>
      <c r="O908" s="72">
        <v>50</v>
      </c>
      <c r="P908" s="72">
        <v>50</v>
      </c>
      <c r="Q908" s="72">
        <v>50</v>
      </c>
      <c r="R908" s="24"/>
      <c r="S908" s="117" t="str">
        <f t="shared" si="129"/>
        <v>N</v>
      </c>
      <c r="T908" s="114">
        <f>IFERROR(SUMIF('Current NLData'!A:A,'Payment Changes'!G908,'Current NLData'!K:K)/COUNTIF('Current NLData'!A:A,'Payment Changes'!G908),0)+IFERROR(VLOOKUP(G908&amp;"-ALL",NLPaymentExport,10,FALSE),0)</f>
        <v>50</v>
      </c>
      <c r="U908" s="118">
        <f t="shared" si="131"/>
        <v>0</v>
      </c>
    </row>
    <row r="909" spans="1:54" ht="17.100000000000001" hidden="1" customHeight="1" outlineLevel="1" x14ac:dyDescent="0.25">
      <c r="A909" s="3"/>
      <c r="C909" s="4"/>
      <c r="D909" s="181"/>
      <c r="E909" s="91" t="str">
        <f t="shared" si="132"/>
        <v>Jonesboro</v>
      </c>
      <c r="F909" s="93" t="str">
        <f t="shared" si="133"/>
        <v>CP226</v>
      </c>
      <c r="G909" s="99" t="str">
        <f t="shared" si="130"/>
        <v>CP226-NEW DONOR -4th</v>
      </c>
      <c r="H909" s="182"/>
      <c r="I909" s="34" t="s">
        <v>40</v>
      </c>
      <c r="J909" s="72">
        <v>55</v>
      </c>
      <c r="K909" s="73">
        <f t="shared" si="134"/>
        <v>50</v>
      </c>
      <c r="L909" s="72">
        <v>50</v>
      </c>
      <c r="M909" s="72">
        <v>50</v>
      </c>
      <c r="N909" s="72">
        <v>50</v>
      </c>
      <c r="O909" s="72">
        <v>50</v>
      </c>
      <c r="P909" s="72">
        <v>50</v>
      </c>
      <c r="Q909" s="72">
        <v>50</v>
      </c>
      <c r="R909" s="24"/>
      <c r="S909" s="117" t="str">
        <f t="shared" si="129"/>
        <v>N</v>
      </c>
      <c r="T909" s="114">
        <f>IFERROR(SUMIF('Current NLData'!A:A,'Payment Changes'!G909,'Current NLData'!K:K)/COUNTIF('Current NLData'!A:A,'Payment Changes'!G909),0)+IFERROR(VLOOKUP(G909&amp;"-ALL",NLPaymentExport,10,FALSE),0)</f>
        <v>50</v>
      </c>
      <c r="U909" s="118">
        <f t="shared" si="131"/>
        <v>0</v>
      </c>
    </row>
    <row r="910" spans="1:54" ht="17.100000000000001" hidden="1" customHeight="1" outlineLevel="1" x14ac:dyDescent="0.25">
      <c r="A910" s="3"/>
      <c r="C910" s="4"/>
      <c r="D910" s="181"/>
      <c r="E910" s="91" t="str">
        <f t="shared" si="132"/>
        <v>Jonesboro</v>
      </c>
      <c r="F910" s="93" t="str">
        <f t="shared" si="133"/>
        <v>CP226</v>
      </c>
      <c r="G910" s="99" t="str">
        <f t="shared" si="130"/>
        <v>CP226-NEW DONOR -5th</v>
      </c>
      <c r="H910" s="182"/>
      <c r="I910" s="34" t="s">
        <v>41</v>
      </c>
      <c r="J910" s="72">
        <v>55</v>
      </c>
      <c r="K910" s="73">
        <f t="shared" si="134"/>
        <v>50</v>
      </c>
      <c r="L910" s="72">
        <v>50</v>
      </c>
      <c r="M910" s="72">
        <v>50</v>
      </c>
      <c r="N910" s="72">
        <v>50</v>
      </c>
      <c r="O910" s="72">
        <v>50</v>
      </c>
      <c r="P910" s="72">
        <v>50</v>
      </c>
      <c r="Q910" s="72">
        <v>50</v>
      </c>
      <c r="R910" s="24"/>
      <c r="S910" s="117" t="str">
        <f t="shared" si="129"/>
        <v>N</v>
      </c>
      <c r="T910" s="114">
        <f>IFERROR(SUMIF('Current NLData'!A:A,'Payment Changes'!G910,'Current NLData'!K:K)/COUNTIF('Current NLData'!A:A,'Payment Changes'!G910),0)+IFERROR(VLOOKUP(G910&amp;"-ALL",NLPaymentExport,10,FALSE),0)</f>
        <v>50</v>
      </c>
      <c r="U910" s="118">
        <f t="shared" si="131"/>
        <v>0</v>
      </c>
    </row>
    <row r="911" spans="1:54" ht="17.100000000000001" hidden="1" customHeight="1" outlineLevel="1" x14ac:dyDescent="0.25">
      <c r="A911" s="3"/>
      <c r="C911" s="4"/>
      <c r="D911" s="181"/>
      <c r="E911" s="91" t="str">
        <f t="shared" si="132"/>
        <v>Jonesboro</v>
      </c>
      <c r="F911" s="93" t="str">
        <f t="shared" si="133"/>
        <v>CP226</v>
      </c>
      <c r="G911" s="99" t="str">
        <f t="shared" si="130"/>
        <v>CP226-NEW DONOR -6th</v>
      </c>
      <c r="H911" s="182"/>
      <c r="I911" s="34" t="s">
        <v>42</v>
      </c>
      <c r="J911" s="72">
        <v>55</v>
      </c>
      <c r="K911" s="73">
        <f t="shared" si="134"/>
        <v>50</v>
      </c>
      <c r="L911" s="72">
        <v>50</v>
      </c>
      <c r="M911" s="72">
        <v>50</v>
      </c>
      <c r="N911" s="72">
        <v>50</v>
      </c>
      <c r="O911" s="72">
        <v>50</v>
      </c>
      <c r="P911" s="72">
        <v>50</v>
      </c>
      <c r="Q911" s="72">
        <v>50</v>
      </c>
      <c r="R911" s="24"/>
      <c r="S911" s="117" t="str">
        <f t="shared" si="129"/>
        <v>N</v>
      </c>
      <c r="T911" s="114">
        <f>IFERROR(SUMIF('Current NLData'!A:A,'Payment Changes'!G911,'Current NLData'!K:K)/COUNTIF('Current NLData'!A:A,'Payment Changes'!G911),0)+IFERROR(VLOOKUP(G911&amp;"-ALL",NLPaymentExport,10,FALSE),0)</f>
        <v>50</v>
      </c>
      <c r="U911" s="118">
        <f t="shared" si="131"/>
        <v>0</v>
      </c>
    </row>
    <row r="912" spans="1:54" ht="17.100000000000001" hidden="1" customHeight="1" outlineLevel="1" x14ac:dyDescent="0.25">
      <c r="A912" s="3"/>
      <c r="C912" s="4"/>
      <c r="D912" s="181"/>
      <c r="E912" s="91" t="str">
        <f t="shared" si="132"/>
        <v>Jonesboro</v>
      </c>
      <c r="F912" s="93" t="str">
        <f t="shared" si="133"/>
        <v>CP226</v>
      </c>
      <c r="G912" s="99" t="str">
        <f t="shared" si="130"/>
        <v>CP226-NEW DONOR -7th</v>
      </c>
      <c r="H912" s="182"/>
      <c r="I912" s="34" t="s">
        <v>43</v>
      </c>
      <c r="J912" s="72">
        <v>55</v>
      </c>
      <c r="K912" s="73">
        <f t="shared" si="134"/>
        <v>50</v>
      </c>
      <c r="L912" s="72">
        <v>50</v>
      </c>
      <c r="M912" s="72">
        <v>50</v>
      </c>
      <c r="N912" s="72">
        <v>50</v>
      </c>
      <c r="O912" s="72">
        <v>50</v>
      </c>
      <c r="P912" s="72">
        <v>50</v>
      </c>
      <c r="Q912" s="72">
        <v>50</v>
      </c>
      <c r="R912" s="24"/>
      <c r="S912" s="117" t="str">
        <f t="shared" si="129"/>
        <v>N</v>
      </c>
      <c r="T912" s="114">
        <f>IFERROR(SUMIF('Current NLData'!A:A,'Payment Changes'!G912,'Current NLData'!K:K)/COUNTIF('Current NLData'!A:A,'Payment Changes'!G912),0)+IFERROR(VLOOKUP(G912&amp;"-ALL",NLPaymentExport,10,FALSE),0)</f>
        <v>50</v>
      </c>
      <c r="U912" s="118">
        <f t="shared" si="131"/>
        <v>0</v>
      </c>
    </row>
    <row r="913" spans="1:54" ht="17.100000000000001" hidden="1" customHeight="1" outlineLevel="1" x14ac:dyDescent="0.25">
      <c r="A913" s="3"/>
      <c r="C913" s="4"/>
      <c r="D913" s="181"/>
      <c r="E913" s="91" t="str">
        <f t="shared" si="132"/>
        <v>Jonesboro</v>
      </c>
      <c r="F913" s="93" t="str">
        <f t="shared" si="133"/>
        <v>CP226</v>
      </c>
      <c r="G913" s="99" t="str">
        <f t="shared" si="130"/>
        <v>CP226-NEW DONOR -8th</v>
      </c>
      <c r="H913" s="182"/>
      <c r="I913" s="35" t="s">
        <v>44</v>
      </c>
      <c r="J913" s="74">
        <v>55</v>
      </c>
      <c r="K913" s="75">
        <f>K912</f>
        <v>50</v>
      </c>
      <c r="L913" s="74">
        <v>50</v>
      </c>
      <c r="M913" s="74">
        <v>50</v>
      </c>
      <c r="N913" s="74">
        <v>50</v>
      </c>
      <c r="O913" s="74">
        <v>50</v>
      </c>
      <c r="P913" s="74">
        <v>50</v>
      </c>
      <c r="Q913" s="74">
        <v>50</v>
      </c>
      <c r="R913" s="24"/>
      <c r="S913" s="117" t="str">
        <f t="shared" si="129"/>
        <v>N</v>
      </c>
      <c r="T913" s="114">
        <f>IFERROR(SUMIF('Current NLData'!A:A,'Payment Changes'!G913,'Current NLData'!K:K)/COUNTIF('Current NLData'!A:A,'Payment Changes'!G913),0)+IFERROR(VLOOKUP(G913&amp;"-ALL",NLPaymentExport,10,FALSE),0)</f>
        <v>50</v>
      </c>
      <c r="U913" s="118">
        <f t="shared" si="131"/>
        <v>0</v>
      </c>
    </row>
    <row r="914" spans="1:54" ht="17.100000000000001" hidden="1" customHeight="1" outlineLevel="1" x14ac:dyDescent="0.25">
      <c r="A914" s="3"/>
      <c r="C914" s="4"/>
      <c r="D914" s="181"/>
      <c r="E914" s="91" t="str">
        <f t="shared" si="132"/>
        <v>Jonesboro</v>
      </c>
      <c r="F914" s="93" t="str">
        <f t="shared" si="133"/>
        <v>CP226</v>
      </c>
      <c r="G914" s="99" t="str">
        <f t="shared" si="130"/>
        <v>CP226-RETURN - 1st don of the week -STD</v>
      </c>
      <c r="H914" s="182"/>
      <c r="I914" s="36" t="s">
        <v>45</v>
      </c>
      <c r="J914" s="72">
        <v>55</v>
      </c>
      <c r="K914" s="73">
        <v>50</v>
      </c>
      <c r="L914" s="72">
        <v>50</v>
      </c>
      <c r="M914" s="72">
        <v>50</v>
      </c>
      <c r="N914" s="72">
        <v>50</v>
      </c>
      <c r="O914" s="72">
        <v>50</v>
      </c>
      <c r="P914" s="72">
        <v>50</v>
      </c>
      <c r="Q914" s="72">
        <v>50</v>
      </c>
      <c r="R914" s="24"/>
      <c r="S914" s="117" t="str">
        <f t="shared" si="129"/>
        <v>N</v>
      </c>
      <c r="T914" s="114">
        <f>IFERROR(SUMIF('Current NLData'!A:A,'Payment Changes'!G914,'Current NLData'!K:K)/COUNTIF('Current NLData'!A:A,'Payment Changes'!G914),0)+IFERROR(VLOOKUP(G914&amp;"-ALL",NLPaymentExport,10,FALSE),0)</f>
        <v>50</v>
      </c>
      <c r="U914" s="118">
        <f t="shared" si="131"/>
        <v>0</v>
      </c>
    </row>
    <row r="915" spans="1:54" ht="17.100000000000001" hidden="1" customHeight="1" outlineLevel="1" x14ac:dyDescent="0.25">
      <c r="A915" s="3"/>
      <c r="C915" s="4"/>
      <c r="D915" s="181"/>
      <c r="E915" s="91" t="str">
        <f t="shared" si="132"/>
        <v>Jonesboro</v>
      </c>
      <c r="F915" s="93" t="str">
        <f t="shared" si="133"/>
        <v>CP226</v>
      </c>
      <c r="G915" s="99" t="str">
        <f t="shared" si="130"/>
        <v>CP226-RETURN - 2nd don of the week -BONUS</v>
      </c>
      <c r="H915" s="182"/>
      <c r="I915" s="36" t="s">
        <v>46</v>
      </c>
      <c r="J915" s="58">
        <v>0</v>
      </c>
      <c r="K915" s="58">
        <v>0</v>
      </c>
      <c r="L915" s="58">
        <v>0</v>
      </c>
      <c r="M915" s="58">
        <v>0</v>
      </c>
      <c r="N915" s="58">
        <v>0</v>
      </c>
      <c r="O915" s="58">
        <v>0</v>
      </c>
      <c r="P915" s="58">
        <v>0</v>
      </c>
      <c r="Q915" s="58">
        <v>0</v>
      </c>
      <c r="R915" s="22"/>
      <c r="S915" s="117" t="str">
        <f t="shared" si="129"/>
        <v>N</v>
      </c>
      <c r="T915" s="114">
        <f>IFERROR(SUMIF('Current NLData'!A:A,'Payment Changes'!G915,'Current NLData'!K:K)/COUNTIF('Current NLData'!A:A,'Payment Changes'!G915),0)+IFERROR(VLOOKUP(G915&amp;"-ALL",NLPaymentExport,10,FALSE),0)</f>
        <v>0</v>
      </c>
      <c r="U915" s="118">
        <f t="shared" si="131"/>
        <v>0</v>
      </c>
    </row>
    <row r="916" spans="1:54" ht="17.100000000000001" hidden="1" customHeight="1" outlineLevel="1" x14ac:dyDescent="0.25">
      <c r="A916" s="3"/>
      <c r="C916" s="4"/>
      <c r="D916" s="181"/>
      <c r="E916" s="91" t="str">
        <f t="shared" si="132"/>
        <v>Jonesboro</v>
      </c>
      <c r="F916" s="93" t="str">
        <f t="shared" si="133"/>
        <v>CP226</v>
      </c>
      <c r="G916" s="99" t="str">
        <f t="shared" si="130"/>
        <v>CP226-RETURN - 5th don of the month -BONUS</v>
      </c>
      <c r="H916" s="182"/>
      <c r="I916" s="37" t="s">
        <v>47</v>
      </c>
      <c r="J916" s="65">
        <v>0</v>
      </c>
      <c r="K916" s="65">
        <v>0</v>
      </c>
      <c r="L916" s="65">
        <v>0</v>
      </c>
      <c r="M916" s="65">
        <v>0</v>
      </c>
      <c r="N916" s="65">
        <v>0</v>
      </c>
      <c r="O916" s="65">
        <v>0</v>
      </c>
      <c r="P916" s="65">
        <v>0</v>
      </c>
      <c r="Q916" s="65">
        <v>0</v>
      </c>
      <c r="R916" s="22"/>
      <c r="S916" s="117" t="str">
        <f t="shared" si="129"/>
        <v>N</v>
      </c>
      <c r="T916" s="114">
        <f>IFERROR(SUMIF('Current NLData'!A:A,'Payment Changes'!G916,'Current NLData'!K:K)/COUNTIF('Current NLData'!A:A,'Payment Changes'!G916),0)+IFERROR(VLOOKUP(G916&amp;"-ALL",NLPaymentExport,10,FALSE),0)</f>
        <v>0</v>
      </c>
      <c r="U916" s="118">
        <f t="shared" si="131"/>
        <v>0</v>
      </c>
    </row>
    <row r="917" spans="1:54" ht="17.100000000000001" hidden="1" customHeight="1" outlineLevel="1" x14ac:dyDescent="0.25">
      <c r="A917" s="3"/>
      <c r="C917" s="4"/>
      <c r="D917" s="181"/>
      <c r="E917" s="91" t="str">
        <f t="shared" si="132"/>
        <v>Jonesboro</v>
      </c>
      <c r="F917" s="93" t="str">
        <f t="shared" si="133"/>
        <v>CP226</v>
      </c>
      <c r="G917" s="99" t="str">
        <f t="shared" si="130"/>
        <v>CP226-RETURN - 6th don of the month -BONUS</v>
      </c>
      <c r="H917" s="182"/>
      <c r="I917" s="38" t="s">
        <v>48</v>
      </c>
      <c r="J917" s="58">
        <v>25</v>
      </c>
      <c r="K917" s="62">
        <v>25</v>
      </c>
      <c r="L917" s="58">
        <v>0</v>
      </c>
      <c r="M917" s="58">
        <v>0</v>
      </c>
      <c r="N917" s="58">
        <v>0</v>
      </c>
      <c r="O917" s="58">
        <v>0</v>
      </c>
      <c r="P917" s="58">
        <v>0</v>
      </c>
      <c r="Q917" s="58">
        <v>0</v>
      </c>
      <c r="R917" s="23"/>
      <c r="S917" s="117" t="str">
        <f t="shared" si="129"/>
        <v>N</v>
      </c>
      <c r="T917" s="114">
        <f>IFERROR(SUMIF('Current NLData'!A:A,'Payment Changes'!G917,'Current NLData'!K:K)/COUNTIF('Current NLData'!A:A,'Payment Changes'!G917),0)+IFERROR(VLOOKUP(G917&amp;"-ALL",NLPaymentExport,10,FALSE),0)</f>
        <v>0</v>
      </c>
      <c r="U917" s="118">
        <f t="shared" si="131"/>
        <v>0</v>
      </c>
    </row>
    <row r="918" spans="1:54" ht="17.100000000000001" hidden="1" customHeight="1" outlineLevel="1" x14ac:dyDescent="0.25">
      <c r="A918" s="3"/>
      <c r="C918" s="4"/>
      <c r="D918" s="181"/>
      <c r="E918" s="91" t="str">
        <f t="shared" si="132"/>
        <v>Jonesboro</v>
      </c>
      <c r="F918" s="93" t="str">
        <f t="shared" si="133"/>
        <v>CP226</v>
      </c>
      <c r="G918" s="99" t="str">
        <f t="shared" si="130"/>
        <v>CP226-RETURN - 7th don of the month -BONUS</v>
      </c>
      <c r="H918" s="182"/>
      <c r="I918" s="38" t="s">
        <v>49</v>
      </c>
      <c r="J918" s="58">
        <v>0</v>
      </c>
      <c r="K918" s="58">
        <v>0</v>
      </c>
      <c r="L918" s="58">
        <v>0</v>
      </c>
      <c r="M918" s="58">
        <v>0</v>
      </c>
      <c r="N918" s="58">
        <v>0</v>
      </c>
      <c r="O918" s="58">
        <v>0</v>
      </c>
      <c r="P918" s="58">
        <v>0</v>
      </c>
      <c r="Q918" s="58">
        <v>0</v>
      </c>
      <c r="R918" s="22"/>
      <c r="S918" s="117" t="str">
        <f t="shared" si="129"/>
        <v>N</v>
      </c>
      <c r="T918" s="114">
        <f>IFERROR(SUMIF('Current NLData'!A:A,'Payment Changes'!G918,'Current NLData'!K:K)/COUNTIF('Current NLData'!A:A,'Payment Changes'!G918),0)+IFERROR(VLOOKUP(G918&amp;"-ALL",NLPaymentExport,10,FALSE),0)</f>
        <v>0</v>
      </c>
      <c r="U918" s="118">
        <f t="shared" si="131"/>
        <v>0</v>
      </c>
    </row>
    <row r="919" spans="1:54" ht="17.100000000000001" hidden="1" customHeight="1" outlineLevel="1" x14ac:dyDescent="0.25">
      <c r="A919" s="3"/>
      <c r="C919" s="4"/>
      <c r="D919" s="181"/>
      <c r="E919" s="91" t="str">
        <f t="shared" si="132"/>
        <v>Jonesboro</v>
      </c>
      <c r="F919" s="93" t="str">
        <f t="shared" si="133"/>
        <v>CP226</v>
      </c>
      <c r="G919" s="99" t="str">
        <f t="shared" si="130"/>
        <v>CP226-RETURN - 8th don of the month -BONUS</v>
      </c>
      <c r="H919" s="182"/>
      <c r="I919" s="38" t="s">
        <v>50</v>
      </c>
      <c r="J919" s="58">
        <v>0</v>
      </c>
      <c r="K919" s="58">
        <v>0</v>
      </c>
      <c r="L919" s="58">
        <v>0</v>
      </c>
      <c r="M919" s="58">
        <v>0</v>
      </c>
      <c r="N919" s="58">
        <v>0</v>
      </c>
      <c r="O919" s="58">
        <v>0</v>
      </c>
      <c r="P919" s="58">
        <v>0</v>
      </c>
      <c r="Q919" s="58">
        <v>0</v>
      </c>
      <c r="R919" s="22"/>
      <c r="S919" s="117" t="str">
        <f t="shared" si="129"/>
        <v>N</v>
      </c>
      <c r="T919" s="114">
        <f>IFERROR(SUMIF('Current NLData'!A:A,'Payment Changes'!G919,'Current NLData'!K:K)/COUNTIF('Current NLData'!A:A,'Payment Changes'!G919),0)+IFERROR(VLOOKUP(G919&amp;"-ALL",NLPaymentExport,10,FALSE),0)</f>
        <v>0</v>
      </c>
      <c r="U919" s="118">
        <f t="shared" si="131"/>
        <v>0</v>
      </c>
    </row>
    <row r="920" spans="1:54" ht="17.100000000000001" hidden="1" customHeight="1" outlineLevel="1" x14ac:dyDescent="0.25">
      <c r="A920" s="3"/>
      <c r="C920" s="4" t="str">
        <f>IF(J920=0,"Warning","")</f>
        <v/>
      </c>
      <c r="D920" s="181"/>
      <c r="E920" s="91" t="str">
        <f t="shared" si="132"/>
        <v>Jonesboro</v>
      </c>
      <c r="F920" s="93" t="str">
        <f t="shared" si="133"/>
        <v>CP226</v>
      </c>
      <c r="G920" s="99" t="str">
        <f t="shared" si="130"/>
        <v>CP226-RETURN - Buddy referral  -BONUS</v>
      </c>
      <c r="H920" s="182"/>
      <c r="I920" s="39" t="s">
        <v>51</v>
      </c>
      <c r="J920" s="58">
        <v>50</v>
      </c>
      <c r="K920" s="58">
        <v>50</v>
      </c>
      <c r="L920" s="58">
        <v>0</v>
      </c>
      <c r="M920" s="58">
        <v>0</v>
      </c>
      <c r="N920" s="58">
        <v>0</v>
      </c>
      <c r="O920" s="58">
        <v>50</v>
      </c>
      <c r="P920" s="58">
        <v>50</v>
      </c>
      <c r="Q920" s="58">
        <v>50</v>
      </c>
      <c r="R920" s="22"/>
      <c r="S920" s="117" t="str">
        <f t="shared" si="129"/>
        <v>N</v>
      </c>
      <c r="T920" s="114">
        <f>IFERROR(SUMIF('Current NLData'!A:A,'Payment Changes'!G920,'Current NLData'!K:K)/COUNTIF('Current NLData'!A:A,'Payment Changes'!G920),0)+IFERROR(VLOOKUP(G920&amp;"-ALL",NLPaymentExport,10,FALSE),0)</f>
        <v>50</v>
      </c>
      <c r="U920" s="118">
        <f t="shared" si="131"/>
        <v>0</v>
      </c>
    </row>
    <row r="921" spans="1:54" s="90" customFormat="1" ht="17.100000000000001" hidden="1" customHeight="1" collapsed="1" x14ac:dyDescent="0.35">
      <c r="A921" s="85"/>
      <c r="B921" s="85"/>
      <c r="C921" s="86"/>
      <c r="D921" s="87"/>
      <c r="E921" s="87"/>
      <c r="F921" s="87"/>
      <c r="G921" s="87"/>
      <c r="H921" s="96"/>
      <c r="I921" s="88"/>
      <c r="J921" s="89"/>
      <c r="K921" s="89"/>
      <c r="L921" s="89"/>
      <c r="M921" s="89"/>
      <c r="N921" s="89"/>
      <c r="O921" s="89"/>
      <c r="P921" s="89"/>
      <c r="Q921" s="89"/>
      <c r="R921" s="21"/>
      <c r="S921" s="117" t="str">
        <f t="shared" si="129"/>
        <v>N</v>
      </c>
      <c r="T921" s="114">
        <f>IFERROR(SUMIF('Current NLData'!A:A,'Payment Changes'!G921,'Current NLData'!K:K)/COUNTIF('Current NLData'!A:A,'Payment Changes'!G921),0)+IFERROR(VLOOKUP(G921&amp;"-ALL",NLPaymentExport,10,FALSE),0)</f>
        <v>0</v>
      </c>
      <c r="U921" s="118" t="str">
        <f t="shared" si="131"/>
        <v/>
      </c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1:54" s="10" customFormat="1" ht="17.100000000000001" hidden="1" customHeight="1" x14ac:dyDescent="0.25">
      <c r="A922" s="165">
        <v>47</v>
      </c>
      <c r="B922" s="168" t="s">
        <v>298</v>
      </c>
      <c r="C922" s="171" t="s">
        <v>19</v>
      </c>
      <c r="D922" s="174" t="s">
        <v>57</v>
      </c>
      <c r="E922" s="106" t="str">
        <f t="shared" si="132"/>
        <v>Bowling Green</v>
      </c>
      <c r="F922" s="107" t="s">
        <v>299</v>
      </c>
      <c r="G922" s="108" t="str">
        <f t="shared" ref="G922:G940" si="135">F922&amp;"-"&amp;I922</f>
        <v>CP177-New Donor</v>
      </c>
      <c r="H922" s="177" t="s">
        <v>147</v>
      </c>
      <c r="I922" s="76" t="s">
        <v>23</v>
      </c>
      <c r="J922" s="40" t="s">
        <v>300</v>
      </c>
      <c r="K922" s="41" t="s">
        <v>301</v>
      </c>
      <c r="L922" s="41" t="s">
        <v>293</v>
      </c>
      <c r="M922" s="42" t="s">
        <v>293</v>
      </c>
      <c r="N922" s="40" t="s">
        <v>293</v>
      </c>
      <c r="O922" s="40" t="s">
        <v>293</v>
      </c>
      <c r="P922" s="40" t="s">
        <v>293</v>
      </c>
      <c r="Q922" s="40" t="s">
        <v>293</v>
      </c>
      <c r="R922" s="109"/>
      <c r="S922" s="117" t="str">
        <f t="shared" si="129"/>
        <v>N</v>
      </c>
      <c r="T922" s="114">
        <f>IFERROR(SUMIF('Current NLData'!A:A,'Payment Changes'!G922,'Current NLData'!K:K)/COUNTIF('Current NLData'!A:A,'Payment Changes'!G922),0)+IFERROR(VLOOKUP(G922&amp;"-ALL",NLPaymentExport,10,FALSE),0)</f>
        <v>0</v>
      </c>
      <c r="U922" s="118" t="str">
        <f t="shared" si="131"/>
        <v/>
      </c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1:54" ht="17.100000000000001" hidden="1" customHeight="1" x14ac:dyDescent="0.25">
      <c r="A923" s="166"/>
      <c r="B923" s="169"/>
      <c r="C923" s="172"/>
      <c r="D923" s="175"/>
      <c r="E923" s="91" t="str">
        <f t="shared" si="132"/>
        <v>Bowling Green</v>
      </c>
      <c r="F923" s="92" t="s">
        <v>299</v>
      </c>
      <c r="G923" s="98" t="str">
        <f t="shared" si="135"/>
        <v>CP177-Return Donor</v>
      </c>
      <c r="H923" s="178"/>
      <c r="I923" s="77" t="s">
        <v>29</v>
      </c>
      <c r="J923" s="43" t="s">
        <v>204</v>
      </c>
      <c r="K923" s="43" t="s">
        <v>302</v>
      </c>
      <c r="L923" s="44" t="s">
        <v>302</v>
      </c>
      <c r="M923" s="45" t="s">
        <v>302</v>
      </c>
      <c r="N923" s="43" t="s">
        <v>302</v>
      </c>
      <c r="O923" s="43" t="s">
        <v>302</v>
      </c>
      <c r="P923" s="43" t="s">
        <v>302</v>
      </c>
      <c r="Q923" s="43" t="s">
        <v>302</v>
      </c>
      <c r="R923" s="21"/>
      <c r="S923" s="117" t="str">
        <f t="shared" si="129"/>
        <v>N</v>
      </c>
      <c r="T923" s="114">
        <f>IFERROR(SUMIF('Current NLData'!A:A,'Payment Changes'!G923,'Current NLData'!K:K)/COUNTIF('Current NLData'!A:A,'Payment Changes'!G923),0)+IFERROR(VLOOKUP(G923&amp;"-ALL",NLPaymentExport,10,FALSE),0)</f>
        <v>0</v>
      </c>
      <c r="U923" s="118" t="str">
        <f t="shared" si="131"/>
        <v/>
      </c>
    </row>
    <row r="924" spans="1:54" ht="17.100000000000001" hidden="1" customHeight="1" x14ac:dyDescent="0.25">
      <c r="A924" s="166"/>
      <c r="B924" s="169"/>
      <c r="C924" s="172"/>
      <c r="D924" s="175"/>
      <c r="E924" s="91" t="str">
        <f t="shared" si="132"/>
        <v>Bowling Green</v>
      </c>
      <c r="F924" s="92" t="s">
        <v>299</v>
      </c>
      <c r="G924" s="98" t="str">
        <f t="shared" si="135"/>
        <v>CP177-Retention Bonus</v>
      </c>
      <c r="H924" s="178"/>
      <c r="I924" s="78" t="s">
        <v>30</v>
      </c>
      <c r="J924" s="46" t="s">
        <v>31</v>
      </c>
      <c r="K924" s="46" t="s">
        <v>31</v>
      </c>
      <c r="L924" s="47" t="s">
        <v>32</v>
      </c>
      <c r="M924" s="47" t="s">
        <v>268</v>
      </c>
      <c r="N924" s="46" t="s">
        <v>268</v>
      </c>
      <c r="O924" s="46" t="s">
        <v>268</v>
      </c>
      <c r="P924" s="46" t="s">
        <v>268</v>
      </c>
      <c r="Q924" s="46" t="s">
        <v>268</v>
      </c>
      <c r="R924" s="21"/>
      <c r="S924" s="117" t="str">
        <f t="shared" si="129"/>
        <v>N</v>
      </c>
      <c r="T924" s="114">
        <f>IFERROR(SUMIF('Current NLData'!A:A,'Payment Changes'!G924,'Current NLData'!K:K)/COUNTIF('Current NLData'!A:A,'Payment Changes'!G924),0)+IFERROR(VLOOKUP(G924&amp;"-ALL",NLPaymentExport,10,FALSE),0)</f>
        <v>0</v>
      </c>
      <c r="U924" s="118" t="str">
        <f t="shared" si="131"/>
        <v/>
      </c>
    </row>
    <row r="925" spans="1:54" s="15" customFormat="1" ht="17.100000000000001" hidden="1" customHeight="1" x14ac:dyDescent="0.25">
      <c r="A925" s="167"/>
      <c r="B925" s="170"/>
      <c r="C925" s="173"/>
      <c r="D925" s="176"/>
      <c r="E925" s="110" t="str">
        <f t="shared" si="132"/>
        <v>Bowling Green</v>
      </c>
      <c r="F925" s="111" t="s">
        <v>299</v>
      </c>
      <c r="G925" s="112" t="str">
        <f t="shared" si="135"/>
        <v>CP177-Referral</v>
      </c>
      <c r="H925" s="179"/>
      <c r="I925" s="79" t="s">
        <v>34</v>
      </c>
      <c r="J925" s="49">
        <v>50</v>
      </c>
      <c r="K925" s="49">
        <v>50</v>
      </c>
      <c r="L925" s="50" t="s">
        <v>32</v>
      </c>
      <c r="M925" s="50" t="s">
        <v>247</v>
      </c>
      <c r="N925" s="49" t="s">
        <v>247</v>
      </c>
      <c r="O925" s="49" t="s">
        <v>247</v>
      </c>
      <c r="P925" s="49" t="s">
        <v>247</v>
      </c>
      <c r="Q925" s="49" t="s">
        <v>247</v>
      </c>
      <c r="R925" s="113"/>
      <c r="S925" s="117" t="str">
        <f t="shared" si="129"/>
        <v>N</v>
      </c>
      <c r="T925" s="114">
        <f>IFERROR(SUMIF('Current NLData'!A:A,'Payment Changes'!G925,'Current NLData'!K:K)/COUNTIF('Current NLData'!A:A,'Payment Changes'!G925),0)+IFERROR(VLOOKUP(G925&amp;"-ALL",NLPaymentExport,10,FALSE),0)</f>
        <v>0</v>
      </c>
      <c r="U925" s="118" t="str">
        <f t="shared" si="131"/>
        <v/>
      </c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1:54" ht="17.100000000000001" hidden="1" customHeight="1" outlineLevel="1" x14ac:dyDescent="0.25">
      <c r="A926" s="3"/>
      <c r="C926" s="4"/>
      <c r="D926" s="180" t="s">
        <v>299</v>
      </c>
      <c r="E926" s="91" t="str">
        <f t="shared" si="132"/>
        <v>Bowling Green</v>
      </c>
      <c r="F926" s="93" t="str">
        <f t="shared" si="133"/>
        <v>CP177</v>
      </c>
      <c r="G926" s="99" t="str">
        <f t="shared" si="135"/>
        <v>CP177-NEW DONOR -1st</v>
      </c>
      <c r="H926" s="182" t="s">
        <v>36</v>
      </c>
      <c r="I926" s="33" t="s">
        <v>37</v>
      </c>
      <c r="J926" s="60">
        <v>100</v>
      </c>
      <c r="K926" s="61">
        <v>100</v>
      </c>
      <c r="L926" s="60">
        <v>100</v>
      </c>
      <c r="M926" s="60">
        <v>100</v>
      </c>
      <c r="N926" s="60">
        <v>100</v>
      </c>
      <c r="O926" s="60">
        <v>100</v>
      </c>
      <c r="P926" s="60">
        <v>100</v>
      </c>
      <c r="Q926" s="60">
        <v>100</v>
      </c>
      <c r="R926" s="23"/>
      <c r="S926" s="117" t="str">
        <f t="shared" si="129"/>
        <v>N</v>
      </c>
      <c r="T926" s="114">
        <f>IFERROR(SUMIF('Current NLData'!A:A,'Payment Changes'!G926,'Current NLData'!K:K)/COUNTIF('Current NLData'!A:A,'Payment Changes'!G926),0)+IFERROR(VLOOKUP(G926&amp;"-ALL",NLPaymentExport,10,FALSE),0)</f>
        <v>100</v>
      </c>
      <c r="U926" s="118">
        <f t="shared" si="131"/>
        <v>0</v>
      </c>
    </row>
    <row r="927" spans="1:54" ht="17.100000000000001" hidden="1" customHeight="1" outlineLevel="1" x14ac:dyDescent="0.25">
      <c r="A927" s="3"/>
      <c r="C927" s="4"/>
      <c r="D927" s="181"/>
      <c r="E927" s="91" t="str">
        <f t="shared" si="132"/>
        <v>Bowling Green</v>
      </c>
      <c r="F927" s="93" t="str">
        <f t="shared" si="133"/>
        <v>CP177</v>
      </c>
      <c r="G927" s="99" t="str">
        <f t="shared" si="135"/>
        <v>CP177-NEW DONOR -2nd</v>
      </c>
      <c r="H927" s="182"/>
      <c r="I927" s="34" t="s">
        <v>38</v>
      </c>
      <c r="J927" s="58">
        <v>100</v>
      </c>
      <c r="K927" s="62">
        <v>100</v>
      </c>
      <c r="L927" s="58">
        <v>100</v>
      </c>
      <c r="M927" s="58">
        <v>100</v>
      </c>
      <c r="N927" s="58">
        <v>100</v>
      </c>
      <c r="O927" s="58">
        <v>100</v>
      </c>
      <c r="P927" s="58">
        <v>100</v>
      </c>
      <c r="Q927" s="58">
        <v>100</v>
      </c>
      <c r="R927" s="23"/>
      <c r="S927" s="117" t="str">
        <f t="shared" si="129"/>
        <v>N</v>
      </c>
      <c r="T927" s="114">
        <f>IFERROR(SUMIF('Current NLData'!A:A,'Payment Changes'!G927,'Current NLData'!K:K)/COUNTIF('Current NLData'!A:A,'Payment Changes'!G927),0)+IFERROR(VLOOKUP(G927&amp;"-ALL",NLPaymentExport,10,FALSE),0)</f>
        <v>100</v>
      </c>
      <c r="U927" s="118">
        <f t="shared" si="131"/>
        <v>0</v>
      </c>
    </row>
    <row r="928" spans="1:54" ht="17.100000000000001" hidden="1" customHeight="1" outlineLevel="1" x14ac:dyDescent="0.25">
      <c r="A928" s="3"/>
      <c r="C928" s="4"/>
      <c r="D928" s="181"/>
      <c r="E928" s="91" t="str">
        <f t="shared" si="132"/>
        <v>Bowling Green</v>
      </c>
      <c r="F928" s="93" t="str">
        <f t="shared" si="133"/>
        <v>CP177</v>
      </c>
      <c r="G928" s="99" t="str">
        <f t="shared" si="135"/>
        <v>CP177-NEW DONOR -3rd</v>
      </c>
      <c r="H928" s="182"/>
      <c r="I928" s="34" t="s">
        <v>39</v>
      </c>
      <c r="J928" s="58">
        <v>40</v>
      </c>
      <c r="K928" s="62">
        <v>36</v>
      </c>
      <c r="L928" s="58">
        <v>36</v>
      </c>
      <c r="M928" s="58">
        <v>36</v>
      </c>
      <c r="N928" s="58">
        <v>36</v>
      </c>
      <c r="O928" s="58">
        <v>36</v>
      </c>
      <c r="P928" s="58">
        <v>36</v>
      </c>
      <c r="Q928" s="58">
        <v>36</v>
      </c>
      <c r="R928" s="23"/>
      <c r="S928" s="117" t="str">
        <f t="shared" si="129"/>
        <v>N</v>
      </c>
      <c r="T928" s="114">
        <f>IFERROR(SUMIF('Current NLData'!A:A,'Payment Changes'!G928,'Current NLData'!K:K)/COUNTIF('Current NLData'!A:A,'Payment Changes'!G928),0)+IFERROR(VLOOKUP(G928&amp;"-ALL",NLPaymentExport,10,FALSE),0)</f>
        <v>36</v>
      </c>
      <c r="U928" s="118">
        <f t="shared" si="131"/>
        <v>0</v>
      </c>
    </row>
    <row r="929" spans="1:54" ht="17.100000000000001" hidden="1" customHeight="1" outlineLevel="1" x14ac:dyDescent="0.25">
      <c r="A929" s="3"/>
      <c r="C929" s="4"/>
      <c r="D929" s="181"/>
      <c r="E929" s="91" t="str">
        <f t="shared" si="132"/>
        <v>Bowling Green</v>
      </c>
      <c r="F929" s="93" t="str">
        <f t="shared" si="133"/>
        <v>CP177</v>
      </c>
      <c r="G929" s="99" t="str">
        <f t="shared" si="135"/>
        <v>CP177-NEW DONOR -4th</v>
      </c>
      <c r="H929" s="182"/>
      <c r="I929" s="34" t="s">
        <v>40</v>
      </c>
      <c r="J929" s="58">
        <v>40</v>
      </c>
      <c r="K929" s="62">
        <v>60</v>
      </c>
      <c r="L929" s="58">
        <v>36</v>
      </c>
      <c r="M929" s="58">
        <v>36</v>
      </c>
      <c r="N929" s="58">
        <v>36</v>
      </c>
      <c r="O929" s="58">
        <v>36</v>
      </c>
      <c r="P929" s="58">
        <v>36</v>
      </c>
      <c r="Q929" s="58">
        <v>36</v>
      </c>
      <c r="R929" s="23"/>
      <c r="S929" s="117" t="str">
        <f t="shared" si="129"/>
        <v>N</v>
      </c>
      <c r="T929" s="114">
        <f>IFERROR(SUMIF('Current NLData'!A:A,'Payment Changes'!G929,'Current NLData'!K:K)/COUNTIF('Current NLData'!A:A,'Payment Changes'!G929),0)+IFERROR(VLOOKUP(G929&amp;"-ALL",NLPaymentExport,10,FALSE),0)</f>
        <v>36</v>
      </c>
      <c r="U929" s="118">
        <f t="shared" si="131"/>
        <v>0</v>
      </c>
    </row>
    <row r="930" spans="1:54" ht="17.100000000000001" hidden="1" customHeight="1" outlineLevel="1" x14ac:dyDescent="0.25">
      <c r="A930" s="3"/>
      <c r="C930" s="4"/>
      <c r="D930" s="181"/>
      <c r="E930" s="91" t="str">
        <f t="shared" si="132"/>
        <v>Bowling Green</v>
      </c>
      <c r="F930" s="93" t="str">
        <f t="shared" si="133"/>
        <v>CP177</v>
      </c>
      <c r="G930" s="99" t="str">
        <f t="shared" si="135"/>
        <v>CP177-NEW DONOR -5th</v>
      </c>
      <c r="H930" s="182"/>
      <c r="I930" s="34" t="s">
        <v>41</v>
      </c>
      <c r="J930" s="58">
        <v>40</v>
      </c>
      <c r="K930" s="62">
        <v>36</v>
      </c>
      <c r="L930" s="58">
        <v>36</v>
      </c>
      <c r="M930" s="58">
        <v>36</v>
      </c>
      <c r="N930" s="58">
        <v>36</v>
      </c>
      <c r="O930" s="58">
        <v>36</v>
      </c>
      <c r="P930" s="58">
        <v>36</v>
      </c>
      <c r="Q930" s="58">
        <v>36</v>
      </c>
      <c r="R930" s="23"/>
      <c r="S930" s="117" t="str">
        <f t="shared" si="129"/>
        <v>N</v>
      </c>
      <c r="T930" s="114">
        <f>IFERROR(SUMIF('Current NLData'!A:A,'Payment Changes'!G930,'Current NLData'!K:K)/COUNTIF('Current NLData'!A:A,'Payment Changes'!G930),0)+IFERROR(VLOOKUP(G930&amp;"-ALL",NLPaymentExport,10,FALSE),0)</f>
        <v>36</v>
      </c>
      <c r="U930" s="118">
        <f t="shared" si="131"/>
        <v>0</v>
      </c>
    </row>
    <row r="931" spans="1:54" ht="17.100000000000001" hidden="1" customHeight="1" outlineLevel="1" x14ac:dyDescent="0.25">
      <c r="A931" s="3"/>
      <c r="C931" s="4"/>
      <c r="D931" s="181"/>
      <c r="E931" s="91" t="str">
        <f t="shared" si="132"/>
        <v>Bowling Green</v>
      </c>
      <c r="F931" s="93" t="str">
        <f t="shared" si="133"/>
        <v>CP177</v>
      </c>
      <c r="G931" s="99" t="str">
        <f t="shared" si="135"/>
        <v>CP177-NEW DONOR -6th</v>
      </c>
      <c r="H931" s="182"/>
      <c r="I931" s="34" t="s">
        <v>42</v>
      </c>
      <c r="J931" s="58">
        <v>40</v>
      </c>
      <c r="K931" s="62">
        <v>60</v>
      </c>
      <c r="L931" s="58">
        <v>36</v>
      </c>
      <c r="M931" s="58">
        <v>36</v>
      </c>
      <c r="N931" s="58">
        <v>36</v>
      </c>
      <c r="O931" s="58">
        <v>36</v>
      </c>
      <c r="P931" s="58">
        <v>36</v>
      </c>
      <c r="Q931" s="58">
        <v>36</v>
      </c>
      <c r="R931" s="23"/>
      <c r="S931" s="117" t="str">
        <f t="shared" si="129"/>
        <v>N</v>
      </c>
      <c r="T931" s="114">
        <f>IFERROR(SUMIF('Current NLData'!A:A,'Payment Changes'!G931,'Current NLData'!K:K)/COUNTIF('Current NLData'!A:A,'Payment Changes'!G931),0)+IFERROR(VLOOKUP(G931&amp;"-ALL",NLPaymentExport,10,FALSE),0)</f>
        <v>36</v>
      </c>
      <c r="U931" s="118">
        <f t="shared" si="131"/>
        <v>0</v>
      </c>
    </row>
    <row r="932" spans="1:54" ht="17.100000000000001" hidden="1" customHeight="1" outlineLevel="1" x14ac:dyDescent="0.25">
      <c r="A932" s="3"/>
      <c r="C932" s="4"/>
      <c r="D932" s="181"/>
      <c r="E932" s="91" t="str">
        <f t="shared" si="132"/>
        <v>Bowling Green</v>
      </c>
      <c r="F932" s="93" t="str">
        <f t="shared" si="133"/>
        <v>CP177</v>
      </c>
      <c r="G932" s="99" t="str">
        <f t="shared" si="135"/>
        <v>CP177-NEW DONOR -7th</v>
      </c>
      <c r="H932" s="182"/>
      <c r="I932" s="34" t="s">
        <v>43</v>
      </c>
      <c r="J932" s="58">
        <v>40</v>
      </c>
      <c r="K932" s="62">
        <v>36</v>
      </c>
      <c r="L932" s="58">
        <v>36</v>
      </c>
      <c r="M932" s="58">
        <v>36</v>
      </c>
      <c r="N932" s="58">
        <v>36</v>
      </c>
      <c r="O932" s="58">
        <v>36</v>
      </c>
      <c r="P932" s="58">
        <v>36</v>
      </c>
      <c r="Q932" s="58">
        <v>36</v>
      </c>
      <c r="R932" s="23"/>
      <c r="S932" s="117" t="str">
        <f t="shared" si="129"/>
        <v>N</v>
      </c>
      <c r="T932" s="114">
        <f>IFERROR(SUMIF('Current NLData'!A:A,'Payment Changes'!G932,'Current NLData'!K:K)/COUNTIF('Current NLData'!A:A,'Payment Changes'!G932),0)+IFERROR(VLOOKUP(G932&amp;"-ALL",NLPaymentExport,10,FALSE),0)</f>
        <v>36</v>
      </c>
      <c r="U932" s="118">
        <f t="shared" si="131"/>
        <v>0</v>
      </c>
    </row>
    <row r="933" spans="1:54" ht="17.100000000000001" hidden="1" customHeight="1" outlineLevel="1" x14ac:dyDescent="0.25">
      <c r="A933" s="3"/>
      <c r="C933" s="4"/>
      <c r="D933" s="181"/>
      <c r="E933" s="91" t="str">
        <f t="shared" si="132"/>
        <v>Bowling Green</v>
      </c>
      <c r="F933" s="93" t="str">
        <f t="shared" si="133"/>
        <v>CP177</v>
      </c>
      <c r="G933" s="99" t="str">
        <f t="shared" si="135"/>
        <v>CP177-NEW DONOR -8th</v>
      </c>
      <c r="H933" s="182"/>
      <c r="I933" s="35" t="s">
        <v>44</v>
      </c>
      <c r="J933" s="63">
        <v>40</v>
      </c>
      <c r="K933" s="64">
        <v>60</v>
      </c>
      <c r="L933" s="63">
        <v>36</v>
      </c>
      <c r="M933" s="63">
        <v>36</v>
      </c>
      <c r="N933" s="63">
        <v>36</v>
      </c>
      <c r="O933" s="63">
        <v>36</v>
      </c>
      <c r="P933" s="63">
        <v>36</v>
      </c>
      <c r="Q933" s="63">
        <v>36</v>
      </c>
      <c r="R933" s="23"/>
      <c r="S933" s="117" t="str">
        <f t="shared" si="129"/>
        <v>N</v>
      </c>
      <c r="T933" s="114">
        <f>IFERROR(SUMIF('Current NLData'!A:A,'Payment Changes'!G933,'Current NLData'!K:K)/COUNTIF('Current NLData'!A:A,'Payment Changes'!G933),0)+IFERROR(VLOOKUP(G933&amp;"-ALL",NLPaymentExport,10,FALSE),0)</f>
        <v>36</v>
      </c>
      <c r="U933" s="118">
        <f t="shared" si="131"/>
        <v>0</v>
      </c>
    </row>
    <row r="934" spans="1:54" ht="17.100000000000001" hidden="1" customHeight="1" outlineLevel="1" x14ac:dyDescent="0.25">
      <c r="A934" s="3"/>
      <c r="C934" s="4"/>
      <c r="D934" s="181"/>
      <c r="E934" s="91" t="str">
        <f t="shared" si="132"/>
        <v>Bowling Green</v>
      </c>
      <c r="F934" s="93" t="str">
        <f t="shared" si="133"/>
        <v>CP177</v>
      </c>
      <c r="G934" s="99" t="str">
        <f t="shared" si="135"/>
        <v>CP177-RETURN - 1st don of the week -STD</v>
      </c>
      <c r="H934" s="182"/>
      <c r="I934" s="36" t="s">
        <v>45</v>
      </c>
      <c r="J934" s="58">
        <v>40</v>
      </c>
      <c r="K934" s="62">
        <v>36</v>
      </c>
      <c r="L934" s="58">
        <v>36</v>
      </c>
      <c r="M934" s="58">
        <v>36</v>
      </c>
      <c r="N934" s="58">
        <v>36</v>
      </c>
      <c r="O934" s="58">
        <v>36</v>
      </c>
      <c r="P934" s="58">
        <v>36</v>
      </c>
      <c r="Q934" s="58">
        <v>36</v>
      </c>
      <c r="R934" s="23"/>
      <c r="S934" s="117" t="str">
        <f t="shared" si="129"/>
        <v>N</v>
      </c>
      <c r="T934" s="114">
        <f>IFERROR(SUMIF('Current NLData'!A:A,'Payment Changes'!G934,'Current NLData'!K:K)/COUNTIF('Current NLData'!A:A,'Payment Changes'!G934),0)+IFERROR(VLOOKUP(G934&amp;"-ALL",NLPaymentExport,10,FALSE),0)</f>
        <v>36</v>
      </c>
      <c r="U934" s="118">
        <f t="shared" si="131"/>
        <v>0</v>
      </c>
    </row>
    <row r="935" spans="1:54" ht="17.100000000000001" hidden="1" customHeight="1" outlineLevel="1" x14ac:dyDescent="0.25">
      <c r="A935" s="3"/>
      <c r="C935" s="4"/>
      <c r="D935" s="181"/>
      <c r="E935" s="91" t="str">
        <f t="shared" si="132"/>
        <v>Bowling Green</v>
      </c>
      <c r="F935" s="93" t="str">
        <f t="shared" si="133"/>
        <v>CP177</v>
      </c>
      <c r="G935" s="99" t="str">
        <f t="shared" si="135"/>
        <v>CP177-RETURN - 2nd don of the week -BONUS</v>
      </c>
      <c r="H935" s="182"/>
      <c r="I935" s="36" t="s">
        <v>46</v>
      </c>
      <c r="J935" s="58">
        <v>20</v>
      </c>
      <c r="K935" s="62">
        <v>24</v>
      </c>
      <c r="L935" s="58">
        <v>24</v>
      </c>
      <c r="M935" s="58">
        <v>24</v>
      </c>
      <c r="N935" s="58">
        <v>24</v>
      </c>
      <c r="O935" s="58">
        <v>24</v>
      </c>
      <c r="P935" s="58">
        <v>24</v>
      </c>
      <c r="Q935" s="58">
        <v>24</v>
      </c>
      <c r="R935" s="23"/>
      <c r="S935" s="117" t="str">
        <f t="shared" si="129"/>
        <v>N</v>
      </c>
      <c r="T935" s="114">
        <f>IFERROR(SUMIF('Current NLData'!A:A,'Payment Changes'!G935,'Current NLData'!K:K)/COUNTIF('Current NLData'!A:A,'Payment Changes'!G935),0)+IFERROR(VLOOKUP(G935&amp;"-ALL",NLPaymentExport,10,FALSE),0)</f>
        <v>24</v>
      </c>
      <c r="U935" s="118">
        <f t="shared" si="131"/>
        <v>0</v>
      </c>
    </row>
    <row r="936" spans="1:54" ht="17.100000000000001" hidden="1" customHeight="1" outlineLevel="1" x14ac:dyDescent="0.25">
      <c r="A936" s="3"/>
      <c r="C936" s="4"/>
      <c r="D936" s="181"/>
      <c r="E936" s="91" t="str">
        <f t="shared" si="132"/>
        <v>Bowling Green</v>
      </c>
      <c r="F936" s="93" t="str">
        <f t="shared" si="133"/>
        <v>CP177</v>
      </c>
      <c r="G936" s="99" t="str">
        <f t="shared" si="135"/>
        <v>CP177-RETURN - 5th don of the month -BONUS</v>
      </c>
      <c r="H936" s="182"/>
      <c r="I936" s="37" t="s">
        <v>47</v>
      </c>
      <c r="J936" s="65">
        <v>0</v>
      </c>
      <c r="K936" s="65">
        <v>0</v>
      </c>
      <c r="L936" s="65">
        <v>0</v>
      </c>
      <c r="M936" s="65">
        <v>0</v>
      </c>
      <c r="N936" s="65">
        <v>0</v>
      </c>
      <c r="O936" s="65">
        <v>0</v>
      </c>
      <c r="P936" s="65">
        <v>0</v>
      </c>
      <c r="Q936" s="65">
        <v>0</v>
      </c>
      <c r="R936" s="22"/>
      <c r="S936" s="117" t="str">
        <f t="shared" si="129"/>
        <v>N</v>
      </c>
      <c r="T936" s="114">
        <f>IFERROR(SUMIF('Current NLData'!A:A,'Payment Changes'!G936,'Current NLData'!K:K)/COUNTIF('Current NLData'!A:A,'Payment Changes'!G936),0)+IFERROR(VLOOKUP(G936&amp;"-ALL",NLPaymentExport,10,FALSE),0)</f>
        <v>0</v>
      </c>
      <c r="U936" s="118">
        <f t="shared" si="131"/>
        <v>0</v>
      </c>
    </row>
    <row r="937" spans="1:54" ht="17.100000000000001" hidden="1" customHeight="1" outlineLevel="1" x14ac:dyDescent="0.25">
      <c r="A937" s="3"/>
      <c r="C937" s="4"/>
      <c r="D937" s="181"/>
      <c r="E937" s="91" t="str">
        <f t="shared" si="132"/>
        <v>Bowling Green</v>
      </c>
      <c r="F937" s="93" t="str">
        <f t="shared" si="133"/>
        <v>CP177</v>
      </c>
      <c r="G937" s="99" t="str">
        <f t="shared" si="135"/>
        <v>CP177-RETURN - 6th don of the month -BONUS</v>
      </c>
      <c r="H937" s="182"/>
      <c r="I937" s="38" t="s">
        <v>48</v>
      </c>
      <c r="J937" s="58">
        <v>0</v>
      </c>
      <c r="K937" s="58">
        <v>0</v>
      </c>
      <c r="L937" s="58">
        <v>0</v>
      </c>
      <c r="M937" s="58">
        <v>30</v>
      </c>
      <c r="N937" s="58">
        <v>30</v>
      </c>
      <c r="O937" s="58">
        <v>30</v>
      </c>
      <c r="P937" s="58">
        <v>30</v>
      </c>
      <c r="Q937" s="58">
        <v>30</v>
      </c>
      <c r="R937" s="22"/>
      <c r="S937" s="117" t="str">
        <f t="shared" si="129"/>
        <v>N</v>
      </c>
      <c r="T937" s="114">
        <f>IFERROR(SUMIF('Current NLData'!A:A,'Payment Changes'!G937,'Current NLData'!K:K)/COUNTIF('Current NLData'!A:A,'Payment Changes'!G937),0)+IFERROR(VLOOKUP(G937&amp;"-ALL",NLPaymentExport,10,FALSE),0)</f>
        <v>30</v>
      </c>
      <c r="U937" s="118">
        <f t="shared" si="131"/>
        <v>0</v>
      </c>
    </row>
    <row r="938" spans="1:54" ht="17.100000000000001" hidden="1" customHeight="1" outlineLevel="1" x14ac:dyDescent="0.25">
      <c r="A938" s="3"/>
      <c r="C938" s="4"/>
      <c r="D938" s="181"/>
      <c r="E938" s="91" t="str">
        <f t="shared" si="132"/>
        <v>Bowling Green</v>
      </c>
      <c r="F938" s="93" t="str">
        <f t="shared" si="133"/>
        <v>CP177</v>
      </c>
      <c r="G938" s="99" t="str">
        <f t="shared" si="135"/>
        <v>CP177-RETURN - 7th don of the month -BONUS</v>
      </c>
      <c r="H938" s="182"/>
      <c r="I938" s="38" t="s">
        <v>49</v>
      </c>
      <c r="J938" s="58">
        <v>0</v>
      </c>
      <c r="K938" s="58">
        <v>0</v>
      </c>
      <c r="L938" s="58">
        <v>0</v>
      </c>
      <c r="M938" s="58">
        <v>0</v>
      </c>
      <c r="N938" s="58">
        <v>0</v>
      </c>
      <c r="O938" s="58">
        <v>0</v>
      </c>
      <c r="P938" s="58">
        <v>0</v>
      </c>
      <c r="Q938" s="58">
        <v>0</v>
      </c>
      <c r="R938" s="22"/>
      <c r="S938" s="117" t="str">
        <f t="shared" si="129"/>
        <v>N</v>
      </c>
      <c r="T938" s="114">
        <f>IFERROR(SUMIF('Current NLData'!A:A,'Payment Changes'!G938,'Current NLData'!K:K)/COUNTIF('Current NLData'!A:A,'Payment Changes'!G938),0)+IFERROR(VLOOKUP(G938&amp;"-ALL",NLPaymentExport,10,FALSE),0)</f>
        <v>0</v>
      </c>
      <c r="U938" s="118">
        <f t="shared" si="131"/>
        <v>0</v>
      </c>
    </row>
    <row r="939" spans="1:54" ht="17.100000000000001" hidden="1" customHeight="1" outlineLevel="1" x14ac:dyDescent="0.25">
      <c r="A939" s="3"/>
      <c r="C939" s="4"/>
      <c r="D939" s="181"/>
      <c r="E939" s="91" t="str">
        <f t="shared" si="132"/>
        <v>Bowling Green</v>
      </c>
      <c r="F939" s="93" t="str">
        <f t="shared" si="133"/>
        <v>CP177</v>
      </c>
      <c r="G939" s="99" t="str">
        <f t="shared" si="135"/>
        <v>CP177-RETURN - 8th don of the month -BONUS</v>
      </c>
      <c r="H939" s="182"/>
      <c r="I939" s="38" t="s">
        <v>50</v>
      </c>
      <c r="J939" s="58">
        <v>25</v>
      </c>
      <c r="K939" s="58">
        <v>25</v>
      </c>
      <c r="L939" s="58">
        <v>0</v>
      </c>
      <c r="M939" s="58">
        <v>0</v>
      </c>
      <c r="N939" s="58">
        <v>0</v>
      </c>
      <c r="O939" s="58">
        <v>0</v>
      </c>
      <c r="P939" s="58">
        <v>0</v>
      </c>
      <c r="Q939" s="58">
        <v>0</v>
      </c>
      <c r="R939" s="22"/>
      <c r="S939" s="117" t="str">
        <f t="shared" si="129"/>
        <v>N</v>
      </c>
      <c r="T939" s="114">
        <f>IFERROR(SUMIF('Current NLData'!A:A,'Payment Changes'!G939,'Current NLData'!K:K)/COUNTIF('Current NLData'!A:A,'Payment Changes'!G939),0)+IFERROR(VLOOKUP(G939&amp;"-ALL",NLPaymentExport,10,FALSE),0)</f>
        <v>0</v>
      </c>
      <c r="U939" s="118">
        <f t="shared" si="131"/>
        <v>0</v>
      </c>
    </row>
    <row r="940" spans="1:54" ht="17.100000000000001" hidden="1" customHeight="1" outlineLevel="1" x14ac:dyDescent="0.25">
      <c r="A940" s="3"/>
      <c r="C940" s="4" t="str">
        <f>IF(J940=0,"Warning","")</f>
        <v/>
      </c>
      <c r="D940" s="181"/>
      <c r="E940" s="91" t="str">
        <f t="shared" si="132"/>
        <v>Bowling Green</v>
      </c>
      <c r="F940" s="93" t="str">
        <f t="shared" si="133"/>
        <v>CP177</v>
      </c>
      <c r="G940" s="99" t="str">
        <f t="shared" si="135"/>
        <v>CP177-RETURN - Buddy referral  -BONUS</v>
      </c>
      <c r="H940" s="182"/>
      <c r="I940" s="39" t="s">
        <v>51</v>
      </c>
      <c r="J940" s="58">
        <v>50</v>
      </c>
      <c r="K940" s="58">
        <v>50</v>
      </c>
      <c r="L940" s="58">
        <v>0</v>
      </c>
      <c r="M940" s="58">
        <v>50</v>
      </c>
      <c r="N940" s="58">
        <v>50</v>
      </c>
      <c r="O940" s="58">
        <v>50</v>
      </c>
      <c r="P940" s="58">
        <v>50</v>
      </c>
      <c r="Q940" s="58">
        <v>50</v>
      </c>
      <c r="R940" s="22"/>
      <c r="S940" s="117" t="str">
        <f t="shared" si="129"/>
        <v>N</v>
      </c>
      <c r="T940" s="114">
        <f>IFERROR(SUMIF('Current NLData'!A:A,'Payment Changes'!G940,'Current NLData'!K:K)/COUNTIF('Current NLData'!A:A,'Payment Changes'!G940),0)+IFERROR(VLOOKUP(G940&amp;"-ALL",NLPaymentExport,10,FALSE),0)</f>
        <v>50</v>
      </c>
      <c r="U940" s="118">
        <f t="shared" si="131"/>
        <v>0</v>
      </c>
    </row>
    <row r="941" spans="1:54" s="90" customFormat="1" ht="17.100000000000001" hidden="1" customHeight="1" collapsed="1" x14ac:dyDescent="0.35">
      <c r="A941" s="85"/>
      <c r="B941" s="85"/>
      <c r="C941" s="86"/>
      <c r="D941" s="87"/>
      <c r="E941" s="87"/>
      <c r="F941" s="87"/>
      <c r="G941" s="87"/>
      <c r="H941" s="96"/>
      <c r="I941" s="88"/>
      <c r="J941" s="89"/>
      <c r="K941" s="89"/>
      <c r="L941" s="89"/>
      <c r="M941" s="89"/>
      <c r="N941" s="89"/>
      <c r="O941" s="89"/>
      <c r="P941" s="89"/>
      <c r="Q941" s="89"/>
      <c r="R941" s="17"/>
      <c r="S941" s="117" t="str">
        <f t="shared" si="129"/>
        <v>N</v>
      </c>
      <c r="T941" s="114">
        <f>IFERROR(SUMIF('Current NLData'!A:A,'Payment Changes'!G941,'Current NLData'!K:K)/COUNTIF('Current NLData'!A:A,'Payment Changes'!G941),0)+IFERROR(VLOOKUP(G941&amp;"-ALL",NLPaymentExport,10,FALSE),0)</f>
        <v>0</v>
      </c>
      <c r="U941" s="118" t="str">
        <f t="shared" si="131"/>
        <v/>
      </c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1:54" s="10" customFormat="1" ht="17.100000000000001" hidden="1" customHeight="1" x14ac:dyDescent="0.25">
      <c r="A942" s="165">
        <v>48</v>
      </c>
      <c r="B942" s="168" t="s">
        <v>303</v>
      </c>
      <c r="C942" s="171" t="s">
        <v>19</v>
      </c>
      <c r="D942" s="174" t="s">
        <v>57</v>
      </c>
      <c r="E942" s="106" t="str">
        <f t="shared" si="132"/>
        <v>Flagstaff</v>
      </c>
      <c r="F942" s="107" t="s">
        <v>304</v>
      </c>
      <c r="G942" s="108" t="str">
        <f t="shared" ref="G942:G960" si="136">F942&amp;"-"&amp;I942</f>
        <v>CP208-New Donor</v>
      </c>
      <c r="H942" s="177" t="s">
        <v>147</v>
      </c>
      <c r="I942" s="76" t="s">
        <v>23</v>
      </c>
      <c r="J942" s="40" t="s">
        <v>305</v>
      </c>
      <c r="K942" s="41" t="s">
        <v>297</v>
      </c>
      <c r="L942" s="41" t="s">
        <v>306</v>
      </c>
      <c r="M942" s="42" t="s">
        <v>306</v>
      </c>
      <c r="N942" s="40" t="s">
        <v>306</v>
      </c>
      <c r="O942" s="40" t="s">
        <v>306</v>
      </c>
      <c r="P942" s="40" t="s">
        <v>306</v>
      </c>
      <c r="Q942" s="40"/>
      <c r="R942" s="109"/>
      <c r="S942" s="117" t="str">
        <f t="shared" si="129"/>
        <v>Y</v>
      </c>
      <c r="T942" s="114">
        <f>IFERROR(SUMIF('Current NLData'!A:A,'Payment Changes'!G942,'Current NLData'!K:K)/COUNTIF('Current NLData'!A:A,'Payment Changes'!G942),0)+IFERROR(VLOOKUP(G942&amp;"-ALL",NLPaymentExport,10,FALSE),0)</f>
        <v>0</v>
      </c>
      <c r="U942" s="118" t="str">
        <f t="shared" si="131"/>
        <v/>
      </c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1:54" ht="17.100000000000001" hidden="1" customHeight="1" x14ac:dyDescent="0.25">
      <c r="A943" s="166"/>
      <c r="B943" s="169"/>
      <c r="C943" s="172"/>
      <c r="D943" s="175"/>
      <c r="E943" s="91" t="str">
        <f t="shared" si="132"/>
        <v>Flagstaff</v>
      </c>
      <c r="F943" s="92" t="s">
        <v>304</v>
      </c>
      <c r="G943" s="98" t="str">
        <f t="shared" si="136"/>
        <v>CP208-Return Donor</v>
      </c>
      <c r="H943" s="178"/>
      <c r="I943" s="77" t="s">
        <v>29</v>
      </c>
      <c r="J943" s="43" t="s">
        <v>305</v>
      </c>
      <c r="K943" s="43" t="s">
        <v>297</v>
      </c>
      <c r="L943" s="44" t="s">
        <v>306</v>
      </c>
      <c r="M943" s="45" t="s">
        <v>306</v>
      </c>
      <c r="N943" s="43" t="s">
        <v>306</v>
      </c>
      <c r="O943" s="43" t="s">
        <v>306</v>
      </c>
      <c r="P943" s="43" t="s">
        <v>306</v>
      </c>
      <c r="Q943" s="43"/>
      <c r="R943" s="21"/>
      <c r="S943" s="117" t="str">
        <f t="shared" si="129"/>
        <v>Y</v>
      </c>
      <c r="T943" s="114">
        <f>IFERROR(SUMIF('Current NLData'!A:A,'Payment Changes'!G943,'Current NLData'!K:K)/COUNTIF('Current NLData'!A:A,'Payment Changes'!G943),0)+IFERROR(VLOOKUP(G943&amp;"-ALL",NLPaymentExport,10,FALSE),0)</f>
        <v>0</v>
      </c>
      <c r="U943" s="118" t="str">
        <f t="shared" si="131"/>
        <v/>
      </c>
    </row>
    <row r="944" spans="1:54" ht="17.100000000000001" hidden="1" customHeight="1" x14ac:dyDescent="0.25">
      <c r="A944" s="166"/>
      <c r="B944" s="169"/>
      <c r="C944" s="172"/>
      <c r="D944" s="175"/>
      <c r="E944" s="91" t="str">
        <f t="shared" si="132"/>
        <v>Flagstaff</v>
      </c>
      <c r="F944" s="92" t="s">
        <v>304</v>
      </c>
      <c r="G944" s="98" t="str">
        <f t="shared" si="136"/>
        <v>CP208-Retention Bonus</v>
      </c>
      <c r="H944" s="178"/>
      <c r="I944" s="78" t="s">
        <v>30</v>
      </c>
      <c r="J944" s="46" t="s">
        <v>31</v>
      </c>
      <c r="K944" s="46" t="s">
        <v>31</v>
      </c>
      <c r="L944" s="47" t="s">
        <v>32</v>
      </c>
      <c r="M944" s="48" t="s">
        <v>32</v>
      </c>
      <c r="N944" s="46" t="s">
        <v>32</v>
      </c>
      <c r="O944" s="46" t="s">
        <v>32</v>
      </c>
      <c r="P944" s="46" t="s">
        <v>32</v>
      </c>
      <c r="Q944" s="46"/>
      <c r="R944" s="21"/>
      <c r="S944" s="117" t="str">
        <f t="shared" si="129"/>
        <v>Y</v>
      </c>
      <c r="T944" s="114">
        <f>IFERROR(SUMIF('Current NLData'!A:A,'Payment Changes'!G944,'Current NLData'!K:K)/COUNTIF('Current NLData'!A:A,'Payment Changes'!G944),0)+IFERROR(VLOOKUP(G944&amp;"-ALL",NLPaymentExport,10,FALSE),0)</f>
        <v>0</v>
      </c>
      <c r="U944" s="118" t="str">
        <f t="shared" si="131"/>
        <v/>
      </c>
    </row>
    <row r="945" spans="1:54" s="15" customFormat="1" ht="17.100000000000001" hidden="1" customHeight="1" x14ac:dyDescent="0.25">
      <c r="A945" s="167"/>
      <c r="B945" s="170"/>
      <c r="C945" s="173"/>
      <c r="D945" s="176"/>
      <c r="E945" s="110" t="str">
        <f t="shared" si="132"/>
        <v>Flagstaff</v>
      </c>
      <c r="F945" s="111" t="s">
        <v>304</v>
      </c>
      <c r="G945" s="112" t="str">
        <f t="shared" si="136"/>
        <v>CP208-Referral</v>
      </c>
      <c r="H945" s="179"/>
      <c r="I945" s="79" t="s">
        <v>34</v>
      </c>
      <c r="J945" s="49">
        <v>50</v>
      </c>
      <c r="K945" s="49">
        <v>50</v>
      </c>
      <c r="L945" s="50" t="s">
        <v>32</v>
      </c>
      <c r="M945" s="51" t="s">
        <v>32</v>
      </c>
      <c r="N945" s="49" t="s">
        <v>32</v>
      </c>
      <c r="O945" s="49" t="s">
        <v>32</v>
      </c>
      <c r="P945" s="49" t="s">
        <v>32</v>
      </c>
      <c r="Q945" s="49"/>
      <c r="R945" s="113"/>
      <c r="S945" s="117" t="str">
        <f t="shared" si="129"/>
        <v>Y</v>
      </c>
      <c r="T945" s="114">
        <f>IFERROR(SUMIF('Current NLData'!A:A,'Payment Changes'!G945,'Current NLData'!K:K)/COUNTIF('Current NLData'!A:A,'Payment Changes'!G945),0)+IFERROR(VLOOKUP(G945&amp;"-ALL",NLPaymentExport,10,FALSE),0)</f>
        <v>0</v>
      </c>
      <c r="U945" s="118" t="str">
        <f t="shared" si="131"/>
        <v/>
      </c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1:54" ht="17.100000000000001" hidden="1" customHeight="1" outlineLevel="1" x14ac:dyDescent="0.25">
      <c r="A946" s="3"/>
      <c r="C946" s="4"/>
      <c r="D946" s="180" t="s">
        <v>304</v>
      </c>
      <c r="E946" s="91" t="str">
        <f t="shared" si="132"/>
        <v>Flagstaff</v>
      </c>
      <c r="F946" s="93" t="str">
        <f t="shared" si="133"/>
        <v>CP208</v>
      </c>
      <c r="G946" s="99" t="str">
        <f t="shared" si="136"/>
        <v>CP208-NEW DONOR -1st</v>
      </c>
      <c r="H946" s="182" t="s">
        <v>36</v>
      </c>
      <c r="I946" s="33" t="s">
        <v>37</v>
      </c>
      <c r="J946" s="60">
        <v>55</v>
      </c>
      <c r="K946" s="61">
        <v>50</v>
      </c>
      <c r="L946" s="60">
        <v>45</v>
      </c>
      <c r="M946" s="60">
        <v>45</v>
      </c>
      <c r="N946" s="60">
        <v>45</v>
      </c>
      <c r="O946" s="60">
        <v>45</v>
      </c>
      <c r="P946" s="60">
        <v>45</v>
      </c>
      <c r="Q946" s="60"/>
      <c r="R946" s="23"/>
      <c r="S946" s="117" t="str">
        <f t="shared" si="129"/>
        <v>Y</v>
      </c>
      <c r="T946" s="114">
        <f>IFERROR(SUMIF('Current NLData'!A:A,'Payment Changes'!G946,'Current NLData'!K:K)/COUNTIF('Current NLData'!A:A,'Payment Changes'!G946),0)+IFERROR(VLOOKUP(G946&amp;"-ALL",NLPaymentExport,10,FALSE),0)</f>
        <v>45</v>
      </c>
      <c r="U946" s="118">
        <f t="shared" si="131"/>
        <v>45</v>
      </c>
    </row>
    <row r="947" spans="1:54" ht="17.100000000000001" hidden="1" customHeight="1" outlineLevel="1" x14ac:dyDescent="0.25">
      <c r="A947" s="3"/>
      <c r="C947" s="4"/>
      <c r="D947" s="181"/>
      <c r="E947" s="91" t="str">
        <f t="shared" si="132"/>
        <v>Flagstaff</v>
      </c>
      <c r="F947" s="93" t="str">
        <f t="shared" si="133"/>
        <v>CP208</v>
      </c>
      <c r="G947" s="99" t="str">
        <f t="shared" si="136"/>
        <v>CP208-NEW DONOR -2nd</v>
      </c>
      <c r="H947" s="182"/>
      <c r="I947" s="34" t="s">
        <v>38</v>
      </c>
      <c r="J947" s="58">
        <v>55</v>
      </c>
      <c r="K947" s="62">
        <v>50</v>
      </c>
      <c r="L947" s="58">
        <v>45</v>
      </c>
      <c r="M947" s="58">
        <v>45</v>
      </c>
      <c r="N947" s="58">
        <v>45</v>
      </c>
      <c r="O947" s="58">
        <v>45</v>
      </c>
      <c r="P947" s="58">
        <v>45</v>
      </c>
      <c r="Q947" s="58"/>
      <c r="R947" s="23"/>
      <c r="S947" s="117" t="str">
        <f t="shared" si="129"/>
        <v>Y</v>
      </c>
      <c r="T947" s="114">
        <f>IFERROR(SUMIF('Current NLData'!A:A,'Payment Changes'!G947,'Current NLData'!K:K)/COUNTIF('Current NLData'!A:A,'Payment Changes'!G947),0)+IFERROR(VLOOKUP(G947&amp;"-ALL",NLPaymentExport,10,FALSE),0)</f>
        <v>45</v>
      </c>
      <c r="U947" s="118">
        <f t="shared" si="131"/>
        <v>45</v>
      </c>
    </row>
    <row r="948" spans="1:54" ht="17.100000000000001" hidden="1" customHeight="1" outlineLevel="1" x14ac:dyDescent="0.25">
      <c r="A948" s="3"/>
      <c r="C948" s="4"/>
      <c r="D948" s="181"/>
      <c r="E948" s="91" t="str">
        <f t="shared" si="132"/>
        <v>Flagstaff</v>
      </c>
      <c r="F948" s="93" t="str">
        <f t="shared" si="133"/>
        <v>CP208</v>
      </c>
      <c r="G948" s="99" t="str">
        <f t="shared" si="136"/>
        <v>CP208-NEW DONOR -3rd</v>
      </c>
      <c r="H948" s="182"/>
      <c r="I948" s="34" t="s">
        <v>39</v>
      </c>
      <c r="J948" s="58">
        <v>55</v>
      </c>
      <c r="K948" s="62">
        <f>K947</f>
        <v>50</v>
      </c>
      <c r="L948" s="58">
        <v>45</v>
      </c>
      <c r="M948" s="58">
        <v>45</v>
      </c>
      <c r="N948" s="58">
        <v>45</v>
      </c>
      <c r="O948" s="58">
        <v>45</v>
      </c>
      <c r="P948" s="58">
        <v>45</v>
      </c>
      <c r="Q948" s="58"/>
      <c r="R948" s="23"/>
      <c r="S948" s="117" t="str">
        <f t="shared" si="129"/>
        <v>Y</v>
      </c>
      <c r="T948" s="114">
        <f>IFERROR(SUMIF('Current NLData'!A:A,'Payment Changes'!G948,'Current NLData'!K:K)/COUNTIF('Current NLData'!A:A,'Payment Changes'!G948),0)+IFERROR(VLOOKUP(G948&amp;"-ALL",NLPaymentExport,10,FALSE),0)</f>
        <v>45</v>
      </c>
      <c r="U948" s="118">
        <f t="shared" si="131"/>
        <v>45</v>
      </c>
    </row>
    <row r="949" spans="1:54" ht="17.100000000000001" hidden="1" customHeight="1" outlineLevel="1" x14ac:dyDescent="0.25">
      <c r="A949" s="3"/>
      <c r="C949" s="4"/>
      <c r="D949" s="181"/>
      <c r="E949" s="91" t="str">
        <f t="shared" si="132"/>
        <v>Flagstaff</v>
      </c>
      <c r="F949" s="93" t="str">
        <f t="shared" si="133"/>
        <v>CP208</v>
      </c>
      <c r="G949" s="99" t="str">
        <f t="shared" si="136"/>
        <v>CP208-NEW DONOR -4th</v>
      </c>
      <c r="H949" s="182"/>
      <c r="I949" s="34" t="s">
        <v>40</v>
      </c>
      <c r="J949" s="58">
        <v>55</v>
      </c>
      <c r="K949" s="62">
        <f t="shared" ref="K949:K952" si="137">K948</f>
        <v>50</v>
      </c>
      <c r="L949" s="58">
        <v>45</v>
      </c>
      <c r="M949" s="58">
        <v>45</v>
      </c>
      <c r="N949" s="58">
        <v>45</v>
      </c>
      <c r="O949" s="58">
        <v>45</v>
      </c>
      <c r="P949" s="58">
        <v>45</v>
      </c>
      <c r="Q949" s="58"/>
      <c r="R949" s="23"/>
      <c r="S949" s="117" t="str">
        <f t="shared" si="129"/>
        <v>Y</v>
      </c>
      <c r="T949" s="114">
        <f>IFERROR(SUMIF('Current NLData'!A:A,'Payment Changes'!G949,'Current NLData'!K:K)/COUNTIF('Current NLData'!A:A,'Payment Changes'!G949),0)+IFERROR(VLOOKUP(G949&amp;"-ALL",NLPaymentExport,10,FALSE),0)</f>
        <v>45</v>
      </c>
      <c r="U949" s="118">
        <f t="shared" si="131"/>
        <v>45</v>
      </c>
    </row>
    <row r="950" spans="1:54" ht="17.100000000000001" hidden="1" customHeight="1" outlineLevel="1" x14ac:dyDescent="0.25">
      <c r="A950" s="3"/>
      <c r="C950" s="4"/>
      <c r="D950" s="181"/>
      <c r="E950" s="91" t="str">
        <f t="shared" si="132"/>
        <v>Flagstaff</v>
      </c>
      <c r="F950" s="93" t="str">
        <f t="shared" si="133"/>
        <v>CP208</v>
      </c>
      <c r="G950" s="99" t="str">
        <f t="shared" si="136"/>
        <v>CP208-NEW DONOR -5th</v>
      </c>
      <c r="H950" s="182"/>
      <c r="I950" s="34" t="s">
        <v>41</v>
      </c>
      <c r="J950" s="58">
        <v>55</v>
      </c>
      <c r="K950" s="62">
        <f t="shared" si="137"/>
        <v>50</v>
      </c>
      <c r="L950" s="58">
        <v>45</v>
      </c>
      <c r="M950" s="58">
        <v>45</v>
      </c>
      <c r="N950" s="58">
        <v>45</v>
      </c>
      <c r="O950" s="58">
        <v>45</v>
      </c>
      <c r="P950" s="58">
        <v>45</v>
      </c>
      <c r="Q950" s="58"/>
      <c r="R950" s="23"/>
      <c r="S950" s="117" t="str">
        <f t="shared" si="129"/>
        <v>Y</v>
      </c>
      <c r="T950" s="114">
        <f>IFERROR(SUMIF('Current NLData'!A:A,'Payment Changes'!G950,'Current NLData'!K:K)/COUNTIF('Current NLData'!A:A,'Payment Changes'!G950),0)+IFERROR(VLOOKUP(G950&amp;"-ALL",NLPaymentExport,10,FALSE),0)</f>
        <v>45</v>
      </c>
      <c r="U950" s="118">
        <f t="shared" si="131"/>
        <v>45</v>
      </c>
    </row>
    <row r="951" spans="1:54" ht="17.100000000000001" hidden="1" customHeight="1" outlineLevel="1" x14ac:dyDescent="0.25">
      <c r="A951" s="3"/>
      <c r="C951" s="4"/>
      <c r="D951" s="181"/>
      <c r="E951" s="91" t="str">
        <f t="shared" si="132"/>
        <v>Flagstaff</v>
      </c>
      <c r="F951" s="93" t="str">
        <f t="shared" si="133"/>
        <v>CP208</v>
      </c>
      <c r="G951" s="99" t="str">
        <f t="shared" si="136"/>
        <v>CP208-NEW DONOR -6th</v>
      </c>
      <c r="H951" s="182"/>
      <c r="I951" s="34" t="s">
        <v>42</v>
      </c>
      <c r="J951" s="58">
        <v>55</v>
      </c>
      <c r="K951" s="62">
        <f t="shared" si="137"/>
        <v>50</v>
      </c>
      <c r="L951" s="58">
        <v>45</v>
      </c>
      <c r="M951" s="58">
        <v>45</v>
      </c>
      <c r="N951" s="58">
        <v>45</v>
      </c>
      <c r="O951" s="58">
        <v>45</v>
      </c>
      <c r="P951" s="58">
        <v>45</v>
      </c>
      <c r="Q951" s="58"/>
      <c r="R951" s="23"/>
      <c r="S951" s="117" t="str">
        <f t="shared" si="129"/>
        <v>Y</v>
      </c>
      <c r="T951" s="114">
        <f>IFERROR(SUMIF('Current NLData'!A:A,'Payment Changes'!G951,'Current NLData'!K:K)/COUNTIF('Current NLData'!A:A,'Payment Changes'!G951),0)+IFERROR(VLOOKUP(G951&amp;"-ALL",NLPaymentExport,10,FALSE),0)</f>
        <v>45</v>
      </c>
      <c r="U951" s="118">
        <f t="shared" si="131"/>
        <v>45</v>
      </c>
    </row>
    <row r="952" spans="1:54" ht="17.100000000000001" hidden="1" customHeight="1" outlineLevel="1" x14ac:dyDescent="0.25">
      <c r="A952" s="3"/>
      <c r="C952" s="4"/>
      <c r="D952" s="181"/>
      <c r="E952" s="91" t="str">
        <f t="shared" si="132"/>
        <v>Flagstaff</v>
      </c>
      <c r="F952" s="93" t="str">
        <f t="shared" si="133"/>
        <v>CP208</v>
      </c>
      <c r="G952" s="99" t="str">
        <f t="shared" si="136"/>
        <v>CP208-NEW DONOR -7th</v>
      </c>
      <c r="H952" s="182"/>
      <c r="I952" s="34" t="s">
        <v>43</v>
      </c>
      <c r="J952" s="58">
        <v>55</v>
      </c>
      <c r="K952" s="62">
        <f t="shared" si="137"/>
        <v>50</v>
      </c>
      <c r="L952" s="58">
        <v>45</v>
      </c>
      <c r="M952" s="58">
        <v>45</v>
      </c>
      <c r="N952" s="58">
        <v>45</v>
      </c>
      <c r="O952" s="58">
        <v>45</v>
      </c>
      <c r="P952" s="58">
        <v>45</v>
      </c>
      <c r="Q952" s="58"/>
      <c r="R952" s="23"/>
      <c r="S952" s="117" t="str">
        <f t="shared" si="129"/>
        <v>Y</v>
      </c>
      <c r="T952" s="114">
        <f>IFERROR(SUMIF('Current NLData'!A:A,'Payment Changes'!G952,'Current NLData'!K:K)/COUNTIF('Current NLData'!A:A,'Payment Changes'!G952),0)+IFERROR(VLOOKUP(G952&amp;"-ALL",NLPaymentExport,10,FALSE),0)</f>
        <v>45</v>
      </c>
      <c r="U952" s="118">
        <f t="shared" si="131"/>
        <v>45</v>
      </c>
    </row>
    <row r="953" spans="1:54" ht="17.100000000000001" hidden="1" customHeight="1" outlineLevel="1" x14ac:dyDescent="0.25">
      <c r="A953" s="3"/>
      <c r="C953" s="4"/>
      <c r="D953" s="181"/>
      <c r="E953" s="91" t="str">
        <f t="shared" si="132"/>
        <v>Flagstaff</v>
      </c>
      <c r="F953" s="93" t="str">
        <f t="shared" si="133"/>
        <v>CP208</v>
      </c>
      <c r="G953" s="99" t="str">
        <f t="shared" si="136"/>
        <v>CP208-NEW DONOR -8th</v>
      </c>
      <c r="H953" s="182"/>
      <c r="I953" s="35" t="s">
        <v>44</v>
      </c>
      <c r="J953" s="63">
        <v>55</v>
      </c>
      <c r="K953" s="64">
        <f>K952</f>
        <v>50</v>
      </c>
      <c r="L953" s="63">
        <v>45</v>
      </c>
      <c r="M953" s="63">
        <v>45</v>
      </c>
      <c r="N953" s="63">
        <v>45</v>
      </c>
      <c r="O953" s="63">
        <v>45</v>
      </c>
      <c r="P953" s="63">
        <v>45</v>
      </c>
      <c r="Q953" s="63"/>
      <c r="R953" s="23"/>
      <c r="S953" s="117" t="str">
        <f t="shared" si="129"/>
        <v>Y</v>
      </c>
      <c r="T953" s="114">
        <f>IFERROR(SUMIF('Current NLData'!A:A,'Payment Changes'!G953,'Current NLData'!K:K)/COUNTIF('Current NLData'!A:A,'Payment Changes'!G953),0)+IFERROR(VLOOKUP(G953&amp;"-ALL",NLPaymentExport,10,FALSE),0)</f>
        <v>45</v>
      </c>
      <c r="U953" s="118">
        <f t="shared" si="131"/>
        <v>45</v>
      </c>
    </row>
    <row r="954" spans="1:54" ht="17.100000000000001" hidden="1" customHeight="1" outlineLevel="1" x14ac:dyDescent="0.25">
      <c r="A954" s="3"/>
      <c r="C954" s="4"/>
      <c r="D954" s="181"/>
      <c r="E954" s="91" t="str">
        <f t="shared" si="132"/>
        <v>Flagstaff</v>
      </c>
      <c r="F954" s="93" t="str">
        <f t="shared" si="133"/>
        <v>CP208</v>
      </c>
      <c r="G954" s="99" t="str">
        <f t="shared" si="136"/>
        <v>CP208-RETURN - 1st don of the week -STD</v>
      </c>
      <c r="H954" s="182"/>
      <c r="I954" s="36" t="s">
        <v>45</v>
      </c>
      <c r="J954" s="58">
        <v>55</v>
      </c>
      <c r="K954" s="62">
        <v>50</v>
      </c>
      <c r="L954" s="58">
        <v>45</v>
      </c>
      <c r="M954" s="58">
        <v>45</v>
      </c>
      <c r="N954" s="58">
        <v>45</v>
      </c>
      <c r="O954" s="58">
        <v>45</v>
      </c>
      <c r="P954" s="58">
        <v>45</v>
      </c>
      <c r="Q954" s="58"/>
      <c r="R954" s="23"/>
      <c r="S954" s="117" t="str">
        <f t="shared" si="129"/>
        <v>Y</v>
      </c>
      <c r="T954" s="114">
        <f>IFERROR(SUMIF('Current NLData'!A:A,'Payment Changes'!G954,'Current NLData'!K:K)/COUNTIF('Current NLData'!A:A,'Payment Changes'!G954),0)+IFERROR(VLOOKUP(G954&amp;"-ALL",NLPaymentExport,10,FALSE),0)</f>
        <v>45</v>
      </c>
      <c r="U954" s="118">
        <f t="shared" si="131"/>
        <v>45</v>
      </c>
    </row>
    <row r="955" spans="1:54" ht="17.100000000000001" hidden="1" customHeight="1" outlineLevel="1" x14ac:dyDescent="0.25">
      <c r="A955" s="3"/>
      <c r="C955" s="4"/>
      <c r="D955" s="181"/>
      <c r="E955" s="91" t="str">
        <f t="shared" si="132"/>
        <v>Flagstaff</v>
      </c>
      <c r="F955" s="93" t="str">
        <f t="shared" si="133"/>
        <v>CP208</v>
      </c>
      <c r="G955" s="99" t="str">
        <f t="shared" si="136"/>
        <v>CP208-RETURN - 2nd don of the week -BONUS</v>
      </c>
      <c r="H955" s="182"/>
      <c r="I955" s="36" t="s">
        <v>46</v>
      </c>
      <c r="J955" s="58">
        <v>0</v>
      </c>
      <c r="K955" s="58">
        <v>0</v>
      </c>
      <c r="L955" s="58">
        <v>0</v>
      </c>
      <c r="M955" s="58">
        <v>0</v>
      </c>
      <c r="N955" s="58">
        <v>0</v>
      </c>
      <c r="O955" s="58">
        <v>0</v>
      </c>
      <c r="P955" s="58">
        <v>0</v>
      </c>
      <c r="Q955" s="58"/>
      <c r="R955" s="22"/>
      <c r="S955" s="117" t="str">
        <f t="shared" si="129"/>
        <v>N</v>
      </c>
      <c r="T955" s="114">
        <f>IFERROR(SUMIF('Current NLData'!A:A,'Payment Changes'!G955,'Current NLData'!K:K)/COUNTIF('Current NLData'!A:A,'Payment Changes'!G955),0)+IFERROR(VLOOKUP(G955&amp;"-ALL",NLPaymentExport,10,FALSE),0)</f>
        <v>0</v>
      </c>
      <c r="U955" s="118">
        <f t="shared" si="131"/>
        <v>0</v>
      </c>
    </row>
    <row r="956" spans="1:54" ht="17.100000000000001" hidden="1" customHeight="1" outlineLevel="1" x14ac:dyDescent="0.25">
      <c r="A956" s="3"/>
      <c r="C956" s="4"/>
      <c r="D956" s="181"/>
      <c r="E956" s="91" t="str">
        <f t="shared" si="132"/>
        <v>Flagstaff</v>
      </c>
      <c r="F956" s="93" t="str">
        <f t="shared" si="133"/>
        <v>CP208</v>
      </c>
      <c r="G956" s="99" t="str">
        <f t="shared" si="136"/>
        <v>CP208-RETURN - 5th don of the month -BONUS</v>
      </c>
      <c r="H956" s="182"/>
      <c r="I956" s="37" t="s">
        <v>47</v>
      </c>
      <c r="J956" s="65">
        <v>0</v>
      </c>
      <c r="K956" s="65">
        <v>0</v>
      </c>
      <c r="L956" s="65">
        <v>0</v>
      </c>
      <c r="M956" s="65">
        <v>0</v>
      </c>
      <c r="N956" s="65">
        <v>0</v>
      </c>
      <c r="O956" s="65">
        <v>0</v>
      </c>
      <c r="P956" s="65">
        <v>0</v>
      </c>
      <c r="Q956" s="65"/>
      <c r="R956" s="22"/>
      <c r="S956" s="117" t="str">
        <f t="shared" si="129"/>
        <v>N</v>
      </c>
      <c r="T956" s="114">
        <f>IFERROR(SUMIF('Current NLData'!A:A,'Payment Changes'!G956,'Current NLData'!K:K)/COUNTIF('Current NLData'!A:A,'Payment Changes'!G956),0)+IFERROR(VLOOKUP(G956&amp;"-ALL",NLPaymentExport,10,FALSE),0)</f>
        <v>0</v>
      </c>
      <c r="U956" s="118">
        <f t="shared" si="131"/>
        <v>0</v>
      </c>
    </row>
    <row r="957" spans="1:54" ht="17.100000000000001" hidden="1" customHeight="1" outlineLevel="1" x14ac:dyDescent="0.25">
      <c r="A957" s="3"/>
      <c r="C957" s="4"/>
      <c r="D957" s="181"/>
      <c r="E957" s="91" t="str">
        <f t="shared" si="132"/>
        <v>Flagstaff</v>
      </c>
      <c r="F957" s="93" t="str">
        <f t="shared" si="133"/>
        <v>CP208</v>
      </c>
      <c r="G957" s="99" t="str">
        <f t="shared" si="136"/>
        <v>CP208-RETURN - 6th don of the month -BONUS</v>
      </c>
      <c r="H957" s="182"/>
      <c r="I957" s="38" t="s">
        <v>48</v>
      </c>
      <c r="J957" s="58">
        <v>0</v>
      </c>
      <c r="K957" s="58">
        <v>0</v>
      </c>
      <c r="L957" s="58">
        <v>0</v>
      </c>
      <c r="M957" s="58">
        <v>0</v>
      </c>
      <c r="N957" s="58">
        <v>0</v>
      </c>
      <c r="O957" s="58">
        <v>0</v>
      </c>
      <c r="P957" s="58">
        <v>0</v>
      </c>
      <c r="Q957" s="58"/>
      <c r="R957" s="22"/>
      <c r="S957" s="117" t="str">
        <f t="shared" si="129"/>
        <v>N</v>
      </c>
      <c r="T957" s="114">
        <f>IFERROR(SUMIF('Current NLData'!A:A,'Payment Changes'!G957,'Current NLData'!K:K)/COUNTIF('Current NLData'!A:A,'Payment Changes'!G957),0)+IFERROR(VLOOKUP(G957&amp;"-ALL",NLPaymentExport,10,FALSE),0)</f>
        <v>0</v>
      </c>
      <c r="U957" s="118">
        <f t="shared" si="131"/>
        <v>0</v>
      </c>
    </row>
    <row r="958" spans="1:54" ht="17.100000000000001" hidden="1" customHeight="1" outlineLevel="1" x14ac:dyDescent="0.25">
      <c r="A958" s="3"/>
      <c r="C958" s="4"/>
      <c r="D958" s="181"/>
      <c r="E958" s="91" t="str">
        <f t="shared" si="132"/>
        <v>Flagstaff</v>
      </c>
      <c r="F958" s="93" t="str">
        <f t="shared" si="133"/>
        <v>CP208</v>
      </c>
      <c r="G958" s="99" t="str">
        <f t="shared" si="136"/>
        <v>CP208-RETURN - 7th don of the month -BONUS</v>
      </c>
      <c r="H958" s="182"/>
      <c r="I958" s="38" t="s">
        <v>49</v>
      </c>
      <c r="J958" s="58">
        <v>0</v>
      </c>
      <c r="K958" s="58">
        <v>0</v>
      </c>
      <c r="L958" s="58">
        <v>0</v>
      </c>
      <c r="M958" s="58">
        <v>0</v>
      </c>
      <c r="N958" s="58">
        <v>0</v>
      </c>
      <c r="O958" s="58">
        <v>0</v>
      </c>
      <c r="P958" s="58">
        <v>0</v>
      </c>
      <c r="Q958" s="58"/>
      <c r="R958" s="22"/>
      <c r="S958" s="117" t="str">
        <f t="shared" si="129"/>
        <v>N</v>
      </c>
      <c r="T958" s="114">
        <f>IFERROR(SUMIF('Current NLData'!A:A,'Payment Changes'!G958,'Current NLData'!K:K)/COUNTIF('Current NLData'!A:A,'Payment Changes'!G958),0)+IFERROR(VLOOKUP(G958&amp;"-ALL",NLPaymentExport,10,FALSE),0)</f>
        <v>0</v>
      </c>
      <c r="U958" s="118">
        <f t="shared" si="131"/>
        <v>0</v>
      </c>
    </row>
    <row r="959" spans="1:54" ht="17.100000000000001" hidden="1" customHeight="1" outlineLevel="1" x14ac:dyDescent="0.25">
      <c r="A959" s="3"/>
      <c r="C959" s="4"/>
      <c r="D959" s="181"/>
      <c r="E959" s="91" t="str">
        <f t="shared" si="132"/>
        <v>Flagstaff</v>
      </c>
      <c r="F959" s="93" t="str">
        <f t="shared" si="133"/>
        <v>CP208</v>
      </c>
      <c r="G959" s="99" t="str">
        <f t="shared" si="136"/>
        <v>CP208-RETURN - 8th don of the month -BONUS</v>
      </c>
      <c r="H959" s="182"/>
      <c r="I959" s="38" t="s">
        <v>50</v>
      </c>
      <c r="J959" s="58">
        <v>25</v>
      </c>
      <c r="K959" s="58">
        <v>25</v>
      </c>
      <c r="L959" s="58">
        <v>0</v>
      </c>
      <c r="M959" s="58">
        <v>0</v>
      </c>
      <c r="N959" s="58">
        <v>0</v>
      </c>
      <c r="O959" s="58">
        <v>0</v>
      </c>
      <c r="P959" s="58">
        <v>0</v>
      </c>
      <c r="Q959" s="58"/>
      <c r="R959" s="22"/>
      <c r="S959" s="117" t="str">
        <f t="shared" si="129"/>
        <v>N</v>
      </c>
      <c r="T959" s="114">
        <f>IFERROR(SUMIF('Current NLData'!A:A,'Payment Changes'!G959,'Current NLData'!K:K)/COUNTIF('Current NLData'!A:A,'Payment Changes'!G959),0)+IFERROR(VLOOKUP(G959&amp;"-ALL",NLPaymentExport,10,FALSE),0)</f>
        <v>0</v>
      </c>
      <c r="U959" s="118">
        <f t="shared" si="131"/>
        <v>0</v>
      </c>
    </row>
    <row r="960" spans="1:54" ht="17.100000000000001" hidden="1" customHeight="1" outlineLevel="1" x14ac:dyDescent="0.25">
      <c r="A960" s="3"/>
      <c r="C960" s="4" t="str">
        <f>IF(J960=0,"Warning","")</f>
        <v/>
      </c>
      <c r="D960" s="181"/>
      <c r="E960" s="91" t="str">
        <f t="shared" si="132"/>
        <v>Flagstaff</v>
      </c>
      <c r="F960" s="93" t="str">
        <f t="shared" si="133"/>
        <v>CP208</v>
      </c>
      <c r="G960" s="99" t="str">
        <f t="shared" si="136"/>
        <v>CP208-RETURN - Buddy referral  -BONUS</v>
      </c>
      <c r="H960" s="182"/>
      <c r="I960" s="39" t="s">
        <v>51</v>
      </c>
      <c r="J960" s="58">
        <v>50</v>
      </c>
      <c r="K960" s="58">
        <v>50</v>
      </c>
      <c r="L960" s="58">
        <v>0</v>
      </c>
      <c r="M960" s="58">
        <v>0</v>
      </c>
      <c r="N960" s="58">
        <v>0</v>
      </c>
      <c r="O960" s="58">
        <v>0</v>
      </c>
      <c r="P960" s="58">
        <v>0</v>
      </c>
      <c r="Q960" s="58"/>
      <c r="R960" s="22"/>
      <c r="S960" s="117" t="str">
        <f t="shared" si="129"/>
        <v>N</v>
      </c>
      <c r="T960" s="114">
        <f>IFERROR(SUMIF('Current NLData'!A:A,'Payment Changes'!G960,'Current NLData'!K:K)/COUNTIF('Current NLData'!A:A,'Payment Changes'!G960),0)+IFERROR(VLOOKUP(G960&amp;"-ALL",NLPaymentExport,10,FALSE),0)</f>
        <v>0</v>
      </c>
      <c r="U960" s="118">
        <f t="shared" si="131"/>
        <v>0</v>
      </c>
    </row>
    <row r="961" spans="1:54" s="90" customFormat="1" ht="17.100000000000001" hidden="1" customHeight="1" collapsed="1" x14ac:dyDescent="0.35">
      <c r="A961" s="85"/>
      <c r="B961" s="85"/>
      <c r="C961" s="86"/>
      <c r="D961" s="87"/>
      <c r="E961" s="87"/>
      <c r="F961" s="87"/>
      <c r="G961" s="87"/>
      <c r="H961" s="96"/>
      <c r="I961" s="88"/>
      <c r="J961" s="89"/>
      <c r="K961" s="89"/>
      <c r="L961" s="89"/>
      <c r="M961" s="89"/>
      <c r="N961" s="89"/>
      <c r="O961" s="89"/>
      <c r="P961" s="89"/>
      <c r="Q961" s="89"/>
      <c r="R961" s="21"/>
      <c r="S961" s="117" t="str">
        <f t="shared" si="129"/>
        <v>N</v>
      </c>
      <c r="T961" s="114">
        <f>IFERROR(SUMIF('Current NLData'!A:A,'Payment Changes'!G961,'Current NLData'!K:K)/COUNTIF('Current NLData'!A:A,'Payment Changes'!G961),0)+IFERROR(VLOOKUP(G961&amp;"-ALL",NLPaymentExport,10,FALSE),0)</f>
        <v>0</v>
      </c>
      <c r="U961" s="118" t="str">
        <f t="shared" si="131"/>
        <v/>
      </c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</row>
    <row r="962" spans="1:54" s="10" customFormat="1" ht="17.100000000000001" hidden="1" customHeight="1" x14ac:dyDescent="0.25">
      <c r="A962" s="165">
        <v>49</v>
      </c>
      <c r="B962" s="168" t="s">
        <v>307</v>
      </c>
      <c r="C962" s="171" t="s">
        <v>53</v>
      </c>
      <c r="D962" s="174" t="s">
        <v>157</v>
      </c>
      <c r="E962" s="106" t="str">
        <f t="shared" si="132"/>
        <v>Pasadena</v>
      </c>
      <c r="F962" s="107" t="s">
        <v>308</v>
      </c>
      <c r="G962" s="108" t="str">
        <f t="shared" ref="G962:G980" si="138">F962&amp;"-"&amp;I962</f>
        <v>CP534-New Donor</v>
      </c>
      <c r="H962" s="177" t="s">
        <v>147</v>
      </c>
      <c r="I962" s="76" t="s">
        <v>23</v>
      </c>
      <c r="J962" s="40" t="s">
        <v>63</v>
      </c>
      <c r="K962" s="41" t="s">
        <v>309</v>
      </c>
      <c r="L962" s="41" t="s">
        <v>166</v>
      </c>
      <c r="M962" s="42" t="s">
        <v>166</v>
      </c>
      <c r="N962" s="40" t="s">
        <v>166</v>
      </c>
      <c r="O962" s="40" t="s">
        <v>166</v>
      </c>
      <c r="P962" s="40" t="s">
        <v>166</v>
      </c>
      <c r="Q962" s="40" t="s">
        <v>166</v>
      </c>
      <c r="R962" s="109"/>
      <c r="S962" s="117" t="str">
        <f t="shared" si="129"/>
        <v>N</v>
      </c>
      <c r="T962" s="114">
        <f>IFERROR(SUMIF('Current NLData'!A:A,'Payment Changes'!G962,'Current NLData'!K:K)/COUNTIF('Current NLData'!A:A,'Payment Changes'!G962),0)+IFERROR(VLOOKUP(G962&amp;"-ALL",NLPaymentExport,10,FALSE),0)</f>
        <v>0</v>
      </c>
      <c r="U962" s="118" t="str">
        <f t="shared" si="131"/>
        <v/>
      </c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</row>
    <row r="963" spans="1:54" ht="17.100000000000001" hidden="1" customHeight="1" x14ac:dyDescent="0.25">
      <c r="A963" s="166"/>
      <c r="B963" s="169"/>
      <c r="C963" s="172"/>
      <c r="D963" s="175"/>
      <c r="E963" s="91" t="str">
        <f t="shared" si="132"/>
        <v>Pasadena</v>
      </c>
      <c r="F963" s="92" t="s">
        <v>308</v>
      </c>
      <c r="G963" s="98" t="str">
        <f t="shared" si="138"/>
        <v>CP534-Return Donor</v>
      </c>
      <c r="H963" s="178"/>
      <c r="I963" s="77" t="s">
        <v>29</v>
      </c>
      <c r="J963" s="43" t="s">
        <v>161</v>
      </c>
      <c r="K963" s="43" t="s">
        <v>310</v>
      </c>
      <c r="L963" s="44" t="s">
        <v>310</v>
      </c>
      <c r="M963" s="45" t="s">
        <v>310</v>
      </c>
      <c r="N963" s="43" t="s">
        <v>310</v>
      </c>
      <c r="O963" s="43" t="s">
        <v>310</v>
      </c>
      <c r="P963" s="43" t="s">
        <v>310</v>
      </c>
      <c r="Q963" s="43" t="s">
        <v>310</v>
      </c>
      <c r="R963" s="21"/>
      <c r="S963" s="117" t="str">
        <f t="shared" ref="S963:S1026" si="139">IF(P963=Q963,"N","Y")</f>
        <v>N</v>
      </c>
      <c r="T963" s="114">
        <f>IFERROR(SUMIF('Current NLData'!A:A,'Payment Changes'!G963,'Current NLData'!K:K)/COUNTIF('Current NLData'!A:A,'Payment Changes'!G963),0)+IFERROR(VLOOKUP(G963&amp;"-ALL",NLPaymentExport,10,FALSE),0)</f>
        <v>0</v>
      </c>
      <c r="U963" s="118" t="str">
        <f t="shared" si="131"/>
        <v/>
      </c>
    </row>
    <row r="964" spans="1:54" ht="17.100000000000001" hidden="1" customHeight="1" x14ac:dyDescent="0.25">
      <c r="A964" s="166"/>
      <c r="B964" s="169"/>
      <c r="C964" s="172"/>
      <c r="D964" s="175"/>
      <c r="E964" s="91" t="str">
        <f t="shared" si="132"/>
        <v>Pasadena</v>
      </c>
      <c r="F964" s="92" t="s">
        <v>308</v>
      </c>
      <c r="G964" s="98" t="str">
        <f t="shared" si="138"/>
        <v>CP534-Retention Bonus</v>
      </c>
      <c r="H964" s="178"/>
      <c r="I964" s="78" t="s">
        <v>30</v>
      </c>
      <c r="J964" s="46" t="s">
        <v>163</v>
      </c>
      <c r="K964" s="46" t="s">
        <v>311</v>
      </c>
      <c r="L964" s="47" t="s">
        <v>311</v>
      </c>
      <c r="M964" s="48" t="s">
        <v>311</v>
      </c>
      <c r="N964" s="46" t="s">
        <v>311</v>
      </c>
      <c r="O964" s="46" t="s">
        <v>311</v>
      </c>
      <c r="P964" s="46" t="s">
        <v>311</v>
      </c>
      <c r="Q964" s="46" t="s">
        <v>311</v>
      </c>
      <c r="R964" s="21"/>
      <c r="S964" s="117" t="str">
        <f t="shared" si="139"/>
        <v>N</v>
      </c>
      <c r="T964" s="114">
        <f>IFERROR(SUMIF('Current NLData'!A:A,'Payment Changes'!G964,'Current NLData'!K:K)/COUNTIF('Current NLData'!A:A,'Payment Changes'!G964),0)+IFERROR(VLOOKUP(G964&amp;"-ALL",NLPaymentExport,10,FALSE),0)</f>
        <v>0</v>
      </c>
      <c r="U964" s="118" t="str">
        <f t="shared" si="131"/>
        <v/>
      </c>
    </row>
    <row r="965" spans="1:54" s="15" customFormat="1" ht="17.100000000000001" hidden="1" customHeight="1" x14ac:dyDescent="0.25">
      <c r="A965" s="167"/>
      <c r="B965" s="170"/>
      <c r="C965" s="173"/>
      <c r="D965" s="176"/>
      <c r="E965" s="110" t="str">
        <f t="shared" si="132"/>
        <v>Pasadena</v>
      </c>
      <c r="F965" s="111" t="s">
        <v>308</v>
      </c>
      <c r="G965" s="112" t="str">
        <f t="shared" si="138"/>
        <v>CP534-Referral</v>
      </c>
      <c r="H965" s="179"/>
      <c r="I965" s="79" t="s">
        <v>34</v>
      </c>
      <c r="J965" s="49">
        <v>50</v>
      </c>
      <c r="K965" s="49">
        <v>0</v>
      </c>
      <c r="L965" s="50" t="s">
        <v>32</v>
      </c>
      <c r="M965" s="51" t="s">
        <v>32</v>
      </c>
      <c r="N965" s="49" t="s">
        <v>32</v>
      </c>
      <c r="O965" s="49">
        <v>50</v>
      </c>
      <c r="P965" s="49">
        <v>50</v>
      </c>
      <c r="Q965" s="49">
        <v>50</v>
      </c>
      <c r="R965" s="113"/>
      <c r="S965" s="117" t="str">
        <f t="shared" si="139"/>
        <v>N</v>
      </c>
      <c r="T965" s="114">
        <f>IFERROR(SUMIF('Current NLData'!A:A,'Payment Changes'!G965,'Current NLData'!K:K)/COUNTIF('Current NLData'!A:A,'Payment Changes'!G965),0)+IFERROR(VLOOKUP(G965&amp;"-ALL",NLPaymentExport,10,FALSE),0)</f>
        <v>0</v>
      </c>
      <c r="U965" s="118" t="str">
        <f t="shared" si="131"/>
        <v/>
      </c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</row>
    <row r="966" spans="1:54" ht="17.100000000000001" hidden="1" customHeight="1" outlineLevel="1" x14ac:dyDescent="0.25">
      <c r="A966" s="3"/>
      <c r="C966" s="4"/>
      <c r="D966" s="180" t="s">
        <v>308</v>
      </c>
      <c r="E966" s="91" t="str">
        <f t="shared" si="132"/>
        <v>Pasadena</v>
      </c>
      <c r="F966" s="93" t="str">
        <f t="shared" si="133"/>
        <v>CP534</v>
      </c>
      <c r="G966" s="99" t="str">
        <f t="shared" si="138"/>
        <v>CP534-NEW DONOR -1st</v>
      </c>
      <c r="H966" s="182" t="s">
        <v>36</v>
      </c>
      <c r="I966" s="33" t="s">
        <v>37</v>
      </c>
      <c r="J966" s="60">
        <v>100</v>
      </c>
      <c r="K966" s="61">
        <v>100</v>
      </c>
      <c r="L966" s="60">
        <v>100</v>
      </c>
      <c r="M966" s="60">
        <v>100</v>
      </c>
      <c r="N966" s="60">
        <v>100</v>
      </c>
      <c r="O966" s="60">
        <v>100</v>
      </c>
      <c r="P966" s="60">
        <v>100</v>
      </c>
      <c r="Q966" s="60">
        <v>100</v>
      </c>
      <c r="R966" s="23"/>
      <c r="S966" s="117" t="str">
        <f t="shared" si="139"/>
        <v>N</v>
      </c>
      <c r="T966" s="114">
        <f>IFERROR(SUMIF('Current NLData'!A:A,'Payment Changes'!G966,'Current NLData'!K:K)/COUNTIF('Current NLData'!A:A,'Payment Changes'!G966),0)+IFERROR(VLOOKUP(G966&amp;"-ALL",NLPaymentExport,10,FALSE),0)</f>
        <v>100</v>
      </c>
      <c r="U966" s="118">
        <f t="shared" si="131"/>
        <v>0</v>
      </c>
    </row>
    <row r="967" spans="1:54" ht="17.100000000000001" hidden="1" customHeight="1" outlineLevel="1" x14ac:dyDescent="0.25">
      <c r="A967" s="3"/>
      <c r="C967" s="4"/>
      <c r="D967" s="181"/>
      <c r="E967" s="91" t="str">
        <f t="shared" si="132"/>
        <v>Pasadena</v>
      </c>
      <c r="F967" s="93" t="str">
        <f t="shared" si="133"/>
        <v>CP534</v>
      </c>
      <c r="G967" s="99" t="str">
        <f t="shared" si="138"/>
        <v>CP534-NEW DONOR -2nd</v>
      </c>
      <c r="H967" s="182"/>
      <c r="I967" s="34" t="s">
        <v>38</v>
      </c>
      <c r="J967" s="58">
        <v>100</v>
      </c>
      <c r="K967" s="62">
        <v>100</v>
      </c>
      <c r="L967" s="58">
        <v>100</v>
      </c>
      <c r="M967" s="58">
        <v>100</v>
      </c>
      <c r="N967" s="58">
        <v>100</v>
      </c>
      <c r="O967" s="58">
        <v>100</v>
      </c>
      <c r="P967" s="58">
        <v>100</v>
      </c>
      <c r="Q967" s="58">
        <v>100</v>
      </c>
      <c r="R967" s="23"/>
      <c r="S967" s="117" t="str">
        <f t="shared" si="139"/>
        <v>N</v>
      </c>
      <c r="T967" s="114">
        <f>IFERROR(SUMIF('Current NLData'!A:A,'Payment Changes'!G967,'Current NLData'!K:K)/COUNTIF('Current NLData'!A:A,'Payment Changes'!G967),0)+IFERROR(VLOOKUP(G967&amp;"-ALL",NLPaymentExport,10,FALSE),0)</f>
        <v>100</v>
      </c>
      <c r="U967" s="118">
        <f t="shared" ref="U967:U1030" si="140">IF(OR(I967 = "New Donor", I967="Return Donor", I967="Retention Bonus", I967="Referral", I967 = ""),"",T967-Q967 )</f>
        <v>0</v>
      </c>
    </row>
    <row r="968" spans="1:54" ht="17.100000000000001" hidden="1" customHeight="1" outlineLevel="1" x14ac:dyDescent="0.25">
      <c r="A968" s="3"/>
      <c r="C968" s="4"/>
      <c r="D968" s="181"/>
      <c r="E968" s="91" t="str">
        <f t="shared" ref="E968:E1031" si="141">IF(B968 = "",E967,B968)</f>
        <v>Pasadena</v>
      </c>
      <c r="F968" s="93" t="str">
        <f t="shared" ref="F968:F1031" si="142">IF(D968 = "",F967,D968)</f>
        <v>CP534</v>
      </c>
      <c r="G968" s="99" t="str">
        <f t="shared" si="138"/>
        <v>CP534-NEW DONOR -3rd</v>
      </c>
      <c r="H968" s="182"/>
      <c r="I968" s="34" t="s">
        <v>39</v>
      </c>
      <c r="J968" s="58">
        <v>100</v>
      </c>
      <c r="K968" s="62">
        <v>100</v>
      </c>
      <c r="L968" s="58">
        <v>100</v>
      </c>
      <c r="M968" s="58">
        <v>100</v>
      </c>
      <c r="N968" s="58">
        <v>100</v>
      </c>
      <c r="O968" s="58">
        <v>100</v>
      </c>
      <c r="P968" s="58">
        <v>100</v>
      </c>
      <c r="Q968" s="58">
        <v>100</v>
      </c>
      <c r="R968" s="23"/>
      <c r="S968" s="117" t="str">
        <f t="shared" si="139"/>
        <v>N</v>
      </c>
      <c r="T968" s="114">
        <f>IFERROR(SUMIF('Current NLData'!A:A,'Payment Changes'!G968,'Current NLData'!K:K)/COUNTIF('Current NLData'!A:A,'Payment Changes'!G968),0)+IFERROR(VLOOKUP(G968&amp;"-ALL",NLPaymentExport,10,FALSE),0)</f>
        <v>100</v>
      </c>
      <c r="U968" s="118">
        <f t="shared" si="140"/>
        <v>0</v>
      </c>
    </row>
    <row r="969" spans="1:54" ht="17.100000000000001" hidden="1" customHeight="1" outlineLevel="1" x14ac:dyDescent="0.25">
      <c r="A969" s="3"/>
      <c r="C969" s="4"/>
      <c r="D969" s="181"/>
      <c r="E969" s="91" t="str">
        <f t="shared" si="141"/>
        <v>Pasadena</v>
      </c>
      <c r="F969" s="93" t="str">
        <f t="shared" si="142"/>
        <v>CP534</v>
      </c>
      <c r="G969" s="99" t="str">
        <f t="shared" si="138"/>
        <v>CP534-NEW DONOR -4th</v>
      </c>
      <c r="H969" s="182"/>
      <c r="I969" s="34" t="s">
        <v>40</v>
      </c>
      <c r="J969" s="58">
        <v>100</v>
      </c>
      <c r="K969" s="62">
        <v>100</v>
      </c>
      <c r="L969" s="58">
        <v>100</v>
      </c>
      <c r="M969" s="58">
        <v>100</v>
      </c>
      <c r="N969" s="58">
        <v>100</v>
      </c>
      <c r="O969" s="58">
        <v>100</v>
      </c>
      <c r="P969" s="58">
        <v>100</v>
      </c>
      <c r="Q969" s="58">
        <v>100</v>
      </c>
      <c r="R969" s="23"/>
      <c r="S969" s="117" t="str">
        <f t="shared" si="139"/>
        <v>N</v>
      </c>
      <c r="T969" s="114">
        <f>IFERROR(SUMIF('Current NLData'!A:A,'Payment Changes'!G969,'Current NLData'!K:K)/COUNTIF('Current NLData'!A:A,'Payment Changes'!G969),0)+IFERROR(VLOOKUP(G969&amp;"-ALL",NLPaymentExport,10,FALSE),0)</f>
        <v>100</v>
      </c>
      <c r="U969" s="118">
        <f t="shared" si="140"/>
        <v>0</v>
      </c>
    </row>
    <row r="970" spans="1:54" ht="17.100000000000001" hidden="1" customHeight="1" outlineLevel="1" x14ac:dyDescent="0.25">
      <c r="A970" s="3"/>
      <c r="C970" s="4"/>
      <c r="D970" s="181"/>
      <c r="E970" s="91" t="str">
        <f t="shared" si="141"/>
        <v>Pasadena</v>
      </c>
      <c r="F970" s="93" t="str">
        <f t="shared" si="142"/>
        <v>CP534</v>
      </c>
      <c r="G970" s="99" t="str">
        <f t="shared" si="138"/>
        <v>CP534-NEW DONOR -5th</v>
      </c>
      <c r="H970" s="182"/>
      <c r="I970" s="34" t="s">
        <v>41</v>
      </c>
      <c r="J970" s="58">
        <v>45</v>
      </c>
      <c r="K970" s="62">
        <v>45</v>
      </c>
      <c r="L970" s="58">
        <v>45</v>
      </c>
      <c r="M970" s="58">
        <v>45</v>
      </c>
      <c r="N970" s="58">
        <v>45</v>
      </c>
      <c r="O970" s="58">
        <v>45</v>
      </c>
      <c r="P970" s="58">
        <v>45</v>
      </c>
      <c r="Q970" s="58">
        <v>45</v>
      </c>
      <c r="R970" s="23"/>
      <c r="S970" s="117" t="str">
        <f t="shared" si="139"/>
        <v>N</v>
      </c>
      <c r="T970" s="114">
        <f>IFERROR(SUMIF('Current NLData'!A:A,'Payment Changes'!G970,'Current NLData'!K:K)/COUNTIF('Current NLData'!A:A,'Payment Changes'!G970),0)+IFERROR(VLOOKUP(G970&amp;"-ALL",NLPaymentExport,10,FALSE),0)</f>
        <v>45</v>
      </c>
      <c r="U970" s="118">
        <f t="shared" si="140"/>
        <v>0</v>
      </c>
    </row>
    <row r="971" spans="1:54" ht="17.100000000000001" hidden="1" customHeight="1" outlineLevel="1" x14ac:dyDescent="0.25">
      <c r="A971" s="3"/>
      <c r="C971" s="4"/>
      <c r="D971" s="181"/>
      <c r="E971" s="91" t="str">
        <f t="shared" si="141"/>
        <v>Pasadena</v>
      </c>
      <c r="F971" s="93" t="str">
        <f t="shared" si="142"/>
        <v>CP534</v>
      </c>
      <c r="G971" s="99" t="str">
        <f t="shared" si="138"/>
        <v>CP534-NEW DONOR -6th</v>
      </c>
      <c r="H971" s="182"/>
      <c r="I971" s="34" t="s">
        <v>42</v>
      </c>
      <c r="J971" s="58">
        <v>45</v>
      </c>
      <c r="K971" s="62">
        <v>60</v>
      </c>
      <c r="L971" s="58">
        <v>45</v>
      </c>
      <c r="M971" s="58">
        <v>45</v>
      </c>
      <c r="N971" s="58">
        <v>45</v>
      </c>
      <c r="O971" s="58">
        <v>45</v>
      </c>
      <c r="P971" s="58">
        <v>45</v>
      </c>
      <c r="Q971" s="58">
        <v>45</v>
      </c>
      <c r="R971" s="23"/>
      <c r="S971" s="117" t="str">
        <f t="shared" si="139"/>
        <v>N</v>
      </c>
      <c r="T971" s="114">
        <f>IFERROR(SUMIF('Current NLData'!A:A,'Payment Changes'!G971,'Current NLData'!K:K)/COUNTIF('Current NLData'!A:A,'Payment Changes'!G971),0)+IFERROR(VLOOKUP(G971&amp;"-ALL",NLPaymentExport,10,FALSE),0)</f>
        <v>45</v>
      </c>
      <c r="U971" s="118">
        <f t="shared" si="140"/>
        <v>0</v>
      </c>
    </row>
    <row r="972" spans="1:54" ht="17.100000000000001" hidden="1" customHeight="1" outlineLevel="1" x14ac:dyDescent="0.25">
      <c r="A972" s="3"/>
      <c r="C972" s="4"/>
      <c r="D972" s="181"/>
      <c r="E972" s="91" t="str">
        <f t="shared" si="141"/>
        <v>Pasadena</v>
      </c>
      <c r="F972" s="93" t="str">
        <f t="shared" si="142"/>
        <v>CP534</v>
      </c>
      <c r="G972" s="99" t="str">
        <f t="shared" si="138"/>
        <v>CP534-NEW DONOR -7th</v>
      </c>
      <c r="H972" s="182"/>
      <c r="I972" s="34" t="s">
        <v>43</v>
      </c>
      <c r="J972" s="58">
        <v>45</v>
      </c>
      <c r="K972" s="62">
        <v>45</v>
      </c>
      <c r="L972" s="58">
        <v>45</v>
      </c>
      <c r="M972" s="58">
        <v>45</v>
      </c>
      <c r="N972" s="58">
        <v>45</v>
      </c>
      <c r="O972" s="58">
        <v>45</v>
      </c>
      <c r="P972" s="58">
        <v>45</v>
      </c>
      <c r="Q972" s="58">
        <v>45</v>
      </c>
      <c r="R972" s="23"/>
      <c r="S972" s="117" t="str">
        <f t="shared" si="139"/>
        <v>N</v>
      </c>
      <c r="T972" s="114">
        <f>IFERROR(SUMIF('Current NLData'!A:A,'Payment Changes'!G972,'Current NLData'!K:K)/COUNTIF('Current NLData'!A:A,'Payment Changes'!G972),0)+IFERROR(VLOOKUP(G972&amp;"-ALL",NLPaymentExport,10,FALSE),0)</f>
        <v>45</v>
      </c>
      <c r="U972" s="118">
        <f t="shared" si="140"/>
        <v>0</v>
      </c>
    </row>
    <row r="973" spans="1:54" ht="17.100000000000001" hidden="1" customHeight="1" outlineLevel="1" x14ac:dyDescent="0.25">
      <c r="A973" s="3"/>
      <c r="C973" s="4"/>
      <c r="D973" s="181"/>
      <c r="E973" s="91" t="str">
        <f t="shared" si="141"/>
        <v>Pasadena</v>
      </c>
      <c r="F973" s="93" t="str">
        <f t="shared" si="142"/>
        <v>CP534</v>
      </c>
      <c r="G973" s="99" t="str">
        <f t="shared" si="138"/>
        <v>CP534-NEW DONOR -8th</v>
      </c>
      <c r="H973" s="182"/>
      <c r="I973" s="35" t="s">
        <v>44</v>
      </c>
      <c r="J973" s="63">
        <v>45</v>
      </c>
      <c r="K973" s="64">
        <v>60</v>
      </c>
      <c r="L973" s="63">
        <v>45</v>
      </c>
      <c r="M973" s="63">
        <v>45</v>
      </c>
      <c r="N973" s="63">
        <v>45</v>
      </c>
      <c r="O973" s="63">
        <v>45</v>
      </c>
      <c r="P973" s="63">
        <v>45</v>
      </c>
      <c r="Q973" s="63">
        <v>45</v>
      </c>
      <c r="R973" s="23"/>
      <c r="S973" s="117" t="str">
        <f t="shared" si="139"/>
        <v>N</v>
      </c>
      <c r="T973" s="114">
        <f>IFERROR(SUMIF('Current NLData'!A:A,'Payment Changes'!G973,'Current NLData'!K:K)/COUNTIF('Current NLData'!A:A,'Payment Changes'!G973),0)+IFERROR(VLOOKUP(G973&amp;"-ALL",NLPaymentExport,10,FALSE),0)</f>
        <v>45</v>
      </c>
      <c r="U973" s="118">
        <f t="shared" si="140"/>
        <v>0</v>
      </c>
    </row>
    <row r="974" spans="1:54" ht="17.100000000000001" hidden="1" customHeight="1" outlineLevel="1" x14ac:dyDescent="0.25">
      <c r="A974" s="3"/>
      <c r="C974" s="4"/>
      <c r="D974" s="181"/>
      <c r="E974" s="91" t="str">
        <f t="shared" si="141"/>
        <v>Pasadena</v>
      </c>
      <c r="F974" s="93" t="str">
        <f t="shared" si="142"/>
        <v>CP534</v>
      </c>
      <c r="G974" s="99" t="str">
        <f t="shared" si="138"/>
        <v>CP534-RETURN - 1st don of the week -STD</v>
      </c>
      <c r="H974" s="182"/>
      <c r="I974" s="36" t="s">
        <v>45</v>
      </c>
      <c r="J974" s="58">
        <v>45</v>
      </c>
      <c r="K974" s="58">
        <v>45</v>
      </c>
      <c r="L974" s="58">
        <v>45</v>
      </c>
      <c r="M974" s="58">
        <v>45</v>
      </c>
      <c r="N974" s="58">
        <v>45</v>
      </c>
      <c r="O974" s="58">
        <v>45</v>
      </c>
      <c r="P974" s="58">
        <v>45</v>
      </c>
      <c r="Q974" s="58">
        <v>45</v>
      </c>
      <c r="R974" s="22"/>
      <c r="S974" s="117" t="str">
        <f t="shared" si="139"/>
        <v>N</v>
      </c>
      <c r="T974" s="114">
        <f>IFERROR(SUMIF('Current NLData'!A:A,'Payment Changes'!G974,'Current NLData'!K:K)/COUNTIF('Current NLData'!A:A,'Payment Changes'!G974),0)+IFERROR(VLOOKUP(G974&amp;"-ALL",NLPaymentExport,10,FALSE),0)</f>
        <v>45</v>
      </c>
      <c r="U974" s="118">
        <f t="shared" si="140"/>
        <v>0</v>
      </c>
    </row>
    <row r="975" spans="1:54" ht="17.100000000000001" hidden="1" customHeight="1" outlineLevel="1" x14ac:dyDescent="0.25">
      <c r="A975" s="3"/>
      <c r="C975" s="4"/>
      <c r="D975" s="181"/>
      <c r="E975" s="91" t="str">
        <f t="shared" si="141"/>
        <v>Pasadena</v>
      </c>
      <c r="F975" s="93" t="str">
        <f t="shared" si="142"/>
        <v>CP534</v>
      </c>
      <c r="G975" s="99" t="str">
        <f t="shared" si="138"/>
        <v>CP534-RETURN - 2nd don of the week -BONUS</v>
      </c>
      <c r="H975" s="182"/>
      <c r="I975" s="36" t="s">
        <v>46</v>
      </c>
      <c r="J975" s="58">
        <v>20</v>
      </c>
      <c r="K975" s="62">
        <v>15</v>
      </c>
      <c r="L975" s="58">
        <v>15</v>
      </c>
      <c r="M975" s="58">
        <v>15</v>
      </c>
      <c r="N975" s="58">
        <v>15</v>
      </c>
      <c r="O975" s="58">
        <v>15</v>
      </c>
      <c r="P975" s="58">
        <v>15</v>
      </c>
      <c r="Q975" s="58">
        <v>15</v>
      </c>
      <c r="R975" s="23"/>
      <c r="S975" s="117" t="str">
        <f t="shared" si="139"/>
        <v>N</v>
      </c>
      <c r="T975" s="114">
        <f>IFERROR(SUMIF('Current NLData'!A:A,'Payment Changes'!G975,'Current NLData'!K:K)/COUNTIF('Current NLData'!A:A,'Payment Changes'!G975),0)+IFERROR(VLOOKUP(G975&amp;"-ALL",NLPaymentExport,10,FALSE),0)</f>
        <v>15</v>
      </c>
      <c r="U975" s="118">
        <f t="shared" si="140"/>
        <v>0</v>
      </c>
    </row>
    <row r="976" spans="1:54" ht="17.100000000000001" hidden="1" customHeight="1" outlineLevel="1" x14ac:dyDescent="0.25">
      <c r="A976" s="3"/>
      <c r="C976" s="4"/>
      <c r="D976" s="181"/>
      <c r="E976" s="91" t="str">
        <f t="shared" si="141"/>
        <v>Pasadena</v>
      </c>
      <c r="F976" s="93" t="str">
        <f t="shared" si="142"/>
        <v>CP534</v>
      </c>
      <c r="G976" s="99" t="str">
        <f t="shared" si="138"/>
        <v>CP534-RETURN - 5th don of the month -BONUS</v>
      </c>
      <c r="H976" s="182"/>
      <c r="I976" s="37" t="s">
        <v>47</v>
      </c>
      <c r="J976" s="65">
        <v>0</v>
      </c>
      <c r="K976" s="65">
        <v>0</v>
      </c>
      <c r="L976" s="65">
        <v>0</v>
      </c>
      <c r="M976" s="65">
        <v>0</v>
      </c>
      <c r="N976" s="65">
        <v>0</v>
      </c>
      <c r="O976" s="65">
        <v>0</v>
      </c>
      <c r="P976" s="65">
        <v>0</v>
      </c>
      <c r="Q976" s="65">
        <v>0</v>
      </c>
      <c r="R976" s="22"/>
      <c r="S976" s="117" t="str">
        <f t="shared" si="139"/>
        <v>N</v>
      </c>
      <c r="T976" s="114">
        <f>IFERROR(SUMIF('Current NLData'!A:A,'Payment Changes'!G976,'Current NLData'!K:K)/COUNTIF('Current NLData'!A:A,'Payment Changes'!G976),0)+IFERROR(VLOOKUP(G976&amp;"-ALL",NLPaymentExport,10,FALSE),0)</f>
        <v>0</v>
      </c>
      <c r="U976" s="118">
        <f t="shared" si="140"/>
        <v>0</v>
      </c>
    </row>
    <row r="977" spans="1:54" ht="17.100000000000001" hidden="1" customHeight="1" outlineLevel="1" x14ac:dyDescent="0.25">
      <c r="A977" s="3"/>
      <c r="C977" s="4"/>
      <c r="D977" s="181"/>
      <c r="E977" s="91" t="str">
        <f t="shared" si="141"/>
        <v>Pasadena</v>
      </c>
      <c r="F977" s="93" t="str">
        <f t="shared" si="142"/>
        <v>CP534</v>
      </c>
      <c r="G977" s="99" t="str">
        <f t="shared" si="138"/>
        <v>CP534-RETURN - 6th don of the month -BONUS</v>
      </c>
      <c r="H977" s="182"/>
      <c r="I977" s="38" t="s">
        <v>48</v>
      </c>
      <c r="J977" s="58">
        <v>0</v>
      </c>
      <c r="K977" s="62">
        <v>20</v>
      </c>
      <c r="L977" s="58">
        <v>20</v>
      </c>
      <c r="M977" s="58">
        <v>20</v>
      </c>
      <c r="N977" s="58">
        <v>20</v>
      </c>
      <c r="O977" s="58">
        <v>20</v>
      </c>
      <c r="P977" s="58">
        <v>20</v>
      </c>
      <c r="Q977" s="58">
        <v>20</v>
      </c>
      <c r="R977" s="23"/>
      <c r="S977" s="117" t="str">
        <f t="shared" si="139"/>
        <v>N</v>
      </c>
      <c r="T977" s="114">
        <f>IFERROR(SUMIF('Current NLData'!A:A,'Payment Changes'!G977,'Current NLData'!K:K)/COUNTIF('Current NLData'!A:A,'Payment Changes'!G977),0)+IFERROR(VLOOKUP(G977&amp;"-ALL",NLPaymentExport,10,FALSE),0)</f>
        <v>20</v>
      </c>
      <c r="U977" s="118">
        <f t="shared" si="140"/>
        <v>0</v>
      </c>
    </row>
    <row r="978" spans="1:54" ht="17.100000000000001" hidden="1" customHeight="1" outlineLevel="1" x14ac:dyDescent="0.25">
      <c r="A978" s="3"/>
      <c r="C978" s="4"/>
      <c r="D978" s="181"/>
      <c r="E978" s="91" t="str">
        <f t="shared" si="141"/>
        <v>Pasadena</v>
      </c>
      <c r="F978" s="93" t="str">
        <f t="shared" si="142"/>
        <v>CP534</v>
      </c>
      <c r="G978" s="99" t="str">
        <f t="shared" si="138"/>
        <v>CP534-RETURN - 7th don of the month -BONUS</v>
      </c>
      <c r="H978" s="182"/>
      <c r="I978" s="38" t="s">
        <v>49</v>
      </c>
      <c r="J978" s="58">
        <v>0</v>
      </c>
      <c r="K978" s="58">
        <v>0</v>
      </c>
      <c r="L978" s="58">
        <v>0</v>
      </c>
      <c r="M978" s="58">
        <v>0</v>
      </c>
      <c r="N978" s="58">
        <v>0</v>
      </c>
      <c r="O978" s="58">
        <v>0</v>
      </c>
      <c r="P978" s="58">
        <v>0</v>
      </c>
      <c r="Q978" s="58">
        <v>0</v>
      </c>
      <c r="R978" s="22"/>
      <c r="S978" s="117" t="str">
        <f t="shared" si="139"/>
        <v>N</v>
      </c>
      <c r="T978" s="114">
        <f>IFERROR(SUMIF('Current NLData'!A:A,'Payment Changes'!G978,'Current NLData'!K:K)/COUNTIF('Current NLData'!A:A,'Payment Changes'!G978),0)+IFERROR(VLOOKUP(G978&amp;"-ALL",NLPaymentExport,10,FALSE),0)</f>
        <v>0</v>
      </c>
      <c r="U978" s="118">
        <f t="shared" si="140"/>
        <v>0</v>
      </c>
    </row>
    <row r="979" spans="1:54" ht="17.100000000000001" hidden="1" customHeight="1" outlineLevel="1" x14ac:dyDescent="0.25">
      <c r="A979" s="3"/>
      <c r="C979" s="4"/>
      <c r="D979" s="181"/>
      <c r="E979" s="91" t="str">
        <f t="shared" si="141"/>
        <v>Pasadena</v>
      </c>
      <c r="F979" s="93" t="str">
        <f t="shared" si="142"/>
        <v>CP534</v>
      </c>
      <c r="G979" s="99" t="str">
        <f t="shared" si="138"/>
        <v>CP534-RETURN - 8th don of the month -BONUS</v>
      </c>
      <c r="H979" s="182"/>
      <c r="I979" s="38" t="s">
        <v>50</v>
      </c>
      <c r="J979" s="58">
        <v>0</v>
      </c>
      <c r="K979" s="58">
        <v>0</v>
      </c>
      <c r="L979" s="58">
        <v>0</v>
      </c>
      <c r="M979" s="58">
        <v>0</v>
      </c>
      <c r="N979" s="58">
        <v>0</v>
      </c>
      <c r="O979" s="58">
        <v>0</v>
      </c>
      <c r="P979" s="58">
        <v>0</v>
      </c>
      <c r="Q979" s="58">
        <v>0</v>
      </c>
      <c r="R979" s="22"/>
      <c r="S979" s="117" t="str">
        <f t="shared" si="139"/>
        <v>N</v>
      </c>
      <c r="T979" s="114">
        <f>IFERROR(SUMIF('Current NLData'!A:A,'Payment Changes'!G979,'Current NLData'!K:K)/COUNTIF('Current NLData'!A:A,'Payment Changes'!G979),0)+IFERROR(VLOOKUP(G979&amp;"-ALL",NLPaymentExport,10,FALSE),0)</f>
        <v>0</v>
      </c>
      <c r="U979" s="118">
        <f t="shared" si="140"/>
        <v>0</v>
      </c>
    </row>
    <row r="980" spans="1:54" ht="17.100000000000001" hidden="1" customHeight="1" outlineLevel="1" x14ac:dyDescent="0.25">
      <c r="A980" s="3"/>
      <c r="C980" s="4" t="str">
        <f>IF(J980=0,"Warning","")</f>
        <v/>
      </c>
      <c r="D980" s="181"/>
      <c r="E980" s="91" t="str">
        <f t="shared" si="141"/>
        <v>Pasadena</v>
      </c>
      <c r="F980" s="93" t="str">
        <f t="shared" si="142"/>
        <v>CP534</v>
      </c>
      <c r="G980" s="99" t="str">
        <f t="shared" si="138"/>
        <v>CP534-RETURN - Buddy referral  -BONUS</v>
      </c>
      <c r="H980" s="182"/>
      <c r="I980" s="39" t="s">
        <v>51</v>
      </c>
      <c r="J980" s="58">
        <v>50</v>
      </c>
      <c r="K980" s="62">
        <v>0</v>
      </c>
      <c r="L980" s="58">
        <v>0</v>
      </c>
      <c r="M980" s="58">
        <v>0</v>
      </c>
      <c r="N980" s="58">
        <v>0</v>
      </c>
      <c r="O980" s="58">
        <v>50</v>
      </c>
      <c r="P980" s="58">
        <v>50</v>
      </c>
      <c r="Q980" s="58">
        <v>50</v>
      </c>
      <c r="R980" s="23"/>
      <c r="S980" s="117" t="str">
        <f t="shared" si="139"/>
        <v>N</v>
      </c>
      <c r="T980" s="114">
        <f>IFERROR(SUMIF('Current NLData'!A:A,'Payment Changes'!G980,'Current NLData'!K:K)/COUNTIF('Current NLData'!A:A,'Payment Changes'!G980),0)+IFERROR(VLOOKUP(G980&amp;"-ALL",NLPaymentExport,10,FALSE),0)</f>
        <v>50</v>
      </c>
      <c r="U980" s="118">
        <f t="shared" si="140"/>
        <v>0</v>
      </c>
    </row>
    <row r="981" spans="1:54" s="90" customFormat="1" ht="17.100000000000001" hidden="1" customHeight="1" collapsed="1" x14ac:dyDescent="0.35">
      <c r="A981" s="85"/>
      <c r="B981" s="85"/>
      <c r="C981" s="86"/>
      <c r="D981" s="87"/>
      <c r="E981" s="87"/>
      <c r="F981" s="87"/>
      <c r="G981" s="87"/>
      <c r="H981" s="96"/>
      <c r="I981" s="88"/>
      <c r="J981" s="89"/>
      <c r="K981" s="89"/>
      <c r="L981" s="89"/>
      <c r="M981" s="89"/>
      <c r="N981" s="89"/>
      <c r="O981" s="89"/>
      <c r="P981" s="89"/>
      <c r="Q981" s="89"/>
      <c r="R981" s="21"/>
      <c r="S981" s="117" t="str">
        <f t="shared" si="139"/>
        <v>N</v>
      </c>
      <c r="T981" s="114">
        <f>IFERROR(SUMIF('Current NLData'!A:A,'Payment Changes'!G981,'Current NLData'!K:K)/COUNTIF('Current NLData'!A:A,'Payment Changes'!G981),0)+IFERROR(VLOOKUP(G981&amp;"-ALL",NLPaymentExport,10,FALSE),0)</f>
        <v>0</v>
      </c>
      <c r="U981" s="118" t="str">
        <f t="shared" si="140"/>
        <v/>
      </c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</row>
    <row r="982" spans="1:54" s="10" customFormat="1" ht="17.100000000000001" hidden="1" customHeight="1" x14ac:dyDescent="0.25">
      <c r="A982" s="165">
        <v>50</v>
      </c>
      <c r="B982" s="168" t="s">
        <v>312</v>
      </c>
      <c r="C982" s="171" t="s">
        <v>53</v>
      </c>
      <c r="D982" s="174" t="s">
        <v>157</v>
      </c>
      <c r="E982" s="106" t="str">
        <f t="shared" si="141"/>
        <v>Slidell</v>
      </c>
      <c r="F982" s="107" t="s">
        <v>313</v>
      </c>
      <c r="G982" s="108" t="str">
        <f t="shared" ref="G982:G1000" si="143">F982&amp;"-"&amp;I982</f>
        <v>CP953-New Donor</v>
      </c>
      <c r="H982" s="177" t="s">
        <v>147</v>
      </c>
      <c r="I982" s="76" t="s">
        <v>23</v>
      </c>
      <c r="J982" s="40" t="s">
        <v>314</v>
      </c>
      <c r="K982" s="41" t="s">
        <v>315</v>
      </c>
      <c r="L982" s="41" t="s">
        <v>316</v>
      </c>
      <c r="M982" s="41" t="s">
        <v>317</v>
      </c>
      <c r="N982" s="40" t="s">
        <v>317</v>
      </c>
      <c r="O982" s="40" t="s">
        <v>317</v>
      </c>
      <c r="P982" s="40" t="s">
        <v>317</v>
      </c>
      <c r="Q982" s="40" t="s">
        <v>317</v>
      </c>
      <c r="R982" s="109"/>
      <c r="S982" s="117" t="str">
        <f t="shared" si="139"/>
        <v>N</v>
      </c>
      <c r="T982" s="114">
        <f>IFERROR(SUMIF('Current NLData'!A:A,'Payment Changes'!G982,'Current NLData'!K:K)/COUNTIF('Current NLData'!A:A,'Payment Changes'!G982),0)+IFERROR(VLOOKUP(G982&amp;"-ALL",NLPaymentExport,10,FALSE),0)</f>
        <v>0</v>
      </c>
      <c r="U982" s="118" t="str">
        <f t="shared" si="140"/>
        <v/>
      </c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</row>
    <row r="983" spans="1:54" ht="17.100000000000001" hidden="1" customHeight="1" x14ac:dyDescent="0.25">
      <c r="A983" s="166"/>
      <c r="B983" s="169"/>
      <c r="C983" s="172"/>
      <c r="D983" s="175"/>
      <c r="E983" s="91" t="str">
        <f t="shared" si="141"/>
        <v>Slidell</v>
      </c>
      <c r="F983" s="92" t="s">
        <v>313</v>
      </c>
      <c r="G983" s="98" t="str">
        <f t="shared" si="143"/>
        <v>CP953-Return Donor</v>
      </c>
      <c r="H983" s="178"/>
      <c r="I983" s="77" t="s">
        <v>29</v>
      </c>
      <c r="J983" s="43" t="s">
        <v>242</v>
      </c>
      <c r="K983" s="43" t="s">
        <v>242</v>
      </c>
      <c r="L983" s="44" t="s">
        <v>242</v>
      </c>
      <c r="M983" s="45" t="s">
        <v>242</v>
      </c>
      <c r="N983" s="43" t="s">
        <v>242</v>
      </c>
      <c r="O983" s="43" t="s">
        <v>242</v>
      </c>
      <c r="P983" s="43" t="s">
        <v>242</v>
      </c>
      <c r="Q983" s="43" t="s">
        <v>242</v>
      </c>
      <c r="R983" s="21"/>
      <c r="S983" s="117" t="str">
        <f t="shared" si="139"/>
        <v>N</v>
      </c>
      <c r="T983" s="114">
        <f>IFERROR(SUMIF('Current NLData'!A:A,'Payment Changes'!G983,'Current NLData'!K:K)/COUNTIF('Current NLData'!A:A,'Payment Changes'!G983),0)+IFERROR(VLOOKUP(G983&amp;"-ALL",NLPaymentExport,10,FALSE),0)</f>
        <v>0</v>
      </c>
      <c r="U983" s="118" t="str">
        <f t="shared" si="140"/>
        <v/>
      </c>
    </row>
    <row r="984" spans="1:54" ht="17.100000000000001" hidden="1" customHeight="1" x14ac:dyDescent="0.25">
      <c r="A984" s="166"/>
      <c r="B984" s="169"/>
      <c r="C984" s="172"/>
      <c r="D984" s="175"/>
      <c r="E984" s="91" t="str">
        <f t="shared" si="141"/>
        <v>Slidell</v>
      </c>
      <c r="F984" s="92" t="s">
        <v>313</v>
      </c>
      <c r="G984" s="98" t="str">
        <f t="shared" si="143"/>
        <v>CP953-Retention Bonus</v>
      </c>
      <c r="H984" s="178"/>
      <c r="I984" s="78" t="s">
        <v>30</v>
      </c>
      <c r="J984" s="46" t="s">
        <v>163</v>
      </c>
      <c r="K984" s="46" t="s">
        <v>163</v>
      </c>
      <c r="L984" s="47" t="s">
        <v>32</v>
      </c>
      <c r="M984" s="48" t="s">
        <v>32</v>
      </c>
      <c r="N984" s="46" t="s">
        <v>32</v>
      </c>
      <c r="O984" s="46" t="s">
        <v>32</v>
      </c>
      <c r="P984" s="46" t="s">
        <v>32</v>
      </c>
      <c r="Q984" s="46" t="s">
        <v>32</v>
      </c>
      <c r="R984" s="21"/>
      <c r="S984" s="117" t="str">
        <f t="shared" si="139"/>
        <v>N</v>
      </c>
      <c r="T984" s="114">
        <f>IFERROR(SUMIF('Current NLData'!A:A,'Payment Changes'!G984,'Current NLData'!K:K)/COUNTIF('Current NLData'!A:A,'Payment Changes'!G984),0)+IFERROR(VLOOKUP(G984&amp;"-ALL",NLPaymentExport,10,FALSE),0)</f>
        <v>0</v>
      </c>
      <c r="U984" s="118" t="str">
        <f t="shared" si="140"/>
        <v/>
      </c>
    </row>
    <row r="985" spans="1:54" s="15" customFormat="1" ht="17.100000000000001" hidden="1" customHeight="1" x14ac:dyDescent="0.25">
      <c r="A985" s="167"/>
      <c r="B985" s="170"/>
      <c r="C985" s="173"/>
      <c r="D985" s="176"/>
      <c r="E985" s="110" t="str">
        <f t="shared" si="141"/>
        <v>Slidell</v>
      </c>
      <c r="F985" s="111" t="s">
        <v>313</v>
      </c>
      <c r="G985" s="112" t="str">
        <f t="shared" si="143"/>
        <v>CP953-Referral</v>
      </c>
      <c r="H985" s="179"/>
      <c r="I985" s="79" t="s">
        <v>34</v>
      </c>
      <c r="J985" s="49">
        <v>50</v>
      </c>
      <c r="K985" s="49">
        <v>50</v>
      </c>
      <c r="L985" s="50" t="s">
        <v>32</v>
      </c>
      <c r="M985" s="51" t="s">
        <v>32</v>
      </c>
      <c r="N985" s="49" t="s">
        <v>32</v>
      </c>
      <c r="O985" s="49">
        <v>50</v>
      </c>
      <c r="P985" s="49">
        <v>50</v>
      </c>
      <c r="Q985" s="49">
        <v>50</v>
      </c>
      <c r="R985" s="113"/>
      <c r="S985" s="117" t="str">
        <f t="shared" si="139"/>
        <v>N</v>
      </c>
      <c r="T985" s="114">
        <f>IFERROR(SUMIF('Current NLData'!A:A,'Payment Changes'!G985,'Current NLData'!K:K)/COUNTIF('Current NLData'!A:A,'Payment Changes'!G985),0)+IFERROR(VLOOKUP(G985&amp;"-ALL",NLPaymentExport,10,FALSE),0)</f>
        <v>0</v>
      </c>
      <c r="U985" s="118" t="str">
        <f t="shared" si="140"/>
        <v/>
      </c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</row>
    <row r="986" spans="1:54" ht="17.100000000000001" hidden="1" customHeight="1" outlineLevel="1" x14ac:dyDescent="0.25">
      <c r="A986" s="3"/>
      <c r="C986" s="4"/>
      <c r="D986" s="180" t="s">
        <v>313</v>
      </c>
      <c r="E986" s="91" t="str">
        <f t="shared" si="141"/>
        <v>Slidell</v>
      </c>
      <c r="F986" s="93" t="str">
        <f t="shared" si="142"/>
        <v>CP953</v>
      </c>
      <c r="G986" s="99" t="str">
        <f t="shared" si="143"/>
        <v>CP953-NEW DONOR -1st</v>
      </c>
      <c r="H986" s="182" t="s">
        <v>36</v>
      </c>
      <c r="I986" s="33" t="s">
        <v>37</v>
      </c>
      <c r="J986" s="60">
        <v>100</v>
      </c>
      <c r="K986" s="61">
        <v>100</v>
      </c>
      <c r="L986" s="60">
        <v>100</v>
      </c>
      <c r="M986" s="60">
        <v>100</v>
      </c>
      <c r="N986" s="60">
        <v>100</v>
      </c>
      <c r="O986" s="60">
        <v>100</v>
      </c>
      <c r="P986" s="60">
        <v>100</v>
      </c>
      <c r="Q986" s="60">
        <v>100</v>
      </c>
      <c r="R986" s="23"/>
      <c r="S986" s="117" t="str">
        <f t="shared" si="139"/>
        <v>N</v>
      </c>
      <c r="T986" s="114">
        <f>IFERROR(SUMIF('Current NLData'!A:A,'Payment Changes'!G986,'Current NLData'!K:K)/COUNTIF('Current NLData'!A:A,'Payment Changes'!G986),0)+IFERROR(VLOOKUP(G986&amp;"-ALL",NLPaymentExport,10,FALSE),0)</f>
        <v>100</v>
      </c>
      <c r="U986" s="118">
        <f t="shared" si="140"/>
        <v>0</v>
      </c>
    </row>
    <row r="987" spans="1:54" ht="17.100000000000001" hidden="1" customHeight="1" outlineLevel="1" x14ac:dyDescent="0.25">
      <c r="A987" s="3"/>
      <c r="C987" s="4"/>
      <c r="D987" s="181"/>
      <c r="E987" s="91" t="str">
        <f t="shared" si="141"/>
        <v>Slidell</v>
      </c>
      <c r="F987" s="93" t="str">
        <f t="shared" si="142"/>
        <v>CP953</v>
      </c>
      <c r="G987" s="99" t="str">
        <f t="shared" si="143"/>
        <v>CP953-NEW DONOR -2nd</v>
      </c>
      <c r="H987" s="182"/>
      <c r="I987" s="34" t="s">
        <v>38</v>
      </c>
      <c r="J987" s="58">
        <v>100</v>
      </c>
      <c r="K987" s="62">
        <v>100</v>
      </c>
      <c r="L987" s="58">
        <v>100</v>
      </c>
      <c r="M987" s="58">
        <v>100</v>
      </c>
      <c r="N987" s="58">
        <v>100</v>
      </c>
      <c r="O987" s="58">
        <v>100</v>
      </c>
      <c r="P987" s="58">
        <v>100</v>
      </c>
      <c r="Q987" s="58">
        <v>100</v>
      </c>
      <c r="R987" s="23"/>
      <c r="S987" s="117" t="str">
        <f t="shared" si="139"/>
        <v>N</v>
      </c>
      <c r="T987" s="114">
        <f>IFERROR(SUMIF('Current NLData'!A:A,'Payment Changes'!G987,'Current NLData'!K:K)/COUNTIF('Current NLData'!A:A,'Payment Changes'!G987),0)+IFERROR(VLOOKUP(G987&amp;"-ALL",NLPaymentExport,10,FALSE),0)</f>
        <v>100</v>
      </c>
      <c r="U987" s="118">
        <f t="shared" si="140"/>
        <v>0</v>
      </c>
    </row>
    <row r="988" spans="1:54" ht="17.100000000000001" hidden="1" customHeight="1" outlineLevel="1" x14ac:dyDescent="0.25">
      <c r="A988" s="3"/>
      <c r="C988" s="4"/>
      <c r="D988" s="181"/>
      <c r="E988" s="91" t="str">
        <f t="shared" si="141"/>
        <v>Slidell</v>
      </c>
      <c r="F988" s="93" t="str">
        <f t="shared" si="142"/>
        <v>CP953</v>
      </c>
      <c r="G988" s="99" t="str">
        <f t="shared" si="143"/>
        <v>CP953-NEW DONOR -3rd</v>
      </c>
      <c r="H988" s="182"/>
      <c r="I988" s="34" t="s">
        <v>39</v>
      </c>
      <c r="J988" s="58">
        <v>45</v>
      </c>
      <c r="K988" s="62">
        <v>45</v>
      </c>
      <c r="L988" s="58">
        <v>45</v>
      </c>
      <c r="M988" s="58">
        <v>100</v>
      </c>
      <c r="N988" s="58">
        <v>100</v>
      </c>
      <c r="O988" s="58">
        <v>100</v>
      </c>
      <c r="P988" s="58">
        <v>100</v>
      </c>
      <c r="Q988" s="58">
        <v>100</v>
      </c>
      <c r="R988" s="23"/>
      <c r="S988" s="117" t="str">
        <f t="shared" si="139"/>
        <v>N</v>
      </c>
      <c r="T988" s="114">
        <f>IFERROR(SUMIF('Current NLData'!A:A,'Payment Changes'!G988,'Current NLData'!K:K)/COUNTIF('Current NLData'!A:A,'Payment Changes'!G988),0)+IFERROR(VLOOKUP(G988&amp;"-ALL",NLPaymentExport,10,FALSE),0)</f>
        <v>100</v>
      </c>
      <c r="U988" s="118">
        <f t="shared" si="140"/>
        <v>0</v>
      </c>
    </row>
    <row r="989" spans="1:54" ht="17.100000000000001" hidden="1" customHeight="1" outlineLevel="1" x14ac:dyDescent="0.25">
      <c r="A989" s="3"/>
      <c r="C989" s="4"/>
      <c r="D989" s="181"/>
      <c r="E989" s="91" t="str">
        <f t="shared" si="141"/>
        <v>Slidell</v>
      </c>
      <c r="F989" s="93" t="str">
        <f t="shared" si="142"/>
        <v>CP953</v>
      </c>
      <c r="G989" s="99" t="str">
        <f t="shared" si="143"/>
        <v>CP953-NEW DONOR -4th</v>
      </c>
      <c r="H989" s="182"/>
      <c r="I989" s="34" t="s">
        <v>40</v>
      </c>
      <c r="J989" s="58">
        <v>45</v>
      </c>
      <c r="K989" s="62">
        <v>80</v>
      </c>
      <c r="L989" s="58">
        <v>45</v>
      </c>
      <c r="M989" s="58">
        <v>100</v>
      </c>
      <c r="N989" s="58">
        <v>100</v>
      </c>
      <c r="O989" s="58">
        <v>100</v>
      </c>
      <c r="P989" s="58">
        <v>100</v>
      </c>
      <c r="Q989" s="58">
        <v>100</v>
      </c>
      <c r="R989" s="23"/>
      <c r="S989" s="117" t="str">
        <f t="shared" si="139"/>
        <v>N</v>
      </c>
      <c r="T989" s="114">
        <f>IFERROR(SUMIF('Current NLData'!A:A,'Payment Changes'!G989,'Current NLData'!K:K)/COUNTIF('Current NLData'!A:A,'Payment Changes'!G989),0)+IFERROR(VLOOKUP(G989&amp;"-ALL",NLPaymentExport,10,FALSE),0)</f>
        <v>100</v>
      </c>
      <c r="U989" s="118">
        <f t="shared" si="140"/>
        <v>0</v>
      </c>
    </row>
    <row r="990" spans="1:54" ht="17.100000000000001" hidden="1" customHeight="1" outlineLevel="1" x14ac:dyDescent="0.25">
      <c r="A990" s="3"/>
      <c r="C990" s="4"/>
      <c r="D990" s="181"/>
      <c r="E990" s="91" t="str">
        <f t="shared" si="141"/>
        <v>Slidell</v>
      </c>
      <c r="F990" s="93" t="str">
        <f t="shared" si="142"/>
        <v>CP953</v>
      </c>
      <c r="G990" s="99" t="str">
        <f t="shared" si="143"/>
        <v>CP953-NEW DONOR -5th</v>
      </c>
      <c r="H990" s="182"/>
      <c r="I990" s="34" t="s">
        <v>41</v>
      </c>
      <c r="J990" s="58">
        <v>45</v>
      </c>
      <c r="K990" s="62">
        <v>45</v>
      </c>
      <c r="L990" s="58">
        <v>45</v>
      </c>
      <c r="M990" s="58">
        <v>45</v>
      </c>
      <c r="N990" s="58">
        <v>45</v>
      </c>
      <c r="O990" s="58">
        <v>45</v>
      </c>
      <c r="P990" s="58">
        <v>45</v>
      </c>
      <c r="Q990" s="58">
        <v>45</v>
      </c>
      <c r="R990" s="23"/>
      <c r="S990" s="117" t="str">
        <f t="shared" si="139"/>
        <v>N</v>
      </c>
      <c r="T990" s="114">
        <f>IFERROR(SUMIF('Current NLData'!A:A,'Payment Changes'!G990,'Current NLData'!K:K)/COUNTIF('Current NLData'!A:A,'Payment Changes'!G990),0)+IFERROR(VLOOKUP(G990&amp;"-ALL",NLPaymentExport,10,FALSE),0)</f>
        <v>45</v>
      </c>
      <c r="U990" s="118">
        <f t="shared" si="140"/>
        <v>0</v>
      </c>
    </row>
    <row r="991" spans="1:54" ht="17.100000000000001" hidden="1" customHeight="1" outlineLevel="1" x14ac:dyDescent="0.25">
      <c r="A991" s="3"/>
      <c r="C991" s="4"/>
      <c r="D991" s="181"/>
      <c r="E991" s="91" t="str">
        <f t="shared" si="141"/>
        <v>Slidell</v>
      </c>
      <c r="F991" s="93" t="str">
        <f t="shared" si="142"/>
        <v>CP953</v>
      </c>
      <c r="G991" s="99" t="str">
        <f t="shared" si="143"/>
        <v>CP953-NEW DONOR -6th</v>
      </c>
      <c r="H991" s="182"/>
      <c r="I991" s="34" t="s">
        <v>42</v>
      </c>
      <c r="J991" s="58">
        <v>45</v>
      </c>
      <c r="K991" s="62">
        <v>80</v>
      </c>
      <c r="L991" s="58">
        <v>45</v>
      </c>
      <c r="M991" s="58">
        <v>45</v>
      </c>
      <c r="N991" s="58">
        <v>45</v>
      </c>
      <c r="O991" s="58">
        <v>45</v>
      </c>
      <c r="P991" s="58">
        <v>45</v>
      </c>
      <c r="Q991" s="58">
        <v>45</v>
      </c>
      <c r="R991" s="23"/>
      <c r="S991" s="117" t="str">
        <f t="shared" si="139"/>
        <v>N</v>
      </c>
      <c r="T991" s="114">
        <f>IFERROR(SUMIF('Current NLData'!A:A,'Payment Changes'!G991,'Current NLData'!K:K)/COUNTIF('Current NLData'!A:A,'Payment Changes'!G991),0)+IFERROR(VLOOKUP(G991&amp;"-ALL",NLPaymentExport,10,FALSE),0)</f>
        <v>45</v>
      </c>
      <c r="U991" s="118">
        <f t="shared" si="140"/>
        <v>0</v>
      </c>
    </row>
    <row r="992" spans="1:54" ht="17.100000000000001" hidden="1" customHeight="1" outlineLevel="1" x14ac:dyDescent="0.25">
      <c r="A992" s="3"/>
      <c r="C992" s="4"/>
      <c r="D992" s="181"/>
      <c r="E992" s="91" t="str">
        <f t="shared" si="141"/>
        <v>Slidell</v>
      </c>
      <c r="F992" s="93" t="str">
        <f t="shared" si="142"/>
        <v>CP953</v>
      </c>
      <c r="G992" s="99" t="str">
        <f t="shared" si="143"/>
        <v>CP953-NEW DONOR -7th</v>
      </c>
      <c r="H992" s="182"/>
      <c r="I992" s="34" t="s">
        <v>43</v>
      </c>
      <c r="J992" s="58">
        <v>45</v>
      </c>
      <c r="K992" s="62">
        <v>45</v>
      </c>
      <c r="L992" s="58">
        <v>45</v>
      </c>
      <c r="M992" s="58">
        <v>45</v>
      </c>
      <c r="N992" s="58">
        <v>45</v>
      </c>
      <c r="O992" s="58">
        <v>45</v>
      </c>
      <c r="P992" s="58">
        <v>45</v>
      </c>
      <c r="Q992" s="58">
        <v>45</v>
      </c>
      <c r="R992" s="23"/>
      <c r="S992" s="117" t="str">
        <f t="shared" si="139"/>
        <v>N</v>
      </c>
      <c r="T992" s="114">
        <f>IFERROR(SUMIF('Current NLData'!A:A,'Payment Changes'!G992,'Current NLData'!K:K)/COUNTIF('Current NLData'!A:A,'Payment Changes'!G992),0)+IFERROR(VLOOKUP(G992&amp;"-ALL",NLPaymentExport,10,FALSE),0)</f>
        <v>45</v>
      </c>
      <c r="U992" s="118">
        <f t="shared" si="140"/>
        <v>0</v>
      </c>
    </row>
    <row r="993" spans="1:54" ht="17.100000000000001" hidden="1" customHeight="1" outlineLevel="1" x14ac:dyDescent="0.25">
      <c r="A993" s="3"/>
      <c r="C993" s="4"/>
      <c r="D993" s="181"/>
      <c r="E993" s="91" t="str">
        <f t="shared" si="141"/>
        <v>Slidell</v>
      </c>
      <c r="F993" s="93" t="str">
        <f t="shared" si="142"/>
        <v>CP953</v>
      </c>
      <c r="G993" s="99" t="str">
        <f t="shared" si="143"/>
        <v>CP953-NEW DONOR -8th</v>
      </c>
      <c r="H993" s="182"/>
      <c r="I993" s="35" t="s">
        <v>44</v>
      </c>
      <c r="J993" s="63">
        <v>45</v>
      </c>
      <c r="K993" s="64">
        <v>80</v>
      </c>
      <c r="L993" s="63">
        <v>45</v>
      </c>
      <c r="M993" s="63">
        <v>45</v>
      </c>
      <c r="N993" s="63">
        <v>45</v>
      </c>
      <c r="O993" s="63">
        <v>45</v>
      </c>
      <c r="P993" s="63">
        <v>45</v>
      </c>
      <c r="Q993" s="63">
        <v>45</v>
      </c>
      <c r="R993" s="23"/>
      <c r="S993" s="117" t="str">
        <f t="shared" si="139"/>
        <v>N</v>
      </c>
      <c r="T993" s="114">
        <f>IFERROR(SUMIF('Current NLData'!A:A,'Payment Changes'!G993,'Current NLData'!K:K)/COUNTIF('Current NLData'!A:A,'Payment Changes'!G993),0)+IFERROR(VLOOKUP(G993&amp;"-ALL",NLPaymentExport,10,FALSE),0)</f>
        <v>45</v>
      </c>
      <c r="U993" s="118">
        <f t="shared" si="140"/>
        <v>0</v>
      </c>
    </row>
    <row r="994" spans="1:54" ht="17.100000000000001" hidden="1" customHeight="1" outlineLevel="1" x14ac:dyDescent="0.25">
      <c r="A994" s="3"/>
      <c r="C994" s="4"/>
      <c r="D994" s="181"/>
      <c r="E994" s="91" t="str">
        <f t="shared" si="141"/>
        <v>Slidell</v>
      </c>
      <c r="F994" s="93" t="str">
        <f t="shared" si="142"/>
        <v>CP953</v>
      </c>
      <c r="G994" s="99" t="str">
        <f t="shared" si="143"/>
        <v>CP953-RETURN - 1st don of the week -STD</v>
      </c>
      <c r="H994" s="182"/>
      <c r="I994" s="36" t="s">
        <v>45</v>
      </c>
      <c r="J994" s="58">
        <v>45</v>
      </c>
      <c r="K994" s="58">
        <v>45</v>
      </c>
      <c r="L994" s="58">
        <v>45</v>
      </c>
      <c r="M994" s="58">
        <v>45</v>
      </c>
      <c r="N994" s="58">
        <v>45</v>
      </c>
      <c r="O994" s="58">
        <v>45</v>
      </c>
      <c r="P994" s="58">
        <v>45</v>
      </c>
      <c r="Q994" s="58">
        <v>45</v>
      </c>
      <c r="R994" s="22"/>
      <c r="S994" s="117" t="str">
        <f t="shared" si="139"/>
        <v>N</v>
      </c>
      <c r="T994" s="114">
        <f>IFERROR(SUMIF('Current NLData'!A:A,'Payment Changes'!G994,'Current NLData'!K:K)/COUNTIF('Current NLData'!A:A,'Payment Changes'!G994),0)+IFERROR(VLOOKUP(G994&amp;"-ALL",NLPaymentExport,10,FALSE),0)</f>
        <v>45</v>
      </c>
      <c r="U994" s="118">
        <f t="shared" si="140"/>
        <v>0</v>
      </c>
    </row>
    <row r="995" spans="1:54" ht="17.100000000000001" hidden="1" customHeight="1" outlineLevel="1" x14ac:dyDescent="0.25">
      <c r="A995" s="3"/>
      <c r="C995" s="4"/>
      <c r="D995" s="181"/>
      <c r="E995" s="91" t="str">
        <f t="shared" si="141"/>
        <v>Slidell</v>
      </c>
      <c r="F995" s="93" t="str">
        <f t="shared" si="142"/>
        <v>CP953</v>
      </c>
      <c r="G995" s="99" t="str">
        <f t="shared" si="143"/>
        <v>CP953-RETURN - 2nd don of the week -BONUS</v>
      </c>
      <c r="H995" s="182"/>
      <c r="I995" s="36" t="s">
        <v>46</v>
      </c>
      <c r="J995" s="58">
        <v>35</v>
      </c>
      <c r="K995" s="58">
        <v>35</v>
      </c>
      <c r="L995" s="58">
        <v>35</v>
      </c>
      <c r="M995" s="58">
        <v>35</v>
      </c>
      <c r="N995" s="58">
        <v>35</v>
      </c>
      <c r="O995" s="58">
        <v>35</v>
      </c>
      <c r="P995" s="58">
        <v>35</v>
      </c>
      <c r="Q995" s="58">
        <v>35</v>
      </c>
      <c r="R995" s="22"/>
      <c r="S995" s="117" t="str">
        <f t="shared" si="139"/>
        <v>N</v>
      </c>
      <c r="T995" s="114">
        <f>IFERROR(SUMIF('Current NLData'!A:A,'Payment Changes'!G995,'Current NLData'!K:K)/COUNTIF('Current NLData'!A:A,'Payment Changes'!G995),0)+IFERROR(VLOOKUP(G995&amp;"-ALL",NLPaymentExport,10,FALSE),0)</f>
        <v>35</v>
      </c>
      <c r="U995" s="118">
        <f t="shared" si="140"/>
        <v>0</v>
      </c>
    </row>
    <row r="996" spans="1:54" ht="17.100000000000001" hidden="1" customHeight="1" outlineLevel="1" x14ac:dyDescent="0.25">
      <c r="A996" s="3"/>
      <c r="C996" s="4"/>
      <c r="D996" s="181"/>
      <c r="E996" s="91" t="str">
        <f t="shared" si="141"/>
        <v>Slidell</v>
      </c>
      <c r="F996" s="93" t="str">
        <f t="shared" si="142"/>
        <v>CP953</v>
      </c>
      <c r="G996" s="99" t="str">
        <f t="shared" si="143"/>
        <v>CP953-RETURN - 5th don of the month -BONUS</v>
      </c>
      <c r="H996" s="182"/>
      <c r="I996" s="37" t="s">
        <v>47</v>
      </c>
      <c r="J996" s="65">
        <v>0</v>
      </c>
      <c r="K996" s="65">
        <v>0</v>
      </c>
      <c r="L996" s="65">
        <v>0</v>
      </c>
      <c r="M996" s="65">
        <v>0</v>
      </c>
      <c r="N996" s="65">
        <v>0</v>
      </c>
      <c r="O996" s="65">
        <v>0</v>
      </c>
      <c r="P996" s="65">
        <v>0</v>
      </c>
      <c r="Q996" s="65">
        <v>0</v>
      </c>
      <c r="R996" s="22"/>
      <c r="S996" s="117" t="str">
        <f t="shared" si="139"/>
        <v>N</v>
      </c>
      <c r="T996" s="114">
        <f>IFERROR(SUMIF('Current NLData'!A:A,'Payment Changes'!G996,'Current NLData'!K:K)/COUNTIF('Current NLData'!A:A,'Payment Changes'!G996),0)+IFERROR(VLOOKUP(G996&amp;"-ALL",NLPaymentExport,10,FALSE),0)</f>
        <v>0</v>
      </c>
      <c r="U996" s="118">
        <f t="shared" si="140"/>
        <v>0</v>
      </c>
    </row>
    <row r="997" spans="1:54" ht="17.100000000000001" hidden="1" customHeight="1" outlineLevel="1" x14ac:dyDescent="0.25">
      <c r="A997" s="3"/>
      <c r="C997" s="4"/>
      <c r="D997" s="181"/>
      <c r="E997" s="91" t="str">
        <f t="shared" si="141"/>
        <v>Slidell</v>
      </c>
      <c r="F997" s="93" t="str">
        <f t="shared" si="142"/>
        <v>CP953</v>
      </c>
      <c r="G997" s="99" t="str">
        <f t="shared" si="143"/>
        <v>CP953-RETURN - 6th don of the month -BONUS</v>
      </c>
      <c r="H997" s="182"/>
      <c r="I997" s="38" t="s">
        <v>48</v>
      </c>
      <c r="J997" s="58">
        <v>0</v>
      </c>
      <c r="K997" s="58">
        <v>0</v>
      </c>
      <c r="L997" s="58">
        <v>0</v>
      </c>
      <c r="M997" s="58">
        <v>0</v>
      </c>
      <c r="N997" s="58">
        <v>0</v>
      </c>
      <c r="O997" s="58">
        <v>0</v>
      </c>
      <c r="P997" s="58">
        <v>0</v>
      </c>
      <c r="Q997" s="58">
        <v>0</v>
      </c>
      <c r="R997" s="22"/>
      <c r="S997" s="117" t="str">
        <f t="shared" si="139"/>
        <v>N</v>
      </c>
      <c r="T997" s="114">
        <f>IFERROR(SUMIF('Current NLData'!A:A,'Payment Changes'!G997,'Current NLData'!K:K)/COUNTIF('Current NLData'!A:A,'Payment Changes'!G997),0)+IFERROR(VLOOKUP(G997&amp;"-ALL",NLPaymentExport,10,FALSE),0)</f>
        <v>0</v>
      </c>
      <c r="U997" s="118">
        <f t="shared" si="140"/>
        <v>0</v>
      </c>
    </row>
    <row r="998" spans="1:54" ht="17.100000000000001" hidden="1" customHeight="1" outlineLevel="1" x14ac:dyDescent="0.25">
      <c r="A998" s="3"/>
      <c r="C998" s="4"/>
      <c r="D998" s="181"/>
      <c r="E998" s="91" t="str">
        <f t="shared" si="141"/>
        <v>Slidell</v>
      </c>
      <c r="F998" s="93" t="str">
        <f t="shared" si="142"/>
        <v>CP953</v>
      </c>
      <c r="G998" s="99" t="str">
        <f t="shared" si="143"/>
        <v>CP953-RETURN - 7th don of the month -BONUS</v>
      </c>
      <c r="H998" s="182"/>
      <c r="I998" s="38" t="s">
        <v>49</v>
      </c>
      <c r="J998" s="58">
        <v>0</v>
      </c>
      <c r="K998" s="58">
        <v>0</v>
      </c>
      <c r="L998" s="58">
        <v>0</v>
      </c>
      <c r="M998" s="58">
        <v>0</v>
      </c>
      <c r="N998" s="58">
        <v>0</v>
      </c>
      <c r="O998" s="58">
        <v>0</v>
      </c>
      <c r="P998" s="58">
        <v>0</v>
      </c>
      <c r="Q998" s="58">
        <v>0</v>
      </c>
      <c r="R998" s="22"/>
      <c r="S998" s="117" t="str">
        <f t="shared" si="139"/>
        <v>N</v>
      </c>
      <c r="T998" s="114">
        <f>IFERROR(SUMIF('Current NLData'!A:A,'Payment Changes'!G998,'Current NLData'!K:K)/COUNTIF('Current NLData'!A:A,'Payment Changes'!G998),0)+IFERROR(VLOOKUP(G998&amp;"-ALL",NLPaymentExport,10,FALSE),0)</f>
        <v>0</v>
      </c>
      <c r="U998" s="118">
        <f t="shared" si="140"/>
        <v>0</v>
      </c>
    </row>
    <row r="999" spans="1:54" ht="17.100000000000001" hidden="1" customHeight="1" outlineLevel="1" x14ac:dyDescent="0.25">
      <c r="A999" s="3"/>
      <c r="C999" s="4"/>
      <c r="D999" s="181"/>
      <c r="E999" s="91" t="str">
        <f t="shared" si="141"/>
        <v>Slidell</v>
      </c>
      <c r="F999" s="93" t="str">
        <f t="shared" si="142"/>
        <v>CP953</v>
      </c>
      <c r="G999" s="99" t="str">
        <f t="shared" si="143"/>
        <v>CP953-RETURN - 8th don of the month -BONUS</v>
      </c>
      <c r="H999" s="182"/>
      <c r="I999" s="38" t="s">
        <v>50</v>
      </c>
      <c r="J999" s="58">
        <v>0</v>
      </c>
      <c r="K999" s="58">
        <v>0</v>
      </c>
      <c r="L999" s="58">
        <v>0</v>
      </c>
      <c r="M999" s="58">
        <v>0</v>
      </c>
      <c r="N999" s="58">
        <v>0</v>
      </c>
      <c r="O999" s="58">
        <v>0</v>
      </c>
      <c r="P999" s="58">
        <v>0</v>
      </c>
      <c r="Q999" s="58">
        <v>0</v>
      </c>
      <c r="R999" s="22"/>
      <c r="S999" s="117" t="str">
        <f t="shared" si="139"/>
        <v>N</v>
      </c>
      <c r="T999" s="114">
        <f>IFERROR(SUMIF('Current NLData'!A:A,'Payment Changes'!G999,'Current NLData'!K:K)/COUNTIF('Current NLData'!A:A,'Payment Changes'!G999),0)+IFERROR(VLOOKUP(G999&amp;"-ALL",NLPaymentExport,10,FALSE),0)</f>
        <v>0</v>
      </c>
      <c r="U999" s="118">
        <f t="shared" si="140"/>
        <v>0</v>
      </c>
    </row>
    <row r="1000" spans="1:54" ht="17.100000000000001" hidden="1" customHeight="1" outlineLevel="1" x14ac:dyDescent="0.25">
      <c r="A1000" s="3"/>
      <c r="C1000" s="4" t="str">
        <f>IF(J1000=0,"Warning","")</f>
        <v/>
      </c>
      <c r="D1000" s="181"/>
      <c r="E1000" s="91" t="str">
        <f t="shared" si="141"/>
        <v>Slidell</v>
      </c>
      <c r="F1000" s="93" t="str">
        <f t="shared" si="142"/>
        <v>CP953</v>
      </c>
      <c r="G1000" s="99" t="str">
        <f t="shared" si="143"/>
        <v>CP953-RETURN - Buddy referral  -BONUS</v>
      </c>
      <c r="H1000" s="182"/>
      <c r="I1000" s="39" t="s">
        <v>51</v>
      </c>
      <c r="J1000" s="58">
        <v>50</v>
      </c>
      <c r="K1000" s="58">
        <v>50</v>
      </c>
      <c r="L1000" s="58">
        <v>0</v>
      </c>
      <c r="M1000" s="58">
        <v>0</v>
      </c>
      <c r="N1000" s="58">
        <v>0</v>
      </c>
      <c r="O1000" s="58">
        <v>50</v>
      </c>
      <c r="P1000" s="58">
        <v>50</v>
      </c>
      <c r="Q1000" s="58">
        <v>50</v>
      </c>
      <c r="R1000" s="22"/>
      <c r="S1000" s="117" t="str">
        <f t="shared" si="139"/>
        <v>N</v>
      </c>
      <c r="T1000" s="114">
        <f>IFERROR(SUMIF('Current NLData'!A:A,'Payment Changes'!G1000,'Current NLData'!K:K)/COUNTIF('Current NLData'!A:A,'Payment Changes'!G1000),0)+IFERROR(VLOOKUP(G1000&amp;"-ALL",NLPaymentExport,10,FALSE),0)</f>
        <v>50</v>
      </c>
      <c r="U1000" s="118">
        <f t="shared" si="140"/>
        <v>0</v>
      </c>
    </row>
    <row r="1001" spans="1:54" s="90" customFormat="1" ht="17.100000000000001" hidden="1" customHeight="1" collapsed="1" x14ac:dyDescent="0.35">
      <c r="A1001" s="85"/>
      <c r="B1001" s="85"/>
      <c r="C1001" s="86"/>
      <c r="D1001" s="87"/>
      <c r="E1001" s="87"/>
      <c r="F1001" s="87"/>
      <c r="G1001" s="87"/>
      <c r="H1001" s="96"/>
      <c r="I1001" s="88"/>
      <c r="J1001" s="89"/>
      <c r="K1001" s="89"/>
      <c r="L1001" s="89"/>
      <c r="M1001" s="89"/>
      <c r="N1001" s="89"/>
      <c r="O1001" s="89"/>
      <c r="P1001" s="89"/>
      <c r="Q1001" s="89"/>
      <c r="R1001" s="21"/>
      <c r="S1001" s="117" t="str">
        <f t="shared" si="139"/>
        <v>N</v>
      </c>
      <c r="T1001" s="114">
        <f>IFERROR(SUMIF('Current NLData'!A:A,'Payment Changes'!G1001,'Current NLData'!K:K)/COUNTIF('Current NLData'!A:A,'Payment Changes'!G1001),0)+IFERROR(VLOOKUP(G1001&amp;"-ALL",NLPaymentExport,10,FALSE),0)</f>
        <v>0</v>
      </c>
      <c r="U1001" s="118" t="str">
        <f t="shared" si="140"/>
        <v/>
      </c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</row>
    <row r="1002" spans="1:54" s="10" customFormat="1" ht="17.100000000000001" hidden="1" customHeight="1" x14ac:dyDescent="0.25">
      <c r="A1002" s="165">
        <v>51</v>
      </c>
      <c r="B1002" s="168" t="s">
        <v>318</v>
      </c>
      <c r="C1002" s="171" t="s">
        <v>53</v>
      </c>
      <c r="D1002" s="174" t="s">
        <v>157</v>
      </c>
      <c r="E1002" s="106" t="str">
        <f t="shared" si="141"/>
        <v>Grand Junction</v>
      </c>
      <c r="F1002" s="107" t="s">
        <v>319</v>
      </c>
      <c r="G1002" s="108" t="str">
        <f t="shared" ref="G1002:G1020" si="144">F1002&amp;"-"&amp;I1002</f>
        <v>CP573-New Donor</v>
      </c>
      <c r="H1002" s="177" t="s">
        <v>147</v>
      </c>
      <c r="I1002" s="76" t="s">
        <v>23</v>
      </c>
      <c r="J1002" s="40" t="s">
        <v>320</v>
      </c>
      <c r="K1002" s="41" t="s">
        <v>321</v>
      </c>
      <c r="L1002" s="41" t="s">
        <v>320</v>
      </c>
      <c r="M1002" s="42" t="s">
        <v>320</v>
      </c>
      <c r="N1002" s="40" t="s">
        <v>320</v>
      </c>
      <c r="O1002" s="40" t="s">
        <v>320</v>
      </c>
      <c r="P1002" s="40" t="s">
        <v>320</v>
      </c>
      <c r="Q1002" s="40" t="s">
        <v>320</v>
      </c>
      <c r="R1002" s="109"/>
      <c r="S1002" s="117" t="str">
        <f t="shared" si="139"/>
        <v>N</v>
      </c>
      <c r="T1002" s="114">
        <f>IFERROR(SUMIF('Current NLData'!A:A,'Payment Changes'!G1002,'Current NLData'!K:K)/COUNTIF('Current NLData'!A:A,'Payment Changes'!G1002),0)+IFERROR(VLOOKUP(G1002&amp;"-ALL",NLPaymentExport,10,FALSE),0)</f>
        <v>0</v>
      </c>
      <c r="U1002" s="118" t="str">
        <f t="shared" si="140"/>
        <v/>
      </c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</row>
    <row r="1003" spans="1:54" ht="17.100000000000001" hidden="1" customHeight="1" x14ac:dyDescent="0.25">
      <c r="A1003" s="166"/>
      <c r="B1003" s="169"/>
      <c r="C1003" s="172"/>
      <c r="D1003" s="175"/>
      <c r="E1003" s="91" t="str">
        <f t="shared" si="141"/>
        <v>Grand Junction</v>
      </c>
      <c r="F1003" s="92" t="s">
        <v>319</v>
      </c>
      <c r="G1003" s="98" t="str">
        <f t="shared" si="144"/>
        <v>CP573-Return Donor</v>
      </c>
      <c r="H1003" s="178"/>
      <c r="I1003" s="77" t="s">
        <v>29</v>
      </c>
      <c r="J1003" s="43" t="s">
        <v>322</v>
      </c>
      <c r="K1003" s="43" t="s">
        <v>322</v>
      </c>
      <c r="L1003" s="44" t="s">
        <v>322</v>
      </c>
      <c r="M1003" s="45" t="s">
        <v>322</v>
      </c>
      <c r="N1003" s="43" t="s">
        <v>322</v>
      </c>
      <c r="O1003" s="43" t="s">
        <v>322</v>
      </c>
      <c r="P1003" s="43" t="s">
        <v>322</v>
      </c>
      <c r="Q1003" s="43" t="s">
        <v>322</v>
      </c>
      <c r="R1003" s="21"/>
      <c r="S1003" s="117" t="str">
        <f t="shared" si="139"/>
        <v>N</v>
      </c>
      <c r="T1003" s="114">
        <f>IFERROR(SUMIF('Current NLData'!A:A,'Payment Changes'!G1003,'Current NLData'!K:K)/COUNTIF('Current NLData'!A:A,'Payment Changes'!G1003),0)+IFERROR(VLOOKUP(G1003&amp;"-ALL",NLPaymentExport,10,FALSE),0)</f>
        <v>0</v>
      </c>
      <c r="U1003" s="118" t="str">
        <f t="shared" si="140"/>
        <v/>
      </c>
    </row>
    <row r="1004" spans="1:54" ht="17.100000000000001" hidden="1" customHeight="1" x14ac:dyDescent="0.25">
      <c r="A1004" s="166"/>
      <c r="B1004" s="169"/>
      <c r="C1004" s="172"/>
      <c r="D1004" s="175"/>
      <c r="E1004" s="91" t="str">
        <f t="shared" si="141"/>
        <v>Grand Junction</v>
      </c>
      <c r="F1004" s="92" t="s">
        <v>319</v>
      </c>
      <c r="G1004" s="98" t="str">
        <f t="shared" si="144"/>
        <v>CP573-Retention Bonus</v>
      </c>
      <c r="H1004" s="178"/>
      <c r="I1004" s="78" t="s">
        <v>30</v>
      </c>
      <c r="J1004" s="46" t="s">
        <v>163</v>
      </c>
      <c r="K1004" s="46" t="s">
        <v>163</v>
      </c>
      <c r="L1004" s="47" t="s">
        <v>323</v>
      </c>
      <c r="M1004" s="48" t="s">
        <v>323</v>
      </c>
      <c r="N1004" s="46" t="s">
        <v>323</v>
      </c>
      <c r="O1004" s="46" t="s">
        <v>323</v>
      </c>
      <c r="P1004" s="46" t="s">
        <v>323</v>
      </c>
      <c r="Q1004" s="46" t="s">
        <v>323</v>
      </c>
      <c r="R1004" s="21"/>
      <c r="S1004" s="117" t="str">
        <f t="shared" si="139"/>
        <v>N</v>
      </c>
      <c r="T1004" s="114">
        <f>IFERROR(SUMIF('Current NLData'!A:A,'Payment Changes'!G1004,'Current NLData'!K:K)/COUNTIF('Current NLData'!A:A,'Payment Changes'!G1004),0)+IFERROR(VLOOKUP(G1004&amp;"-ALL",NLPaymentExport,10,FALSE),0)</f>
        <v>0</v>
      </c>
      <c r="U1004" s="118" t="str">
        <f t="shared" si="140"/>
        <v/>
      </c>
    </row>
    <row r="1005" spans="1:54" s="15" customFormat="1" ht="17.100000000000001" hidden="1" customHeight="1" x14ac:dyDescent="0.25">
      <c r="A1005" s="167"/>
      <c r="B1005" s="170"/>
      <c r="C1005" s="173"/>
      <c r="D1005" s="176"/>
      <c r="E1005" s="110" t="str">
        <f t="shared" si="141"/>
        <v>Grand Junction</v>
      </c>
      <c r="F1005" s="111" t="s">
        <v>319</v>
      </c>
      <c r="G1005" s="112" t="str">
        <f t="shared" si="144"/>
        <v>CP573-Referral</v>
      </c>
      <c r="H1005" s="179"/>
      <c r="I1005" s="79" t="s">
        <v>34</v>
      </c>
      <c r="J1005" s="49">
        <v>50</v>
      </c>
      <c r="K1005" s="49">
        <v>50</v>
      </c>
      <c r="L1005" s="50">
        <v>50</v>
      </c>
      <c r="M1005" s="51">
        <v>50</v>
      </c>
      <c r="N1005" s="49">
        <v>50</v>
      </c>
      <c r="O1005" s="49">
        <v>50</v>
      </c>
      <c r="P1005" s="49">
        <v>50</v>
      </c>
      <c r="Q1005" s="49">
        <v>75</v>
      </c>
      <c r="R1005" s="113"/>
      <c r="S1005" s="117" t="str">
        <f t="shared" si="139"/>
        <v>Y</v>
      </c>
      <c r="T1005" s="114">
        <f>IFERROR(SUMIF('Current NLData'!A:A,'Payment Changes'!G1005,'Current NLData'!K:K)/COUNTIF('Current NLData'!A:A,'Payment Changes'!G1005),0)+IFERROR(VLOOKUP(G1005&amp;"-ALL",NLPaymentExport,10,FALSE),0)</f>
        <v>0</v>
      </c>
      <c r="U1005" s="118" t="str">
        <f t="shared" si="140"/>
        <v/>
      </c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</row>
    <row r="1006" spans="1:54" ht="17.100000000000001" hidden="1" customHeight="1" outlineLevel="1" x14ac:dyDescent="0.25">
      <c r="A1006" s="3"/>
      <c r="C1006" s="4"/>
      <c r="D1006" s="180" t="s">
        <v>319</v>
      </c>
      <c r="E1006" s="91" t="str">
        <f t="shared" si="141"/>
        <v>Grand Junction</v>
      </c>
      <c r="F1006" s="93" t="str">
        <f t="shared" si="142"/>
        <v>CP573</v>
      </c>
      <c r="G1006" s="99" t="str">
        <f t="shared" si="144"/>
        <v>CP573-NEW DONOR -1st</v>
      </c>
      <c r="H1006" s="182" t="s">
        <v>36</v>
      </c>
      <c r="I1006" s="33" t="s">
        <v>37</v>
      </c>
      <c r="J1006" s="60">
        <v>100</v>
      </c>
      <c r="K1006" s="61">
        <v>100</v>
      </c>
      <c r="L1006" s="60">
        <v>100</v>
      </c>
      <c r="M1006" s="60">
        <v>100</v>
      </c>
      <c r="N1006" s="60">
        <v>100</v>
      </c>
      <c r="O1006" s="60">
        <v>100</v>
      </c>
      <c r="P1006" s="60">
        <v>100</v>
      </c>
      <c r="Q1006" s="60">
        <v>100</v>
      </c>
      <c r="R1006" s="23"/>
      <c r="S1006" s="117" t="str">
        <f t="shared" si="139"/>
        <v>N</v>
      </c>
      <c r="T1006" s="114">
        <f>IFERROR(SUMIF('Current NLData'!A:A,'Payment Changes'!G1006,'Current NLData'!K:K)/COUNTIF('Current NLData'!A:A,'Payment Changes'!G1006),0)+IFERROR(VLOOKUP(G1006&amp;"-ALL",NLPaymentExport,10,FALSE),0)</f>
        <v>100</v>
      </c>
      <c r="U1006" s="118">
        <f t="shared" si="140"/>
        <v>0</v>
      </c>
    </row>
    <row r="1007" spans="1:54" ht="17.100000000000001" hidden="1" customHeight="1" outlineLevel="1" x14ac:dyDescent="0.25">
      <c r="A1007" s="3"/>
      <c r="C1007" s="4"/>
      <c r="D1007" s="181"/>
      <c r="E1007" s="91" t="str">
        <f t="shared" si="141"/>
        <v>Grand Junction</v>
      </c>
      <c r="F1007" s="93" t="str">
        <f t="shared" si="142"/>
        <v>CP573</v>
      </c>
      <c r="G1007" s="99" t="str">
        <f t="shared" si="144"/>
        <v>CP573-NEW DONOR -2nd</v>
      </c>
      <c r="H1007" s="182"/>
      <c r="I1007" s="34" t="s">
        <v>38</v>
      </c>
      <c r="J1007" s="58">
        <v>100</v>
      </c>
      <c r="K1007" s="62">
        <v>100</v>
      </c>
      <c r="L1007" s="58">
        <v>100</v>
      </c>
      <c r="M1007" s="58">
        <v>100</v>
      </c>
      <c r="N1007" s="58">
        <v>100</v>
      </c>
      <c r="O1007" s="58">
        <v>100</v>
      </c>
      <c r="P1007" s="58">
        <v>100</v>
      </c>
      <c r="Q1007" s="58">
        <v>100</v>
      </c>
      <c r="R1007" s="23"/>
      <c r="S1007" s="117" t="str">
        <f t="shared" si="139"/>
        <v>N</v>
      </c>
      <c r="T1007" s="114">
        <f>IFERROR(SUMIF('Current NLData'!A:A,'Payment Changes'!G1007,'Current NLData'!K:K)/COUNTIF('Current NLData'!A:A,'Payment Changes'!G1007),0)+IFERROR(VLOOKUP(G1007&amp;"-ALL",NLPaymentExport,10,FALSE),0)</f>
        <v>100</v>
      </c>
      <c r="U1007" s="118">
        <f t="shared" si="140"/>
        <v>0</v>
      </c>
    </row>
    <row r="1008" spans="1:54" ht="17.100000000000001" hidden="1" customHeight="1" outlineLevel="1" x14ac:dyDescent="0.25">
      <c r="A1008" s="3"/>
      <c r="C1008" s="4"/>
      <c r="D1008" s="181"/>
      <c r="E1008" s="91" t="str">
        <f t="shared" si="141"/>
        <v>Grand Junction</v>
      </c>
      <c r="F1008" s="93" t="str">
        <f t="shared" si="142"/>
        <v>CP573</v>
      </c>
      <c r="G1008" s="99" t="str">
        <f t="shared" si="144"/>
        <v>CP573-NEW DONOR -3rd</v>
      </c>
      <c r="H1008" s="182"/>
      <c r="I1008" s="34" t="s">
        <v>39</v>
      </c>
      <c r="J1008" s="58">
        <v>50</v>
      </c>
      <c r="K1008" s="62">
        <v>50</v>
      </c>
      <c r="L1008" s="58">
        <v>50</v>
      </c>
      <c r="M1008" s="58">
        <v>50</v>
      </c>
      <c r="N1008" s="58">
        <v>50</v>
      </c>
      <c r="O1008" s="58">
        <v>50</v>
      </c>
      <c r="P1008" s="58">
        <v>50</v>
      </c>
      <c r="Q1008" s="58">
        <v>50</v>
      </c>
      <c r="R1008" s="23"/>
      <c r="S1008" s="117" t="str">
        <f t="shared" si="139"/>
        <v>N</v>
      </c>
      <c r="T1008" s="114">
        <f>IFERROR(SUMIF('Current NLData'!A:A,'Payment Changes'!G1008,'Current NLData'!K:K)/COUNTIF('Current NLData'!A:A,'Payment Changes'!G1008),0)+IFERROR(VLOOKUP(G1008&amp;"-ALL",NLPaymentExport,10,FALSE),0)</f>
        <v>50</v>
      </c>
      <c r="U1008" s="118">
        <f t="shared" si="140"/>
        <v>0</v>
      </c>
    </row>
    <row r="1009" spans="1:54" ht="17.100000000000001" hidden="1" customHeight="1" outlineLevel="1" x14ac:dyDescent="0.25">
      <c r="A1009" s="3"/>
      <c r="C1009" s="4"/>
      <c r="D1009" s="181"/>
      <c r="E1009" s="91" t="str">
        <f t="shared" si="141"/>
        <v>Grand Junction</v>
      </c>
      <c r="F1009" s="93" t="str">
        <f t="shared" si="142"/>
        <v>CP573</v>
      </c>
      <c r="G1009" s="99" t="str">
        <f t="shared" si="144"/>
        <v>CP573-NEW DONOR -4th</v>
      </c>
      <c r="H1009" s="182"/>
      <c r="I1009" s="34" t="s">
        <v>40</v>
      </c>
      <c r="J1009" s="58">
        <v>100</v>
      </c>
      <c r="K1009" s="62">
        <v>100</v>
      </c>
      <c r="L1009" s="58">
        <v>100</v>
      </c>
      <c r="M1009" s="58">
        <v>100</v>
      </c>
      <c r="N1009" s="58">
        <v>100</v>
      </c>
      <c r="O1009" s="58">
        <v>100</v>
      </c>
      <c r="P1009" s="58">
        <v>100</v>
      </c>
      <c r="Q1009" s="58">
        <v>100</v>
      </c>
      <c r="R1009" s="23"/>
      <c r="S1009" s="117" t="str">
        <f t="shared" si="139"/>
        <v>N</v>
      </c>
      <c r="T1009" s="114">
        <f>IFERROR(SUMIF('Current NLData'!A:A,'Payment Changes'!G1009,'Current NLData'!K:K)/COUNTIF('Current NLData'!A:A,'Payment Changes'!G1009),0)+IFERROR(VLOOKUP(G1009&amp;"-ALL",NLPaymentExport,10,FALSE),0)</f>
        <v>100</v>
      </c>
      <c r="U1009" s="118">
        <f t="shared" si="140"/>
        <v>0</v>
      </c>
    </row>
    <row r="1010" spans="1:54" ht="17.100000000000001" hidden="1" customHeight="1" outlineLevel="1" x14ac:dyDescent="0.25">
      <c r="A1010" s="3"/>
      <c r="C1010" s="4"/>
      <c r="D1010" s="181"/>
      <c r="E1010" s="91" t="str">
        <f t="shared" si="141"/>
        <v>Grand Junction</v>
      </c>
      <c r="F1010" s="93" t="str">
        <f t="shared" si="142"/>
        <v>CP573</v>
      </c>
      <c r="G1010" s="99" t="str">
        <f t="shared" si="144"/>
        <v>CP573-NEW DONOR -5th</v>
      </c>
      <c r="H1010" s="182"/>
      <c r="I1010" s="34" t="s">
        <v>41</v>
      </c>
      <c r="J1010" s="58">
        <v>100</v>
      </c>
      <c r="K1010" s="62">
        <v>100</v>
      </c>
      <c r="L1010" s="58">
        <v>100</v>
      </c>
      <c r="M1010" s="58">
        <v>100</v>
      </c>
      <c r="N1010" s="58">
        <v>100</v>
      </c>
      <c r="O1010" s="58">
        <v>100</v>
      </c>
      <c r="P1010" s="58">
        <v>100</v>
      </c>
      <c r="Q1010" s="58">
        <v>100</v>
      </c>
      <c r="R1010" s="23"/>
      <c r="S1010" s="117" t="str">
        <f t="shared" si="139"/>
        <v>N</v>
      </c>
      <c r="T1010" s="114">
        <f>IFERROR(SUMIF('Current NLData'!A:A,'Payment Changes'!G1010,'Current NLData'!K:K)/COUNTIF('Current NLData'!A:A,'Payment Changes'!G1010),0)+IFERROR(VLOOKUP(G1010&amp;"-ALL",NLPaymentExport,10,FALSE),0)</f>
        <v>100</v>
      </c>
      <c r="U1010" s="118">
        <f t="shared" si="140"/>
        <v>0</v>
      </c>
    </row>
    <row r="1011" spans="1:54" ht="17.100000000000001" hidden="1" customHeight="1" outlineLevel="1" x14ac:dyDescent="0.25">
      <c r="A1011" s="3"/>
      <c r="C1011" s="4"/>
      <c r="D1011" s="181"/>
      <c r="E1011" s="91" t="str">
        <f t="shared" si="141"/>
        <v>Grand Junction</v>
      </c>
      <c r="F1011" s="93" t="str">
        <f t="shared" si="142"/>
        <v>CP573</v>
      </c>
      <c r="G1011" s="99" t="str">
        <f t="shared" si="144"/>
        <v>CP573-NEW DONOR -6th</v>
      </c>
      <c r="H1011" s="182"/>
      <c r="I1011" s="34" t="s">
        <v>42</v>
      </c>
      <c r="J1011" s="58">
        <v>40</v>
      </c>
      <c r="K1011" s="62">
        <v>40</v>
      </c>
      <c r="L1011" s="58">
        <v>40</v>
      </c>
      <c r="M1011" s="58">
        <v>40</v>
      </c>
      <c r="N1011" s="58">
        <v>40</v>
      </c>
      <c r="O1011" s="58">
        <v>40</v>
      </c>
      <c r="P1011" s="58">
        <v>40</v>
      </c>
      <c r="Q1011" s="58">
        <v>40</v>
      </c>
      <c r="R1011" s="23"/>
      <c r="S1011" s="117" t="str">
        <f t="shared" si="139"/>
        <v>N</v>
      </c>
      <c r="T1011" s="114">
        <f>IFERROR(SUMIF('Current NLData'!A:A,'Payment Changes'!G1011,'Current NLData'!K:K)/COUNTIF('Current NLData'!A:A,'Payment Changes'!G1011),0)+IFERROR(VLOOKUP(G1011&amp;"-ALL",NLPaymentExport,10,FALSE),0)</f>
        <v>40</v>
      </c>
      <c r="U1011" s="118">
        <f t="shared" si="140"/>
        <v>0</v>
      </c>
    </row>
    <row r="1012" spans="1:54" ht="17.100000000000001" hidden="1" customHeight="1" outlineLevel="1" x14ac:dyDescent="0.25">
      <c r="A1012" s="3"/>
      <c r="C1012" s="4"/>
      <c r="D1012" s="181"/>
      <c r="E1012" s="91" t="str">
        <f t="shared" si="141"/>
        <v>Grand Junction</v>
      </c>
      <c r="F1012" s="93" t="str">
        <f t="shared" si="142"/>
        <v>CP573</v>
      </c>
      <c r="G1012" s="99" t="str">
        <f t="shared" si="144"/>
        <v>CP573-NEW DONOR -7th</v>
      </c>
      <c r="H1012" s="182"/>
      <c r="I1012" s="34" t="s">
        <v>43</v>
      </c>
      <c r="J1012" s="58">
        <v>40</v>
      </c>
      <c r="K1012" s="62">
        <v>70</v>
      </c>
      <c r="L1012" s="58">
        <v>40</v>
      </c>
      <c r="M1012" s="58">
        <v>40</v>
      </c>
      <c r="N1012" s="58">
        <v>40</v>
      </c>
      <c r="O1012" s="58">
        <v>40</v>
      </c>
      <c r="P1012" s="58">
        <v>40</v>
      </c>
      <c r="Q1012" s="58">
        <v>40</v>
      </c>
      <c r="R1012" s="23"/>
      <c r="S1012" s="117" t="str">
        <f t="shared" si="139"/>
        <v>N</v>
      </c>
      <c r="T1012" s="114">
        <f>IFERROR(SUMIF('Current NLData'!A:A,'Payment Changes'!G1012,'Current NLData'!K:K)/COUNTIF('Current NLData'!A:A,'Payment Changes'!G1012),0)+IFERROR(VLOOKUP(G1012&amp;"-ALL",NLPaymentExport,10,FALSE),0)</f>
        <v>40</v>
      </c>
      <c r="U1012" s="118">
        <f t="shared" si="140"/>
        <v>0</v>
      </c>
    </row>
    <row r="1013" spans="1:54" ht="17.100000000000001" hidden="1" customHeight="1" outlineLevel="1" x14ac:dyDescent="0.25">
      <c r="A1013" s="3"/>
      <c r="C1013" s="4"/>
      <c r="D1013" s="181"/>
      <c r="E1013" s="91" t="str">
        <f t="shared" si="141"/>
        <v>Grand Junction</v>
      </c>
      <c r="F1013" s="93" t="str">
        <f t="shared" si="142"/>
        <v>CP573</v>
      </c>
      <c r="G1013" s="99" t="str">
        <f t="shared" si="144"/>
        <v>CP573-NEW DONOR -8th</v>
      </c>
      <c r="H1013" s="182"/>
      <c r="I1013" s="35" t="s">
        <v>44</v>
      </c>
      <c r="J1013" s="63">
        <v>40</v>
      </c>
      <c r="K1013" s="64">
        <v>40</v>
      </c>
      <c r="L1013" s="63">
        <v>40</v>
      </c>
      <c r="M1013" s="63">
        <v>40</v>
      </c>
      <c r="N1013" s="63">
        <v>40</v>
      </c>
      <c r="O1013" s="63">
        <v>40</v>
      </c>
      <c r="P1013" s="63">
        <v>40</v>
      </c>
      <c r="Q1013" s="63">
        <v>40</v>
      </c>
      <c r="R1013" s="23"/>
      <c r="S1013" s="117" t="str">
        <f t="shared" si="139"/>
        <v>N</v>
      </c>
      <c r="T1013" s="114">
        <f>IFERROR(SUMIF('Current NLData'!A:A,'Payment Changes'!G1013,'Current NLData'!K:K)/COUNTIF('Current NLData'!A:A,'Payment Changes'!G1013),0)+IFERROR(VLOOKUP(G1013&amp;"-ALL",NLPaymentExport,10,FALSE),0)</f>
        <v>40</v>
      </c>
      <c r="U1013" s="118">
        <f t="shared" si="140"/>
        <v>0</v>
      </c>
    </row>
    <row r="1014" spans="1:54" ht="17.100000000000001" hidden="1" customHeight="1" outlineLevel="1" x14ac:dyDescent="0.25">
      <c r="A1014" s="3"/>
      <c r="C1014" s="4"/>
      <c r="D1014" s="181"/>
      <c r="E1014" s="91" t="str">
        <f t="shared" si="141"/>
        <v>Grand Junction</v>
      </c>
      <c r="F1014" s="93" t="str">
        <f t="shared" si="142"/>
        <v>CP573</v>
      </c>
      <c r="G1014" s="99" t="str">
        <f t="shared" si="144"/>
        <v>CP573-RETURN - 1st don of the week -STD</v>
      </c>
      <c r="H1014" s="182"/>
      <c r="I1014" s="36" t="s">
        <v>45</v>
      </c>
      <c r="J1014" s="58">
        <v>40</v>
      </c>
      <c r="K1014" s="58">
        <v>40</v>
      </c>
      <c r="L1014" s="58">
        <v>40</v>
      </c>
      <c r="M1014" s="58">
        <v>40</v>
      </c>
      <c r="N1014" s="58">
        <v>40</v>
      </c>
      <c r="O1014" s="58">
        <v>40</v>
      </c>
      <c r="P1014" s="58">
        <v>40</v>
      </c>
      <c r="Q1014" s="58">
        <v>40</v>
      </c>
      <c r="R1014" s="22"/>
      <c r="S1014" s="117" t="str">
        <f t="shared" si="139"/>
        <v>N</v>
      </c>
      <c r="T1014" s="114">
        <f>IFERROR(SUMIF('Current NLData'!A:A,'Payment Changes'!G1014,'Current NLData'!K:K)/COUNTIF('Current NLData'!A:A,'Payment Changes'!G1014),0)+IFERROR(VLOOKUP(G1014&amp;"-ALL",NLPaymentExport,10,FALSE),0)</f>
        <v>40</v>
      </c>
      <c r="U1014" s="118">
        <f t="shared" si="140"/>
        <v>0</v>
      </c>
    </row>
    <row r="1015" spans="1:54" ht="17.100000000000001" hidden="1" customHeight="1" outlineLevel="1" x14ac:dyDescent="0.25">
      <c r="A1015" s="3"/>
      <c r="C1015" s="4"/>
      <c r="D1015" s="181"/>
      <c r="E1015" s="91" t="str">
        <f t="shared" si="141"/>
        <v>Grand Junction</v>
      </c>
      <c r="F1015" s="93" t="str">
        <f t="shared" si="142"/>
        <v>CP573</v>
      </c>
      <c r="G1015" s="99" t="str">
        <f t="shared" si="144"/>
        <v>CP573-RETURN - 2nd don of the week -BONUS</v>
      </c>
      <c r="H1015" s="182"/>
      <c r="I1015" s="36" t="s">
        <v>46</v>
      </c>
      <c r="J1015" s="58">
        <v>30</v>
      </c>
      <c r="K1015" s="58">
        <v>30</v>
      </c>
      <c r="L1015" s="58">
        <v>30</v>
      </c>
      <c r="M1015" s="58">
        <v>30</v>
      </c>
      <c r="N1015" s="58">
        <v>30</v>
      </c>
      <c r="O1015" s="58">
        <v>30</v>
      </c>
      <c r="P1015" s="58">
        <v>30</v>
      </c>
      <c r="Q1015" s="58">
        <v>30</v>
      </c>
      <c r="R1015" s="22"/>
      <c r="S1015" s="117" t="str">
        <f t="shared" si="139"/>
        <v>N</v>
      </c>
      <c r="T1015" s="114">
        <f>IFERROR(SUMIF('Current NLData'!A:A,'Payment Changes'!G1015,'Current NLData'!K:K)/COUNTIF('Current NLData'!A:A,'Payment Changes'!G1015),0)+IFERROR(VLOOKUP(G1015&amp;"-ALL",NLPaymentExport,10,FALSE),0)</f>
        <v>30</v>
      </c>
      <c r="U1015" s="118">
        <f t="shared" si="140"/>
        <v>0</v>
      </c>
    </row>
    <row r="1016" spans="1:54" ht="17.100000000000001" hidden="1" customHeight="1" outlineLevel="1" x14ac:dyDescent="0.25">
      <c r="A1016" s="3"/>
      <c r="C1016" s="4"/>
      <c r="D1016" s="181"/>
      <c r="E1016" s="91" t="str">
        <f t="shared" si="141"/>
        <v>Grand Junction</v>
      </c>
      <c r="F1016" s="93" t="str">
        <f t="shared" si="142"/>
        <v>CP573</v>
      </c>
      <c r="G1016" s="99" t="str">
        <f t="shared" si="144"/>
        <v>CP573-RETURN - 5th don of the month -BONUS</v>
      </c>
      <c r="H1016" s="182"/>
      <c r="I1016" s="37" t="s">
        <v>47</v>
      </c>
      <c r="J1016" s="65">
        <v>0</v>
      </c>
      <c r="K1016" s="65">
        <v>0</v>
      </c>
      <c r="L1016" s="65">
        <v>0</v>
      </c>
      <c r="M1016" s="65">
        <v>0</v>
      </c>
      <c r="N1016" s="65">
        <v>0</v>
      </c>
      <c r="O1016" s="65">
        <v>0</v>
      </c>
      <c r="P1016" s="65">
        <v>0</v>
      </c>
      <c r="Q1016" s="65">
        <v>0</v>
      </c>
      <c r="R1016" s="22"/>
      <c r="S1016" s="117" t="str">
        <f t="shared" si="139"/>
        <v>N</v>
      </c>
      <c r="T1016" s="114">
        <f>IFERROR(SUMIF('Current NLData'!A:A,'Payment Changes'!G1016,'Current NLData'!K:K)/COUNTIF('Current NLData'!A:A,'Payment Changes'!G1016),0)+IFERROR(VLOOKUP(G1016&amp;"-ALL",NLPaymentExport,10,FALSE),0)</f>
        <v>0</v>
      </c>
      <c r="U1016" s="118">
        <f t="shared" si="140"/>
        <v>0</v>
      </c>
    </row>
    <row r="1017" spans="1:54" ht="17.100000000000001" hidden="1" customHeight="1" outlineLevel="1" x14ac:dyDescent="0.25">
      <c r="A1017" s="3"/>
      <c r="C1017" s="4"/>
      <c r="D1017" s="181"/>
      <c r="E1017" s="91" t="str">
        <f t="shared" si="141"/>
        <v>Grand Junction</v>
      </c>
      <c r="F1017" s="93" t="str">
        <f t="shared" si="142"/>
        <v>CP573</v>
      </c>
      <c r="G1017" s="99" t="str">
        <f t="shared" si="144"/>
        <v>CP573-RETURN - 6th don of the month -BONUS</v>
      </c>
      <c r="H1017" s="182"/>
      <c r="I1017" s="38" t="s">
        <v>48</v>
      </c>
      <c r="J1017" s="58">
        <v>0</v>
      </c>
      <c r="K1017" s="58">
        <v>0</v>
      </c>
      <c r="L1017" s="58">
        <v>30</v>
      </c>
      <c r="M1017" s="58">
        <v>30</v>
      </c>
      <c r="N1017" s="58">
        <v>30</v>
      </c>
      <c r="O1017" s="58">
        <v>30</v>
      </c>
      <c r="P1017" s="58">
        <v>30</v>
      </c>
      <c r="Q1017" s="58">
        <v>30</v>
      </c>
      <c r="R1017" s="22"/>
      <c r="S1017" s="117" t="str">
        <f t="shared" si="139"/>
        <v>N</v>
      </c>
      <c r="T1017" s="114">
        <f>IFERROR(SUMIF('Current NLData'!A:A,'Payment Changes'!G1017,'Current NLData'!K:K)/COUNTIF('Current NLData'!A:A,'Payment Changes'!G1017),0)+IFERROR(VLOOKUP(G1017&amp;"-ALL",NLPaymentExport,10,FALSE),0)</f>
        <v>30</v>
      </c>
      <c r="U1017" s="118">
        <f t="shared" si="140"/>
        <v>0</v>
      </c>
    </row>
    <row r="1018" spans="1:54" ht="17.100000000000001" hidden="1" customHeight="1" outlineLevel="1" x14ac:dyDescent="0.25">
      <c r="A1018" s="3"/>
      <c r="C1018" s="4"/>
      <c r="D1018" s="181"/>
      <c r="E1018" s="91" t="str">
        <f t="shared" si="141"/>
        <v>Grand Junction</v>
      </c>
      <c r="F1018" s="93" t="str">
        <f t="shared" si="142"/>
        <v>CP573</v>
      </c>
      <c r="G1018" s="99" t="str">
        <f t="shared" si="144"/>
        <v>CP573-RETURN - 7th don of the month -BONUS</v>
      </c>
      <c r="H1018" s="182"/>
      <c r="I1018" s="38" t="s">
        <v>49</v>
      </c>
      <c r="J1018" s="58">
        <v>0</v>
      </c>
      <c r="K1018" s="58">
        <v>0</v>
      </c>
      <c r="L1018" s="58">
        <v>0</v>
      </c>
      <c r="M1018" s="58">
        <v>0</v>
      </c>
      <c r="N1018" s="58">
        <v>0</v>
      </c>
      <c r="O1018" s="58">
        <v>0</v>
      </c>
      <c r="P1018" s="58">
        <v>0</v>
      </c>
      <c r="Q1018" s="58">
        <v>0</v>
      </c>
      <c r="R1018" s="22"/>
      <c r="S1018" s="117" t="str">
        <f t="shared" si="139"/>
        <v>N</v>
      </c>
      <c r="T1018" s="114">
        <f>IFERROR(SUMIF('Current NLData'!A:A,'Payment Changes'!G1018,'Current NLData'!K:K)/COUNTIF('Current NLData'!A:A,'Payment Changes'!G1018),0)+IFERROR(VLOOKUP(G1018&amp;"-ALL",NLPaymentExport,10,FALSE),0)</f>
        <v>0</v>
      </c>
      <c r="U1018" s="118">
        <f t="shared" si="140"/>
        <v>0</v>
      </c>
    </row>
    <row r="1019" spans="1:54" ht="17.100000000000001" hidden="1" customHeight="1" outlineLevel="1" x14ac:dyDescent="0.25">
      <c r="A1019" s="3"/>
      <c r="C1019" s="4"/>
      <c r="D1019" s="181"/>
      <c r="E1019" s="91" t="str">
        <f t="shared" si="141"/>
        <v>Grand Junction</v>
      </c>
      <c r="F1019" s="93" t="str">
        <f t="shared" si="142"/>
        <v>CP573</v>
      </c>
      <c r="G1019" s="99" t="str">
        <f t="shared" si="144"/>
        <v>CP573-RETURN - 8th don of the month -BONUS</v>
      </c>
      <c r="H1019" s="182"/>
      <c r="I1019" s="38" t="s">
        <v>50</v>
      </c>
      <c r="J1019" s="58">
        <v>0</v>
      </c>
      <c r="K1019" s="58">
        <v>0</v>
      </c>
      <c r="L1019" s="58">
        <v>0</v>
      </c>
      <c r="M1019" s="58">
        <v>0</v>
      </c>
      <c r="N1019" s="58">
        <v>0</v>
      </c>
      <c r="O1019" s="58">
        <v>0</v>
      </c>
      <c r="P1019" s="58">
        <v>0</v>
      </c>
      <c r="Q1019" s="58">
        <v>0</v>
      </c>
      <c r="R1019" s="22"/>
      <c r="S1019" s="117" t="str">
        <f t="shared" si="139"/>
        <v>N</v>
      </c>
      <c r="T1019" s="114">
        <f>IFERROR(SUMIF('Current NLData'!A:A,'Payment Changes'!G1019,'Current NLData'!K:K)/COUNTIF('Current NLData'!A:A,'Payment Changes'!G1019),0)+IFERROR(VLOOKUP(G1019&amp;"-ALL",NLPaymentExport,10,FALSE),0)</f>
        <v>0</v>
      </c>
      <c r="U1019" s="118">
        <f t="shared" si="140"/>
        <v>0</v>
      </c>
    </row>
    <row r="1020" spans="1:54" ht="17.100000000000001" hidden="1" customHeight="1" outlineLevel="1" x14ac:dyDescent="0.25">
      <c r="A1020" s="3"/>
      <c r="C1020" s="4" t="str">
        <f>IF(J1020=0,"Warning","")</f>
        <v/>
      </c>
      <c r="D1020" s="181"/>
      <c r="E1020" s="91" t="str">
        <f t="shared" si="141"/>
        <v>Grand Junction</v>
      </c>
      <c r="F1020" s="93" t="str">
        <f t="shared" si="142"/>
        <v>CP573</v>
      </c>
      <c r="G1020" s="99" t="str">
        <f t="shared" si="144"/>
        <v>CP573-RETURN - Buddy referral  -BONUS</v>
      </c>
      <c r="H1020" s="182"/>
      <c r="I1020" s="39" t="s">
        <v>51</v>
      </c>
      <c r="J1020" s="58">
        <v>50</v>
      </c>
      <c r="K1020" s="58">
        <v>50</v>
      </c>
      <c r="L1020" s="58">
        <v>50</v>
      </c>
      <c r="M1020" s="58">
        <v>50</v>
      </c>
      <c r="N1020" s="58">
        <v>50</v>
      </c>
      <c r="O1020" s="58">
        <v>50</v>
      </c>
      <c r="P1020" s="58">
        <v>50</v>
      </c>
      <c r="Q1020" s="58">
        <v>75</v>
      </c>
      <c r="R1020" s="22"/>
      <c r="S1020" s="117" t="str">
        <f t="shared" si="139"/>
        <v>Y</v>
      </c>
      <c r="T1020" s="114">
        <f>IFERROR(SUMIF('Current NLData'!A:A,'Payment Changes'!G1020,'Current NLData'!K:K)/COUNTIF('Current NLData'!A:A,'Payment Changes'!G1020),0)+IFERROR(VLOOKUP(G1020&amp;"-ALL",NLPaymentExport,10,FALSE),0)</f>
        <v>50</v>
      </c>
      <c r="U1020" s="118">
        <f t="shared" si="140"/>
        <v>-25</v>
      </c>
    </row>
    <row r="1021" spans="1:54" s="90" customFormat="1" ht="17.100000000000001" hidden="1" customHeight="1" collapsed="1" x14ac:dyDescent="0.35">
      <c r="A1021" s="85"/>
      <c r="B1021" s="85"/>
      <c r="C1021" s="86"/>
      <c r="D1021" s="87"/>
      <c r="E1021" s="87"/>
      <c r="F1021" s="87"/>
      <c r="G1021" s="87"/>
      <c r="H1021" s="96"/>
      <c r="I1021" s="88"/>
      <c r="J1021" s="89"/>
      <c r="K1021" s="89"/>
      <c r="L1021" s="89"/>
      <c r="M1021" s="89"/>
      <c r="N1021" s="89"/>
      <c r="O1021" s="89"/>
      <c r="P1021" s="89"/>
      <c r="Q1021" s="89"/>
      <c r="R1021" s="21"/>
      <c r="S1021" s="117" t="str">
        <f t="shared" si="139"/>
        <v>N</v>
      </c>
      <c r="T1021" s="114">
        <f>IFERROR(SUMIF('Current NLData'!A:A,'Payment Changes'!G1021,'Current NLData'!K:K)/COUNTIF('Current NLData'!A:A,'Payment Changes'!G1021),0)+IFERROR(VLOOKUP(G1021&amp;"-ALL",NLPaymentExport,10,FALSE),0)</f>
        <v>0</v>
      </c>
      <c r="U1021" s="118" t="str">
        <f t="shared" si="140"/>
        <v/>
      </c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</row>
    <row r="1022" spans="1:54" s="10" customFormat="1" ht="17.100000000000001" hidden="1" customHeight="1" x14ac:dyDescent="0.25">
      <c r="A1022" s="165">
        <v>52</v>
      </c>
      <c r="B1022" s="168" t="s">
        <v>324</v>
      </c>
      <c r="C1022" s="171" t="s">
        <v>106</v>
      </c>
      <c r="D1022" s="174" t="s">
        <v>157</v>
      </c>
      <c r="E1022" s="106" t="str">
        <f t="shared" si="141"/>
        <v>Cocoa Beach</v>
      </c>
      <c r="F1022" s="107" t="s">
        <v>325</v>
      </c>
      <c r="G1022" s="108" t="str">
        <f t="shared" ref="G1022:G1040" si="145">F1022&amp;"-"&amp;I1022</f>
        <v>CP686-New Donor</v>
      </c>
      <c r="H1022" s="177" t="s">
        <v>147</v>
      </c>
      <c r="I1022" s="76" t="s">
        <v>23</v>
      </c>
      <c r="J1022" s="40" t="s">
        <v>317</v>
      </c>
      <c r="K1022" s="41" t="s">
        <v>326</v>
      </c>
      <c r="L1022" s="41" t="s">
        <v>327</v>
      </c>
      <c r="M1022" s="42" t="s">
        <v>327</v>
      </c>
      <c r="N1022" s="40" t="s">
        <v>327</v>
      </c>
      <c r="O1022" s="40" t="s">
        <v>327</v>
      </c>
      <c r="P1022" s="40" t="s">
        <v>327</v>
      </c>
      <c r="Q1022" s="40" t="s">
        <v>327</v>
      </c>
      <c r="R1022" s="109"/>
      <c r="S1022" s="117" t="str">
        <f t="shared" si="139"/>
        <v>N</v>
      </c>
      <c r="T1022" s="114">
        <f>IFERROR(SUMIF('Current NLData'!A:A,'Payment Changes'!G1022,'Current NLData'!K:K)/COUNTIF('Current NLData'!A:A,'Payment Changes'!G1022),0)+IFERROR(VLOOKUP(G1022&amp;"-ALL",NLPaymentExport,10,FALSE),0)</f>
        <v>0</v>
      </c>
      <c r="U1022" s="118" t="str">
        <f t="shared" si="140"/>
        <v/>
      </c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</row>
    <row r="1023" spans="1:54" ht="17.100000000000001" hidden="1" customHeight="1" x14ac:dyDescent="0.25">
      <c r="A1023" s="166"/>
      <c r="B1023" s="169"/>
      <c r="C1023" s="172"/>
      <c r="D1023" s="175"/>
      <c r="E1023" s="91" t="str">
        <f t="shared" si="141"/>
        <v>Cocoa Beach</v>
      </c>
      <c r="F1023" s="92" t="s">
        <v>325</v>
      </c>
      <c r="G1023" s="98" t="str">
        <f t="shared" si="145"/>
        <v>CP686-Return Donor</v>
      </c>
      <c r="H1023" s="178"/>
      <c r="I1023" s="77" t="s">
        <v>29</v>
      </c>
      <c r="J1023" s="43" t="s">
        <v>328</v>
      </c>
      <c r="K1023" s="43" t="s">
        <v>328</v>
      </c>
      <c r="L1023" s="44" t="s">
        <v>328</v>
      </c>
      <c r="M1023" s="45" t="s">
        <v>328</v>
      </c>
      <c r="N1023" s="43" t="s">
        <v>328</v>
      </c>
      <c r="O1023" s="43" t="s">
        <v>328</v>
      </c>
      <c r="P1023" s="43" t="s">
        <v>328</v>
      </c>
      <c r="Q1023" s="43" t="s">
        <v>328</v>
      </c>
      <c r="R1023" s="21"/>
      <c r="S1023" s="117" t="str">
        <f t="shared" si="139"/>
        <v>N</v>
      </c>
      <c r="T1023" s="114">
        <f>IFERROR(SUMIF('Current NLData'!A:A,'Payment Changes'!G1023,'Current NLData'!K:K)/COUNTIF('Current NLData'!A:A,'Payment Changes'!G1023),0)+IFERROR(VLOOKUP(G1023&amp;"-ALL",NLPaymentExport,10,FALSE),0)</f>
        <v>0</v>
      </c>
      <c r="U1023" s="118" t="str">
        <f t="shared" si="140"/>
        <v/>
      </c>
    </row>
    <row r="1024" spans="1:54" ht="17.100000000000001" hidden="1" customHeight="1" x14ac:dyDescent="0.25">
      <c r="A1024" s="166"/>
      <c r="B1024" s="169"/>
      <c r="C1024" s="172"/>
      <c r="D1024" s="175"/>
      <c r="E1024" s="91" t="str">
        <f t="shared" si="141"/>
        <v>Cocoa Beach</v>
      </c>
      <c r="F1024" s="92" t="s">
        <v>325</v>
      </c>
      <c r="G1024" s="98" t="str">
        <f t="shared" si="145"/>
        <v>CP686-Retention Bonus</v>
      </c>
      <c r="H1024" s="178"/>
      <c r="I1024" s="78" t="s">
        <v>30</v>
      </c>
      <c r="J1024" s="46" t="s">
        <v>329</v>
      </c>
      <c r="K1024" s="46" t="s">
        <v>329</v>
      </c>
      <c r="L1024" s="47" t="s">
        <v>32</v>
      </c>
      <c r="M1024" s="48" t="s">
        <v>32</v>
      </c>
      <c r="N1024" s="46" t="s">
        <v>32</v>
      </c>
      <c r="O1024" s="46" t="s">
        <v>32</v>
      </c>
      <c r="P1024" s="46" t="s">
        <v>32</v>
      </c>
      <c r="Q1024" s="46" t="s">
        <v>32</v>
      </c>
      <c r="R1024" s="21"/>
      <c r="S1024" s="117" t="str">
        <f t="shared" si="139"/>
        <v>N</v>
      </c>
      <c r="T1024" s="114">
        <f>IFERROR(SUMIF('Current NLData'!A:A,'Payment Changes'!G1024,'Current NLData'!K:K)/COUNTIF('Current NLData'!A:A,'Payment Changes'!G1024),0)+IFERROR(VLOOKUP(G1024&amp;"-ALL",NLPaymentExport,10,FALSE),0)</f>
        <v>0</v>
      </c>
      <c r="U1024" s="118" t="str">
        <f t="shared" si="140"/>
        <v/>
      </c>
    </row>
    <row r="1025" spans="1:54" s="15" customFormat="1" ht="17.100000000000001" hidden="1" customHeight="1" x14ac:dyDescent="0.25">
      <c r="A1025" s="167"/>
      <c r="B1025" s="170"/>
      <c r="C1025" s="173"/>
      <c r="D1025" s="176"/>
      <c r="E1025" s="110" t="str">
        <f t="shared" si="141"/>
        <v>Cocoa Beach</v>
      </c>
      <c r="F1025" s="111" t="s">
        <v>325</v>
      </c>
      <c r="G1025" s="112" t="str">
        <f t="shared" si="145"/>
        <v>CP686-Referral</v>
      </c>
      <c r="H1025" s="179"/>
      <c r="I1025" s="79" t="s">
        <v>34</v>
      </c>
      <c r="J1025" s="49">
        <v>50</v>
      </c>
      <c r="K1025" s="49">
        <v>50</v>
      </c>
      <c r="L1025" s="50" t="s">
        <v>32</v>
      </c>
      <c r="M1025" s="51" t="s">
        <v>32</v>
      </c>
      <c r="N1025" s="49" t="s">
        <v>32</v>
      </c>
      <c r="O1025" s="49">
        <v>50</v>
      </c>
      <c r="P1025" s="49">
        <v>50</v>
      </c>
      <c r="Q1025" s="49">
        <v>50</v>
      </c>
      <c r="R1025" s="113"/>
      <c r="S1025" s="117" t="str">
        <f t="shared" si="139"/>
        <v>N</v>
      </c>
      <c r="T1025" s="114">
        <f>IFERROR(SUMIF('Current NLData'!A:A,'Payment Changes'!G1025,'Current NLData'!K:K)/COUNTIF('Current NLData'!A:A,'Payment Changes'!G1025),0)+IFERROR(VLOOKUP(G1025&amp;"-ALL",NLPaymentExport,10,FALSE),0)</f>
        <v>0</v>
      </c>
      <c r="U1025" s="118" t="str">
        <f t="shared" si="140"/>
        <v/>
      </c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</row>
    <row r="1026" spans="1:54" ht="17.100000000000001" hidden="1" customHeight="1" outlineLevel="1" x14ac:dyDescent="0.25">
      <c r="A1026" s="3"/>
      <c r="C1026" s="4"/>
      <c r="D1026" s="180" t="s">
        <v>325</v>
      </c>
      <c r="E1026" s="91" t="str">
        <f t="shared" si="141"/>
        <v>Cocoa Beach</v>
      </c>
      <c r="F1026" s="93" t="str">
        <f t="shared" si="142"/>
        <v>CP686</v>
      </c>
      <c r="G1026" s="99" t="str">
        <f t="shared" si="145"/>
        <v>CP686-NEW DONOR -1st</v>
      </c>
      <c r="H1026" s="182" t="s">
        <v>36</v>
      </c>
      <c r="I1026" s="33" t="s">
        <v>37</v>
      </c>
      <c r="J1026" s="60">
        <v>100</v>
      </c>
      <c r="K1026" s="61">
        <v>100</v>
      </c>
      <c r="L1026" s="60">
        <v>100</v>
      </c>
      <c r="M1026" s="60">
        <v>100</v>
      </c>
      <c r="N1026" s="60">
        <v>100</v>
      </c>
      <c r="O1026" s="60">
        <v>100</v>
      </c>
      <c r="P1026" s="60">
        <v>100</v>
      </c>
      <c r="Q1026" s="60">
        <v>100</v>
      </c>
      <c r="R1026" s="23"/>
      <c r="S1026" s="117" t="str">
        <f t="shared" si="139"/>
        <v>N</v>
      </c>
      <c r="T1026" s="114">
        <f>IFERROR(SUMIF('Current NLData'!A:A,'Payment Changes'!G1026,'Current NLData'!K:K)/COUNTIF('Current NLData'!A:A,'Payment Changes'!G1026),0)+IFERROR(VLOOKUP(G1026&amp;"-ALL",NLPaymentExport,10,FALSE),0)</f>
        <v>100</v>
      </c>
      <c r="U1026" s="118">
        <f t="shared" si="140"/>
        <v>0</v>
      </c>
    </row>
    <row r="1027" spans="1:54" ht="17.100000000000001" hidden="1" customHeight="1" outlineLevel="1" x14ac:dyDescent="0.25">
      <c r="A1027" s="3"/>
      <c r="C1027" s="4"/>
      <c r="D1027" s="181"/>
      <c r="E1027" s="91" t="str">
        <f t="shared" si="141"/>
        <v>Cocoa Beach</v>
      </c>
      <c r="F1027" s="93" t="str">
        <f t="shared" si="142"/>
        <v>CP686</v>
      </c>
      <c r="G1027" s="99" t="str">
        <f t="shared" si="145"/>
        <v>CP686-NEW DONOR -2nd</v>
      </c>
      <c r="H1027" s="182"/>
      <c r="I1027" s="34" t="s">
        <v>38</v>
      </c>
      <c r="J1027" s="58">
        <v>100</v>
      </c>
      <c r="K1027" s="62">
        <v>100</v>
      </c>
      <c r="L1027" s="58">
        <v>100</v>
      </c>
      <c r="M1027" s="58">
        <v>100</v>
      </c>
      <c r="N1027" s="58">
        <v>100</v>
      </c>
      <c r="O1027" s="58">
        <v>100</v>
      </c>
      <c r="P1027" s="58">
        <v>100</v>
      </c>
      <c r="Q1027" s="58">
        <v>100</v>
      </c>
      <c r="R1027" s="23"/>
      <c r="S1027" s="117" t="str">
        <f t="shared" ref="S1027:S1090" si="146">IF(P1027=Q1027,"N","Y")</f>
        <v>N</v>
      </c>
      <c r="T1027" s="114">
        <f>IFERROR(SUMIF('Current NLData'!A:A,'Payment Changes'!G1027,'Current NLData'!K:K)/COUNTIF('Current NLData'!A:A,'Payment Changes'!G1027),0)+IFERROR(VLOOKUP(G1027&amp;"-ALL",NLPaymentExport,10,FALSE),0)</f>
        <v>100</v>
      </c>
      <c r="U1027" s="118">
        <f t="shared" si="140"/>
        <v>0</v>
      </c>
    </row>
    <row r="1028" spans="1:54" ht="17.100000000000001" hidden="1" customHeight="1" outlineLevel="1" x14ac:dyDescent="0.25">
      <c r="A1028" s="3"/>
      <c r="C1028" s="4"/>
      <c r="D1028" s="181"/>
      <c r="E1028" s="91" t="str">
        <f t="shared" si="141"/>
        <v>Cocoa Beach</v>
      </c>
      <c r="F1028" s="93" t="str">
        <f t="shared" si="142"/>
        <v>CP686</v>
      </c>
      <c r="G1028" s="99" t="str">
        <f t="shared" si="145"/>
        <v>CP686-NEW DONOR -3rd</v>
      </c>
      <c r="H1028" s="182"/>
      <c r="I1028" s="34" t="s">
        <v>39</v>
      </c>
      <c r="J1028" s="58">
        <v>100</v>
      </c>
      <c r="K1028" s="62">
        <v>100</v>
      </c>
      <c r="L1028" s="58">
        <v>30</v>
      </c>
      <c r="M1028" s="58">
        <v>30</v>
      </c>
      <c r="N1028" s="58">
        <v>30</v>
      </c>
      <c r="O1028" s="58">
        <v>30</v>
      </c>
      <c r="P1028" s="58">
        <v>30</v>
      </c>
      <c r="Q1028" s="58">
        <v>30</v>
      </c>
      <c r="R1028" s="23"/>
      <c r="S1028" s="117" t="str">
        <f t="shared" si="146"/>
        <v>N</v>
      </c>
      <c r="T1028" s="114">
        <f>IFERROR(SUMIF('Current NLData'!A:A,'Payment Changes'!G1028,'Current NLData'!K:K)/COUNTIF('Current NLData'!A:A,'Payment Changes'!G1028),0)+IFERROR(VLOOKUP(G1028&amp;"-ALL",NLPaymentExport,10,FALSE),0)</f>
        <v>30</v>
      </c>
      <c r="U1028" s="118">
        <f t="shared" si="140"/>
        <v>0</v>
      </c>
    </row>
    <row r="1029" spans="1:54" ht="17.100000000000001" hidden="1" customHeight="1" outlineLevel="1" x14ac:dyDescent="0.25">
      <c r="A1029" s="3"/>
      <c r="C1029" s="4"/>
      <c r="D1029" s="181"/>
      <c r="E1029" s="91" t="str">
        <f t="shared" si="141"/>
        <v>Cocoa Beach</v>
      </c>
      <c r="F1029" s="93" t="str">
        <f t="shared" si="142"/>
        <v>CP686</v>
      </c>
      <c r="G1029" s="99" t="str">
        <f t="shared" si="145"/>
        <v>CP686-NEW DONOR -4th</v>
      </c>
      <c r="H1029" s="182"/>
      <c r="I1029" s="34" t="s">
        <v>40</v>
      </c>
      <c r="J1029" s="58">
        <v>100</v>
      </c>
      <c r="K1029" s="62">
        <v>100</v>
      </c>
      <c r="L1029" s="58">
        <v>30</v>
      </c>
      <c r="M1029" s="58">
        <v>30</v>
      </c>
      <c r="N1029" s="58">
        <v>30</v>
      </c>
      <c r="O1029" s="58">
        <v>30</v>
      </c>
      <c r="P1029" s="58">
        <v>30</v>
      </c>
      <c r="Q1029" s="58">
        <v>30</v>
      </c>
      <c r="R1029" s="23"/>
      <c r="S1029" s="117" t="str">
        <f t="shared" si="146"/>
        <v>N</v>
      </c>
      <c r="T1029" s="114">
        <f>IFERROR(SUMIF('Current NLData'!A:A,'Payment Changes'!G1029,'Current NLData'!K:K)/COUNTIF('Current NLData'!A:A,'Payment Changes'!G1029),0)+IFERROR(VLOOKUP(G1029&amp;"-ALL",NLPaymentExport,10,FALSE),0)</f>
        <v>30</v>
      </c>
      <c r="U1029" s="118">
        <f t="shared" si="140"/>
        <v>0</v>
      </c>
    </row>
    <row r="1030" spans="1:54" ht="17.100000000000001" hidden="1" customHeight="1" outlineLevel="1" x14ac:dyDescent="0.25">
      <c r="A1030" s="3"/>
      <c r="C1030" s="4"/>
      <c r="D1030" s="181"/>
      <c r="E1030" s="91" t="str">
        <f t="shared" si="141"/>
        <v>Cocoa Beach</v>
      </c>
      <c r="F1030" s="93" t="str">
        <f t="shared" si="142"/>
        <v>CP686</v>
      </c>
      <c r="G1030" s="99" t="str">
        <f t="shared" si="145"/>
        <v>CP686-NEW DONOR -5th</v>
      </c>
      <c r="H1030" s="182"/>
      <c r="I1030" s="34" t="s">
        <v>41</v>
      </c>
      <c r="J1030" s="58">
        <v>30</v>
      </c>
      <c r="K1030" s="62">
        <v>30</v>
      </c>
      <c r="L1030" s="58">
        <v>30</v>
      </c>
      <c r="M1030" s="58">
        <v>30</v>
      </c>
      <c r="N1030" s="58">
        <v>30</v>
      </c>
      <c r="O1030" s="58">
        <v>30</v>
      </c>
      <c r="P1030" s="58">
        <v>30</v>
      </c>
      <c r="Q1030" s="58">
        <v>30</v>
      </c>
      <c r="R1030" s="23"/>
      <c r="S1030" s="117" t="str">
        <f t="shared" si="146"/>
        <v>N</v>
      </c>
      <c r="T1030" s="114">
        <f>IFERROR(SUMIF('Current NLData'!A:A,'Payment Changes'!G1030,'Current NLData'!K:K)/COUNTIF('Current NLData'!A:A,'Payment Changes'!G1030),0)+IFERROR(VLOOKUP(G1030&amp;"-ALL",NLPaymentExport,10,FALSE),0)</f>
        <v>30</v>
      </c>
      <c r="U1030" s="118">
        <f t="shared" si="140"/>
        <v>0</v>
      </c>
    </row>
    <row r="1031" spans="1:54" ht="17.100000000000001" hidden="1" customHeight="1" outlineLevel="1" x14ac:dyDescent="0.25">
      <c r="A1031" s="3"/>
      <c r="C1031" s="4"/>
      <c r="D1031" s="181"/>
      <c r="E1031" s="91" t="str">
        <f t="shared" si="141"/>
        <v>Cocoa Beach</v>
      </c>
      <c r="F1031" s="93" t="str">
        <f t="shared" si="142"/>
        <v>CP686</v>
      </c>
      <c r="G1031" s="99" t="str">
        <f t="shared" si="145"/>
        <v>CP686-NEW DONOR -6th</v>
      </c>
      <c r="H1031" s="182"/>
      <c r="I1031" s="34" t="s">
        <v>42</v>
      </c>
      <c r="J1031" s="58">
        <v>30</v>
      </c>
      <c r="K1031" s="62">
        <v>90</v>
      </c>
      <c r="L1031" s="58">
        <v>30</v>
      </c>
      <c r="M1031" s="58">
        <v>30</v>
      </c>
      <c r="N1031" s="58">
        <v>30</v>
      </c>
      <c r="O1031" s="58">
        <v>30</v>
      </c>
      <c r="P1031" s="58">
        <v>30</v>
      </c>
      <c r="Q1031" s="58">
        <v>30</v>
      </c>
      <c r="R1031" s="23"/>
      <c r="S1031" s="117" t="str">
        <f t="shared" si="146"/>
        <v>N</v>
      </c>
      <c r="T1031" s="114">
        <f>IFERROR(SUMIF('Current NLData'!A:A,'Payment Changes'!G1031,'Current NLData'!K:K)/COUNTIF('Current NLData'!A:A,'Payment Changes'!G1031),0)+IFERROR(VLOOKUP(G1031&amp;"-ALL",NLPaymentExport,10,FALSE),0)</f>
        <v>30</v>
      </c>
      <c r="U1031" s="118">
        <f t="shared" ref="U1031:U1094" si="147">IF(OR(I1031 = "New Donor", I1031="Return Donor", I1031="Retention Bonus", I1031="Referral", I1031 = ""),"",T1031-Q1031 )</f>
        <v>0</v>
      </c>
    </row>
    <row r="1032" spans="1:54" ht="17.100000000000001" hidden="1" customHeight="1" outlineLevel="1" x14ac:dyDescent="0.25">
      <c r="A1032" s="3"/>
      <c r="C1032" s="4"/>
      <c r="D1032" s="181"/>
      <c r="E1032" s="91" t="str">
        <f t="shared" ref="E1032:E1095" si="148">IF(B1032 = "",E1031,B1032)</f>
        <v>Cocoa Beach</v>
      </c>
      <c r="F1032" s="93" t="str">
        <f t="shared" ref="F1032:F1095" si="149">IF(D1032 = "",F1031,D1032)</f>
        <v>CP686</v>
      </c>
      <c r="G1032" s="99" t="str">
        <f t="shared" si="145"/>
        <v>CP686-NEW DONOR -7th</v>
      </c>
      <c r="H1032" s="182"/>
      <c r="I1032" s="34" t="s">
        <v>43</v>
      </c>
      <c r="J1032" s="58">
        <v>30</v>
      </c>
      <c r="K1032" s="62">
        <v>30</v>
      </c>
      <c r="L1032" s="58">
        <v>30</v>
      </c>
      <c r="M1032" s="58">
        <v>30</v>
      </c>
      <c r="N1032" s="58">
        <v>30</v>
      </c>
      <c r="O1032" s="58">
        <v>30</v>
      </c>
      <c r="P1032" s="58">
        <v>30</v>
      </c>
      <c r="Q1032" s="58">
        <v>30</v>
      </c>
      <c r="R1032" s="23"/>
      <c r="S1032" s="117" t="str">
        <f t="shared" si="146"/>
        <v>N</v>
      </c>
      <c r="T1032" s="114">
        <f>IFERROR(SUMIF('Current NLData'!A:A,'Payment Changes'!G1032,'Current NLData'!K:K)/COUNTIF('Current NLData'!A:A,'Payment Changes'!G1032),0)+IFERROR(VLOOKUP(G1032&amp;"-ALL",NLPaymentExport,10,FALSE),0)</f>
        <v>30</v>
      </c>
      <c r="U1032" s="118">
        <f t="shared" si="147"/>
        <v>0</v>
      </c>
    </row>
    <row r="1033" spans="1:54" ht="17.100000000000001" hidden="1" customHeight="1" outlineLevel="1" x14ac:dyDescent="0.25">
      <c r="A1033" s="3"/>
      <c r="C1033" s="4"/>
      <c r="D1033" s="181"/>
      <c r="E1033" s="91" t="str">
        <f t="shared" si="148"/>
        <v>Cocoa Beach</v>
      </c>
      <c r="F1033" s="93" t="str">
        <f t="shared" si="149"/>
        <v>CP686</v>
      </c>
      <c r="G1033" s="99" t="str">
        <f t="shared" si="145"/>
        <v>CP686-NEW DONOR -8th</v>
      </c>
      <c r="H1033" s="182"/>
      <c r="I1033" s="35" t="s">
        <v>44</v>
      </c>
      <c r="J1033" s="63">
        <v>30</v>
      </c>
      <c r="K1033" s="64">
        <v>90</v>
      </c>
      <c r="L1033" s="63">
        <v>30</v>
      </c>
      <c r="M1033" s="63">
        <v>30</v>
      </c>
      <c r="N1033" s="63">
        <v>30</v>
      </c>
      <c r="O1033" s="63">
        <v>30</v>
      </c>
      <c r="P1033" s="63">
        <v>30</v>
      </c>
      <c r="Q1033" s="63">
        <v>30</v>
      </c>
      <c r="R1033" s="23"/>
      <c r="S1033" s="117" t="str">
        <f t="shared" si="146"/>
        <v>N</v>
      </c>
      <c r="T1033" s="114">
        <f>IFERROR(SUMIF('Current NLData'!A:A,'Payment Changes'!G1033,'Current NLData'!K:K)/COUNTIF('Current NLData'!A:A,'Payment Changes'!G1033),0)+IFERROR(VLOOKUP(G1033&amp;"-ALL",NLPaymentExport,10,FALSE),0)</f>
        <v>30</v>
      </c>
      <c r="U1033" s="118">
        <f t="shared" si="147"/>
        <v>0</v>
      </c>
    </row>
    <row r="1034" spans="1:54" ht="17.100000000000001" hidden="1" customHeight="1" outlineLevel="1" x14ac:dyDescent="0.25">
      <c r="A1034" s="3"/>
      <c r="C1034" s="4"/>
      <c r="D1034" s="181"/>
      <c r="E1034" s="91" t="str">
        <f t="shared" si="148"/>
        <v>Cocoa Beach</v>
      </c>
      <c r="F1034" s="93" t="str">
        <f t="shared" si="149"/>
        <v>CP686</v>
      </c>
      <c r="G1034" s="99" t="str">
        <f t="shared" si="145"/>
        <v>CP686-RETURN - 1st don of the week -STD</v>
      </c>
      <c r="H1034" s="182"/>
      <c r="I1034" s="36" t="s">
        <v>45</v>
      </c>
      <c r="J1034" s="58">
        <v>30</v>
      </c>
      <c r="K1034" s="58">
        <v>30</v>
      </c>
      <c r="L1034" s="58">
        <v>30</v>
      </c>
      <c r="M1034" s="58">
        <v>30</v>
      </c>
      <c r="N1034" s="58">
        <v>30</v>
      </c>
      <c r="O1034" s="58">
        <v>30</v>
      </c>
      <c r="P1034" s="58">
        <v>30</v>
      </c>
      <c r="Q1034" s="58">
        <v>30</v>
      </c>
      <c r="R1034" s="22"/>
      <c r="S1034" s="117" t="str">
        <f t="shared" si="146"/>
        <v>N</v>
      </c>
      <c r="T1034" s="114">
        <f>IFERROR(SUMIF('Current NLData'!A:A,'Payment Changes'!G1034,'Current NLData'!K:K)/COUNTIF('Current NLData'!A:A,'Payment Changes'!G1034),0)+IFERROR(VLOOKUP(G1034&amp;"-ALL",NLPaymentExport,10,FALSE),0)</f>
        <v>30</v>
      </c>
      <c r="U1034" s="118">
        <f t="shared" si="147"/>
        <v>0</v>
      </c>
    </row>
    <row r="1035" spans="1:54" ht="17.100000000000001" hidden="1" customHeight="1" outlineLevel="1" x14ac:dyDescent="0.25">
      <c r="A1035" s="3"/>
      <c r="C1035" s="4"/>
      <c r="D1035" s="181"/>
      <c r="E1035" s="91" t="str">
        <f t="shared" si="148"/>
        <v>Cocoa Beach</v>
      </c>
      <c r="F1035" s="93" t="str">
        <f t="shared" si="149"/>
        <v>CP686</v>
      </c>
      <c r="G1035" s="99" t="str">
        <f t="shared" si="145"/>
        <v>CP686-RETURN - 2nd don of the week -BONUS</v>
      </c>
      <c r="H1035" s="182"/>
      <c r="I1035" s="36" t="s">
        <v>46</v>
      </c>
      <c r="J1035" s="58">
        <v>60</v>
      </c>
      <c r="K1035" s="58">
        <v>60</v>
      </c>
      <c r="L1035" s="58">
        <v>60</v>
      </c>
      <c r="M1035" s="58">
        <v>60</v>
      </c>
      <c r="N1035" s="58">
        <v>60</v>
      </c>
      <c r="O1035" s="58">
        <v>60</v>
      </c>
      <c r="P1035" s="58">
        <v>60</v>
      </c>
      <c r="Q1035" s="58">
        <v>60</v>
      </c>
      <c r="R1035" s="22"/>
      <c r="S1035" s="117" t="str">
        <f t="shared" si="146"/>
        <v>N</v>
      </c>
      <c r="T1035" s="114">
        <f>IFERROR(SUMIF('Current NLData'!A:A,'Payment Changes'!G1035,'Current NLData'!K:K)/COUNTIF('Current NLData'!A:A,'Payment Changes'!G1035),0)+IFERROR(VLOOKUP(G1035&amp;"-ALL",NLPaymentExport,10,FALSE),0)</f>
        <v>60</v>
      </c>
      <c r="U1035" s="118">
        <f t="shared" si="147"/>
        <v>0</v>
      </c>
    </row>
    <row r="1036" spans="1:54" ht="17.100000000000001" hidden="1" customHeight="1" outlineLevel="1" x14ac:dyDescent="0.25">
      <c r="A1036" s="3"/>
      <c r="C1036" s="4"/>
      <c r="D1036" s="181"/>
      <c r="E1036" s="91" t="str">
        <f t="shared" si="148"/>
        <v>Cocoa Beach</v>
      </c>
      <c r="F1036" s="93" t="str">
        <f t="shared" si="149"/>
        <v>CP686</v>
      </c>
      <c r="G1036" s="99" t="str">
        <f t="shared" si="145"/>
        <v>CP686-RETURN - 5th don of the month -BONUS</v>
      </c>
      <c r="H1036" s="182"/>
      <c r="I1036" s="37" t="s">
        <v>47</v>
      </c>
      <c r="J1036" s="65">
        <v>0</v>
      </c>
      <c r="K1036" s="65">
        <v>0</v>
      </c>
      <c r="L1036" s="65">
        <v>0</v>
      </c>
      <c r="M1036" s="65">
        <v>0</v>
      </c>
      <c r="N1036" s="65">
        <v>0</v>
      </c>
      <c r="O1036" s="65">
        <v>0</v>
      </c>
      <c r="P1036" s="65">
        <v>0</v>
      </c>
      <c r="Q1036" s="65">
        <v>0</v>
      </c>
      <c r="R1036" s="22"/>
      <c r="S1036" s="117" t="str">
        <f t="shared" si="146"/>
        <v>N</v>
      </c>
      <c r="T1036" s="114">
        <f>IFERROR(SUMIF('Current NLData'!A:A,'Payment Changes'!G1036,'Current NLData'!K:K)/COUNTIF('Current NLData'!A:A,'Payment Changes'!G1036),0)+IFERROR(VLOOKUP(G1036&amp;"-ALL",NLPaymentExport,10,FALSE),0)</f>
        <v>0</v>
      </c>
      <c r="U1036" s="118">
        <f t="shared" si="147"/>
        <v>0</v>
      </c>
    </row>
    <row r="1037" spans="1:54" ht="17.100000000000001" hidden="1" customHeight="1" outlineLevel="1" x14ac:dyDescent="0.25">
      <c r="A1037" s="3"/>
      <c r="C1037" s="4"/>
      <c r="D1037" s="181"/>
      <c r="E1037" s="91" t="str">
        <f t="shared" si="148"/>
        <v>Cocoa Beach</v>
      </c>
      <c r="F1037" s="93" t="str">
        <f t="shared" si="149"/>
        <v>CP686</v>
      </c>
      <c r="G1037" s="99" t="str">
        <f t="shared" si="145"/>
        <v>CP686-RETURN - 6th don of the month -BONUS</v>
      </c>
      <c r="H1037" s="182"/>
      <c r="I1037" s="38" t="s">
        <v>48</v>
      </c>
      <c r="J1037" s="58">
        <v>20</v>
      </c>
      <c r="K1037" s="58">
        <v>20</v>
      </c>
      <c r="L1037" s="58">
        <v>0</v>
      </c>
      <c r="M1037" s="58">
        <v>0</v>
      </c>
      <c r="N1037" s="58">
        <v>0</v>
      </c>
      <c r="O1037" s="58">
        <v>0</v>
      </c>
      <c r="P1037" s="58">
        <v>0</v>
      </c>
      <c r="Q1037" s="58">
        <v>0</v>
      </c>
      <c r="R1037" s="22"/>
      <c r="S1037" s="117" t="str">
        <f t="shared" si="146"/>
        <v>N</v>
      </c>
      <c r="T1037" s="114">
        <f>IFERROR(SUMIF('Current NLData'!A:A,'Payment Changes'!G1037,'Current NLData'!K:K)/COUNTIF('Current NLData'!A:A,'Payment Changes'!G1037),0)+IFERROR(VLOOKUP(G1037&amp;"-ALL",NLPaymentExport,10,FALSE),0)</f>
        <v>0</v>
      </c>
      <c r="U1037" s="118">
        <f t="shared" si="147"/>
        <v>0</v>
      </c>
    </row>
    <row r="1038" spans="1:54" ht="17.100000000000001" hidden="1" customHeight="1" outlineLevel="1" x14ac:dyDescent="0.25">
      <c r="A1038" s="3"/>
      <c r="C1038" s="4"/>
      <c r="D1038" s="181"/>
      <c r="E1038" s="91" t="str">
        <f t="shared" si="148"/>
        <v>Cocoa Beach</v>
      </c>
      <c r="F1038" s="93" t="str">
        <f t="shared" si="149"/>
        <v>CP686</v>
      </c>
      <c r="G1038" s="99" t="str">
        <f t="shared" si="145"/>
        <v>CP686-RETURN - 7th don of the month -BONUS</v>
      </c>
      <c r="H1038" s="182"/>
      <c r="I1038" s="38" t="s">
        <v>49</v>
      </c>
      <c r="J1038" s="58">
        <v>0</v>
      </c>
      <c r="K1038" s="58">
        <v>0</v>
      </c>
      <c r="L1038" s="58">
        <v>0</v>
      </c>
      <c r="M1038" s="58">
        <v>0</v>
      </c>
      <c r="N1038" s="58">
        <v>0</v>
      </c>
      <c r="O1038" s="58">
        <v>0</v>
      </c>
      <c r="P1038" s="58">
        <v>0</v>
      </c>
      <c r="Q1038" s="58">
        <v>0</v>
      </c>
      <c r="R1038" s="22"/>
      <c r="S1038" s="117" t="str">
        <f t="shared" si="146"/>
        <v>N</v>
      </c>
      <c r="T1038" s="114">
        <f>IFERROR(SUMIF('Current NLData'!A:A,'Payment Changes'!G1038,'Current NLData'!K:K)/COUNTIF('Current NLData'!A:A,'Payment Changes'!G1038),0)+IFERROR(VLOOKUP(G1038&amp;"-ALL",NLPaymentExport,10,FALSE),0)</f>
        <v>0</v>
      </c>
      <c r="U1038" s="118">
        <f t="shared" si="147"/>
        <v>0</v>
      </c>
    </row>
    <row r="1039" spans="1:54" ht="17.100000000000001" hidden="1" customHeight="1" outlineLevel="1" x14ac:dyDescent="0.25">
      <c r="A1039" s="3"/>
      <c r="C1039" s="4"/>
      <c r="D1039" s="181"/>
      <c r="E1039" s="91" t="str">
        <f t="shared" si="148"/>
        <v>Cocoa Beach</v>
      </c>
      <c r="F1039" s="93" t="str">
        <f t="shared" si="149"/>
        <v>CP686</v>
      </c>
      <c r="G1039" s="99" t="str">
        <f t="shared" si="145"/>
        <v>CP686-RETURN - 8th don of the month -BONUS</v>
      </c>
      <c r="H1039" s="182"/>
      <c r="I1039" s="38" t="s">
        <v>50</v>
      </c>
      <c r="J1039" s="58">
        <v>0</v>
      </c>
      <c r="K1039" s="58">
        <v>0</v>
      </c>
      <c r="L1039" s="58">
        <v>0</v>
      </c>
      <c r="M1039" s="58">
        <v>0</v>
      </c>
      <c r="N1039" s="58">
        <v>0</v>
      </c>
      <c r="O1039" s="58">
        <v>0</v>
      </c>
      <c r="P1039" s="58">
        <v>0</v>
      </c>
      <c r="Q1039" s="58">
        <v>0</v>
      </c>
      <c r="R1039" s="22"/>
      <c r="S1039" s="117" t="str">
        <f t="shared" si="146"/>
        <v>N</v>
      </c>
      <c r="T1039" s="114">
        <f>IFERROR(SUMIF('Current NLData'!A:A,'Payment Changes'!G1039,'Current NLData'!K:K)/COUNTIF('Current NLData'!A:A,'Payment Changes'!G1039),0)+IFERROR(VLOOKUP(G1039&amp;"-ALL",NLPaymentExport,10,FALSE),0)</f>
        <v>0</v>
      </c>
      <c r="U1039" s="118">
        <f t="shared" si="147"/>
        <v>0</v>
      </c>
    </row>
    <row r="1040" spans="1:54" ht="17.100000000000001" hidden="1" customHeight="1" outlineLevel="1" x14ac:dyDescent="0.25">
      <c r="A1040" s="3"/>
      <c r="C1040" s="4" t="str">
        <f>IF(J1040=0,"Warning","")</f>
        <v/>
      </c>
      <c r="D1040" s="181"/>
      <c r="E1040" s="91" t="str">
        <f t="shared" si="148"/>
        <v>Cocoa Beach</v>
      </c>
      <c r="F1040" s="93" t="str">
        <f t="shared" si="149"/>
        <v>CP686</v>
      </c>
      <c r="G1040" s="99" t="str">
        <f t="shared" si="145"/>
        <v>CP686-RETURN - Buddy referral  -BONUS</v>
      </c>
      <c r="H1040" s="182"/>
      <c r="I1040" s="39" t="s">
        <v>51</v>
      </c>
      <c r="J1040" s="58">
        <v>50</v>
      </c>
      <c r="K1040" s="58">
        <v>50</v>
      </c>
      <c r="L1040" s="58">
        <v>0</v>
      </c>
      <c r="M1040" s="58">
        <v>0</v>
      </c>
      <c r="N1040" s="58">
        <v>0</v>
      </c>
      <c r="O1040" s="58">
        <v>50</v>
      </c>
      <c r="P1040" s="58">
        <v>50</v>
      </c>
      <c r="Q1040" s="58">
        <v>50</v>
      </c>
      <c r="R1040" s="22"/>
      <c r="S1040" s="117" t="str">
        <f t="shared" si="146"/>
        <v>N</v>
      </c>
      <c r="T1040" s="114">
        <f>IFERROR(SUMIF('Current NLData'!A:A,'Payment Changes'!G1040,'Current NLData'!K:K)/COUNTIF('Current NLData'!A:A,'Payment Changes'!G1040),0)+IFERROR(VLOOKUP(G1040&amp;"-ALL",NLPaymentExport,10,FALSE),0)</f>
        <v>50</v>
      </c>
      <c r="U1040" s="118">
        <f t="shared" si="147"/>
        <v>0</v>
      </c>
    </row>
    <row r="1041" spans="1:54" s="90" customFormat="1" ht="17.100000000000001" hidden="1" customHeight="1" collapsed="1" x14ac:dyDescent="0.35">
      <c r="A1041" s="85"/>
      <c r="B1041" s="85"/>
      <c r="C1041" s="86"/>
      <c r="D1041" s="87"/>
      <c r="E1041" s="87"/>
      <c r="F1041" s="87"/>
      <c r="G1041" s="87"/>
      <c r="H1041" s="96"/>
      <c r="I1041" s="88"/>
      <c r="J1041" s="89"/>
      <c r="K1041" s="89"/>
      <c r="L1041" s="89"/>
      <c r="M1041" s="89"/>
      <c r="N1041" s="89"/>
      <c r="O1041" s="89"/>
      <c r="P1041" s="89"/>
      <c r="Q1041" s="89"/>
      <c r="R1041" s="21"/>
      <c r="S1041" s="117" t="str">
        <f t="shared" si="146"/>
        <v>N</v>
      </c>
      <c r="T1041" s="114">
        <f>IFERROR(SUMIF('Current NLData'!A:A,'Payment Changes'!G1041,'Current NLData'!K:K)/COUNTIF('Current NLData'!A:A,'Payment Changes'!G1041),0)+IFERROR(VLOOKUP(G1041&amp;"-ALL",NLPaymentExport,10,FALSE),0)</f>
        <v>0</v>
      </c>
      <c r="U1041" s="118" t="str">
        <f t="shared" si="147"/>
        <v/>
      </c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</row>
    <row r="1042" spans="1:54" s="10" customFormat="1" ht="17.100000000000001" hidden="1" customHeight="1" x14ac:dyDescent="0.25">
      <c r="A1042" s="165">
        <v>53</v>
      </c>
      <c r="B1042" s="168" t="s">
        <v>330</v>
      </c>
      <c r="C1042" s="171" t="s">
        <v>106</v>
      </c>
      <c r="D1042" s="174" t="s">
        <v>157</v>
      </c>
      <c r="E1042" s="106" t="str">
        <f t="shared" si="148"/>
        <v>Hendersonville</v>
      </c>
      <c r="F1042" s="107" t="s">
        <v>331</v>
      </c>
      <c r="G1042" s="108" t="str">
        <f t="shared" ref="G1042:G1060" si="150">F1042&amp;"-"&amp;I1042</f>
        <v>CP955-New Donor</v>
      </c>
      <c r="H1042" s="177" t="s">
        <v>147</v>
      </c>
      <c r="I1042" s="76" t="s">
        <v>23</v>
      </c>
      <c r="J1042" s="40" t="s">
        <v>332</v>
      </c>
      <c r="K1042" s="41" t="s">
        <v>333</v>
      </c>
      <c r="L1042" s="41" t="s">
        <v>334</v>
      </c>
      <c r="M1042" s="41" t="s">
        <v>335</v>
      </c>
      <c r="N1042" s="40" t="s">
        <v>335</v>
      </c>
      <c r="O1042" s="40" t="s">
        <v>336</v>
      </c>
      <c r="P1042" s="40" t="s">
        <v>336</v>
      </c>
      <c r="Q1042" s="40" t="s">
        <v>337</v>
      </c>
      <c r="R1042" s="109"/>
      <c r="S1042" s="117" t="str">
        <f t="shared" si="146"/>
        <v>Y</v>
      </c>
      <c r="T1042" s="114">
        <f>IFERROR(SUMIF('Current NLData'!A:A,'Payment Changes'!G1042,'Current NLData'!K:K)/COUNTIF('Current NLData'!A:A,'Payment Changes'!G1042),0)+IFERROR(VLOOKUP(G1042&amp;"-ALL",NLPaymentExport,10,FALSE),0)</f>
        <v>0</v>
      </c>
      <c r="U1042" s="118" t="str">
        <f t="shared" si="147"/>
        <v/>
      </c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</row>
    <row r="1043" spans="1:54" ht="17.100000000000001" hidden="1" customHeight="1" x14ac:dyDescent="0.25">
      <c r="A1043" s="166"/>
      <c r="B1043" s="169"/>
      <c r="C1043" s="172"/>
      <c r="D1043" s="175"/>
      <c r="E1043" s="91" t="str">
        <f t="shared" si="148"/>
        <v>Hendersonville</v>
      </c>
      <c r="F1043" s="92" t="s">
        <v>331</v>
      </c>
      <c r="G1043" s="98" t="str">
        <f t="shared" si="150"/>
        <v>CP955-Return Donor</v>
      </c>
      <c r="H1043" s="178"/>
      <c r="I1043" s="77" t="s">
        <v>29</v>
      </c>
      <c r="J1043" s="43" t="s">
        <v>235</v>
      </c>
      <c r="K1043" s="43" t="s">
        <v>235</v>
      </c>
      <c r="L1043" s="44" t="s">
        <v>161</v>
      </c>
      <c r="M1043" s="45" t="s">
        <v>161</v>
      </c>
      <c r="N1043" s="43" t="s">
        <v>161</v>
      </c>
      <c r="O1043" s="43" t="s">
        <v>161</v>
      </c>
      <c r="P1043" s="43" t="s">
        <v>161</v>
      </c>
      <c r="Q1043" s="43" t="s">
        <v>192</v>
      </c>
      <c r="R1043" s="21"/>
      <c r="S1043" s="117" t="str">
        <f t="shared" si="146"/>
        <v>Y</v>
      </c>
      <c r="T1043" s="114">
        <f>IFERROR(SUMIF('Current NLData'!A:A,'Payment Changes'!G1043,'Current NLData'!K:K)/COUNTIF('Current NLData'!A:A,'Payment Changes'!G1043),0)+IFERROR(VLOOKUP(G1043&amp;"-ALL",NLPaymentExport,10,FALSE),0)</f>
        <v>0</v>
      </c>
      <c r="U1043" s="118" t="str">
        <f t="shared" si="147"/>
        <v/>
      </c>
    </row>
    <row r="1044" spans="1:54" ht="17.100000000000001" hidden="1" customHeight="1" x14ac:dyDescent="0.25">
      <c r="A1044" s="166"/>
      <c r="B1044" s="169"/>
      <c r="C1044" s="172"/>
      <c r="D1044" s="175"/>
      <c r="E1044" s="91" t="str">
        <f t="shared" si="148"/>
        <v>Hendersonville</v>
      </c>
      <c r="F1044" s="92" t="s">
        <v>331</v>
      </c>
      <c r="G1044" s="98" t="str">
        <f t="shared" si="150"/>
        <v>CP955-Retention Bonus</v>
      </c>
      <c r="H1044" s="178"/>
      <c r="I1044" s="78" t="s">
        <v>30</v>
      </c>
      <c r="J1044" s="46" t="s">
        <v>329</v>
      </c>
      <c r="K1044" s="46" t="s">
        <v>329</v>
      </c>
      <c r="L1044" s="47" t="s">
        <v>329</v>
      </c>
      <c r="M1044" s="48" t="s">
        <v>329</v>
      </c>
      <c r="N1044" s="46" t="s">
        <v>329</v>
      </c>
      <c r="O1044" s="46" t="s">
        <v>338</v>
      </c>
      <c r="P1044" s="46" t="s">
        <v>338</v>
      </c>
      <c r="Q1044" s="46" t="s">
        <v>338</v>
      </c>
      <c r="R1044" s="21"/>
      <c r="S1044" s="117" t="str">
        <f t="shared" si="146"/>
        <v>N</v>
      </c>
      <c r="T1044" s="114">
        <f>IFERROR(SUMIF('Current NLData'!A:A,'Payment Changes'!G1044,'Current NLData'!K:K)/COUNTIF('Current NLData'!A:A,'Payment Changes'!G1044),0)+IFERROR(VLOOKUP(G1044&amp;"-ALL",NLPaymentExport,10,FALSE),0)</f>
        <v>0</v>
      </c>
      <c r="U1044" s="118" t="str">
        <f t="shared" si="147"/>
        <v/>
      </c>
    </row>
    <row r="1045" spans="1:54" s="15" customFormat="1" ht="17.100000000000001" hidden="1" customHeight="1" x14ac:dyDescent="0.25">
      <c r="A1045" s="167"/>
      <c r="B1045" s="170"/>
      <c r="C1045" s="173"/>
      <c r="D1045" s="176"/>
      <c r="E1045" s="110" t="str">
        <f t="shared" si="148"/>
        <v>Hendersonville</v>
      </c>
      <c r="F1045" s="111" t="s">
        <v>331</v>
      </c>
      <c r="G1045" s="112" t="str">
        <f t="shared" si="150"/>
        <v>CP955-Referral</v>
      </c>
      <c r="H1045" s="179"/>
      <c r="I1045" s="79" t="s">
        <v>34</v>
      </c>
      <c r="J1045" s="49">
        <v>50</v>
      </c>
      <c r="K1045" s="49">
        <v>0</v>
      </c>
      <c r="L1045" s="50" t="s">
        <v>32</v>
      </c>
      <c r="M1045" s="51" t="s">
        <v>32</v>
      </c>
      <c r="N1045" s="49" t="s">
        <v>32</v>
      </c>
      <c r="O1045" s="49">
        <v>50</v>
      </c>
      <c r="P1045" s="49">
        <v>50</v>
      </c>
      <c r="Q1045" s="49">
        <v>50</v>
      </c>
      <c r="R1045" s="113"/>
      <c r="S1045" s="117" t="str">
        <f t="shared" si="146"/>
        <v>N</v>
      </c>
      <c r="T1045" s="114">
        <f>IFERROR(SUMIF('Current NLData'!A:A,'Payment Changes'!G1045,'Current NLData'!K:K)/COUNTIF('Current NLData'!A:A,'Payment Changes'!G1045),0)+IFERROR(VLOOKUP(G1045&amp;"-ALL",NLPaymentExport,10,FALSE),0)</f>
        <v>0</v>
      </c>
      <c r="U1045" s="118" t="str">
        <f t="shared" si="147"/>
        <v/>
      </c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</row>
    <row r="1046" spans="1:54" ht="17.100000000000001" hidden="1" customHeight="1" outlineLevel="1" x14ac:dyDescent="0.25">
      <c r="A1046" s="3"/>
      <c r="C1046" s="4"/>
      <c r="D1046" s="180" t="s">
        <v>331</v>
      </c>
      <c r="E1046" s="91" t="str">
        <f t="shared" si="148"/>
        <v>Hendersonville</v>
      </c>
      <c r="F1046" s="93" t="str">
        <f t="shared" si="149"/>
        <v>CP955</v>
      </c>
      <c r="G1046" s="99" t="str">
        <f t="shared" si="150"/>
        <v>CP955-NEW DONOR -1st</v>
      </c>
      <c r="H1046" s="182" t="s">
        <v>36</v>
      </c>
      <c r="I1046" s="33" t="s">
        <v>37</v>
      </c>
      <c r="J1046" s="60">
        <v>100</v>
      </c>
      <c r="K1046" s="61">
        <v>100</v>
      </c>
      <c r="L1046" s="60">
        <v>100</v>
      </c>
      <c r="M1046" s="60">
        <v>125</v>
      </c>
      <c r="N1046" s="60">
        <v>125</v>
      </c>
      <c r="O1046" s="60">
        <v>125</v>
      </c>
      <c r="P1046" s="60">
        <v>125</v>
      </c>
      <c r="Q1046" s="60">
        <v>100</v>
      </c>
      <c r="R1046" s="23"/>
      <c r="S1046" s="117" t="str">
        <f t="shared" si="146"/>
        <v>Y</v>
      </c>
      <c r="T1046" s="114">
        <f>IFERROR(SUMIF('Current NLData'!A:A,'Payment Changes'!G1046,'Current NLData'!K:K)/COUNTIF('Current NLData'!A:A,'Payment Changes'!G1046),0)+IFERROR(VLOOKUP(G1046&amp;"-ALL",NLPaymentExport,10,FALSE),0)</f>
        <v>125</v>
      </c>
      <c r="U1046" s="118">
        <f t="shared" si="147"/>
        <v>25</v>
      </c>
    </row>
    <row r="1047" spans="1:54" ht="17.100000000000001" hidden="1" customHeight="1" outlineLevel="1" x14ac:dyDescent="0.25">
      <c r="A1047" s="3"/>
      <c r="C1047" s="4"/>
      <c r="D1047" s="181"/>
      <c r="E1047" s="91" t="str">
        <f t="shared" si="148"/>
        <v>Hendersonville</v>
      </c>
      <c r="F1047" s="93" t="str">
        <f t="shared" si="149"/>
        <v>CP955</v>
      </c>
      <c r="G1047" s="99" t="str">
        <f t="shared" si="150"/>
        <v>CP955-NEW DONOR -2nd</v>
      </c>
      <c r="H1047" s="182"/>
      <c r="I1047" s="34" t="s">
        <v>38</v>
      </c>
      <c r="J1047" s="58">
        <v>100</v>
      </c>
      <c r="K1047" s="62">
        <v>100</v>
      </c>
      <c r="L1047" s="58">
        <v>100</v>
      </c>
      <c r="M1047" s="58">
        <v>125</v>
      </c>
      <c r="N1047" s="58">
        <v>125</v>
      </c>
      <c r="O1047" s="58">
        <v>125</v>
      </c>
      <c r="P1047" s="58">
        <v>125</v>
      </c>
      <c r="Q1047" s="58">
        <v>100</v>
      </c>
      <c r="R1047" s="23"/>
      <c r="S1047" s="117" t="str">
        <f t="shared" si="146"/>
        <v>Y</v>
      </c>
      <c r="T1047" s="114">
        <f>IFERROR(SUMIF('Current NLData'!A:A,'Payment Changes'!G1047,'Current NLData'!K:K)/COUNTIF('Current NLData'!A:A,'Payment Changes'!G1047),0)+IFERROR(VLOOKUP(G1047&amp;"-ALL",NLPaymentExport,10,FALSE),0)</f>
        <v>125</v>
      </c>
      <c r="U1047" s="118">
        <f t="shared" si="147"/>
        <v>25</v>
      </c>
    </row>
    <row r="1048" spans="1:54" ht="17.100000000000001" hidden="1" customHeight="1" outlineLevel="1" x14ac:dyDescent="0.25">
      <c r="A1048" s="3"/>
      <c r="C1048" s="4"/>
      <c r="D1048" s="181"/>
      <c r="E1048" s="91" t="str">
        <f t="shared" si="148"/>
        <v>Hendersonville</v>
      </c>
      <c r="F1048" s="93" t="str">
        <f t="shared" si="149"/>
        <v>CP955</v>
      </c>
      <c r="G1048" s="99" t="str">
        <f t="shared" si="150"/>
        <v>CP955-NEW DONOR -3rd</v>
      </c>
      <c r="H1048" s="182"/>
      <c r="I1048" s="34" t="s">
        <v>39</v>
      </c>
      <c r="J1048" s="58">
        <v>100</v>
      </c>
      <c r="K1048" s="62">
        <v>100</v>
      </c>
      <c r="L1048" s="58">
        <v>100</v>
      </c>
      <c r="M1048" s="58">
        <v>125</v>
      </c>
      <c r="N1048" s="58">
        <v>125</v>
      </c>
      <c r="O1048" s="58">
        <v>125</v>
      </c>
      <c r="P1048" s="58">
        <v>125</v>
      </c>
      <c r="Q1048" s="58">
        <v>100</v>
      </c>
      <c r="R1048" s="23"/>
      <c r="S1048" s="117" t="str">
        <f t="shared" si="146"/>
        <v>Y</v>
      </c>
      <c r="T1048" s="114">
        <f>IFERROR(SUMIF('Current NLData'!A:A,'Payment Changes'!G1048,'Current NLData'!K:K)/COUNTIF('Current NLData'!A:A,'Payment Changes'!G1048),0)+IFERROR(VLOOKUP(G1048&amp;"-ALL",NLPaymentExport,10,FALSE),0)</f>
        <v>125</v>
      </c>
      <c r="U1048" s="118">
        <f t="shared" si="147"/>
        <v>25</v>
      </c>
    </row>
    <row r="1049" spans="1:54" ht="17.100000000000001" hidden="1" customHeight="1" outlineLevel="1" x14ac:dyDescent="0.25">
      <c r="A1049" s="3"/>
      <c r="C1049" s="4"/>
      <c r="D1049" s="181"/>
      <c r="E1049" s="91" t="str">
        <f t="shared" si="148"/>
        <v>Hendersonville</v>
      </c>
      <c r="F1049" s="93" t="str">
        <f t="shared" si="149"/>
        <v>CP955</v>
      </c>
      <c r="G1049" s="99" t="str">
        <f t="shared" si="150"/>
        <v>CP955-NEW DONOR -4th</v>
      </c>
      <c r="H1049" s="182"/>
      <c r="I1049" s="34" t="s">
        <v>40</v>
      </c>
      <c r="J1049" s="58">
        <v>45</v>
      </c>
      <c r="K1049" s="62">
        <v>45</v>
      </c>
      <c r="L1049" s="58">
        <v>45</v>
      </c>
      <c r="M1049" s="58">
        <v>45</v>
      </c>
      <c r="N1049" s="58">
        <v>45</v>
      </c>
      <c r="O1049" s="58">
        <v>125</v>
      </c>
      <c r="P1049" s="58">
        <v>125</v>
      </c>
      <c r="Q1049" s="58">
        <v>100</v>
      </c>
      <c r="R1049" s="23"/>
      <c r="S1049" s="117" t="str">
        <f t="shared" si="146"/>
        <v>Y</v>
      </c>
      <c r="T1049" s="114">
        <f>IFERROR(SUMIF('Current NLData'!A:A,'Payment Changes'!G1049,'Current NLData'!K:K)/COUNTIF('Current NLData'!A:A,'Payment Changes'!G1049),0)+IFERROR(VLOOKUP(G1049&amp;"-ALL",NLPaymentExport,10,FALSE),0)</f>
        <v>125</v>
      </c>
      <c r="U1049" s="118">
        <f t="shared" si="147"/>
        <v>25</v>
      </c>
    </row>
    <row r="1050" spans="1:54" ht="17.100000000000001" hidden="1" customHeight="1" outlineLevel="1" x14ac:dyDescent="0.25">
      <c r="A1050" s="3"/>
      <c r="C1050" s="4"/>
      <c r="D1050" s="181"/>
      <c r="E1050" s="91" t="str">
        <f t="shared" si="148"/>
        <v>Hendersonville</v>
      </c>
      <c r="F1050" s="93" t="str">
        <f t="shared" si="149"/>
        <v>CP955</v>
      </c>
      <c r="G1050" s="99" t="str">
        <f t="shared" si="150"/>
        <v>CP955-NEW DONOR -5th</v>
      </c>
      <c r="H1050" s="182"/>
      <c r="I1050" s="34" t="s">
        <v>41</v>
      </c>
      <c r="J1050" s="58">
        <v>70</v>
      </c>
      <c r="K1050" s="62">
        <v>70</v>
      </c>
      <c r="L1050" s="58">
        <v>45</v>
      </c>
      <c r="M1050" s="58">
        <v>45</v>
      </c>
      <c r="N1050" s="58">
        <v>45</v>
      </c>
      <c r="O1050" s="58">
        <v>125</v>
      </c>
      <c r="P1050" s="58">
        <v>125</v>
      </c>
      <c r="Q1050" s="58">
        <v>100</v>
      </c>
      <c r="R1050" s="23"/>
      <c r="S1050" s="117" t="str">
        <f t="shared" si="146"/>
        <v>Y</v>
      </c>
      <c r="T1050" s="114">
        <f>IFERROR(SUMIF('Current NLData'!A:A,'Payment Changes'!G1050,'Current NLData'!K:K)/COUNTIF('Current NLData'!A:A,'Payment Changes'!G1050),0)+IFERROR(VLOOKUP(G1050&amp;"-ALL",NLPaymentExport,10,FALSE),0)</f>
        <v>125</v>
      </c>
      <c r="U1050" s="118">
        <f t="shared" si="147"/>
        <v>25</v>
      </c>
    </row>
    <row r="1051" spans="1:54" ht="17.100000000000001" hidden="1" customHeight="1" outlineLevel="1" x14ac:dyDescent="0.25">
      <c r="A1051" s="3"/>
      <c r="C1051" s="4"/>
      <c r="D1051" s="181"/>
      <c r="E1051" s="91" t="str">
        <f t="shared" si="148"/>
        <v>Hendersonville</v>
      </c>
      <c r="F1051" s="93" t="str">
        <f t="shared" si="149"/>
        <v>CP955</v>
      </c>
      <c r="G1051" s="99" t="str">
        <f t="shared" si="150"/>
        <v>CP955-NEW DONOR -6th</v>
      </c>
      <c r="H1051" s="182"/>
      <c r="I1051" s="34" t="s">
        <v>42</v>
      </c>
      <c r="J1051" s="58">
        <v>45</v>
      </c>
      <c r="K1051" s="62">
        <v>45</v>
      </c>
      <c r="L1051" s="58">
        <v>45</v>
      </c>
      <c r="M1051" s="58">
        <v>45</v>
      </c>
      <c r="N1051" s="58">
        <v>45</v>
      </c>
      <c r="O1051" s="58">
        <v>45</v>
      </c>
      <c r="P1051" s="58">
        <v>45</v>
      </c>
      <c r="Q1051" s="58">
        <v>45</v>
      </c>
      <c r="R1051" s="23"/>
      <c r="S1051" s="117" t="str">
        <f t="shared" si="146"/>
        <v>N</v>
      </c>
      <c r="T1051" s="114">
        <f>IFERROR(SUMIF('Current NLData'!A:A,'Payment Changes'!G1051,'Current NLData'!K:K)/COUNTIF('Current NLData'!A:A,'Payment Changes'!G1051),0)+IFERROR(VLOOKUP(G1051&amp;"-ALL",NLPaymentExport,10,FALSE),0)</f>
        <v>45</v>
      </c>
      <c r="U1051" s="118">
        <f t="shared" si="147"/>
        <v>0</v>
      </c>
    </row>
    <row r="1052" spans="1:54" ht="17.100000000000001" hidden="1" customHeight="1" outlineLevel="1" x14ac:dyDescent="0.25">
      <c r="A1052" s="3"/>
      <c r="C1052" s="4"/>
      <c r="D1052" s="181"/>
      <c r="E1052" s="91" t="str">
        <f t="shared" si="148"/>
        <v>Hendersonville</v>
      </c>
      <c r="F1052" s="93" t="str">
        <f t="shared" si="149"/>
        <v>CP955</v>
      </c>
      <c r="G1052" s="99" t="str">
        <f t="shared" si="150"/>
        <v>CP955-NEW DONOR -7th</v>
      </c>
      <c r="H1052" s="182"/>
      <c r="I1052" s="34" t="s">
        <v>43</v>
      </c>
      <c r="J1052" s="58">
        <v>70</v>
      </c>
      <c r="K1052" s="62">
        <v>70</v>
      </c>
      <c r="L1052" s="58">
        <v>45</v>
      </c>
      <c r="M1052" s="58">
        <v>45</v>
      </c>
      <c r="N1052" s="58">
        <v>45</v>
      </c>
      <c r="O1052" s="58">
        <v>45</v>
      </c>
      <c r="P1052" s="58">
        <v>45</v>
      </c>
      <c r="Q1052" s="58">
        <v>45</v>
      </c>
      <c r="R1052" s="23"/>
      <c r="S1052" s="117" t="str">
        <f t="shared" si="146"/>
        <v>N</v>
      </c>
      <c r="T1052" s="114">
        <f>IFERROR(SUMIF('Current NLData'!A:A,'Payment Changes'!G1052,'Current NLData'!K:K)/COUNTIF('Current NLData'!A:A,'Payment Changes'!G1052),0)+IFERROR(VLOOKUP(G1052&amp;"-ALL",NLPaymentExport,10,FALSE),0)</f>
        <v>45</v>
      </c>
      <c r="U1052" s="118">
        <f t="shared" si="147"/>
        <v>0</v>
      </c>
    </row>
    <row r="1053" spans="1:54" ht="17.100000000000001" hidden="1" customHeight="1" outlineLevel="1" x14ac:dyDescent="0.25">
      <c r="A1053" s="3"/>
      <c r="C1053" s="4"/>
      <c r="D1053" s="181"/>
      <c r="E1053" s="91" t="str">
        <f t="shared" si="148"/>
        <v>Hendersonville</v>
      </c>
      <c r="F1053" s="93" t="str">
        <f t="shared" si="149"/>
        <v>CP955</v>
      </c>
      <c r="G1053" s="99" t="str">
        <f t="shared" si="150"/>
        <v>CP955-NEW DONOR -8th</v>
      </c>
      <c r="H1053" s="182"/>
      <c r="I1053" s="35" t="s">
        <v>44</v>
      </c>
      <c r="J1053" s="63">
        <v>45</v>
      </c>
      <c r="K1053" s="64">
        <v>45</v>
      </c>
      <c r="L1053" s="63">
        <v>45</v>
      </c>
      <c r="M1053" s="63">
        <v>45</v>
      </c>
      <c r="N1053" s="63">
        <v>45</v>
      </c>
      <c r="O1053" s="63">
        <v>45</v>
      </c>
      <c r="P1053" s="63">
        <v>45</v>
      </c>
      <c r="Q1053" s="63">
        <v>45</v>
      </c>
      <c r="R1053" s="23"/>
      <c r="S1053" s="117" t="str">
        <f t="shared" si="146"/>
        <v>N</v>
      </c>
      <c r="T1053" s="114">
        <f>IFERROR(SUMIF('Current NLData'!A:A,'Payment Changes'!G1053,'Current NLData'!K:K)/COUNTIF('Current NLData'!A:A,'Payment Changes'!G1053),0)+IFERROR(VLOOKUP(G1053&amp;"-ALL",NLPaymentExport,10,FALSE),0)</f>
        <v>45</v>
      </c>
      <c r="U1053" s="118">
        <f t="shared" si="147"/>
        <v>0</v>
      </c>
    </row>
    <row r="1054" spans="1:54" ht="17.100000000000001" hidden="1" customHeight="1" outlineLevel="1" x14ac:dyDescent="0.25">
      <c r="A1054" s="3"/>
      <c r="C1054" s="4"/>
      <c r="D1054" s="181"/>
      <c r="E1054" s="91" t="str">
        <f t="shared" si="148"/>
        <v>Hendersonville</v>
      </c>
      <c r="F1054" s="93" t="str">
        <f t="shared" si="149"/>
        <v>CP955</v>
      </c>
      <c r="G1054" s="99" t="str">
        <f t="shared" si="150"/>
        <v>CP955-RETURN - 1st don of the week -STD</v>
      </c>
      <c r="H1054" s="182"/>
      <c r="I1054" s="36" t="s">
        <v>45</v>
      </c>
      <c r="J1054" s="58">
        <v>45</v>
      </c>
      <c r="K1054" s="58">
        <v>45</v>
      </c>
      <c r="L1054" s="58">
        <v>45</v>
      </c>
      <c r="M1054" s="58">
        <v>45</v>
      </c>
      <c r="N1054" s="58">
        <v>45</v>
      </c>
      <c r="O1054" s="58">
        <v>45</v>
      </c>
      <c r="P1054" s="58">
        <v>45</v>
      </c>
      <c r="Q1054" s="58">
        <v>45</v>
      </c>
      <c r="R1054" s="22"/>
      <c r="S1054" s="117" t="str">
        <f t="shared" si="146"/>
        <v>N</v>
      </c>
      <c r="T1054" s="114">
        <f>IFERROR(SUMIF('Current NLData'!A:A,'Payment Changes'!G1054,'Current NLData'!K:K)/COUNTIF('Current NLData'!A:A,'Payment Changes'!G1054),0)+IFERROR(VLOOKUP(G1054&amp;"-ALL",NLPaymentExport,10,FALSE),0)</f>
        <v>45</v>
      </c>
      <c r="U1054" s="118">
        <f t="shared" si="147"/>
        <v>0</v>
      </c>
    </row>
    <row r="1055" spans="1:54" ht="17.100000000000001" hidden="1" customHeight="1" outlineLevel="1" x14ac:dyDescent="0.25">
      <c r="A1055" s="3"/>
      <c r="C1055" s="4"/>
      <c r="D1055" s="181"/>
      <c r="E1055" s="91" t="str">
        <f t="shared" si="148"/>
        <v>Hendersonville</v>
      </c>
      <c r="F1055" s="93" t="str">
        <f t="shared" si="149"/>
        <v>CP955</v>
      </c>
      <c r="G1055" s="99" t="str">
        <f t="shared" si="150"/>
        <v>CP955-RETURN - 2nd don of the week -BONUS</v>
      </c>
      <c r="H1055" s="182"/>
      <c r="I1055" s="36" t="s">
        <v>46</v>
      </c>
      <c r="J1055" s="58">
        <v>25</v>
      </c>
      <c r="K1055" s="58">
        <v>25</v>
      </c>
      <c r="L1055" s="58">
        <v>20</v>
      </c>
      <c r="M1055" s="58">
        <v>20</v>
      </c>
      <c r="N1055" s="58">
        <v>20</v>
      </c>
      <c r="O1055" s="58">
        <v>20</v>
      </c>
      <c r="P1055" s="58">
        <v>20</v>
      </c>
      <c r="Q1055" s="58">
        <v>30</v>
      </c>
      <c r="R1055" s="22"/>
      <c r="S1055" s="117" t="str">
        <f t="shared" si="146"/>
        <v>Y</v>
      </c>
      <c r="T1055" s="114">
        <f>IFERROR(SUMIF('Current NLData'!A:A,'Payment Changes'!G1055,'Current NLData'!K:K)/COUNTIF('Current NLData'!A:A,'Payment Changes'!G1055),0)+IFERROR(VLOOKUP(G1055&amp;"-ALL",NLPaymentExport,10,FALSE),0)</f>
        <v>20</v>
      </c>
      <c r="U1055" s="118">
        <f t="shared" si="147"/>
        <v>-10</v>
      </c>
    </row>
    <row r="1056" spans="1:54" ht="17.100000000000001" hidden="1" customHeight="1" outlineLevel="1" x14ac:dyDescent="0.25">
      <c r="A1056" s="3"/>
      <c r="C1056" s="4"/>
      <c r="D1056" s="181"/>
      <c r="E1056" s="91" t="str">
        <f t="shared" si="148"/>
        <v>Hendersonville</v>
      </c>
      <c r="F1056" s="93" t="str">
        <f t="shared" si="149"/>
        <v>CP955</v>
      </c>
      <c r="G1056" s="99" t="str">
        <f t="shared" si="150"/>
        <v>CP955-RETURN - 5th don of the month -BONUS</v>
      </c>
      <c r="H1056" s="182"/>
      <c r="I1056" s="37" t="s">
        <v>47</v>
      </c>
      <c r="J1056" s="65">
        <v>0</v>
      </c>
      <c r="K1056" s="65">
        <v>0</v>
      </c>
      <c r="L1056" s="65">
        <v>0</v>
      </c>
      <c r="M1056" s="65">
        <v>0</v>
      </c>
      <c r="N1056" s="65">
        <v>0</v>
      </c>
      <c r="O1056" s="65">
        <v>0</v>
      </c>
      <c r="P1056" s="65">
        <v>0</v>
      </c>
      <c r="Q1056" s="65">
        <v>0</v>
      </c>
      <c r="R1056" s="22"/>
      <c r="S1056" s="117" t="str">
        <f t="shared" si="146"/>
        <v>N</v>
      </c>
      <c r="T1056" s="114">
        <f>IFERROR(SUMIF('Current NLData'!A:A,'Payment Changes'!G1056,'Current NLData'!K:K)/COUNTIF('Current NLData'!A:A,'Payment Changes'!G1056),0)+IFERROR(VLOOKUP(G1056&amp;"-ALL",NLPaymentExport,10,FALSE),0)</f>
        <v>0</v>
      </c>
      <c r="U1056" s="118">
        <f t="shared" si="147"/>
        <v>0</v>
      </c>
    </row>
    <row r="1057" spans="1:54" ht="17.100000000000001" hidden="1" customHeight="1" outlineLevel="1" x14ac:dyDescent="0.25">
      <c r="A1057" s="3"/>
      <c r="C1057" s="4"/>
      <c r="D1057" s="181"/>
      <c r="E1057" s="91" t="str">
        <f t="shared" si="148"/>
        <v>Hendersonville</v>
      </c>
      <c r="F1057" s="93" t="str">
        <f t="shared" si="149"/>
        <v>CP955</v>
      </c>
      <c r="G1057" s="99" t="str">
        <f t="shared" si="150"/>
        <v>CP955-RETURN - 6th don of the month -BONUS</v>
      </c>
      <c r="H1057" s="182"/>
      <c r="I1057" s="38" t="s">
        <v>48</v>
      </c>
      <c r="J1057" s="58">
        <v>20</v>
      </c>
      <c r="K1057" s="58">
        <v>20</v>
      </c>
      <c r="L1057" s="58">
        <v>20</v>
      </c>
      <c r="M1057" s="58">
        <v>20</v>
      </c>
      <c r="N1057" s="58">
        <v>20</v>
      </c>
      <c r="O1057" s="58">
        <v>50</v>
      </c>
      <c r="P1057" s="58">
        <v>50</v>
      </c>
      <c r="Q1057" s="58">
        <v>50</v>
      </c>
      <c r="R1057" s="22"/>
      <c r="S1057" s="117" t="str">
        <f t="shared" si="146"/>
        <v>N</v>
      </c>
      <c r="T1057" s="114">
        <f>IFERROR(SUMIF('Current NLData'!A:A,'Payment Changes'!G1057,'Current NLData'!K:K)/COUNTIF('Current NLData'!A:A,'Payment Changes'!G1057),0)+IFERROR(VLOOKUP(G1057&amp;"-ALL",NLPaymentExport,10,FALSE),0)</f>
        <v>50</v>
      </c>
      <c r="U1057" s="118">
        <f t="shared" si="147"/>
        <v>0</v>
      </c>
    </row>
    <row r="1058" spans="1:54" ht="17.100000000000001" hidden="1" customHeight="1" outlineLevel="1" x14ac:dyDescent="0.25">
      <c r="A1058" s="3"/>
      <c r="C1058" s="4"/>
      <c r="D1058" s="181"/>
      <c r="E1058" s="91" t="str">
        <f t="shared" si="148"/>
        <v>Hendersonville</v>
      </c>
      <c r="F1058" s="93" t="str">
        <f t="shared" si="149"/>
        <v>CP955</v>
      </c>
      <c r="G1058" s="99" t="str">
        <f t="shared" si="150"/>
        <v>CP955-RETURN - 7th don of the month -BONUS</v>
      </c>
      <c r="H1058" s="182"/>
      <c r="I1058" s="38" t="s">
        <v>49</v>
      </c>
      <c r="J1058" s="58">
        <v>0</v>
      </c>
      <c r="K1058" s="58">
        <v>0</v>
      </c>
      <c r="L1058" s="58">
        <v>0</v>
      </c>
      <c r="M1058" s="58">
        <v>0</v>
      </c>
      <c r="N1058" s="58">
        <v>0</v>
      </c>
      <c r="O1058" s="58">
        <v>0</v>
      </c>
      <c r="P1058" s="58">
        <v>0</v>
      </c>
      <c r="Q1058" s="58">
        <v>0</v>
      </c>
      <c r="R1058" s="22"/>
      <c r="S1058" s="117" t="str">
        <f t="shared" si="146"/>
        <v>N</v>
      </c>
      <c r="T1058" s="114">
        <f>IFERROR(SUMIF('Current NLData'!A:A,'Payment Changes'!G1058,'Current NLData'!K:K)/COUNTIF('Current NLData'!A:A,'Payment Changes'!G1058),0)+IFERROR(VLOOKUP(G1058&amp;"-ALL",NLPaymentExport,10,FALSE),0)</f>
        <v>0</v>
      </c>
      <c r="U1058" s="118">
        <f t="shared" si="147"/>
        <v>0</v>
      </c>
    </row>
    <row r="1059" spans="1:54" ht="17.100000000000001" hidden="1" customHeight="1" outlineLevel="1" x14ac:dyDescent="0.25">
      <c r="A1059" s="3"/>
      <c r="C1059" s="4"/>
      <c r="D1059" s="181"/>
      <c r="E1059" s="91" t="str">
        <f t="shared" si="148"/>
        <v>Hendersonville</v>
      </c>
      <c r="F1059" s="93" t="str">
        <f t="shared" si="149"/>
        <v>CP955</v>
      </c>
      <c r="G1059" s="99" t="str">
        <f t="shared" si="150"/>
        <v>CP955-RETURN - 8th don of the month -BONUS</v>
      </c>
      <c r="H1059" s="182"/>
      <c r="I1059" s="38" t="s">
        <v>50</v>
      </c>
      <c r="J1059" s="58">
        <v>0</v>
      </c>
      <c r="K1059" s="58">
        <v>0</v>
      </c>
      <c r="L1059" s="58">
        <v>0</v>
      </c>
      <c r="M1059" s="58">
        <v>0</v>
      </c>
      <c r="N1059" s="58">
        <v>0</v>
      </c>
      <c r="O1059" s="58">
        <v>0</v>
      </c>
      <c r="P1059" s="58">
        <v>0</v>
      </c>
      <c r="Q1059" s="58">
        <v>0</v>
      </c>
      <c r="R1059" s="22"/>
      <c r="S1059" s="117" t="str">
        <f t="shared" si="146"/>
        <v>N</v>
      </c>
      <c r="T1059" s="114">
        <f>IFERROR(SUMIF('Current NLData'!A:A,'Payment Changes'!G1059,'Current NLData'!K:K)/COUNTIF('Current NLData'!A:A,'Payment Changes'!G1059),0)+IFERROR(VLOOKUP(G1059&amp;"-ALL",NLPaymentExport,10,FALSE),0)</f>
        <v>0</v>
      </c>
      <c r="U1059" s="118">
        <f t="shared" si="147"/>
        <v>0</v>
      </c>
    </row>
    <row r="1060" spans="1:54" ht="17.100000000000001" hidden="1" customHeight="1" outlineLevel="1" x14ac:dyDescent="0.25">
      <c r="A1060" s="3"/>
      <c r="C1060" s="4" t="str">
        <f>IF(J1060=0,"Warning","")</f>
        <v/>
      </c>
      <c r="D1060" s="181"/>
      <c r="E1060" s="91" t="str">
        <f t="shared" si="148"/>
        <v>Hendersonville</v>
      </c>
      <c r="F1060" s="93" t="str">
        <f t="shared" si="149"/>
        <v>CP955</v>
      </c>
      <c r="G1060" s="99" t="str">
        <f t="shared" si="150"/>
        <v>CP955-RETURN - Buddy referral  -BONUS</v>
      </c>
      <c r="H1060" s="182"/>
      <c r="I1060" s="39" t="s">
        <v>51</v>
      </c>
      <c r="J1060" s="58">
        <v>50</v>
      </c>
      <c r="K1060" s="62">
        <v>0</v>
      </c>
      <c r="L1060" s="58">
        <v>0</v>
      </c>
      <c r="M1060" s="58">
        <v>0</v>
      </c>
      <c r="N1060" s="58">
        <v>0</v>
      </c>
      <c r="O1060" s="58">
        <v>50</v>
      </c>
      <c r="P1060" s="58">
        <v>50</v>
      </c>
      <c r="Q1060" s="58">
        <v>50</v>
      </c>
      <c r="R1060" s="23"/>
      <c r="S1060" s="117" t="str">
        <f t="shared" si="146"/>
        <v>N</v>
      </c>
      <c r="T1060" s="114">
        <f>IFERROR(SUMIF('Current NLData'!A:A,'Payment Changes'!G1060,'Current NLData'!K:K)/COUNTIF('Current NLData'!A:A,'Payment Changes'!G1060),0)+IFERROR(VLOOKUP(G1060&amp;"-ALL",NLPaymentExport,10,FALSE),0)</f>
        <v>50</v>
      </c>
      <c r="U1060" s="118">
        <f t="shared" si="147"/>
        <v>0</v>
      </c>
    </row>
    <row r="1061" spans="1:54" s="90" customFormat="1" ht="17.100000000000001" hidden="1" customHeight="1" collapsed="1" x14ac:dyDescent="0.35">
      <c r="A1061" s="85"/>
      <c r="B1061" s="85"/>
      <c r="C1061" s="86"/>
      <c r="D1061" s="87"/>
      <c r="E1061" s="87"/>
      <c r="F1061" s="87"/>
      <c r="G1061" s="87"/>
      <c r="H1061" s="96"/>
      <c r="I1061" s="88"/>
      <c r="J1061" s="89"/>
      <c r="K1061" s="89"/>
      <c r="L1061" s="89"/>
      <c r="M1061" s="89"/>
      <c r="N1061" s="89"/>
      <c r="O1061" s="89"/>
      <c r="P1061" s="89"/>
      <c r="Q1061" s="89"/>
      <c r="R1061" s="21"/>
      <c r="S1061" s="117" t="str">
        <f t="shared" si="146"/>
        <v>N</v>
      </c>
      <c r="T1061" s="114">
        <f>IFERROR(SUMIF('Current NLData'!A:A,'Payment Changes'!G1061,'Current NLData'!K:K)/COUNTIF('Current NLData'!A:A,'Payment Changes'!G1061),0)+IFERROR(VLOOKUP(G1061&amp;"-ALL",NLPaymentExport,10,FALSE),0)</f>
        <v>0</v>
      </c>
      <c r="U1061" s="118" t="str">
        <f t="shared" si="147"/>
        <v/>
      </c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</row>
    <row r="1062" spans="1:54" s="10" customFormat="1" ht="17.100000000000001" hidden="1" customHeight="1" x14ac:dyDescent="0.25">
      <c r="A1062" s="165">
        <v>54</v>
      </c>
      <c r="B1062" s="168" t="s">
        <v>339</v>
      </c>
      <c r="C1062" s="171" t="s">
        <v>106</v>
      </c>
      <c r="D1062" s="174" t="s">
        <v>157</v>
      </c>
      <c r="E1062" s="106" t="str">
        <f t="shared" si="148"/>
        <v>Rocky Mount</v>
      </c>
      <c r="F1062" s="107" t="s">
        <v>340</v>
      </c>
      <c r="G1062" s="108" t="str">
        <f t="shared" ref="G1062:G1080" si="151">F1062&amp;"-"&amp;I1062</f>
        <v>CP957-New Donor</v>
      </c>
      <c r="H1062" s="177" t="s">
        <v>147</v>
      </c>
      <c r="I1062" s="76" t="s">
        <v>23</v>
      </c>
      <c r="J1062" s="40" t="s">
        <v>316</v>
      </c>
      <c r="K1062" s="41" t="s">
        <v>341</v>
      </c>
      <c r="L1062" s="41" t="s">
        <v>317</v>
      </c>
      <c r="M1062" s="42" t="s">
        <v>317</v>
      </c>
      <c r="N1062" s="40" t="s">
        <v>317</v>
      </c>
      <c r="O1062" s="40" t="s">
        <v>317</v>
      </c>
      <c r="P1062" s="40" t="s">
        <v>317</v>
      </c>
      <c r="Q1062" s="40" t="s">
        <v>317</v>
      </c>
      <c r="R1062" s="109"/>
      <c r="S1062" s="117" t="str">
        <f t="shared" si="146"/>
        <v>N</v>
      </c>
      <c r="T1062" s="114">
        <f>IFERROR(SUMIF('Current NLData'!A:A,'Payment Changes'!G1062,'Current NLData'!K:K)/COUNTIF('Current NLData'!A:A,'Payment Changes'!G1062),0)+IFERROR(VLOOKUP(G1062&amp;"-ALL",NLPaymentExport,10,FALSE),0)</f>
        <v>0</v>
      </c>
      <c r="U1062" s="118" t="str">
        <f t="shared" si="147"/>
        <v/>
      </c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</row>
    <row r="1063" spans="1:54" ht="17.100000000000001" hidden="1" customHeight="1" x14ac:dyDescent="0.25">
      <c r="A1063" s="166"/>
      <c r="B1063" s="169"/>
      <c r="C1063" s="172"/>
      <c r="D1063" s="175"/>
      <c r="E1063" s="91" t="str">
        <f t="shared" si="148"/>
        <v>Rocky Mount</v>
      </c>
      <c r="F1063" s="92" t="s">
        <v>340</v>
      </c>
      <c r="G1063" s="98" t="str">
        <f t="shared" si="151"/>
        <v>CP957-Return Donor</v>
      </c>
      <c r="H1063" s="178"/>
      <c r="I1063" s="77" t="s">
        <v>29</v>
      </c>
      <c r="J1063" s="43" t="s">
        <v>194</v>
      </c>
      <c r="K1063" s="43" t="s">
        <v>194</v>
      </c>
      <c r="L1063" s="44" t="s">
        <v>194</v>
      </c>
      <c r="M1063" s="45" t="s">
        <v>194</v>
      </c>
      <c r="N1063" s="43" t="s">
        <v>194</v>
      </c>
      <c r="O1063" s="43" t="s">
        <v>194</v>
      </c>
      <c r="P1063" s="43" t="s">
        <v>194</v>
      </c>
      <c r="Q1063" s="43" t="s">
        <v>194</v>
      </c>
      <c r="R1063" s="21"/>
      <c r="S1063" s="117" t="str">
        <f t="shared" si="146"/>
        <v>N</v>
      </c>
      <c r="T1063" s="114">
        <f>IFERROR(SUMIF('Current NLData'!A:A,'Payment Changes'!G1063,'Current NLData'!K:K)/COUNTIF('Current NLData'!A:A,'Payment Changes'!G1063),0)+IFERROR(VLOOKUP(G1063&amp;"-ALL",NLPaymentExport,10,FALSE),0)</f>
        <v>0</v>
      </c>
      <c r="U1063" s="118" t="str">
        <f t="shared" si="147"/>
        <v/>
      </c>
    </row>
    <row r="1064" spans="1:54" ht="17.100000000000001" hidden="1" customHeight="1" x14ac:dyDescent="0.25">
      <c r="A1064" s="166"/>
      <c r="B1064" s="169"/>
      <c r="C1064" s="172"/>
      <c r="D1064" s="175"/>
      <c r="E1064" s="91" t="str">
        <f t="shared" si="148"/>
        <v>Rocky Mount</v>
      </c>
      <c r="F1064" s="92" t="s">
        <v>340</v>
      </c>
      <c r="G1064" s="98" t="str">
        <f t="shared" si="151"/>
        <v>CP957-Retention Bonus</v>
      </c>
      <c r="H1064" s="178"/>
      <c r="I1064" s="78" t="s">
        <v>30</v>
      </c>
      <c r="J1064" s="46" t="s">
        <v>163</v>
      </c>
      <c r="K1064" s="46" t="s">
        <v>163</v>
      </c>
      <c r="L1064" s="47" t="s">
        <v>342</v>
      </c>
      <c r="M1064" s="48" t="s">
        <v>342</v>
      </c>
      <c r="N1064" s="46" t="s">
        <v>342</v>
      </c>
      <c r="O1064" s="46" t="s">
        <v>342</v>
      </c>
      <c r="P1064" s="46" t="s">
        <v>342</v>
      </c>
      <c r="Q1064" s="46" t="s">
        <v>342</v>
      </c>
      <c r="R1064" s="21"/>
      <c r="S1064" s="117" t="str">
        <f t="shared" si="146"/>
        <v>N</v>
      </c>
      <c r="T1064" s="114">
        <f>IFERROR(SUMIF('Current NLData'!A:A,'Payment Changes'!G1064,'Current NLData'!K:K)/COUNTIF('Current NLData'!A:A,'Payment Changes'!G1064),0)+IFERROR(VLOOKUP(G1064&amp;"-ALL",NLPaymentExport,10,FALSE),0)</f>
        <v>0</v>
      </c>
      <c r="U1064" s="118" t="str">
        <f t="shared" si="147"/>
        <v/>
      </c>
    </row>
    <row r="1065" spans="1:54" s="15" customFormat="1" ht="17.100000000000001" hidden="1" customHeight="1" x14ac:dyDescent="0.25">
      <c r="A1065" s="167"/>
      <c r="B1065" s="170"/>
      <c r="C1065" s="173"/>
      <c r="D1065" s="176"/>
      <c r="E1065" s="110" t="str">
        <f t="shared" si="148"/>
        <v>Rocky Mount</v>
      </c>
      <c r="F1065" s="111" t="s">
        <v>340</v>
      </c>
      <c r="G1065" s="112" t="str">
        <f t="shared" si="151"/>
        <v>CP957-Referral</v>
      </c>
      <c r="H1065" s="179"/>
      <c r="I1065" s="79" t="s">
        <v>34</v>
      </c>
      <c r="J1065" s="49">
        <v>0</v>
      </c>
      <c r="K1065" s="49">
        <v>0</v>
      </c>
      <c r="L1065" s="50" t="s">
        <v>32</v>
      </c>
      <c r="M1065" s="50">
        <v>50</v>
      </c>
      <c r="N1065" s="49">
        <v>50</v>
      </c>
      <c r="O1065" s="49">
        <v>50</v>
      </c>
      <c r="P1065" s="49">
        <v>50</v>
      </c>
      <c r="Q1065" s="49">
        <v>50</v>
      </c>
      <c r="R1065" s="113"/>
      <c r="S1065" s="117" t="str">
        <f t="shared" si="146"/>
        <v>N</v>
      </c>
      <c r="T1065" s="114">
        <f>IFERROR(SUMIF('Current NLData'!A:A,'Payment Changes'!G1065,'Current NLData'!K:K)/COUNTIF('Current NLData'!A:A,'Payment Changes'!G1065),0)+IFERROR(VLOOKUP(G1065&amp;"-ALL",NLPaymentExport,10,FALSE),0)</f>
        <v>0</v>
      </c>
      <c r="U1065" s="118" t="str">
        <f t="shared" si="147"/>
        <v/>
      </c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</row>
    <row r="1066" spans="1:54" ht="17.100000000000001" hidden="1" customHeight="1" outlineLevel="1" x14ac:dyDescent="0.25">
      <c r="A1066" s="3"/>
      <c r="C1066" s="4"/>
      <c r="D1066" s="180" t="s">
        <v>340</v>
      </c>
      <c r="E1066" s="91" t="str">
        <f t="shared" si="148"/>
        <v>Rocky Mount</v>
      </c>
      <c r="F1066" s="93" t="str">
        <f t="shared" si="149"/>
        <v>CP957</v>
      </c>
      <c r="G1066" s="99" t="str">
        <f t="shared" si="151"/>
        <v>CP957-NEW DONOR -1st</v>
      </c>
      <c r="H1066" s="182" t="s">
        <v>36</v>
      </c>
      <c r="I1066" s="33" t="s">
        <v>37</v>
      </c>
      <c r="J1066" s="60">
        <v>100</v>
      </c>
      <c r="K1066" s="61">
        <v>100</v>
      </c>
      <c r="L1066" s="60">
        <v>100</v>
      </c>
      <c r="M1066" s="60">
        <v>100</v>
      </c>
      <c r="N1066" s="60">
        <v>100</v>
      </c>
      <c r="O1066" s="60">
        <v>100</v>
      </c>
      <c r="P1066" s="60">
        <v>100</v>
      </c>
      <c r="Q1066" s="60">
        <v>100</v>
      </c>
      <c r="R1066" s="23"/>
      <c r="S1066" s="117" t="str">
        <f t="shared" si="146"/>
        <v>N</v>
      </c>
      <c r="T1066" s="114">
        <f>IFERROR(SUMIF('Current NLData'!A:A,'Payment Changes'!G1066,'Current NLData'!K:K)/COUNTIF('Current NLData'!A:A,'Payment Changes'!G1066),0)+IFERROR(VLOOKUP(G1066&amp;"-ALL",NLPaymentExport,10,FALSE),0)</f>
        <v>100</v>
      </c>
      <c r="U1066" s="118">
        <f t="shared" si="147"/>
        <v>0</v>
      </c>
    </row>
    <row r="1067" spans="1:54" ht="17.100000000000001" hidden="1" customHeight="1" outlineLevel="1" x14ac:dyDescent="0.25">
      <c r="A1067" s="3"/>
      <c r="C1067" s="4"/>
      <c r="D1067" s="181"/>
      <c r="E1067" s="91" t="str">
        <f t="shared" si="148"/>
        <v>Rocky Mount</v>
      </c>
      <c r="F1067" s="93" t="str">
        <f t="shared" si="149"/>
        <v>CP957</v>
      </c>
      <c r="G1067" s="99" t="str">
        <f t="shared" si="151"/>
        <v>CP957-NEW DONOR -2nd</v>
      </c>
      <c r="H1067" s="182"/>
      <c r="I1067" s="34" t="s">
        <v>38</v>
      </c>
      <c r="J1067" s="58">
        <v>100</v>
      </c>
      <c r="K1067" s="62">
        <v>100</v>
      </c>
      <c r="L1067" s="58">
        <v>100</v>
      </c>
      <c r="M1067" s="58">
        <v>100</v>
      </c>
      <c r="N1067" s="58">
        <v>100</v>
      </c>
      <c r="O1067" s="58">
        <v>100</v>
      </c>
      <c r="P1067" s="58">
        <v>100</v>
      </c>
      <c r="Q1067" s="58">
        <v>100</v>
      </c>
      <c r="R1067" s="23"/>
      <c r="S1067" s="117" t="str">
        <f t="shared" si="146"/>
        <v>N</v>
      </c>
      <c r="T1067" s="114">
        <f>IFERROR(SUMIF('Current NLData'!A:A,'Payment Changes'!G1067,'Current NLData'!K:K)/COUNTIF('Current NLData'!A:A,'Payment Changes'!G1067),0)+IFERROR(VLOOKUP(G1067&amp;"-ALL",NLPaymentExport,10,FALSE),0)</f>
        <v>100</v>
      </c>
      <c r="U1067" s="118">
        <f t="shared" si="147"/>
        <v>0</v>
      </c>
    </row>
    <row r="1068" spans="1:54" ht="17.100000000000001" hidden="1" customHeight="1" outlineLevel="1" x14ac:dyDescent="0.25">
      <c r="A1068" s="3"/>
      <c r="C1068" s="4"/>
      <c r="D1068" s="181"/>
      <c r="E1068" s="91" t="str">
        <f t="shared" si="148"/>
        <v>Rocky Mount</v>
      </c>
      <c r="F1068" s="93" t="str">
        <f t="shared" si="149"/>
        <v>CP957</v>
      </c>
      <c r="G1068" s="99" t="str">
        <f t="shared" si="151"/>
        <v>CP957-NEW DONOR -3rd</v>
      </c>
      <c r="H1068" s="182"/>
      <c r="I1068" s="34" t="s">
        <v>39</v>
      </c>
      <c r="J1068" s="58">
        <v>40</v>
      </c>
      <c r="K1068" s="62">
        <v>40</v>
      </c>
      <c r="L1068" s="58">
        <v>100</v>
      </c>
      <c r="M1068" s="58">
        <v>100</v>
      </c>
      <c r="N1068" s="58">
        <v>100</v>
      </c>
      <c r="O1068" s="58">
        <v>100</v>
      </c>
      <c r="P1068" s="58">
        <v>100</v>
      </c>
      <c r="Q1068" s="58">
        <v>100</v>
      </c>
      <c r="R1068" s="23"/>
      <c r="S1068" s="117" t="str">
        <f t="shared" si="146"/>
        <v>N</v>
      </c>
      <c r="T1068" s="114">
        <f>IFERROR(SUMIF('Current NLData'!A:A,'Payment Changes'!G1068,'Current NLData'!K:K)/COUNTIF('Current NLData'!A:A,'Payment Changes'!G1068),0)+IFERROR(VLOOKUP(G1068&amp;"-ALL",NLPaymentExport,10,FALSE),0)</f>
        <v>100</v>
      </c>
      <c r="U1068" s="118">
        <f t="shared" si="147"/>
        <v>0</v>
      </c>
    </row>
    <row r="1069" spans="1:54" ht="17.100000000000001" hidden="1" customHeight="1" outlineLevel="1" x14ac:dyDescent="0.25">
      <c r="A1069" s="3"/>
      <c r="C1069" s="4"/>
      <c r="D1069" s="181"/>
      <c r="E1069" s="91" t="str">
        <f t="shared" si="148"/>
        <v>Rocky Mount</v>
      </c>
      <c r="F1069" s="93" t="str">
        <f t="shared" si="149"/>
        <v>CP957</v>
      </c>
      <c r="G1069" s="99" t="str">
        <f t="shared" si="151"/>
        <v>CP957-NEW DONOR -4th</v>
      </c>
      <c r="H1069" s="182"/>
      <c r="I1069" s="34" t="s">
        <v>40</v>
      </c>
      <c r="J1069" s="58">
        <v>40</v>
      </c>
      <c r="K1069" s="62">
        <v>90</v>
      </c>
      <c r="L1069" s="58">
        <v>100</v>
      </c>
      <c r="M1069" s="58">
        <v>100</v>
      </c>
      <c r="N1069" s="58">
        <v>100</v>
      </c>
      <c r="O1069" s="58">
        <v>100</v>
      </c>
      <c r="P1069" s="58">
        <v>100</v>
      </c>
      <c r="Q1069" s="58">
        <v>100</v>
      </c>
      <c r="R1069" s="23"/>
      <c r="S1069" s="117" t="str">
        <f t="shared" si="146"/>
        <v>N</v>
      </c>
      <c r="T1069" s="114">
        <f>IFERROR(SUMIF('Current NLData'!A:A,'Payment Changes'!G1069,'Current NLData'!K:K)/COUNTIF('Current NLData'!A:A,'Payment Changes'!G1069),0)+IFERROR(VLOOKUP(G1069&amp;"-ALL",NLPaymentExport,10,FALSE),0)</f>
        <v>100</v>
      </c>
      <c r="U1069" s="118">
        <f t="shared" si="147"/>
        <v>0</v>
      </c>
    </row>
    <row r="1070" spans="1:54" ht="17.100000000000001" hidden="1" customHeight="1" outlineLevel="1" x14ac:dyDescent="0.25">
      <c r="A1070" s="3"/>
      <c r="C1070" s="4"/>
      <c r="D1070" s="181"/>
      <c r="E1070" s="91" t="str">
        <f t="shared" si="148"/>
        <v>Rocky Mount</v>
      </c>
      <c r="F1070" s="93" t="str">
        <f t="shared" si="149"/>
        <v>CP957</v>
      </c>
      <c r="G1070" s="99" t="str">
        <f t="shared" si="151"/>
        <v>CP957-NEW DONOR -5th</v>
      </c>
      <c r="H1070" s="182"/>
      <c r="I1070" s="34" t="s">
        <v>41</v>
      </c>
      <c r="J1070" s="58">
        <v>40</v>
      </c>
      <c r="K1070" s="62">
        <v>40</v>
      </c>
      <c r="L1070" s="58">
        <v>40</v>
      </c>
      <c r="M1070" s="58">
        <v>40</v>
      </c>
      <c r="N1070" s="58">
        <v>40</v>
      </c>
      <c r="O1070" s="58">
        <v>40</v>
      </c>
      <c r="P1070" s="58">
        <v>40</v>
      </c>
      <c r="Q1070" s="58">
        <v>40</v>
      </c>
      <c r="R1070" s="23"/>
      <c r="S1070" s="117" t="str">
        <f t="shared" si="146"/>
        <v>N</v>
      </c>
      <c r="T1070" s="114">
        <f>IFERROR(SUMIF('Current NLData'!A:A,'Payment Changes'!G1070,'Current NLData'!K:K)/COUNTIF('Current NLData'!A:A,'Payment Changes'!G1070),0)+IFERROR(VLOOKUP(G1070&amp;"-ALL",NLPaymentExport,10,FALSE),0)</f>
        <v>40</v>
      </c>
      <c r="U1070" s="118">
        <f t="shared" si="147"/>
        <v>0</v>
      </c>
    </row>
    <row r="1071" spans="1:54" ht="17.100000000000001" hidden="1" customHeight="1" outlineLevel="1" x14ac:dyDescent="0.25">
      <c r="A1071" s="3"/>
      <c r="C1071" s="4"/>
      <c r="D1071" s="181"/>
      <c r="E1071" s="91" t="str">
        <f t="shared" si="148"/>
        <v>Rocky Mount</v>
      </c>
      <c r="F1071" s="93" t="str">
        <f t="shared" si="149"/>
        <v>CP957</v>
      </c>
      <c r="G1071" s="99" t="str">
        <f t="shared" si="151"/>
        <v>CP957-NEW DONOR -6th</v>
      </c>
      <c r="H1071" s="182"/>
      <c r="I1071" s="34" t="s">
        <v>42</v>
      </c>
      <c r="J1071" s="58">
        <v>40</v>
      </c>
      <c r="K1071" s="62">
        <v>90</v>
      </c>
      <c r="L1071" s="58">
        <v>40</v>
      </c>
      <c r="M1071" s="58">
        <v>40</v>
      </c>
      <c r="N1071" s="58">
        <v>40</v>
      </c>
      <c r="O1071" s="58">
        <v>40</v>
      </c>
      <c r="P1071" s="58">
        <v>40</v>
      </c>
      <c r="Q1071" s="58">
        <v>40</v>
      </c>
      <c r="R1071" s="23"/>
      <c r="S1071" s="117" t="str">
        <f t="shared" si="146"/>
        <v>N</v>
      </c>
      <c r="T1071" s="114">
        <f>IFERROR(SUMIF('Current NLData'!A:A,'Payment Changes'!G1071,'Current NLData'!K:K)/COUNTIF('Current NLData'!A:A,'Payment Changes'!G1071),0)+IFERROR(VLOOKUP(G1071&amp;"-ALL",NLPaymentExport,10,FALSE),0)</f>
        <v>40</v>
      </c>
      <c r="U1071" s="118">
        <f t="shared" si="147"/>
        <v>0</v>
      </c>
    </row>
    <row r="1072" spans="1:54" ht="17.100000000000001" hidden="1" customHeight="1" outlineLevel="1" x14ac:dyDescent="0.25">
      <c r="A1072" s="3"/>
      <c r="C1072" s="4"/>
      <c r="D1072" s="181"/>
      <c r="E1072" s="91" t="str">
        <f t="shared" si="148"/>
        <v>Rocky Mount</v>
      </c>
      <c r="F1072" s="93" t="str">
        <f t="shared" si="149"/>
        <v>CP957</v>
      </c>
      <c r="G1072" s="99" t="str">
        <f t="shared" si="151"/>
        <v>CP957-NEW DONOR -7th</v>
      </c>
      <c r="H1072" s="182"/>
      <c r="I1072" s="34" t="s">
        <v>43</v>
      </c>
      <c r="J1072" s="58">
        <v>40</v>
      </c>
      <c r="K1072" s="62">
        <v>40</v>
      </c>
      <c r="L1072" s="58">
        <v>40</v>
      </c>
      <c r="M1072" s="58">
        <v>40</v>
      </c>
      <c r="N1072" s="58">
        <v>40</v>
      </c>
      <c r="O1072" s="58">
        <v>40</v>
      </c>
      <c r="P1072" s="58">
        <v>40</v>
      </c>
      <c r="Q1072" s="58">
        <v>40</v>
      </c>
      <c r="R1072" s="23"/>
      <c r="S1072" s="117" t="str">
        <f t="shared" si="146"/>
        <v>N</v>
      </c>
      <c r="T1072" s="114">
        <f>IFERROR(SUMIF('Current NLData'!A:A,'Payment Changes'!G1072,'Current NLData'!K:K)/COUNTIF('Current NLData'!A:A,'Payment Changes'!G1072),0)+IFERROR(VLOOKUP(G1072&amp;"-ALL",NLPaymentExport,10,FALSE),0)</f>
        <v>40</v>
      </c>
      <c r="U1072" s="118">
        <f t="shared" si="147"/>
        <v>0</v>
      </c>
    </row>
    <row r="1073" spans="1:54" ht="17.100000000000001" hidden="1" customHeight="1" outlineLevel="1" x14ac:dyDescent="0.25">
      <c r="A1073" s="3"/>
      <c r="C1073" s="4"/>
      <c r="D1073" s="181"/>
      <c r="E1073" s="91" t="str">
        <f t="shared" si="148"/>
        <v>Rocky Mount</v>
      </c>
      <c r="F1073" s="93" t="str">
        <f t="shared" si="149"/>
        <v>CP957</v>
      </c>
      <c r="G1073" s="99" t="str">
        <f t="shared" si="151"/>
        <v>CP957-NEW DONOR -8th</v>
      </c>
      <c r="H1073" s="182"/>
      <c r="I1073" s="35" t="s">
        <v>44</v>
      </c>
      <c r="J1073" s="63">
        <v>40</v>
      </c>
      <c r="K1073" s="64">
        <v>90</v>
      </c>
      <c r="L1073" s="63">
        <v>40</v>
      </c>
      <c r="M1073" s="63">
        <v>40</v>
      </c>
      <c r="N1073" s="63">
        <v>40</v>
      </c>
      <c r="O1073" s="63">
        <v>40</v>
      </c>
      <c r="P1073" s="63">
        <v>40</v>
      </c>
      <c r="Q1073" s="63">
        <v>40</v>
      </c>
      <c r="R1073" s="23"/>
      <c r="S1073" s="117" t="str">
        <f t="shared" si="146"/>
        <v>N</v>
      </c>
      <c r="T1073" s="114">
        <f>IFERROR(SUMIF('Current NLData'!A:A,'Payment Changes'!G1073,'Current NLData'!K:K)/COUNTIF('Current NLData'!A:A,'Payment Changes'!G1073),0)+IFERROR(VLOOKUP(G1073&amp;"-ALL",NLPaymentExport,10,FALSE),0)</f>
        <v>40</v>
      </c>
      <c r="U1073" s="118">
        <f t="shared" si="147"/>
        <v>0</v>
      </c>
    </row>
    <row r="1074" spans="1:54" ht="17.100000000000001" hidden="1" customHeight="1" outlineLevel="1" x14ac:dyDescent="0.25">
      <c r="A1074" s="3"/>
      <c r="C1074" s="4"/>
      <c r="D1074" s="181"/>
      <c r="E1074" s="91" t="str">
        <f t="shared" si="148"/>
        <v>Rocky Mount</v>
      </c>
      <c r="F1074" s="93" t="str">
        <f t="shared" si="149"/>
        <v>CP957</v>
      </c>
      <c r="G1074" s="99" t="str">
        <f t="shared" si="151"/>
        <v>CP957-RETURN - 1st don of the week -STD</v>
      </c>
      <c r="H1074" s="182"/>
      <c r="I1074" s="36" t="s">
        <v>45</v>
      </c>
      <c r="J1074" s="58">
        <v>40</v>
      </c>
      <c r="K1074" s="58">
        <v>40</v>
      </c>
      <c r="L1074" s="58">
        <v>40</v>
      </c>
      <c r="M1074" s="58">
        <v>40</v>
      </c>
      <c r="N1074" s="58">
        <v>40</v>
      </c>
      <c r="O1074" s="58">
        <v>40</v>
      </c>
      <c r="P1074" s="58">
        <v>40</v>
      </c>
      <c r="Q1074" s="58">
        <v>40</v>
      </c>
      <c r="R1074" s="22"/>
      <c r="S1074" s="117" t="str">
        <f t="shared" si="146"/>
        <v>N</v>
      </c>
      <c r="T1074" s="114">
        <f>IFERROR(SUMIF('Current NLData'!A:A,'Payment Changes'!G1074,'Current NLData'!K:K)/COUNTIF('Current NLData'!A:A,'Payment Changes'!G1074),0)+IFERROR(VLOOKUP(G1074&amp;"-ALL",NLPaymentExport,10,FALSE),0)</f>
        <v>40</v>
      </c>
      <c r="U1074" s="118">
        <f t="shared" si="147"/>
        <v>0</v>
      </c>
    </row>
    <row r="1075" spans="1:54" ht="17.100000000000001" hidden="1" customHeight="1" outlineLevel="1" x14ac:dyDescent="0.25">
      <c r="A1075" s="3"/>
      <c r="C1075" s="4"/>
      <c r="D1075" s="181"/>
      <c r="E1075" s="91" t="str">
        <f t="shared" si="148"/>
        <v>Rocky Mount</v>
      </c>
      <c r="F1075" s="93" t="str">
        <f t="shared" si="149"/>
        <v>CP957</v>
      </c>
      <c r="G1075" s="99" t="str">
        <f t="shared" si="151"/>
        <v>CP957-RETURN - 2nd don of the week -BONUS</v>
      </c>
      <c r="H1075" s="182"/>
      <c r="I1075" s="36" t="s">
        <v>46</v>
      </c>
      <c r="J1075" s="58">
        <v>50</v>
      </c>
      <c r="K1075" s="58">
        <v>50</v>
      </c>
      <c r="L1075" s="58">
        <v>50</v>
      </c>
      <c r="M1075" s="58">
        <v>50</v>
      </c>
      <c r="N1075" s="58">
        <v>50</v>
      </c>
      <c r="O1075" s="58">
        <v>50</v>
      </c>
      <c r="P1075" s="58">
        <v>50</v>
      </c>
      <c r="Q1075" s="58">
        <v>50</v>
      </c>
      <c r="R1075" s="22"/>
      <c r="S1075" s="117" t="str">
        <f t="shared" si="146"/>
        <v>N</v>
      </c>
      <c r="T1075" s="114">
        <f>IFERROR(SUMIF('Current NLData'!A:A,'Payment Changes'!G1075,'Current NLData'!K:K)/COUNTIF('Current NLData'!A:A,'Payment Changes'!G1075),0)+IFERROR(VLOOKUP(G1075&amp;"-ALL",NLPaymentExport,10,FALSE),0)</f>
        <v>50</v>
      </c>
      <c r="U1075" s="118">
        <f t="shared" si="147"/>
        <v>0</v>
      </c>
    </row>
    <row r="1076" spans="1:54" ht="17.100000000000001" hidden="1" customHeight="1" outlineLevel="1" x14ac:dyDescent="0.25">
      <c r="A1076" s="3"/>
      <c r="C1076" s="4"/>
      <c r="D1076" s="181"/>
      <c r="E1076" s="91" t="str">
        <f t="shared" si="148"/>
        <v>Rocky Mount</v>
      </c>
      <c r="F1076" s="93" t="str">
        <f t="shared" si="149"/>
        <v>CP957</v>
      </c>
      <c r="G1076" s="99" t="str">
        <f t="shared" si="151"/>
        <v>CP957-RETURN - 5th don of the month -BONUS</v>
      </c>
      <c r="H1076" s="182"/>
      <c r="I1076" s="37" t="s">
        <v>47</v>
      </c>
      <c r="J1076" s="65">
        <v>0</v>
      </c>
      <c r="K1076" s="65">
        <v>0</v>
      </c>
      <c r="L1076" s="65">
        <v>0</v>
      </c>
      <c r="M1076" s="65">
        <v>0</v>
      </c>
      <c r="N1076" s="65">
        <v>0</v>
      </c>
      <c r="O1076" s="65">
        <v>0</v>
      </c>
      <c r="P1076" s="65">
        <v>0</v>
      </c>
      <c r="Q1076" s="65">
        <v>0</v>
      </c>
      <c r="R1076" s="22"/>
      <c r="S1076" s="117" t="str">
        <f t="shared" si="146"/>
        <v>N</v>
      </c>
      <c r="T1076" s="114">
        <f>IFERROR(SUMIF('Current NLData'!A:A,'Payment Changes'!G1076,'Current NLData'!K:K)/COUNTIF('Current NLData'!A:A,'Payment Changes'!G1076),0)+IFERROR(VLOOKUP(G1076&amp;"-ALL",NLPaymentExport,10,FALSE),0)</f>
        <v>0</v>
      </c>
      <c r="U1076" s="118">
        <f t="shared" si="147"/>
        <v>0</v>
      </c>
    </row>
    <row r="1077" spans="1:54" ht="17.100000000000001" hidden="1" customHeight="1" outlineLevel="1" x14ac:dyDescent="0.25">
      <c r="A1077" s="3"/>
      <c r="C1077" s="4"/>
      <c r="D1077" s="181"/>
      <c r="E1077" s="91" t="str">
        <f t="shared" si="148"/>
        <v>Rocky Mount</v>
      </c>
      <c r="F1077" s="93" t="str">
        <f t="shared" si="149"/>
        <v>CP957</v>
      </c>
      <c r="G1077" s="99" t="str">
        <f t="shared" si="151"/>
        <v>CP957-RETURN - 6th don of the month -BONUS</v>
      </c>
      <c r="H1077" s="182"/>
      <c r="I1077" s="38" t="s">
        <v>48</v>
      </c>
      <c r="J1077" s="58">
        <v>0</v>
      </c>
      <c r="K1077" s="58">
        <v>0</v>
      </c>
      <c r="L1077" s="58">
        <v>30</v>
      </c>
      <c r="M1077" s="58">
        <v>30</v>
      </c>
      <c r="N1077" s="58">
        <v>30</v>
      </c>
      <c r="O1077" s="58">
        <v>30</v>
      </c>
      <c r="P1077" s="58">
        <v>30</v>
      </c>
      <c r="Q1077" s="58">
        <v>30</v>
      </c>
      <c r="R1077" s="22"/>
      <c r="S1077" s="117" t="str">
        <f t="shared" si="146"/>
        <v>N</v>
      </c>
      <c r="T1077" s="114">
        <f>IFERROR(SUMIF('Current NLData'!A:A,'Payment Changes'!G1077,'Current NLData'!K:K)/COUNTIF('Current NLData'!A:A,'Payment Changes'!G1077),0)+IFERROR(VLOOKUP(G1077&amp;"-ALL",NLPaymentExport,10,FALSE),0)</f>
        <v>30</v>
      </c>
      <c r="U1077" s="118">
        <f t="shared" si="147"/>
        <v>0</v>
      </c>
    </row>
    <row r="1078" spans="1:54" ht="17.100000000000001" hidden="1" customHeight="1" outlineLevel="1" x14ac:dyDescent="0.25">
      <c r="A1078" s="3"/>
      <c r="C1078" s="4"/>
      <c r="D1078" s="181"/>
      <c r="E1078" s="91" t="str">
        <f t="shared" si="148"/>
        <v>Rocky Mount</v>
      </c>
      <c r="F1078" s="93" t="str">
        <f t="shared" si="149"/>
        <v>CP957</v>
      </c>
      <c r="G1078" s="99" t="str">
        <f t="shared" si="151"/>
        <v>CP957-RETURN - 7th don of the month -BONUS</v>
      </c>
      <c r="H1078" s="182"/>
      <c r="I1078" s="38" t="s">
        <v>49</v>
      </c>
      <c r="J1078" s="58">
        <v>0</v>
      </c>
      <c r="K1078" s="58">
        <v>0</v>
      </c>
      <c r="L1078" s="58">
        <v>0</v>
      </c>
      <c r="M1078" s="58">
        <v>0</v>
      </c>
      <c r="N1078" s="58">
        <v>0</v>
      </c>
      <c r="O1078" s="58">
        <v>0</v>
      </c>
      <c r="P1078" s="58">
        <v>0</v>
      </c>
      <c r="Q1078" s="58">
        <v>0</v>
      </c>
      <c r="R1078" s="22"/>
      <c r="S1078" s="117" t="str">
        <f t="shared" si="146"/>
        <v>N</v>
      </c>
      <c r="T1078" s="114">
        <f>IFERROR(SUMIF('Current NLData'!A:A,'Payment Changes'!G1078,'Current NLData'!K:K)/COUNTIF('Current NLData'!A:A,'Payment Changes'!G1078),0)+IFERROR(VLOOKUP(G1078&amp;"-ALL",NLPaymentExport,10,FALSE),0)</f>
        <v>0</v>
      </c>
      <c r="U1078" s="118">
        <f t="shared" si="147"/>
        <v>0</v>
      </c>
    </row>
    <row r="1079" spans="1:54" ht="17.100000000000001" hidden="1" customHeight="1" outlineLevel="1" x14ac:dyDescent="0.25">
      <c r="A1079" s="3"/>
      <c r="C1079" s="4"/>
      <c r="D1079" s="181"/>
      <c r="E1079" s="91" t="str">
        <f t="shared" si="148"/>
        <v>Rocky Mount</v>
      </c>
      <c r="F1079" s="93" t="str">
        <f t="shared" si="149"/>
        <v>CP957</v>
      </c>
      <c r="G1079" s="99" t="str">
        <f t="shared" si="151"/>
        <v>CP957-RETURN - 8th don of the month -BONUS</v>
      </c>
      <c r="H1079" s="182"/>
      <c r="I1079" s="38" t="s">
        <v>50</v>
      </c>
      <c r="J1079" s="58">
        <v>0</v>
      </c>
      <c r="K1079" s="58">
        <v>0</v>
      </c>
      <c r="L1079" s="58">
        <v>0</v>
      </c>
      <c r="M1079" s="58">
        <v>0</v>
      </c>
      <c r="N1079" s="58">
        <v>0</v>
      </c>
      <c r="O1079" s="58">
        <v>0</v>
      </c>
      <c r="P1079" s="58">
        <v>0</v>
      </c>
      <c r="Q1079" s="58">
        <v>0</v>
      </c>
      <c r="R1079" s="22"/>
      <c r="S1079" s="117" t="str">
        <f t="shared" si="146"/>
        <v>N</v>
      </c>
      <c r="T1079" s="114">
        <f>IFERROR(SUMIF('Current NLData'!A:A,'Payment Changes'!G1079,'Current NLData'!K:K)/COUNTIF('Current NLData'!A:A,'Payment Changes'!G1079),0)+IFERROR(VLOOKUP(G1079&amp;"-ALL",NLPaymentExport,10,FALSE),0)</f>
        <v>0</v>
      </c>
      <c r="U1079" s="118">
        <f t="shared" si="147"/>
        <v>0</v>
      </c>
    </row>
    <row r="1080" spans="1:54" ht="17.100000000000001" hidden="1" customHeight="1" outlineLevel="1" x14ac:dyDescent="0.25">
      <c r="A1080" s="3"/>
      <c r="C1080" s="4" t="str">
        <f>IF(J1080=0,"Warning","")</f>
        <v>Warning</v>
      </c>
      <c r="D1080" s="181"/>
      <c r="E1080" s="91" t="str">
        <f t="shared" si="148"/>
        <v>Rocky Mount</v>
      </c>
      <c r="F1080" s="93" t="str">
        <f t="shared" si="149"/>
        <v>CP957</v>
      </c>
      <c r="G1080" s="99" t="str">
        <f t="shared" si="151"/>
        <v>CP957-RETURN - Buddy referral  -BONUS</v>
      </c>
      <c r="H1080" s="182"/>
      <c r="I1080" s="39" t="s">
        <v>51</v>
      </c>
      <c r="J1080" s="58">
        <v>0</v>
      </c>
      <c r="K1080" s="58">
        <v>0</v>
      </c>
      <c r="L1080" s="58">
        <v>0</v>
      </c>
      <c r="M1080" s="58">
        <v>50</v>
      </c>
      <c r="N1080" s="58">
        <v>50</v>
      </c>
      <c r="O1080" s="58">
        <v>50</v>
      </c>
      <c r="P1080" s="58">
        <v>50</v>
      </c>
      <c r="Q1080" s="58">
        <v>50</v>
      </c>
      <c r="R1080" s="22"/>
      <c r="S1080" s="117" t="str">
        <f t="shared" si="146"/>
        <v>N</v>
      </c>
      <c r="T1080" s="114">
        <f>IFERROR(SUMIF('Current NLData'!A:A,'Payment Changes'!G1080,'Current NLData'!K:K)/COUNTIF('Current NLData'!A:A,'Payment Changes'!G1080),0)+IFERROR(VLOOKUP(G1080&amp;"-ALL",NLPaymentExport,10,FALSE),0)</f>
        <v>50</v>
      </c>
      <c r="U1080" s="118">
        <f t="shared" si="147"/>
        <v>0</v>
      </c>
    </row>
    <row r="1081" spans="1:54" s="90" customFormat="1" ht="17.100000000000001" hidden="1" customHeight="1" collapsed="1" x14ac:dyDescent="0.35">
      <c r="A1081" s="85"/>
      <c r="B1081" s="85"/>
      <c r="C1081" s="86"/>
      <c r="D1081" s="87"/>
      <c r="E1081" s="87"/>
      <c r="F1081" s="87"/>
      <c r="G1081" s="87"/>
      <c r="H1081" s="96"/>
      <c r="I1081" s="88"/>
      <c r="J1081" s="89"/>
      <c r="K1081" s="89"/>
      <c r="L1081" s="89"/>
      <c r="M1081" s="89"/>
      <c r="N1081" s="89"/>
      <c r="O1081" s="89"/>
      <c r="P1081" s="89"/>
      <c r="Q1081" s="89"/>
      <c r="R1081" s="21"/>
      <c r="S1081" s="117" t="str">
        <f t="shared" si="146"/>
        <v>N</v>
      </c>
      <c r="T1081" s="114">
        <f>IFERROR(SUMIF('Current NLData'!A:A,'Payment Changes'!G1081,'Current NLData'!K:K)/COUNTIF('Current NLData'!A:A,'Payment Changes'!G1081),0)+IFERROR(VLOOKUP(G1081&amp;"-ALL",NLPaymentExport,10,FALSE),0)</f>
        <v>0</v>
      </c>
      <c r="U1081" s="118" t="str">
        <f t="shared" si="147"/>
        <v/>
      </c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</row>
    <row r="1082" spans="1:54" s="10" customFormat="1" ht="17.100000000000001" hidden="1" customHeight="1" x14ac:dyDescent="0.25">
      <c r="A1082" s="165">
        <v>55</v>
      </c>
      <c r="B1082" s="168" t="s">
        <v>343</v>
      </c>
      <c r="C1082" s="171" t="s">
        <v>53</v>
      </c>
      <c r="D1082" s="174" t="s">
        <v>157</v>
      </c>
      <c r="E1082" s="106" t="str">
        <f t="shared" si="148"/>
        <v>Columbia</v>
      </c>
      <c r="F1082" s="107" t="s">
        <v>344</v>
      </c>
      <c r="G1082" s="108" t="str">
        <f t="shared" ref="G1082:G1100" si="152">F1082&amp;"-"&amp;I1082</f>
        <v>CP685-New Donor</v>
      </c>
      <c r="H1082" s="177" t="s">
        <v>75</v>
      </c>
      <c r="I1082" s="76" t="s">
        <v>23</v>
      </c>
      <c r="J1082" s="40" t="s">
        <v>345</v>
      </c>
      <c r="K1082" s="41" t="s">
        <v>346</v>
      </c>
      <c r="L1082" s="41" t="s">
        <v>347</v>
      </c>
      <c r="M1082" s="42" t="s">
        <v>347</v>
      </c>
      <c r="N1082" s="40" t="s">
        <v>347</v>
      </c>
      <c r="O1082" s="40" t="s">
        <v>347</v>
      </c>
      <c r="P1082" s="40" t="s">
        <v>347</v>
      </c>
      <c r="Q1082" s="40" t="s">
        <v>348</v>
      </c>
      <c r="R1082" s="109"/>
      <c r="S1082" s="117" t="str">
        <f t="shared" si="146"/>
        <v>Y</v>
      </c>
      <c r="T1082" s="114">
        <f>IFERROR(SUMIF('Current NLData'!A:A,'Payment Changes'!G1082,'Current NLData'!K:K)/COUNTIF('Current NLData'!A:A,'Payment Changes'!G1082),0)+IFERROR(VLOOKUP(G1082&amp;"-ALL",NLPaymentExport,10,FALSE),0)</f>
        <v>0</v>
      </c>
      <c r="U1082" s="118" t="str">
        <f t="shared" si="147"/>
        <v/>
      </c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</row>
    <row r="1083" spans="1:54" ht="17.100000000000001" hidden="1" customHeight="1" x14ac:dyDescent="0.25">
      <c r="A1083" s="166"/>
      <c r="B1083" s="169"/>
      <c r="C1083" s="172"/>
      <c r="D1083" s="175"/>
      <c r="E1083" s="91" t="str">
        <f t="shared" si="148"/>
        <v>Columbia</v>
      </c>
      <c r="F1083" s="92" t="s">
        <v>344</v>
      </c>
      <c r="G1083" s="98" t="str">
        <f t="shared" si="152"/>
        <v>CP685-Return Donor</v>
      </c>
      <c r="H1083" s="178"/>
      <c r="I1083" s="77" t="s">
        <v>29</v>
      </c>
      <c r="J1083" s="43" t="s">
        <v>235</v>
      </c>
      <c r="K1083" s="43" t="s">
        <v>235</v>
      </c>
      <c r="L1083" s="44" t="s">
        <v>235</v>
      </c>
      <c r="M1083" s="45" t="s">
        <v>235</v>
      </c>
      <c r="N1083" s="43" t="s">
        <v>235</v>
      </c>
      <c r="O1083" s="43" t="s">
        <v>235</v>
      </c>
      <c r="P1083" s="43" t="s">
        <v>235</v>
      </c>
      <c r="Q1083" s="43" t="s">
        <v>161</v>
      </c>
      <c r="R1083" s="21"/>
      <c r="S1083" s="117" t="str">
        <f t="shared" si="146"/>
        <v>Y</v>
      </c>
      <c r="T1083" s="114">
        <f>IFERROR(SUMIF('Current NLData'!A:A,'Payment Changes'!G1083,'Current NLData'!K:K)/COUNTIF('Current NLData'!A:A,'Payment Changes'!G1083),0)+IFERROR(VLOOKUP(G1083&amp;"-ALL",NLPaymentExport,10,FALSE),0)</f>
        <v>0</v>
      </c>
      <c r="U1083" s="118" t="str">
        <f t="shared" si="147"/>
        <v/>
      </c>
    </row>
    <row r="1084" spans="1:54" ht="17.100000000000001" hidden="1" customHeight="1" x14ac:dyDescent="0.25">
      <c r="A1084" s="166"/>
      <c r="B1084" s="169"/>
      <c r="C1084" s="172"/>
      <c r="D1084" s="175"/>
      <c r="E1084" s="91" t="str">
        <f t="shared" si="148"/>
        <v>Columbia</v>
      </c>
      <c r="F1084" s="92" t="s">
        <v>344</v>
      </c>
      <c r="G1084" s="98" t="str">
        <f t="shared" si="152"/>
        <v>CP685-Retention Bonus</v>
      </c>
      <c r="H1084" s="178"/>
      <c r="I1084" s="78" t="s">
        <v>30</v>
      </c>
      <c r="J1084" s="46" t="s">
        <v>163</v>
      </c>
      <c r="K1084" s="46" t="s">
        <v>163</v>
      </c>
      <c r="L1084" s="47" t="s">
        <v>32</v>
      </c>
      <c r="M1084" s="48" t="s">
        <v>32</v>
      </c>
      <c r="N1084" s="46" t="s">
        <v>32</v>
      </c>
      <c r="O1084" s="46" t="s">
        <v>349</v>
      </c>
      <c r="P1084" s="46" t="s">
        <v>349</v>
      </c>
      <c r="Q1084" s="46" t="s">
        <v>349</v>
      </c>
      <c r="R1084" s="21"/>
      <c r="S1084" s="117" t="str">
        <f t="shared" si="146"/>
        <v>N</v>
      </c>
      <c r="T1084" s="114">
        <f>IFERROR(SUMIF('Current NLData'!A:A,'Payment Changes'!G1084,'Current NLData'!K:K)/COUNTIF('Current NLData'!A:A,'Payment Changes'!G1084),0)+IFERROR(VLOOKUP(G1084&amp;"-ALL",NLPaymentExport,10,FALSE),0)</f>
        <v>0</v>
      </c>
      <c r="U1084" s="118" t="str">
        <f t="shared" si="147"/>
        <v/>
      </c>
    </row>
    <row r="1085" spans="1:54" s="15" customFormat="1" ht="17.100000000000001" hidden="1" customHeight="1" x14ac:dyDescent="0.25">
      <c r="A1085" s="167"/>
      <c r="B1085" s="170"/>
      <c r="C1085" s="173"/>
      <c r="D1085" s="176"/>
      <c r="E1085" s="110" t="str">
        <f t="shared" si="148"/>
        <v>Columbia</v>
      </c>
      <c r="F1085" s="111" t="s">
        <v>344</v>
      </c>
      <c r="G1085" s="112" t="str">
        <f t="shared" si="152"/>
        <v>CP685-Referral</v>
      </c>
      <c r="H1085" s="179"/>
      <c r="I1085" s="79" t="s">
        <v>34</v>
      </c>
      <c r="J1085" s="49">
        <v>50</v>
      </c>
      <c r="K1085" s="49">
        <v>50</v>
      </c>
      <c r="L1085" s="50" t="s">
        <v>32</v>
      </c>
      <c r="M1085" s="51" t="s">
        <v>32</v>
      </c>
      <c r="N1085" s="49" t="s">
        <v>32</v>
      </c>
      <c r="O1085" s="49">
        <v>50</v>
      </c>
      <c r="P1085" s="49">
        <v>50</v>
      </c>
      <c r="Q1085" s="49">
        <v>50</v>
      </c>
      <c r="R1085" s="113"/>
      <c r="S1085" s="117" t="str">
        <f t="shared" si="146"/>
        <v>N</v>
      </c>
      <c r="T1085" s="114">
        <f>IFERROR(SUMIF('Current NLData'!A:A,'Payment Changes'!G1085,'Current NLData'!K:K)/COUNTIF('Current NLData'!A:A,'Payment Changes'!G1085),0)+IFERROR(VLOOKUP(G1085&amp;"-ALL",NLPaymentExport,10,FALSE),0)</f>
        <v>0</v>
      </c>
      <c r="U1085" s="118" t="str">
        <f t="shared" si="147"/>
        <v/>
      </c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</row>
    <row r="1086" spans="1:54" ht="17.100000000000001" hidden="1" customHeight="1" outlineLevel="1" x14ac:dyDescent="0.25">
      <c r="A1086" s="3"/>
      <c r="C1086" s="4"/>
      <c r="D1086" s="180" t="s">
        <v>344</v>
      </c>
      <c r="E1086" s="91" t="str">
        <f t="shared" si="148"/>
        <v>Columbia</v>
      </c>
      <c r="F1086" s="93" t="str">
        <f t="shared" si="149"/>
        <v>CP685</v>
      </c>
      <c r="G1086" s="99" t="str">
        <f t="shared" si="152"/>
        <v>CP685-NEW DONOR -1st</v>
      </c>
      <c r="H1086" s="182" t="s">
        <v>36</v>
      </c>
      <c r="I1086" s="33" t="s">
        <v>37</v>
      </c>
      <c r="J1086" s="60">
        <v>100</v>
      </c>
      <c r="K1086" s="61">
        <v>100</v>
      </c>
      <c r="L1086" s="60">
        <v>100</v>
      </c>
      <c r="M1086" s="60">
        <v>100</v>
      </c>
      <c r="N1086" s="60">
        <v>100</v>
      </c>
      <c r="O1086" s="60">
        <v>100</v>
      </c>
      <c r="P1086" s="60">
        <v>100</v>
      </c>
      <c r="Q1086" s="60">
        <v>100</v>
      </c>
      <c r="R1086" s="23"/>
      <c r="S1086" s="117" t="str">
        <f t="shared" si="146"/>
        <v>N</v>
      </c>
      <c r="T1086" s="114">
        <f>IFERROR(SUMIF('Current NLData'!A:A,'Payment Changes'!G1086,'Current NLData'!K:K)/COUNTIF('Current NLData'!A:A,'Payment Changes'!G1086),0)+IFERROR(VLOOKUP(G1086&amp;"-ALL",NLPaymentExport,10,FALSE),0)</f>
        <v>100</v>
      </c>
      <c r="U1086" s="118">
        <f t="shared" si="147"/>
        <v>0</v>
      </c>
    </row>
    <row r="1087" spans="1:54" ht="17.100000000000001" hidden="1" customHeight="1" outlineLevel="1" x14ac:dyDescent="0.25">
      <c r="A1087" s="3"/>
      <c r="C1087" s="4"/>
      <c r="D1087" s="181"/>
      <c r="E1087" s="91" t="str">
        <f t="shared" si="148"/>
        <v>Columbia</v>
      </c>
      <c r="F1087" s="93" t="str">
        <f t="shared" si="149"/>
        <v>CP685</v>
      </c>
      <c r="G1087" s="99" t="str">
        <f t="shared" si="152"/>
        <v>CP685-NEW DONOR -2nd</v>
      </c>
      <c r="H1087" s="182"/>
      <c r="I1087" s="34" t="s">
        <v>38</v>
      </c>
      <c r="J1087" s="58">
        <v>100</v>
      </c>
      <c r="K1087" s="62">
        <v>100</v>
      </c>
      <c r="L1087" s="58">
        <v>100</v>
      </c>
      <c r="M1087" s="58">
        <v>100</v>
      </c>
      <c r="N1087" s="58">
        <v>100</v>
      </c>
      <c r="O1087" s="58">
        <v>100</v>
      </c>
      <c r="P1087" s="58">
        <v>100</v>
      </c>
      <c r="Q1087" s="58">
        <v>100</v>
      </c>
      <c r="R1087" s="23"/>
      <c r="S1087" s="117" t="str">
        <f t="shared" si="146"/>
        <v>N</v>
      </c>
      <c r="T1087" s="114">
        <f>IFERROR(SUMIF('Current NLData'!A:A,'Payment Changes'!G1087,'Current NLData'!K:K)/COUNTIF('Current NLData'!A:A,'Payment Changes'!G1087),0)+IFERROR(VLOOKUP(G1087&amp;"-ALL",NLPaymentExport,10,FALSE),0)</f>
        <v>100</v>
      </c>
      <c r="U1087" s="118">
        <f t="shared" si="147"/>
        <v>0</v>
      </c>
    </row>
    <row r="1088" spans="1:54" ht="17.100000000000001" hidden="1" customHeight="1" outlineLevel="1" x14ac:dyDescent="0.25">
      <c r="A1088" s="3"/>
      <c r="C1088" s="4"/>
      <c r="D1088" s="181"/>
      <c r="E1088" s="91" t="str">
        <f t="shared" si="148"/>
        <v>Columbia</v>
      </c>
      <c r="F1088" s="93" t="str">
        <f t="shared" si="149"/>
        <v>CP685</v>
      </c>
      <c r="G1088" s="99" t="str">
        <f t="shared" si="152"/>
        <v>CP685-NEW DONOR -3rd</v>
      </c>
      <c r="H1088" s="182"/>
      <c r="I1088" s="34" t="s">
        <v>39</v>
      </c>
      <c r="J1088" s="58">
        <v>100</v>
      </c>
      <c r="K1088" s="62">
        <v>100</v>
      </c>
      <c r="L1088" s="58">
        <v>100</v>
      </c>
      <c r="M1088" s="58">
        <v>100</v>
      </c>
      <c r="N1088" s="58">
        <v>100</v>
      </c>
      <c r="O1088" s="58">
        <v>100</v>
      </c>
      <c r="P1088" s="58">
        <v>100</v>
      </c>
      <c r="Q1088" s="58">
        <v>100</v>
      </c>
      <c r="R1088" s="23"/>
      <c r="S1088" s="117" t="str">
        <f t="shared" si="146"/>
        <v>N</v>
      </c>
      <c r="T1088" s="114">
        <f>IFERROR(SUMIF('Current NLData'!A:A,'Payment Changes'!G1088,'Current NLData'!K:K)/COUNTIF('Current NLData'!A:A,'Payment Changes'!G1088),0)+IFERROR(VLOOKUP(G1088&amp;"-ALL",NLPaymentExport,10,FALSE),0)</f>
        <v>100</v>
      </c>
      <c r="U1088" s="118">
        <f t="shared" si="147"/>
        <v>0</v>
      </c>
    </row>
    <row r="1089" spans="1:54" ht="17.100000000000001" hidden="1" customHeight="1" outlineLevel="1" x14ac:dyDescent="0.25">
      <c r="A1089" s="3"/>
      <c r="C1089" s="4"/>
      <c r="D1089" s="181"/>
      <c r="E1089" s="91" t="str">
        <f t="shared" si="148"/>
        <v>Columbia</v>
      </c>
      <c r="F1089" s="93" t="str">
        <f t="shared" si="149"/>
        <v>CP685</v>
      </c>
      <c r="G1089" s="99" t="str">
        <f t="shared" si="152"/>
        <v>CP685-NEW DONOR -4th</v>
      </c>
      <c r="H1089" s="182"/>
      <c r="I1089" s="34" t="s">
        <v>40</v>
      </c>
      <c r="J1089" s="58">
        <v>45</v>
      </c>
      <c r="K1089" s="62">
        <v>45</v>
      </c>
      <c r="L1089" s="58">
        <v>45</v>
      </c>
      <c r="M1089" s="58">
        <v>45</v>
      </c>
      <c r="N1089" s="58">
        <v>45</v>
      </c>
      <c r="O1089" s="58">
        <v>45</v>
      </c>
      <c r="P1089" s="58">
        <v>45</v>
      </c>
      <c r="Q1089" s="58">
        <v>100</v>
      </c>
      <c r="R1089" s="23"/>
      <c r="S1089" s="117" t="str">
        <f t="shared" si="146"/>
        <v>Y</v>
      </c>
      <c r="T1089" s="114">
        <f>IFERROR(SUMIF('Current NLData'!A:A,'Payment Changes'!G1089,'Current NLData'!K:K)/COUNTIF('Current NLData'!A:A,'Payment Changes'!G1089),0)+IFERROR(VLOOKUP(G1089&amp;"-ALL",NLPaymentExport,10,FALSE),0)</f>
        <v>45</v>
      </c>
      <c r="U1089" s="118">
        <f t="shared" si="147"/>
        <v>-55</v>
      </c>
    </row>
    <row r="1090" spans="1:54" ht="17.100000000000001" hidden="1" customHeight="1" outlineLevel="1" x14ac:dyDescent="0.25">
      <c r="A1090" s="3"/>
      <c r="C1090" s="4"/>
      <c r="D1090" s="181"/>
      <c r="E1090" s="91" t="str">
        <f t="shared" si="148"/>
        <v>Columbia</v>
      </c>
      <c r="F1090" s="93" t="str">
        <f t="shared" si="149"/>
        <v>CP685</v>
      </c>
      <c r="G1090" s="99" t="str">
        <f t="shared" si="152"/>
        <v>CP685-NEW DONOR -5th</v>
      </c>
      <c r="H1090" s="182"/>
      <c r="I1090" s="34" t="s">
        <v>41</v>
      </c>
      <c r="J1090" s="58">
        <v>70</v>
      </c>
      <c r="K1090" s="62">
        <v>70</v>
      </c>
      <c r="L1090" s="58">
        <v>45</v>
      </c>
      <c r="M1090" s="58">
        <v>45</v>
      </c>
      <c r="N1090" s="58">
        <v>45</v>
      </c>
      <c r="O1090" s="58">
        <v>45</v>
      </c>
      <c r="P1090" s="58">
        <v>45</v>
      </c>
      <c r="Q1090" s="58">
        <v>100</v>
      </c>
      <c r="R1090" s="23"/>
      <c r="S1090" s="117" t="str">
        <f t="shared" si="146"/>
        <v>Y</v>
      </c>
      <c r="T1090" s="114">
        <f>IFERROR(SUMIF('Current NLData'!A:A,'Payment Changes'!G1090,'Current NLData'!K:K)/COUNTIF('Current NLData'!A:A,'Payment Changes'!G1090),0)+IFERROR(VLOOKUP(G1090&amp;"-ALL",NLPaymentExport,10,FALSE),0)</f>
        <v>45</v>
      </c>
      <c r="U1090" s="118">
        <f t="shared" si="147"/>
        <v>-55</v>
      </c>
    </row>
    <row r="1091" spans="1:54" ht="17.100000000000001" hidden="1" customHeight="1" outlineLevel="1" x14ac:dyDescent="0.25">
      <c r="A1091" s="3"/>
      <c r="C1091" s="4"/>
      <c r="D1091" s="181"/>
      <c r="E1091" s="91" t="str">
        <f t="shared" si="148"/>
        <v>Columbia</v>
      </c>
      <c r="F1091" s="93" t="str">
        <f t="shared" si="149"/>
        <v>CP685</v>
      </c>
      <c r="G1091" s="99" t="str">
        <f t="shared" si="152"/>
        <v>CP685-NEW DONOR -6th</v>
      </c>
      <c r="H1091" s="182"/>
      <c r="I1091" s="34" t="s">
        <v>42</v>
      </c>
      <c r="J1091" s="58">
        <v>45</v>
      </c>
      <c r="K1091" s="62">
        <v>45</v>
      </c>
      <c r="L1091" s="58">
        <v>45</v>
      </c>
      <c r="M1091" s="58">
        <v>45</v>
      </c>
      <c r="N1091" s="58">
        <v>45</v>
      </c>
      <c r="O1091" s="58">
        <v>45</v>
      </c>
      <c r="P1091" s="58">
        <v>45</v>
      </c>
      <c r="Q1091" s="58">
        <v>45</v>
      </c>
      <c r="R1091" s="23"/>
      <c r="S1091" s="117" t="str">
        <f t="shared" ref="S1091:S1154" si="153">IF(P1091=Q1091,"N","Y")</f>
        <v>N</v>
      </c>
      <c r="T1091" s="114">
        <f>IFERROR(SUMIF('Current NLData'!A:A,'Payment Changes'!G1091,'Current NLData'!K:K)/COUNTIF('Current NLData'!A:A,'Payment Changes'!G1091),0)+IFERROR(VLOOKUP(G1091&amp;"-ALL",NLPaymentExport,10,FALSE),0)</f>
        <v>45</v>
      </c>
      <c r="U1091" s="118">
        <f t="shared" si="147"/>
        <v>0</v>
      </c>
    </row>
    <row r="1092" spans="1:54" ht="17.100000000000001" hidden="1" customHeight="1" outlineLevel="1" x14ac:dyDescent="0.25">
      <c r="A1092" s="3"/>
      <c r="C1092" s="4"/>
      <c r="D1092" s="181"/>
      <c r="E1092" s="91" t="str">
        <f t="shared" si="148"/>
        <v>Columbia</v>
      </c>
      <c r="F1092" s="93" t="str">
        <f t="shared" si="149"/>
        <v>CP685</v>
      </c>
      <c r="G1092" s="99" t="str">
        <f t="shared" si="152"/>
        <v>CP685-NEW DONOR -7th</v>
      </c>
      <c r="H1092" s="182"/>
      <c r="I1092" s="34" t="s">
        <v>43</v>
      </c>
      <c r="J1092" s="58">
        <v>70</v>
      </c>
      <c r="K1092" s="62">
        <v>70</v>
      </c>
      <c r="L1092" s="58">
        <v>45</v>
      </c>
      <c r="M1092" s="58">
        <v>45</v>
      </c>
      <c r="N1092" s="58">
        <v>45</v>
      </c>
      <c r="O1092" s="58">
        <v>45</v>
      </c>
      <c r="P1092" s="58">
        <v>45</v>
      </c>
      <c r="Q1092" s="58">
        <v>45</v>
      </c>
      <c r="R1092" s="23"/>
      <c r="S1092" s="117" t="str">
        <f t="shared" si="153"/>
        <v>N</v>
      </c>
      <c r="T1092" s="114">
        <f>IFERROR(SUMIF('Current NLData'!A:A,'Payment Changes'!G1092,'Current NLData'!K:K)/COUNTIF('Current NLData'!A:A,'Payment Changes'!G1092),0)+IFERROR(VLOOKUP(G1092&amp;"-ALL",NLPaymentExport,10,FALSE),0)</f>
        <v>45</v>
      </c>
      <c r="U1092" s="118">
        <f t="shared" si="147"/>
        <v>0</v>
      </c>
    </row>
    <row r="1093" spans="1:54" ht="17.100000000000001" hidden="1" customHeight="1" outlineLevel="1" x14ac:dyDescent="0.25">
      <c r="A1093" s="3"/>
      <c r="C1093" s="4"/>
      <c r="D1093" s="181"/>
      <c r="E1093" s="91" t="str">
        <f t="shared" si="148"/>
        <v>Columbia</v>
      </c>
      <c r="F1093" s="93" t="str">
        <f t="shared" si="149"/>
        <v>CP685</v>
      </c>
      <c r="G1093" s="99" t="str">
        <f t="shared" si="152"/>
        <v>CP685-NEW DONOR -8th</v>
      </c>
      <c r="H1093" s="182"/>
      <c r="I1093" s="35" t="s">
        <v>44</v>
      </c>
      <c r="J1093" s="63">
        <v>45</v>
      </c>
      <c r="K1093" s="64">
        <v>45</v>
      </c>
      <c r="L1093" s="63">
        <v>45</v>
      </c>
      <c r="M1093" s="63">
        <v>45</v>
      </c>
      <c r="N1093" s="63">
        <v>45</v>
      </c>
      <c r="O1093" s="63">
        <v>45</v>
      </c>
      <c r="P1093" s="63">
        <v>45</v>
      </c>
      <c r="Q1093" s="63">
        <v>45</v>
      </c>
      <c r="R1093" s="23"/>
      <c r="S1093" s="117" t="str">
        <f t="shared" si="153"/>
        <v>N</v>
      </c>
      <c r="T1093" s="114">
        <f>IFERROR(SUMIF('Current NLData'!A:A,'Payment Changes'!G1093,'Current NLData'!K:K)/COUNTIF('Current NLData'!A:A,'Payment Changes'!G1093),0)+IFERROR(VLOOKUP(G1093&amp;"-ALL",NLPaymentExport,10,FALSE),0)</f>
        <v>45</v>
      </c>
      <c r="U1093" s="118">
        <f t="shared" si="147"/>
        <v>0</v>
      </c>
    </row>
    <row r="1094" spans="1:54" ht="17.100000000000001" hidden="1" customHeight="1" outlineLevel="1" x14ac:dyDescent="0.25">
      <c r="A1094" s="3"/>
      <c r="C1094" s="4"/>
      <c r="D1094" s="181"/>
      <c r="E1094" s="91" t="str">
        <f t="shared" si="148"/>
        <v>Columbia</v>
      </c>
      <c r="F1094" s="93" t="str">
        <f t="shared" si="149"/>
        <v>CP685</v>
      </c>
      <c r="G1094" s="99" t="str">
        <f t="shared" si="152"/>
        <v>CP685-RETURN - 1st don of the week -STD</v>
      </c>
      <c r="H1094" s="182"/>
      <c r="I1094" s="36" t="s">
        <v>45</v>
      </c>
      <c r="J1094" s="58">
        <v>45</v>
      </c>
      <c r="K1094" s="58">
        <v>45</v>
      </c>
      <c r="L1094" s="58">
        <v>45</v>
      </c>
      <c r="M1094" s="58">
        <v>45</v>
      </c>
      <c r="N1094" s="58">
        <v>45</v>
      </c>
      <c r="O1094" s="58">
        <v>45</v>
      </c>
      <c r="P1094" s="58">
        <v>45</v>
      </c>
      <c r="Q1094" s="58">
        <v>45</v>
      </c>
      <c r="R1094" s="22"/>
      <c r="S1094" s="117" t="str">
        <f t="shared" si="153"/>
        <v>N</v>
      </c>
      <c r="T1094" s="114">
        <f>IFERROR(SUMIF('Current NLData'!A:A,'Payment Changes'!G1094,'Current NLData'!K:K)/COUNTIF('Current NLData'!A:A,'Payment Changes'!G1094),0)+IFERROR(VLOOKUP(G1094&amp;"-ALL",NLPaymentExport,10,FALSE),0)</f>
        <v>45</v>
      </c>
      <c r="U1094" s="118">
        <f t="shared" si="147"/>
        <v>0</v>
      </c>
    </row>
    <row r="1095" spans="1:54" ht="17.100000000000001" hidden="1" customHeight="1" outlineLevel="1" x14ac:dyDescent="0.25">
      <c r="A1095" s="3"/>
      <c r="C1095" s="4"/>
      <c r="D1095" s="181"/>
      <c r="E1095" s="91" t="str">
        <f t="shared" si="148"/>
        <v>Columbia</v>
      </c>
      <c r="F1095" s="93" t="str">
        <f t="shared" si="149"/>
        <v>CP685</v>
      </c>
      <c r="G1095" s="99" t="str">
        <f t="shared" si="152"/>
        <v>CP685-RETURN - 2nd don of the week -BONUS</v>
      </c>
      <c r="H1095" s="182"/>
      <c r="I1095" s="36" t="s">
        <v>46</v>
      </c>
      <c r="J1095" s="58">
        <v>25</v>
      </c>
      <c r="K1095" s="58">
        <v>25</v>
      </c>
      <c r="L1095" s="58">
        <v>25</v>
      </c>
      <c r="M1095" s="58">
        <v>25</v>
      </c>
      <c r="N1095" s="58">
        <v>25</v>
      </c>
      <c r="O1095" s="58">
        <v>25</v>
      </c>
      <c r="P1095" s="58">
        <v>25</v>
      </c>
      <c r="Q1095" s="58">
        <v>20</v>
      </c>
      <c r="R1095" s="22"/>
      <c r="S1095" s="117" t="str">
        <f t="shared" si="153"/>
        <v>Y</v>
      </c>
      <c r="T1095" s="114">
        <f>IFERROR(SUMIF('Current NLData'!A:A,'Payment Changes'!G1095,'Current NLData'!K:K)/COUNTIF('Current NLData'!A:A,'Payment Changes'!G1095),0)+IFERROR(VLOOKUP(G1095&amp;"-ALL",NLPaymentExport,10,FALSE),0)</f>
        <v>25</v>
      </c>
      <c r="U1095" s="118">
        <f t="shared" ref="U1095:U1158" si="154">IF(OR(I1095 = "New Donor", I1095="Return Donor", I1095="Retention Bonus", I1095="Referral", I1095 = ""),"",T1095-Q1095 )</f>
        <v>5</v>
      </c>
    </row>
    <row r="1096" spans="1:54" ht="17.100000000000001" hidden="1" customHeight="1" outlineLevel="1" x14ac:dyDescent="0.25">
      <c r="A1096" s="3"/>
      <c r="C1096" s="4"/>
      <c r="D1096" s="181"/>
      <c r="E1096" s="91" t="str">
        <f t="shared" ref="E1096:E1159" si="155">IF(B1096 = "",E1095,B1096)</f>
        <v>Columbia</v>
      </c>
      <c r="F1096" s="93" t="str">
        <f t="shared" ref="F1096:F1140" si="156">IF(D1096 = "",F1095,D1096)</f>
        <v>CP685</v>
      </c>
      <c r="G1096" s="99" t="str">
        <f t="shared" si="152"/>
        <v>CP685-RETURN - 5th don of the month -BONUS</v>
      </c>
      <c r="H1096" s="182"/>
      <c r="I1096" s="37" t="s">
        <v>47</v>
      </c>
      <c r="J1096" s="65">
        <v>0</v>
      </c>
      <c r="K1096" s="65">
        <v>0</v>
      </c>
      <c r="L1096" s="65">
        <v>0</v>
      </c>
      <c r="M1096" s="65">
        <v>0</v>
      </c>
      <c r="N1096" s="65">
        <v>0</v>
      </c>
      <c r="O1096" s="65">
        <v>30</v>
      </c>
      <c r="P1096" s="65">
        <v>30</v>
      </c>
      <c r="Q1096" s="65">
        <v>30</v>
      </c>
      <c r="R1096" s="22"/>
      <c r="S1096" s="117" t="str">
        <f t="shared" si="153"/>
        <v>N</v>
      </c>
      <c r="T1096" s="114">
        <f>IFERROR(SUMIF('Current NLData'!A:A,'Payment Changes'!G1096,'Current NLData'!K:K)/COUNTIF('Current NLData'!A:A,'Payment Changes'!G1096),0)+IFERROR(VLOOKUP(G1096&amp;"-ALL",NLPaymentExport,10,FALSE),0)</f>
        <v>30</v>
      </c>
      <c r="U1096" s="118">
        <f t="shared" si="154"/>
        <v>0</v>
      </c>
    </row>
    <row r="1097" spans="1:54" ht="17.100000000000001" hidden="1" customHeight="1" outlineLevel="1" x14ac:dyDescent="0.25">
      <c r="A1097" s="3"/>
      <c r="C1097" s="4"/>
      <c r="D1097" s="181"/>
      <c r="E1097" s="91" t="str">
        <f t="shared" si="155"/>
        <v>Columbia</v>
      </c>
      <c r="F1097" s="93" t="str">
        <f t="shared" si="156"/>
        <v>CP685</v>
      </c>
      <c r="G1097" s="99" t="str">
        <f t="shared" si="152"/>
        <v>CP685-RETURN - 6th don of the month -BONUS</v>
      </c>
      <c r="H1097" s="182"/>
      <c r="I1097" s="38" t="s">
        <v>48</v>
      </c>
      <c r="J1097" s="58">
        <v>0</v>
      </c>
      <c r="K1097" s="58">
        <v>0</v>
      </c>
      <c r="L1097" s="58">
        <v>0</v>
      </c>
      <c r="M1097" s="58">
        <v>0</v>
      </c>
      <c r="N1097" s="58">
        <v>0</v>
      </c>
      <c r="O1097" s="58">
        <v>0</v>
      </c>
      <c r="P1097" s="58">
        <v>0</v>
      </c>
      <c r="Q1097" s="58">
        <v>0</v>
      </c>
      <c r="R1097" s="22"/>
      <c r="S1097" s="117" t="str">
        <f t="shared" si="153"/>
        <v>N</v>
      </c>
      <c r="T1097" s="114">
        <f>IFERROR(SUMIF('Current NLData'!A:A,'Payment Changes'!G1097,'Current NLData'!K:K)/COUNTIF('Current NLData'!A:A,'Payment Changes'!G1097),0)+IFERROR(VLOOKUP(G1097&amp;"-ALL",NLPaymentExport,10,FALSE),0)</f>
        <v>0</v>
      </c>
      <c r="U1097" s="118">
        <f t="shared" si="154"/>
        <v>0</v>
      </c>
    </row>
    <row r="1098" spans="1:54" ht="17.100000000000001" hidden="1" customHeight="1" outlineLevel="1" x14ac:dyDescent="0.25">
      <c r="A1098" s="3"/>
      <c r="C1098" s="4"/>
      <c r="D1098" s="181"/>
      <c r="E1098" s="91" t="str">
        <f t="shared" si="155"/>
        <v>Columbia</v>
      </c>
      <c r="F1098" s="93" t="str">
        <f t="shared" si="156"/>
        <v>CP685</v>
      </c>
      <c r="G1098" s="99" t="str">
        <f t="shared" si="152"/>
        <v>CP685-RETURN - 7th don of the month -BONUS</v>
      </c>
      <c r="H1098" s="182"/>
      <c r="I1098" s="38" t="s">
        <v>49</v>
      </c>
      <c r="J1098" s="58">
        <v>0</v>
      </c>
      <c r="K1098" s="58">
        <v>0</v>
      </c>
      <c r="L1098" s="58">
        <v>0</v>
      </c>
      <c r="M1098" s="58">
        <v>0</v>
      </c>
      <c r="N1098" s="58">
        <v>0</v>
      </c>
      <c r="O1098" s="58">
        <v>0</v>
      </c>
      <c r="P1098" s="58">
        <v>0</v>
      </c>
      <c r="Q1098" s="58">
        <v>0</v>
      </c>
      <c r="R1098" s="22"/>
      <c r="S1098" s="117" t="str">
        <f t="shared" si="153"/>
        <v>N</v>
      </c>
      <c r="T1098" s="114">
        <f>IFERROR(SUMIF('Current NLData'!A:A,'Payment Changes'!G1098,'Current NLData'!K:K)/COUNTIF('Current NLData'!A:A,'Payment Changes'!G1098),0)+IFERROR(VLOOKUP(G1098&amp;"-ALL",NLPaymentExport,10,FALSE),0)</f>
        <v>0</v>
      </c>
      <c r="U1098" s="118">
        <f t="shared" si="154"/>
        <v>0</v>
      </c>
    </row>
    <row r="1099" spans="1:54" ht="17.100000000000001" hidden="1" customHeight="1" outlineLevel="1" x14ac:dyDescent="0.25">
      <c r="A1099" s="3"/>
      <c r="C1099" s="4"/>
      <c r="D1099" s="181"/>
      <c r="E1099" s="91" t="str">
        <f t="shared" si="155"/>
        <v>Columbia</v>
      </c>
      <c r="F1099" s="93" t="str">
        <f t="shared" si="156"/>
        <v>CP685</v>
      </c>
      <c r="G1099" s="99" t="str">
        <f t="shared" si="152"/>
        <v>CP685-RETURN - 8th don of the month -BONUS</v>
      </c>
      <c r="H1099" s="182"/>
      <c r="I1099" s="38" t="s">
        <v>50</v>
      </c>
      <c r="J1099" s="58">
        <v>0</v>
      </c>
      <c r="K1099" s="58">
        <v>0</v>
      </c>
      <c r="L1099" s="58">
        <v>0</v>
      </c>
      <c r="M1099" s="58">
        <v>0</v>
      </c>
      <c r="N1099" s="58">
        <v>0</v>
      </c>
      <c r="O1099" s="58">
        <v>0</v>
      </c>
      <c r="P1099" s="58">
        <v>0</v>
      </c>
      <c r="Q1099" s="58">
        <v>0</v>
      </c>
      <c r="R1099" s="22"/>
      <c r="S1099" s="117" t="str">
        <f t="shared" si="153"/>
        <v>N</v>
      </c>
      <c r="T1099" s="114">
        <f>IFERROR(SUMIF('Current NLData'!A:A,'Payment Changes'!G1099,'Current NLData'!K:K)/COUNTIF('Current NLData'!A:A,'Payment Changes'!G1099),0)+IFERROR(VLOOKUP(G1099&amp;"-ALL",NLPaymentExport,10,FALSE),0)</f>
        <v>0</v>
      </c>
      <c r="U1099" s="118">
        <f t="shared" si="154"/>
        <v>0</v>
      </c>
    </row>
    <row r="1100" spans="1:54" ht="17.100000000000001" hidden="1" customHeight="1" outlineLevel="1" x14ac:dyDescent="0.25">
      <c r="A1100" s="3"/>
      <c r="C1100" s="4" t="str">
        <f>IF(J1100=0,"Warning","")</f>
        <v/>
      </c>
      <c r="D1100" s="181"/>
      <c r="E1100" s="91" t="str">
        <f t="shared" si="155"/>
        <v>Columbia</v>
      </c>
      <c r="F1100" s="93" t="str">
        <f t="shared" si="156"/>
        <v>CP685</v>
      </c>
      <c r="G1100" s="99" t="str">
        <f t="shared" si="152"/>
        <v>CP685-RETURN - Buddy referral  -BONUS</v>
      </c>
      <c r="H1100" s="182"/>
      <c r="I1100" s="39" t="s">
        <v>51</v>
      </c>
      <c r="J1100" s="58">
        <v>50</v>
      </c>
      <c r="K1100" s="58">
        <v>50</v>
      </c>
      <c r="L1100" s="58">
        <v>0</v>
      </c>
      <c r="M1100" s="58">
        <v>0</v>
      </c>
      <c r="N1100" s="58">
        <v>0</v>
      </c>
      <c r="O1100" s="58">
        <v>50</v>
      </c>
      <c r="P1100" s="58">
        <v>50</v>
      </c>
      <c r="Q1100" s="58">
        <v>50</v>
      </c>
      <c r="R1100" s="22"/>
      <c r="S1100" s="117" t="str">
        <f t="shared" si="153"/>
        <v>N</v>
      </c>
      <c r="T1100" s="114">
        <f>IFERROR(SUMIF('Current NLData'!A:A,'Payment Changes'!G1100,'Current NLData'!K:K)/COUNTIF('Current NLData'!A:A,'Payment Changes'!G1100),0)+IFERROR(VLOOKUP(G1100&amp;"-ALL",NLPaymentExport,10,FALSE),0)</f>
        <v>50</v>
      </c>
      <c r="U1100" s="118">
        <f t="shared" si="154"/>
        <v>0</v>
      </c>
    </row>
    <row r="1101" spans="1:54" s="90" customFormat="1" ht="17.100000000000001" hidden="1" customHeight="1" collapsed="1" x14ac:dyDescent="0.35">
      <c r="A1101" s="85"/>
      <c r="B1101" s="85"/>
      <c r="C1101" s="86"/>
      <c r="D1101" s="87"/>
      <c r="E1101" s="87"/>
      <c r="F1101" s="87"/>
      <c r="G1101" s="87"/>
      <c r="H1101" s="96"/>
      <c r="I1101" s="88"/>
      <c r="J1101" s="89"/>
      <c r="K1101" s="89"/>
      <c r="L1101" s="89"/>
      <c r="M1101" s="89"/>
      <c r="N1101" s="89"/>
      <c r="O1101" s="89"/>
      <c r="P1101" s="89"/>
      <c r="Q1101" s="89"/>
      <c r="R1101" s="21"/>
      <c r="S1101" s="117" t="str">
        <f t="shared" si="153"/>
        <v>N</v>
      </c>
      <c r="T1101" s="114">
        <f>IFERROR(SUMIF('Current NLData'!A:A,'Payment Changes'!G1101,'Current NLData'!K:K)/COUNTIF('Current NLData'!A:A,'Payment Changes'!G1101),0)+IFERROR(VLOOKUP(G1101&amp;"-ALL",NLPaymentExport,10,FALSE),0)</f>
        <v>0</v>
      </c>
      <c r="U1101" s="118" t="str">
        <f t="shared" si="154"/>
        <v/>
      </c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</row>
    <row r="1102" spans="1:54" s="10" customFormat="1" ht="17.100000000000001" hidden="1" customHeight="1" x14ac:dyDescent="0.25">
      <c r="A1102" s="165">
        <v>56</v>
      </c>
      <c r="B1102" s="168" t="s">
        <v>350</v>
      </c>
      <c r="C1102" s="171" t="s">
        <v>19</v>
      </c>
      <c r="D1102" s="174" t="s">
        <v>157</v>
      </c>
      <c r="E1102" s="106" t="str">
        <f t="shared" si="155"/>
        <v>Springfield</v>
      </c>
      <c r="F1102" s="107" t="s">
        <v>351</v>
      </c>
      <c r="G1102" s="108" t="str">
        <f t="shared" ref="G1102:G1120" si="157">F1102&amp;"-"&amp;I1102</f>
        <v>CP135-New Donor</v>
      </c>
      <c r="H1102" s="177" t="s">
        <v>75</v>
      </c>
      <c r="I1102" s="76" t="s">
        <v>23</v>
      </c>
      <c r="J1102" s="40" t="s">
        <v>352</v>
      </c>
      <c r="K1102" s="41" t="s">
        <v>353</v>
      </c>
      <c r="L1102" s="41" t="s">
        <v>354</v>
      </c>
      <c r="M1102" s="41" t="s">
        <v>355</v>
      </c>
      <c r="N1102" s="40" t="s">
        <v>355</v>
      </c>
      <c r="O1102" s="40" t="s">
        <v>355</v>
      </c>
      <c r="P1102" s="40" t="s">
        <v>355</v>
      </c>
      <c r="Q1102" s="40" t="s">
        <v>355</v>
      </c>
      <c r="R1102" s="109"/>
      <c r="S1102" s="117" t="str">
        <f t="shared" si="153"/>
        <v>N</v>
      </c>
      <c r="T1102" s="114">
        <f>IFERROR(SUMIF('Current NLData'!A:A,'Payment Changes'!G1102,'Current NLData'!K:K)/COUNTIF('Current NLData'!A:A,'Payment Changes'!G1102),0)+IFERROR(VLOOKUP(G1102&amp;"-ALL",NLPaymentExport,10,FALSE),0)</f>
        <v>0</v>
      </c>
      <c r="U1102" s="118" t="str">
        <f t="shared" si="154"/>
        <v/>
      </c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</row>
    <row r="1103" spans="1:54" ht="17.100000000000001" hidden="1" customHeight="1" x14ac:dyDescent="0.25">
      <c r="A1103" s="166"/>
      <c r="B1103" s="169"/>
      <c r="C1103" s="172"/>
      <c r="D1103" s="175"/>
      <c r="E1103" s="91" t="str">
        <f t="shared" si="155"/>
        <v>Springfield</v>
      </c>
      <c r="F1103" s="92" t="s">
        <v>351</v>
      </c>
      <c r="G1103" s="98" t="str">
        <f t="shared" si="157"/>
        <v>CP135-Return Donor</v>
      </c>
      <c r="H1103" s="178"/>
      <c r="I1103" s="77" t="s">
        <v>29</v>
      </c>
      <c r="J1103" s="43" t="s">
        <v>356</v>
      </c>
      <c r="K1103" s="43" t="s">
        <v>356</v>
      </c>
      <c r="L1103" s="44" t="s">
        <v>357</v>
      </c>
      <c r="M1103" s="45" t="s">
        <v>357</v>
      </c>
      <c r="N1103" s="43" t="s">
        <v>357</v>
      </c>
      <c r="O1103" s="43" t="s">
        <v>357</v>
      </c>
      <c r="P1103" s="43" t="s">
        <v>357</v>
      </c>
      <c r="Q1103" s="43" t="s">
        <v>357</v>
      </c>
      <c r="R1103" s="21"/>
      <c r="S1103" s="117" t="str">
        <f t="shared" si="153"/>
        <v>N</v>
      </c>
      <c r="T1103" s="114">
        <f>IFERROR(SUMIF('Current NLData'!A:A,'Payment Changes'!G1103,'Current NLData'!K:K)/COUNTIF('Current NLData'!A:A,'Payment Changes'!G1103),0)+IFERROR(VLOOKUP(G1103&amp;"-ALL",NLPaymentExport,10,FALSE),0)</f>
        <v>0</v>
      </c>
      <c r="U1103" s="118" t="str">
        <f t="shared" si="154"/>
        <v/>
      </c>
    </row>
    <row r="1104" spans="1:54" ht="17.100000000000001" hidden="1" customHeight="1" x14ac:dyDescent="0.25">
      <c r="A1104" s="166"/>
      <c r="B1104" s="169"/>
      <c r="C1104" s="172"/>
      <c r="D1104" s="175"/>
      <c r="E1104" s="91" t="str">
        <f t="shared" si="155"/>
        <v>Springfield</v>
      </c>
      <c r="F1104" s="92" t="s">
        <v>351</v>
      </c>
      <c r="G1104" s="98" t="str">
        <f t="shared" si="157"/>
        <v>CP135-Retention Bonus</v>
      </c>
      <c r="H1104" s="178"/>
      <c r="I1104" s="78" t="s">
        <v>30</v>
      </c>
      <c r="J1104" s="46" t="s">
        <v>358</v>
      </c>
      <c r="K1104" s="46" t="s">
        <v>358</v>
      </c>
      <c r="L1104" s="47" t="s">
        <v>358</v>
      </c>
      <c r="M1104" s="47" t="s">
        <v>359</v>
      </c>
      <c r="N1104" s="46" t="s">
        <v>359</v>
      </c>
      <c r="O1104" s="46" t="s">
        <v>359</v>
      </c>
      <c r="P1104" s="46" t="s">
        <v>359</v>
      </c>
      <c r="Q1104" s="46" t="s">
        <v>359</v>
      </c>
      <c r="R1104" s="21"/>
      <c r="S1104" s="117" t="str">
        <f t="shared" si="153"/>
        <v>N</v>
      </c>
      <c r="T1104" s="114">
        <f>IFERROR(SUMIF('Current NLData'!A:A,'Payment Changes'!G1104,'Current NLData'!K:K)/COUNTIF('Current NLData'!A:A,'Payment Changes'!G1104),0)+IFERROR(VLOOKUP(G1104&amp;"-ALL",NLPaymentExport,10,FALSE),0)</f>
        <v>0</v>
      </c>
      <c r="U1104" s="118" t="str">
        <f t="shared" si="154"/>
        <v/>
      </c>
    </row>
    <row r="1105" spans="1:54" s="15" customFormat="1" ht="17.100000000000001" hidden="1" customHeight="1" x14ac:dyDescent="0.25">
      <c r="A1105" s="167"/>
      <c r="B1105" s="170"/>
      <c r="C1105" s="173"/>
      <c r="D1105" s="176"/>
      <c r="E1105" s="110" t="str">
        <f t="shared" si="155"/>
        <v>Springfield</v>
      </c>
      <c r="F1105" s="111" t="s">
        <v>351</v>
      </c>
      <c r="G1105" s="112" t="str">
        <f t="shared" si="157"/>
        <v>CP135-Referral</v>
      </c>
      <c r="H1105" s="179"/>
      <c r="I1105" s="79" t="s">
        <v>34</v>
      </c>
      <c r="J1105" s="49">
        <v>50</v>
      </c>
      <c r="K1105" s="49">
        <v>50</v>
      </c>
      <c r="L1105" s="50" t="s">
        <v>32</v>
      </c>
      <c r="M1105" s="50" t="s">
        <v>247</v>
      </c>
      <c r="N1105" s="49" t="s">
        <v>247</v>
      </c>
      <c r="O1105" s="49" t="s">
        <v>247</v>
      </c>
      <c r="P1105" s="49" t="s">
        <v>247</v>
      </c>
      <c r="Q1105" s="49" t="s">
        <v>247</v>
      </c>
      <c r="R1105" s="113"/>
      <c r="S1105" s="117" t="str">
        <f t="shared" si="153"/>
        <v>N</v>
      </c>
      <c r="T1105" s="114">
        <f>IFERROR(SUMIF('Current NLData'!A:A,'Payment Changes'!G1105,'Current NLData'!K:K)/COUNTIF('Current NLData'!A:A,'Payment Changes'!G1105),0)+IFERROR(VLOOKUP(G1105&amp;"-ALL",NLPaymentExport,10,FALSE),0)</f>
        <v>0</v>
      </c>
      <c r="U1105" s="118" t="str">
        <f t="shared" si="154"/>
        <v/>
      </c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</row>
    <row r="1106" spans="1:54" ht="17.100000000000001" hidden="1" customHeight="1" outlineLevel="1" x14ac:dyDescent="0.25">
      <c r="A1106" s="3"/>
      <c r="C1106" s="4"/>
      <c r="D1106" s="180" t="s">
        <v>351</v>
      </c>
      <c r="E1106" s="91" t="str">
        <f t="shared" si="155"/>
        <v>Springfield</v>
      </c>
      <c r="F1106" s="93" t="str">
        <f t="shared" si="156"/>
        <v>CP135</v>
      </c>
      <c r="G1106" s="99" t="str">
        <f t="shared" si="157"/>
        <v>CP135-NEW DONOR -1st</v>
      </c>
      <c r="H1106" s="182" t="s">
        <v>36</v>
      </c>
      <c r="I1106" s="33" t="s">
        <v>37</v>
      </c>
      <c r="J1106" s="60">
        <v>100</v>
      </c>
      <c r="K1106" s="61">
        <v>100</v>
      </c>
      <c r="L1106" s="60">
        <v>100</v>
      </c>
      <c r="M1106" s="60">
        <v>100</v>
      </c>
      <c r="N1106" s="60">
        <v>100</v>
      </c>
      <c r="O1106" s="60">
        <v>100</v>
      </c>
      <c r="P1106" s="60">
        <v>100</v>
      </c>
      <c r="Q1106" s="60">
        <v>100</v>
      </c>
      <c r="R1106" s="23"/>
      <c r="S1106" s="117" t="str">
        <f t="shared" si="153"/>
        <v>N</v>
      </c>
      <c r="T1106" s="114">
        <f>IFERROR(SUMIF('Current NLData'!A:A,'Payment Changes'!G1106,'Current NLData'!K:K)/COUNTIF('Current NLData'!A:A,'Payment Changes'!G1106),0)+IFERROR(VLOOKUP(G1106&amp;"-ALL",NLPaymentExport,10,FALSE),0)</f>
        <v>100</v>
      </c>
      <c r="U1106" s="118">
        <f t="shared" si="154"/>
        <v>0</v>
      </c>
    </row>
    <row r="1107" spans="1:54" ht="17.100000000000001" hidden="1" customHeight="1" outlineLevel="1" x14ac:dyDescent="0.25">
      <c r="A1107" s="3"/>
      <c r="C1107" s="4"/>
      <c r="D1107" s="181"/>
      <c r="E1107" s="91" t="str">
        <f t="shared" si="155"/>
        <v>Springfield</v>
      </c>
      <c r="F1107" s="93" t="str">
        <f t="shared" si="156"/>
        <v>CP135</v>
      </c>
      <c r="G1107" s="99" t="str">
        <f t="shared" si="157"/>
        <v>CP135-NEW DONOR -2nd</v>
      </c>
      <c r="H1107" s="182"/>
      <c r="I1107" s="34" t="s">
        <v>38</v>
      </c>
      <c r="J1107" s="58">
        <v>100</v>
      </c>
      <c r="K1107" s="62">
        <v>100</v>
      </c>
      <c r="L1107" s="58">
        <v>100</v>
      </c>
      <c r="M1107" s="58">
        <v>100</v>
      </c>
      <c r="N1107" s="58">
        <v>100</v>
      </c>
      <c r="O1107" s="58">
        <v>100</v>
      </c>
      <c r="P1107" s="58">
        <v>100</v>
      </c>
      <c r="Q1107" s="58">
        <v>100</v>
      </c>
      <c r="R1107" s="23"/>
      <c r="S1107" s="117" t="str">
        <f t="shared" si="153"/>
        <v>N</v>
      </c>
      <c r="T1107" s="114">
        <f>IFERROR(SUMIF('Current NLData'!A:A,'Payment Changes'!G1107,'Current NLData'!K:K)/COUNTIF('Current NLData'!A:A,'Payment Changes'!G1107),0)+IFERROR(VLOOKUP(G1107&amp;"-ALL",NLPaymentExport,10,FALSE),0)</f>
        <v>100</v>
      </c>
      <c r="U1107" s="118">
        <f t="shared" si="154"/>
        <v>0</v>
      </c>
    </row>
    <row r="1108" spans="1:54" ht="17.100000000000001" hidden="1" customHeight="1" outlineLevel="1" x14ac:dyDescent="0.25">
      <c r="A1108" s="3"/>
      <c r="C1108" s="4"/>
      <c r="D1108" s="181"/>
      <c r="E1108" s="91" t="str">
        <f t="shared" si="155"/>
        <v>Springfield</v>
      </c>
      <c r="F1108" s="93" t="str">
        <f t="shared" si="156"/>
        <v>CP135</v>
      </c>
      <c r="G1108" s="99" t="str">
        <f t="shared" si="157"/>
        <v>CP135-NEW DONOR -3rd</v>
      </c>
      <c r="H1108" s="182"/>
      <c r="I1108" s="34" t="s">
        <v>39</v>
      </c>
      <c r="J1108" s="58">
        <v>100</v>
      </c>
      <c r="K1108" s="62">
        <v>100</v>
      </c>
      <c r="L1108" s="58">
        <v>100</v>
      </c>
      <c r="M1108" s="58">
        <v>100</v>
      </c>
      <c r="N1108" s="58">
        <v>100</v>
      </c>
      <c r="O1108" s="58">
        <v>100</v>
      </c>
      <c r="P1108" s="58">
        <v>100</v>
      </c>
      <c r="Q1108" s="58">
        <v>100</v>
      </c>
      <c r="R1108" s="23"/>
      <c r="S1108" s="117" t="str">
        <f t="shared" si="153"/>
        <v>N</v>
      </c>
      <c r="T1108" s="114">
        <f>IFERROR(SUMIF('Current NLData'!A:A,'Payment Changes'!G1108,'Current NLData'!K:K)/COUNTIF('Current NLData'!A:A,'Payment Changes'!G1108),0)+IFERROR(VLOOKUP(G1108&amp;"-ALL",NLPaymentExport,10,FALSE),0)</f>
        <v>100</v>
      </c>
      <c r="U1108" s="118">
        <f t="shared" si="154"/>
        <v>0</v>
      </c>
    </row>
    <row r="1109" spans="1:54" ht="17.100000000000001" hidden="1" customHeight="1" outlineLevel="1" x14ac:dyDescent="0.25">
      <c r="A1109" s="3"/>
      <c r="C1109" s="4"/>
      <c r="D1109" s="181"/>
      <c r="E1109" s="91" t="str">
        <f t="shared" si="155"/>
        <v>Springfield</v>
      </c>
      <c r="F1109" s="93" t="str">
        <f t="shared" si="156"/>
        <v>CP135</v>
      </c>
      <c r="G1109" s="99" t="str">
        <f t="shared" si="157"/>
        <v>CP135-NEW DONOR -4th</v>
      </c>
      <c r="H1109" s="182"/>
      <c r="I1109" s="34" t="s">
        <v>40</v>
      </c>
      <c r="J1109" s="58">
        <v>100</v>
      </c>
      <c r="K1109" s="62">
        <v>100</v>
      </c>
      <c r="L1109" s="58">
        <v>100</v>
      </c>
      <c r="M1109" s="58">
        <v>100</v>
      </c>
      <c r="N1109" s="58">
        <v>100</v>
      </c>
      <c r="O1109" s="58">
        <v>100</v>
      </c>
      <c r="P1109" s="58">
        <v>100</v>
      </c>
      <c r="Q1109" s="58">
        <v>100</v>
      </c>
      <c r="R1109" s="23"/>
      <c r="S1109" s="117" t="str">
        <f t="shared" si="153"/>
        <v>N</v>
      </c>
      <c r="T1109" s="114">
        <f>IFERROR(SUMIF('Current NLData'!A:A,'Payment Changes'!G1109,'Current NLData'!K:K)/COUNTIF('Current NLData'!A:A,'Payment Changes'!G1109),0)+IFERROR(VLOOKUP(G1109&amp;"-ALL",NLPaymentExport,10,FALSE),0)</f>
        <v>100</v>
      </c>
      <c r="U1109" s="118">
        <f t="shared" si="154"/>
        <v>0</v>
      </c>
    </row>
    <row r="1110" spans="1:54" ht="17.100000000000001" hidden="1" customHeight="1" outlineLevel="1" x14ac:dyDescent="0.25">
      <c r="A1110" s="3"/>
      <c r="C1110" s="4"/>
      <c r="D1110" s="181"/>
      <c r="E1110" s="91" t="str">
        <f t="shared" si="155"/>
        <v>Springfield</v>
      </c>
      <c r="F1110" s="93" t="str">
        <f t="shared" si="156"/>
        <v>CP135</v>
      </c>
      <c r="G1110" s="99" t="str">
        <f t="shared" si="157"/>
        <v>CP135-NEW DONOR -5th</v>
      </c>
      <c r="H1110" s="182"/>
      <c r="I1110" s="34" t="s">
        <v>41</v>
      </c>
      <c r="J1110" s="58">
        <v>45</v>
      </c>
      <c r="K1110" s="62">
        <v>45</v>
      </c>
      <c r="L1110" s="58">
        <v>40</v>
      </c>
      <c r="M1110" s="58">
        <v>100</v>
      </c>
      <c r="N1110" s="58">
        <v>100</v>
      </c>
      <c r="O1110" s="58">
        <v>100</v>
      </c>
      <c r="P1110" s="58">
        <v>100</v>
      </c>
      <c r="Q1110" s="58">
        <v>100</v>
      </c>
      <c r="R1110" s="23"/>
      <c r="S1110" s="117" t="str">
        <f t="shared" si="153"/>
        <v>N</v>
      </c>
      <c r="T1110" s="114">
        <f>IFERROR(SUMIF('Current NLData'!A:A,'Payment Changes'!G1110,'Current NLData'!K:K)/COUNTIF('Current NLData'!A:A,'Payment Changes'!G1110),0)+IFERROR(VLOOKUP(G1110&amp;"-ALL",NLPaymentExport,10,FALSE),0)</f>
        <v>100</v>
      </c>
      <c r="U1110" s="118">
        <f t="shared" si="154"/>
        <v>0</v>
      </c>
    </row>
    <row r="1111" spans="1:54" ht="17.100000000000001" hidden="1" customHeight="1" outlineLevel="1" x14ac:dyDescent="0.25">
      <c r="A1111" s="3"/>
      <c r="C1111" s="4"/>
      <c r="D1111" s="181"/>
      <c r="E1111" s="91" t="str">
        <f t="shared" si="155"/>
        <v>Springfield</v>
      </c>
      <c r="F1111" s="93" t="str">
        <f t="shared" si="156"/>
        <v>CP135</v>
      </c>
      <c r="G1111" s="99" t="str">
        <f t="shared" si="157"/>
        <v>CP135-NEW DONOR -6th</v>
      </c>
      <c r="H1111" s="182"/>
      <c r="I1111" s="34" t="s">
        <v>42</v>
      </c>
      <c r="J1111" s="58">
        <v>45</v>
      </c>
      <c r="K1111" s="62">
        <v>75</v>
      </c>
      <c r="L1111" s="58">
        <v>40</v>
      </c>
      <c r="M1111" s="58">
        <v>40</v>
      </c>
      <c r="N1111" s="58">
        <v>40</v>
      </c>
      <c r="O1111" s="58">
        <v>40</v>
      </c>
      <c r="P1111" s="58">
        <v>40</v>
      </c>
      <c r="Q1111" s="58">
        <v>40</v>
      </c>
      <c r="R1111" s="23"/>
      <c r="S1111" s="117" t="str">
        <f t="shared" si="153"/>
        <v>N</v>
      </c>
      <c r="T1111" s="114">
        <f>IFERROR(SUMIF('Current NLData'!A:A,'Payment Changes'!G1111,'Current NLData'!K:K)/COUNTIF('Current NLData'!A:A,'Payment Changes'!G1111),0)+IFERROR(VLOOKUP(G1111&amp;"-ALL",NLPaymentExport,10,FALSE),0)</f>
        <v>40</v>
      </c>
      <c r="U1111" s="118">
        <f t="shared" si="154"/>
        <v>0</v>
      </c>
    </row>
    <row r="1112" spans="1:54" ht="17.100000000000001" hidden="1" customHeight="1" outlineLevel="1" x14ac:dyDescent="0.25">
      <c r="A1112" s="3"/>
      <c r="C1112" s="4"/>
      <c r="D1112" s="181"/>
      <c r="E1112" s="91" t="str">
        <f t="shared" si="155"/>
        <v>Springfield</v>
      </c>
      <c r="F1112" s="93" t="str">
        <f t="shared" si="156"/>
        <v>CP135</v>
      </c>
      <c r="G1112" s="99" t="str">
        <f t="shared" si="157"/>
        <v>CP135-NEW DONOR -7th</v>
      </c>
      <c r="H1112" s="182"/>
      <c r="I1112" s="34" t="s">
        <v>43</v>
      </c>
      <c r="J1112" s="58">
        <v>45</v>
      </c>
      <c r="K1112" s="62">
        <v>45</v>
      </c>
      <c r="L1112" s="58">
        <v>40</v>
      </c>
      <c r="M1112" s="58">
        <v>40</v>
      </c>
      <c r="N1112" s="58">
        <v>40</v>
      </c>
      <c r="O1112" s="58">
        <v>40</v>
      </c>
      <c r="P1112" s="58">
        <v>40</v>
      </c>
      <c r="Q1112" s="58">
        <v>40</v>
      </c>
      <c r="R1112" s="23"/>
      <c r="S1112" s="117" t="str">
        <f t="shared" si="153"/>
        <v>N</v>
      </c>
      <c r="T1112" s="114">
        <f>IFERROR(SUMIF('Current NLData'!A:A,'Payment Changes'!G1112,'Current NLData'!K:K)/COUNTIF('Current NLData'!A:A,'Payment Changes'!G1112),0)+IFERROR(VLOOKUP(G1112&amp;"-ALL",NLPaymentExport,10,FALSE),0)</f>
        <v>40</v>
      </c>
      <c r="U1112" s="118">
        <f t="shared" si="154"/>
        <v>0</v>
      </c>
    </row>
    <row r="1113" spans="1:54" ht="17.100000000000001" hidden="1" customHeight="1" outlineLevel="1" x14ac:dyDescent="0.25">
      <c r="A1113" s="3"/>
      <c r="C1113" s="4"/>
      <c r="D1113" s="181"/>
      <c r="E1113" s="91" t="str">
        <f t="shared" si="155"/>
        <v>Springfield</v>
      </c>
      <c r="F1113" s="93" t="str">
        <f t="shared" si="156"/>
        <v>CP135</v>
      </c>
      <c r="G1113" s="99" t="str">
        <f t="shared" si="157"/>
        <v>CP135-NEW DONOR -8th</v>
      </c>
      <c r="H1113" s="182"/>
      <c r="I1113" s="35" t="s">
        <v>44</v>
      </c>
      <c r="J1113" s="63">
        <v>45</v>
      </c>
      <c r="K1113" s="64">
        <v>75</v>
      </c>
      <c r="L1113" s="63">
        <v>40</v>
      </c>
      <c r="M1113" s="63">
        <v>40</v>
      </c>
      <c r="N1113" s="63">
        <v>40</v>
      </c>
      <c r="O1113" s="63">
        <v>40</v>
      </c>
      <c r="P1113" s="63">
        <v>40</v>
      </c>
      <c r="Q1113" s="63">
        <v>40</v>
      </c>
      <c r="R1113" s="23"/>
      <c r="S1113" s="117" t="str">
        <f t="shared" si="153"/>
        <v>N</v>
      </c>
      <c r="T1113" s="114">
        <f>IFERROR(SUMIF('Current NLData'!A:A,'Payment Changes'!G1113,'Current NLData'!K:K)/COUNTIF('Current NLData'!A:A,'Payment Changes'!G1113),0)+IFERROR(VLOOKUP(G1113&amp;"-ALL",NLPaymentExport,10,FALSE),0)</f>
        <v>40</v>
      </c>
      <c r="U1113" s="118">
        <f t="shared" si="154"/>
        <v>0</v>
      </c>
    </row>
    <row r="1114" spans="1:54" ht="17.100000000000001" hidden="1" customHeight="1" outlineLevel="1" x14ac:dyDescent="0.25">
      <c r="A1114" s="3"/>
      <c r="C1114" s="4"/>
      <c r="D1114" s="181"/>
      <c r="E1114" s="91" t="str">
        <f t="shared" si="155"/>
        <v>Springfield</v>
      </c>
      <c r="F1114" s="93" t="str">
        <f t="shared" si="156"/>
        <v>CP135</v>
      </c>
      <c r="G1114" s="99" t="str">
        <f t="shared" si="157"/>
        <v>CP135-RETURN - 1st don of the week -STD</v>
      </c>
      <c r="H1114" s="182"/>
      <c r="I1114" s="36" t="s">
        <v>45</v>
      </c>
      <c r="J1114" s="58">
        <v>45</v>
      </c>
      <c r="K1114" s="58">
        <v>45</v>
      </c>
      <c r="L1114" s="58">
        <v>40</v>
      </c>
      <c r="M1114" s="58">
        <v>40</v>
      </c>
      <c r="N1114" s="58">
        <v>40</v>
      </c>
      <c r="O1114" s="58">
        <v>40</v>
      </c>
      <c r="P1114" s="58">
        <v>40</v>
      </c>
      <c r="Q1114" s="58">
        <v>40</v>
      </c>
      <c r="R1114" s="22"/>
      <c r="S1114" s="117" t="str">
        <f t="shared" si="153"/>
        <v>N</v>
      </c>
      <c r="T1114" s="114">
        <f>IFERROR(SUMIF('Current NLData'!A:A,'Payment Changes'!G1114,'Current NLData'!K:K)/COUNTIF('Current NLData'!A:A,'Payment Changes'!G1114),0)+IFERROR(VLOOKUP(G1114&amp;"-ALL",NLPaymentExport,10,FALSE),0)</f>
        <v>40</v>
      </c>
      <c r="U1114" s="118">
        <f t="shared" si="154"/>
        <v>0</v>
      </c>
    </row>
    <row r="1115" spans="1:54" ht="17.100000000000001" hidden="1" customHeight="1" outlineLevel="1" x14ac:dyDescent="0.25">
      <c r="A1115" s="3"/>
      <c r="C1115" s="4"/>
      <c r="D1115" s="181"/>
      <c r="E1115" s="91" t="str">
        <f t="shared" si="155"/>
        <v>Springfield</v>
      </c>
      <c r="F1115" s="93" t="str">
        <f t="shared" si="156"/>
        <v>CP135</v>
      </c>
      <c r="G1115" s="99" t="str">
        <f t="shared" si="157"/>
        <v>CP135-RETURN - 2nd don of the week -BONUS</v>
      </c>
      <c r="H1115" s="182"/>
      <c r="I1115" s="36" t="s">
        <v>46</v>
      </c>
      <c r="J1115" s="58">
        <v>30</v>
      </c>
      <c r="K1115" s="58">
        <v>30</v>
      </c>
      <c r="L1115" s="58">
        <v>30</v>
      </c>
      <c r="M1115" s="58">
        <v>30</v>
      </c>
      <c r="N1115" s="58">
        <v>30</v>
      </c>
      <c r="O1115" s="58">
        <v>30</v>
      </c>
      <c r="P1115" s="58">
        <v>30</v>
      </c>
      <c r="Q1115" s="58">
        <v>30</v>
      </c>
      <c r="R1115" s="22"/>
      <c r="S1115" s="117" t="str">
        <f t="shared" si="153"/>
        <v>N</v>
      </c>
      <c r="T1115" s="114">
        <f>IFERROR(SUMIF('Current NLData'!A:A,'Payment Changes'!G1115,'Current NLData'!K:K)/COUNTIF('Current NLData'!A:A,'Payment Changes'!G1115),0)+IFERROR(VLOOKUP(G1115&amp;"-ALL",NLPaymentExport,10,FALSE),0)</f>
        <v>30</v>
      </c>
      <c r="U1115" s="118">
        <f t="shared" si="154"/>
        <v>0</v>
      </c>
    </row>
    <row r="1116" spans="1:54" ht="17.100000000000001" hidden="1" customHeight="1" outlineLevel="1" x14ac:dyDescent="0.25">
      <c r="A1116" s="3"/>
      <c r="C1116" s="4"/>
      <c r="D1116" s="181"/>
      <c r="E1116" s="91" t="str">
        <f t="shared" si="155"/>
        <v>Springfield</v>
      </c>
      <c r="F1116" s="93" t="str">
        <f t="shared" si="156"/>
        <v>CP135</v>
      </c>
      <c r="G1116" s="99" t="str">
        <f t="shared" si="157"/>
        <v>CP135-RETURN - 5th don of the month -BONUS</v>
      </c>
      <c r="H1116" s="182"/>
      <c r="I1116" s="37" t="s">
        <v>47</v>
      </c>
      <c r="J1116" s="65">
        <v>0</v>
      </c>
      <c r="K1116" s="65">
        <v>0</v>
      </c>
      <c r="L1116" s="65">
        <v>0</v>
      </c>
      <c r="M1116" s="65">
        <v>0</v>
      </c>
      <c r="N1116" s="65">
        <v>0</v>
      </c>
      <c r="O1116" s="65">
        <v>0</v>
      </c>
      <c r="P1116" s="65">
        <v>0</v>
      </c>
      <c r="Q1116" s="65">
        <v>0</v>
      </c>
      <c r="R1116" s="22"/>
      <c r="S1116" s="117" t="str">
        <f t="shared" si="153"/>
        <v>N</v>
      </c>
      <c r="T1116" s="114">
        <f>IFERROR(SUMIF('Current NLData'!A:A,'Payment Changes'!G1116,'Current NLData'!K:K)/COUNTIF('Current NLData'!A:A,'Payment Changes'!G1116),0)+IFERROR(VLOOKUP(G1116&amp;"-ALL",NLPaymentExport,10,FALSE),0)</f>
        <v>0</v>
      </c>
      <c r="U1116" s="118">
        <f t="shared" si="154"/>
        <v>0</v>
      </c>
    </row>
    <row r="1117" spans="1:54" ht="17.100000000000001" hidden="1" customHeight="1" outlineLevel="1" x14ac:dyDescent="0.25">
      <c r="A1117" s="3"/>
      <c r="C1117" s="4"/>
      <c r="D1117" s="181"/>
      <c r="E1117" s="91" t="str">
        <f t="shared" si="155"/>
        <v>Springfield</v>
      </c>
      <c r="F1117" s="93" t="str">
        <f t="shared" si="156"/>
        <v>CP135</v>
      </c>
      <c r="G1117" s="99" t="str">
        <f t="shared" si="157"/>
        <v>CP135-RETURN - 6th don of the month -BONUS</v>
      </c>
      <c r="H1117" s="182"/>
      <c r="I1117" s="38" t="s">
        <v>48</v>
      </c>
      <c r="J1117" s="58">
        <v>20</v>
      </c>
      <c r="K1117" s="58">
        <v>20</v>
      </c>
      <c r="L1117" s="58">
        <v>20</v>
      </c>
      <c r="M1117" s="58">
        <v>30</v>
      </c>
      <c r="N1117" s="58">
        <v>30</v>
      </c>
      <c r="O1117" s="58">
        <v>30</v>
      </c>
      <c r="P1117" s="58">
        <v>30</v>
      </c>
      <c r="Q1117" s="58">
        <v>30</v>
      </c>
      <c r="R1117" s="22"/>
      <c r="S1117" s="117" t="str">
        <f t="shared" si="153"/>
        <v>N</v>
      </c>
      <c r="T1117" s="114">
        <f>IFERROR(SUMIF('Current NLData'!A:A,'Payment Changes'!G1117,'Current NLData'!K:K)/COUNTIF('Current NLData'!A:A,'Payment Changes'!G1117),0)+IFERROR(VLOOKUP(G1117&amp;"-ALL",NLPaymentExport,10,FALSE),0)</f>
        <v>30</v>
      </c>
      <c r="U1117" s="118">
        <f t="shared" si="154"/>
        <v>0</v>
      </c>
    </row>
    <row r="1118" spans="1:54" ht="17.100000000000001" hidden="1" customHeight="1" outlineLevel="1" x14ac:dyDescent="0.25">
      <c r="A1118" s="3"/>
      <c r="C1118" s="4"/>
      <c r="D1118" s="181"/>
      <c r="E1118" s="91" t="str">
        <f t="shared" si="155"/>
        <v>Springfield</v>
      </c>
      <c r="F1118" s="93" t="str">
        <f t="shared" si="156"/>
        <v>CP135</v>
      </c>
      <c r="G1118" s="99" t="str">
        <f t="shared" si="157"/>
        <v>CP135-RETURN - 7th don of the month -BONUS</v>
      </c>
      <c r="H1118" s="182"/>
      <c r="I1118" s="38" t="s">
        <v>49</v>
      </c>
      <c r="J1118" s="58">
        <v>0</v>
      </c>
      <c r="K1118" s="58">
        <v>0</v>
      </c>
      <c r="L1118" s="58">
        <v>0</v>
      </c>
      <c r="M1118" s="58">
        <v>0</v>
      </c>
      <c r="N1118" s="58">
        <v>0</v>
      </c>
      <c r="O1118" s="58">
        <v>0</v>
      </c>
      <c r="P1118" s="58">
        <v>0</v>
      </c>
      <c r="Q1118" s="58">
        <v>0</v>
      </c>
      <c r="R1118" s="22"/>
      <c r="S1118" s="117" t="str">
        <f t="shared" si="153"/>
        <v>N</v>
      </c>
      <c r="T1118" s="114">
        <f>IFERROR(SUMIF('Current NLData'!A:A,'Payment Changes'!G1118,'Current NLData'!K:K)/COUNTIF('Current NLData'!A:A,'Payment Changes'!G1118),0)+IFERROR(VLOOKUP(G1118&amp;"-ALL",NLPaymentExport,10,FALSE),0)</f>
        <v>0</v>
      </c>
      <c r="U1118" s="118">
        <f t="shared" si="154"/>
        <v>0</v>
      </c>
    </row>
    <row r="1119" spans="1:54" ht="17.100000000000001" hidden="1" customHeight="1" outlineLevel="1" x14ac:dyDescent="0.25">
      <c r="A1119" s="3"/>
      <c r="C1119" s="4"/>
      <c r="D1119" s="181"/>
      <c r="E1119" s="91" t="str">
        <f t="shared" si="155"/>
        <v>Springfield</v>
      </c>
      <c r="F1119" s="93" t="str">
        <f t="shared" si="156"/>
        <v>CP135</v>
      </c>
      <c r="G1119" s="99" t="str">
        <f t="shared" si="157"/>
        <v>CP135-RETURN - 8th don of the month -BONUS</v>
      </c>
      <c r="H1119" s="182"/>
      <c r="I1119" s="38" t="s">
        <v>50</v>
      </c>
      <c r="J1119" s="58">
        <v>0</v>
      </c>
      <c r="K1119" s="58">
        <v>0</v>
      </c>
      <c r="L1119" s="58">
        <v>0</v>
      </c>
      <c r="M1119" s="58">
        <v>0</v>
      </c>
      <c r="N1119" s="58">
        <v>0</v>
      </c>
      <c r="O1119" s="58">
        <v>0</v>
      </c>
      <c r="P1119" s="58">
        <v>0</v>
      </c>
      <c r="Q1119" s="58">
        <v>0</v>
      </c>
      <c r="R1119" s="22"/>
      <c r="S1119" s="117" t="str">
        <f t="shared" si="153"/>
        <v>N</v>
      </c>
      <c r="T1119" s="114">
        <f>IFERROR(SUMIF('Current NLData'!A:A,'Payment Changes'!G1119,'Current NLData'!K:K)/COUNTIF('Current NLData'!A:A,'Payment Changes'!G1119),0)+IFERROR(VLOOKUP(G1119&amp;"-ALL",NLPaymentExport,10,FALSE),0)</f>
        <v>0</v>
      </c>
      <c r="U1119" s="118">
        <f t="shared" si="154"/>
        <v>0</v>
      </c>
    </row>
    <row r="1120" spans="1:54" ht="17.100000000000001" hidden="1" customHeight="1" outlineLevel="1" x14ac:dyDescent="0.25">
      <c r="A1120" s="3"/>
      <c r="C1120" s="4" t="str">
        <f>IF(J1120=0,"Warning","")</f>
        <v/>
      </c>
      <c r="D1120" s="181"/>
      <c r="E1120" s="91" t="str">
        <f t="shared" si="155"/>
        <v>Springfield</v>
      </c>
      <c r="F1120" s="93" t="str">
        <f t="shared" si="156"/>
        <v>CP135</v>
      </c>
      <c r="G1120" s="99" t="str">
        <f t="shared" si="157"/>
        <v>CP135-RETURN - Buddy referral  -BONUS</v>
      </c>
      <c r="H1120" s="182"/>
      <c r="I1120" s="39" t="s">
        <v>51</v>
      </c>
      <c r="J1120" s="58">
        <v>50</v>
      </c>
      <c r="K1120" s="58">
        <v>50</v>
      </c>
      <c r="L1120" s="58">
        <v>0</v>
      </c>
      <c r="M1120" s="58">
        <v>50</v>
      </c>
      <c r="N1120" s="58">
        <v>50</v>
      </c>
      <c r="O1120" s="58">
        <v>50</v>
      </c>
      <c r="P1120" s="58">
        <v>50</v>
      </c>
      <c r="Q1120" s="58">
        <v>50</v>
      </c>
      <c r="R1120" s="22"/>
      <c r="S1120" s="117" t="str">
        <f t="shared" si="153"/>
        <v>N</v>
      </c>
      <c r="T1120" s="114">
        <f>IFERROR(SUMIF('Current NLData'!A:A,'Payment Changes'!G1120,'Current NLData'!K:K)/COUNTIF('Current NLData'!A:A,'Payment Changes'!G1120),0)+IFERROR(VLOOKUP(G1120&amp;"-ALL",NLPaymentExport,10,FALSE),0)</f>
        <v>50</v>
      </c>
      <c r="U1120" s="118">
        <f t="shared" si="154"/>
        <v>0</v>
      </c>
    </row>
    <row r="1121" spans="1:54" s="90" customFormat="1" ht="17.100000000000001" hidden="1" customHeight="1" collapsed="1" x14ac:dyDescent="0.35">
      <c r="A1121" s="85"/>
      <c r="B1121" s="85"/>
      <c r="C1121" s="86"/>
      <c r="D1121" s="87"/>
      <c r="E1121" s="87"/>
      <c r="F1121" s="87"/>
      <c r="G1121" s="87"/>
      <c r="H1121" s="96"/>
      <c r="I1121" s="88"/>
      <c r="J1121" s="89"/>
      <c r="K1121" s="89"/>
      <c r="L1121" s="89"/>
      <c r="M1121" s="89"/>
      <c r="N1121" s="89"/>
      <c r="O1121" s="89"/>
      <c r="P1121" s="89"/>
      <c r="Q1121" s="89"/>
      <c r="R1121" s="21"/>
      <c r="S1121" s="117" t="str">
        <f t="shared" si="153"/>
        <v>N</v>
      </c>
      <c r="T1121" s="114">
        <f>IFERROR(SUMIF('Current NLData'!A:A,'Payment Changes'!G1121,'Current NLData'!K:K)/COUNTIF('Current NLData'!A:A,'Payment Changes'!G1121),0)+IFERROR(VLOOKUP(G1121&amp;"-ALL",NLPaymentExport,10,FALSE),0)</f>
        <v>0</v>
      </c>
      <c r="U1121" s="118" t="str">
        <f t="shared" si="154"/>
        <v/>
      </c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</row>
    <row r="1122" spans="1:54" s="10" customFormat="1" ht="17.100000000000001" hidden="1" customHeight="1" x14ac:dyDescent="0.25">
      <c r="A1122" s="165">
        <v>57</v>
      </c>
      <c r="B1122" s="168" t="s">
        <v>360</v>
      </c>
      <c r="C1122" s="171" t="s">
        <v>106</v>
      </c>
      <c r="D1122" s="174" t="s">
        <v>157</v>
      </c>
      <c r="E1122" s="106" t="str">
        <f t="shared" si="155"/>
        <v>Urbana</v>
      </c>
      <c r="F1122" s="107" t="s">
        <v>361</v>
      </c>
      <c r="G1122" s="108" t="str">
        <f t="shared" ref="G1122:G1140" si="158">F1122&amp;"-"&amp;I1122</f>
        <v>CP136-New Donor</v>
      </c>
      <c r="H1122" s="177" t="s">
        <v>75</v>
      </c>
      <c r="I1122" s="76" t="s">
        <v>23</v>
      </c>
      <c r="J1122" s="40" t="s">
        <v>362</v>
      </c>
      <c r="K1122" s="41" t="s">
        <v>363</v>
      </c>
      <c r="L1122" s="41" t="s">
        <v>364</v>
      </c>
      <c r="M1122" s="42" t="s">
        <v>364</v>
      </c>
      <c r="N1122" s="40" t="s">
        <v>364</v>
      </c>
      <c r="O1122" s="40" t="s">
        <v>364</v>
      </c>
      <c r="P1122" s="40" t="s">
        <v>364</v>
      </c>
      <c r="Q1122" s="40" t="s">
        <v>364</v>
      </c>
      <c r="R1122" s="109"/>
      <c r="S1122" s="117" t="str">
        <f t="shared" si="153"/>
        <v>N</v>
      </c>
      <c r="T1122" s="114">
        <f>IFERROR(SUMIF('Current NLData'!A:A,'Payment Changes'!G1122,'Current NLData'!K:K)/COUNTIF('Current NLData'!A:A,'Payment Changes'!G1122),0)+IFERROR(VLOOKUP(G1122&amp;"-ALL",NLPaymentExport,10,FALSE),0)</f>
        <v>0</v>
      </c>
      <c r="U1122" s="118" t="str">
        <f t="shared" si="154"/>
        <v/>
      </c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</row>
    <row r="1123" spans="1:54" ht="17.100000000000001" hidden="1" customHeight="1" x14ac:dyDescent="0.25">
      <c r="A1123" s="166"/>
      <c r="B1123" s="169"/>
      <c r="C1123" s="172"/>
      <c r="D1123" s="175"/>
      <c r="E1123" s="91" t="str">
        <f t="shared" si="155"/>
        <v>Urbana</v>
      </c>
      <c r="F1123" s="92" t="s">
        <v>361</v>
      </c>
      <c r="G1123" s="98" t="str">
        <f t="shared" si="158"/>
        <v>CP136-Return Donor</v>
      </c>
      <c r="H1123" s="178"/>
      <c r="I1123" s="77" t="s">
        <v>29</v>
      </c>
      <c r="J1123" s="43" t="s">
        <v>365</v>
      </c>
      <c r="K1123" s="43" t="s">
        <v>365</v>
      </c>
      <c r="L1123" s="44" t="s">
        <v>366</v>
      </c>
      <c r="M1123" s="45" t="s">
        <v>366</v>
      </c>
      <c r="N1123" s="43" t="s">
        <v>366</v>
      </c>
      <c r="O1123" s="43" t="s">
        <v>366</v>
      </c>
      <c r="P1123" s="43" t="s">
        <v>366</v>
      </c>
      <c r="Q1123" s="43" t="s">
        <v>367</v>
      </c>
      <c r="R1123" s="21"/>
      <c r="S1123" s="117" t="str">
        <f t="shared" si="153"/>
        <v>Y</v>
      </c>
      <c r="T1123" s="114">
        <f>IFERROR(SUMIF('Current NLData'!A:A,'Payment Changes'!G1123,'Current NLData'!K:K)/COUNTIF('Current NLData'!A:A,'Payment Changes'!G1123),0)+IFERROR(VLOOKUP(G1123&amp;"-ALL",NLPaymentExport,10,FALSE),0)</f>
        <v>0</v>
      </c>
      <c r="U1123" s="118" t="str">
        <f t="shared" si="154"/>
        <v/>
      </c>
    </row>
    <row r="1124" spans="1:54" ht="17.100000000000001" hidden="1" customHeight="1" x14ac:dyDescent="0.25">
      <c r="A1124" s="166"/>
      <c r="B1124" s="169"/>
      <c r="C1124" s="172"/>
      <c r="D1124" s="175"/>
      <c r="E1124" s="91" t="str">
        <f t="shared" si="155"/>
        <v>Urbana</v>
      </c>
      <c r="F1124" s="92" t="s">
        <v>361</v>
      </c>
      <c r="G1124" s="98" t="str">
        <f t="shared" si="158"/>
        <v>CP136-Retention Bonus</v>
      </c>
      <c r="H1124" s="178"/>
      <c r="I1124" s="78" t="s">
        <v>30</v>
      </c>
      <c r="J1124" s="46" t="s">
        <v>368</v>
      </c>
      <c r="K1124" s="46" t="s">
        <v>368</v>
      </c>
      <c r="L1124" s="47" t="s">
        <v>268</v>
      </c>
      <c r="M1124" s="48" t="s">
        <v>268</v>
      </c>
      <c r="N1124" s="46" t="s">
        <v>268</v>
      </c>
      <c r="O1124" s="46" t="s">
        <v>268</v>
      </c>
      <c r="P1124" s="46" t="s">
        <v>268</v>
      </c>
      <c r="Q1124" s="46" t="s">
        <v>369</v>
      </c>
      <c r="R1124" s="21"/>
      <c r="S1124" s="117" t="str">
        <f t="shared" si="153"/>
        <v>Y</v>
      </c>
      <c r="T1124" s="114">
        <f>IFERROR(SUMIF('Current NLData'!A:A,'Payment Changes'!G1124,'Current NLData'!K:K)/COUNTIF('Current NLData'!A:A,'Payment Changes'!G1124),0)+IFERROR(VLOOKUP(G1124&amp;"-ALL",NLPaymentExport,10,FALSE),0)</f>
        <v>0</v>
      </c>
      <c r="U1124" s="118" t="str">
        <f t="shared" si="154"/>
        <v/>
      </c>
    </row>
    <row r="1125" spans="1:54" s="15" customFormat="1" ht="17.100000000000001" hidden="1" customHeight="1" x14ac:dyDescent="0.25">
      <c r="A1125" s="167"/>
      <c r="B1125" s="170"/>
      <c r="C1125" s="173"/>
      <c r="D1125" s="176"/>
      <c r="E1125" s="110" t="str">
        <f t="shared" si="155"/>
        <v>Urbana</v>
      </c>
      <c r="F1125" s="111" t="s">
        <v>361</v>
      </c>
      <c r="G1125" s="112" t="str">
        <f t="shared" si="158"/>
        <v>CP136-Referral</v>
      </c>
      <c r="H1125" s="179"/>
      <c r="I1125" s="79" t="s">
        <v>34</v>
      </c>
      <c r="J1125" s="49">
        <v>50</v>
      </c>
      <c r="K1125" s="49">
        <v>50</v>
      </c>
      <c r="L1125" s="50">
        <v>50</v>
      </c>
      <c r="M1125" s="51">
        <v>50</v>
      </c>
      <c r="N1125" s="49">
        <v>50</v>
      </c>
      <c r="O1125" s="49">
        <v>50</v>
      </c>
      <c r="P1125" s="49">
        <v>50</v>
      </c>
      <c r="Q1125" s="49">
        <v>50</v>
      </c>
      <c r="R1125" s="113"/>
      <c r="S1125" s="117" t="str">
        <f t="shared" si="153"/>
        <v>N</v>
      </c>
      <c r="T1125" s="114">
        <f>IFERROR(SUMIF('Current NLData'!A:A,'Payment Changes'!G1125,'Current NLData'!K:K)/COUNTIF('Current NLData'!A:A,'Payment Changes'!G1125),0)+IFERROR(VLOOKUP(G1125&amp;"-ALL",NLPaymentExport,10,FALSE),0)</f>
        <v>0</v>
      </c>
      <c r="U1125" s="118" t="str">
        <f t="shared" si="154"/>
        <v/>
      </c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</row>
    <row r="1126" spans="1:54" ht="17.100000000000001" hidden="1" customHeight="1" outlineLevel="1" x14ac:dyDescent="0.25">
      <c r="A1126" s="3"/>
      <c r="C1126" s="4"/>
      <c r="D1126" s="180" t="s">
        <v>361</v>
      </c>
      <c r="E1126" s="91" t="str">
        <f t="shared" si="155"/>
        <v>Urbana</v>
      </c>
      <c r="F1126" s="93" t="str">
        <f t="shared" si="156"/>
        <v>CP136</v>
      </c>
      <c r="G1126" s="99" t="str">
        <f t="shared" si="158"/>
        <v>CP136-NEW DONOR -1st</v>
      </c>
      <c r="H1126" s="182" t="s">
        <v>36</v>
      </c>
      <c r="I1126" s="33" t="s">
        <v>37</v>
      </c>
      <c r="J1126" s="60">
        <v>125</v>
      </c>
      <c r="K1126" s="61">
        <v>125</v>
      </c>
      <c r="L1126" s="60">
        <v>125</v>
      </c>
      <c r="M1126" s="60">
        <v>125</v>
      </c>
      <c r="N1126" s="60">
        <v>125</v>
      </c>
      <c r="O1126" s="60">
        <v>125</v>
      </c>
      <c r="P1126" s="60">
        <v>125</v>
      </c>
      <c r="Q1126" s="60">
        <v>125</v>
      </c>
      <c r="R1126" s="23"/>
      <c r="S1126" s="117" t="str">
        <f t="shared" si="153"/>
        <v>N</v>
      </c>
      <c r="T1126" s="114">
        <f>IFERROR(SUMIF('Current NLData'!A:A,'Payment Changes'!G1126,'Current NLData'!K:K)/COUNTIF('Current NLData'!A:A,'Payment Changes'!G1126),0)+IFERROR(VLOOKUP(G1126&amp;"-ALL",NLPaymentExport,10,FALSE),0)</f>
        <v>125</v>
      </c>
      <c r="U1126" s="118">
        <f t="shared" si="154"/>
        <v>0</v>
      </c>
    </row>
    <row r="1127" spans="1:54" ht="17.100000000000001" hidden="1" customHeight="1" outlineLevel="1" x14ac:dyDescent="0.25">
      <c r="A1127" s="3"/>
      <c r="C1127" s="4"/>
      <c r="D1127" s="181"/>
      <c r="E1127" s="91" t="str">
        <f t="shared" si="155"/>
        <v>Urbana</v>
      </c>
      <c r="F1127" s="93" t="str">
        <f t="shared" si="156"/>
        <v>CP136</v>
      </c>
      <c r="G1127" s="99" t="str">
        <f t="shared" si="158"/>
        <v>CP136-NEW DONOR -2nd</v>
      </c>
      <c r="H1127" s="182"/>
      <c r="I1127" s="34" t="s">
        <v>38</v>
      </c>
      <c r="J1127" s="58">
        <v>125</v>
      </c>
      <c r="K1127" s="62">
        <v>125</v>
      </c>
      <c r="L1127" s="58">
        <v>125</v>
      </c>
      <c r="M1127" s="58">
        <v>125</v>
      </c>
      <c r="N1127" s="58">
        <v>125</v>
      </c>
      <c r="O1127" s="58">
        <v>125</v>
      </c>
      <c r="P1127" s="58">
        <v>125</v>
      </c>
      <c r="Q1127" s="58">
        <v>125</v>
      </c>
      <c r="R1127" s="23"/>
      <c r="S1127" s="117" t="str">
        <f t="shared" si="153"/>
        <v>N</v>
      </c>
      <c r="T1127" s="114">
        <f>IFERROR(SUMIF('Current NLData'!A:A,'Payment Changes'!G1127,'Current NLData'!K:K)/COUNTIF('Current NLData'!A:A,'Payment Changes'!G1127),0)+IFERROR(VLOOKUP(G1127&amp;"-ALL",NLPaymentExport,10,FALSE),0)</f>
        <v>125</v>
      </c>
      <c r="U1127" s="118">
        <f t="shared" si="154"/>
        <v>0</v>
      </c>
    </row>
    <row r="1128" spans="1:54" ht="17.100000000000001" hidden="1" customHeight="1" outlineLevel="1" x14ac:dyDescent="0.25">
      <c r="A1128" s="3"/>
      <c r="C1128" s="4"/>
      <c r="D1128" s="181"/>
      <c r="E1128" s="91" t="str">
        <f t="shared" si="155"/>
        <v>Urbana</v>
      </c>
      <c r="F1128" s="93" t="str">
        <f t="shared" si="156"/>
        <v>CP136</v>
      </c>
      <c r="G1128" s="99" t="str">
        <f t="shared" si="158"/>
        <v>CP136-NEW DONOR -3rd</v>
      </c>
      <c r="H1128" s="182"/>
      <c r="I1128" s="34" t="s">
        <v>39</v>
      </c>
      <c r="J1128" s="58">
        <v>125</v>
      </c>
      <c r="K1128" s="62">
        <v>125</v>
      </c>
      <c r="L1128" s="58">
        <v>125</v>
      </c>
      <c r="M1128" s="58">
        <v>125</v>
      </c>
      <c r="N1128" s="58">
        <v>125</v>
      </c>
      <c r="O1128" s="58">
        <v>125</v>
      </c>
      <c r="P1128" s="58">
        <v>125</v>
      </c>
      <c r="Q1128" s="58">
        <v>125</v>
      </c>
      <c r="R1128" s="23"/>
      <c r="S1128" s="117" t="str">
        <f t="shared" si="153"/>
        <v>N</v>
      </c>
      <c r="T1128" s="114">
        <f>IFERROR(SUMIF('Current NLData'!A:A,'Payment Changes'!G1128,'Current NLData'!K:K)/COUNTIF('Current NLData'!A:A,'Payment Changes'!G1128),0)+IFERROR(VLOOKUP(G1128&amp;"-ALL",NLPaymentExport,10,FALSE),0)</f>
        <v>125</v>
      </c>
      <c r="U1128" s="118">
        <f t="shared" si="154"/>
        <v>0</v>
      </c>
    </row>
    <row r="1129" spans="1:54" ht="17.100000000000001" hidden="1" customHeight="1" outlineLevel="1" x14ac:dyDescent="0.25">
      <c r="A1129" s="3"/>
      <c r="C1129" s="4"/>
      <c r="D1129" s="181"/>
      <c r="E1129" s="91" t="str">
        <f t="shared" si="155"/>
        <v>Urbana</v>
      </c>
      <c r="F1129" s="93" t="str">
        <f t="shared" si="156"/>
        <v>CP136</v>
      </c>
      <c r="G1129" s="99" t="str">
        <f t="shared" si="158"/>
        <v>CP136-NEW DONOR -4th</v>
      </c>
      <c r="H1129" s="182"/>
      <c r="I1129" s="34" t="s">
        <v>40</v>
      </c>
      <c r="J1129" s="58">
        <v>125</v>
      </c>
      <c r="K1129" s="62">
        <v>125</v>
      </c>
      <c r="L1129" s="58">
        <v>125</v>
      </c>
      <c r="M1129" s="58">
        <v>125</v>
      </c>
      <c r="N1129" s="58">
        <v>125</v>
      </c>
      <c r="O1129" s="58">
        <v>125</v>
      </c>
      <c r="P1129" s="58">
        <v>125</v>
      </c>
      <c r="Q1129" s="58">
        <v>125</v>
      </c>
      <c r="R1129" s="23"/>
      <c r="S1129" s="117" t="str">
        <f t="shared" si="153"/>
        <v>N</v>
      </c>
      <c r="T1129" s="114">
        <f>IFERROR(SUMIF('Current NLData'!A:A,'Payment Changes'!G1129,'Current NLData'!K:K)/COUNTIF('Current NLData'!A:A,'Payment Changes'!G1129),0)+IFERROR(VLOOKUP(G1129&amp;"-ALL",NLPaymentExport,10,FALSE),0)</f>
        <v>125</v>
      </c>
      <c r="U1129" s="118">
        <f t="shared" si="154"/>
        <v>0</v>
      </c>
    </row>
    <row r="1130" spans="1:54" ht="17.100000000000001" hidden="1" customHeight="1" outlineLevel="1" x14ac:dyDescent="0.25">
      <c r="A1130" s="3"/>
      <c r="C1130" s="4"/>
      <c r="D1130" s="181"/>
      <c r="E1130" s="91" t="str">
        <f t="shared" si="155"/>
        <v>Urbana</v>
      </c>
      <c r="F1130" s="93" t="str">
        <f t="shared" si="156"/>
        <v>CP136</v>
      </c>
      <c r="G1130" s="99" t="str">
        <f t="shared" si="158"/>
        <v>CP136-NEW DONOR -5th</v>
      </c>
      <c r="H1130" s="182"/>
      <c r="I1130" s="34" t="s">
        <v>41</v>
      </c>
      <c r="J1130" s="58">
        <v>125</v>
      </c>
      <c r="K1130" s="62">
        <v>125</v>
      </c>
      <c r="L1130" s="58">
        <v>125</v>
      </c>
      <c r="M1130" s="58">
        <v>125</v>
      </c>
      <c r="N1130" s="58">
        <v>125</v>
      </c>
      <c r="O1130" s="58">
        <v>125</v>
      </c>
      <c r="P1130" s="58">
        <v>125</v>
      </c>
      <c r="Q1130" s="58">
        <v>125</v>
      </c>
      <c r="R1130" s="23"/>
      <c r="S1130" s="117" t="str">
        <f t="shared" si="153"/>
        <v>N</v>
      </c>
      <c r="T1130" s="114">
        <f>IFERROR(SUMIF('Current NLData'!A:A,'Payment Changes'!G1130,'Current NLData'!K:K)/COUNTIF('Current NLData'!A:A,'Payment Changes'!G1130),0)+IFERROR(VLOOKUP(G1130&amp;"-ALL",NLPaymentExport,10,FALSE),0)</f>
        <v>125</v>
      </c>
      <c r="U1130" s="118">
        <f t="shared" si="154"/>
        <v>0</v>
      </c>
    </row>
    <row r="1131" spans="1:54" ht="17.100000000000001" hidden="1" customHeight="1" outlineLevel="1" x14ac:dyDescent="0.25">
      <c r="A1131" s="3"/>
      <c r="C1131" s="4"/>
      <c r="D1131" s="181"/>
      <c r="E1131" s="91" t="str">
        <f t="shared" si="155"/>
        <v>Urbana</v>
      </c>
      <c r="F1131" s="93" t="str">
        <f t="shared" si="156"/>
        <v>CP136</v>
      </c>
      <c r="G1131" s="99" t="str">
        <f t="shared" si="158"/>
        <v>CP136-NEW DONOR -6th</v>
      </c>
      <c r="H1131" s="182"/>
      <c r="I1131" s="34" t="s">
        <v>42</v>
      </c>
      <c r="J1131" s="58">
        <v>125</v>
      </c>
      <c r="K1131" s="62">
        <v>125</v>
      </c>
      <c r="L1131" s="58">
        <v>125</v>
      </c>
      <c r="M1131" s="58">
        <v>125</v>
      </c>
      <c r="N1131" s="58">
        <v>125</v>
      </c>
      <c r="O1131" s="58">
        <v>125</v>
      </c>
      <c r="P1131" s="58">
        <v>125</v>
      </c>
      <c r="Q1131" s="58">
        <v>125</v>
      </c>
      <c r="R1131" s="23"/>
      <c r="S1131" s="117" t="str">
        <f t="shared" si="153"/>
        <v>N</v>
      </c>
      <c r="T1131" s="114">
        <f>IFERROR(SUMIF('Current NLData'!A:A,'Payment Changes'!G1131,'Current NLData'!K:K)/COUNTIF('Current NLData'!A:A,'Payment Changes'!G1131),0)+IFERROR(VLOOKUP(G1131&amp;"-ALL",NLPaymentExport,10,FALSE),0)</f>
        <v>125</v>
      </c>
      <c r="U1131" s="118">
        <f t="shared" si="154"/>
        <v>0</v>
      </c>
    </row>
    <row r="1132" spans="1:54" ht="17.100000000000001" hidden="1" customHeight="1" outlineLevel="1" x14ac:dyDescent="0.25">
      <c r="A1132" s="3"/>
      <c r="C1132" s="4"/>
      <c r="D1132" s="181"/>
      <c r="E1132" s="91" t="str">
        <f t="shared" si="155"/>
        <v>Urbana</v>
      </c>
      <c r="F1132" s="93" t="str">
        <f t="shared" si="156"/>
        <v>CP136</v>
      </c>
      <c r="G1132" s="99" t="str">
        <f t="shared" si="158"/>
        <v>CP136-NEW DONOR -7th</v>
      </c>
      <c r="H1132" s="182"/>
      <c r="I1132" s="34" t="s">
        <v>43</v>
      </c>
      <c r="J1132" s="58">
        <v>45</v>
      </c>
      <c r="K1132" s="62">
        <v>45</v>
      </c>
      <c r="L1132" s="58">
        <v>45</v>
      </c>
      <c r="M1132" s="58">
        <v>45</v>
      </c>
      <c r="N1132" s="58">
        <v>45</v>
      </c>
      <c r="O1132" s="58">
        <v>45</v>
      </c>
      <c r="P1132" s="58">
        <v>45</v>
      </c>
      <c r="Q1132" s="58">
        <v>45</v>
      </c>
      <c r="R1132" s="23"/>
      <c r="S1132" s="117" t="str">
        <f t="shared" si="153"/>
        <v>N</v>
      </c>
      <c r="T1132" s="114">
        <f>IFERROR(SUMIF('Current NLData'!A:A,'Payment Changes'!G1132,'Current NLData'!K:K)/COUNTIF('Current NLData'!A:A,'Payment Changes'!G1132),0)+IFERROR(VLOOKUP(G1132&amp;"-ALL",NLPaymentExport,10,FALSE),0)</f>
        <v>45</v>
      </c>
      <c r="U1132" s="118">
        <f t="shared" si="154"/>
        <v>0</v>
      </c>
    </row>
    <row r="1133" spans="1:54" ht="17.100000000000001" hidden="1" customHeight="1" outlineLevel="1" x14ac:dyDescent="0.25">
      <c r="A1133" s="3"/>
      <c r="C1133" s="4"/>
      <c r="D1133" s="181"/>
      <c r="E1133" s="91" t="str">
        <f t="shared" si="155"/>
        <v>Urbana</v>
      </c>
      <c r="F1133" s="93" t="str">
        <f t="shared" si="156"/>
        <v>CP136</v>
      </c>
      <c r="G1133" s="99" t="str">
        <f t="shared" si="158"/>
        <v>CP136-NEW DONOR -8th</v>
      </c>
      <c r="H1133" s="182"/>
      <c r="I1133" s="35" t="s">
        <v>44</v>
      </c>
      <c r="J1133" s="63">
        <v>45</v>
      </c>
      <c r="K1133" s="64">
        <v>75</v>
      </c>
      <c r="L1133" s="63">
        <v>45</v>
      </c>
      <c r="M1133" s="63">
        <v>45</v>
      </c>
      <c r="N1133" s="63">
        <v>45</v>
      </c>
      <c r="O1133" s="63">
        <v>45</v>
      </c>
      <c r="P1133" s="63">
        <v>45</v>
      </c>
      <c r="Q1133" s="63">
        <v>45</v>
      </c>
      <c r="R1133" s="23"/>
      <c r="S1133" s="117" t="str">
        <f t="shared" si="153"/>
        <v>N</v>
      </c>
      <c r="T1133" s="114">
        <f>IFERROR(SUMIF('Current NLData'!A:A,'Payment Changes'!G1133,'Current NLData'!K:K)/COUNTIF('Current NLData'!A:A,'Payment Changes'!G1133),0)+IFERROR(VLOOKUP(G1133&amp;"-ALL",NLPaymentExport,10,FALSE),0)</f>
        <v>45</v>
      </c>
      <c r="U1133" s="118">
        <f t="shared" si="154"/>
        <v>0</v>
      </c>
    </row>
    <row r="1134" spans="1:54" ht="17.100000000000001" hidden="1" customHeight="1" outlineLevel="1" x14ac:dyDescent="0.25">
      <c r="A1134" s="3"/>
      <c r="C1134" s="4"/>
      <c r="D1134" s="181"/>
      <c r="E1134" s="91" t="str">
        <f t="shared" si="155"/>
        <v>Urbana</v>
      </c>
      <c r="F1134" s="93" t="str">
        <f t="shared" si="156"/>
        <v>CP136</v>
      </c>
      <c r="G1134" s="99" t="str">
        <f t="shared" si="158"/>
        <v>CP136-RETURN - 1st don of the week -STD</v>
      </c>
      <c r="H1134" s="182"/>
      <c r="I1134" s="36" t="s">
        <v>45</v>
      </c>
      <c r="J1134" s="58">
        <v>45</v>
      </c>
      <c r="K1134" s="58">
        <v>45</v>
      </c>
      <c r="L1134" s="58">
        <v>45</v>
      </c>
      <c r="M1134" s="58">
        <v>45</v>
      </c>
      <c r="N1134" s="58">
        <v>45</v>
      </c>
      <c r="O1134" s="58">
        <v>45</v>
      </c>
      <c r="P1134" s="58">
        <v>45</v>
      </c>
      <c r="Q1134" s="58">
        <v>45</v>
      </c>
      <c r="R1134" s="22"/>
      <c r="S1134" s="117" t="str">
        <f t="shared" si="153"/>
        <v>N</v>
      </c>
      <c r="T1134" s="114">
        <f>IFERROR(SUMIF('Current NLData'!A:A,'Payment Changes'!G1134,'Current NLData'!K:K)/COUNTIF('Current NLData'!A:A,'Payment Changes'!G1134),0)+IFERROR(VLOOKUP(G1134&amp;"-ALL",NLPaymentExport,10,FALSE),0)</f>
        <v>45</v>
      </c>
      <c r="U1134" s="118">
        <f t="shared" si="154"/>
        <v>0</v>
      </c>
    </row>
    <row r="1135" spans="1:54" ht="17.100000000000001" hidden="1" customHeight="1" outlineLevel="1" x14ac:dyDescent="0.25">
      <c r="A1135" s="3"/>
      <c r="C1135" s="4"/>
      <c r="D1135" s="181"/>
      <c r="E1135" s="91" t="str">
        <f t="shared" si="155"/>
        <v>Urbana</v>
      </c>
      <c r="F1135" s="93" t="str">
        <f t="shared" si="156"/>
        <v>CP136</v>
      </c>
      <c r="G1135" s="99" t="str">
        <f t="shared" si="158"/>
        <v>CP136-RETURN - 2nd don of the week -BONUS</v>
      </c>
      <c r="H1135" s="182"/>
      <c r="I1135" s="36" t="s">
        <v>46</v>
      </c>
      <c r="J1135" s="58">
        <v>30</v>
      </c>
      <c r="K1135" s="58">
        <v>30</v>
      </c>
      <c r="L1135" s="58">
        <v>40</v>
      </c>
      <c r="M1135" s="58">
        <v>40</v>
      </c>
      <c r="N1135" s="58">
        <v>40</v>
      </c>
      <c r="O1135" s="58">
        <v>40</v>
      </c>
      <c r="P1135" s="58">
        <v>40</v>
      </c>
      <c r="Q1135" s="58">
        <v>40</v>
      </c>
      <c r="R1135" s="22"/>
      <c r="S1135" s="117" t="str">
        <f t="shared" si="153"/>
        <v>N</v>
      </c>
      <c r="T1135" s="114">
        <f>IFERROR(SUMIF('Current NLData'!A:A,'Payment Changes'!G1135,'Current NLData'!K:K)/COUNTIF('Current NLData'!A:A,'Payment Changes'!G1135),0)+IFERROR(VLOOKUP(G1135&amp;"-ALL",NLPaymentExport,10,FALSE),0)</f>
        <v>40</v>
      </c>
      <c r="U1135" s="118">
        <f t="shared" si="154"/>
        <v>0</v>
      </c>
    </row>
    <row r="1136" spans="1:54" ht="17.100000000000001" hidden="1" customHeight="1" outlineLevel="1" x14ac:dyDescent="0.25">
      <c r="A1136" s="3"/>
      <c r="C1136" s="4"/>
      <c r="D1136" s="181"/>
      <c r="E1136" s="91" t="str">
        <f t="shared" si="155"/>
        <v>Urbana</v>
      </c>
      <c r="F1136" s="93" t="str">
        <f t="shared" si="156"/>
        <v>CP136</v>
      </c>
      <c r="G1136" s="99" t="str">
        <f t="shared" si="158"/>
        <v>CP136-RETURN - 5th don of the month -BONUS</v>
      </c>
      <c r="H1136" s="182"/>
      <c r="I1136" s="37" t="s">
        <v>47</v>
      </c>
      <c r="J1136" s="65">
        <v>0</v>
      </c>
      <c r="K1136" s="65">
        <v>0</v>
      </c>
      <c r="L1136" s="65">
        <v>0</v>
      </c>
      <c r="M1136" s="65">
        <v>0</v>
      </c>
      <c r="N1136" s="65">
        <v>0</v>
      </c>
      <c r="O1136" s="65">
        <v>0</v>
      </c>
      <c r="P1136" s="65">
        <v>0</v>
      </c>
      <c r="Q1136" s="65">
        <v>0</v>
      </c>
      <c r="R1136" s="22"/>
      <c r="S1136" s="117" t="str">
        <f t="shared" si="153"/>
        <v>N</v>
      </c>
      <c r="T1136" s="114">
        <f>IFERROR(SUMIF('Current NLData'!A:A,'Payment Changes'!G1136,'Current NLData'!K:K)/COUNTIF('Current NLData'!A:A,'Payment Changes'!G1136),0)+IFERROR(VLOOKUP(G1136&amp;"-ALL",NLPaymentExport,10,FALSE),0)</f>
        <v>0</v>
      </c>
      <c r="U1136" s="118">
        <f t="shared" si="154"/>
        <v>0</v>
      </c>
    </row>
    <row r="1137" spans="1:54" ht="17.100000000000001" hidden="1" customHeight="1" outlineLevel="1" x14ac:dyDescent="0.25">
      <c r="A1137" s="3"/>
      <c r="C1137" s="4"/>
      <c r="D1137" s="181"/>
      <c r="E1137" s="91" t="str">
        <f t="shared" si="155"/>
        <v>Urbana</v>
      </c>
      <c r="F1137" s="93" t="str">
        <f t="shared" si="156"/>
        <v>CP136</v>
      </c>
      <c r="G1137" s="99" t="str">
        <f t="shared" si="158"/>
        <v>CP136-RETURN - 6th don of the month -BONUS</v>
      </c>
      <c r="H1137" s="182"/>
      <c r="I1137" s="38" t="s">
        <v>48</v>
      </c>
      <c r="J1137" s="58">
        <v>0</v>
      </c>
      <c r="K1137" s="58">
        <v>0</v>
      </c>
      <c r="L1137" s="58">
        <v>30</v>
      </c>
      <c r="M1137" s="58">
        <v>30</v>
      </c>
      <c r="N1137" s="58">
        <v>30</v>
      </c>
      <c r="O1137" s="58">
        <v>30</v>
      </c>
      <c r="P1137" s="58">
        <v>30</v>
      </c>
      <c r="Q1137" s="58">
        <v>50</v>
      </c>
      <c r="R1137" s="22"/>
      <c r="S1137" s="117" t="str">
        <f t="shared" si="153"/>
        <v>Y</v>
      </c>
      <c r="T1137" s="114">
        <f>IFERROR(SUMIF('Current NLData'!A:A,'Payment Changes'!G1137,'Current NLData'!K:K)/COUNTIF('Current NLData'!A:A,'Payment Changes'!G1137),0)+IFERROR(VLOOKUP(G1137&amp;"-ALL",NLPaymentExport,10,FALSE),0)</f>
        <v>30</v>
      </c>
      <c r="U1137" s="118">
        <f t="shared" si="154"/>
        <v>-20</v>
      </c>
    </row>
    <row r="1138" spans="1:54" ht="17.100000000000001" hidden="1" customHeight="1" outlineLevel="1" x14ac:dyDescent="0.25">
      <c r="A1138" s="3"/>
      <c r="C1138" s="4"/>
      <c r="D1138" s="181"/>
      <c r="E1138" s="91" t="str">
        <f t="shared" si="155"/>
        <v>Urbana</v>
      </c>
      <c r="F1138" s="93" t="str">
        <f t="shared" si="156"/>
        <v>CP136</v>
      </c>
      <c r="G1138" s="99" t="str">
        <f t="shared" si="158"/>
        <v>CP136-RETURN - 7th don of the month -BONUS</v>
      </c>
      <c r="H1138" s="182"/>
      <c r="I1138" s="38" t="s">
        <v>49</v>
      </c>
      <c r="J1138" s="58">
        <v>0</v>
      </c>
      <c r="K1138" s="58">
        <v>0</v>
      </c>
      <c r="L1138" s="58">
        <v>0</v>
      </c>
      <c r="M1138" s="58">
        <v>0</v>
      </c>
      <c r="N1138" s="58">
        <v>0</v>
      </c>
      <c r="O1138" s="58">
        <v>0</v>
      </c>
      <c r="P1138" s="58">
        <v>0</v>
      </c>
      <c r="Q1138" s="58">
        <v>0</v>
      </c>
      <c r="R1138" s="22"/>
      <c r="S1138" s="117" t="str">
        <f t="shared" si="153"/>
        <v>N</v>
      </c>
      <c r="T1138" s="114">
        <f>IFERROR(SUMIF('Current NLData'!A:A,'Payment Changes'!G1138,'Current NLData'!K:K)/COUNTIF('Current NLData'!A:A,'Payment Changes'!G1138),0)+IFERROR(VLOOKUP(G1138&amp;"-ALL",NLPaymentExport,10,FALSE),0)</f>
        <v>0</v>
      </c>
      <c r="U1138" s="118">
        <f t="shared" si="154"/>
        <v>0</v>
      </c>
    </row>
    <row r="1139" spans="1:54" ht="17.100000000000001" hidden="1" customHeight="1" outlineLevel="1" x14ac:dyDescent="0.25">
      <c r="A1139" s="3"/>
      <c r="C1139" s="4"/>
      <c r="D1139" s="181"/>
      <c r="E1139" s="91" t="str">
        <f t="shared" si="155"/>
        <v>Urbana</v>
      </c>
      <c r="F1139" s="93" t="str">
        <f t="shared" si="156"/>
        <v>CP136</v>
      </c>
      <c r="G1139" s="99" t="str">
        <f t="shared" si="158"/>
        <v>CP136-RETURN - 8th don of the month -BONUS</v>
      </c>
      <c r="H1139" s="182"/>
      <c r="I1139" s="38" t="s">
        <v>50</v>
      </c>
      <c r="J1139" s="58">
        <v>20</v>
      </c>
      <c r="K1139" s="58">
        <v>20</v>
      </c>
      <c r="L1139" s="58">
        <v>0</v>
      </c>
      <c r="M1139" s="58">
        <v>0</v>
      </c>
      <c r="N1139" s="58">
        <v>0</v>
      </c>
      <c r="O1139" s="58">
        <v>0</v>
      </c>
      <c r="P1139" s="58">
        <v>0</v>
      </c>
      <c r="Q1139" s="58">
        <v>0</v>
      </c>
      <c r="R1139" s="22"/>
      <c r="S1139" s="117" t="str">
        <f t="shared" si="153"/>
        <v>N</v>
      </c>
      <c r="T1139" s="114">
        <f>IFERROR(SUMIF('Current NLData'!A:A,'Payment Changes'!G1139,'Current NLData'!K:K)/COUNTIF('Current NLData'!A:A,'Payment Changes'!G1139),0)+IFERROR(VLOOKUP(G1139&amp;"-ALL",NLPaymentExport,10,FALSE),0)</f>
        <v>0</v>
      </c>
      <c r="U1139" s="118">
        <f t="shared" si="154"/>
        <v>0</v>
      </c>
    </row>
    <row r="1140" spans="1:54" ht="17.100000000000001" hidden="1" customHeight="1" outlineLevel="1" x14ac:dyDescent="0.25">
      <c r="A1140" s="3"/>
      <c r="C1140" s="4" t="str">
        <f>IF(J1140=0,"Warning","")</f>
        <v/>
      </c>
      <c r="D1140" s="181"/>
      <c r="E1140" s="91" t="str">
        <f t="shared" si="155"/>
        <v>Urbana</v>
      </c>
      <c r="F1140" s="93" t="str">
        <f t="shared" si="156"/>
        <v>CP136</v>
      </c>
      <c r="G1140" s="99" t="str">
        <f t="shared" si="158"/>
        <v>CP136-RETURN - Buddy referral  -BONUS</v>
      </c>
      <c r="H1140" s="182"/>
      <c r="I1140" s="39" t="s">
        <v>51</v>
      </c>
      <c r="J1140" s="58">
        <v>50</v>
      </c>
      <c r="K1140" s="58">
        <v>50</v>
      </c>
      <c r="L1140" s="58">
        <v>50</v>
      </c>
      <c r="M1140" s="58">
        <v>50</v>
      </c>
      <c r="N1140" s="58">
        <v>50</v>
      </c>
      <c r="O1140" s="58">
        <v>50</v>
      </c>
      <c r="P1140" s="58">
        <v>50</v>
      </c>
      <c r="Q1140" s="58">
        <v>50</v>
      </c>
      <c r="R1140" s="22"/>
      <c r="S1140" s="117" t="str">
        <f t="shared" si="153"/>
        <v>N</v>
      </c>
      <c r="T1140" s="114">
        <f>IFERROR(SUMIF('Current NLData'!A:A,'Payment Changes'!G1140,'Current NLData'!K:K)/COUNTIF('Current NLData'!A:A,'Payment Changes'!G1140),0)+IFERROR(VLOOKUP(G1140&amp;"-ALL",NLPaymentExport,10,FALSE),0)</f>
        <v>50</v>
      </c>
      <c r="U1140" s="118">
        <f t="shared" si="154"/>
        <v>0</v>
      </c>
    </row>
    <row r="1141" spans="1:54" s="90" customFormat="1" ht="17.100000000000001" hidden="1" customHeight="1" collapsed="1" x14ac:dyDescent="0.35">
      <c r="A1141" s="85"/>
      <c r="B1141" s="85"/>
      <c r="C1141" s="86"/>
      <c r="D1141" s="87"/>
      <c r="E1141" s="87"/>
      <c r="F1141" s="87"/>
      <c r="G1141" s="87"/>
      <c r="H1141" s="96"/>
      <c r="I1141" s="88"/>
      <c r="J1141" s="89"/>
      <c r="K1141" s="89"/>
      <c r="L1141" s="89"/>
      <c r="M1141" s="89"/>
      <c r="N1141" s="89"/>
      <c r="O1141" s="89"/>
      <c r="P1141" s="89"/>
      <c r="Q1141" s="89"/>
      <c r="R1141" s="21"/>
      <c r="S1141" s="117" t="str">
        <f t="shared" si="153"/>
        <v>N</v>
      </c>
      <c r="T1141" s="114">
        <f>IFERROR(SUMIF('Current NLData'!A:A,'Payment Changes'!G1141,'Current NLData'!K:K)/COUNTIF('Current NLData'!A:A,'Payment Changes'!G1141),0)+IFERROR(VLOOKUP(G1141&amp;"-ALL",NLPaymentExport,10,FALSE),0)</f>
        <v>0</v>
      </c>
      <c r="U1141" s="118" t="str">
        <f t="shared" si="154"/>
        <v/>
      </c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</row>
    <row r="1142" spans="1:54" s="10" customFormat="1" ht="17.100000000000001" hidden="1" customHeight="1" x14ac:dyDescent="0.25">
      <c r="A1142" s="165">
        <v>58</v>
      </c>
      <c r="B1142" s="168" t="s">
        <v>370</v>
      </c>
      <c r="C1142" s="171" t="s">
        <v>19</v>
      </c>
      <c r="D1142" s="174" t="s">
        <v>157</v>
      </c>
      <c r="E1142" s="106" t="str">
        <f t="shared" si="155"/>
        <v>Sanford</v>
      </c>
      <c r="F1142" s="107" t="s">
        <v>371</v>
      </c>
      <c r="G1142" s="108" t="str">
        <f t="shared" ref="G1142:G1160" si="159">F1142&amp;"-"&amp;I1142</f>
        <v>CP948-New Donor</v>
      </c>
      <c r="H1142" s="177" t="s">
        <v>147</v>
      </c>
      <c r="I1142" s="76" t="s">
        <v>23</v>
      </c>
      <c r="J1142" s="40" t="s">
        <v>211</v>
      </c>
      <c r="K1142" s="41" t="s">
        <v>372</v>
      </c>
      <c r="L1142" s="41" t="s">
        <v>232</v>
      </c>
      <c r="M1142" s="42" t="s">
        <v>232</v>
      </c>
      <c r="N1142" s="40" t="s">
        <v>232</v>
      </c>
      <c r="O1142" s="40" t="s">
        <v>232</v>
      </c>
      <c r="P1142" s="40" t="s">
        <v>232</v>
      </c>
      <c r="Q1142" s="40" t="s">
        <v>232</v>
      </c>
      <c r="R1142" s="109"/>
      <c r="S1142" s="117" t="str">
        <f t="shared" si="153"/>
        <v>N</v>
      </c>
      <c r="T1142" s="114">
        <f>IFERROR(SUMIF('Current NLData'!A:A,'Payment Changes'!G1142,'Current NLData'!K:K)/COUNTIF('Current NLData'!A:A,'Payment Changes'!G1142),0)+IFERROR(VLOOKUP(G1142&amp;"-ALL",NLPaymentExport,10,FALSE),0)</f>
        <v>0</v>
      </c>
      <c r="U1142" s="118" t="str">
        <f t="shared" si="154"/>
        <v/>
      </c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</row>
    <row r="1143" spans="1:54" ht="17.100000000000001" hidden="1" customHeight="1" x14ac:dyDescent="0.25">
      <c r="A1143" s="166"/>
      <c r="B1143" s="169"/>
      <c r="C1143" s="172"/>
      <c r="D1143" s="175"/>
      <c r="E1143" s="91" t="str">
        <f t="shared" si="155"/>
        <v>Sanford</v>
      </c>
      <c r="F1143" s="92" t="s">
        <v>371</v>
      </c>
      <c r="G1143" s="98" t="str">
        <f t="shared" si="159"/>
        <v>CP948-Return Donor</v>
      </c>
      <c r="H1143" s="178"/>
      <c r="I1143" s="77" t="s">
        <v>29</v>
      </c>
      <c r="J1143" s="43" t="s">
        <v>373</v>
      </c>
      <c r="K1143" s="43" t="s">
        <v>373</v>
      </c>
      <c r="L1143" s="44" t="s">
        <v>222</v>
      </c>
      <c r="M1143" s="45" t="s">
        <v>222</v>
      </c>
      <c r="N1143" s="43" t="s">
        <v>222</v>
      </c>
      <c r="O1143" s="43" t="s">
        <v>222</v>
      </c>
      <c r="P1143" s="43" t="s">
        <v>222</v>
      </c>
      <c r="Q1143" s="43" t="s">
        <v>222</v>
      </c>
      <c r="R1143" s="21"/>
      <c r="S1143" s="117" t="str">
        <f t="shared" si="153"/>
        <v>N</v>
      </c>
      <c r="T1143" s="114">
        <f>IFERROR(SUMIF('Current NLData'!A:A,'Payment Changes'!G1143,'Current NLData'!K:K)/COUNTIF('Current NLData'!A:A,'Payment Changes'!G1143),0)+IFERROR(VLOOKUP(G1143&amp;"-ALL",NLPaymentExport,10,FALSE),0)</f>
        <v>0</v>
      </c>
      <c r="U1143" s="118" t="str">
        <f t="shared" si="154"/>
        <v/>
      </c>
    </row>
    <row r="1144" spans="1:54" ht="17.100000000000001" hidden="1" customHeight="1" x14ac:dyDescent="0.25">
      <c r="A1144" s="166"/>
      <c r="B1144" s="169"/>
      <c r="C1144" s="172"/>
      <c r="D1144" s="175"/>
      <c r="E1144" s="91" t="str">
        <f t="shared" si="155"/>
        <v>Sanford</v>
      </c>
      <c r="F1144" s="92" t="s">
        <v>371</v>
      </c>
      <c r="G1144" s="98" t="str">
        <f t="shared" si="159"/>
        <v>CP948-Retention Bonus</v>
      </c>
      <c r="H1144" s="178"/>
      <c r="I1144" s="78" t="s">
        <v>30</v>
      </c>
      <c r="J1144" s="46" t="s">
        <v>374</v>
      </c>
      <c r="K1144" s="46" t="s">
        <v>374</v>
      </c>
      <c r="L1144" s="47" t="s">
        <v>374</v>
      </c>
      <c r="M1144" s="48" t="s">
        <v>374</v>
      </c>
      <c r="N1144" s="46" t="s">
        <v>374</v>
      </c>
      <c r="O1144" s="46" t="s">
        <v>374</v>
      </c>
      <c r="P1144" s="46" t="s">
        <v>374</v>
      </c>
      <c r="Q1144" s="46" t="s">
        <v>374</v>
      </c>
      <c r="R1144" s="21"/>
      <c r="S1144" s="117" t="str">
        <f t="shared" si="153"/>
        <v>N</v>
      </c>
      <c r="T1144" s="114">
        <f>IFERROR(SUMIF('Current NLData'!A:A,'Payment Changes'!G1144,'Current NLData'!K:K)/COUNTIF('Current NLData'!A:A,'Payment Changes'!G1144),0)+IFERROR(VLOOKUP(G1144&amp;"-ALL",NLPaymentExport,10,FALSE),0)</f>
        <v>0</v>
      </c>
      <c r="U1144" s="118" t="str">
        <f t="shared" si="154"/>
        <v/>
      </c>
    </row>
    <row r="1145" spans="1:54" s="15" customFormat="1" ht="17.100000000000001" hidden="1" customHeight="1" x14ac:dyDescent="0.25">
      <c r="A1145" s="167"/>
      <c r="B1145" s="170"/>
      <c r="C1145" s="173"/>
      <c r="D1145" s="176"/>
      <c r="E1145" s="110" t="str">
        <f t="shared" si="155"/>
        <v>Sanford</v>
      </c>
      <c r="F1145" s="111" t="s">
        <v>371</v>
      </c>
      <c r="G1145" s="112" t="str">
        <f t="shared" si="159"/>
        <v>CP948-Referral</v>
      </c>
      <c r="H1145" s="179"/>
      <c r="I1145" s="79" t="s">
        <v>34</v>
      </c>
      <c r="J1145" s="49">
        <v>50</v>
      </c>
      <c r="K1145" s="49">
        <v>50</v>
      </c>
      <c r="L1145" s="50" t="s">
        <v>32</v>
      </c>
      <c r="M1145" s="51" t="s">
        <v>32</v>
      </c>
      <c r="N1145" s="49" t="s">
        <v>32</v>
      </c>
      <c r="O1145" s="49">
        <v>50</v>
      </c>
      <c r="P1145" s="49">
        <v>50</v>
      </c>
      <c r="Q1145" s="49">
        <v>50</v>
      </c>
      <c r="R1145" s="113"/>
      <c r="S1145" s="117" t="str">
        <f t="shared" si="153"/>
        <v>N</v>
      </c>
      <c r="T1145" s="114">
        <f>IFERROR(SUMIF('Current NLData'!A:A,'Payment Changes'!G1145,'Current NLData'!K:K)/COUNTIF('Current NLData'!A:A,'Payment Changes'!G1145),0)+IFERROR(VLOOKUP(G1145&amp;"-ALL",NLPaymentExport,10,FALSE),0)</f>
        <v>0</v>
      </c>
      <c r="U1145" s="118" t="str">
        <f t="shared" si="154"/>
        <v/>
      </c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</row>
    <row r="1146" spans="1:54" ht="17.100000000000001" hidden="1" customHeight="1" outlineLevel="1" x14ac:dyDescent="0.25">
      <c r="A1146" s="3"/>
      <c r="C1146" s="4"/>
      <c r="D1146" s="180" t="s">
        <v>371</v>
      </c>
      <c r="E1146" s="91" t="str">
        <f t="shared" si="155"/>
        <v>Sanford</v>
      </c>
      <c r="F1146" s="93" t="s">
        <v>371</v>
      </c>
      <c r="G1146" s="99" t="str">
        <f t="shared" si="159"/>
        <v>CP948-NEW DONOR -1st</v>
      </c>
      <c r="H1146" s="182" t="s">
        <v>36</v>
      </c>
      <c r="I1146" s="33" t="s">
        <v>37</v>
      </c>
      <c r="J1146" s="60">
        <v>100</v>
      </c>
      <c r="K1146" s="61">
        <v>100</v>
      </c>
      <c r="L1146" s="60">
        <v>100</v>
      </c>
      <c r="M1146" s="60">
        <v>100</v>
      </c>
      <c r="N1146" s="60">
        <v>100</v>
      </c>
      <c r="O1146" s="60">
        <v>100</v>
      </c>
      <c r="P1146" s="60">
        <v>100</v>
      </c>
      <c r="Q1146" s="60">
        <v>100</v>
      </c>
      <c r="R1146" s="23"/>
      <c r="S1146" s="117" t="str">
        <f t="shared" si="153"/>
        <v>N</v>
      </c>
      <c r="T1146" s="114">
        <f>IFERROR(SUMIF('Current NLData'!A:A,'Payment Changes'!G1146,'Current NLData'!K:K)/COUNTIF('Current NLData'!A:A,'Payment Changes'!G1146),0)+IFERROR(VLOOKUP(G1146&amp;"-ALL",NLPaymentExport,10,FALSE),0)</f>
        <v>100</v>
      </c>
      <c r="U1146" s="118">
        <f t="shared" si="154"/>
        <v>0</v>
      </c>
    </row>
    <row r="1147" spans="1:54" ht="17.100000000000001" hidden="1" customHeight="1" outlineLevel="1" x14ac:dyDescent="0.25">
      <c r="A1147" s="3"/>
      <c r="C1147" s="4"/>
      <c r="D1147" s="181"/>
      <c r="E1147" s="91" t="str">
        <f t="shared" si="155"/>
        <v>Sanford</v>
      </c>
      <c r="F1147" s="93" t="s">
        <v>371</v>
      </c>
      <c r="G1147" s="99" t="str">
        <f t="shared" si="159"/>
        <v>CP948-NEW DONOR -2nd</v>
      </c>
      <c r="H1147" s="182"/>
      <c r="I1147" s="34" t="s">
        <v>38</v>
      </c>
      <c r="J1147" s="58">
        <v>100</v>
      </c>
      <c r="K1147" s="62">
        <v>100</v>
      </c>
      <c r="L1147" s="58">
        <v>100</v>
      </c>
      <c r="M1147" s="58">
        <v>100</v>
      </c>
      <c r="N1147" s="58">
        <v>100</v>
      </c>
      <c r="O1147" s="58">
        <v>100</v>
      </c>
      <c r="P1147" s="58">
        <v>100</v>
      </c>
      <c r="Q1147" s="58">
        <v>100</v>
      </c>
      <c r="R1147" s="23"/>
      <c r="S1147" s="117" t="str">
        <f t="shared" si="153"/>
        <v>N</v>
      </c>
      <c r="T1147" s="114">
        <f>IFERROR(SUMIF('Current NLData'!A:A,'Payment Changes'!G1147,'Current NLData'!K:K)/COUNTIF('Current NLData'!A:A,'Payment Changes'!G1147),0)+IFERROR(VLOOKUP(G1147&amp;"-ALL",NLPaymentExport,10,FALSE),0)</f>
        <v>100</v>
      </c>
      <c r="U1147" s="118">
        <f t="shared" si="154"/>
        <v>0</v>
      </c>
    </row>
    <row r="1148" spans="1:54" ht="17.100000000000001" hidden="1" customHeight="1" outlineLevel="1" x14ac:dyDescent="0.25">
      <c r="A1148" s="3"/>
      <c r="C1148" s="4"/>
      <c r="D1148" s="181"/>
      <c r="E1148" s="91" t="str">
        <f t="shared" si="155"/>
        <v>Sanford</v>
      </c>
      <c r="F1148" s="93" t="s">
        <v>371</v>
      </c>
      <c r="G1148" s="99" t="str">
        <f t="shared" si="159"/>
        <v>CP948-NEW DONOR -3rd</v>
      </c>
      <c r="H1148" s="182"/>
      <c r="I1148" s="34" t="s">
        <v>39</v>
      </c>
      <c r="J1148" s="58">
        <v>100</v>
      </c>
      <c r="K1148" s="62">
        <v>100</v>
      </c>
      <c r="L1148" s="58">
        <v>100</v>
      </c>
      <c r="M1148" s="58">
        <v>100</v>
      </c>
      <c r="N1148" s="58">
        <v>100</v>
      </c>
      <c r="O1148" s="58">
        <v>100</v>
      </c>
      <c r="P1148" s="58">
        <v>100</v>
      </c>
      <c r="Q1148" s="58">
        <v>100</v>
      </c>
      <c r="R1148" s="23"/>
      <c r="S1148" s="117" t="str">
        <f t="shared" si="153"/>
        <v>N</v>
      </c>
      <c r="T1148" s="114">
        <f>IFERROR(SUMIF('Current NLData'!A:A,'Payment Changes'!G1148,'Current NLData'!K:K)/COUNTIF('Current NLData'!A:A,'Payment Changes'!G1148),0)+IFERROR(VLOOKUP(G1148&amp;"-ALL",NLPaymentExport,10,FALSE),0)</f>
        <v>100</v>
      </c>
      <c r="U1148" s="118">
        <f t="shared" si="154"/>
        <v>0</v>
      </c>
    </row>
    <row r="1149" spans="1:54" ht="17.100000000000001" hidden="1" customHeight="1" outlineLevel="1" x14ac:dyDescent="0.25">
      <c r="A1149" s="3"/>
      <c r="C1149" s="4"/>
      <c r="D1149" s="181"/>
      <c r="E1149" s="91" t="str">
        <f t="shared" si="155"/>
        <v>Sanford</v>
      </c>
      <c r="F1149" s="93" t="s">
        <v>371</v>
      </c>
      <c r="G1149" s="99" t="str">
        <f t="shared" si="159"/>
        <v>CP948-NEW DONOR -4th</v>
      </c>
      <c r="H1149" s="182"/>
      <c r="I1149" s="34" t="s">
        <v>40</v>
      </c>
      <c r="J1149" s="58">
        <v>100</v>
      </c>
      <c r="K1149" s="62">
        <v>100</v>
      </c>
      <c r="L1149" s="58">
        <v>100</v>
      </c>
      <c r="M1149" s="58">
        <v>100</v>
      </c>
      <c r="N1149" s="58">
        <v>100</v>
      </c>
      <c r="O1149" s="58">
        <v>100</v>
      </c>
      <c r="P1149" s="58">
        <v>100</v>
      </c>
      <c r="Q1149" s="58">
        <v>100</v>
      </c>
      <c r="R1149" s="23"/>
      <c r="S1149" s="117" t="str">
        <f t="shared" si="153"/>
        <v>N</v>
      </c>
      <c r="T1149" s="114">
        <f>IFERROR(SUMIF('Current NLData'!A:A,'Payment Changes'!G1149,'Current NLData'!K:K)/COUNTIF('Current NLData'!A:A,'Payment Changes'!G1149),0)+IFERROR(VLOOKUP(G1149&amp;"-ALL",NLPaymentExport,10,FALSE),0)</f>
        <v>100</v>
      </c>
      <c r="U1149" s="118">
        <f t="shared" si="154"/>
        <v>0</v>
      </c>
    </row>
    <row r="1150" spans="1:54" ht="17.100000000000001" hidden="1" customHeight="1" outlineLevel="1" x14ac:dyDescent="0.25">
      <c r="A1150" s="3"/>
      <c r="C1150" s="4"/>
      <c r="D1150" s="181"/>
      <c r="E1150" s="91" t="str">
        <f t="shared" si="155"/>
        <v>Sanford</v>
      </c>
      <c r="F1150" s="93" t="s">
        <v>371</v>
      </c>
      <c r="G1150" s="99" t="str">
        <f t="shared" si="159"/>
        <v>CP948-NEW DONOR -5th</v>
      </c>
      <c r="H1150" s="182"/>
      <c r="I1150" s="34" t="s">
        <v>41</v>
      </c>
      <c r="J1150" s="58">
        <v>55</v>
      </c>
      <c r="K1150" s="62">
        <v>55</v>
      </c>
      <c r="L1150" s="58">
        <v>50</v>
      </c>
      <c r="M1150" s="58">
        <v>50</v>
      </c>
      <c r="N1150" s="58">
        <v>50</v>
      </c>
      <c r="O1150" s="58">
        <v>50</v>
      </c>
      <c r="P1150" s="58">
        <v>50</v>
      </c>
      <c r="Q1150" s="58">
        <v>50</v>
      </c>
      <c r="R1150" s="23"/>
      <c r="S1150" s="117" t="str">
        <f t="shared" si="153"/>
        <v>N</v>
      </c>
      <c r="T1150" s="114">
        <f>IFERROR(SUMIF('Current NLData'!A:A,'Payment Changes'!G1150,'Current NLData'!K:K)/COUNTIF('Current NLData'!A:A,'Payment Changes'!G1150),0)+IFERROR(VLOOKUP(G1150&amp;"-ALL",NLPaymentExport,10,FALSE),0)</f>
        <v>50</v>
      </c>
      <c r="U1150" s="118">
        <f t="shared" si="154"/>
        <v>0</v>
      </c>
    </row>
    <row r="1151" spans="1:54" ht="17.100000000000001" hidden="1" customHeight="1" outlineLevel="1" x14ac:dyDescent="0.25">
      <c r="A1151" s="3"/>
      <c r="C1151" s="4"/>
      <c r="D1151" s="181"/>
      <c r="E1151" s="91" t="str">
        <f t="shared" si="155"/>
        <v>Sanford</v>
      </c>
      <c r="F1151" s="93" t="s">
        <v>371</v>
      </c>
      <c r="G1151" s="99" t="str">
        <f t="shared" si="159"/>
        <v>CP948-NEW DONOR -6th</v>
      </c>
      <c r="H1151" s="182"/>
      <c r="I1151" s="34" t="s">
        <v>42</v>
      </c>
      <c r="J1151" s="58">
        <v>55</v>
      </c>
      <c r="K1151" s="62">
        <v>70</v>
      </c>
      <c r="L1151" s="58">
        <v>50</v>
      </c>
      <c r="M1151" s="58">
        <v>50</v>
      </c>
      <c r="N1151" s="58">
        <v>50</v>
      </c>
      <c r="O1151" s="58">
        <v>50</v>
      </c>
      <c r="P1151" s="58">
        <v>50</v>
      </c>
      <c r="Q1151" s="58">
        <v>50</v>
      </c>
      <c r="R1151" s="23"/>
      <c r="S1151" s="117" t="str">
        <f t="shared" si="153"/>
        <v>N</v>
      </c>
      <c r="T1151" s="114">
        <f>IFERROR(SUMIF('Current NLData'!A:A,'Payment Changes'!G1151,'Current NLData'!K:K)/COUNTIF('Current NLData'!A:A,'Payment Changes'!G1151),0)+IFERROR(VLOOKUP(G1151&amp;"-ALL",NLPaymentExport,10,FALSE),0)</f>
        <v>50</v>
      </c>
      <c r="U1151" s="118">
        <f t="shared" si="154"/>
        <v>0</v>
      </c>
    </row>
    <row r="1152" spans="1:54" ht="17.100000000000001" hidden="1" customHeight="1" outlineLevel="1" x14ac:dyDescent="0.25">
      <c r="A1152" s="3"/>
      <c r="C1152" s="4"/>
      <c r="D1152" s="181"/>
      <c r="E1152" s="91" t="str">
        <f t="shared" si="155"/>
        <v>Sanford</v>
      </c>
      <c r="F1152" s="93" t="s">
        <v>371</v>
      </c>
      <c r="G1152" s="99" t="str">
        <f t="shared" si="159"/>
        <v>CP948-NEW DONOR -7th</v>
      </c>
      <c r="H1152" s="182"/>
      <c r="I1152" s="34" t="s">
        <v>43</v>
      </c>
      <c r="J1152" s="58">
        <v>55</v>
      </c>
      <c r="K1152" s="62">
        <v>55</v>
      </c>
      <c r="L1152" s="58">
        <v>50</v>
      </c>
      <c r="M1152" s="58">
        <v>50</v>
      </c>
      <c r="N1152" s="58">
        <v>50</v>
      </c>
      <c r="O1152" s="58">
        <v>50</v>
      </c>
      <c r="P1152" s="58">
        <v>50</v>
      </c>
      <c r="Q1152" s="58">
        <v>50</v>
      </c>
      <c r="R1152" s="23"/>
      <c r="S1152" s="117" t="str">
        <f t="shared" si="153"/>
        <v>N</v>
      </c>
      <c r="T1152" s="114">
        <f>IFERROR(SUMIF('Current NLData'!A:A,'Payment Changes'!G1152,'Current NLData'!K:K)/COUNTIF('Current NLData'!A:A,'Payment Changes'!G1152),0)+IFERROR(VLOOKUP(G1152&amp;"-ALL",NLPaymentExport,10,FALSE),0)</f>
        <v>50</v>
      </c>
      <c r="U1152" s="118">
        <f t="shared" si="154"/>
        <v>0</v>
      </c>
    </row>
    <row r="1153" spans="1:54" ht="17.100000000000001" hidden="1" customHeight="1" outlineLevel="1" x14ac:dyDescent="0.25">
      <c r="A1153" s="3"/>
      <c r="C1153" s="4"/>
      <c r="D1153" s="181"/>
      <c r="E1153" s="91" t="str">
        <f t="shared" si="155"/>
        <v>Sanford</v>
      </c>
      <c r="F1153" s="93" t="s">
        <v>371</v>
      </c>
      <c r="G1153" s="99" t="str">
        <f t="shared" si="159"/>
        <v>CP948-NEW DONOR -8th</v>
      </c>
      <c r="H1153" s="182"/>
      <c r="I1153" s="35" t="s">
        <v>44</v>
      </c>
      <c r="J1153" s="63">
        <v>55</v>
      </c>
      <c r="K1153" s="64">
        <v>70</v>
      </c>
      <c r="L1153" s="63">
        <v>50</v>
      </c>
      <c r="M1153" s="63">
        <v>50</v>
      </c>
      <c r="N1153" s="63">
        <v>50</v>
      </c>
      <c r="O1153" s="63">
        <v>50</v>
      </c>
      <c r="P1153" s="63">
        <v>50</v>
      </c>
      <c r="Q1153" s="63">
        <v>50</v>
      </c>
      <c r="R1153" s="23"/>
      <c r="S1153" s="117" t="str">
        <f t="shared" si="153"/>
        <v>N</v>
      </c>
      <c r="T1153" s="114">
        <f>IFERROR(SUMIF('Current NLData'!A:A,'Payment Changes'!G1153,'Current NLData'!K:K)/COUNTIF('Current NLData'!A:A,'Payment Changes'!G1153),0)+IFERROR(VLOOKUP(G1153&amp;"-ALL",NLPaymentExport,10,FALSE),0)</f>
        <v>50</v>
      </c>
      <c r="U1153" s="118">
        <f t="shared" si="154"/>
        <v>0</v>
      </c>
    </row>
    <row r="1154" spans="1:54" ht="17.100000000000001" hidden="1" customHeight="1" outlineLevel="1" x14ac:dyDescent="0.25">
      <c r="A1154" s="3"/>
      <c r="C1154" s="4"/>
      <c r="D1154" s="181"/>
      <c r="E1154" s="91" t="str">
        <f t="shared" si="155"/>
        <v>Sanford</v>
      </c>
      <c r="F1154" s="93" t="s">
        <v>371</v>
      </c>
      <c r="G1154" s="99" t="str">
        <f t="shared" si="159"/>
        <v>CP948-RETURN - 1st don of the week -STD</v>
      </c>
      <c r="H1154" s="182"/>
      <c r="I1154" s="36" t="s">
        <v>45</v>
      </c>
      <c r="J1154" s="58">
        <v>55</v>
      </c>
      <c r="K1154" s="58">
        <v>55</v>
      </c>
      <c r="L1154" s="58">
        <v>50</v>
      </c>
      <c r="M1154" s="58">
        <v>50</v>
      </c>
      <c r="N1154" s="58">
        <v>50</v>
      </c>
      <c r="O1154" s="58">
        <v>50</v>
      </c>
      <c r="P1154" s="58">
        <v>50</v>
      </c>
      <c r="Q1154" s="58">
        <v>50</v>
      </c>
      <c r="R1154" s="22"/>
      <c r="S1154" s="117" t="str">
        <f t="shared" si="153"/>
        <v>N</v>
      </c>
      <c r="T1154" s="114">
        <f>IFERROR(SUMIF('Current NLData'!A:A,'Payment Changes'!G1154,'Current NLData'!K:K)/COUNTIF('Current NLData'!A:A,'Payment Changes'!G1154),0)+IFERROR(VLOOKUP(G1154&amp;"-ALL",NLPaymentExport,10,FALSE),0)</f>
        <v>50</v>
      </c>
      <c r="U1154" s="118">
        <f t="shared" si="154"/>
        <v>0</v>
      </c>
    </row>
    <row r="1155" spans="1:54" ht="17.100000000000001" hidden="1" customHeight="1" outlineLevel="1" x14ac:dyDescent="0.25">
      <c r="A1155" s="3"/>
      <c r="C1155" s="4"/>
      <c r="D1155" s="181"/>
      <c r="E1155" s="91" t="str">
        <f t="shared" si="155"/>
        <v>Sanford</v>
      </c>
      <c r="F1155" s="93" t="s">
        <v>371</v>
      </c>
      <c r="G1155" s="99" t="str">
        <f t="shared" si="159"/>
        <v>CP948-RETURN - 2nd don of the week -BONUS</v>
      </c>
      <c r="H1155" s="182"/>
      <c r="I1155" s="36" t="s">
        <v>46</v>
      </c>
      <c r="J1155" s="58">
        <v>15</v>
      </c>
      <c r="K1155" s="58">
        <v>15</v>
      </c>
      <c r="L1155" s="58">
        <v>20</v>
      </c>
      <c r="M1155" s="58">
        <v>20</v>
      </c>
      <c r="N1155" s="58">
        <v>20</v>
      </c>
      <c r="O1155" s="58">
        <v>20</v>
      </c>
      <c r="P1155" s="58">
        <v>20</v>
      </c>
      <c r="Q1155" s="58">
        <v>20</v>
      </c>
      <c r="R1155" s="22"/>
      <c r="S1155" s="117" t="str">
        <f t="shared" ref="S1155:S1218" si="160">IF(P1155=Q1155,"N","Y")</f>
        <v>N</v>
      </c>
      <c r="T1155" s="114">
        <f>IFERROR(SUMIF('Current NLData'!A:A,'Payment Changes'!G1155,'Current NLData'!K:K)/COUNTIF('Current NLData'!A:A,'Payment Changes'!G1155),0)+IFERROR(VLOOKUP(G1155&amp;"-ALL",NLPaymentExport,10,FALSE),0)</f>
        <v>20</v>
      </c>
      <c r="U1155" s="118">
        <f t="shared" si="154"/>
        <v>0</v>
      </c>
    </row>
    <row r="1156" spans="1:54" ht="17.100000000000001" hidden="1" customHeight="1" outlineLevel="1" x14ac:dyDescent="0.25">
      <c r="A1156" s="3"/>
      <c r="C1156" s="4"/>
      <c r="D1156" s="181"/>
      <c r="E1156" s="91" t="str">
        <f t="shared" si="155"/>
        <v>Sanford</v>
      </c>
      <c r="F1156" s="93" t="s">
        <v>371</v>
      </c>
      <c r="G1156" s="99" t="str">
        <f t="shared" si="159"/>
        <v>CP948-RETURN - 5th don of the month -BONUS</v>
      </c>
      <c r="H1156" s="182"/>
      <c r="I1156" s="37" t="s">
        <v>47</v>
      </c>
      <c r="J1156" s="65">
        <v>0</v>
      </c>
      <c r="K1156" s="65">
        <v>0</v>
      </c>
      <c r="L1156" s="65">
        <v>0</v>
      </c>
      <c r="M1156" s="65">
        <v>0</v>
      </c>
      <c r="N1156" s="65">
        <v>0</v>
      </c>
      <c r="O1156" s="65">
        <v>0</v>
      </c>
      <c r="P1156" s="65">
        <v>0</v>
      </c>
      <c r="Q1156" s="65">
        <v>0</v>
      </c>
      <c r="R1156" s="22"/>
      <c r="S1156" s="117" t="str">
        <f t="shared" si="160"/>
        <v>N</v>
      </c>
      <c r="T1156" s="114">
        <f>IFERROR(SUMIF('Current NLData'!A:A,'Payment Changes'!G1156,'Current NLData'!K:K)/COUNTIF('Current NLData'!A:A,'Payment Changes'!G1156),0)+IFERROR(VLOOKUP(G1156&amp;"-ALL",NLPaymentExport,10,FALSE),0)</f>
        <v>0</v>
      </c>
      <c r="U1156" s="118">
        <f t="shared" si="154"/>
        <v>0</v>
      </c>
    </row>
    <row r="1157" spans="1:54" ht="17.100000000000001" hidden="1" customHeight="1" outlineLevel="1" x14ac:dyDescent="0.25">
      <c r="A1157" s="3"/>
      <c r="C1157" s="4"/>
      <c r="D1157" s="181"/>
      <c r="E1157" s="91" t="str">
        <f t="shared" si="155"/>
        <v>Sanford</v>
      </c>
      <c r="F1157" s="93" t="s">
        <v>371</v>
      </c>
      <c r="G1157" s="99" t="str">
        <f t="shared" si="159"/>
        <v>CP948-RETURN - 6th don of the month -BONUS</v>
      </c>
      <c r="H1157" s="182"/>
      <c r="I1157" s="38" t="s">
        <v>48</v>
      </c>
      <c r="J1157" s="58">
        <v>35</v>
      </c>
      <c r="K1157" s="58">
        <v>35</v>
      </c>
      <c r="L1157" s="58">
        <v>35</v>
      </c>
      <c r="M1157" s="58">
        <v>35</v>
      </c>
      <c r="N1157" s="58">
        <v>35</v>
      </c>
      <c r="O1157" s="58">
        <v>35</v>
      </c>
      <c r="P1157" s="58">
        <v>35</v>
      </c>
      <c r="Q1157" s="58">
        <v>35</v>
      </c>
      <c r="R1157" s="22"/>
      <c r="S1157" s="117" t="str">
        <f t="shared" si="160"/>
        <v>N</v>
      </c>
      <c r="T1157" s="114">
        <f>IFERROR(SUMIF('Current NLData'!A:A,'Payment Changes'!G1157,'Current NLData'!K:K)/COUNTIF('Current NLData'!A:A,'Payment Changes'!G1157),0)+IFERROR(VLOOKUP(G1157&amp;"-ALL",NLPaymentExport,10,FALSE),0)</f>
        <v>35</v>
      </c>
      <c r="U1157" s="118">
        <f t="shared" si="154"/>
        <v>0</v>
      </c>
    </row>
    <row r="1158" spans="1:54" ht="17.100000000000001" hidden="1" customHeight="1" outlineLevel="1" x14ac:dyDescent="0.25">
      <c r="A1158" s="3"/>
      <c r="C1158" s="4"/>
      <c r="D1158" s="181"/>
      <c r="E1158" s="91" t="str">
        <f t="shared" si="155"/>
        <v>Sanford</v>
      </c>
      <c r="F1158" s="93" t="s">
        <v>371</v>
      </c>
      <c r="G1158" s="99" t="str">
        <f t="shared" si="159"/>
        <v>CP948-RETURN - 7th don of the month -BONUS</v>
      </c>
      <c r="H1158" s="182"/>
      <c r="I1158" s="38" t="s">
        <v>49</v>
      </c>
      <c r="J1158" s="58">
        <v>0</v>
      </c>
      <c r="K1158" s="58">
        <v>0</v>
      </c>
      <c r="L1158" s="58">
        <v>0</v>
      </c>
      <c r="M1158" s="58">
        <v>0</v>
      </c>
      <c r="N1158" s="58">
        <v>0</v>
      </c>
      <c r="O1158" s="58">
        <v>0</v>
      </c>
      <c r="P1158" s="58">
        <v>0</v>
      </c>
      <c r="Q1158" s="58">
        <v>0</v>
      </c>
      <c r="R1158" s="22"/>
      <c r="S1158" s="117" t="str">
        <f t="shared" si="160"/>
        <v>N</v>
      </c>
      <c r="T1158" s="114">
        <f>IFERROR(SUMIF('Current NLData'!A:A,'Payment Changes'!G1158,'Current NLData'!K:K)/COUNTIF('Current NLData'!A:A,'Payment Changes'!G1158),0)+IFERROR(VLOOKUP(G1158&amp;"-ALL",NLPaymentExport,10,FALSE),0)</f>
        <v>0</v>
      </c>
      <c r="U1158" s="118">
        <f t="shared" si="154"/>
        <v>0</v>
      </c>
    </row>
    <row r="1159" spans="1:54" ht="17.100000000000001" hidden="1" customHeight="1" outlineLevel="1" x14ac:dyDescent="0.25">
      <c r="A1159" s="3"/>
      <c r="C1159" s="4"/>
      <c r="D1159" s="181"/>
      <c r="E1159" s="91" t="str">
        <f t="shared" si="155"/>
        <v>Sanford</v>
      </c>
      <c r="F1159" s="93" t="s">
        <v>371</v>
      </c>
      <c r="G1159" s="99" t="str">
        <f t="shared" si="159"/>
        <v>CP948-RETURN - 8th don of the month -BONUS</v>
      </c>
      <c r="H1159" s="182"/>
      <c r="I1159" s="38" t="s">
        <v>50</v>
      </c>
      <c r="J1159" s="58">
        <v>0</v>
      </c>
      <c r="K1159" s="58">
        <v>0</v>
      </c>
      <c r="L1159" s="58">
        <v>0</v>
      </c>
      <c r="M1159" s="58">
        <v>0</v>
      </c>
      <c r="N1159" s="58">
        <v>0</v>
      </c>
      <c r="O1159" s="58">
        <v>0</v>
      </c>
      <c r="P1159" s="58">
        <v>0</v>
      </c>
      <c r="Q1159" s="58">
        <v>0</v>
      </c>
      <c r="R1159" s="22"/>
      <c r="S1159" s="117" t="str">
        <f t="shared" si="160"/>
        <v>N</v>
      </c>
      <c r="T1159" s="114">
        <f>IFERROR(SUMIF('Current NLData'!A:A,'Payment Changes'!G1159,'Current NLData'!K:K)/COUNTIF('Current NLData'!A:A,'Payment Changes'!G1159),0)+IFERROR(VLOOKUP(G1159&amp;"-ALL",NLPaymentExport,10,FALSE),0)</f>
        <v>0</v>
      </c>
      <c r="U1159" s="118">
        <f t="shared" ref="U1159:U1222" si="161">IF(OR(I1159 = "New Donor", I1159="Return Donor", I1159="Retention Bonus", I1159="Referral", I1159 = ""),"",T1159-Q1159 )</f>
        <v>0</v>
      </c>
    </row>
    <row r="1160" spans="1:54" ht="17.100000000000001" hidden="1" customHeight="1" outlineLevel="1" x14ac:dyDescent="0.25">
      <c r="A1160" s="3"/>
      <c r="C1160" s="4" t="str">
        <f>IF(J1160=0,"Warning","")</f>
        <v/>
      </c>
      <c r="D1160" s="181"/>
      <c r="E1160" s="91" t="str">
        <f t="shared" ref="E1160:E1223" si="162">IF(B1160 = "",E1159,B1160)</f>
        <v>Sanford</v>
      </c>
      <c r="F1160" s="93" t="str">
        <f t="shared" ref="F1160:F1220" si="163">IF(D1160 = "",F1159,D1160)</f>
        <v>CP948</v>
      </c>
      <c r="G1160" s="99" t="str">
        <f t="shared" si="159"/>
        <v>CP948-RETURN - Buddy referral  -BONUS</v>
      </c>
      <c r="H1160" s="182"/>
      <c r="I1160" s="39" t="s">
        <v>51</v>
      </c>
      <c r="J1160" s="58">
        <v>50</v>
      </c>
      <c r="K1160" s="58">
        <v>50</v>
      </c>
      <c r="L1160" s="58">
        <v>0</v>
      </c>
      <c r="M1160" s="58">
        <v>0</v>
      </c>
      <c r="N1160" s="58">
        <v>0</v>
      </c>
      <c r="O1160" s="58">
        <v>50</v>
      </c>
      <c r="P1160" s="58">
        <v>50</v>
      </c>
      <c r="Q1160" s="58">
        <v>50</v>
      </c>
      <c r="R1160" s="22"/>
      <c r="S1160" s="117" t="str">
        <f t="shared" si="160"/>
        <v>N</v>
      </c>
      <c r="T1160" s="114">
        <f>IFERROR(SUMIF('Current NLData'!A:A,'Payment Changes'!G1160,'Current NLData'!K:K)/COUNTIF('Current NLData'!A:A,'Payment Changes'!G1160),0)+IFERROR(VLOOKUP(G1160&amp;"-ALL",NLPaymentExport,10,FALSE),0)</f>
        <v>50</v>
      </c>
      <c r="U1160" s="118">
        <f t="shared" si="161"/>
        <v>0</v>
      </c>
    </row>
    <row r="1161" spans="1:54" s="90" customFormat="1" ht="17.100000000000001" hidden="1" customHeight="1" collapsed="1" x14ac:dyDescent="0.35">
      <c r="A1161" s="85"/>
      <c r="B1161" s="85"/>
      <c r="C1161" s="86"/>
      <c r="D1161" s="87"/>
      <c r="E1161" s="87"/>
      <c r="F1161" s="87"/>
      <c r="G1161" s="87"/>
      <c r="H1161" s="96"/>
      <c r="I1161" s="88"/>
      <c r="J1161" s="89"/>
      <c r="K1161" s="89"/>
      <c r="L1161" s="89"/>
      <c r="M1161" s="89"/>
      <c r="N1161" s="89"/>
      <c r="O1161" s="89"/>
      <c r="P1161" s="89"/>
      <c r="Q1161" s="89"/>
      <c r="R1161" s="21"/>
      <c r="S1161" s="117" t="str">
        <f t="shared" si="160"/>
        <v>N</v>
      </c>
      <c r="T1161" s="114">
        <f>IFERROR(SUMIF('Current NLData'!A:A,'Payment Changes'!G1161,'Current NLData'!K:K)/COUNTIF('Current NLData'!A:A,'Payment Changes'!G1161),0)+IFERROR(VLOOKUP(G1161&amp;"-ALL",NLPaymentExport,10,FALSE),0)</f>
        <v>0</v>
      </c>
      <c r="U1161" s="118" t="str">
        <f t="shared" si="161"/>
        <v/>
      </c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</row>
    <row r="1162" spans="1:54" s="10" customFormat="1" ht="17.100000000000001" hidden="1" customHeight="1" x14ac:dyDescent="0.25">
      <c r="A1162" s="165">
        <v>59</v>
      </c>
      <c r="B1162" s="168" t="s">
        <v>375</v>
      </c>
      <c r="C1162" s="171" t="s">
        <v>19</v>
      </c>
      <c r="D1162" s="174" t="s">
        <v>157</v>
      </c>
      <c r="E1162" s="106" t="str">
        <f t="shared" si="162"/>
        <v>Somerset</v>
      </c>
      <c r="F1162" s="107" t="s">
        <v>376</v>
      </c>
      <c r="G1162" s="108" t="str">
        <f t="shared" ref="G1162:G1180" si="164">F1162&amp;"-"&amp;I1162</f>
        <v>CP125-New Donor</v>
      </c>
      <c r="H1162" s="177" t="s">
        <v>147</v>
      </c>
      <c r="I1162" s="76" t="s">
        <v>23</v>
      </c>
      <c r="J1162" s="40" t="s">
        <v>377</v>
      </c>
      <c r="K1162" s="41" t="s">
        <v>377</v>
      </c>
      <c r="L1162" s="41" t="s">
        <v>377</v>
      </c>
      <c r="M1162" s="42" t="s">
        <v>377</v>
      </c>
      <c r="N1162" s="40" t="s">
        <v>377</v>
      </c>
      <c r="O1162" s="40" t="s">
        <v>377</v>
      </c>
      <c r="P1162" s="40" t="s">
        <v>377</v>
      </c>
      <c r="Q1162" s="40" t="s">
        <v>377</v>
      </c>
      <c r="R1162" s="109"/>
      <c r="S1162" s="117" t="str">
        <f t="shared" si="160"/>
        <v>N</v>
      </c>
      <c r="T1162" s="114">
        <f>IFERROR(SUMIF('Current NLData'!A:A,'Payment Changes'!G1162,'Current NLData'!K:K)/COUNTIF('Current NLData'!A:A,'Payment Changes'!G1162),0)+IFERROR(VLOOKUP(G1162&amp;"-ALL",NLPaymentExport,10,FALSE),0)</f>
        <v>0</v>
      </c>
      <c r="U1162" s="118" t="str">
        <f t="shared" si="161"/>
        <v/>
      </c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</row>
    <row r="1163" spans="1:54" ht="17.100000000000001" hidden="1" customHeight="1" x14ac:dyDescent="0.25">
      <c r="A1163" s="166"/>
      <c r="B1163" s="169"/>
      <c r="C1163" s="172"/>
      <c r="D1163" s="175"/>
      <c r="E1163" s="91" t="str">
        <f t="shared" si="162"/>
        <v>Somerset</v>
      </c>
      <c r="F1163" s="92" t="s">
        <v>376</v>
      </c>
      <c r="G1163" s="98" t="str">
        <f t="shared" si="164"/>
        <v>CP125-Return Donor</v>
      </c>
      <c r="H1163" s="178"/>
      <c r="I1163" s="77" t="s">
        <v>29</v>
      </c>
      <c r="J1163" s="43">
        <v>100</v>
      </c>
      <c r="K1163" s="43">
        <v>100</v>
      </c>
      <c r="L1163" s="44">
        <v>100</v>
      </c>
      <c r="M1163" s="45" t="s">
        <v>378</v>
      </c>
      <c r="N1163" s="43" t="s">
        <v>378</v>
      </c>
      <c r="O1163" s="43" t="s">
        <v>378</v>
      </c>
      <c r="P1163" s="43" t="s">
        <v>378</v>
      </c>
      <c r="Q1163" s="43" t="s">
        <v>378</v>
      </c>
      <c r="R1163" s="21"/>
      <c r="S1163" s="117" t="str">
        <f t="shared" si="160"/>
        <v>N</v>
      </c>
      <c r="T1163" s="114">
        <f>IFERROR(SUMIF('Current NLData'!A:A,'Payment Changes'!G1163,'Current NLData'!K:K)/COUNTIF('Current NLData'!A:A,'Payment Changes'!G1163),0)+IFERROR(VLOOKUP(G1163&amp;"-ALL",NLPaymentExport,10,FALSE),0)</f>
        <v>0</v>
      </c>
      <c r="U1163" s="118" t="str">
        <f t="shared" si="161"/>
        <v/>
      </c>
    </row>
    <row r="1164" spans="1:54" ht="17.100000000000001" hidden="1" customHeight="1" x14ac:dyDescent="0.25">
      <c r="A1164" s="166"/>
      <c r="B1164" s="169"/>
      <c r="C1164" s="172"/>
      <c r="D1164" s="175"/>
      <c r="E1164" s="91" t="str">
        <f t="shared" si="162"/>
        <v>Somerset</v>
      </c>
      <c r="F1164" s="92" t="s">
        <v>376</v>
      </c>
      <c r="G1164" s="98" t="str">
        <f t="shared" si="164"/>
        <v>CP125-Retention Bonus</v>
      </c>
      <c r="H1164" s="178"/>
      <c r="I1164" s="78" t="s">
        <v>30</v>
      </c>
      <c r="J1164" s="46" t="s">
        <v>379</v>
      </c>
      <c r="K1164" s="46" t="s">
        <v>379</v>
      </c>
      <c r="L1164" s="47" t="s">
        <v>379</v>
      </c>
      <c r="M1164" s="48" t="s">
        <v>379</v>
      </c>
      <c r="N1164" s="46" t="s">
        <v>379</v>
      </c>
      <c r="O1164" s="46" t="s">
        <v>379</v>
      </c>
      <c r="P1164" s="46" t="s">
        <v>379</v>
      </c>
      <c r="Q1164" s="46" t="s">
        <v>379</v>
      </c>
      <c r="R1164" s="21"/>
      <c r="S1164" s="117" t="str">
        <f t="shared" si="160"/>
        <v>N</v>
      </c>
      <c r="T1164" s="114">
        <f>IFERROR(SUMIF('Current NLData'!A:A,'Payment Changes'!G1164,'Current NLData'!K:K)/COUNTIF('Current NLData'!A:A,'Payment Changes'!G1164),0)+IFERROR(VLOOKUP(G1164&amp;"-ALL",NLPaymentExport,10,FALSE),0)</f>
        <v>0</v>
      </c>
      <c r="U1164" s="118" t="str">
        <f t="shared" si="161"/>
        <v/>
      </c>
    </row>
    <row r="1165" spans="1:54" s="15" customFormat="1" ht="17.100000000000001" hidden="1" customHeight="1" x14ac:dyDescent="0.25">
      <c r="A1165" s="167"/>
      <c r="B1165" s="170"/>
      <c r="C1165" s="173"/>
      <c r="D1165" s="176"/>
      <c r="E1165" s="110" t="str">
        <f t="shared" si="162"/>
        <v>Somerset</v>
      </c>
      <c r="F1165" s="111" t="s">
        <v>376</v>
      </c>
      <c r="G1165" s="112" t="str">
        <f t="shared" si="164"/>
        <v>CP125-Referral</v>
      </c>
      <c r="H1165" s="179"/>
      <c r="I1165" s="79" t="s">
        <v>34</v>
      </c>
      <c r="J1165" s="49" t="s">
        <v>380</v>
      </c>
      <c r="K1165" s="49" t="s">
        <v>380</v>
      </c>
      <c r="L1165" s="50" t="s">
        <v>380</v>
      </c>
      <c r="M1165" s="51" t="s">
        <v>380</v>
      </c>
      <c r="N1165" s="49" t="s">
        <v>380</v>
      </c>
      <c r="O1165" s="49" t="s">
        <v>380</v>
      </c>
      <c r="P1165" s="49" t="s">
        <v>380</v>
      </c>
      <c r="Q1165" s="49" t="s">
        <v>380</v>
      </c>
      <c r="R1165" s="113"/>
      <c r="S1165" s="117" t="str">
        <f t="shared" si="160"/>
        <v>N</v>
      </c>
      <c r="T1165" s="114">
        <f>IFERROR(SUMIF('Current NLData'!A:A,'Payment Changes'!G1165,'Current NLData'!K:K)/COUNTIF('Current NLData'!A:A,'Payment Changes'!G1165),0)+IFERROR(VLOOKUP(G1165&amp;"-ALL",NLPaymentExport,10,FALSE),0)</f>
        <v>0</v>
      </c>
      <c r="U1165" s="118" t="str">
        <f t="shared" si="161"/>
        <v/>
      </c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</row>
    <row r="1166" spans="1:54" ht="17.100000000000001" hidden="1" customHeight="1" outlineLevel="1" x14ac:dyDescent="0.25">
      <c r="A1166" s="3"/>
      <c r="C1166" s="4"/>
      <c r="D1166" s="180" t="s">
        <v>376</v>
      </c>
      <c r="E1166" s="91" t="str">
        <f t="shared" si="162"/>
        <v>Somerset</v>
      </c>
      <c r="F1166" s="93" t="str">
        <f t="shared" si="163"/>
        <v>CP125</v>
      </c>
      <c r="G1166" s="99" t="str">
        <f t="shared" si="164"/>
        <v>CP125-NEW DONOR -1st</v>
      </c>
      <c r="H1166" s="182" t="s">
        <v>36</v>
      </c>
      <c r="I1166" s="33" t="s">
        <v>37</v>
      </c>
      <c r="J1166" s="60">
        <v>100</v>
      </c>
      <c r="K1166" s="60">
        <v>100</v>
      </c>
      <c r="L1166" s="60">
        <v>100</v>
      </c>
      <c r="M1166" s="60">
        <v>100</v>
      </c>
      <c r="N1166" s="60">
        <v>100</v>
      </c>
      <c r="O1166" s="60">
        <v>100</v>
      </c>
      <c r="P1166" s="60">
        <v>100</v>
      </c>
      <c r="Q1166" s="60">
        <v>100</v>
      </c>
      <c r="R1166" s="22"/>
      <c r="S1166" s="117" t="str">
        <f t="shared" si="160"/>
        <v>N</v>
      </c>
      <c r="T1166" s="114">
        <f>IFERROR(SUMIF('Current NLData'!A:A,'Payment Changes'!G1166,'Current NLData'!K:K)/COUNTIF('Current NLData'!A:A,'Payment Changes'!G1166),0)+IFERROR(VLOOKUP(G1166&amp;"-ALL",NLPaymentExport,10,FALSE),0)</f>
        <v>100</v>
      </c>
      <c r="U1166" s="118">
        <f t="shared" si="161"/>
        <v>0</v>
      </c>
    </row>
    <row r="1167" spans="1:54" ht="17.100000000000001" hidden="1" customHeight="1" outlineLevel="1" x14ac:dyDescent="0.25">
      <c r="A1167" s="3"/>
      <c r="C1167" s="4"/>
      <c r="D1167" s="181"/>
      <c r="E1167" s="91" t="str">
        <f t="shared" si="162"/>
        <v>Somerset</v>
      </c>
      <c r="F1167" s="93" t="str">
        <f t="shared" si="163"/>
        <v>CP125</v>
      </c>
      <c r="G1167" s="99" t="str">
        <f t="shared" si="164"/>
        <v>CP125-NEW DONOR -2nd</v>
      </c>
      <c r="H1167" s="182"/>
      <c r="I1167" s="34" t="s">
        <v>38</v>
      </c>
      <c r="J1167" s="58">
        <v>100</v>
      </c>
      <c r="K1167" s="58">
        <v>100</v>
      </c>
      <c r="L1167" s="58">
        <v>100</v>
      </c>
      <c r="M1167" s="58">
        <v>100</v>
      </c>
      <c r="N1167" s="58">
        <v>100</v>
      </c>
      <c r="O1167" s="58">
        <v>100</v>
      </c>
      <c r="P1167" s="58">
        <v>100</v>
      </c>
      <c r="Q1167" s="58">
        <v>100</v>
      </c>
      <c r="R1167" s="22"/>
      <c r="S1167" s="117" t="str">
        <f t="shared" si="160"/>
        <v>N</v>
      </c>
      <c r="T1167" s="114">
        <f>IFERROR(SUMIF('Current NLData'!A:A,'Payment Changes'!G1167,'Current NLData'!K:K)/COUNTIF('Current NLData'!A:A,'Payment Changes'!G1167),0)+IFERROR(VLOOKUP(G1167&amp;"-ALL",NLPaymentExport,10,FALSE),0)</f>
        <v>100</v>
      </c>
      <c r="U1167" s="118">
        <f t="shared" si="161"/>
        <v>0</v>
      </c>
    </row>
    <row r="1168" spans="1:54" ht="17.100000000000001" hidden="1" customHeight="1" outlineLevel="1" x14ac:dyDescent="0.25">
      <c r="A1168" s="3"/>
      <c r="C1168" s="4"/>
      <c r="D1168" s="181"/>
      <c r="E1168" s="91" t="str">
        <f t="shared" si="162"/>
        <v>Somerset</v>
      </c>
      <c r="F1168" s="93" t="str">
        <f t="shared" si="163"/>
        <v>CP125</v>
      </c>
      <c r="G1168" s="99" t="str">
        <f t="shared" si="164"/>
        <v>CP125-NEW DONOR -3rd</v>
      </c>
      <c r="H1168" s="182"/>
      <c r="I1168" s="34" t="s">
        <v>39</v>
      </c>
      <c r="J1168" s="58">
        <v>100</v>
      </c>
      <c r="K1168" s="58">
        <v>100</v>
      </c>
      <c r="L1168" s="58">
        <v>100</v>
      </c>
      <c r="M1168" s="58">
        <v>100</v>
      </c>
      <c r="N1168" s="58">
        <v>100</v>
      </c>
      <c r="O1168" s="58">
        <v>100</v>
      </c>
      <c r="P1168" s="58">
        <v>100</v>
      </c>
      <c r="Q1168" s="58">
        <v>100</v>
      </c>
      <c r="R1168" s="22"/>
      <c r="S1168" s="117" t="str">
        <f t="shared" si="160"/>
        <v>N</v>
      </c>
      <c r="T1168" s="114">
        <f>IFERROR(SUMIF('Current NLData'!A:A,'Payment Changes'!G1168,'Current NLData'!K:K)/COUNTIF('Current NLData'!A:A,'Payment Changes'!G1168),0)+IFERROR(VLOOKUP(G1168&amp;"-ALL",NLPaymentExport,10,FALSE),0)</f>
        <v>100</v>
      </c>
      <c r="U1168" s="118">
        <f t="shared" si="161"/>
        <v>0</v>
      </c>
    </row>
    <row r="1169" spans="1:54" ht="17.100000000000001" hidden="1" customHeight="1" outlineLevel="1" x14ac:dyDescent="0.25">
      <c r="A1169" s="3"/>
      <c r="C1169" s="4"/>
      <c r="D1169" s="181"/>
      <c r="E1169" s="91" t="str">
        <f t="shared" si="162"/>
        <v>Somerset</v>
      </c>
      <c r="F1169" s="93" t="str">
        <f t="shared" si="163"/>
        <v>CP125</v>
      </c>
      <c r="G1169" s="99" t="str">
        <f t="shared" si="164"/>
        <v>CP125-NEW DONOR -4th</v>
      </c>
      <c r="H1169" s="182"/>
      <c r="I1169" s="34" t="s">
        <v>40</v>
      </c>
      <c r="J1169" s="58">
        <v>100</v>
      </c>
      <c r="K1169" s="58">
        <v>100</v>
      </c>
      <c r="L1169" s="58">
        <v>100</v>
      </c>
      <c r="M1169" s="58">
        <v>100</v>
      </c>
      <c r="N1169" s="58">
        <v>100</v>
      </c>
      <c r="O1169" s="58">
        <v>100</v>
      </c>
      <c r="P1169" s="58">
        <v>100</v>
      </c>
      <c r="Q1169" s="58">
        <v>100</v>
      </c>
      <c r="R1169" s="22"/>
      <c r="S1169" s="117" t="str">
        <f t="shared" si="160"/>
        <v>N</v>
      </c>
      <c r="T1169" s="114">
        <f>IFERROR(SUMIF('Current NLData'!A:A,'Payment Changes'!G1169,'Current NLData'!K:K)/COUNTIF('Current NLData'!A:A,'Payment Changes'!G1169),0)+IFERROR(VLOOKUP(G1169&amp;"-ALL",NLPaymentExport,10,FALSE),0)</f>
        <v>100</v>
      </c>
      <c r="U1169" s="118">
        <f t="shared" si="161"/>
        <v>0</v>
      </c>
    </row>
    <row r="1170" spans="1:54" ht="17.100000000000001" hidden="1" customHeight="1" outlineLevel="1" x14ac:dyDescent="0.25">
      <c r="A1170" s="3"/>
      <c r="C1170" s="4"/>
      <c r="D1170" s="181"/>
      <c r="E1170" s="91" t="str">
        <f t="shared" si="162"/>
        <v>Somerset</v>
      </c>
      <c r="F1170" s="93" t="str">
        <f t="shared" si="163"/>
        <v>CP125</v>
      </c>
      <c r="G1170" s="99" t="str">
        <f t="shared" si="164"/>
        <v>CP125-NEW DONOR -5th</v>
      </c>
      <c r="H1170" s="182"/>
      <c r="I1170" s="34" t="s">
        <v>41</v>
      </c>
      <c r="J1170" s="58">
        <v>100</v>
      </c>
      <c r="K1170" s="58">
        <v>100</v>
      </c>
      <c r="L1170" s="58">
        <v>100</v>
      </c>
      <c r="M1170" s="58">
        <v>100</v>
      </c>
      <c r="N1170" s="58">
        <v>100</v>
      </c>
      <c r="O1170" s="58">
        <v>100</v>
      </c>
      <c r="P1170" s="58">
        <v>100</v>
      </c>
      <c r="Q1170" s="58">
        <v>100</v>
      </c>
      <c r="R1170" s="22"/>
      <c r="S1170" s="117" t="str">
        <f t="shared" si="160"/>
        <v>N</v>
      </c>
      <c r="T1170" s="114">
        <f>IFERROR(SUMIF('Current NLData'!A:A,'Payment Changes'!G1170,'Current NLData'!K:K)/COUNTIF('Current NLData'!A:A,'Payment Changes'!G1170),0)+IFERROR(VLOOKUP(G1170&amp;"-ALL",NLPaymentExport,10,FALSE),0)</f>
        <v>100</v>
      </c>
      <c r="U1170" s="118">
        <f t="shared" si="161"/>
        <v>0</v>
      </c>
    </row>
    <row r="1171" spans="1:54" ht="17.100000000000001" hidden="1" customHeight="1" outlineLevel="1" x14ac:dyDescent="0.25">
      <c r="A1171" s="3"/>
      <c r="C1171" s="4"/>
      <c r="D1171" s="181"/>
      <c r="E1171" s="91" t="str">
        <f t="shared" si="162"/>
        <v>Somerset</v>
      </c>
      <c r="F1171" s="93" t="str">
        <f t="shared" si="163"/>
        <v>CP125</v>
      </c>
      <c r="G1171" s="99" t="str">
        <f t="shared" si="164"/>
        <v>CP125-NEW DONOR -6th</v>
      </c>
      <c r="H1171" s="182"/>
      <c r="I1171" s="34" t="s">
        <v>42</v>
      </c>
      <c r="J1171" s="58">
        <v>100</v>
      </c>
      <c r="K1171" s="58">
        <v>100</v>
      </c>
      <c r="L1171" s="58">
        <v>100</v>
      </c>
      <c r="M1171" s="58">
        <v>100</v>
      </c>
      <c r="N1171" s="58">
        <v>100</v>
      </c>
      <c r="O1171" s="58">
        <v>100</v>
      </c>
      <c r="P1171" s="58">
        <v>100</v>
      </c>
      <c r="Q1171" s="58">
        <v>100</v>
      </c>
      <c r="R1171" s="22"/>
      <c r="S1171" s="117" t="str">
        <f t="shared" si="160"/>
        <v>N</v>
      </c>
      <c r="T1171" s="114">
        <f>IFERROR(SUMIF('Current NLData'!A:A,'Payment Changes'!G1171,'Current NLData'!K:K)/COUNTIF('Current NLData'!A:A,'Payment Changes'!G1171),0)+IFERROR(VLOOKUP(G1171&amp;"-ALL",NLPaymentExport,10,FALSE),0)</f>
        <v>100</v>
      </c>
      <c r="U1171" s="118">
        <f t="shared" si="161"/>
        <v>0</v>
      </c>
    </row>
    <row r="1172" spans="1:54" ht="17.100000000000001" hidden="1" customHeight="1" outlineLevel="1" x14ac:dyDescent="0.25">
      <c r="A1172" s="3"/>
      <c r="C1172" s="4"/>
      <c r="D1172" s="181"/>
      <c r="E1172" s="91" t="str">
        <f t="shared" si="162"/>
        <v>Somerset</v>
      </c>
      <c r="F1172" s="93" t="str">
        <f t="shared" si="163"/>
        <v>CP125</v>
      </c>
      <c r="G1172" s="99" t="str">
        <f t="shared" si="164"/>
        <v>CP125-NEW DONOR -7th</v>
      </c>
      <c r="H1172" s="182"/>
      <c r="I1172" s="34" t="s">
        <v>43</v>
      </c>
      <c r="J1172" s="58">
        <v>100</v>
      </c>
      <c r="K1172" s="58">
        <v>100</v>
      </c>
      <c r="L1172" s="58">
        <v>100</v>
      </c>
      <c r="M1172" s="58">
        <v>100</v>
      </c>
      <c r="N1172" s="58">
        <v>100</v>
      </c>
      <c r="O1172" s="58">
        <v>100</v>
      </c>
      <c r="P1172" s="58">
        <v>100</v>
      </c>
      <c r="Q1172" s="58">
        <v>100</v>
      </c>
      <c r="R1172" s="22"/>
      <c r="S1172" s="117" t="str">
        <f t="shared" si="160"/>
        <v>N</v>
      </c>
      <c r="T1172" s="114">
        <f>IFERROR(SUMIF('Current NLData'!A:A,'Payment Changes'!G1172,'Current NLData'!K:K)/COUNTIF('Current NLData'!A:A,'Payment Changes'!G1172),0)+IFERROR(VLOOKUP(G1172&amp;"-ALL",NLPaymentExport,10,FALSE),0)</f>
        <v>100</v>
      </c>
      <c r="U1172" s="118">
        <f t="shared" si="161"/>
        <v>0</v>
      </c>
    </row>
    <row r="1173" spans="1:54" ht="17.100000000000001" hidden="1" customHeight="1" outlineLevel="1" x14ac:dyDescent="0.25">
      <c r="A1173" s="3"/>
      <c r="C1173" s="4"/>
      <c r="D1173" s="181"/>
      <c r="E1173" s="91" t="str">
        <f t="shared" si="162"/>
        <v>Somerset</v>
      </c>
      <c r="F1173" s="93" t="str">
        <f t="shared" si="163"/>
        <v>CP125</v>
      </c>
      <c r="G1173" s="99" t="str">
        <f t="shared" si="164"/>
        <v>CP125-NEW DONOR -8th</v>
      </c>
      <c r="H1173" s="182"/>
      <c r="I1173" s="35" t="s">
        <v>44</v>
      </c>
      <c r="J1173" s="63">
        <v>100</v>
      </c>
      <c r="K1173" s="63">
        <v>100</v>
      </c>
      <c r="L1173" s="63">
        <v>100</v>
      </c>
      <c r="M1173" s="63">
        <v>100</v>
      </c>
      <c r="N1173" s="63">
        <v>100</v>
      </c>
      <c r="O1173" s="63">
        <v>100</v>
      </c>
      <c r="P1173" s="63">
        <v>100</v>
      </c>
      <c r="Q1173" s="63">
        <v>100</v>
      </c>
      <c r="R1173" s="22"/>
      <c r="S1173" s="117" t="str">
        <f t="shared" si="160"/>
        <v>N</v>
      </c>
      <c r="T1173" s="114">
        <f>IFERROR(SUMIF('Current NLData'!A:A,'Payment Changes'!G1173,'Current NLData'!K:K)/COUNTIF('Current NLData'!A:A,'Payment Changes'!G1173),0)+IFERROR(VLOOKUP(G1173&amp;"-ALL",NLPaymentExport,10,FALSE),0)</f>
        <v>100</v>
      </c>
      <c r="U1173" s="118">
        <f t="shared" si="161"/>
        <v>0</v>
      </c>
    </row>
    <row r="1174" spans="1:54" ht="17.100000000000001" hidden="1" customHeight="1" outlineLevel="1" x14ac:dyDescent="0.25">
      <c r="A1174" s="3"/>
      <c r="C1174" s="4"/>
      <c r="D1174" s="181"/>
      <c r="E1174" s="91" t="str">
        <f t="shared" si="162"/>
        <v>Somerset</v>
      </c>
      <c r="F1174" s="93" t="str">
        <f t="shared" si="163"/>
        <v>CP125</v>
      </c>
      <c r="G1174" s="99" t="str">
        <f t="shared" si="164"/>
        <v>CP125-RETURN - 1st don of the week -STD</v>
      </c>
      <c r="H1174" s="182"/>
      <c r="I1174" s="36" t="s">
        <v>45</v>
      </c>
      <c r="J1174" s="58">
        <v>100</v>
      </c>
      <c r="K1174" s="58">
        <v>100</v>
      </c>
      <c r="L1174" s="58">
        <v>100</v>
      </c>
      <c r="M1174" s="131">
        <v>100</v>
      </c>
      <c r="N1174" s="58">
        <v>100</v>
      </c>
      <c r="O1174" s="58">
        <v>100</v>
      </c>
      <c r="P1174" s="58">
        <v>100</v>
      </c>
      <c r="Q1174" s="58">
        <v>100</v>
      </c>
      <c r="R1174" s="22"/>
      <c r="S1174" s="117" t="str">
        <f t="shared" si="160"/>
        <v>N</v>
      </c>
      <c r="T1174" s="114">
        <f>IFERROR(SUMIF('Current NLData'!A:A,'Payment Changes'!G1174,'Current NLData'!K:K)/COUNTIF('Current NLData'!A:A,'Payment Changes'!G1174),0)+IFERROR(VLOOKUP(G1174&amp;"-ALL",NLPaymentExport,10,FALSE),0)</f>
        <v>0</v>
      </c>
      <c r="U1174" s="118">
        <f t="shared" si="161"/>
        <v>-100</v>
      </c>
    </row>
    <row r="1175" spans="1:54" ht="17.100000000000001" hidden="1" customHeight="1" outlineLevel="1" x14ac:dyDescent="0.25">
      <c r="A1175" s="3"/>
      <c r="C1175" s="4"/>
      <c r="D1175" s="181"/>
      <c r="E1175" s="91" t="str">
        <f t="shared" si="162"/>
        <v>Somerset</v>
      </c>
      <c r="F1175" s="93" t="str">
        <f t="shared" si="163"/>
        <v>CP125</v>
      </c>
      <c r="G1175" s="99" t="str">
        <f t="shared" si="164"/>
        <v>CP125-RETURN - 2nd don of the week -BONUS</v>
      </c>
      <c r="H1175" s="182"/>
      <c r="I1175" s="36" t="s">
        <v>46</v>
      </c>
      <c r="J1175" s="58">
        <v>0</v>
      </c>
      <c r="K1175" s="58">
        <v>0</v>
      </c>
      <c r="L1175" s="58">
        <v>0</v>
      </c>
      <c r="M1175" s="58">
        <v>0</v>
      </c>
      <c r="N1175" s="58">
        <v>0</v>
      </c>
      <c r="O1175" s="58">
        <v>0</v>
      </c>
      <c r="P1175" s="58">
        <v>0</v>
      </c>
      <c r="Q1175" s="58">
        <v>0</v>
      </c>
      <c r="R1175" s="22"/>
      <c r="S1175" s="117" t="str">
        <f t="shared" si="160"/>
        <v>N</v>
      </c>
      <c r="T1175" s="114">
        <f>IFERROR(SUMIF('Current NLData'!A:A,'Payment Changes'!G1175,'Current NLData'!K:K)/COUNTIF('Current NLData'!A:A,'Payment Changes'!G1175),0)+IFERROR(VLOOKUP(G1175&amp;"-ALL",NLPaymentExport,10,FALSE),0)</f>
        <v>0</v>
      </c>
      <c r="U1175" s="118">
        <f t="shared" si="161"/>
        <v>0</v>
      </c>
    </row>
    <row r="1176" spans="1:54" ht="17.100000000000001" hidden="1" customHeight="1" outlineLevel="1" x14ac:dyDescent="0.25">
      <c r="A1176" s="3"/>
      <c r="C1176" s="4"/>
      <c r="D1176" s="181"/>
      <c r="E1176" s="91" t="str">
        <f t="shared" si="162"/>
        <v>Somerset</v>
      </c>
      <c r="F1176" s="93" t="str">
        <f t="shared" si="163"/>
        <v>CP125</v>
      </c>
      <c r="G1176" s="99" t="str">
        <f t="shared" si="164"/>
        <v>CP125-RETURN - 5th don of the month -BONUS</v>
      </c>
      <c r="H1176" s="182"/>
      <c r="I1176" s="37" t="s">
        <v>47</v>
      </c>
      <c r="J1176" s="65">
        <v>0</v>
      </c>
      <c r="K1176" s="65">
        <v>0</v>
      </c>
      <c r="L1176" s="65">
        <v>0</v>
      </c>
      <c r="M1176" s="65">
        <v>0</v>
      </c>
      <c r="N1176" s="65">
        <v>0</v>
      </c>
      <c r="O1176" s="65">
        <v>0</v>
      </c>
      <c r="P1176" s="65">
        <v>0</v>
      </c>
      <c r="Q1176" s="65">
        <v>0</v>
      </c>
      <c r="R1176" s="22"/>
      <c r="S1176" s="117" t="str">
        <f t="shared" si="160"/>
        <v>N</v>
      </c>
      <c r="T1176" s="114">
        <f>IFERROR(SUMIF('Current NLData'!A:A,'Payment Changes'!G1176,'Current NLData'!K:K)/COUNTIF('Current NLData'!A:A,'Payment Changes'!G1176),0)+IFERROR(VLOOKUP(G1176&amp;"-ALL",NLPaymentExport,10,FALSE),0)</f>
        <v>0</v>
      </c>
      <c r="U1176" s="118">
        <f t="shared" si="161"/>
        <v>0</v>
      </c>
    </row>
    <row r="1177" spans="1:54" ht="17.100000000000001" hidden="1" customHeight="1" outlineLevel="1" x14ac:dyDescent="0.25">
      <c r="A1177" s="3"/>
      <c r="C1177" s="4"/>
      <c r="D1177" s="181"/>
      <c r="E1177" s="91" t="str">
        <f t="shared" si="162"/>
        <v>Somerset</v>
      </c>
      <c r="F1177" s="93" t="str">
        <f t="shared" si="163"/>
        <v>CP125</v>
      </c>
      <c r="G1177" s="99" t="str">
        <f t="shared" si="164"/>
        <v>CP125-RETURN - 6th don of the month -BONUS</v>
      </c>
      <c r="H1177" s="182"/>
      <c r="I1177" s="38" t="s">
        <v>48</v>
      </c>
      <c r="J1177" s="58">
        <v>0</v>
      </c>
      <c r="K1177" s="58">
        <v>0</v>
      </c>
      <c r="L1177" s="58">
        <v>0</v>
      </c>
      <c r="M1177" s="58">
        <v>0</v>
      </c>
      <c r="N1177" s="58">
        <v>0</v>
      </c>
      <c r="O1177" s="58">
        <v>0</v>
      </c>
      <c r="P1177" s="58">
        <v>0</v>
      </c>
      <c r="Q1177" s="58">
        <v>0</v>
      </c>
      <c r="R1177" s="22"/>
      <c r="S1177" s="117" t="str">
        <f t="shared" si="160"/>
        <v>N</v>
      </c>
      <c r="T1177" s="114">
        <f>IFERROR(SUMIF('Current NLData'!A:A,'Payment Changes'!G1177,'Current NLData'!K:K)/COUNTIF('Current NLData'!A:A,'Payment Changes'!G1177),0)+IFERROR(VLOOKUP(G1177&amp;"-ALL",NLPaymentExport,10,FALSE),0)</f>
        <v>0</v>
      </c>
      <c r="U1177" s="118">
        <f t="shared" si="161"/>
        <v>0</v>
      </c>
    </row>
    <row r="1178" spans="1:54" ht="17.100000000000001" hidden="1" customHeight="1" outlineLevel="1" x14ac:dyDescent="0.25">
      <c r="A1178" s="3"/>
      <c r="C1178" s="4"/>
      <c r="D1178" s="181"/>
      <c r="E1178" s="91" t="str">
        <f t="shared" si="162"/>
        <v>Somerset</v>
      </c>
      <c r="F1178" s="93" t="str">
        <f t="shared" si="163"/>
        <v>CP125</v>
      </c>
      <c r="G1178" s="99" t="str">
        <f t="shared" si="164"/>
        <v>CP125-RETURN - 7th don of the month -BONUS</v>
      </c>
      <c r="H1178" s="182"/>
      <c r="I1178" s="38" t="s">
        <v>49</v>
      </c>
      <c r="J1178" s="58">
        <v>0</v>
      </c>
      <c r="K1178" s="58">
        <v>0</v>
      </c>
      <c r="L1178" s="58">
        <v>0</v>
      </c>
      <c r="M1178" s="58">
        <v>0</v>
      </c>
      <c r="N1178" s="58">
        <v>0</v>
      </c>
      <c r="O1178" s="58">
        <v>0</v>
      </c>
      <c r="P1178" s="58">
        <v>0</v>
      </c>
      <c r="Q1178" s="58">
        <v>0</v>
      </c>
      <c r="R1178" s="22"/>
      <c r="S1178" s="117" t="str">
        <f t="shared" si="160"/>
        <v>N</v>
      </c>
      <c r="T1178" s="114">
        <f>IFERROR(SUMIF('Current NLData'!A:A,'Payment Changes'!G1178,'Current NLData'!K:K)/COUNTIF('Current NLData'!A:A,'Payment Changes'!G1178),0)+IFERROR(VLOOKUP(G1178&amp;"-ALL",NLPaymentExport,10,FALSE),0)</f>
        <v>0</v>
      </c>
      <c r="U1178" s="118">
        <f t="shared" si="161"/>
        <v>0</v>
      </c>
    </row>
    <row r="1179" spans="1:54" ht="17.100000000000001" hidden="1" customHeight="1" outlineLevel="1" x14ac:dyDescent="0.25">
      <c r="A1179" s="3"/>
      <c r="C1179" s="4"/>
      <c r="D1179" s="181"/>
      <c r="E1179" s="91" t="str">
        <f t="shared" si="162"/>
        <v>Somerset</v>
      </c>
      <c r="F1179" s="93" t="str">
        <f t="shared" si="163"/>
        <v>CP125</v>
      </c>
      <c r="G1179" s="99" t="str">
        <f t="shared" si="164"/>
        <v>CP125-RETURN - 8th don of the month -BONUS</v>
      </c>
      <c r="H1179" s="182"/>
      <c r="I1179" s="38" t="s">
        <v>50</v>
      </c>
      <c r="J1179" s="58">
        <v>100</v>
      </c>
      <c r="K1179" s="58">
        <v>100</v>
      </c>
      <c r="L1179" s="58">
        <v>100</v>
      </c>
      <c r="M1179" s="58">
        <v>100</v>
      </c>
      <c r="N1179" s="58">
        <v>100</v>
      </c>
      <c r="O1179" s="58">
        <v>100</v>
      </c>
      <c r="P1179" s="58">
        <v>100</v>
      </c>
      <c r="Q1179" s="58">
        <v>100</v>
      </c>
      <c r="R1179" s="22"/>
      <c r="S1179" s="117" t="str">
        <f t="shared" si="160"/>
        <v>N</v>
      </c>
      <c r="T1179" s="114">
        <f>IFERROR(SUMIF('Current NLData'!A:A,'Payment Changes'!G1179,'Current NLData'!K:K)/COUNTIF('Current NLData'!A:A,'Payment Changes'!G1179),0)+IFERROR(VLOOKUP(G1179&amp;"-ALL",NLPaymentExport,10,FALSE),0)</f>
        <v>100</v>
      </c>
      <c r="U1179" s="118">
        <f t="shared" si="161"/>
        <v>0</v>
      </c>
    </row>
    <row r="1180" spans="1:54" ht="17.100000000000001" hidden="1" customHeight="1" outlineLevel="1" x14ac:dyDescent="0.25">
      <c r="A1180" s="3"/>
      <c r="C1180" s="4" t="str">
        <f>IF(J1180=0,"Warning","")</f>
        <v/>
      </c>
      <c r="D1180" s="181"/>
      <c r="E1180" s="91" t="str">
        <f t="shared" si="162"/>
        <v>Somerset</v>
      </c>
      <c r="F1180" s="93" t="str">
        <f t="shared" si="163"/>
        <v>CP125</v>
      </c>
      <c r="G1180" s="99" t="str">
        <f t="shared" si="164"/>
        <v>CP125-RETURN - Buddy referral  -BONUS</v>
      </c>
      <c r="H1180" s="182"/>
      <c r="I1180" s="39" t="s">
        <v>51</v>
      </c>
      <c r="J1180" s="58">
        <v>75</v>
      </c>
      <c r="K1180" s="58">
        <v>75</v>
      </c>
      <c r="L1180" s="58">
        <v>75</v>
      </c>
      <c r="M1180" s="58">
        <v>75</v>
      </c>
      <c r="N1180" s="58">
        <v>75</v>
      </c>
      <c r="O1180" s="58">
        <v>75</v>
      </c>
      <c r="P1180" s="58">
        <v>75</v>
      </c>
      <c r="Q1180" s="58">
        <v>75</v>
      </c>
      <c r="R1180" s="22"/>
      <c r="S1180" s="117" t="str">
        <f t="shared" si="160"/>
        <v>N</v>
      </c>
      <c r="T1180" s="114">
        <f>IFERROR(SUMIF('Current NLData'!A:A,'Payment Changes'!G1180,'Current NLData'!K:K)/COUNTIF('Current NLData'!A:A,'Payment Changes'!G1180),0)+IFERROR(VLOOKUP(G1180&amp;"-ALL",NLPaymentExport,10,FALSE),0)</f>
        <v>75</v>
      </c>
      <c r="U1180" s="118">
        <f t="shared" si="161"/>
        <v>0</v>
      </c>
    </row>
    <row r="1181" spans="1:54" s="90" customFormat="1" ht="17.100000000000001" hidden="1" customHeight="1" collapsed="1" x14ac:dyDescent="0.35">
      <c r="A1181" s="85"/>
      <c r="B1181" s="85"/>
      <c r="C1181" s="86"/>
      <c r="D1181" s="87"/>
      <c r="E1181" s="87"/>
      <c r="F1181" s="87"/>
      <c r="G1181" s="87"/>
      <c r="H1181" s="96"/>
      <c r="I1181" s="88"/>
      <c r="J1181" s="89"/>
      <c r="K1181" s="89"/>
      <c r="L1181" s="89"/>
      <c r="M1181" s="89"/>
      <c r="N1181" s="89"/>
      <c r="O1181" s="89"/>
      <c r="P1181" s="89"/>
      <c r="Q1181" s="89"/>
      <c r="R1181" s="21"/>
      <c r="S1181" s="117" t="str">
        <f t="shared" si="160"/>
        <v>N</v>
      </c>
      <c r="T1181" s="114">
        <f>IFERROR(SUMIF('Current NLData'!A:A,'Payment Changes'!G1181,'Current NLData'!K:K)/COUNTIF('Current NLData'!A:A,'Payment Changes'!G1181),0)+IFERROR(VLOOKUP(G1181&amp;"-ALL",NLPaymentExport,10,FALSE),0)</f>
        <v>0</v>
      </c>
      <c r="U1181" s="118" t="str">
        <f t="shared" si="161"/>
        <v/>
      </c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</row>
    <row r="1182" spans="1:54" s="10" customFormat="1" ht="17.100000000000001" hidden="1" customHeight="1" x14ac:dyDescent="0.25">
      <c r="A1182" s="165">
        <v>60</v>
      </c>
      <c r="B1182" s="168" t="s">
        <v>381</v>
      </c>
      <c r="C1182" s="171" t="s">
        <v>19</v>
      </c>
      <c r="D1182" s="174" t="s">
        <v>157</v>
      </c>
      <c r="E1182" s="106" t="str">
        <f t="shared" si="162"/>
        <v>Shreveport</v>
      </c>
      <c r="F1182" s="107" t="s">
        <v>382</v>
      </c>
      <c r="G1182" s="108" t="str">
        <f t="shared" ref="G1182:G1200" si="165">F1182&amp;"-"&amp;I1182</f>
        <v>CP147-New Donor</v>
      </c>
      <c r="H1182" s="177" t="s">
        <v>147</v>
      </c>
      <c r="I1182" s="76" t="s">
        <v>23</v>
      </c>
      <c r="J1182" s="40" t="s">
        <v>383</v>
      </c>
      <c r="K1182" s="41" t="s">
        <v>384</v>
      </c>
      <c r="L1182" s="41" t="s">
        <v>317</v>
      </c>
      <c r="M1182" s="42" t="s">
        <v>317</v>
      </c>
      <c r="N1182" s="40" t="s">
        <v>317</v>
      </c>
      <c r="O1182" s="40" t="s">
        <v>317</v>
      </c>
      <c r="P1182" s="40" t="s">
        <v>317</v>
      </c>
      <c r="Q1182" s="40" t="s">
        <v>317</v>
      </c>
      <c r="R1182" s="109"/>
      <c r="S1182" s="117" t="str">
        <f t="shared" si="160"/>
        <v>N</v>
      </c>
      <c r="T1182" s="114">
        <f>IFERROR(SUMIF('Current NLData'!A:A,'Payment Changes'!G1182,'Current NLData'!K:K)/COUNTIF('Current NLData'!A:A,'Payment Changes'!G1182),0)+IFERROR(VLOOKUP(G1182&amp;"-ALL",NLPaymentExport,10,FALSE),0)</f>
        <v>0</v>
      </c>
      <c r="U1182" s="118" t="str">
        <f t="shared" si="161"/>
        <v/>
      </c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</row>
    <row r="1183" spans="1:54" ht="17.100000000000001" hidden="1" customHeight="1" x14ac:dyDescent="0.25">
      <c r="A1183" s="166"/>
      <c r="B1183" s="169"/>
      <c r="C1183" s="172"/>
      <c r="D1183" s="175"/>
      <c r="E1183" s="91" t="str">
        <f t="shared" si="162"/>
        <v>Shreveport</v>
      </c>
      <c r="F1183" s="92" t="s">
        <v>382</v>
      </c>
      <c r="G1183" s="98" t="str">
        <f t="shared" si="165"/>
        <v>CP147-Return Donor</v>
      </c>
      <c r="H1183" s="178"/>
      <c r="I1183" s="77" t="s">
        <v>29</v>
      </c>
      <c r="J1183" s="43" t="s">
        <v>385</v>
      </c>
      <c r="K1183" s="43" t="s">
        <v>385</v>
      </c>
      <c r="L1183" s="44" t="s">
        <v>385</v>
      </c>
      <c r="M1183" s="45" t="s">
        <v>385</v>
      </c>
      <c r="N1183" s="43" t="s">
        <v>385</v>
      </c>
      <c r="O1183" s="43" t="s">
        <v>385</v>
      </c>
      <c r="P1183" s="43" t="s">
        <v>385</v>
      </c>
      <c r="Q1183" s="43" t="s">
        <v>385</v>
      </c>
      <c r="R1183" s="21"/>
      <c r="S1183" s="117" t="str">
        <f t="shared" si="160"/>
        <v>N</v>
      </c>
      <c r="T1183" s="114">
        <f>IFERROR(SUMIF('Current NLData'!A:A,'Payment Changes'!G1183,'Current NLData'!K:K)/COUNTIF('Current NLData'!A:A,'Payment Changes'!G1183),0)+IFERROR(VLOOKUP(G1183&amp;"-ALL",NLPaymentExport,10,FALSE),0)</f>
        <v>0</v>
      </c>
      <c r="U1183" s="118" t="str">
        <f t="shared" si="161"/>
        <v/>
      </c>
    </row>
    <row r="1184" spans="1:54" ht="17.100000000000001" hidden="1" customHeight="1" x14ac:dyDescent="0.25">
      <c r="A1184" s="166"/>
      <c r="B1184" s="169"/>
      <c r="C1184" s="172"/>
      <c r="D1184" s="175"/>
      <c r="E1184" s="91" t="str">
        <f t="shared" si="162"/>
        <v>Shreveport</v>
      </c>
      <c r="F1184" s="92" t="s">
        <v>382</v>
      </c>
      <c r="G1184" s="98" t="str">
        <f t="shared" si="165"/>
        <v>CP147-Retention Bonus</v>
      </c>
      <c r="H1184" s="178"/>
      <c r="I1184" s="78" t="s">
        <v>30</v>
      </c>
      <c r="J1184" s="46" t="s">
        <v>386</v>
      </c>
      <c r="K1184" s="46" t="s">
        <v>386</v>
      </c>
      <c r="L1184" s="47" t="s">
        <v>32</v>
      </c>
      <c r="M1184" s="47" t="s">
        <v>387</v>
      </c>
      <c r="N1184" s="46" t="s">
        <v>387</v>
      </c>
      <c r="O1184" s="46" t="s">
        <v>387</v>
      </c>
      <c r="P1184" s="46" t="s">
        <v>387</v>
      </c>
      <c r="Q1184" s="46" t="s">
        <v>387</v>
      </c>
      <c r="R1184" s="21"/>
      <c r="S1184" s="117" t="str">
        <f t="shared" si="160"/>
        <v>N</v>
      </c>
      <c r="T1184" s="114">
        <f>IFERROR(SUMIF('Current NLData'!A:A,'Payment Changes'!G1184,'Current NLData'!K:K)/COUNTIF('Current NLData'!A:A,'Payment Changes'!G1184),0)+IFERROR(VLOOKUP(G1184&amp;"-ALL",NLPaymentExport,10,FALSE),0)</f>
        <v>0</v>
      </c>
      <c r="U1184" s="118" t="str">
        <f t="shared" si="161"/>
        <v/>
      </c>
    </row>
    <row r="1185" spans="1:54" s="15" customFormat="1" ht="17.100000000000001" hidden="1" customHeight="1" x14ac:dyDescent="0.25">
      <c r="A1185" s="167"/>
      <c r="B1185" s="170"/>
      <c r="C1185" s="173"/>
      <c r="D1185" s="176"/>
      <c r="E1185" s="110" t="str">
        <f t="shared" si="162"/>
        <v>Shreveport</v>
      </c>
      <c r="F1185" s="111" t="s">
        <v>382</v>
      </c>
      <c r="G1185" s="112" t="str">
        <f t="shared" si="165"/>
        <v>CP147-Referral</v>
      </c>
      <c r="H1185" s="179"/>
      <c r="I1185" s="79" t="s">
        <v>34</v>
      </c>
      <c r="J1185" s="49">
        <v>0</v>
      </c>
      <c r="K1185" s="49">
        <v>0</v>
      </c>
      <c r="L1185" s="50" t="s">
        <v>32</v>
      </c>
      <c r="M1185" s="50" t="s">
        <v>247</v>
      </c>
      <c r="N1185" s="49" t="s">
        <v>247</v>
      </c>
      <c r="O1185" s="49" t="s">
        <v>247</v>
      </c>
      <c r="P1185" s="49" t="s">
        <v>247</v>
      </c>
      <c r="Q1185" s="49" t="s">
        <v>247</v>
      </c>
      <c r="R1185" s="113"/>
      <c r="S1185" s="117" t="str">
        <f t="shared" si="160"/>
        <v>N</v>
      </c>
      <c r="T1185" s="114">
        <f>IFERROR(SUMIF('Current NLData'!A:A,'Payment Changes'!G1185,'Current NLData'!K:K)/COUNTIF('Current NLData'!A:A,'Payment Changes'!G1185),0)+IFERROR(VLOOKUP(G1185&amp;"-ALL",NLPaymentExport,10,FALSE),0)</f>
        <v>0</v>
      </c>
      <c r="U1185" s="118" t="str">
        <f t="shared" si="161"/>
        <v/>
      </c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</row>
    <row r="1186" spans="1:54" ht="17.100000000000001" hidden="1" customHeight="1" outlineLevel="1" x14ac:dyDescent="0.25">
      <c r="A1186" s="3"/>
      <c r="C1186" s="4"/>
      <c r="D1186" s="180" t="s">
        <v>382</v>
      </c>
      <c r="E1186" s="91" t="str">
        <f t="shared" si="162"/>
        <v>Shreveport</v>
      </c>
      <c r="F1186" s="93" t="str">
        <f t="shared" si="163"/>
        <v>CP147</v>
      </c>
      <c r="G1186" s="99" t="str">
        <f t="shared" si="165"/>
        <v>CP147-NEW DONOR -1st</v>
      </c>
      <c r="H1186" s="182" t="s">
        <v>36</v>
      </c>
      <c r="I1186" s="33" t="s">
        <v>37</v>
      </c>
      <c r="J1186" s="60">
        <v>100</v>
      </c>
      <c r="K1186" s="61">
        <v>100</v>
      </c>
      <c r="L1186" s="60">
        <v>100</v>
      </c>
      <c r="M1186" s="60">
        <v>100</v>
      </c>
      <c r="N1186" s="60">
        <v>100</v>
      </c>
      <c r="O1186" s="60">
        <v>100</v>
      </c>
      <c r="P1186" s="60">
        <v>100</v>
      </c>
      <c r="Q1186" s="60">
        <v>100</v>
      </c>
      <c r="R1186" s="23"/>
      <c r="S1186" s="117" t="str">
        <f t="shared" si="160"/>
        <v>N</v>
      </c>
      <c r="T1186" s="114">
        <f>IFERROR(SUMIF('Current NLData'!A:A,'Payment Changes'!G1186,'Current NLData'!K:K)/COUNTIF('Current NLData'!A:A,'Payment Changes'!G1186),0)+IFERROR(VLOOKUP(G1186&amp;"-ALL",NLPaymentExport,10,FALSE),0)</f>
        <v>100</v>
      </c>
      <c r="U1186" s="118">
        <f t="shared" si="161"/>
        <v>0</v>
      </c>
    </row>
    <row r="1187" spans="1:54" ht="17.100000000000001" hidden="1" customHeight="1" outlineLevel="1" x14ac:dyDescent="0.25">
      <c r="A1187" s="3"/>
      <c r="C1187" s="4"/>
      <c r="D1187" s="181"/>
      <c r="E1187" s="91" t="str">
        <f t="shared" si="162"/>
        <v>Shreveport</v>
      </c>
      <c r="F1187" s="93" t="str">
        <f t="shared" si="163"/>
        <v>CP147</v>
      </c>
      <c r="G1187" s="99" t="str">
        <f t="shared" si="165"/>
        <v>CP147-NEW DONOR -2nd</v>
      </c>
      <c r="H1187" s="182"/>
      <c r="I1187" s="34" t="s">
        <v>38</v>
      </c>
      <c r="J1187" s="58">
        <v>100</v>
      </c>
      <c r="K1187" s="62">
        <v>100</v>
      </c>
      <c r="L1187" s="58">
        <v>100</v>
      </c>
      <c r="M1187" s="58">
        <v>100</v>
      </c>
      <c r="N1187" s="58">
        <v>100</v>
      </c>
      <c r="O1187" s="58">
        <v>100</v>
      </c>
      <c r="P1187" s="58">
        <v>100</v>
      </c>
      <c r="Q1187" s="58">
        <v>100</v>
      </c>
      <c r="R1187" s="23"/>
      <c r="S1187" s="117" t="str">
        <f t="shared" si="160"/>
        <v>N</v>
      </c>
      <c r="T1187" s="114">
        <f>IFERROR(SUMIF('Current NLData'!A:A,'Payment Changes'!G1187,'Current NLData'!K:K)/COUNTIF('Current NLData'!A:A,'Payment Changes'!G1187),0)+IFERROR(VLOOKUP(G1187&amp;"-ALL",NLPaymentExport,10,FALSE),0)</f>
        <v>100</v>
      </c>
      <c r="U1187" s="118">
        <f t="shared" si="161"/>
        <v>0</v>
      </c>
    </row>
    <row r="1188" spans="1:54" ht="17.100000000000001" hidden="1" customHeight="1" outlineLevel="1" x14ac:dyDescent="0.25">
      <c r="A1188" s="3"/>
      <c r="C1188" s="4"/>
      <c r="D1188" s="181"/>
      <c r="E1188" s="91" t="str">
        <f t="shared" si="162"/>
        <v>Shreveport</v>
      </c>
      <c r="F1188" s="93" t="str">
        <f t="shared" si="163"/>
        <v>CP147</v>
      </c>
      <c r="G1188" s="99" t="str">
        <f t="shared" si="165"/>
        <v>CP147-NEW DONOR -3rd</v>
      </c>
      <c r="H1188" s="182"/>
      <c r="I1188" s="34" t="s">
        <v>39</v>
      </c>
      <c r="J1188" s="58">
        <v>100</v>
      </c>
      <c r="K1188" s="62">
        <v>100</v>
      </c>
      <c r="L1188" s="58">
        <v>100</v>
      </c>
      <c r="M1188" s="58">
        <v>100</v>
      </c>
      <c r="N1188" s="58">
        <v>100</v>
      </c>
      <c r="O1188" s="58">
        <v>100</v>
      </c>
      <c r="P1188" s="58">
        <v>100</v>
      </c>
      <c r="Q1188" s="58">
        <v>100</v>
      </c>
      <c r="R1188" s="23"/>
      <c r="S1188" s="117" t="str">
        <f t="shared" si="160"/>
        <v>N</v>
      </c>
      <c r="T1188" s="114">
        <f>IFERROR(SUMIF('Current NLData'!A:A,'Payment Changes'!G1188,'Current NLData'!K:K)/COUNTIF('Current NLData'!A:A,'Payment Changes'!G1188),0)+IFERROR(VLOOKUP(G1188&amp;"-ALL",NLPaymentExport,10,FALSE),0)</f>
        <v>100</v>
      </c>
      <c r="U1188" s="118">
        <f t="shared" si="161"/>
        <v>0</v>
      </c>
    </row>
    <row r="1189" spans="1:54" ht="17.100000000000001" hidden="1" customHeight="1" outlineLevel="1" x14ac:dyDescent="0.25">
      <c r="A1189" s="3"/>
      <c r="C1189" s="4"/>
      <c r="D1189" s="181"/>
      <c r="E1189" s="91" t="str">
        <f t="shared" si="162"/>
        <v>Shreveport</v>
      </c>
      <c r="F1189" s="93" t="str">
        <f t="shared" si="163"/>
        <v>CP147</v>
      </c>
      <c r="G1189" s="99" t="str">
        <f t="shared" si="165"/>
        <v>CP147-NEW DONOR -4th</v>
      </c>
      <c r="H1189" s="182"/>
      <c r="I1189" s="34" t="s">
        <v>40</v>
      </c>
      <c r="J1189" s="58">
        <v>100</v>
      </c>
      <c r="K1189" s="62">
        <v>100</v>
      </c>
      <c r="L1189" s="58">
        <v>100</v>
      </c>
      <c r="M1189" s="58">
        <v>100</v>
      </c>
      <c r="N1189" s="58">
        <v>100</v>
      </c>
      <c r="O1189" s="58">
        <v>100</v>
      </c>
      <c r="P1189" s="58">
        <v>100</v>
      </c>
      <c r="Q1189" s="58">
        <v>100</v>
      </c>
      <c r="R1189" s="23"/>
      <c r="S1189" s="117" t="str">
        <f t="shared" si="160"/>
        <v>N</v>
      </c>
      <c r="T1189" s="114">
        <f>IFERROR(SUMIF('Current NLData'!A:A,'Payment Changes'!G1189,'Current NLData'!K:K)/COUNTIF('Current NLData'!A:A,'Payment Changes'!G1189),0)+IFERROR(VLOOKUP(G1189&amp;"-ALL",NLPaymentExport,10,FALSE),0)</f>
        <v>100</v>
      </c>
      <c r="U1189" s="118">
        <f t="shared" si="161"/>
        <v>0</v>
      </c>
    </row>
    <row r="1190" spans="1:54" ht="17.100000000000001" hidden="1" customHeight="1" outlineLevel="1" x14ac:dyDescent="0.25">
      <c r="A1190" s="3"/>
      <c r="C1190" s="4"/>
      <c r="D1190" s="181"/>
      <c r="E1190" s="91" t="str">
        <f t="shared" si="162"/>
        <v>Shreveport</v>
      </c>
      <c r="F1190" s="93" t="str">
        <f t="shared" si="163"/>
        <v>CP147</v>
      </c>
      <c r="G1190" s="99" t="str">
        <f t="shared" si="165"/>
        <v>CP147-NEW DONOR -5th</v>
      </c>
      <c r="H1190" s="182"/>
      <c r="I1190" s="34" t="s">
        <v>41</v>
      </c>
      <c r="J1190" s="58">
        <v>50</v>
      </c>
      <c r="K1190" s="62">
        <v>50</v>
      </c>
      <c r="L1190" s="58">
        <v>50</v>
      </c>
      <c r="M1190" s="58">
        <v>50</v>
      </c>
      <c r="N1190" s="58">
        <v>50</v>
      </c>
      <c r="O1190" s="58">
        <v>50</v>
      </c>
      <c r="P1190" s="58">
        <v>50</v>
      </c>
      <c r="Q1190" s="58">
        <v>50</v>
      </c>
      <c r="R1190" s="23"/>
      <c r="S1190" s="117" t="str">
        <f t="shared" si="160"/>
        <v>N</v>
      </c>
      <c r="T1190" s="114">
        <f>IFERROR(SUMIF('Current NLData'!A:A,'Payment Changes'!G1190,'Current NLData'!K:K)/COUNTIF('Current NLData'!A:A,'Payment Changes'!G1190),0)+IFERROR(VLOOKUP(G1190&amp;"-ALL",NLPaymentExport,10,FALSE),0)</f>
        <v>50</v>
      </c>
      <c r="U1190" s="118">
        <f t="shared" si="161"/>
        <v>0</v>
      </c>
    </row>
    <row r="1191" spans="1:54" ht="17.100000000000001" hidden="1" customHeight="1" outlineLevel="1" x14ac:dyDescent="0.25">
      <c r="A1191" s="3"/>
      <c r="C1191" s="4"/>
      <c r="D1191" s="181"/>
      <c r="E1191" s="91" t="str">
        <f t="shared" si="162"/>
        <v>Shreveport</v>
      </c>
      <c r="F1191" s="93" t="str">
        <f t="shared" si="163"/>
        <v>CP147</v>
      </c>
      <c r="G1191" s="99" t="str">
        <f t="shared" si="165"/>
        <v>CP147-NEW DONOR -6th</v>
      </c>
      <c r="H1191" s="182"/>
      <c r="I1191" s="34" t="s">
        <v>42</v>
      </c>
      <c r="J1191" s="58">
        <v>50</v>
      </c>
      <c r="K1191" s="62">
        <v>85</v>
      </c>
      <c r="L1191" s="58">
        <v>50</v>
      </c>
      <c r="M1191" s="58">
        <v>50</v>
      </c>
      <c r="N1191" s="58">
        <v>50</v>
      </c>
      <c r="O1191" s="58">
        <v>50</v>
      </c>
      <c r="P1191" s="58">
        <v>50</v>
      </c>
      <c r="Q1191" s="58">
        <v>50</v>
      </c>
      <c r="R1191" s="23"/>
      <c r="S1191" s="117" t="str">
        <f t="shared" si="160"/>
        <v>N</v>
      </c>
      <c r="T1191" s="114">
        <f>IFERROR(SUMIF('Current NLData'!A:A,'Payment Changes'!G1191,'Current NLData'!K:K)/COUNTIF('Current NLData'!A:A,'Payment Changes'!G1191),0)+IFERROR(VLOOKUP(G1191&amp;"-ALL",NLPaymentExport,10,FALSE),0)</f>
        <v>50</v>
      </c>
      <c r="U1191" s="118">
        <f t="shared" si="161"/>
        <v>0</v>
      </c>
    </row>
    <row r="1192" spans="1:54" ht="17.100000000000001" hidden="1" customHeight="1" outlineLevel="1" x14ac:dyDescent="0.25">
      <c r="A1192" s="3"/>
      <c r="C1192" s="4"/>
      <c r="D1192" s="181"/>
      <c r="E1192" s="91" t="str">
        <f t="shared" si="162"/>
        <v>Shreveport</v>
      </c>
      <c r="F1192" s="93" t="str">
        <f t="shared" si="163"/>
        <v>CP147</v>
      </c>
      <c r="G1192" s="99" t="str">
        <f t="shared" si="165"/>
        <v>CP147-NEW DONOR -7th</v>
      </c>
      <c r="H1192" s="182"/>
      <c r="I1192" s="34" t="s">
        <v>43</v>
      </c>
      <c r="J1192" s="58">
        <v>50</v>
      </c>
      <c r="K1192" s="62">
        <v>50</v>
      </c>
      <c r="L1192" s="58">
        <v>50</v>
      </c>
      <c r="M1192" s="58">
        <v>50</v>
      </c>
      <c r="N1192" s="58">
        <v>50</v>
      </c>
      <c r="O1192" s="58">
        <v>50</v>
      </c>
      <c r="P1192" s="58">
        <v>50</v>
      </c>
      <c r="Q1192" s="58">
        <v>50</v>
      </c>
      <c r="R1192" s="23"/>
      <c r="S1192" s="117" t="str">
        <f t="shared" si="160"/>
        <v>N</v>
      </c>
      <c r="T1192" s="114">
        <f>IFERROR(SUMIF('Current NLData'!A:A,'Payment Changes'!G1192,'Current NLData'!K:K)/COUNTIF('Current NLData'!A:A,'Payment Changes'!G1192),0)+IFERROR(VLOOKUP(G1192&amp;"-ALL",NLPaymentExport,10,FALSE),0)</f>
        <v>50</v>
      </c>
      <c r="U1192" s="118">
        <f t="shared" si="161"/>
        <v>0</v>
      </c>
    </row>
    <row r="1193" spans="1:54" ht="17.100000000000001" hidden="1" customHeight="1" outlineLevel="1" x14ac:dyDescent="0.25">
      <c r="A1193" s="3"/>
      <c r="C1193" s="4"/>
      <c r="D1193" s="181"/>
      <c r="E1193" s="91" t="str">
        <f t="shared" si="162"/>
        <v>Shreveport</v>
      </c>
      <c r="F1193" s="93" t="str">
        <f t="shared" si="163"/>
        <v>CP147</v>
      </c>
      <c r="G1193" s="99" t="str">
        <f t="shared" si="165"/>
        <v>CP147-NEW DONOR -8th</v>
      </c>
      <c r="H1193" s="182"/>
      <c r="I1193" s="35" t="s">
        <v>44</v>
      </c>
      <c r="J1193" s="63">
        <v>50</v>
      </c>
      <c r="K1193" s="64">
        <v>85</v>
      </c>
      <c r="L1193" s="63">
        <v>50</v>
      </c>
      <c r="M1193" s="63">
        <v>50</v>
      </c>
      <c r="N1193" s="63">
        <v>50</v>
      </c>
      <c r="O1193" s="63">
        <v>50</v>
      </c>
      <c r="P1193" s="63">
        <v>50</v>
      </c>
      <c r="Q1193" s="63">
        <v>50</v>
      </c>
      <c r="R1193" s="23"/>
      <c r="S1193" s="117" t="str">
        <f t="shared" si="160"/>
        <v>N</v>
      </c>
      <c r="T1193" s="114">
        <f>IFERROR(SUMIF('Current NLData'!A:A,'Payment Changes'!G1193,'Current NLData'!K:K)/COUNTIF('Current NLData'!A:A,'Payment Changes'!G1193),0)+IFERROR(VLOOKUP(G1193&amp;"-ALL",NLPaymentExport,10,FALSE),0)</f>
        <v>50</v>
      </c>
      <c r="U1193" s="118">
        <f t="shared" si="161"/>
        <v>0</v>
      </c>
    </row>
    <row r="1194" spans="1:54" ht="17.100000000000001" hidden="1" customHeight="1" outlineLevel="1" x14ac:dyDescent="0.25">
      <c r="A1194" s="3"/>
      <c r="C1194" s="4"/>
      <c r="D1194" s="181"/>
      <c r="E1194" s="91" t="str">
        <f t="shared" si="162"/>
        <v>Shreveport</v>
      </c>
      <c r="F1194" s="93" t="str">
        <f t="shared" si="163"/>
        <v>CP147</v>
      </c>
      <c r="G1194" s="99" t="str">
        <f t="shared" si="165"/>
        <v>CP147-RETURN - 1st don of the week -STD</v>
      </c>
      <c r="H1194" s="182"/>
      <c r="I1194" s="36" t="s">
        <v>45</v>
      </c>
      <c r="J1194" s="58">
        <v>50</v>
      </c>
      <c r="K1194" s="58">
        <v>50</v>
      </c>
      <c r="L1194" s="58">
        <v>50</v>
      </c>
      <c r="M1194" s="58">
        <v>50</v>
      </c>
      <c r="N1194" s="58">
        <v>50</v>
      </c>
      <c r="O1194" s="58">
        <v>50</v>
      </c>
      <c r="P1194" s="58">
        <v>50</v>
      </c>
      <c r="Q1194" s="58">
        <v>50</v>
      </c>
      <c r="R1194" s="22"/>
      <c r="S1194" s="117" t="str">
        <f t="shared" si="160"/>
        <v>N</v>
      </c>
      <c r="T1194" s="114">
        <f>IFERROR(SUMIF('Current NLData'!A:A,'Payment Changes'!G1194,'Current NLData'!K:K)/COUNTIF('Current NLData'!A:A,'Payment Changes'!G1194),0)+IFERROR(VLOOKUP(G1194&amp;"-ALL",NLPaymentExport,10,FALSE),0)</f>
        <v>50</v>
      </c>
      <c r="U1194" s="118">
        <f t="shared" si="161"/>
        <v>0</v>
      </c>
    </row>
    <row r="1195" spans="1:54" ht="17.100000000000001" hidden="1" customHeight="1" outlineLevel="1" x14ac:dyDescent="0.25">
      <c r="A1195" s="3"/>
      <c r="C1195" s="4"/>
      <c r="D1195" s="181"/>
      <c r="E1195" s="91" t="str">
        <f t="shared" si="162"/>
        <v>Shreveport</v>
      </c>
      <c r="F1195" s="93" t="str">
        <f t="shared" si="163"/>
        <v>CP147</v>
      </c>
      <c r="G1195" s="99" t="str">
        <f t="shared" si="165"/>
        <v>CP147-RETURN - 2nd don of the week -BONUS</v>
      </c>
      <c r="H1195" s="182"/>
      <c r="I1195" s="36" t="s">
        <v>46</v>
      </c>
      <c r="J1195" s="58">
        <v>35</v>
      </c>
      <c r="K1195" s="58">
        <v>35</v>
      </c>
      <c r="L1195" s="58">
        <v>35</v>
      </c>
      <c r="M1195" s="58">
        <v>35</v>
      </c>
      <c r="N1195" s="58">
        <v>35</v>
      </c>
      <c r="O1195" s="58">
        <v>35</v>
      </c>
      <c r="P1195" s="58">
        <v>35</v>
      </c>
      <c r="Q1195" s="58">
        <v>35</v>
      </c>
      <c r="R1195" s="22"/>
      <c r="S1195" s="117" t="str">
        <f t="shared" si="160"/>
        <v>N</v>
      </c>
      <c r="T1195" s="114">
        <f>IFERROR(SUMIF('Current NLData'!A:A,'Payment Changes'!G1195,'Current NLData'!K:K)/COUNTIF('Current NLData'!A:A,'Payment Changes'!G1195),0)+IFERROR(VLOOKUP(G1195&amp;"-ALL",NLPaymentExport,10,FALSE),0)</f>
        <v>35</v>
      </c>
      <c r="U1195" s="118">
        <f t="shared" si="161"/>
        <v>0</v>
      </c>
    </row>
    <row r="1196" spans="1:54" ht="17.100000000000001" hidden="1" customHeight="1" outlineLevel="1" x14ac:dyDescent="0.25">
      <c r="A1196" s="3"/>
      <c r="C1196" s="4"/>
      <c r="D1196" s="181"/>
      <c r="E1196" s="91" t="str">
        <f t="shared" si="162"/>
        <v>Shreveport</v>
      </c>
      <c r="F1196" s="93" t="str">
        <f t="shared" si="163"/>
        <v>CP147</v>
      </c>
      <c r="G1196" s="99" t="str">
        <f t="shared" si="165"/>
        <v>CP147-RETURN - 5th don of the month -BONUS</v>
      </c>
      <c r="H1196" s="182"/>
      <c r="I1196" s="37" t="s">
        <v>47</v>
      </c>
      <c r="J1196" s="65">
        <v>0</v>
      </c>
      <c r="K1196" s="65">
        <v>0</v>
      </c>
      <c r="L1196" s="65">
        <v>0</v>
      </c>
      <c r="M1196" s="65">
        <v>0</v>
      </c>
      <c r="N1196" s="65">
        <v>0</v>
      </c>
      <c r="O1196" s="65">
        <v>0</v>
      </c>
      <c r="P1196" s="65">
        <v>0</v>
      </c>
      <c r="Q1196" s="65">
        <v>0</v>
      </c>
      <c r="R1196" s="22"/>
      <c r="S1196" s="117" t="str">
        <f t="shared" si="160"/>
        <v>N</v>
      </c>
      <c r="T1196" s="114">
        <f>IFERROR(SUMIF('Current NLData'!A:A,'Payment Changes'!G1196,'Current NLData'!K:K)/COUNTIF('Current NLData'!A:A,'Payment Changes'!G1196),0)+IFERROR(VLOOKUP(G1196&amp;"-ALL",NLPaymentExport,10,FALSE),0)</f>
        <v>0</v>
      </c>
      <c r="U1196" s="118">
        <f t="shared" si="161"/>
        <v>0</v>
      </c>
    </row>
    <row r="1197" spans="1:54" ht="17.100000000000001" hidden="1" customHeight="1" outlineLevel="1" x14ac:dyDescent="0.25">
      <c r="A1197" s="3"/>
      <c r="C1197" s="4"/>
      <c r="D1197" s="181"/>
      <c r="E1197" s="91" t="str">
        <f t="shared" si="162"/>
        <v>Shreveport</v>
      </c>
      <c r="F1197" s="93" t="str">
        <f t="shared" si="163"/>
        <v>CP147</v>
      </c>
      <c r="G1197" s="99" t="str">
        <f t="shared" si="165"/>
        <v>CP147-RETURN - 6th don of the month -BONUS</v>
      </c>
      <c r="H1197" s="182"/>
      <c r="I1197" s="38" t="s">
        <v>48</v>
      </c>
      <c r="J1197" s="58">
        <v>0</v>
      </c>
      <c r="K1197" s="58">
        <v>0</v>
      </c>
      <c r="L1197" s="58">
        <v>0</v>
      </c>
      <c r="M1197" s="58">
        <v>30</v>
      </c>
      <c r="N1197" s="58">
        <v>30</v>
      </c>
      <c r="O1197" s="58">
        <v>30</v>
      </c>
      <c r="P1197" s="58">
        <v>30</v>
      </c>
      <c r="Q1197" s="58">
        <v>30</v>
      </c>
      <c r="R1197" s="22"/>
      <c r="S1197" s="117" t="str">
        <f t="shared" si="160"/>
        <v>N</v>
      </c>
      <c r="T1197" s="114">
        <f>IFERROR(SUMIF('Current NLData'!A:A,'Payment Changes'!G1197,'Current NLData'!K:K)/COUNTIF('Current NLData'!A:A,'Payment Changes'!G1197),0)+IFERROR(VLOOKUP(G1197&amp;"-ALL",NLPaymentExport,10,FALSE),0)</f>
        <v>30</v>
      </c>
      <c r="U1197" s="118">
        <f t="shared" si="161"/>
        <v>0</v>
      </c>
    </row>
    <row r="1198" spans="1:54" ht="17.100000000000001" hidden="1" customHeight="1" outlineLevel="1" x14ac:dyDescent="0.25">
      <c r="A1198" s="3"/>
      <c r="C1198" s="4"/>
      <c r="D1198" s="181"/>
      <c r="E1198" s="91" t="str">
        <f t="shared" si="162"/>
        <v>Shreveport</v>
      </c>
      <c r="F1198" s="93" t="str">
        <f t="shared" si="163"/>
        <v>CP147</v>
      </c>
      <c r="G1198" s="99" t="str">
        <f t="shared" si="165"/>
        <v>CP147-RETURN - 7th don of the month -BONUS</v>
      </c>
      <c r="H1198" s="182"/>
      <c r="I1198" s="38" t="s">
        <v>49</v>
      </c>
      <c r="J1198" s="58">
        <v>0</v>
      </c>
      <c r="K1198" s="58">
        <v>0</v>
      </c>
      <c r="L1198" s="58">
        <v>0</v>
      </c>
      <c r="M1198" s="58">
        <v>0</v>
      </c>
      <c r="N1198" s="58">
        <v>0</v>
      </c>
      <c r="O1198" s="58">
        <v>0</v>
      </c>
      <c r="P1198" s="58">
        <v>0</v>
      </c>
      <c r="Q1198" s="58">
        <v>0</v>
      </c>
      <c r="R1198" s="22"/>
      <c r="S1198" s="117" t="str">
        <f t="shared" si="160"/>
        <v>N</v>
      </c>
      <c r="T1198" s="114">
        <f>IFERROR(SUMIF('Current NLData'!A:A,'Payment Changes'!G1198,'Current NLData'!K:K)/COUNTIF('Current NLData'!A:A,'Payment Changes'!G1198),0)+IFERROR(VLOOKUP(G1198&amp;"-ALL",NLPaymentExport,10,FALSE),0)</f>
        <v>0</v>
      </c>
      <c r="U1198" s="118">
        <f t="shared" si="161"/>
        <v>0</v>
      </c>
    </row>
    <row r="1199" spans="1:54" ht="17.100000000000001" hidden="1" customHeight="1" outlineLevel="1" x14ac:dyDescent="0.25">
      <c r="A1199" s="3"/>
      <c r="C1199" s="4"/>
      <c r="D1199" s="181"/>
      <c r="E1199" s="91" t="str">
        <f t="shared" si="162"/>
        <v>Shreveport</v>
      </c>
      <c r="F1199" s="93" t="str">
        <f t="shared" si="163"/>
        <v>CP147</v>
      </c>
      <c r="G1199" s="99" t="str">
        <f t="shared" si="165"/>
        <v>CP147-RETURN - 8th don of the month -BONUS</v>
      </c>
      <c r="H1199" s="182"/>
      <c r="I1199" s="38" t="s">
        <v>50</v>
      </c>
      <c r="J1199" s="58">
        <v>25</v>
      </c>
      <c r="K1199" s="58">
        <v>25</v>
      </c>
      <c r="L1199" s="58">
        <v>0</v>
      </c>
      <c r="M1199" s="58">
        <v>0</v>
      </c>
      <c r="N1199" s="58">
        <v>0</v>
      </c>
      <c r="O1199" s="58">
        <v>0</v>
      </c>
      <c r="P1199" s="58">
        <v>0</v>
      </c>
      <c r="Q1199" s="58">
        <v>0</v>
      </c>
      <c r="R1199" s="22"/>
      <c r="S1199" s="117" t="str">
        <f t="shared" si="160"/>
        <v>N</v>
      </c>
      <c r="T1199" s="114">
        <f>IFERROR(SUMIF('Current NLData'!A:A,'Payment Changes'!G1199,'Current NLData'!K:K)/COUNTIF('Current NLData'!A:A,'Payment Changes'!G1199),0)+IFERROR(VLOOKUP(G1199&amp;"-ALL",NLPaymentExport,10,FALSE),0)</f>
        <v>0</v>
      </c>
      <c r="U1199" s="118">
        <f t="shared" si="161"/>
        <v>0</v>
      </c>
    </row>
    <row r="1200" spans="1:54" ht="17.100000000000001" hidden="1" customHeight="1" outlineLevel="1" x14ac:dyDescent="0.25">
      <c r="A1200" s="3"/>
      <c r="C1200" s="4"/>
      <c r="D1200" s="181"/>
      <c r="E1200" s="91" t="str">
        <f t="shared" si="162"/>
        <v>Shreveport</v>
      </c>
      <c r="F1200" s="93" t="str">
        <f t="shared" si="163"/>
        <v>CP147</v>
      </c>
      <c r="G1200" s="99" t="str">
        <f t="shared" si="165"/>
        <v>CP147-RETURN - Buddy referral  -BONUS</v>
      </c>
      <c r="H1200" s="182"/>
      <c r="I1200" s="39" t="s">
        <v>51</v>
      </c>
      <c r="J1200" s="58">
        <v>0</v>
      </c>
      <c r="K1200" s="58">
        <v>0</v>
      </c>
      <c r="L1200" s="58">
        <v>0</v>
      </c>
      <c r="M1200" s="58">
        <v>50</v>
      </c>
      <c r="N1200" s="58">
        <v>50</v>
      </c>
      <c r="O1200" s="58">
        <v>50</v>
      </c>
      <c r="P1200" s="58">
        <v>50</v>
      </c>
      <c r="Q1200" s="58">
        <v>50</v>
      </c>
      <c r="R1200" s="22"/>
      <c r="S1200" s="117" t="str">
        <f t="shared" si="160"/>
        <v>N</v>
      </c>
      <c r="T1200" s="114">
        <f>IFERROR(SUMIF('Current NLData'!A:A,'Payment Changes'!G1200,'Current NLData'!K:K)/COUNTIF('Current NLData'!A:A,'Payment Changes'!G1200),0)+IFERROR(VLOOKUP(G1200&amp;"-ALL",NLPaymentExport,10,FALSE),0)</f>
        <v>50</v>
      </c>
      <c r="U1200" s="118">
        <f t="shared" si="161"/>
        <v>0</v>
      </c>
    </row>
    <row r="1201" spans="1:54" s="90" customFormat="1" ht="17.100000000000001" hidden="1" customHeight="1" collapsed="1" x14ac:dyDescent="0.35">
      <c r="A1201" s="85"/>
      <c r="B1201" s="85"/>
      <c r="C1201" s="86"/>
      <c r="D1201" s="87"/>
      <c r="E1201" s="87"/>
      <c r="F1201" s="87"/>
      <c r="G1201" s="87"/>
      <c r="H1201" s="96"/>
      <c r="I1201" s="88"/>
      <c r="J1201" s="89"/>
      <c r="K1201" s="89"/>
      <c r="L1201" s="89"/>
      <c r="M1201" s="89"/>
      <c r="N1201" s="89"/>
      <c r="O1201" s="89"/>
      <c r="P1201" s="89"/>
      <c r="Q1201" s="89"/>
      <c r="R1201" s="21"/>
      <c r="S1201" s="117" t="str">
        <f t="shared" si="160"/>
        <v>N</v>
      </c>
      <c r="T1201" s="114">
        <f>IFERROR(SUMIF('Current NLData'!A:A,'Payment Changes'!G1201,'Current NLData'!K:K)/COUNTIF('Current NLData'!A:A,'Payment Changes'!G1201),0)+IFERROR(VLOOKUP(G1201&amp;"-ALL",NLPaymentExport,10,FALSE),0)</f>
        <v>0</v>
      </c>
      <c r="U1201" s="118" t="str">
        <f t="shared" si="161"/>
        <v/>
      </c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</row>
    <row r="1202" spans="1:54" s="10" customFormat="1" ht="17.100000000000001" customHeight="1" x14ac:dyDescent="0.25">
      <c r="A1202" s="165">
        <v>61</v>
      </c>
      <c r="B1202" s="168" t="s">
        <v>388</v>
      </c>
      <c r="C1202" s="171" t="s">
        <v>19</v>
      </c>
      <c r="D1202" s="174" t="s">
        <v>157</v>
      </c>
      <c r="E1202" s="106" t="str">
        <f>IF(B1202 = "",E1201,B1202)</f>
        <v>Pensacola</v>
      </c>
      <c r="F1202" s="107" t="s">
        <v>389</v>
      </c>
      <c r="G1202" s="108" t="str">
        <f t="shared" ref="G1202:G1220" si="166">F1202&amp;"-"&amp;I1202</f>
        <v>CP150-New Donor</v>
      </c>
      <c r="H1202" s="177" t="s">
        <v>147</v>
      </c>
      <c r="I1202" s="76" t="s">
        <v>23</v>
      </c>
      <c r="J1202" s="40" t="s">
        <v>390</v>
      </c>
      <c r="K1202" s="41" t="s">
        <v>391</v>
      </c>
      <c r="L1202" s="41" t="s">
        <v>392</v>
      </c>
      <c r="M1202" s="42" t="s">
        <v>392</v>
      </c>
      <c r="N1202" s="40" t="s">
        <v>392</v>
      </c>
      <c r="O1202" s="40" t="s">
        <v>272</v>
      </c>
      <c r="P1202" s="40" t="s">
        <v>272</v>
      </c>
      <c r="Q1202" s="40" t="s">
        <v>393</v>
      </c>
      <c r="R1202" s="109"/>
      <c r="S1202" s="117" t="str">
        <f t="shared" si="160"/>
        <v>Y</v>
      </c>
      <c r="T1202" s="114">
        <f>IFERROR(SUMIF('Current NLData'!A:A,'Payment Changes'!G1202,'Current NLData'!K:K)/COUNTIF('Current NLData'!A:A,'Payment Changes'!G1202),0)+IFERROR(VLOOKUP(G1202&amp;"-ALL",NLPaymentExport,10,FALSE),0)</f>
        <v>0</v>
      </c>
      <c r="U1202" s="118" t="str">
        <f t="shared" si="161"/>
        <v/>
      </c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</row>
    <row r="1203" spans="1:54" ht="17.100000000000001" customHeight="1" x14ac:dyDescent="0.25">
      <c r="A1203" s="166"/>
      <c r="B1203" s="169"/>
      <c r="C1203" s="172"/>
      <c r="D1203" s="175"/>
      <c r="E1203" s="91" t="str">
        <f t="shared" si="162"/>
        <v>Pensacola</v>
      </c>
      <c r="F1203" s="92" t="s">
        <v>389</v>
      </c>
      <c r="G1203" s="98" t="str">
        <f t="shared" si="166"/>
        <v>CP150-Return Donor</v>
      </c>
      <c r="H1203" s="178"/>
      <c r="I1203" s="77" t="s">
        <v>29</v>
      </c>
      <c r="J1203" s="43" t="s">
        <v>194</v>
      </c>
      <c r="K1203" s="43" t="s">
        <v>179</v>
      </c>
      <c r="L1203" s="44" t="s">
        <v>179</v>
      </c>
      <c r="M1203" s="45" t="s">
        <v>179</v>
      </c>
      <c r="N1203" s="43" t="s">
        <v>179</v>
      </c>
      <c r="O1203" s="43" t="s">
        <v>179</v>
      </c>
      <c r="P1203" s="43" t="s">
        <v>179</v>
      </c>
      <c r="Q1203" s="43" t="s">
        <v>242</v>
      </c>
      <c r="R1203" s="21"/>
      <c r="S1203" s="117" t="str">
        <f t="shared" si="160"/>
        <v>Y</v>
      </c>
      <c r="T1203" s="114">
        <f>IFERROR(SUMIF('Current NLData'!A:A,'Payment Changes'!G1203,'Current NLData'!K:K)/COUNTIF('Current NLData'!A:A,'Payment Changes'!G1203),0)+IFERROR(VLOOKUP(G1203&amp;"-ALL",NLPaymentExport,10,FALSE),0)</f>
        <v>0</v>
      </c>
      <c r="U1203" s="118" t="str">
        <f t="shared" si="161"/>
        <v/>
      </c>
    </row>
    <row r="1204" spans="1:54" ht="17.100000000000001" customHeight="1" x14ac:dyDescent="0.25">
      <c r="A1204" s="166"/>
      <c r="B1204" s="169"/>
      <c r="C1204" s="172"/>
      <c r="D1204" s="175"/>
      <c r="E1204" s="91" t="str">
        <f t="shared" si="162"/>
        <v>Pensacola</v>
      </c>
      <c r="F1204" s="92" t="s">
        <v>389</v>
      </c>
      <c r="G1204" s="98" t="str">
        <f t="shared" si="166"/>
        <v>CP150-Retention Bonus</v>
      </c>
      <c r="H1204" s="178"/>
      <c r="I1204" s="78" t="s">
        <v>30</v>
      </c>
      <c r="J1204" s="46" t="s">
        <v>163</v>
      </c>
      <c r="K1204" s="46" t="s">
        <v>394</v>
      </c>
      <c r="L1204" s="47" t="s">
        <v>394</v>
      </c>
      <c r="M1204" s="48" t="s">
        <v>394</v>
      </c>
      <c r="N1204" s="46" t="s">
        <v>394</v>
      </c>
      <c r="O1204" s="46" t="s">
        <v>394</v>
      </c>
      <c r="P1204" s="46" t="s">
        <v>394</v>
      </c>
      <c r="Q1204" s="46" t="s">
        <v>394</v>
      </c>
      <c r="R1204" s="21"/>
      <c r="S1204" s="117" t="str">
        <f t="shared" si="160"/>
        <v>N</v>
      </c>
      <c r="T1204" s="114">
        <f>IFERROR(SUMIF('Current NLData'!A:A,'Payment Changes'!G1204,'Current NLData'!K:K)/COUNTIF('Current NLData'!A:A,'Payment Changes'!G1204),0)+IFERROR(VLOOKUP(G1204&amp;"-ALL",NLPaymentExport,10,FALSE),0)</f>
        <v>0</v>
      </c>
      <c r="U1204" s="118" t="str">
        <f t="shared" si="161"/>
        <v/>
      </c>
    </row>
    <row r="1205" spans="1:54" s="15" customFormat="1" ht="17.100000000000001" customHeight="1" x14ac:dyDescent="0.25">
      <c r="A1205" s="167"/>
      <c r="B1205" s="170"/>
      <c r="C1205" s="173"/>
      <c r="D1205" s="176"/>
      <c r="E1205" s="110" t="str">
        <f t="shared" si="162"/>
        <v>Pensacola</v>
      </c>
      <c r="F1205" s="111" t="s">
        <v>389</v>
      </c>
      <c r="G1205" s="112" t="str">
        <f t="shared" si="166"/>
        <v>CP150-Referral</v>
      </c>
      <c r="H1205" s="179"/>
      <c r="I1205" s="79" t="s">
        <v>34</v>
      </c>
      <c r="J1205" s="49">
        <v>50</v>
      </c>
      <c r="K1205" s="49">
        <v>50</v>
      </c>
      <c r="L1205" s="50" t="s">
        <v>32</v>
      </c>
      <c r="M1205" s="51" t="s">
        <v>32</v>
      </c>
      <c r="N1205" s="49" t="s">
        <v>32</v>
      </c>
      <c r="O1205" s="49">
        <v>50</v>
      </c>
      <c r="P1205" s="49">
        <v>50</v>
      </c>
      <c r="Q1205" s="49">
        <v>50</v>
      </c>
      <c r="R1205" s="113"/>
      <c r="S1205" s="117" t="str">
        <f t="shared" si="160"/>
        <v>N</v>
      </c>
      <c r="T1205" s="114">
        <f>IFERROR(SUMIF('Current NLData'!A:A,'Payment Changes'!G1205,'Current NLData'!K:K)/COUNTIF('Current NLData'!A:A,'Payment Changes'!G1205),0)+IFERROR(VLOOKUP(G1205&amp;"-ALL",NLPaymentExport,10,FALSE),0)</f>
        <v>0</v>
      </c>
      <c r="U1205" s="118" t="str">
        <f t="shared" si="161"/>
        <v/>
      </c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</row>
    <row r="1206" spans="1:54" ht="17.100000000000001" customHeight="1" outlineLevel="1" x14ac:dyDescent="0.25">
      <c r="A1206" s="3"/>
      <c r="C1206" s="4"/>
      <c r="D1206" s="180" t="s">
        <v>389</v>
      </c>
      <c r="E1206" s="91" t="str">
        <f t="shared" si="162"/>
        <v>Pensacola</v>
      </c>
      <c r="F1206" s="93" t="str">
        <f t="shared" si="163"/>
        <v>CP150</v>
      </c>
      <c r="G1206" s="99" t="str">
        <f t="shared" si="166"/>
        <v>CP150-NEW DONOR -1st</v>
      </c>
      <c r="H1206" s="182" t="s">
        <v>36</v>
      </c>
      <c r="I1206" s="33" t="s">
        <v>37</v>
      </c>
      <c r="J1206" s="60">
        <v>100</v>
      </c>
      <c r="K1206" s="61">
        <v>100</v>
      </c>
      <c r="L1206" s="60">
        <v>100</v>
      </c>
      <c r="M1206" s="60">
        <v>100</v>
      </c>
      <c r="N1206" s="60">
        <v>100</v>
      </c>
      <c r="O1206" s="60">
        <v>100</v>
      </c>
      <c r="P1206" s="60">
        <v>100</v>
      </c>
      <c r="Q1206" s="60">
        <v>100</v>
      </c>
      <c r="R1206" s="23"/>
      <c r="S1206" s="117" t="str">
        <f t="shared" si="160"/>
        <v>N</v>
      </c>
      <c r="T1206" s="114">
        <f>IFERROR(SUMIF('Current NLData'!A:A,'Payment Changes'!G1206,'Current NLData'!K:K)/COUNTIF('Current NLData'!A:A,'Payment Changes'!G1206),0)+IFERROR(VLOOKUP(G1206&amp;"-ALL",NLPaymentExport,10,FALSE),0)</f>
        <v>100</v>
      </c>
      <c r="U1206" s="118">
        <f t="shared" si="161"/>
        <v>0</v>
      </c>
    </row>
    <row r="1207" spans="1:54" ht="17.100000000000001" customHeight="1" outlineLevel="1" x14ac:dyDescent="0.25">
      <c r="A1207" s="3"/>
      <c r="C1207" s="4"/>
      <c r="D1207" s="181"/>
      <c r="E1207" s="91" t="str">
        <f t="shared" si="162"/>
        <v>Pensacola</v>
      </c>
      <c r="F1207" s="93" t="str">
        <f t="shared" si="163"/>
        <v>CP150</v>
      </c>
      <c r="G1207" s="99" t="str">
        <f t="shared" si="166"/>
        <v>CP150-NEW DONOR -2nd</v>
      </c>
      <c r="H1207" s="182"/>
      <c r="I1207" s="34" t="s">
        <v>38</v>
      </c>
      <c r="J1207" s="58">
        <v>100</v>
      </c>
      <c r="K1207" s="62">
        <v>100</v>
      </c>
      <c r="L1207" s="58">
        <v>100</v>
      </c>
      <c r="M1207" s="58">
        <v>100</v>
      </c>
      <c r="N1207" s="58">
        <v>100</v>
      </c>
      <c r="O1207" s="58">
        <v>100</v>
      </c>
      <c r="P1207" s="58">
        <v>100</v>
      </c>
      <c r="Q1207" s="58">
        <v>100</v>
      </c>
      <c r="R1207" s="23"/>
      <c r="S1207" s="117" t="str">
        <f t="shared" si="160"/>
        <v>N</v>
      </c>
      <c r="T1207" s="114">
        <f>IFERROR(SUMIF('Current NLData'!A:A,'Payment Changes'!G1207,'Current NLData'!K:K)/COUNTIF('Current NLData'!A:A,'Payment Changes'!G1207),0)+IFERROR(VLOOKUP(G1207&amp;"-ALL",NLPaymentExport,10,FALSE),0)</f>
        <v>100</v>
      </c>
      <c r="U1207" s="118">
        <f t="shared" si="161"/>
        <v>0</v>
      </c>
    </row>
    <row r="1208" spans="1:54" ht="17.100000000000001" customHeight="1" outlineLevel="1" x14ac:dyDescent="0.25">
      <c r="A1208" s="3"/>
      <c r="C1208" s="4"/>
      <c r="D1208" s="181"/>
      <c r="E1208" s="91" t="str">
        <f t="shared" si="162"/>
        <v>Pensacola</v>
      </c>
      <c r="F1208" s="93" t="str">
        <f t="shared" si="163"/>
        <v>CP150</v>
      </c>
      <c r="G1208" s="99" t="str">
        <f t="shared" si="166"/>
        <v>CP150-NEW DONOR -3rd</v>
      </c>
      <c r="H1208" s="182"/>
      <c r="I1208" s="34" t="s">
        <v>39</v>
      </c>
      <c r="J1208" s="58">
        <v>100</v>
      </c>
      <c r="K1208" s="62">
        <v>100</v>
      </c>
      <c r="L1208" s="58">
        <v>100</v>
      </c>
      <c r="M1208" s="58">
        <v>100</v>
      </c>
      <c r="N1208" s="58">
        <v>100</v>
      </c>
      <c r="O1208" s="58">
        <v>100</v>
      </c>
      <c r="P1208" s="58">
        <v>100</v>
      </c>
      <c r="Q1208" s="58">
        <v>100</v>
      </c>
      <c r="R1208" s="23"/>
      <c r="S1208" s="117" t="str">
        <f t="shared" si="160"/>
        <v>N</v>
      </c>
      <c r="T1208" s="114">
        <f>IFERROR(SUMIF('Current NLData'!A:A,'Payment Changes'!G1208,'Current NLData'!K:K)/COUNTIF('Current NLData'!A:A,'Payment Changes'!G1208),0)+IFERROR(VLOOKUP(G1208&amp;"-ALL",NLPaymentExport,10,FALSE),0)</f>
        <v>100</v>
      </c>
      <c r="U1208" s="118">
        <f t="shared" si="161"/>
        <v>0</v>
      </c>
    </row>
    <row r="1209" spans="1:54" ht="17.100000000000001" customHeight="1" outlineLevel="1" x14ac:dyDescent="0.25">
      <c r="A1209" s="3"/>
      <c r="C1209" s="4"/>
      <c r="D1209" s="181"/>
      <c r="E1209" s="91" t="str">
        <f t="shared" si="162"/>
        <v>Pensacola</v>
      </c>
      <c r="F1209" s="93" t="str">
        <f t="shared" si="163"/>
        <v>CP150</v>
      </c>
      <c r="G1209" s="99" t="str">
        <f t="shared" si="166"/>
        <v>CP150-NEW DONOR -4th</v>
      </c>
      <c r="H1209" s="182"/>
      <c r="I1209" s="34" t="s">
        <v>40</v>
      </c>
      <c r="J1209" s="58">
        <v>100</v>
      </c>
      <c r="K1209" s="62">
        <v>100</v>
      </c>
      <c r="L1209" s="58">
        <v>40</v>
      </c>
      <c r="M1209" s="58">
        <v>40</v>
      </c>
      <c r="N1209" s="58">
        <v>40</v>
      </c>
      <c r="O1209" s="58">
        <v>100</v>
      </c>
      <c r="P1209" s="58">
        <v>100</v>
      </c>
      <c r="Q1209" s="58">
        <v>100</v>
      </c>
      <c r="R1209" s="23"/>
      <c r="S1209" s="117" t="str">
        <f t="shared" si="160"/>
        <v>N</v>
      </c>
      <c r="T1209" s="114">
        <f>IFERROR(SUMIF('Current NLData'!A:A,'Payment Changes'!G1209,'Current NLData'!K:K)/COUNTIF('Current NLData'!A:A,'Payment Changes'!G1209),0)+IFERROR(VLOOKUP(G1209&amp;"-ALL",NLPaymentExport,10,FALSE),0)</f>
        <v>100</v>
      </c>
      <c r="U1209" s="118">
        <f t="shared" si="161"/>
        <v>0</v>
      </c>
    </row>
    <row r="1210" spans="1:54" ht="17.100000000000001" customHeight="1" outlineLevel="1" x14ac:dyDescent="0.25">
      <c r="A1210" s="3"/>
      <c r="C1210" s="4"/>
      <c r="D1210" s="181"/>
      <c r="E1210" s="91" t="str">
        <f t="shared" si="162"/>
        <v>Pensacola</v>
      </c>
      <c r="F1210" s="93" t="str">
        <f t="shared" si="163"/>
        <v>CP150</v>
      </c>
      <c r="G1210" s="99" t="str">
        <f t="shared" si="166"/>
        <v>CP150-NEW DONOR -5th</v>
      </c>
      <c r="H1210" s="182"/>
      <c r="I1210" s="34" t="s">
        <v>41</v>
      </c>
      <c r="J1210" s="58">
        <v>100</v>
      </c>
      <c r="K1210" s="62">
        <v>100</v>
      </c>
      <c r="L1210" s="58">
        <v>40</v>
      </c>
      <c r="M1210" s="58">
        <v>40</v>
      </c>
      <c r="N1210" s="58">
        <v>40</v>
      </c>
      <c r="O1210" s="58">
        <v>100</v>
      </c>
      <c r="P1210" s="58">
        <v>100</v>
      </c>
      <c r="Q1210" s="58">
        <v>100</v>
      </c>
      <c r="R1210" s="23"/>
      <c r="S1210" s="117" t="str">
        <f t="shared" si="160"/>
        <v>N</v>
      </c>
      <c r="T1210" s="114">
        <f>IFERROR(SUMIF('Current NLData'!A:A,'Payment Changes'!G1210,'Current NLData'!K:K)/COUNTIF('Current NLData'!A:A,'Payment Changes'!G1210),0)+IFERROR(VLOOKUP(G1210&amp;"-ALL",NLPaymentExport,10,FALSE),0)</f>
        <v>100</v>
      </c>
      <c r="U1210" s="118">
        <f t="shared" si="161"/>
        <v>0</v>
      </c>
    </row>
    <row r="1211" spans="1:54" ht="17.100000000000001" customHeight="1" outlineLevel="1" x14ac:dyDescent="0.25">
      <c r="A1211" s="3"/>
      <c r="C1211" s="4"/>
      <c r="D1211" s="181"/>
      <c r="E1211" s="91" t="str">
        <f t="shared" si="162"/>
        <v>Pensacola</v>
      </c>
      <c r="F1211" s="93" t="str">
        <f t="shared" si="163"/>
        <v>CP150</v>
      </c>
      <c r="G1211" s="99" t="str">
        <f t="shared" si="166"/>
        <v>CP150-NEW DONOR -6th</v>
      </c>
      <c r="H1211" s="182"/>
      <c r="I1211" s="34" t="s">
        <v>42</v>
      </c>
      <c r="J1211" s="58">
        <v>40</v>
      </c>
      <c r="K1211" s="62">
        <v>40</v>
      </c>
      <c r="L1211" s="58">
        <v>40</v>
      </c>
      <c r="M1211" s="58">
        <v>40</v>
      </c>
      <c r="N1211" s="58">
        <v>40</v>
      </c>
      <c r="O1211" s="58">
        <v>40</v>
      </c>
      <c r="P1211" s="58">
        <v>40</v>
      </c>
      <c r="Q1211" s="58">
        <v>100</v>
      </c>
      <c r="R1211" s="23"/>
      <c r="S1211" s="117" t="str">
        <f t="shared" si="160"/>
        <v>Y</v>
      </c>
      <c r="T1211" s="114">
        <f>IFERROR(SUMIF('Current NLData'!A:A,'Payment Changes'!G1211,'Current NLData'!K:K)/COUNTIF('Current NLData'!A:A,'Payment Changes'!G1211),0)+IFERROR(VLOOKUP(G1211&amp;"-ALL",NLPaymentExport,10,FALSE),0)</f>
        <v>40</v>
      </c>
      <c r="U1211" s="118">
        <f t="shared" si="161"/>
        <v>-60</v>
      </c>
    </row>
    <row r="1212" spans="1:54" ht="17.100000000000001" customHeight="1" outlineLevel="1" x14ac:dyDescent="0.25">
      <c r="A1212" s="3"/>
      <c r="C1212" s="4"/>
      <c r="D1212" s="181"/>
      <c r="E1212" s="91" t="str">
        <f t="shared" si="162"/>
        <v>Pensacola</v>
      </c>
      <c r="F1212" s="93" t="str">
        <f t="shared" si="163"/>
        <v>CP150</v>
      </c>
      <c r="G1212" s="99" t="str">
        <f t="shared" si="166"/>
        <v>CP150-NEW DONOR -7th</v>
      </c>
      <c r="H1212" s="182"/>
      <c r="I1212" s="34" t="s">
        <v>43</v>
      </c>
      <c r="J1212" s="58">
        <v>40</v>
      </c>
      <c r="K1212" s="62">
        <v>80</v>
      </c>
      <c r="L1212" s="58">
        <v>40</v>
      </c>
      <c r="M1212" s="58">
        <v>40</v>
      </c>
      <c r="N1212" s="58">
        <v>40</v>
      </c>
      <c r="O1212" s="58">
        <v>40</v>
      </c>
      <c r="P1212" s="58">
        <v>40</v>
      </c>
      <c r="Q1212" s="58">
        <v>100</v>
      </c>
      <c r="R1212" s="23"/>
      <c r="S1212" s="117" t="str">
        <f t="shared" si="160"/>
        <v>Y</v>
      </c>
      <c r="T1212" s="114">
        <f>IFERROR(SUMIF('Current NLData'!A:A,'Payment Changes'!G1212,'Current NLData'!K:K)/COUNTIF('Current NLData'!A:A,'Payment Changes'!G1212),0)+IFERROR(VLOOKUP(G1212&amp;"-ALL",NLPaymentExport,10,FALSE),0)</f>
        <v>40</v>
      </c>
      <c r="U1212" s="118">
        <f t="shared" si="161"/>
        <v>-60</v>
      </c>
    </row>
    <row r="1213" spans="1:54" ht="17.100000000000001" customHeight="1" outlineLevel="1" x14ac:dyDescent="0.25">
      <c r="A1213" s="3"/>
      <c r="C1213" s="4"/>
      <c r="D1213" s="181"/>
      <c r="E1213" s="91" t="str">
        <f t="shared" si="162"/>
        <v>Pensacola</v>
      </c>
      <c r="F1213" s="93" t="str">
        <f t="shared" si="163"/>
        <v>CP150</v>
      </c>
      <c r="G1213" s="99" t="str">
        <f t="shared" si="166"/>
        <v>CP150-NEW DONOR -8th</v>
      </c>
      <c r="H1213" s="182"/>
      <c r="I1213" s="35" t="s">
        <v>44</v>
      </c>
      <c r="J1213" s="63">
        <v>40</v>
      </c>
      <c r="K1213" s="64">
        <v>40</v>
      </c>
      <c r="L1213" s="63">
        <v>40</v>
      </c>
      <c r="M1213" s="63">
        <v>40</v>
      </c>
      <c r="N1213" s="63">
        <v>40</v>
      </c>
      <c r="O1213" s="63">
        <v>40</v>
      </c>
      <c r="P1213" s="63">
        <v>40</v>
      </c>
      <c r="Q1213" s="63">
        <v>100</v>
      </c>
      <c r="R1213" s="23"/>
      <c r="S1213" s="117" t="str">
        <f t="shared" si="160"/>
        <v>Y</v>
      </c>
      <c r="T1213" s="114">
        <f>IFERROR(SUMIF('Current NLData'!A:A,'Payment Changes'!G1213,'Current NLData'!K:K)/COUNTIF('Current NLData'!A:A,'Payment Changes'!G1213),0)+IFERROR(VLOOKUP(G1213&amp;"-ALL",NLPaymentExport,10,FALSE),0)</f>
        <v>40</v>
      </c>
      <c r="U1213" s="118">
        <f t="shared" si="161"/>
        <v>-60</v>
      </c>
    </row>
    <row r="1214" spans="1:54" ht="17.100000000000001" customHeight="1" outlineLevel="1" x14ac:dyDescent="0.25">
      <c r="A1214" s="3"/>
      <c r="C1214" s="4"/>
      <c r="D1214" s="181"/>
      <c r="E1214" s="91" t="str">
        <f t="shared" si="162"/>
        <v>Pensacola</v>
      </c>
      <c r="F1214" s="93" t="str">
        <f t="shared" si="163"/>
        <v>CP150</v>
      </c>
      <c r="G1214" s="99" t="str">
        <f t="shared" si="166"/>
        <v>CP150-RETURN - 1st don of the week -STD</v>
      </c>
      <c r="H1214" s="182"/>
      <c r="I1214" s="36" t="s">
        <v>45</v>
      </c>
      <c r="J1214" s="58">
        <v>40</v>
      </c>
      <c r="K1214" s="58">
        <v>40</v>
      </c>
      <c r="L1214" s="58">
        <v>40</v>
      </c>
      <c r="M1214" s="58">
        <v>40</v>
      </c>
      <c r="N1214" s="58">
        <v>40</v>
      </c>
      <c r="O1214" s="58">
        <v>40</v>
      </c>
      <c r="P1214" s="58">
        <v>40</v>
      </c>
      <c r="Q1214" s="58">
        <v>45</v>
      </c>
      <c r="R1214" s="22"/>
      <c r="S1214" s="117" t="str">
        <f t="shared" si="160"/>
        <v>Y</v>
      </c>
      <c r="T1214" s="114">
        <f>IFERROR(SUMIF('Current NLData'!A:A,'Payment Changes'!G1214,'Current NLData'!K:K)/COUNTIF('Current NLData'!A:A,'Payment Changes'!G1214),0)+IFERROR(VLOOKUP(G1214&amp;"-ALL",NLPaymentExport,10,FALSE),0)</f>
        <v>40</v>
      </c>
      <c r="U1214" s="118">
        <f t="shared" si="161"/>
        <v>-5</v>
      </c>
    </row>
    <row r="1215" spans="1:54" ht="17.100000000000001" customHeight="1" outlineLevel="1" x14ac:dyDescent="0.25">
      <c r="A1215" s="3"/>
      <c r="C1215" s="4"/>
      <c r="D1215" s="181"/>
      <c r="E1215" s="91" t="str">
        <f t="shared" si="162"/>
        <v>Pensacola</v>
      </c>
      <c r="F1215" s="93" t="str">
        <f t="shared" si="163"/>
        <v>CP150</v>
      </c>
      <c r="G1215" s="99" t="str">
        <f t="shared" si="166"/>
        <v>CP150-RETURN - 2nd don of the week -BONUS</v>
      </c>
      <c r="H1215" s="182"/>
      <c r="I1215" s="36" t="s">
        <v>46</v>
      </c>
      <c r="J1215" s="58">
        <v>50</v>
      </c>
      <c r="K1215" s="62">
        <v>40</v>
      </c>
      <c r="L1215" s="58">
        <v>40</v>
      </c>
      <c r="M1215" s="58">
        <v>40</v>
      </c>
      <c r="N1215" s="58">
        <v>40</v>
      </c>
      <c r="O1215" s="58">
        <v>40</v>
      </c>
      <c r="P1215" s="58">
        <v>40</v>
      </c>
      <c r="Q1215" s="58">
        <v>35</v>
      </c>
      <c r="R1215" s="23"/>
      <c r="S1215" s="117" t="str">
        <f t="shared" si="160"/>
        <v>Y</v>
      </c>
      <c r="T1215" s="114">
        <f>IFERROR(SUMIF('Current NLData'!A:A,'Payment Changes'!G1215,'Current NLData'!K:K)/COUNTIF('Current NLData'!A:A,'Payment Changes'!G1215),0)+IFERROR(VLOOKUP(G1215&amp;"-ALL",NLPaymentExport,10,FALSE),0)</f>
        <v>40</v>
      </c>
      <c r="U1215" s="118">
        <f t="shared" si="161"/>
        <v>5</v>
      </c>
    </row>
    <row r="1216" spans="1:54" ht="17.100000000000001" customHeight="1" outlineLevel="1" x14ac:dyDescent="0.25">
      <c r="A1216" s="3"/>
      <c r="C1216" s="4"/>
      <c r="D1216" s="181"/>
      <c r="E1216" s="91" t="str">
        <f t="shared" si="162"/>
        <v>Pensacola</v>
      </c>
      <c r="F1216" s="93" t="str">
        <f t="shared" si="163"/>
        <v>CP150</v>
      </c>
      <c r="G1216" s="99" t="str">
        <f t="shared" si="166"/>
        <v>CP150-RETURN - 5th don of the month -BONUS</v>
      </c>
      <c r="H1216" s="182"/>
      <c r="I1216" s="37" t="s">
        <v>47</v>
      </c>
      <c r="J1216" s="65">
        <v>0</v>
      </c>
      <c r="K1216" s="65">
        <v>0</v>
      </c>
      <c r="L1216" s="65">
        <v>0</v>
      </c>
      <c r="M1216" s="65">
        <v>0</v>
      </c>
      <c r="N1216" s="65">
        <v>0</v>
      </c>
      <c r="O1216" s="65">
        <v>0</v>
      </c>
      <c r="P1216" s="65">
        <v>0</v>
      </c>
      <c r="Q1216" s="65">
        <v>0</v>
      </c>
      <c r="R1216" s="22"/>
      <c r="S1216" s="117" t="str">
        <f t="shared" si="160"/>
        <v>N</v>
      </c>
      <c r="T1216" s="114">
        <f>IFERROR(SUMIF('Current NLData'!A:A,'Payment Changes'!G1216,'Current NLData'!K:K)/COUNTIF('Current NLData'!A:A,'Payment Changes'!G1216),0)+IFERROR(VLOOKUP(G1216&amp;"-ALL",NLPaymentExport,10,FALSE),0)</f>
        <v>0</v>
      </c>
      <c r="U1216" s="118">
        <f t="shared" si="161"/>
        <v>0</v>
      </c>
    </row>
    <row r="1217" spans="1:54" ht="17.100000000000001" customHeight="1" outlineLevel="1" x14ac:dyDescent="0.25">
      <c r="A1217" s="3"/>
      <c r="C1217" s="4"/>
      <c r="D1217" s="181"/>
      <c r="E1217" s="91" t="str">
        <f t="shared" si="162"/>
        <v>Pensacola</v>
      </c>
      <c r="F1217" s="93" t="str">
        <f t="shared" si="163"/>
        <v>CP150</v>
      </c>
      <c r="G1217" s="99" t="str">
        <f t="shared" si="166"/>
        <v>CP150-RETURN - 6th don of the month -BONUS</v>
      </c>
      <c r="H1217" s="182"/>
      <c r="I1217" s="38" t="s">
        <v>48</v>
      </c>
      <c r="J1217" s="58">
        <v>0</v>
      </c>
      <c r="K1217" s="62">
        <v>20</v>
      </c>
      <c r="L1217" s="58">
        <v>20</v>
      </c>
      <c r="M1217" s="58">
        <v>20</v>
      </c>
      <c r="N1217" s="58">
        <v>20</v>
      </c>
      <c r="O1217" s="58">
        <v>20</v>
      </c>
      <c r="P1217" s="58">
        <v>20</v>
      </c>
      <c r="Q1217" s="58">
        <v>20</v>
      </c>
      <c r="R1217" s="23"/>
      <c r="S1217" s="117" t="str">
        <f t="shared" si="160"/>
        <v>N</v>
      </c>
      <c r="T1217" s="114">
        <f>IFERROR(SUMIF('Current NLData'!A:A,'Payment Changes'!G1217,'Current NLData'!K:K)/COUNTIF('Current NLData'!A:A,'Payment Changes'!G1217),0)+IFERROR(VLOOKUP(G1217&amp;"-ALL",NLPaymentExport,10,FALSE),0)</f>
        <v>20</v>
      </c>
      <c r="U1217" s="118">
        <f t="shared" si="161"/>
        <v>0</v>
      </c>
    </row>
    <row r="1218" spans="1:54" ht="17.100000000000001" customHeight="1" outlineLevel="1" x14ac:dyDescent="0.25">
      <c r="A1218" s="3"/>
      <c r="C1218" s="4"/>
      <c r="D1218" s="181"/>
      <c r="E1218" s="91" t="str">
        <f t="shared" si="162"/>
        <v>Pensacola</v>
      </c>
      <c r="F1218" s="93" t="str">
        <f t="shared" si="163"/>
        <v>CP150</v>
      </c>
      <c r="G1218" s="99" t="str">
        <f t="shared" si="166"/>
        <v>CP150-RETURN - 7th don of the month -BONUS</v>
      </c>
      <c r="H1218" s="182"/>
      <c r="I1218" s="38" t="s">
        <v>49</v>
      </c>
      <c r="J1218" s="58">
        <v>0</v>
      </c>
      <c r="K1218" s="58">
        <v>0</v>
      </c>
      <c r="L1218" s="58">
        <v>0</v>
      </c>
      <c r="M1218" s="58">
        <v>0</v>
      </c>
      <c r="N1218" s="58">
        <v>0</v>
      </c>
      <c r="O1218" s="58">
        <v>0</v>
      </c>
      <c r="P1218" s="58">
        <v>0</v>
      </c>
      <c r="Q1218" s="58">
        <v>0</v>
      </c>
      <c r="R1218" s="22"/>
      <c r="S1218" s="117" t="str">
        <f t="shared" si="160"/>
        <v>N</v>
      </c>
      <c r="T1218" s="114">
        <f>IFERROR(SUMIF('Current NLData'!A:A,'Payment Changes'!G1218,'Current NLData'!K:K)/COUNTIF('Current NLData'!A:A,'Payment Changes'!G1218),0)+IFERROR(VLOOKUP(G1218&amp;"-ALL",NLPaymentExport,10,FALSE),0)</f>
        <v>0</v>
      </c>
      <c r="U1218" s="118">
        <f t="shared" si="161"/>
        <v>0</v>
      </c>
    </row>
    <row r="1219" spans="1:54" ht="17.100000000000001" customHeight="1" outlineLevel="1" x14ac:dyDescent="0.25">
      <c r="A1219" s="3"/>
      <c r="C1219" s="4"/>
      <c r="D1219" s="181"/>
      <c r="E1219" s="91" t="str">
        <f t="shared" si="162"/>
        <v>Pensacola</v>
      </c>
      <c r="F1219" s="93" t="str">
        <f t="shared" si="163"/>
        <v>CP150</v>
      </c>
      <c r="G1219" s="99" t="str">
        <f t="shared" si="166"/>
        <v>CP150-RETURN - 8th don of the month -BONUS</v>
      </c>
      <c r="H1219" s="182"/>
      <c r="I1219" s="38" t="s">
        <v>50</v>
      </c>
      <c r="J1219" s="58">
        <v>0</v>
      </c>
      <c r="K1219" s="58">
        <v>0</v>
      </c>
      <c r="L1219" s="58">
        <v>0</v>
      </c>
      <c r="M1219" s="58">
        <v>0</v>
      </c>
      <c r="N1219" s="58">
        <v>0</v>
      </c>
      <c r="O1219" s="58">
        <v>0</v>
      </c>
      <c r="P1219" s="58">
        <v>0</v>
      </c>
      <c r="Q1219" s="58">
        <v>0</v>
      </c>
      <c r="R1219" s="22"/>
      <c r="S1219" s="117" t="str">
        <f t="shared" ref="S1219:S1282" si="167">IF(P1219=Q1219,"N","Y")</f>
        <v>N</v>
      </c>
      <c r="T1219" s="114">
        <f>IFERROR(SUMIF('Current NLData'!A:A,'Payment Changes'!G1219,'Current NLData'!K:K)/COUNTIF('Current NLData'!A:A,'Payment Changes'!G1219),0)+IFERROR(VLOOKUP(G1219&amp;"-ALL",NLPaymentExport,10,FALSE),0)</f>
        <v>0</v>
      </c>
      <c r="U1219" s="118">
        <f t="shared" si="161"/>
        <v>0</v>
      </c>
    </row>
    <row r="1220" spans="1:54" ht="17.100000000000001" customHeight="1" outlineLevel="1" x14ac:dyDescent="0.25">
      <c r="A1220" s="3"/>
      <c r="C1220" s="4" t="str">
        <f>IF(J1220=0,"Warning","")</f>
        <v/>
      </c>
      <c r="D1220" s="181"/>
      <c r="E1220" s="91" t="str">
        <f t="shared" si="162"/>
        <v>Pensacola</v>
      </c>
      <c r="F1220" s="93" t="str">
        <f t="shared" si="163"/>
        <v>CP150</v>
      </c>
      <c r="G1220" s="99" t="str">
        <f t="shared" si="166"/>
        <v>CP150-RETURN - Buddy referral  -BONUS</v>
      </c>
      <c r="H1220" s="182"/>
      <c r="I1220" s="39" t="s">
        <v>51</v>
      </c>
      <c r="J1220" s="58">
        <v>50</v>
      </c>
      <c r="K1220" s="58">
        <v>50</v>
      </c>
      <c r="L1220" s="58">
        <v>0</v>
      </c>
      <c r="M1220" s="58">
        <v>0</v>
      </c>
      <c r="N1220" s="58">
        <v>0</v>
      </c>
      <c r="O1220" s="58">
        <v>50</v>
      </c>
      <c r="P1220" s="58">
        <v>50</v>
      </c>
      <c r="Q1220" s="58">
        <v>50</v>
      </c>
      <c r="R1220" s="22"/>
      <c r="S1220" s="117" t="str">
        <f t="shared" si="167"/>
        <v>N</v>
      </c>
      <c r="T1220" s="114">
        <f>IFERROR(SUMIF('Current NLData'!A:A,'Payment Changes'!G1220,'Current NLData'!K:K)/COUNTIF('Current NLData'!A:A,'Payment Changes'!G1220),0)+IFERROR(VLOOKUP(G1220&amp;"-ALL",NLPaymentExport,10,FALSE),0)</f>
        <v>50</v>
      </c>
      <c r="U1220" s="118">
        <f t="shared" si="161"/>
        <v>0</v>
      </c>
    </row>
    <row r="1221" spans="1:54" s="90" customFormat="1" ht="17.100000000000001" hidden="1" customHeight="1" x14ac:dyDescent="0.35">
      <c r="A1221" s="85"/>
      <c r="B1221" s="85"/>
      <c r="C1221" s="86"/>
      <c r="D1221" s="87"/>
      <c r="E1221" s="87"/>
      <c r="F1221" s="87"/>
      <c r="G1221" s="87"/>
      <c r="H1221" s="96"/>
      <c r="I1221" s="88"/>
      <c r="J1221" s="89"/>
      <c r="K1221" s="89"/>
      <c r="L1221" s="89"/>
      <c r="M1221" s="89"/>
      <c r="N1221" s="89"/>
      <c r="O1221" s="89"/>
      <c r="P1221" s="89"/>
      <c r="Q1221" s="89"/>
      <c r="R1221" s="21"/>
      <c r="S1221" s="117" t="str">
        <f t="shared" si="167"/>
        <v>N</v>
      </c>
      <c r="T1221" s="114">
        <f>IFERROR(SUMIF('Current NLData'!A:A,'Payment Changes'!G1221,'Current NLData'!K:K)/COUNTIF('Current NLData'!A:A,'Payment Changes'!G1221),0)+IFERROR(VLOOKUP(G1221&amp;"-ALL",NLPaymentExport,10,FALSE),0)</f>
        <v>0</v>
      </c>
      <c r="U1221" s="118" t="str">
        <f t="shared" si="161"/>
        <v/>
      </c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</row>
    <row r="1222" spans="1:54" s="10" customFormat="1" ht="17.100000000000001" hidden="1" customHeight="1" x14ac:dyDescent="0.25">
      <c r="A1222" s="165">
        <v>62</v>
      </c>
      <c r="B1222" s="168" t="s">
        <v>395</v>
      </c>
      <c r="C1222" s="171" t="s">
        <v>19</v>
      </c>
      <c r="D1222" s="174" t="s">
        <v>157</v>
      </c>
      <c r="E1222" s="106" t="str">
        <f t="shared" si="162"/>
        <v>Burlington</v>
      </c>
      <c r="F1222" s="107" t="s">
        <v>396</v>
      </c>
      <c r="G1222" s="108" t="str">
        <f t="shared" ref="G1222:G1240" si="168">F1222&amp;"-"&amp;I1222</f>
        <v>CP149-New Donor</v>
      </c>
      <c r="H1222" s="177" t="s">
        <v>75</v>
      </c>
      <c r="I1222" s="76" t="s">
        <v>23</v>
      </c>
      <c r="J1222" s="40" t="s">
        <v>211</v>
      </c>
      <c r="K1222" s="41" t="s">
        <v>397</v>
      </c>
      <c r="L1222" s="41" t="s">
        <v>232</v>
      </c>
      <c r="M1222" s="41" t="s">
        <v>209</v>
      </c>
      <c r="N1222" s="40" t="s">
        <v>209</v>
      </c>
      <c r="O1222" s="40" t="s">
        <v>209</v>
      </c>
      <c r="P1222" s="40" t="s">
        <v>209</v>
      </c>
      <c r="Q1222" s="40" t="s">
        <v>209</v>
      </c>
      <c r="R1222" s="109"/>
      <c r="S1222" s="117" t="str">
        <f t="shared" si="167"/>
        <v>N</v>
      </c>
      <c r="T1222" s="114">
        <f>IFERROR(SUMIF('Current NLData'!A:A,'Payment Changes'!G1222,'Current NLData'!K:K)/COUNTIF('Current NLData'!A:A,'Payment Changes'!G1222),0)+IFERROR(VLOOKUP(G1222&amp;"-ALL",NLPaymentExport,10,FALSE),0)</f>
        <v>0</v>
      </c>
      <c r="U1222" s="118" t="str">
        <f t="shared" si="161"/>
        <v/>
      </c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</row>
    <row r="1223" spans="1:54" ht="17.100000000000001" hidden="1" customHeight="1" x14ac:dyDescent="0.25">
      <c r="A1223" s="166"/>
      <c r="B1223" s="169"/>
      <c r="C1223" s="172"/>
      <c r="D1223" s="175"/>
      <c r="E1223" s="91" t="str">
        <f t="shared" si="162"/>
        <v>Burlington</v>
      </c>
      <c r="F1223" s="92" t="s">
        <v>396</v>
      </c>
      <c r="G1223" s="98" t="str">
        <f t="shared" si="168"/>
        <v>CP149-Return Donor</v>
      </c>
      <c r="H1223" s="178"/>
      <c r="I1223" s="77" t="s">
        <v>29</v>
      </c>
      <c r="J1223" s="43" t="s">
        <v>398</v>
      </c>
      <c r="K1223" s="43" t="s">
        <v>398</v>
      </c>
      <c r="L1223" s="44" t="s">
        <v>398</v>
      </c>
      <c r="M1223" s="45" t="s">
        <v>398</v>
      </c>
      <c r="N1223" s="43" t="s">
        <v>398</v>
      </c>
      <c r="O1223" s="43" t="s">
        <v>398</v>
      </c>
      <c r="P1223" s="43" t="s">
        <v>398</v>
      </c>
      <c r="Q1223" s="43" t="s">
        <v>398</v>
      </c>
      <c r="R1223" s="21"/>
      <c r="S1223" s="117" t="str">
        <f t="shared" si="167"/>
        <v>N</v>
      </c>
      <c r="T1223" s="114">
        <f>IFERROR(SUMIF('Current NLData'!A:A,'Payment Changes'!G1223,'Current NLData'!K:K)/COUNTIF('Current NLData'!A:A,'Payment Changes'!G1223),0)+IFERROR(VLOOKUP(G1223&amp;"-ALL",NLPaymentExport,10,FALSE),0)</f>
        <v>0</v>
      </c>
      <c r="U1223" s="118" t="str">
        <f t="shared" ref="U1223:U1286" si="169">IF(OR(I1223 = "New Donor", I1223="Return Donor", I1223="Retention Bonus", I1223="Referral", I1223 = ""),"",T1223-Q1223 )</f>
        <v/>
      </c>
    </row>
    <row r="1224" spans="1:54" ht="17.100000000000001" hidden="1" customHeight="1" x14ac:dyDescent="0.25">
      <c r="A1224" s="166"/>
      <c r="B1224" s="169"/>
      <c r="C1224" s="172"/>
      <c r="D1224" s="175"/>
      <c r="E1224" s="91" t="str">
        <f t="shared" ref="E1224:E1287" si="170">IF(B1224 = "",E1223,B1224)</f>
        <v>Burlington</v>
      </c>
      <c r="F1224" s="92" t="s">
        <v>396</v>
      </c>
      <c r="G1224" s="98" t="str">
        <f t="shared" si="168"/>
        <v>CP149-Retention Bonus</v>
      </c>
      <c r="H1224" s="178"/>
      <c r="I1224" s="78" t="s">
        <v>30</v>
      </c>
      <c r="J1224" s="46" t="s">
        <v>31</v>
      </c>
      <c r="K1224" s="46" t="s">
        <v>31</v>
      </c>
      <c r="L1224" s="47" t="s">
        <v>101</v>
      </c>
      <c r="M1224" s="48" t="s">
        <v>101</v>
      </c>
      <c r="N1224" s="46" t="s">
        <v>101</v>
      </c>
      <c r="O1224" s="46" t="s">
        <v>101</v>
      </c>
      <c r="P1224" s="46" t="s">
        <v>101</v>
      </c>
      <c r="Q1224" s="46" t="s">
        <v>101</v>
      </c>
      <c r="R1224" s="21"/>
      <c r="S1224" s="117" t="str">
        <f t="shared" si="167"/>
        <v>N</v>
      </c>
      <c r="T1224" s="114">
        <f>IFERROR(SUMIF('Current NLData'!A:A,'Payment Changes'!G1224,'Current NLData'!K:K)/COUNTIF('Current NLData'!A:A,'Payment Changes'!G1224),0)+IFERROR(VLOOKUP(G1224&amp;"-ALL",NLPaymentExport,10,FALSE),0)</f>
        <v>0</v>
      </c>
      <c r="U1224" s="118" t="str">
        <f t="shared" si="169"/>
        <v/>
      </c>
    </row>
    <row r="1225" spans="1:54" s="15" customFormat="1" ht="17.100000000000001" hidden="1" customHeight="1" x14ac:dyDescent="0.25">
      <c r="A1225" s="167"/>
      <c r="B1225" s="170"/>
      <c r="C1225" s="173"/>
      <c r="D1225" s="176"/>
      <c r="E1225" s="110" t="str">
        <f t="shared" si="170"/>
        <v>Burlington</v>
      </c>
      <c r="F1225" s="111" t="s">
        <v>396</v>
      </c>
      <c r="G1225" s="112" t="str">
        <f t="shared" si="168"/>
        <v>CP149-Referral</v>
      </c>
      <c r="H1225" s="179"/>
      <c r="I1225" s="79" t="s">
        <v>34</v>
      </c>
      <c r="J1225" s="49" t="s">
        <v>399</v>
      </c>
      <c r="K1225" s="49" t="s">
        <v>399</v>
      </c>
      <c r="L1225" s="50" t="s">
        <v>32</v>
      </c>
      <c r="M1225" s="50" t="s">
        <v>35</v>
      </c>
      <c r="N1225" s="49" t="s">
        <v>35</v>
      </c>
      <c r="O1225" s="49" t="s">
        <v>35</v>
      </c>
      <c r="P1225" s="49" t="s">
        <v>35</v>
      </c>
      <c r="Q1225" s="49" t="s">
        <v>35</v>
      </c>
      <c r="R1225" s="113"/>
      <c r="S1225" s="117" t="str">
        <f t="shared" si="167"/>
        <v>N</v>
      </c>
      <c r="T1225" s="114">
        <f>IFERROR(SUMIF('Current NLData'!A:A,'Payment Changes'!G1225,'Current NLData'!K:K)/COUNTIF('Current NLData'!A:A,'Payment Changes'!G1225),0)+IFERROR(VLOOKUP(G1225&amp;"-ALL",NLPaymentExport,10,FALSE),0)</f>
        <v>0</v>
      </c>
      <c r="U1225" s="118" t="str">
        <f t="shared" si="169"/>
        <v/>
      </c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</row>
    <row r="1226" spans="1:54" ht="17.100000000000001" hidden="1" customHeight="1" outlineLevel="1" x14ac:dyDescent="0.25">
      <c r="A1226" s="3"/>
      <c r="C1226" s="4"/>
      <c r="D1226" s="180" t="s">
        <v>396</v>
      </c>
      <c r="E1226" s="91" t="str">
        <f t="shared" si="170"/>
        <v>Burlington</v>
      </c>
      <c r="F1226" s="93" t="str">
        <f t="shared" ref="F1226:F1287" si="171">IF(D1226 = "",F1225,D1226)</f>
        <v>CP149</v>
      </c>
      <c r="G1226" s="99" t="str">
        <f t="shared" si="168"/>
        <v>CP149-NEW DONOR -1st</v>
      </c>
      <c r="H1226" s="182" t="s">
        <v>36</v>
      </c>
      <c r="I1226" s="33" t="s">
        <v>37</v>
      </c>
      <c r="J1226" s="60">
        <v>100</v>
      </c>
      <c r="K1226" s="61">
        <v>100</v>
      </c>
      <c r="L1226" s="60">
        <v>100</v>
      </c>
      <c r="M1226" s="60">
        <v>100</v>
      </c>
      <c r="N1226" s="60">
        <v>100</v>
      </c>
      <c r="O1226" s="60">
        <v>100</v>
      </c>
      <c r="P1226" s="60">
        <v>100</v>
      </c>
      <c r="Q1226" s="60">
        <v>100</v>
      </c>
      <c r="R1226" s="23"/>
      <c r="S1226" s="117" t="str">
        <f t="shared" si="167"/>
        <v>N</v>
      </c>
      <c r="T1226" s="114">
        <f>IFERROR(SUMIF('Current NLData'!A:A,'Payment Changes'!G1226,'Current NLData'!K:K)/COUNTIF('Current NLData'!A:A,'Payment Changes'!G1226),0)+IFERROR(VLOOKUP(G1226&amp;"-ALL",NLPaymentExport,10,FALSE),0)</f>
        <v>100</v>
      </c>
      <c r="U1226" s="118">
        <f t="shared" si="169"/>
        <v>0</v>
      </c>
    </row>
    <row r="1227" spans="1:54" ht="17.100000000000001" hidden="1" customHeight="1" outlineLevel="1" x14ac:dyDescent="0.25">
      <c r="A1227" s="3"/>
      <c r="C1227" s="4"/>
      <c r="D1227" s="181"/>
      <c r="E1227" s="91" t="str">
        <f t="shared" si="170"/>
        <v>Burlington</v>
      </c>
      <c r="F1227" s="93" t="str">
        <f t="shared" si="171"/>
        <v>CP149</v>
      </c>
      <c r="G1227" s="99" t="str">
        <f t="shared" si="168"/>
        <v>CP149-NEW DONOR -2nd</v>
      </c>
      <c r="H1227" s="182"/>
      <c r="I1227" s="34" t="s">
        <v>38</v>
      </c>
      <c r="J1227" s="58">
        <v>100</v>
      </c>
      <c r="K1227" s="62">
        <v>100</v>
      </c>
      <c r="L1227" s="58">
        <v>100</v>
      </c>
      <c r="M1227" s="58">
        <v>100</v>
      </c>
      <c r="N1227" s="58">
        <v>100</v>
      </c>
      <c r="O1227" s="58">
        <v>100</v>
      </c>
      <c r="P1227" s="58">
        <v>100</v>
      </c>
      <c r="Q1227" s="58">
        <v>100</v>
      </c>
      <c r="R1227" s="23"/>
      <c r="S1227" s="117" t="str">
        <f t="shared" si="167"/>
        <v>N</v>
      </c>
      <c r="T1227" s="114">
        <f>IFERROR(SUMIF('Current NLData'!A:A,'Payment Changes'!G1227,'Current NLData'!K:K)/COUNTIF('Current NLData'!A:A,'Payment Changes'!G1227),0)+IFERROR(VLOOKUP(G1227&amp;"-ALL",NLPaymentExport,10,FALSE),0)</f>
        <v>100</v>
      </c>
      <c r="U1227" s="118">
        <f t="shared" si="169"/>
        <v>0</v>
      </c>
    </row>
    <row r="1228" spans="1:54" ht="17.100000000000001" hidden="1" customHeight="1" outlineLevel="1" x14ac:dyDescent="0.25">
      <c r="A1228" s="3"/>
      <c r="C1228" s="4"/>
      <c r="D1228" s="181"/>
      <c r="E1228" s="91" t="str">
        <f t="shared" si="170"/>
        <v>Burlington</v>
      </c>
      <c r="F1228" s="93" t="str">
        <f t="shared" si="171"/>
        <v>CP149</v>
      </c>
      <c r="G1228" s="99" t="str">
        <f t="shared" si="168"/>
        <v>CP149-NEW DONOR -3rd</v>
      </c>
      <c r="H1228" s="182"/>
      <c r="I1228" s="34" t="s">
        <v>39</v>
      </c>
      <c r="J1228" s="58">
        <v>100</v>
      </c>
      <c r="K1228" s="62">
        <v>100</v>
      </c>
      <c r="L1228" s="58">
        <v>100</v>
      </c>
      <c r="M1228" s="58">
        <v>100</v>
      </c>
      <c r="N1228" s="58">
        <v>100</v>
      </c>
      <c r="O1228" s="58">
        <v>100</v>
      </c>
      <c r="P1228" s="58">
        <v>100</v>
      </c>
      <c r="Q1228" s="58">
        <v>100</v>
      </c>
      <c r="R1228" s="23"/>
      <c r="S1228" s="117" t="str">
        <f t="shared" si="167"/>
        <v>N</v>
      </c>
      <c r="T1228" s="114">
        <f>IFERROR(SUMIF('Current NLData'!A:A,'Payment Changes'!G1228,'Current NLData'!K:K)/COUNTIF('Current NLData'!A:A,'Payment Changes'!G1228),0)+IFERROR(VLOOKUP(G1228&amp;"-ALL",NLPaymentExport,10,FALSE),0)</f>
        <v>100</v>
      </c>
      <c r="U1228" s="118">
        <f t="shared" si="169"/>
        <v>0</v>
      </c>
    </row>
    <row r="1229" spans="1:54" ht="17.100000000000001" hidden="1" customHeight="1" outlineLevel="1" x14ac:dyDescent="0.25">
      <c r="A1229" s="3"/>
      <c r="C1229" s="4"/>
      <c r="D1229" s="181"/>
      <c r="E1229" s="91" t="str">
        <f t="shared" si="170"/>
        <v>Burlington</v>
      </c>
      <c r="F1229" s="93" t="str">
        <f t="shared" si="171"/>
        <v>CP149</v>
      </c>
      <c r="G1229" s="99" t="str">
        <f t="shared" si="168"/>
        <v>CP149-NEW DONOR -4th</v>
      </c>
      <c r="H1229" s="182"/>
      <c r="I1229" s="34" t="s">
        <v>40</v>
      </c>
      <c r="J1229" s="58">
        <v>100</v>
      </c>
      <c r="K1229" s="62">
        <v>100</v>
      </c>
      <c r="L1229" s="58">
        <v>100</v>
      </c>
      <c r="M1229" s="58">
        <v>100</v>
      </c>
      <c r="N1229" s="58">
        <v>100</v>
      </c>
      <c r="O1229" s="58">
        <v>100</v>
      </c>
      <c r="P1229" s="58">
        <v>100</v>
      </c>
      <c r="Q1229" s="58">
        <v>100</v>
      </c>
      <c r="R1229" s="23"/>
      <c r="S1229" s="117" t="str">
        <f t="shared" si="167"/>
        <v>N</v>
      </c>
      <c r="T1229" s="114">
        <f>IFERROR(SUMIF('Current NLData'!A:A,'Payment Changes'!G1229,'Current NLData'!K:K)/COUNTIF('Current NLData'!A:A,'Payment Changes'!G1229),0)+IFERROR(VLOOKUP(G1229&amp;"-ALL",NLPaymentExport,10,FALSE),0)</f>
        <v>100</v>
      </c>
      <c r="U1229" s="118">
        <f t="shared" si="169"/>
        <v>0</v>
      </c>
    </row>
    <row r="1230" spans="1:54" ht="17.100000000000001" hidden="1" customHeight="1" outlineLevel="1" x14ac:dyDescent="0.25">
      <c r="A1230" s="3"/>
      <c r="C1230" s="4"/>
      <c r="D1230" s="181"/>
      <c r="E1230" s="91" t="str">
        <f t="shared" si="170"/>
        <v>Burlington</v>
      </c>
      <c r="F1230" s="93" t="str">
        <f t="shared" si="171"/>
        <v>CP149</v>
      </c>
      <c r="G1230" s="99" t="str">
        <f t="shared" si="168"/>
        <v>CP149-NEW DONOR -5th</v>
      </c>
      <c r="H1230" s="182"/>
      <c r="I1230" s="34" t="s">
        <v>41</v>
      </c>
      <c r="J1230" s="58">
        <v>50</v>
      </c>
      <c r="K1230" s="62">
        <v>50</v>
      </c>
      <c r="L1230" s="58">
        <v>50</v>
      </c>
      <c r="M1230" s="58">
        <v>100</v>
      </c>
      <c r="N1230" s="58">
        <v>100</v>
      </c>
      <c r="O1230" s="58">
        <v>100</v>
      </c>
      <c r="P1230" s="58">
        <v>100</v>
      </c>
      <c r="Q1230" s="58">
        <v>100</v>
      </c>
      <c r="R1230" s="23"/>
      <c r="S1230" s="117" t="str">
        <f t="shared" si="167"/>
        <v>N</v>
      </c>
      <c r="T1230" s="114">
        <f>IFERROR(SUMIF('Current NLData'!A:A,'Payment Changes'!G1230,'Current NLData'!K:K)/COUNTIF('Current NLData'!A:A,'Payment Changes'!G1230),0)+IFERROR(VLOOKUP(G1230&amp;"-ALL",NLPaymentExport,10,FALSE),0)</f>
        <v>100</v>
      </c>
      <c r="U1230" s="118">
        <f t="shared" si="169"/>
        <v>0</v>
      </c>
    </row>
    <row r="1231" spans="1:54" ht="17.100000000000001" hidden="1" customHeight="1" outlineLevel="1" x14ac:dyDescent="0.25">
      <c r="A1231" s="3"/>
      <c r="C1231" s="4"/>
      <c r="D1231" s="181"/>
      <c r="E1231" s="91" t="str">
        <f t="shared" si="170"/>
        <v>Burlington</v>
      </c>
      <c r="F1231" s="93" t="str">
        <f t="shared" si="171"/>
        <v>CP149</v>
      </c>
      <c r="G1231" s="99" t="str">
        <f t="shared" si="168"/>
        <v>CP149-NEW DONOR -6th</v>
      </c>
      <c r="H1231" s="182"/>
      <c r="I1231" s="34" t="s">
        <v>42</v>
      </c>
      <c r="J1231" s="58">
        <v>50</v>
      </c>
      <c r="K1231" s="62">
        <v>100</v>
      </c>
      <c r="L1231" s="58">
        <v>50</v>
      </c>
      <c r="M1231" s="58">
        <v>50</v>
      </c>
      <c r="N1231" s="58">
        <v>50</v>
      </c>
      <c r="O1231" s="58">
        <v>50</v>
      </c>
      <c r="P1231" s="58">
        <v>50</v>
      </c>
      <c r="Q1231" s="58">
        <v>50</v>
      </c>
      <c r="R1231" s="23"/>
      <c r="S1231" s="117" t="str">
        <f t="shared" si="167"/>
        <v>N</v>
      </c>
      <c r="T1231" s="114">
        <f>IFERROR(SUMIF('Current NLData'!A:A,'Payment Changes'!G1231,'Current NLData'!K:K)/COUNTIF('Current NLData'!A:A,'Payment Changes'!G1231),0)+IFERROR(VLOOKUP(G1231&amp;"-ALL",NLPaymentExport,10,FALSE),0)</f>
        <v>50</v>
      </c>
      <c r="U1231" s="118">
        <f t="shared" si="169"/>
        <v>0</v>
      </c>
    </row>
    <row r="1232" spans="1:54" ht="17.100000000000001" hidden="1" customHeight="1" outlineLevel="1" x14ac:dyDescent="0.25">
      <c r="A1232" s="3"/>
      <c r="C1232" s="4"/>
      <c r="D1232" s="181"/>
      <c r="E1232" s="91" t="str">
        <f t="shared" si="170"/>
        <v>Burlington</v>
      </c>
      <c r="F1232" s="93" t="str">
        <f t="shared" si="171"/>
        <v>CP149</v>
      </c>
      <c r="G1232" s="99" t="str">
        <f t="shared" si="168"/>
        <v>CP149-NEW DONOR -7th</v>
      </c>
      <c r="H1232" s="182"/>
      <c r="I1232" s="34" t="s">
        <v>43</v>
      </c>
      <c r="J1232" s="58">
        <v>50</v>
      </c>
      <c r="K1232" s="62">
        <v>50</v>
      </c>
      <c r="L1232" s="58">
        <v>50</v>
      </c>
      <c r="M1232" s="58">
        <v>50</v>
      </c>
      <c r="N1232" s="58">
        <v>50</v>
      </c>
      <c r="O1232" s="58">
        <v>50</v>
      </c>
      <c r="P1232" s="58">
        <v>50</v>
      </c>
      <c r="Q1232" s="58">
        <v>50</v>
      </c>
      <c r="R1232" s="23"/>
      <c r="S1232" s="117" t="str">
        <f t="shared" si="167"/>
        <v>N</v>
      </c>
      <c r="T1232" s="114">
        <f>IFERROR(SUMIF('Current NLData'!A:A,'Payment Changes'!G1232,'Current NLData'!K:K)/COUNTIF('Current NLData'!A:A,'Payment Changes'!G1232),0)+IFERROR(VLOOKUP(G1232&amp;"-ALL",NLPaymentExport,10,FALSE),0)</f>
        <v>50</v>
      </c>
      <c r="U1232" s="118">
        <f t="shared" si="169"/>
        <v>0</v>
      </c>
    </row>
    <row r="1233" spans="1:54" ht="17.100000000000001" hidden="1" customHeight="1" outlineLevel="1" x14ac:dyDescent="0.25">
      <c r="A1233" s="3"/>
      <c r="C1233" s="4"/>
      <c r="D1233" s="181"/>
      <c r="E1233" s="91" t="str">
        <f t="shared" si="170"/>
        <v>Burlington</v>
      </c>
      <c r="F1233" s="93" t="str">
        <f t="shared" si="171"/>
        <v>CP149</v>
      </c>
      <c r="G1233" s="99" t="str">
        <f t="shared" si="168"/>
        <v>CP149-NEW DONOR -8th</v>
      </c>
      <c r="H1233" s="182"/>
      <c r="I1233" s="35" t="s">
        <v>44</v>
      </c>
      <c r="J1233" s="63">
        <v>50</v>
      </c>
      <c r="K1233" s="64">
        <v>100</v>
      </c>
      <c r="L1233" s="63">
        <v>50</v>
      </c>
      <c r="M1233" s="63">
        <v>50</v>
      </c>
      <c r="N1233" s="63">
        <v>50</v>
      </c>
      <c r="O1233" s="63">
        <v>50</v>
      </c>
      <c r="P1233" s="63">
        <v>50</v>
      </c>
      <c r="Q1233" s="63">
        <v>50</v>
      </c>
      <c r="R1233" s="23"/>
      <c r="S1233" s="117" t="str">
        <f t="shared" si="167"/>
        <v>N</v>
      </c>
      <c r="T1233" s="114">
        <f>IFERROR(SUMIF('Current NLData'!A:A,'Payment Changes'!G1233,'Current NLData'!K:K)/COUNTIF('Current NLData'!A:A,'Payment Changes'!G1233),0)+IFERROR(VLOOKUP(G1233&amp;"-ALL",NLPaymentExport,10,FALSE),0)</f>
        <v>50</v>
      </c>
      <c r="U1233" s="118">
        <f t="shared" si="169"/>
        <v>0</v>
      </c>
    </row>
    <row r="1234" spans="1:54" ht="17.100000000000001" hidden="1" customHeight="1" outlineLevel="1" x14ac:dyDescent="0.25">
      <c r="A1234" s="3"/>
      <c r="C1234" s="4"/>
      <c r="D1234" s="181"/>
      <c r="E1234" s="91" t="str">
        <f t="shared" si="170"/>
        <v>Burlington</v>
      </c>
      <c r="F1234" s="93" t="str">
        <f t="shared" si="171"/>
        <v>CP149</v>
      </c>
      <c r="G1234" s="99" t="str">
        <f t="shared" si="168"/>
        <v>CP149-RETURN - 1st don of the week -STD</v>
      </c>
      <c r="H1234" s="182"/>
      <c r="I1234" s="36" t="s">
        <v>45</v>
      </c>
      <c r="J1234" s="58">
        <v>50</v>
      </c>
      <c r="K1234" s="58">
        <v>50</v>
      </c>
      <c r="L1234" s="58">
        <v>50</v>
      </c>
      <c r="M1234" s="58">
        <v>50</v>
      </c>
      <c r="N1234" s="58">
        <v>50</v>
      </c>
      <c r="O1234" s="58">
        <v>50</v>
      </c>
      <c r="P1234" s="58">
        <v>50</v>
      </c>
      <c r="Q1234" s="58">
        <v>50</v>
      </c>
      <c r="R1234" s="22"/>
      <c r="S1234" s="117" t="str">
        <f t="shared" si="167"/>
        <v>N</v>
      </c>
      <c r="T1234" s="114">
        <f>IFERROR(SUMIF('Current NLData'!A:A,'Payment Changes'!G1234,'Current NLData'!K:K)/COUNTIF('Current NLData'!A:A,'Payment Changes'!G1234),0)+IFERROR(VLOOKUP(G1234&amp;"-ALL",NLPaymentExport,10,FALSE),0)</f>
        <v>50</v>
      </c>
      <c r="U1234" s="118">
        <f t="shared" si="169"/>
        <v>0</v>
      </c>
    </row>
    <row r="1235" spans="1:54" ht="17.100000000000001" hidden="1" customHeight="1" outlineLevel="1" x14ac:dyDescent="0.25">
      <c r="A1235" s="3"/>
      <c r="C1235" s="4"/>
      <c r="D1235" s="181"/>
      <c r="E1235" s="91" t="str">
        <f t="shared" si="170"/>
        <v>Burlington</v>
      </c>
      <c r="F1235" s="93" t="str">
        <f t="shared" si="171"/>
        <v>CP149</v>
      </c>
      <c r="G1235" s="99" t="str">
        <f t="shared" si="168"/>
        <v>CP149-RETURN - 2nd don of the week -BONUS</v>
      </c>
      <c r="H1235" s="182"/>
      <c r="I1235" s="36" t="s">
        <v>46</v>
      </c>
      <c r="J1235" s="58">
        <v>50</v>
      </c>
      <c r="K1235" s="58">
        <v>50</v>
      </c>
      <c r="L1235" s="58">
        <v>50</v>
      </c>
      <c r="M1235" s="58">
        <v>50</v>
      </c>
      <c r="N1235" s="58">
        <v>50</v>
      </c>
      <c r="O1235" s="58">
        <v>50</v>
      </c>
      <c r="P1235" s="58">
        <v>50</v>
      </c>
      <c r="Q1235" s="58">
        <v>50</v>
      </c>
      <c r="R1235" s="22"/>
      <c r="S1235" s="117" t="str">
        <f t="shared" si="167"/>
        <v>N</v>
      </c>
      <c r="T1235" s="114">
        <f>IFERROR(SUMIF('Current NLData'!A:A,'Payment Changes'!G1235,'Current NLData'!K:K)/COUNTIF('Current NLData'!A:A,'Payment Changes'!G1235),0)+IFERROR(VLOOKUP(G1235&amp;"-ALL",NLPaymentExport,10,FALSE),0)</f>
        <v>50</v>
      </c>
      <c r="U1235" s="118">
        <f t="shared" si="169"/>
        <v>0</v>
      </c>
    </row>
    <row r="1236" spans="1:54" ht="17.100000000000001" hidden="1" customHeight="1" outlineLevel="1" x14ac:dyDescent="0.25">
      <c r="A1236" s="3"/>
      <c r="C1236" s="4"/>
      <c r="D1236" s="181"/>
      <c r="E1236" s="91" t="str">
        <f t="shared" si="170"/>
        <v>Burlington</v>
      </c>
      <c r="F1236" s="93" t="str">
        <f t="shared" si="171"/>
        <v>CP149</v>
      </c>
      <c r="G1236" s="99" t="str">
        <f t="shared" si="168"/>
        <v>CP149-RETURN - 5th don of the month -BONUS</v>
      </c>
      <c r="H1236" s="182"/>
      <c r="I1236" s="37" t="s">
        <v>47</v>
      </c>
      <c r="J1236" s="65">
        <v>0</v>
      </c>
      <c r="K1236" s="65">
        <v>0</v>
      </c>
      <c r="L1236" s="65">
        <v>0</v>
      </c>
      <c r="M1236" s="65">
        <v>0</v>
      </c>
      <c r="N1236" s="65">
        <v>0</v>
      </c>
      <c r="O1236" s="65">
        <v>0</v>
      </c>
      <c r="P1236" s="65">
        <v>0</v>
      </c>
      <c r="Q1236" s="65">
        <v>0</v>
      </c>
      <c r="R1236" s="22"/>
      <c r="S1236" s="117" t="str">
        <f t="shared" si="167"/>
        <v>N</v>
      </c>
      <c r="T1236" s="114">
        <f>IFERROR(SUMIF('Current NLData'!A:A,'Payment Changes'!G1236,'Current NLData'!K:K)/COUNTIF('Current NLData'!A:A,'Payment Changes'!G1236),0)+IFERROR(VLOOKUP(G1236&amp;"-ALL",NLPaymentExport,10,FALSE),0)</f>
        <v>0</v>
      </c>
      <c r="U1236" s="118">
        <f t="shared" si="169"/>
        <v>0</v>
      </c>
    </row>
    <row r="1237" spans="1:54" ht="17.100000000000001" hidden="1" customHeight="1" outlineLevel="1" x14ac:dyDescent="0.25">
      <c r="A1237" s="3"/>
      <c r="C1237" s="4"/>
      <c r="D1237" s="181"/>
      <c r="E1237" s="91" t="str">
        <f t="shared" si="170"/>
        <v>Burlington</v>
      </c>
      <c r="F1237" s="93" t="str">
        <f t="shared" si="171"/>
        <v>CP149</v>
      </c>
      <c r="G1237" s="99" t="str">
        <f t="shared" si="168"/>
        <v>CP149-RETURN - 6th don of the month -BONUS</v>
      </c>
      <c r="H1237" s="182"/>
      <c r="I1237" s="38" t="s">
        <v>48</v>
      </c>
      <c r="J1237" s="58">
        <v>0</v>
      </c>
      <c r="K1237" s="58">
        <v>0</v>
      </c>
      <c r="L1237" s="58">
        <v>30</v>
      </c>
      <c r="M1237" s="58">
        <v>30</v>
      </c>
      <c r="N1237" s="58">
        <v>30</v>
      </c>
      <c r="O1237" s="58">
        <v>30</v>
      </c>
      <c r="P1237" s="58">
        <v>30</v>
      </c>
      <c r="Q1237" s="58">
        <v>30</v>
      </c>
      <c r="R1237" s="22"/>
      <c r="S1237" s="117" t="str">
        <f t="shared" si="167"/>
        <v>N</v>
      </c>
      <c r="T1237" s="114">
        <f>IFERROR(SUMIF('Current NLData'!A:A,'Payment Changes'!G1237,'Current NLData'!K:K)/COUNTIF('Current NLData'!A:A,'Payment Changes'!G1237),0)+IFERROR(VLOOKUP(G1237&amp;"-ALL",NLPaymentExport,10,FALSE),0)</f>
        <v>30</v>
      </c>
      <c r="U1237" s="118">
        <f t="shared" si="169"/>
        <v>0</v>
      </c>
    </row>
    <row r="1238" spans="1:54" ht="17.100000000000001" hidden="1" customHeight="1" outlineLevel="1" x14ac:dyDescent="0.25">
      <c r="A1238" s="3"/>
      <c r="C1238" s="4"/>
      <c r="D1238" s="181"/>
      <c r="E1238" s="91" t="str">
        <f t="shared" si="170"/>
        <v>Burlington</v>
      </c>
      <c r="F1238" s="93" t="str">
        <f t="shared" si="171"/>
        <v>CP149</v>
      </c>
      <c r="G1238" s="99" t="str">
        <f t="shared" si="168"/>
        <v>CP149-RETURN - 7th don of the month -BONUS</v>
      </c>
      <c r="H1238" s="182"/>
      <c r="I1238" s="38" t="s">
        <v>49</v>
      </c>
      <c r="J1238" s="58">
        <v>0</v>
      </c>
      <c r="K1238" s="58">
        <v>0</v>
      </c>
      <c r="L1238" s="58">
        <v>0</v>
      </c>
      <c r="M1238" s="58">
        <v>0</v>
      </c>
      <c r="N1238" s="58">
        <v>0</v>
      </c>
      <c r="O1238" s="58">
        <v>0</v>
      </c>
      <c r="P1238" s="58">
        <v>0</v>
      </c>
      <c r="Q1238" s="58">
        <v>0</v>
      </c>
      <c r="R1238" s="22"/>
      <c r="S1238" s="117" t="str">
        <f t="shared" si="167"/>
        <v>N</v>
      </c>
      <c r="T1238" s="114">
        <f>IFERROR(SUMIF('Current NLData'!A:A,'Payment Changes'!G1238,'Current NLData'!K:K)/COUNTIF('Current NLData'!A:A,'Payment Changes'!G1238),0)+IFERROR(VLOOKUP(G1238&amp;"-ALL",NLPaymentExport,10,FALSE),0)</f>
        <v>0</v>
      </c>
      <c r="U1238" s="118">
        <f t="shared" si="169"/>
        <v>0</v>
      </c>
    </row>
    <row r="1239" spans="1:54" ht="17.100000000000001" hidden="1" customHeight="1" outlineLevel="1" x14ac:dyDescent="0.25">
      <c r="A1239" s="3"/>
      <c r="C1239" s="4"/>
      <c r="D1239" s="181"/>
      <c r="E1239" s="91" t="str">
        <f t="shared" si="170"/>
        <v>Burlington</v>
      </c>
      <c r="F1239" s="93" t="str">
        <f t="shared" si="171"/>
        <v>CP149</v>
      </c>
      <c r="G1239" s="99" t="str">
        <f t="shared" si="168"/>
        <v>CP149-RETURN - 8th don of the month -BONUS</v>
      </c>
      <c r="H1239" s="182"/>
      <c r="I1239" s="38" t="s">
        <v>50</v>
      </c>
      <c r="J1239" s="58">
        <v>25</v>
      </c>
      <c r="K1239" s="58">
        <v>25</v>
      </c>
      <c r="L1239" s="58">
        <v>0</v>
      </c>
      <c r="M1239" s="58">
        <v>0</v>
      </c>
      <c r="N1239" s="58">
        <v>0</v>
      </c>
      <c r="O1239" s="58">
        <v>0</v>
      </c>
      <c r="P1239" s="58">
        <v>0</v>
      </c>
      <c r="Q1239" s="58">
        <v>0</v>
      </c>
      <c r="R1239" s="22"/>
      <c r="S1239" s="117" t="str">
        <f t="shared" si="167"/>
        <v>N</v>
      </c>
      <c r="T1239" s="114">
        <f>IFERROR(SUMIF('Current NLData'!A:A,'Payment Changes'!G1239,'Current NLData'!K:K)/COUNTIF('Current NLData'!A:A,'Payment Changes'!G1239),0)+IFERROR(VLOOKUP(G1239&amp;"-ALL",NLPaymentExport,10,FALSE),0)</f>
        <v>0</v>
      </c>
      <c r="U1239" s="118">
        <f t="shared" si="169"/>
        <v>0</v>
      </c>
    </row>
    <row r="1240" spans="1:54" ht="17.100000000000001" hidden="1" customHeight="1" outlineLevel="1" x14ac:dyDescent="0.25">
      <c r="A1240" s="3"/>
      <c r="C1240" s="4"/>
      <c r="D1240" s="181"/>
      <c r="E1240" s="91" t="str">
        <f t="shared" si="170"/>
        <v>Burlington</v>
      </c>
      <c r="F1240" s="93" t="str">
        <f t="shared" si="171"/>
        <v>CP149</v>
      </c>
      <c r="G1240" s="99" t="str">
        <f t="shared" si="168"/>
        <v>CP149-RETURN - Buddy referral  -BONUS</v>
      </c>
      <c r="H1240" s="182"/>
      <c r="I1240" s="39" t="s">
        <v>51</v>
      </c>
      <c r="J1240" s="58">
        <v>0</v>
      </c>
      <c r="K1240" s="58">
        <v>0</v>
      </c>
      <c r="L1240" s="58">
        <v>0</v>
      </c>
      <c r="M1240" s="58">
        <v>50</v>
      </c>
      <c r="N1240" s="58">
        <v>50</v>
      </c>
      <c r="O1240" s="58">
        <v>50</v>
      </c>
      <c r="P1240" s="58">
        <v>50</v>
      </c>
      <c r="Q1240" s="58">
        <v>50</v>
      </c>
      <c r="R1240" s="22"/>
      <c r="S1240" s="117" t="str">
        <f t="shared" si="167"/>
        <v>N</v>
      </c>
      <c r="T1240" s="114">
        <f>IFERROR(SUMIF('Current NLData'!A:A,'Payment Changes'!G1240,'Current NLData'!K:K)/COUNTIF('Current NLData'!A:A,'Payment Changes'!G1240),0)+IFERROR(VLOOKUP(G1240&amp;"-ALL",NLPaymentExport,10,FALSE),0)</f>
        <v>50</v>
      </c>
      <c r="U1240" s="118">
        <f t="shared" si="169"/>
        <v>0</v>
      </c>
    </row>
    <row r="1241" spans="1:54" s="90" customFormat="1" ht="17.100000000000001" hidden="1" customHeight="1" collapsed="1" x14ac:dyDescent="0.35">
      <c r="A1241" s="85"/>
      <c r="B1241" s="85"/>
      <c r="C1241" s="86"/>
      <c r="D1241" s="87"/>
      <c r="E1241" s="87"/>
      <c r="F1241" s="87"/>
      <c r="G1241" s="87"/>
      <c r="H1241" s="96"/>
      <c r="I1241" s="88"/>
      <c r="J1241" s="89"/>
      <c r="K1241" s="89"/>
      <c r="L1241" s="89"/>
      <c r="M1241" s="89"/>
      <c r="N1241" s="89"/>
      <c r="O1241" s="89"/>
      <c r="P1241" s="89"/>
      <c r="Q1241" s="89"/>
      <c r="R1241" s="21"/>
      <c r="S1241" s="117" t="str">
        <f t="shared" si="167"/>
        <v>N</v>
      </c>
      <c r="T1241" s="114">
        <f>IFERROR(SUMIF('Current NLData'!A:A,'Payment Changes'!G1241,'Current NLData'!K:K)/COUNTIF('Current NLData'!A:A,'Payment Changes'!G1241),0)+IFERROR(VLOOKUP(G1241&amp;"-ALL",NLPaymentExport,10,FALSE),0)</f>
        <v>0</v>
      </c>
      <c r="U1241" s="118" t="str">
        <f t="shared" si="169"/>
        <v/>
      </c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</row>
    <row r="1242" spans="1:54" s="10" customFormat="1" ht="17.100000000000001" hidden="1" customHeight="1" x14ac:dyDescent="0.25">
      <c r="A1242" s="165">
        <v>63</v>
      </c>
      <c r="B1242" s="168" t="s">
        <v>400</v>
      </c>
      <c r="C1242" s="171" t="s">
        <v>19</v>
      </c>
      <c r="D1242" s="174" t="s">
        <v>157</v>
      </c>
      <c r="E1242" s="106" t="str">
        <f t="shared" si="170"/>
        <v>Bradenton</v>
      </c>
      <c r="F1242" s="107" t="s">
        <v>401</v>
      </c>
      <c r="G1242" s="108" t="str">
        <f t="shared" ref="G1242:G1260" si="172">F1242&amp;"-"&amp;I1242</f>
        <v>CP154-New Donor</v>
      </c>
      <c r="H1242" s="177" t="s">
        <v>147</v>
      </c>
      <c r="I1242" s="76" t="s">
        <v>23</v>
      </c>
      <c r="J1242" s="40" t="s">
        <v>402</v>
      </c>
      <c r="K1242" s="41" t="s">
        <v>403</v>
      </c>
      <c r="L1242" s="41" t="s">
        <v>293</v>
      </c>
      <c r="M1242" s="41" t="s">
        <v>232</v>
      </c>
      <c r="N1242" s="40" t="s">
        <v>232</v>
      </c>
      <c r="O1242" s="40" t="s">
        <v>232</v>
      </c>
      <c r="P1242" s="40" t="s">
        <v>232</v>
      </c>
      <c r="Q1242" s="40" t="s">
        <v>232</v>
      </c>
      <c r="R1242" s="109"/>
      <c r="S1242" s="117" t="str">
        <f t="shared" si="167"/>
        <v>N</v>
      </c>
      <c r="T1242" s="114">
        <f>IFERROR(SUMIF('Current NLData'!A:A,'Payment Changes'!G1242,'Current NLData'!K:K)/COUNTIF('Current NLData'!A:A,'Payment Changes'!G1242),0)+IFERROR(VLOOKUP(G1242&amp;"-ALL",NLPaymentExport,10,FALSE),0)</f>
        <v>0</v>
      </c>
      <c r="U1242" s="118" t="str">
        <f t="shared" si="169"/>
        <v/>
      </c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</row>
    <row r="1243" spans="1:54" ht="17.100000000000001" hidden="1" customHeight="1" x14ac:dyDescent="0.25">
      <c r="A1243" s="166"/>
      <c r="B1243" s="169"/>
      <c r="C1243" s="172"/>
      <c r="D1243" s="175"/>
      <c r="E1243" s="91" t="str">
        <f t="shared" si="170"/>
        <v>Bradenton</v>
      </c>
      <c r="F1243" s="92" t="s">
        <v>401</v>
      </c>
      <c r="G1243" s="98" t="str">
        <f t="shared" si="172"/>
        <v>CP154-Return Donor</v>
      </c>
      <c r="H1243" s="178"/>
      <c r="I1243" s="77" t="s">
        <v>29</v>
      </c>
      <c r="J1243" s="43" t="s">
        <v>404</v>
      </c>
      <c r="K1243" s="43" t="s">
        <v>404</v>
      </c>
      <c r="L1243" s="44" t="s">
        <v>404</v>
      </c>
      <c r="M1243" s="45" t="s">
        <v>404</v>
      </c>
      <c r="N1243" s="43" t="s">
        <v>404</v>
      </c>
      <c r="O1243" s="43" t="s">
        <v>404</v>
      </c>
      <c r="P1243" s="43" t="s">
        <v>404</v>
      </c>
      <c r="Q1243" s="43" t="s">
        <v>404</v>
      </c>
      <c r="R1243" s="21"/>
      <c r="S1243" s="117" t="str">
        <f t="shared" si="167"/>
        <v>N</v>
      </c>
      <c r="T1243" s="114">
        <f>IFERROR(SUMIF('Current NLData'!A:A,'Payment Changes'!G1243,'Current NLData'!K:K)/COUNTIF('Current NLData'!A:A,'Payment Changes'!G1243),0)+IFERROR(VLOOKUP(G1243&amp;"-ALL",NLPaymentExport,10,FALSE),0)</f>
        <v>0</v>
      </c>
      <c r="U1243" s="118" t="str">
        <f t="shared" si="169"/>
        <v/>
      </c>
    </row>
    <row r="1244" spans="1:54" ht="17.100000000000001" hidden="1" customHeight="1" x14ac:dyDescent="0.25">
      <c r="A1244" s="166"/>
      <c r="B1244" s="169"/>
      <c r="C1244" s="172"/>
      <c r="D1244" s="175"/>
      <c r="E1244" s="91" t="str">
        <f t="shared" si="170"/>
        <v>Bradenton</v>
      </c>
      <c r="F1244" s="92" t="s">
        <v>401</v>
      </c>
      <c r="G1244" s="98" t="str">
        <f t="shared" si="172"/>
        <v>CP154-Retention Bonus</v>
      </c>
      <c r="H1244" s="178"/>
      <c r="I1244" s="78" t="s">
        <v>30</v>
      </c>
      <c r="J1244" s="46" t="s">
        <v>163</v>
      </c>
      <c r="K1244" s="46" t="s">
        <v>163</v>
      </c>
      <c r="L1244" s="47" t="s">
        <v>32</v>
      </c>
      <c r="M1244" s="47" t="s">
        <v>101</v>
      </c>
      <c r="N1244" s="46" t="s">
        <v>101</v>
      </c>
      <c r="O1244" s="46" t="s">
        <v>101</v>
      </c>
      <c r="P1244" s="46" t="s">
        <v>101</v>
      </c>
      <c r="Q1244" s="46" t="s">
        <v>101</v>
      </c>
      <c r="R1244" s="21"/>
      <c r="S1244" s="117" t="str">
        <f t="shared" si="167"/>
        <v>N</v>
      </c>
      <c r="T1244" s="114">
        <f>IFERROR(SUMIF('Current NLData'!A:A,'Payment Changes'!G1244,'Current NLData'!K:K)/COUNTIF('Current NLData'!A:A,'Payment Changes'!G1244),0)+IFERROR(VLOOKUP(G1244&amp;"-ALL",NLPaymentExport,10,FALSE),0)</f>
        <v>0</v>
      </c>
      <c r="U1244" s="118" t="str">
        <f t="shared" si="169"/>
        <v/>
      </c>
    </row>
    <row r="1245" spans="1:54" s="15" customFormat="1" ht="17.100000000000001" hidden="1" customHeight="1" x14ac:dyDescent="0.25">
      <c r="A1245" s="167"/>
      <c r="B1245" s="170"/>
      <c r="C1245" s="173"/>
      <c r="D1245" s="176"/>
      <c r="E1245" s="110" t="str">
        <f t="shared" si="170"/>
        <v>Bradenton</v>
      </c>
      <c r="F1245" s="111" t="s">
        <v>401</v>
      </c>
      <c r="G1245" s="112" t="str">
        <f t="shared" si="172"/>
        <v>CP154-Referral</v>
      </c>
      <c r="H1245" s="179"/>
      <c r="I1245" s="79" t="s">
        <v>34</v>
      </c>
      <c r="J1245" s="49">
        <v>50</v>
      </c>
      <c r="K1245" s="49">
        <v>0</v>
      </c>
      <c r="L1245" s="50" t="s">
        <v>32</v>
      </c>
      <c r="M1245" s="50" t="s">
        <v>35</v>
      </c>
      <c r="N1245" s="49" t="s">
        <v>35</v>
      </c>
      <c r="O1245" s="49" t="s">
        <v>35</v>
      </c>
      <c r="P1245" s="49" t="s">
        <v>35</v>
      </c>
      <c r="Q1245" s="49" t="s">
        <v>35</v>
      </c>
      <c r="R1245" s="113"/>
      <c r="S1245" s="117" t="str">
        <f t="shared" si="167"/>
        <v>N</v>
      </c>
      <c r="T1245" s="114">
        <f>IFERROR(SUMIF('Current NLData'!A:A,'Payment Changes'!G1245,'Current NLData'!K:K)/COUNTIF('Current NLData'!A:A,'Payment Changes'!G1245),0)+IFERROR(VLOOKUP(G1245&amp;"-ALL",NLPaymentExport,10,FALSE),0)</f>
        <v>0</v>
      </c>
      <c r="U1245" s="118" t="str">
        <f t="shared" si="169"/>
        <v/>
      </c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</row>
    <row r="1246" spans="1:54" ht="17.100000000000001" hidden="1" customHeight="1" outlineLevel="1" x14ac:dyDescent="0.25">
      <c r="A1246" s="3"/>
      <c r="C1246" s="4"/>
      <c r="D1246" s="180" t="s">
        <v>401</v>
      </c>
      <c r="E1246" s="91" t="str">
        <f t="shared" si="170"/>
        <v>Bradenton</v>
      </c>
      <c r="F1246" s="93" t="str">
        <f t="shared" si="171"/>
        <v>CP154</v>
      </c>
      <c r="G1246" s="99" t="str">
        <f t="shared" si="172"/>
        <v>CP154-NEW DONOR -1st</v>
      </c>
      <c r="H1246" s="182" t="s">
        <v>36</v>
      </c>
      <c r="I1246" s="33" t="s">
        <v>37</v>
      </c>
      <c r="J1246" s="60">
        <v>125</v>
      </c>
      <c r="K1246" s="61">
        <v>125</v>
      </c>
      <c r="L1246" s="60">
        <v>100</v>
      </c>
      <c r="M1246" s="60">
        <v>100</v>
      </c>
      <c r="N1246" s="60">
        <v>100</v>
      </c>
      <c r="O1246" s="60">
        <v>100</v>
      </c>
      <c r="P1246" s="60">
        <v>100</v>
      </c>
      <c r="Q1246" s="60">
        <v>100</v>
      </c>
      <c r="R1246" s="23"/>
      <c r="S1246" s="117" t="str">
        <f t="shared" si="167"/>
        <v>N</v>
      </c>
      <c r="T1246" s="114">
        <f>IFERROR(SUMIF('Current NLData'!A:A,'Payment Changes'!G1246,'Current NLData'!K:K)/COUNTIF('Current NLData'!A:A,'Payment Changes'!G1246),0)+IFERROR(VLOOKUP(G1246&amp;"-ALL",NLPaymentExport,10,FALSE),0)</f>
        <v>100</v>
      </c>
      <c r="U1246" s="118">
        <f t="shared" si="169"/>
        <v>0</v>
      </c>
    </row>
    <row r="1247" spans="1:54" ht="17.100000000000001" hidden="1" customHeight="1" outlineLevel="1" x14ac:dyDescent="0.25">
      <c r="A1247" s="3"/>
      <c r="C1247" s="4"/>
      <c r="D1247" s="181"/>
      <c r="E1247" s="91" t="str">
        <f t="shared" si="170"/>
        <v>Bradenton</v>
      </c>
      <c r="F1247" s="93" t="str">
        <f t="shared" si="171"/>
        <v>CP154</v>
      </c>
      <c r="G1247" s="99" t="str">
        <f t="shared" si="172"/>
        <v>CP154-NEW DONOR -2nd</v>
      </c>
      <c r="H1247" s="182"/>
      <c r="I1247" s="34" t="s">
        <v>38</v>
      </c>
      <c r="J1247" s="58">
        <v>125</v>
      </c>
      <c r="K1247" s="62">
        <v>125</v>
      </c>
      <c r="L1247" s="58">
        <v>100</v>
      </c>
      <c r="M1247" s="58">
        <v>100</v>
      </c>
      <c r="N1247" s="58">
        <v>100</v>
      </c>
      <c r="O1247" s="58">
        <v>100</v>
      </c>
      <c r="P1247" s="58">
        <v>100</v>
      </c>
      <c r="Q1247" s="58">
        <v>100</v>
      </c>
      <c r="R1247" s="23"/>
      <c r="S1247" s="117" t="str">
        <f t="shared" si="167"/>
        <v>N</v>
      </c>
      <c r="T1247" s="114">
        <f>IFERROR(SUMIF('Current NLData'!A:A,'Payment Changes'!G1247,'Current NLData'!K:K)/COUNTIF('Current NLData'!A:A,'Payment Changes'!G1247),0)+IFERROR(VLOOKUP(G1247&amp;"-ALL",NLPaymentExport,10,FALSE),0)</f>
        <v>100</v>
      </c>
      <c r="U1247" s="118">
        <f t="shared" si="169"/>
        <v>0</v>
      </c>
    </row>
    <row r="1248" spans="1:54" ht="17.100000000000001" hidden="1" customHeight="1" outlineLevel="1" x14ac:dyDescent="0.25">
      <c r="A1248" s="3"/>
      <c r="C1248" s="4"/>
      <c r="D1248" s="181"/>
      <c r="E1248" s="91" t="str">
        <f t="shared" si="170"/>
        <v>Bradenton</v>
      </c>
      <c r="F1248" s="93" t="str">
        <f t="shared" si="171"/>
        <v>CP154</v>
      </c>
      <c r="G1248" s="99" t="str">
        <f t="shared" si="172"/>
        <v>CP154-NEW DONOR -3rd</v>
      </c>
      <c r="H1248" s="182"/>
      <c r="I1248" s="34" t="s">
        <v>39</v>
      </c>
      <c r="J1248" s="58">
        <v>40</v>
      </c>
      <c r="K1248" s="62">
        <v>40</v>
      </c>
      <c r="L1248" s="58">
        <v>40</v>
      </c>
      <c r="M1248" s="58">
        <v>100</v>
      </c>
      <c r="N1248" s="58">
        <v>100</v>
      </c>
      <c r="O1248" s="58">
        <v>100</v>
      </c>
      <c r="P1248" s="58">
        <v>100</v>
      </c>
      <c r="Q1248" s="58">
        <v>100</v>
      </c>
      <c r="R1248" s="23"/>
      <c r="S1248" s="117" t="str">
        <f t="shared" si="167"/>
        <v>N</v>
      </c>
      <c r="T1248" s="114">
        <f>IFERROR(SUMIF('Current NLData'!A:A,'Payment Changes'!G1248,'Current NLData'!K:K)/COUNTIF('Current NLData'!A:A,'Payment Changes'!G1248),0)+IFERROR(VLOOKUP(G1248&amp;"-ALL",NLPaymentExport,10,FALSE),0)</f>
        <v>100</v>
      </c>
      <c r="U1248" s="118">
        <f t="shared" si="169"/>
        <v>0</v>
      </c>
    </row>
    <row r="1249" spans="1:54" ht="17.100000000000001" hidden="1" customHeight="1" outlineLevel="1" x14ac:dyDescent="0.25">
      <c r="A1249" s="3"/>
      <c r="C1249" s="4"/>
      <c r="D1249" s="181"/>
      <c r="E1249" s="91" t="str">
        <f t="shared" si="170"/>
        <v>Bradenton</v>
      </c>
      <c r="F1249" s="93" t="str">
        <f t="shared" si="171"/>
        <v>CP154</v>
      </c>
      <c r="G1249" s="99" t="str">
        <f t="shared" si="172"/>
        <v>CP154-NEW DONOR -4th</v>
      </c>
      <c r="H1249" s="182"/>
      <c r="I1249" s="34" t="s">
        <v>40</v>
      </c>
      <c r="J1249" s="58">
        <v>40</v>
      </c>
      <c r="K1249" s="62">
        <v>75</v>
      </c>
      <c r="L1249" s="58">
        <v>40</v>
      </c>
      <c r="M1249" s="58">
        <v>100</v>
      </c>
      <c r="N1249" s="58">
        <v>100</v>
      </c>
      <c r="O1249" s="58">
        <v>100</v>
      </c>
      <c r="P1249" s="58">
        <v>100</v>
      </c>
      <c r="Q1249" s="58">
        <v>100</v>
      </c>
      <c r="R1249" s="23"/>
      <c r="S1249" s="117" t="str">
        <f t="shared" si="167"/>
        <v>N</v>
      </c>
      <c r="T1249" s="114">
        <f>IFERROR(SUMIF('Current NLData'!A:A,'Payment Changes'!G1249,'Current NLData'!K:K)/COUNTIF('Current NLData'!A:A,'Payment Changes'!G1249),0)+IFERROR(VLOOKUP(G1249&amp;"-ALL",NLPaymentExport,10,FALSE),0)</f>
        <v>100</v>
      </c>
      <c r="U1249" s="118">
        <f t="shared" si="169"/>
        <v>0</v>
      </c>
    </row>
    <row r="1250" spans="1:54" ht="17.100000000000001" hidden="1" customHeight="1" outlineLevel="1" x14ac:dyDescent="0.25">
      <c r="A1250" s="3"/>
      <c r="C1250" s="4"/>
      <c r="D1250" s="181"/>
      <c r="E1250" s="91" t="str">
        <f t="shared" si="170"/>
        <v>Bradenton</v>
      </c>
      <c r="F1250" s="93" t="str">
        <f t="shared" si="171"/>
        <v>CP154</v>
      </c>
      <c r="G1250" s="99" t="str">
        <f t="shared" si="172"/>
        <v>CP154-NEW DONOR -5th</v>
      </c>
      <c r="H1250" s="182"/>
      <c r="I1250" s="34" t="s">
        <v>41</v>
      </c>
      <c r="J1250" s="58">
        <v>40</v>
      </c>
      <c r="K1250" s="62">
        <v>40</v>
      </c>
      <c r="L1250" s="58">
        <v>40</v>
      </c>
      <c r="M1250" s="58">
        <v>40</v>
      </c>
      <c r="N1250" s="58">
        <v>40</v>
      </c>
      <c r="O1250" s="58">
        <v>40</v>
      </c>
      <c r="P1250" s="58">
        <v>40</v>
      </c>
      <c r="Q1250" s="58">
        <v>40</v>
      </c>
      <c r="R1250" s="23"/>
      <c r="S1250" s="117" t="str">
        <f t="shared" si="167"/>
        <v>N</v>
      </c>
      <c r="T1250" s="114">
        <f>IFERROR(SUMIF('Current NLData'!A:A,'Payment Changes'!G1250,'Current NLData'!K:K)/COUNTIF('Current NLData'!A:A,'Payment Changes'!G1250),0)+IFERROR(VLOOKUP(G1250&amp;"-ALL",NLPaymentExport,10,FALSE),0)</f>
        <v>40</v>
      </c>
      <c r="U1250" s="118">
        <f t="shared" si="169"/>
        <v>0</v>
      </c>
    </row>
    <row r="1251" spans="1:54" ht="17.100000000000001" hidden="1" customHeight="1" outlineLevel="1" x14ac:dyDescent="0.25">
      <c r="A1251" s="3"/>
      <c r="C1251" s="4"/>
      <c r="D1251" s="181"/>
      <c r="E1251" s="91" t="str">
        <f t="shared" si="170"/>
        <v>Bradenton</v>
      </c>
      <c r="F1251" s="93" t="str">
        <f t="shared" si="171"/>
        <v>CP154</v>
      </c>
      <c r="G1251" s="99" t="str">
        <f t="shared" si="172"/>
        <v>CP154-NEW DONOR -6th</v>
      </c>
      <c r="H1251" s="182"/>
      <c r="I1251" s="34" t="s">
        <v>42</v>
      </c>
      <c r="J1251" s="58">
        <v>40</v>
      </c>
      <c r="K1251" s="62">
        <v>75</v>
      </c>
      <c r="L1251" s="58">
        <v>40</v>
      </c>
      <c r="M1251" s="58">
        <v>40</v>
      </c>
      <c r="N1251" s="58">
        <v>40</v>
      </c>
      <c r="O1251" s="58">
        <v>40</v>
      </c>
      <c r="P1251" s="58">
        <v>40</v>
      </c>
      <c r="Q1251" s="58">
        <v>40</v>
      </c>
      <c r="R1251" s="23"/>
      <c r="S1251" s="117" t="str">
        <f t="shared" si="167"/>
        <v>N</v>
      </c>
      <c r="T1251" s="114">
        <f>IFERROR(SUMIF('Current NLData'!A:A,'Payment Changes'!G1251,'Current NLData'!K:K)/COUNTIF('Current NLData'!A:A,'Payment Changes'!G1251),0)+IFERROR(VLOOKUP(G1251&amp;"-ALL",NLPaymentExport,10,FALSE),0)</f>
        <v>40</v>
      </c>
      <c r="U1251" s="118">
        <f t="shared" si="169"/>
        <v>0</v>
      </c>
    </row>
    <row r="1252" spans="1:54" ht="17.100000000000001" hidden="1" customHeight="1" outlineLevel="1" x14ac:dyDescent="0.25">
      <c r="A1252" s="3"/>
      <c r="C1252" s="4"/>
      <c r="D1252" s="181"/>
      <c r="E1252" s="91" t="str">
        <f t="shared" si="170"/>
        <v>Bradenton</v>
      </c>
      <c r="F1252" s="93" t="str">
        <f t="shared" si="171"/>
        <v>CP154</v>
      </c>
      <c r="G1252" s="99" t="str">
        <f t="shared" si="172"/>
        <v>CP154-NEW DONOR -7th</v>
      </c>
      <c r="H1252" s="182"/>
      <c r="I1252" s="34" t="s">
        <v>43</v>
      </c>
      <c r="J1252" s="58">
        <v>40</v>
      </c>
      <c r="K1252" s="62">
        <v>40</v>
      </c>
      <c r="L1252" s="58">
        <v>40</v>
      </c>
      <c r="M1252" s="58">
        <v>40</v>
      </c>
      <c r="N1252" s="58">
        <v>40</v>
      </c>
      <c r="O1252" s="58">
        <v>40</v>
      </c>
      <c r="P1252" s="58">
        <v>40</v>
      </c>
      <c r="Q1252" s="58">
        <v>40</v>
      </c>
      <c r="R1252" s="23"/>
      <c r="S1252" s="117" t="str">
        <f t="shared" si="167"/>
        <v>N</v>
      </c>
      <c r="T1252" s="114">
        <f>IFERROR(SUMIF('Current NLData'!A:A,'Payment Changes'!G1252,'Current NLData'!K:K)/COUNTIF('Current NLData'!A:A,'Payment Changes'!G1252),0)+IFERROR(VLOOKUP(G1252&amp;"-ALL",NLPaymentExport,10,FALSE),0)</f>
        <v>40</v>
      </c>
      <c r="U1252" s="118">
        <f t="shared" si="169"/>
        <v>0</v>
      </c>
    </row>
    <row r="1253" spans="1:54" ht="17.100000000000001" hidden="1" customHeight="1" outlineLevel="1" x14ac:dyDescent="0.25">
      <c r="A1253" s="3"/>
      <c r="C1253" s="4"/>
      <c r="D1253" s="181"/>
      <c r="E1253" s="91" t="str">
        <f t="shared" si="170"/>
        <v>Bradenton</v>
      </c>
      <c r="F1253" s="93" t="str">
        <f t="shared" si="171"/>
        <v>CP154</v>
      </c>
      <c r="G1253" s="99" t="str">
        <f t="shared" si="172"/>
        <v>CP154-NEW DONOR -8th</v>
      </c>
      <c r="H1253" s="182"/>
      <c r="I1253" s="35" t="s">
        <v>44</v>
      </c>
      <c r="J1253" s="63">
        <v>40</v>
      </c>
      <c r="K1253" s="64">
        <v>75</v>
      </c>
      <c r="L1253" s="63">
        <v>40</v>
      </c>
      <c r="M1253" s="63">
        <v>40</v>
      </c>
      <c r="N1253" s="63">
        <v>40</v>
      </c>
      <c r="O1253" s="63">
        <v>40</v>
      </c>
      <c r="P1253" s="63">
        <v>40</v>
      </c>
      <c r="Q1253" s="63">
        <v>40</v>
      </c>
      <c r="R1253" s="23"/>
      <c r="S1253" s="117" t="str">
        <f t="shared" si="167"/>
        <v>N</v>
      </c>
      <c r="T1253" s="114">
        <f>IFERROR(SUMIF('Current NLData'!A:A,'Payment Changes'!G1253,'Current NLData'!K:K)/COUNTIF('Current NLData'!A:A,'Payment Changes'!G1253),0)+IFERROR(VLOOKUP(G1253&amp;"-ALL",NLPaymentExport,10,FALSE),0)</f>
        <v>40</v>
      </c>
      <c r="U1253" s="118">
        <f t="shared" si="169"/>
        <v>0</v>
      </c>
    </row>
    <row r="1254" spans="1:54" ht="17.100000000000001" hidden="1" customHeight="1" outlineLevel="1" x14ac:dyDescent="0.25">
      <c r="A1254" s="3"/>
      <c r="C1254" s="4"/>
      <c r="D1254" s="181"/>
      <c r="E1254" s="91" t="str">
        <f t="shared" si="170"/>
        <v>Bradenton</v>
      </c>
      <c r="F1254" s="93" t="str">
        <f t="shared" si="171"/>
        <v>CP154</v>
      </c>
      <c r="G1254" s="99" t="str">
        <f t="shared" si="172"/>
        <v>CP154-RETURN - 1st don of the week -STD</v>
      </c>
      <c r="H1254" s="182"/>
      <c r="I1254" s="36" t="s">
        <v>45</v>
      </c>
      <c r="J1254" s="58">
        <v>40</v>
      </c>
      <c r="K1254" s="58">
        <v>40</v>
      </c>
      <c r="L1254" s="58">
        <v>40</v>
      </c>
      <c r="M1254" s="58">
        <v>40</v>
      </c>
      <c r="N1254" s="58">
        <v>40</v>
      </c>
      <c r="O1254" s="58">
        <v>40</v>
      </c>
      <c r="P1254" s="58">
        <v>40</v>
      </c>
      <c r="Q1254" s="58">
        <v>40</v>
      </c>
      <c r="R1254" s="22"/>
      <c r="S1254" s="117" t="str">
        <f t="shared" si="167"/>
        <v>N</v>
      </c>
      <c r="T1254" s="114">
        <f>IFERROR(SUMIF('Current NLData'!A:A,'Payment Changes'!G1254,'Current NLData'!K:K)/COUNTIF('Current NLData'!A:A,'Payment Changes'!G1254),0)+IFERROR(VLOOKUP(G1254&amp;"-ALL",NLPaymentExport,10,FALSE),0)</f>
        <v>40</v>
      </c>
      <c r="U1254" s="118">
        <f t="shared" si="169"/>
        <v>0</v>
      </c>
    </row>
    <row r="1255" spans="1:54" ht="17.100000000000001" hidden="1" customHeight="1" outlineLevel="1" x14ac:dyDescent="0.25">
      <c r="A1255" s="3"/>
      <c r="C1255" s="4"/>
      <c r="D1255" s="181"/>
      <c r="E1255" s="91" t="str">
        <f t="shared" si="170"/>
        <v>Bradenton</v>
      </c>
      <c r="F1255" s="93" t="str">
        <f t="shared" si="171"/>
        <v>CP154</v>
      </c>
      <c r="G1255" s="99" t="str">
        <f t="shared" si="172"/>
        <v>CP154-RETURN - 2nd don of the week -BONUS</v>
      </c>
      <c r="H1255" s="182"/>
      <c r="I1255" s="36" t="s">
        <v>46</v>
      </c>
      <c r="J1255" s="58">
        <v>35</v>
      </c>
      <c r="K1255" s="58">
        <v>35</v>
      </c>
      <c r="L1255" s="58">
        <v>35</v>
      </c>
      <c r="M1255" s="58">
        <v>35</v>
      </c>
      <c r="N1255" s="58">
        <v>35</v>
      </c>
      <c r="O1255" s="58">
        <v>35</v>
      </c>
      <c r="P1255" s="58">
        <v>35</v>
      </c>
      <c r="Q1255" s="58">
        <v>35</v>
      </c>
      <c r="R1255" s="22"/>
      <c r="S1255" s="117" t="str">
        <f t="shared" si="167"/>
        <v>N</v>
      </c>
      <c r="T1255" s="114">
        <f>IFERROR(SUMIF('Current NLData'!A:A,'Payment Changes'!G1255,'Current NLData'!K:K)/COUNTIF('Current NLData'!A:A,'Payment Changes'!G1255),0)+IFERROR(VLOOKUP(G1255&amp;"-ALL",NLPaymentExport,10,FALSE),0)</f>
        <v>35</v>
      </c>
      <c r="U1255" s="118">
        <f t="shared" si="169"/>
        <v>0</v>
      </c>
    </row>
    <row r="1256" spans="1:54" ht="17.100000000000001" hidden="1" customHeight="1" outlineLevel="1" x14ac:dyDescent="0.25">
      <c r="A1256" s="3"/>
      <c r="C1256" s="4"/>
      <c r="D1256" s="181"/>
      <c r="E1256" s="91" t="str">
        <f t="shared" si="170"/>
        <v>Bradenton</v>
      </c>
      <c r="F1256" s="93" t="str">
        <f t="shared" si="171"/>
        <v>CP154</v>
      </c>
      <c r="G1256" s="99" t="str">
        <f t="shared" si="172"/>
        <v>CP154-RETURN - 5th don of the month -BONUS</v>
      </c>
      <c r="H1256" s="182"/>
      <c r="I1256" s="37" t="s">
        <v>47</v>
      </c>
      <c r="J1256" s="65">
        <v>0</v>
      </c>
      <c r="K1256" s="65">
        <v>0</v>
      </c>
      <c r="L1256" s="65">
        <v>0</v>
      </c>
      <c r="M1256" s="65">
        <v>0</v>
      </c>
      <c r="N1256" s="65">
        <v>0</v>
      </c>
      <c r="O1256" s="65">
        <v>0</v>
      </c>
      <c r="P1256" s="65">
        <v>0</v>
      </c>
      <c r="Q1256" s="65">
        <v>0</v>
      </c>
      <c r="R1256" s="22"/>
      <c r="S1256" s="117" t="str">
        <f t="shared" si="167"/>
        <v>N</v>
      </c>
      <c r="T1256" s="114">
        <f>IFERROR(SUMIF('Current NLData'!A:A,'Payment Changes'!G1256,'Current NLData'!K:K)/COUNTIF('Current NLData'!A:A,'Payment Changes'!G1256),0)+IFERROR(VLOOKUP(G1256&amp;"-ALL",NLPaymentExport,10,FALSE),0)</f>
        <v>0</v>
      </c>
      <c r="U1256" s="118">
        <f t="shared" si="169"/>
        <v>0</v>
      </c>
    </row>
    <row r="1257" spans="1:54" ht="17.100000000000001" hidden="1" customHeight="1" outlineLevel="1" x14ac:dyDescent="0.25">
      <c r="A1257" s="3"/>
      <c r="C1257" s="4"/>
      <c r="D1257" s="181"/>
      <c r="E1257" s="91" t="str">
        <f t="shared" si="170"/>
        <v>Bradenton</v>
      </c>
      <c r="F1257" s="93" t="str">
        <f t="shared" si="171"/>
        <v>CP154</v>
      </c>
      <c r="G1257" s="99" t="str">
        <f t="shared" si="172"/>
        <v>CP154-RETURN - 6th don of the month -BONUS</v>
      </c>
      <c r="H1257" s="182"/>
      <c r="I1257" s="38" t="s">
        <v>48</v>
      </c>
      <c r="J1257" s="58">
        <v>0</v>
      </c>
      <c r="K1257" s="58">
        <v>0</v>
      </c>
      <c r="L1257" s="58">
        <v>0</v>
      </c>
      <c r="M1257" s="58">
        <v>30</v>
      </c>
      <c r="N1257" s="58">
        <v>30</v>
      </c>
      <c r="O1257" s="58">
        <v>30</v>
      </c>
      <c r="P1257" s="58">
        <v>30</v>
      </c>
      <c r="Q1257" s="58">
        <v>30</v>
      </c>
      <c r="R1257" s="22"/>
      <c r="S1257" s="117" t="str">
        <f t="shared" si="167"/>
        <v>N</v>
      </c>
      <c r="T1257" s="114">
        <f>IFERROR(SUMIF('Current NLData'!A:A,'Payment Changes'!G1257,'Current NLData'!K:K)/COUNTIF('Current NLData'!A:A,'Payment Changes'!G1257),0)+IFERROR(VLOOKUP(G1257&amp;"-ALL",NLPaymentExport,10,FALSE),0)</f>
        <v>30</v>
      </c>
      <c r="U1257" s="118">
        <f t="shared" si="169"/>
        <v>0</v>
      </c>
    </row>
    <row r="1258" spans="1:54" ht="17.100000000000001" hidden="1" customHeight="1" outlineLevel="1" x14ac:dyDescent="0.25">
      <c r="A1258" s="3"/>
      <c r="C1258" s="4"/>
      <c r="D1258" s="181"/>
      <c r="E1258" s="91" t="str">
        <f t="shared" si="170"/>
        <v>Bradenton</v>
      </c>
      <c r="F1258" s="93" t="str">
        <f t="shared" si="171"/>
        <v>CP154</v>
      </c>
      <c r="G1258" s="99" t="str">
        <f t="shared" si="172"/>
        <v>CP154-RETURN - 7th don of the month -BONUS</v>
      </c>
      <c r="H1258" s="182"/>
      <c r="I1258" s="38" t="s">
        <v>49</v>
      </c>
      <c r="J1258" s="58">
        <v>0</v>
      </c>
      <c r="K1258" s="58">
        <v>0</v>
      </c>
      <c r="L1258" s="58">
        <v>0</v>
      </c>
      <c r="M1258" s="58">
        <v>0</v>
      </c>
      <c r="N1258" s="58">
        <v>0</v>
      </c>
      <c r="O1258" s="58">
        <v>0</v>
      </c>
      <c r="P1258" s="58">
        <v>0</v>
      </c>
      <c r="Q1258" s="58">
        <v>0</v>
      </c>
      <c r="R1258" s="22"/>
      <c r="S1258" s="117" t="str">
        <f t="shared" si="167"/>
        <v>N</v>
      </c>
      <c r="T1258" s="114">
        <f>IFERROR(SUMIF('Current NLData'!A:A,'Payment Changes'!G1258,'Current NLData'!K:K)/COUNTIF('Current NLData'!A:A,'Payment Changes'!G1258),0)+IFERROR(VLOOKUP(G1258&amp;"-ALL",NLPaymentExport,10,FALSE),0)</f>
        <v>0</v>
      </c>
      <c r="U1258" s="118">
        <f t="shared" si="169"/>
        <v>0</v>
      </c>
    </row>
    <row r="1259" spans="1:54" ht="17.100000000000001" hidden="1" customHeight="1" outlineLevel="1" x14ac:dyDescent="0.25">
      <c r="A1259" s="3"/>
      <c r="C1259" s="4"/>
      <c r="D1259" s="181"/>
      <c r="E1259" s="91" t="str">
        <f t="shared" si="170"/>
        <v>Bradenton</v>
      </c>
      <c r="F1259" s="93" t="str">
        <f t="shared" si="171"/>
        <v>CP154</v>
      </c>
      <c r="G1259" s="99" t="str">
        <f t="shared" si="172"/>
        <v>CP154-RETURN - 8th don of the month -BONUS</v>
      </c>
      <c r="H1259" s="182"/>
      <c r="I1259" s="38" t="s">
        <v>50</v>
      </c>
      <c r="J1259" s="58">
        <v>0</v>
      </c>
      <c r="K1259" s="58">
        <v>0</v>
      </c>
      <c r="L1259" s="58">
        <v>0</v>
      </c>
      <c r="M1259" s="58">
        <v>0</v>
      </c>
      <c r="N1259" s="58">
        <v>0</v>
      </c>
      <c r="O1259" s="58">
        <v>0</v>
      </c>
      <c r="P1259" s="58">
        <v>0</v>
      </c>
      <c r="Q1259" s="58">
        <v>0</v>
      </c>
      <c r="R1259" s="22"/>
      <c r="S1259" s="117" t="str">
        <f t="shared" si="167"/>
        <v>N</v>
      </c>
      <c r="T1259" s="114">
        <f>IFERROR(SUMIF('Current NLData'!A:A,'Payment Changes'!G1259,'Current NLData'!K:K)/COUNTIF('Current NLData'!A:A,'Payment Changes'!G1259),0)+IFERROR(VLOOKUP(G1259&amp;"-ALL",NLPaymentExport,10,FALSE),0)</f>
        <v>0</v>
      </c>
      <c r="U1259" s="118">
        <f t="shared" si="169"/>
        <v>0</v>
      </c>
    </row>
    <row r="1260" spans="1:54" ht="17.100000000000001" hidden="1" customHeight="1" outlineLevel="1" x14ac:dyDescent="0.25">
      <c r="A1260" s="3"/>
      <c r="C1260" s="4" t="str">
        <f>IF(J1260=0,"Warning","")</f>
        <v/>
      </c>
      <c r="D1260" s="181"/>
      <c r="E1260" s="91" t="str">
        <f t="shared" si="170"/>
        <v>Bradenton</v>
      </c>
      <c r="F1260" s="93" t="str">
        <f t="shared" si="171"/>
        <v>CP154</v>
      </c>
      <c r="G1260" s="99" t="str">
        <f t="shared" si="172"/>
        <v>CP154-RETURN - Buddy referral  -BONUS</v>
      </c>
      <c r="H1260" s="182"/>
      <c r="I1260" s="39" t="s">
        <v>51</v>
      </c>
      <c r="J1260" s="58">
        <v>50</v>
      </c>
      <c r="K1260" s="57">
        <v>0</v>
      </c>
      <c r="L1260" s="56">
        <v>0</v>
      </c>
      <c r="M1260" s="56">
        <v>50</v>
      </c>
      <c r="N1260" s="56">
        <v>50</v>
      </c>
      <c r="O1260" s="56">
        <v>50</v>
      </c>
      <c r="P1260" s="56">
        <v>50</v>
      </c>
      <c r="Q1260" s="56">
        <v>50</v>
      </c>
      <c r="R1260" s="23"/>
      <c r="S1260" s="117" t="str">
        <f t="shared" si="167"/>
        <v>N</v>
      </c>
      <c r="T1260" s="114">
        <f>IFERROR(SUMIF('Current NLData'!A:A,'Payment Changes'!G1260,'Current NLData'!K:K)/COUNTIF('Current NLData'!A:A,'Payment Changes'!G1260),0)+IFERROR(VLOOKUP(G1260&amp;"-ALL",NLPaymentExport,10,FALSE),0)</f>
        <v>50</v>
      </c>
      <c r="U1260" s="118">
        <f t="shared" si="169"/>
        <v>0</v>
      </c>
    </row>
    <row r="1261" spans="1:54" s="90" customFormat="1" ht="17.100000000000001" hidden="1" customHeight="1" collapsed="1" x14ac:dyDescent="0.35">
      <c r="A1261" s="85"/>
      <c r="B1261" s="85"/>
      <c r="C1261" s="86"/>
      <c r="D1261" s="87"/>
      <c r="E1261" s="87"/>
      <c r="F1261" s="87"/>
      <c r="G1261" s="87"/>
      <c r="H1261" s="96"/>
      <c r="I1261" s="88"/>
      <c r="J1261" s="89"/>
      <c r="K1261" s="89"/>
      <c r="L1261" s="89"/>
      <c r="M1261" s="89"/>
      <c r="N1261" s="89"/>
      <c r="O1261" s="89"/>
      <c r="P1261" s="89"/>
      <c r="Q1261" s="89"/>
      <c r="R1261" s="21"/>
      <c r="S1261" s="117" t="str">
        <f t="shared" si="167"/>
        <v>N</v>
      </c>
      <c r="T1261" s="114">
        <f>IFERROR(SUMIF('Current NLData'!A:A,'Payment Changes'!G1261,'Current NLData'!K:K)/COUNTIF('Current NLData'!A:A,'Payment Changes'!G1261),0)+IFERROR(VLOOKUP(G1261&amp;"-ALL",NLPaymentExport,10,FALSE),0)</f>
        <v>0</v>
      </c>
      <c r="U1261" s="118" t="str">
        <f t="shared" si="169"/>
        <v/>
      </c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</row>
    <row r="1262" spans="1:54" s="10" customFormat="1" ht="17.100000000000001" hidden="1" customHeight="1" x14ac:dyDescent="0.25">
      <c r="A1262" s="165">
        <v>64</v>
      </c>
      <c r="B1262" s="168" t="s">
        <v>405</v>
      </c>
      <c r="C1262" s="171" t="s">
        <v>19</v>
      </c>
      <c r="D1262" s="174" t="s">
        <v>157</v>
      </c>
      <c r="E1262" s="106" t="str">
        <f t="shared" si="170"/>
        <v>Port Orange</v>
      </c>
      <c r="F1262" s="107" t="s">
        <v>406</v>
      </c>
      <c r="G1262" s="108" t="str">
        <f t="shared" ref="G1262:G1280" si="173">F1262&amp;"-"&amp;I1262</f>
        <v>CP943-New Donor</v>
      </c>
      <c r="H1262" s="177" t="s">
        <v>147</v>
      </c>
      <c r="I1262" s="76" t="s">
        <v>23</v>
      </c>
      <c r="J1262" s="40" t="s">
        <v>407</v>
      </c>
      <c r="K1262" s="41" t="s">
        <v>408</v>
      </c>
      <c r="L1262" s="41" t="s">
        <v>289</v>
      </c>
      <c r="M1262" s="41" t="s">
        <v>209</v>
      </c>
      <c r="N1262" s="40" t="s">
        <v>209</v>
      </c>
      <c r="O1262" s="40" t="s">
        <v>209</v>
      </c>
      <c r="P1262" s="40" t="s">
        <v>209</v>
      </c>
      <c r="Q1262" s="40" t="s">
        <v>209</v>
      </c>
      <c r="R1262" s="109"/>
      <c r="S1262" s="117" t="str">
        <f t="shared" si="167"/>
        <v>N</v>
      </c>
      <c r="T1262" s="114">
        <f>IFERROR(SUMIF('Current NLData'!A:A,'Payment Changes'!G1262,'Current NLData'!K:K)/COUNTIF('Current NLData'!A:A,'Payment Changes'!G1262),0)+IFERROR(VLOOKUP(G1262&amp;"-ALL",NLPaymentExport,10,FALSE),0)</f>
        <v>0</v>
      </c>
      <c r="U1262" s="118" t="str">
        <f t="shared" si="169"/>
        <v/>
      </c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</row>
    <row r="1263" spans="1:54" ht="17.100000000000001" hidden="1" customHeight="1" x14ac:dyDescent="0.25">
      <c r="A1263" s="166"/>
      <c r="B1263" s="169"/>
      <c r="C1263" s="172"/>
      <c r="D1263" s="175"/>
      <c r="E1263" s="91" t="str">
        <f t="shared" si="170"/>
        <v>Port Orange</v>
      </c>
      <c r="F1263" s="92" t="s">
        <v>406</v>
      </c>
      <c r="G1263" s="98" t="str">
        <f t="shared" si="173"/>
        <v>CP943-Return Donor</v>
      </c>
      <c r="H1263" s="178"/>
      <c r="I1263" s="77" t="s">
        <v>29</v>
      </c>
      <c r="J1263" s="43" t="s">
        <v>409</v>
      </c>
      <c r="K1263" s="43" t="s">
        <v>409</v>
      </c>
      <c r="L1263" s="44" t="s">
        <v>409</v>
      </c>
      <c r="M1263" s="45" t="s">
        <v>409</v>
      </c>
      <c r="N1263" s="43" t="s">
        <v>409</v>
      </c>
      <c r="O1263" s="43" t="s">
        <v>409</v>
      </c>
      <c r="P1263" s="43" t="s">
        <v>409</v>
      </c>
      <c r="Q1263" s="43" t="s">
        <v>409</v>
      </c>
      <c r="R1263" s="21"/>
      <c r="S1263" s="117" t="str">
        <f t="shared" si="167"/>
        <v>N</v>
      </c>
      <c r="T1263" s="114">
        <f>IFERROR(SUMIF('Current NLData'!A:A,'Payment Changes'!G1263,'Current NLData'!K:K)/COUNTIF('Current NLData'!A:A,'Payment Changes'!G1263),0)+IFERROR(VLOOKUP(G1263&amp;"-ALL",NLPaymentExport,10,FALSE),0)</f>
        <v>0</v>
      </c>
      <c r="U1263" s="118" t="str">
        <f t="shared" si="169"/>
        <v/>
      </c>
    </row>
    <row r="1264" spans="1:54" ht="17.100000000000001" hidden="1" customHeight="1" x14ac:dyDescent="0.25">
      <c r="A1264" s="166"/>
      <c r="B1264" s="169"/>
      <c r="C1264" s="172"/>
      <c r="D1264" s="175"/>
      <c r="E1264" s="91" t="str">
        <f t="shared" si="170"/>
        <v>Port Orange</v>
      </c>
      <c r="F1264" s="92" t="s">
        <v>406</v>
      </c>
      <c r="G1264" s="98" t="str">
        <f t="shared" si="173"/>
        <v>CP943-Retention Bonus</v>
      </c>
      <c r="H1264" s="178"/>
      <c r="I1264" s="78" t="s">
        <v>30</v>
      </c>
      <c r="J1264" s="46" t="s">
        <v>267</v>
      </c>
      <c r="K1264" s="46" t="s">
        <v>267</v>
      </c>
      <c r="L1264" s="47" t="s">
        <v>267</v>
      </c>
      <c r="M1264" s="47" t="s">
        <v>268</v>
      </c>
      <c r="N1264" s="46" t="s">
        <v>268</v>
      </c>
      <c r="O1264" s="46" t="s">
        <v>268</v>
      </c>
      <c r="P1264" s="46" t="s">
        <v>268</v>
      </c>
      <c r="Q1264" s="46" t="s">
        <v>268</v>
      </c>
      <c r="R1264" s="21"/>
      <c r="S1264" s="117" t="str">
        <f t="shared" si="167"/>
        <v>N</v>
      </c>
      <c r="T1264" s="114">
        <f>IFERROR(SUMIF('Current NLData'!A:A,'Payment Changes'!G1264,'Current NLData'!K:K)/COUNTIF('Current NLData'!A:A,'Payment Changes'!G1264),0)+IFERROR(VLOOKUP(G1264&amp;"-ALL",NLPaymentExport,10,FALSE),0)</f>
        <v>0</v>
      </c>
      <c r="U1264" s="118" t="str">
        <f t="shared" si="169"/>
        <v/>
      </c>
    </row>
    <row r="1265" spans="1:54" s="15" customFormat="1" ht="17.100000000000001" hidden="1" customHeight="1" x14ac:dyDescent="0.25">
      <c r="A1265" s="167"/>
      <c r="B1265" s="170"/>
      <c r="C1265" s="173"/>
      <c r="D1265" s="176"/>
      <c r="E1265" s="110" t="str">
        <f t="shared" si="170"/>
        <v>Port Orange</v>
      </c>
      <c r="F1265" s="111" t="s">
        <v>406</v>
      </c>
      <c r="G1265" s="112" t="str">
        <f t="shared" si="173"/>
        <v>CP943-Referral</v>
      </c>
      <c r="H1265" s="179"/>
      <c r="I1265" s="79" t="s">
        <v>34</v>
      </c>
      <c r="J1265" s="49">
        <v>50</v>
      </c>
      <c r="K1265" s="49">
        <v>50</v>
      </c>
      <c r="L1265" s="50" t="s">
        <v>32</v>
      </c>
      <c r="M1265" s="50" t="s">
        <v>35</v>
      </c>
      <c r="N1265" s="49" t="s">
        <v>35</v>
      </c>
      <c r="O1265" s="49" t="s">
        <v>35</v>
      </c>
      <c r="P1265" s="49" t="s">
        <v>35</v>
      </c>
      <c r="Q1265" s="49" t="s">
        <v>35</v>
      </c>
      <c r="R1265" s="113"/>
      <c r="S1265" s="117" t="str">
        <f t="shared" si="167"/>
        <v>N</v>
      </c>
      <c r="T1265" s="114">
        <f>IFERROR(SUMIF('Current NLData'!A:A,'Payment Changes'!G1265,'Current NLData'!K:K)/COUNTIF('Current NLData'!A:A,'Payment Changes'!G1265),0)+IFERROR(VLOOKUP(G1265&amp;"-ALL",NLPaymentExport,10,FALSE),0)</f>
        <v>0</v>
      </c>
      <c r="U1265" s="118" t="str">
        <f t="shared" si="169"/>
        <v/>
      </c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</row>
    <row r="1266" spans="1:54" ht="17.100000000000001" hidden="1" customHeight="1" outlineLevel="1" x14ac:dyDescent="0.25">
      <c r="A1266" s="3"/>
      <c r="C1266" s="4"/>
      <c r="D1266" s="180" t="s">
        <v>406</v>
      </c>
      <c r="E1266" s="91" t="str">
        <f t="shared" si="170"/>
        <v>Port Orange</v>
      </c>
      <c r="F1266" s="93" t="str">
        <f t="shared" si="171"/>
        <v>CP943</v>
      </c>
      <c r="G1266" s="99" t="str">
        <f t="shared" si="173"/>
        <v>CP943-NEW DONOR -1st</v>
      </c>
      <c r="H1266" s="182" t="s">
        <v>36</v>
      </c>
      <c r="I1266" s="33" t="s">
        <v>37</v>
      </c>
      <c r="J1266" s="60">
        <v>100</v>
      </c>
      <c r="K1266" s="61">
        <v>100</v>
      </c>
      <c r="L1266" s="60">
        <v>100</v>
      </c>
      <c r="M1266" s="60">
        <v>100</v>
      </c>
      <c r="N1266" s="60">
        <v>100</v>
      </c>
      <c r="O1266" s="60">
        <v>100</v>
      </c>
      <c r="P1266" s="60">
        <v>100</v>
      </c>
      <c r="Q1266" s="60">
        <v>100</v>
      </c>
      <c r="R1266" s="23"/>
      <c r="S1266" s="117" t="str">
        <f t="shared" si="167"/>
        <v>N</v>
      </c>
      <c r="T1266" s="114">
        <f>IFERROR(SUMIF('Current NLData'!A:A,'Payment Changes'!G1266,'Current NLData'!K:K)/COUNTIF('Current NLData'!A:A,'Payment Changes'!G1266),0)+IFERROR(VLOOKUP(G1266&amp;"-ALL",NLPaymentExport,10,FALSE),0)</f>
        <v>100</v>
      </c>
      <c r="U1266" s="118">
        <f t="shared" si="169"/>
        <v>0</v>
      </c>
    </row>
    <row r="1267" spans="1:54" ht="17.100000000000001" hidden="1" customHeight="1" outlineLevel="1" x14ac:dyDescent="0.25">
      <c r="A1267" s="3"/>
      <c r="C1267" s="4"/>
      <c r="D1267" s="181"/>
      <c r="E1267" s="91" t="str">
        <f t="shared" si="170"/>
        <v>Port Orange</v>
      </c>
      <c r="F1267" s="93" t="str">
        <f t="shared" si="171"/>
        <v>CP943</v>
      </c>
      <c r="G1267" s="99" t="str">
        <f t="shared" si="173"/>
        <v>CP943-NEW DONOR -2nd</v>
      </c>
      <c r="H1267" s="182"/>
      <c r="I1267" s="34" t="s">
        <v>38</v>
      </c>
      <c r="J1267" s="58">
        <v>100</v>
      </c>
      <c r="K1267" s="62">
        <v>100</v>
      </c>
      <c r="L1267" s="58">
        <v>100</v>
      </c>
      <c r="M1267" s="58">
        <v>100</v>
      </c>
      <c r="N1267" s="58">
        <v>100</v>
      </c>
      <c r="O1267" s="58">
        <v>100</v>
      </c>
      <c r="P1267" s="58">
        <v>100</v>
      </c>
      <c r="Q1267" s="58">
        <v>100</v>
      </c>
      <c r="R1267" s="23"/>
      <c r="S1267" s="117" t="str">
        <f t="shared" si="167"/>
        <v>N</v>
      </c>
      <c r="T1267" s="114">
        <f>IFERROR(SUMIF('Current NLData'!A:A,'Payment Changes'!G1267,'Current NLData'!K:K)/COUNTIF('Current NLData'!A:A,'Payment Changes'!G1267),0)+IFERROR(VLOOKUP(G1267&amp;"-ALL",NLPaymentExport,10,FALSE),0)</f>
        <v>100</v>
      </c>
      <c r="U1267" s="118">
        <f t="shared" si="169"/>
        <v>0</v>
      </c>
    </row>
    <row r="1268" spans="1:54" ht="17.100000000000001" hidden="1" customHeight="1" outlineLevel="1" x14ac:dyDescent="0.25">
      <c r="A1268" s="3"/>
      <c r="C1268" s="4"/>
      <c r="D1268" s="181"/>
      <c r="E1268" s="91" t="str">
        <f t="shared" si="170"/>
        <v>Port Orange</v>
      </c>
      <c r="F1268" s="93" t="str">
        <f t="shared" si="171"/>
        <v>CP943</v>
      </c>
      <c r="G1268" s="99" t="str">
        <f t="shared" si="173"/>
        <v>CP943-NEW DONOR -3rd</v>
      </c>
      <c r="H1268" s="182"/>
      <c r="I1268" s="34" t="s">
        <v>39</v>
      </c>
      <c r="J1268" s="58">
        <v>100</v>
      </c>
      <c r="K1268" s="62">
        <v>100</v>
      </c>
      <c r="L1268" s="58">
        <v>100</v>
      </c>
      <c r="M1268" s="58">
        <v>100</v>
      </c>
      <c r="N1268" s="58">
        <v>100</v>
      </c>
      <c r="O1268" s="58">
        <v>100</v>
      </c>
      <c r="P1268" s="58">
        <v>100</v>
      </c>
      <c r="Q1268" s="58">
        <v>100</v>
      </c>
      <c r="R1268" s="23"/>
      <c r="S1268" s="117" t="str">
        <f t="shared" si="167"/>
        <v>N</v>
      </c>
      <c r="T1268" s="114">
        <f>IFERROR(SUMIF('Current NLData'!A:A,'Payment Changes'!G1268,'Current NLData'!K:K)/COUNTIF('Current NLData'!A:A,'Payment Changes'!G1268),0)+IFERROR(VLOOKUP(G1268&amp;"-ALL",NLPaymentExport,10,FALSE),0)</f>
        <v>100</v>
      </c>
      <c r="U1268" s="118">
        <f t="shared" si="169"/>
        <v>0</v>
      </c>
    </row>
    <row r="1269" spans="1:54" ht="17.100000000000001" hidden="1" customHeight="1" outlineLevel="1" x14ac:dyDescent="0.25">
      <c r="A1269" s="3"/>
      <c r="C1269" s="4"/>
      <c r="D1269" s="181"/>
      <c r="E1269" s="91" t="str">
        <f t="shared" si="170"/>
        <v>Port Orange</v>
      </c>
      <c r="F1269" s="93" t="str">
        <f t="shared" si="171"/>
        <v>CP943</v>
      </c>
      <c r="G1269" s="99" t="str">
        <f t="shared" si="173"/>
        <v>CP943-NEW DONOR -4th</v>
      </c>
      <c r="H1269" s="182"/>
      <c r="I1269" s="34" t="s">
        <v>40</v>
      </c>
      <c r="J1269" s="58">
        <v>100</v>
      </c>
      <c r="K1269" s="62">
        <v>100</v>
      </c>
      <c r="L1269" s="58">
        <v>55</v>
      </c>
      <c r="M1269" s="58">
        <v>100</v>
      </c>
      <c r="N1269" s="58">
        <v>100</v>
      </c>
      <c r="O1269" s="58">
        <v>100</v>
      </c>
      <c r="P1269" s="58">
        <v>100</v>
      </c>
      <c r="Q1269" s="58">
        <v>100</v>
      </c>
      <c r="R1269" s="23"/>
      <c r="S1269" s="117" t="str">
        <f t="shared" si="167"/>
        <v>N</v>
      </c>
      <c r="T1269" s="114">
        <f>IFERROR(SUMIF('Current NLData'!A:A,'Payment Changes'!G1269,'Current NLData'!K:K)/COUNTIF('Current NLData'!A:A,'Payment Changes'!G1269),0)+IFERROR(VLOOKUP(G1269&amp;"-ALL",NLPaymentExport,10,FALSE),0)</f>
        <v>100</v>
      </c>
      <c r="U1269" s="118">
        <f t="shared" si="169"/>
        <v>0</v>
      </c>
    </row>
    <row r="1270" spans="1:54" ht="17.100000000000001" hidden="1" customHeight="1" outlineLevel="1" x14ac:dyDescent="0.25">
      <c r="A1270" s="3"/>
      <c r="C1270" s="4"/>
      <c r="D1270" s="181"/>
      <c r="E1270" s="91" t="str">
        <f t="shared" si="170"/>
        <v>Port Orange</v>
      </c>
      <c r="F1270" s="93" t="str">
        <f t="shared" si="171"/>
        <v>CP943</v>
      </c>
      <c r="G1270" s="99" t="str">
        <f t="shared" si="173"/>
        <v>CP943-NEW DONOR -5th</v>
      </c>
      <c r="H1270" s="182"/>
      <c r="I1270" s="34" t="s">
        <v>41</v>
      </c>
      <c r="J1270" s="58">
        <v>55</v>
      </c>
      <c r="K1270" s="62">
        <v>55</v>
      </c>
      <c r="L1270" s="58">
        <v>55</v>
      </c>
      <c r="M1270" s="58">
        <v>100</v>
      </c>
      <c r="N1270" s="58">
        <v>100</v>
      </c>
      <c r="O1270" s="58">
        <v>100</v>
      </c>
      <c r="P1270" s="58">
        <v>100</v>
      </c>
      <c r="Q1270" s="58">
        <v>100</v>
      </c>
      <c r="R1270" s="23"/>
      <c r="S1270" s="117" t="str">
        <f t="shared" si="167"/>
        <v>N</v>
      </c>
      <c r="T1270" s="114">
        <f>IFERROR(SUMIF('Current NLData'!A:A,'Payment Changes'!G1270,'Current NLData'!K:K)/COUNTIF('Current NLData'!A:A,'Payment Changes'!G1270),0)+IFERROR(VLOOKUP(G1270&amp;"-ALL",NLPaymentExport,10,FALSE),0)</f>
        <v>100</v>
      </c>
      <c r="U1270" s="118">
        <f t="shared" si="169"/>
        <v>0</v>
      </c>
    </row>
    <row r="1271" spans="1:54" ht="17.100000000000001" hidden="1" customHeight="1" outlineLevel="1" x14ac:dyDescent="0.25">
      <c r="A1271" s="3"/>
      <c r="C1271" s="4"/>
      <c r="D1271" s="181"/>
      <c r="E1271" s="91" t="str">
        <f t="shared" si="170"/>
        <v>Port Orange</v>
      </c>
      <c r="F1271" s="93" t="str">
        <f t="shared" si="171"/>
        <v>CP943</v>
      </c>
      <c r="G1271" s="99" t="str">
        <f t="shared" si="173"/>
        <v>CP943-NEW DONOR -6th</v>
      </c>
      <c r="H1271" s="182"/>
      <c r="I1271" s="34" t="s">
        <v>42</v>
      </c>
      <c r="J1271" s="58">
        <v>55</v>
      </c>
      <c r="K1271" s="62">
        <v>70</v>
      </c>
      <c r="L1271" s="58">
        <v>55</v>
      </c>
      <c r="M1271" s="58">
        <v>55</v>
      </c>
      <c r="N1271" s="58">
        <v>55</v>
      </c>
      <c r="O1271" s="58">
        <v>55</v>
      </c>
      <c r="P1271" s="58">
        <v>55</v>
      </c>
      <c r="Q1271" s="58">
        <v>55</v>
      </c>
      <c r="R1271" s="23"/>
      <c r="S1271" s="117" t="str">
        <f t="shared" si="167"/>
        <v>N</v>
      </c>
      <c r="T1271" s="114">
        <f>IFERROR(SUMIF('Current NLData'!A:A,'Payment Changes'!G1271,'Current NLData'!K:K)/COUNTIF('Current NLData'!A:A,'Payment Changes'!G1271),0)+IFERROR(VLOOKUP(G1271&amp;"-ALL",NLPaymentExport,10,FALSE),0)</f>
        <v>55</v>
      </c>
      <c r="U1271" s="118">
        <f t="shared" si="169"/>
        <v>0</v>
      </c>
    </row>
    <row r="1272" spans="1:54" ht="17.100000000000001" hidden="1" customHeight="1" outlineLevel="1" x14ac:dyDescent="0.25">
      <c r="A1272" s="3"/>
      <c r="C1272" s="4"/>
      <c r="D1272" s="181"/>
      <c r="E1272" s="91" t="str">
        <f t="shared" si="170"/>
        <v>Port Orange</v>
      </c>
      <c r="F1272" s="93" t="str">
        <f t="shared" si="171"/>
        <v>CP943</v>
      </c>
      <c r="G1272" s="99" t="str">
        <f t="shared" si="173"/>
        <v>CP943-NEW DONOR -7th</v>
      </c>
      <c r="H1272" s="182"/>
      <c r="I1272" s="34" t="s">
        <v>43</v>
      </c>
      <c r="J1272" s="58">
        <v>55</v>
      </c>
      <c r="K1272" s="62">
        <v>55</v>
      </c>
      <c r="L1272" s="58">
        <v>55</v>
      </c>
      <c r="M1272" s="58">
        <v>55</v>
      </c>
      <c r="N1272" s="58">
        <v>55</v>
      </c>
      <c r="O1272" s="58">
        <v>55</v>
      </c>
      <c r="P1272" s="58">
        <v>55</v>
      </c>
      <c r="Q1272" s="58">
        <v>55</v>
      </c>
      <c r="R1272" s="23"/>
      <c r="S1272" s="117" t="str">
        <f t="shared" si="167"/>
        <v>N</v>
      </c>
      <c r="T1272" s="114">
        <f>IFERROR(SUMIF('Current NLData'!A:A,'Payment Changes'!G1272,'Current NLData'!K:K)/COUNTIF('Current NLData'!A:A,'Payment Changes'!G1272),0)+IFERROR(VLOOKUP(G1272&amp;"-ALL",NLPaymentExport,10,FALSE),0)</f>
        <v>55</v>
      </c>
      <c r="U1272" s="118">
        <f t="shared" si="169"/>
        <v>0</v>
      </c>
    </row>
    <row r="1273" spans="1:54" ht="17.100000000000001" hidden="1" customHeight="1" outlineLevel="1" x14ac:dyDescent="0.25">
      <c r="A1273" s="3"/>
      <c r="C1273" s="4"/>
      <c r="D1273" s="181"/>
      <c r="E1273" s="91" t="str">
        <f t="shared" si="170"/>
        <v>Port Orange</v>
      </c>
      <c r="F1273" s="93" t="str">
        <f t="shared" si="171"/>
        <v>CP943</v>
      </c>
      <c r="G1273" s="99" t="str">
        <f t="shared" si="173"/>
        <v>CP943-NEW DONOR -8th</v>
      </c>
      <c r="H1273" s="182"/>
      <c r="I1273" s="35" t="s">
        <v>44</v>
      </c>
      <c r="J1273" s="63">
        <v>55</v>
      </c>
      <c r="K1273" s="64">
        <v>70</v>
      </c>
      <c r="L1273" s="63">
        <v>55</v>
      </c>
      <c r="M1273" s="63">
        <v>55</v>
      </c>
      <c r="N1273" s="63">
        <v>55</v>
      </c>
      <c r="O1273" s="63">
        <v>55</v>
      </c>
      <c r="P1273" s="63">
        <v>55</v>
      </c>
      <c r="Q1273" s="63">
        <v>55</v>
      </c>
      <c r="R1273" s="23"/>
      <c r="S1273" s="117" t="str">
        <f t="shared" si="167"/>
        <v>N</v>
      </c>
      <c r="T1273" s="114">
        <f>IFERROR(SUMIF('Current NLData'!A:A,'Payment Changes'!G1273,'Current NLData'!K:K)/COUNTIF('Current NLData'!A:A,'Payment Changes'!G1273),0)+IFERROR(VLOOKUP(G1273&amp;"-ALL",NLPaymentExport,10,FALSE),0)</f>
        <v>55</v>
      </c>
      <c r="U1273" s="118">
        <f t="shared" si="169"/>
        <v>0</v>
      </c>
    </row>
    <row r="1274" spans="1:54" ht="17.100000000000001" hidden="1" customHeight="1" outlineLevel="1" x14ac:dyDescent="0.25">
      <c r="A1274" s="3"/>
      <c r="C1274" s="4"/>
      <c r="D1274" s="181"/>
      <c r="E1274" s="91" t="str">
        <f t="shared" si="170"/>
        <v>Port Orange</v>
      </c>
      <c r="F1274" s="93" t="str">
        <f t="shared" si="171"/>
        <v>CP943</v>
      </c>
      <c r="G1274" s="99" t="str">
        <f t="shared" si="173"/>
        <v>CP943-RETURN - 1st don of the week -STD</v>
      </c>
      <c r="H1274" s="182"/>
      <c r="I1274" s="36" t="s">
        <v>45</v>
      </c>
      <c r="J1274" s="58">
        <v>55</v>
      </c>
      <c r="K1274" s="58">
        <v>55</v>
      </c>
      <c r="L1274" s="58">
        <v>55</v>
      </c>
      <c r="M1274" s="58">
        <v>55</v>
      </c>
      <c r="N1274" s="58">
        <v>55</v>
      </c>
      <c r="O1274" s="58">
        <v>55</v>
      </c>
      <c r="P1274" s="58">
        <v>55</v>
      </c>
      <c r="Q1274" s="58">
        <v>55</v>
      </c>
      <c r="R1274" s="22"/>
      <c r="S1274" s="117" t="str">
        <f t="shared" si="167"/>
        <v>N</v>
      </c>
      <c r="T1274" s="114">
        <f>IFERROR(SUMIF('Current NLData'!A:A,'Payment Changes'!G1274,'Current NLData'!K:K)/COUNTIF('Current NLData'!A:A,'Payment Changes'!G1274),0)+IFERROR(VLOOKUP(G1274&amp;"-ALL",NLPaymentExport,10,FALSE),0)</f>
        <v>55</v>
      </c>
      <c r="U1274" s="118">
        <f t="shared" si="169"/>
        <v>0</v>
      </c>
    </row>
    <row r="1275" spans="1:54" ht="17.100000000000001" hidden="1" customHeight="1" outlineLevel="1" x14ac:dyDescent="0.25">
      <c r="A1275" s="3"/>
      <c r="C1275" s="4"/>
      <c r="D1275" s="181"/>
      <c r="E1275" s="91" t="str">
        <f t="shared" si="170"/>
        <v>Port Orange</v>
      </c>
      <c r="F1275" s="93" t="str">
        <f t="shared" si="171"/>
        <v>CP943</v>
      </c>
      <c r="G1275" s="99" t="str">
        <f t="shared" si="173"/>
        <v>CP943-RETURN - 2nd don of the week -BONUS</v>
      </c>
      <c r="H1275" s="182"/>
      <c r="I1275" s="36" t="s">
        <v>46</v>
      </c>
      <c r="J1275" s="58">
        <v>15</v>
      </c>
      <c r="K1275" s="58">
        <v>15</v>
      </c>
      <c r="L1275" s="58">
        <v>15</v>
      </c>
      <c r="M1275" s="58">
        <v>15</v>
      </c>
      <c r="N1275" s="58">
        <v>15</v>
      </c>
      <c r="O1275" s="58">
        <v>15</v>
      </c>
      <c r="P1275" s="58">
        <v>15</v>
      </c>
      <c r="Q1275" s="58">
        <v>15</v>
      </c>
      <c r="R1275" s="22"/>
      <c r="S1275" s="117" t="str">
        <f t="shared" si="167"/>
        <v>N</v>
      </c>
      <c r="T1275" s="114">
        <f>IFERROR(SUMIF('Current NLData'!A:A,'Payment Changes'!G1275,'Current NLData'!K:K)/COUNTIF('Current NLData'!A:A,'Payment Changes'!G1275),0)+IFERROR(VLOOKUP(G1275&amp;"-ALL",NLPaymentExport,10,FALSE),0)</f>
        <v>15</v>
      </c>
      <c r="U1275" s="118">
        <f t="shared" si="169"/>
        <v>0</v>
      </c>
    </row>
    <row r="1276" spans="1:54" ht="17.100000000000001" hidden="1" customHeight="1" outlineLevel="1" x14ac:dyDescent="0.25">
      <c r="A1276" s="3"/>
      <c r="C1276" s="4"/>
      <c r="D1276" s="181"/>
      <c r="E1276" s="91" t="str">
        <f t="shared" si="170"/>
        <v>Port Orange</v>
      </c>
      <c r="F1276" s="93" t="str">
        <f t="shared" si="171"/>
        <v>CP943</v>
      </c>
      <c r="G1276" s="99" t="str">
        <f t="shared" si="173"/>
        <v>CP943-RETURN - 5th don of the month -BONUS</v>
      </c>
      <c r="H1276" s="182"/>
      <c r="I1276" s="37" t="s">
        <v>47</v>
      </c>
      <c r="J1276" s="65">
        <v>0</v>
      </c>
      <c r="K1276" s="65">
        <v>0</v>
      </c>
      <c r="L1276" s="65">
        <v>0</v>
      </c>
      <c r="M1276" s="65">
        <v>0</v>
      </c>
      <c r="N1276" s="65">
        <v>0</v>
      </c>
      <c r="O1276" s="65">
        <v>0</v>
      </c>
      <c r="P1276" s="65">
        <v>0</v>
      </c>
      <c r="Q1276" s="65">
        <v>0</v>
      </c>
      <c r="R1276" s="22"/>
      <c r="S1276" s="117" t="str">
        <f t="shared" si="167"/>
        <v>N</v>
      </c>
      <c r="T1276" s="114">
        <f>IFERROR(SUMIF('Current NLData'!A:A,'Payment Changes'!G1276,'Current NLData'!K:K)/COUNTIF('Current NLData'!A:A,'Payment Changes'!G1276),0)+IFERROR(VLOOKUP(G1276&amp;"-ALL",NLPaymentExport,10,FALSE),0)</f>
        <v>0</v>
      </c>
      <c r="U1276" s="118">
        <f t="shared" si="169"/>
        <v>0</v>
      </c>
    </row>
    <row r="1277" spans="1:54" ht="17.100000000000001" hidden="1" customHeight="1" outlineLevel="1" x14ac:dyDescent="0.25">
      <c r="A1277" s="3"/>
      <c r="C1277" s="4"/>
      <c r="D1277" s="181"/>
      <c r="E1277" s="91" t="str">
        <f t="shared" si="170"/>
        <v>Port Orange</v>
      </c>
      <c r="F1277" s="93" t="str">
        <f t="shared" si="171"/>
        <v>CP943</v>
      </c>
      <c r="G1277" s="99" t="str">
        <f t="shared" si="173"/>
        <v>CP943-RETURN - 6th don of the month -BONUS</v>
      </c>
      <c r="H1277" s="182"/>
      <c r="I1277" s="38" t="s">
        <v>48</v>
      </c>
      <c r="J1277" s="58">
        <v>25</v>
      </c>
      <c r="K1277" s="58">
        <v>25</v>
      </c>
      <c r="L1277" s="58">
        <v>25</v>
      </c>
      <c r="M1277" s="62">
        <v>30</v>
      </c>
      <c r="N1277" s="58">
        <v>30</v>
      </c>
      <c r="O1277" s="58">
        <v>30</v>
      </c>
      <c r="P1277" s="58">
        <v>30</v>
      </c>
      <c r="Q1277" s="58">
        <v>30</v>
      </c>
      <c r="R1277" s="22"/>
      <c r="S1277" s="117" t="str">
        <f t="shared" si="167"/>
        <v>N</v>
      </c>
      <c r="T1277" s="114">
        <f>IFERROR(SUMIF('Current NLData'!A:A,'Payment Changes'!G1277,'Current NLData'!K:K)/COUNTIF('Current NLData'!A:A,'Payment Changes'!G1277),0)+IFERROR(VLOOKUP(G1277&amp;"-ALL",NLPaymentExport,10,FALSE),0)</f>
        <v>30</v>
      </c>
      <c r="U1277" s="118">
        <f t="shared" si="169"/>
        <v>0</v>
      </c>
    </row>
    <row r="1278" spans="1:54" ht="17.100000000000001" hidden="1" customHeight="1" outlineLevel="1" x14ac:dyDescent="0.25">
      <c r="A1278" s="3"/>
      <c r="C1278" s="4"/>
      <c r="D1278" s="181"/>
      <c r="E1278" s="91" t="str">
        <f t="shared" si="170"/>
        <v>Port Orange</v>
      </c>
      <c r="F1278" s="93" t="str">
        <f t="shared" si="171"/>
        <v>CP943</v>
      </c>
      <c r="G1278" s="99" t="str">
        <f t="shared" si="173"/>
        <v>CP943-RETURN - 7th don of the month -BONUS</v>
      </c>
      <c r="H1278" s="182"/>
      <c r="I1278" s="38" t="s">
        <v>49</v>
      </c>
      <c r="J1278" s="58">
        <v>0</v>
      </c>
      <c r="K1278" s="58">
        <v>0</v>
      </c>
      <c r="L1278" s="58">
        <v>0</v>
      </c>
      <c r="M1278" s="58">
        <v>0</v>
      </c>
      <c r="N1278" s="58">
        <v>0</v>
      </c>
      <c r="O1278" s="58">
        <v>0</v>
      </c>
      <c r="P1278" s="58">
        <v>0</v>
      </c>
      <c r="Q1278" s="58">
        <v>0</v>
      </c>
      <c r="R1278" s="22"/>
      <c r="S1278" s="117" t="str">
        <f t="shared" si="167"/>
        <v>N</v>
      </c>
      <c r="T1278" s="114">
        <f>IFERROR(SUMIF('Current NLData'!A:A,'Payment Changes'!G1278,'Current NLData'!K:K)/COUNTIF('Current NLData'!A:A,'Payment Changes'!G1278),0)+IFERROR(VLOOKUP(G1278&amp;"-ALL",NLPaymentExport,10,FALSE),0)</f>
        <v>0</v>
      </c>
      <c r="U1278" s="118">
        <f t="shared" si="169"/>
        <v>0</v>
      </c>
    </row>
    <row r="1279" spans="1:54" ht="17.100000000000001" hidden="1" customHeight="1" outlineLevel="1" x14ac:dyDescent="0.25">
      <c r="A1279" s="3"/>
      <c r="C1279" s="4"/>
      <c r="D1279" s="181"/>
      <c r="E1279" s="91" t="str">
        <f t="shared" si="170"/>
        <v>Port Orange</v>
      </c>
      <c r="F1279" s="93" t="str">
        <f t="shared" si="171"/>
        <v>CP943</v>
      </c>
      <c r="G1279" s="99" t="str">
        <f t="shared" si="173"/>
        <v>CP943-RETURN - 8th don of the month -BONUS</v>
      </c>
      <c r="H1279" s="182"/>
      <c r="I1279" s="38" t="s">
        <v>50</v>
      </c>
      <c r="J1279" s="58">
        <v>0</v>
      </c>
      <c r="K1279" s="58">
        <v>0</v>
      </c>
      <c r="L1279" s="58">
        <v>0</v>
      </c>
      <c r="M1279" s="58">
        <v>0</v>
      </c>
      <c r="N1279" s="58">
        <v>0</v>
      </c>
      <c r="O1279" s="58">
        <v>0</v>
      </c>
      <c r="P1279" s="58">
        <v>0</v>
      </c>
      <c r="Q1279" s="58">
        <v>0</v>
      </c>
      <c r="R1279" s="22"/>
      <c r="S1279" s="117" t="str">
        <f t="shared" si="167"/>
        <v>N</v>
      </c>
      <c r="T1279" s="114">
        <f>IFERROR(SUMIF('Current NLData'!A:A,'Payment Changes'!G1279,'Current NLData'!K:K)/COUNTIF('Current NLData'!A:A,'Payment Changes'!G1279),0)+IFERROR(VLOOKUP(G1279&amp;"-ALL",NLPaymentExport,10,FALSE),0)</f>
        <v>0</v>
      </c>
      <c r="U1279" s="118">
        <f t="shared" si="169"/>
        <v>0</v>
      </c>
    </row>
    <row r="1280" spans="1:54" ht="17.100000000000001" hidden="1" customHeight="1" outlineLevel="1" x14ac:dyDescent="0.25">
      <c r="A1280" s="3"/>
      <c r="C1280" s="4" t="str">
        <f>IF(J1280=0,"Warning","")</f>
        <v/>
      </c>
      <c r="D1280" s="181"/>
      <c r="E1280" s="91" t="str">
        <f t="shared" si="170"/>
        <v>Port Orange</v>
      </c>
      <c r="F1280" s="93" t="str">
        <f t="shared" si="171"/>
        <v>CP943</v>
      </c>
      <c r="G1280" s="99" t="str">
        <f t="shared" si="173"/>
        <v>CP943-RETURN - Buddy referral  -BONUS</v>
      </c>
      <c r="H1280" s="182"/>
      <c r="I1280" s="39" t="s">
        <v>51</v>
      </c>
      <c r="J1280" s="58">
        <v>50</v>
      </c>
      <c r="K1280" s="58">
        <v>50</v>
      </c>
      <c r="L1280" s="58">
        <v>0</v>
      </c>
      <c r="M1280" s="58">
        <v>50</v>
      </c>
      <c r="N1280" s="58">
        <v>50</v>
      </c>
      <c r="O1280" s="58">
        <v>50</v>
      </c>
      <c r="P1280" s="58">
        <v>50</v>
      </c>
      <c r="Q1280" s="58">
        <v>50</v>
      </c>
      <c r="R1280" s="22"/>
      <c r="S1280" s="117" t="str">
        <f t="shared" si="167"/>
        <v>N</v>
      </c>
      <c r="T1280" s="114">
        <f>IFERROR(SUMIF('Current NLData'!A:A,'Payment Changes'!G1280,'Current NLData'!K:K)/COUNTIF('Current NLData'!A:A,'Payment Changes'!G1280),0)+IFERROR(VLOOKUP(G1280&amp;"-ALL",NLPaymentExport,10,FALSE),0)</f>
        <v>50</v>
      </c>
      <c r="U1280" s="118">
        <f t="shared" si="169"/>
        <v>0</v>
      </c>
    </row>
    <row r="1281" spans="1:54" s="90" customFormat="1" ht="17.100000000000001" hidden="1" customHeight="1" collapsed="1" x14ac:dyDescent="0.35">
      <c r="A1281" s="85"/>
      <c r="B1281" s="85"/>
      <c r="C1281" s="86"/>
      <c r="D1281" s="87"/>
      <c r="E1281" s="87"/>
      <c r="F1281" s="87"/>
      <c r="G1281" s="87"/>
      <c r="H1281" s="96"/>
      <c r="I1281" s="88"/>
      <c r="J1281" s="89"/>
      <c r="K1281" s="89"/>
      <c r="L1281" s="89"/>
      <c r="M1281" s="89"/>
      <c r="N1281" s="89"/>
      <c r="O1281" s="89"/>
      <c r="P1281" s="89"/>
      <c r="Q1281" s="89"/>
      <c r="R1281" s="21"/>
      <c r="S1281" s="117" t="str">
        <f t="shared" si="167"/>
        <v>N</v>
      </c>
      <c r="T1281" s="114">
        <f>IFERROR(SUMIF('Current NLData'!A:A,'Payment Changes'!G1281,'Current NLData'!K:K)/COUNTIF('Current NLData'!A:A,'Payment Changes'!G1281),0)+IFERROR(VLOOKUP(G1281&amp;"-ALL",NLPaymentExport,10,FALSE),0)</f>
        <v>0</v>
      </c>
      <c r="U1281" s="118" t="str">
        <f t="shared" si="169"/>
        <v/>
      </c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</row>
    <row r="1282" spans="1:54" s="10" customFormat="1" ht="17.100000000000001" hidden="1" customHeight="1" x14ac:dyDescent="0.25">
      <c r="A1282" s="165">
        <v>65</v>
      </c>
      <c r="B1282" s="168" t="s">
        <v>410</v>
      </c>
      <c r="C1282" s="171" t="s">
        <v>19</v>
      </c>
      <c r="D1282" s="174" t="s">
        <v>157</v>
      </c>
      <c r="E1282" s="106" t="str">
        <f t="shared" si="170"/>
        <v>Cleveland</v>
      </c>
      <c r="F1282" s="107" t="s">
        <v>411</v>
      </c>
      <c r="G1282" s="108" t="str">
        <f t="shared" ref="G1282:G1300" si="174">F1282&amp;"-"&amp;I1282</f>
        <v>CP947-New Donor</v>
      </c>
      <c r="H1282" s="177" t="s">
        <v>147</v>
      </c>
      <c r="I1282" s="76" t="s">
        <v>23</v>
      </c>
      <c r="J1282" s="40" t="s">
        <v>232</v>
      </c>
      <c r="K1282" s="41" t="s">
        <v>288</v>
      </c>
      <c r="L1282" s="41" t="s">
        <v>232</v>
      </c>
      <c r="M1282" s="41" t="s">
        <v>212</v>
      </c>
      <c r="N1282" s="40" t="s">
        <v>212</v>
      </c>
      <c r="O1282" s="40" t="s">
        <v>212</v>
      </c>
      <c r="P1282" s="40" t="s">
        <v>212</v>
      </c>
      <c r="Q1282" s="40" t="s">
        <v>232</v>
      </c>
      <c r="R1282" s="109"/>
      <c r="S1282" s="117" t="str">
        <f t="shared" si="167"/>
        <v>Y</v>
      </c>
      <c r="T1282" s="114">
        <f>IFERROR(SUMIF('Current NLData'!A:A,'Payment Changes'!G1282,'Current NLData'!K:K)/COUNTIF('Current NLData'!A:A,'Payment Changes'!G1282),0)+IFERROR(VLOOKUP(G1282&amp;"-ALL",NLPaymentExport,10,FALSE),0)</f>
        <v>0</v>
      </c>
      <c r="U1282" s="118" t="str">
        <f t="shared" si="169"/>
        <v/>
      </c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</row>
    <row r="1283" spans="1:54" ht="17.100000000000001" hidden="1" customHeight="1" x14ac:dyDescent="0.25">
      <c r="A1283" s="166"/>
      <c r="B1283" s="169"/>
      <c r="C1283" s="172"/>
      <c r="D1283" s="175"/>
      <c r="E1283" s="91" t="str">
        <f t="shared" si="170"/>
        <v>Cleveland</v>
      </c>
      <c r="F1283" s="92" t="s">
        <v>411</v>
      </c>
      <c r="G1283" s="98" t="str">
        <f t="shared" si="174"/>
        <v>CP947-Return Donor</v>
      </c>
      <c r="H1283" s="178"/>
      <c r="I1283" s="77" t="s">
        <v>29</v>
      </c>
      <c r="J1283" s="43" t="s">
        <v>214</v>
      </c>
      <c r="K1283" s="43" t="s">
        <v>214</v>
      </c>
      <c r="L1283" s="44" t="s">
        <v>412</v>
      </c>
      <c r="M1283" s="45" t="s">
        <v>412</v>
      </c>
      <c r="N1283" s="43" t="s">
        <v>412</v>
      </c>
      <c r="O1283" s="43" t="s">
        <v>412</v>
      </c>
      <c r="P1283" s="43" t="s">
        <v>412</v>
      </c>
      <c r="Q1283" s="43" t="s">
        <v>413</v>
      </c>
      <c r="R1283" s="21"/>
      <c r="S1283" s="117" t="str">
        <f t="shared" ref="S1283:S1346" si="175">IF(P1283=Q1283,"N","Y")</f>
        <v>Y</v>
      </c>
      <c r="T1283" s="114">
        <f>IFERROR(SUMIF('Current NLData'!A:A,'Payment Changes'!G1283,'Current NLData'!K:K)/COUNTIF('Current NLData'!A:A,'Payment Changes'!G1283),0)+IFERROR(VLOOKUP(G1283&amp;"-ALL",NLPaymentExport,10,FALSE),0)</f>
        <v>0</v>
      </c>
      <c r="U1283" s="118" t="str">
        <f t="shared" si="169"/>
        <v/>
      </c>
    </row>
    <row r="1284" spans="1:54" ht="17.100000000000001" hidden="1" customHeight="1" x14ac:dyDescent="0.25">
      <c r="A1284" s="166"/>
      <c r="B1284" s="169"/>
      <c r="C1284" s="172"/>
      <c r="D1284" s="175"/>
      <c r="E1284" s="91" t="str">
        <f t="shared" si="170"/>
        <v>Cleveland</v>
      </c>
      <c r="F1284" s="92" t="s">
        <v>411</v>
      </c>
      <c r="G1284" s="98" t="str">
        <f t="shared" si="174"/>
        <v>CP947-Retention Bonus</v>
      </c>
      <c r="H1284" s="178"/>
      <c r="I1284" s="78" t="s">
        <v>30</v>
      </c>
      <c r="J1284" s="46" t="s">
        <v>414</v>
      </c>
      <c r="K1284" s="46" t="s">
        <v>414</v>
      </c>
      <c r="L1284" s="47" t="s">
        <v>32</v>
      </c>
      <c r="M1284" s="47" t="s">
        <v>101</v>
      </c>
      <c r="N1284" s="46" t="s">
        <v>101</v>
      </c>
      <c r="O1284" s="46" t="s">
        <v>101</v>
      </c>
      <c r="P1284" s="46" t="s">
        <v>101</v>
      </c>
      <c r="Q1284" s="46" t="s">
        <v>101</v>
      </c>
      <c r="R1284" s="21"/>
      <c r="S1284" s="117" t="str">
        <f t="shared" si="175"/>
        <v>N</v>
      </c>
      <c r="T1284" s="114">
        <f>IFERROR(SUMIF('Current NLData'!A:A,'Payment Changes'!G1284,'Current NLData'!K:K)/COUNTIF('Current NLData'!A:A,'Payment Changes'!G1284),0)+IFERROR(VLOOKUP(G1284&amp;"-ALL",NLPaymentExport,10,FALSE),0)</f>
        <v>0</v>
      </c>
      <c r="U1284" s="118" t="str">
        <f t="shared" si="169"/>
        <v/>
      </c>
    </row>
    <row r="1285" spans="1:54" s="15" customFormat="1" ht="17.100000000000001" hidden="1" customHeight="1" x14ac:dyDescent="0.25">
      <c r="A1285" s="167"/>
      <c r="B1285" s="170"/>
      <c r="C1285" s="173"/>
      <c r="D1285" s="176"/>
      <c r="E1285" s="110" t="str">
        <f t="shared" si="170"/>
        <v>Cleveland</v>
      </c>
      <c r="F1285" s="111" t="s">
        <v>411</v>
      </c>
      <c r="G1285" s="112" t="str">
        <f t="shared" si="174"/>
        <v>CP947-Referral</v>
      </c>
      <c r="H1285" s="179"/>
      <c r="I1285" s="79" t="s">
        <v>34</v>
      </c>
      <c r="J1285" s="49">
        <v>50</v>
      </c>
      <c r="K1285" s="49">
        <v>50</v>
      </c>
      <c r="L1285" s="50" t="s">
        <v>32</v>
      </c>
      <c r="M1285" s="50" t="s">
        <v>35</v>
      </c>
      <c r="N1285" s="49" t="s">
        <v>35</v>
      </c>
      <c r="O1285" s="49" t="s">
        <v>35</v>
      </c>
      <c r="P1285" s="49" t="s">
        <v>35</v>
      </c>
      <c r="Q1285" s="49" t="s">
        <v>35</v>
      </c>
      <c r="R1285" s="113"/>
      <c r="S1285" s="117" t="str">
        <f t="shared" si="175"/>
        <v>N</v>
      </c>
      <c r="T1285" s="114">
        <f>IFERROR(SUMIF('Current NLData'!A:A,'Payment Changes'!G1285,'Current NLData'!K:K)/COUNTIF('Current NLData'!A:A,'Payment Changes'!G1285),0)+IFERROR(VLOOKUP(G1285&amp;"-ALL",NLPaymentExport,10,FALSE),0)</f>
        <v>0</v>
      </c>
      <c r="U1285" s="118" t="str">
        <f t="shared" si="169"/>
        <v/>
      </c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</row>
    <row r="1286" spans="1:54" ht="17.100000000000001" hidden="1" customHeight="1" outlineLevel="1" x14ac:dyDescent="0.25">
      <c r="A1286" s="3"/>
      <c r="C1286" s="4"/>
      <c r="D1286" s="180" t="s">
        <v>411</v>
      </c>
      <c r="E1286" s="91" t="str">
        <f t="shared" si="170"/>
        <v>Cleveland</v>
      </c>
      <c r="F1286" s="93" t="str">
        <f t="shared" si="171"/>
        <v>CP947</v>
      </c>
      <c r="G1286" s="99" t="str">
        <f t="shared" si="174"/>
        <v>CP947-NEW DONOR -1st</v>
      </c>
      <c r="H1286" s="182" t="s">
        <v>36</v>
      </c>
      <c r="I1286" s="33" t="s">
        <v>37</v>
      </c>
      <c r="J1286" s="60">
        <v>100</v>
      </c>
      <c r="K1286" s="61">
        <v>100</v>
      </c>
      <c r="L1286" s="60">
        <v>100</v>
      </c>
      <c r="M1286" s="60">
        <v>100</v>
      </c>
      <c r="N1286" s="60">
        <v>100</v>
      </c>
      <c r="O1286" s="60">
        <v>100</v>
      </c>
      <c r="P1286" s="60">
        <v>100</v>
      </c>
      <c r="Q1286" s="60">
        <v>100</v>
      </c>
      <c r="R1286" s="23"/>
      <c r="S1286" s="117" t="str">
        <f t="shared" si="175"/>
        <v>N</v>
      </c>
      <c r="T1286" s="114">
        <f>IFERROR(SUMIF('Current NLData'!A:A,'Payment Changes'!G1286,'Current NLData'!K:K)/COUNTIF('Current NLData'!A:A,'Payment Changes'!G1286),0)+IFERROR(VLOOKUP(G1286&amp;"-ALL",NLPaymentExport,10,FALSE),0)</f>
        <v>100</v>
      </c>
      <c r="U1286" s="118">
        <f t="shared" si="169"/>
        <v>0</v>
      </c>
    </row>
    <row r="1287" spans="1:54" ht="17.100000000000001" hidden="1" customHeight="1" outlineLevel="1" x14ac:dyDescent="0.25">
      <c r="A1287" s="3"/>
      <c r="C1287" s="4"/>
      <c r="D1287" s="181"/>
      <c r="E1287" s="91" t="str">
        <f t="shared" si="170"/>
        <v>Cleveland</v>
      </c>
      <c r="F1287" s="93" t="str">
        <f t="shared" si="171"/>
        <v>CP947</v>
      </c>
      <c r="G1287" s="99" t="str">
        <f t="shared" si="174"/>
        <v>CP947-NEW DONOR -2nd</v>
      </c>
      <c r="H1287" s="182"/>
      <c r="I1287" s="34" t="s">
        <v>38</v>
      </c>
      <c r="J1287" s="58">
        <v>100</v>
      </c>
      <c r="K1287" s="62">
        <v>100</v>
      </c>
      <c r="L1287" s="58">
        <v>100</v>
      </c>
      <c r="M1287" s="58">
        <v>100</v>
      </c>
      <c r="N1287" s="58">
        <v>100</v>
      </c>
      <c r="O1287" s="58">
        <v>100</v>
      </c>
      <c r="P1287" s="58">
        <v>100</v>
      </c>
      <c r="Q1287" s="58">
        <v>100</v>
      </c>
      <c r="R1287" s="23"/>
      <c r="S1287" s="117" t="str">
        <f t="shared" si="175"/>
        <v>N</v>
      </c>
      <c r="T1287" s="114">
        <f>IFERROR(SUMIF('Current NLData'!A:A,'Payment Changes'!G1287,'Current NLData'!K:K)/COUNTIF('Current NLData'!A:A,'Payment Changes'!G1287),0)+IFERROR(VLOOKUP(G1287&amp;"-ALL",NLPaymentExport,10,FALSE),0)</f>
        <v>100</v>
      </c>
      <c r="U1287" s="118">
        <f t="shared" ref="U1287:U1350" si="176">IF(OR(I1287 = "New Donor", I1287="Return Donor", I1287="Retention Bonus", I1287="Referral", I1287 = ""),"",T1287-Q1287 )</f>
        <v>0</v>
      </c>
    </row>
    <row r="1288" spans="1:54" ht="17.100000000000001" hidden="1" customHeight="1" outlineLevel="1" x14ac:dyDescent="0.25">
      <c r="A1288" s="3"/>
      <c r="C1288" s="4"/>
      <c r="D1288" s="181"/>
      <c r="E1288" s="91" t="str">
        <f t="shared" ref="E1288:E1351" si="177">IF(B1288 = "",E1287,B1288)</f>
        <v>Cleveland</v>
      </c>
      <c r="F1288" s="93" t="str">
        <f t="shared" ref="F1288:F1351" si="178">IF(D1288 = "",F1287,D1288)</f>
        <v>CP947</v>
      </c>
      <c r="G1288" s="99" t="str">
        <f t="shared" si="174"/>
        <v>CP947-NEW DONOR -3rd</v>
      </c>
      <c r="H1288" s="182"/>
      <c r="I1288" s="34" t="s">
        <v>39</v>
      </c>
      <c r="J1288" s="58">
        <v>100</v>
      </c>
      <c r="K1288" s="62">
        <v>100</v>
      </c>
      <c r="L1288" s="58">
        <v>100</v>
      </c>
      <c r="M1288" s="58">
        <v>100</v>
      </c>
      <c r="N1288" s="58">
        <v>100</v>
      </c>
      <c r="O1288" s="58">
        <v>100</v>
      </c>
      <c r="P1288" s="58">
        <v>100</v>
      </c>
      <c r="Q1288" s="58">
        <v>100</v>
      </c>
      <c r="R1288" s="23"/>
      <c r="S1288" s="117" t="str">
        <f t="shared" si="175"/>
        <v>N</v>
      </c>
      <c r="T1288" s="114">
        <f>IFERROR(SUMIF('Current NLData'!A:A,'Payment Changes'!G1288,'Current NLData'!K:K)/COUNTIF('Current NLData'!A:A,'Payment Changes'!G1288),0)+IFERROR(VLOOKUP(G1288&amp;"-ALL",NLPaymentExport,10,FALSE),0)</f>
        <v>100</v>
      </c>
      <c r="U1288" s="118">
        <f t="shared" si="176"/>
        <v>0</v>
      </c>
    </row>
    <row r="1289" spans="1:54" ht="17.100000000000001" hidden="1" customHeight="1" outlineLevel="1" x14ac:dyDescent="0.25">
      <c r="A1289" s="3"/>
      <c r="C1289" s="4"/>
      <c r="D1289" s="181"/>
      <c r="E1289" s="91" t="str">
        <f t="shared" si="177"/>
        <v>Cleveland</v>
      </c>
      <c r="F1289" s="93" t="str">
        <f t="shared" si="178"/>
        <v>CP947</v>
      </c>
      <c r="G1289" s="99" t="str">
        <f t="shared" si="174"/>
        <v>CP947-NEW DONOR -4th</v>
      </c>
      <c r="H1289" s="182"/>
      <c r="I1289" s="34" t="s">
        <v>40</v>
      </c>
      <c r="J1289" s="58">
        <v>100</v>
      </c>
      <c r="K1289" s="62">
        <v>100</v>
      </c>
      <c r="L1289" s="58">
        <v>100</v>
      </c>
      <c r="M1289" s="58">
        <v>100</v>
      </c>
      <c r="N1289" s="58">
        <v>100</v>
      </c>
      <c r="O1289" s="58">
        <v>100</v>
      </c>
      <c r="P1289" s="58">
        <v>100</v>
      </c>
      <c r="Q1289" s="58">
        <v>100</v>
      </c>
      <c r="R1289" s="23"/>
      <c r="S1289" s="117" t="str">
        <f t="shared" si="175"/>
        <v>N</v>
      </c>
      <c r="T1289" s="114">
        <f>IFERROR(SUMIF('Current NLData'!A:A,'Payment Changes'!G1289,'Current NLData'!K:K)/COUNTIF('Current NLData'!A:A,'Payment Changes'!G1289),0)+IFERROR(VLOOKUP(G1289&amp;"-ALL",NLPaymentExport,10,FALSE),0)</f>
        <v>100</v>
      </c>
      <c r="U1289" s="118">
        <f t="shared" si="176"/>
        <v>0</v>
      </c>
    </row>
    <row r="1290" spans="1:54" ht="17.100000000000001" hidden="1" customHeight="1" outlineLevel="1" x14ac:dyDescent="0.25">
      <c r="A1290" s="3"/>
      <c r="C1290" s="4"/>
      <c r="D1290" s="181"/>
      <c r="E1290" s="91" t="str">
        <f t="shared" si="177"/>
        <v>Cleveland</v>
      </c>
      <c r="F1290" s="93" t="str">
        <f t="shared" si="178"/>
        <v>CP947</v>
      </c>
      <c r="G1290" s="99" t="str">
        <f t="shared" si="174"/>
        <v>CP947-NEW DONOR -5th</v>
      </c>
      <c r="H1290" s="182"/>
      <c r="I1290" s="34" t="s">
        <v>41</v>
      </c>
      <c r="J1290" s="58">
        <v>50</v>
      </c>
      <c r="K1290" s="62">
        <v>50</v>
      </c>
      <c r="L1290" s="58">
        <v>50</v>
      </c>
      <c r="M1290" s="58">
        <v>100</v>
      </c>
      <c r="N1290" s="58">
        <v>100</v>
      </c>
      <c r="O1290" s="58">
        <v>100</v>
      </c>
      <c r="P1290" s="58">
        <v>100</v>
      </c>
      <c r="Q1290" s="58">
        <v>50</v>
      </c>
      <c r="R1290" s="23"/>
      <c r="S1290" s="117" t="str">
        <f t="shared" si="175"/>
        <v>Y</v>
      </c>
      <c r="T1290" s="114">
        <f>IFERROR(SUMIF('Current NLData'!A:A,'Payment Changes'!G1290,'Current NLData'!K:K)/COUNTIF('Current NLData'!A:A,'Payment Changes'!G1290),0)+IFERROR(VLOOKUP(G1290&amp;"-ALL",NLPaymentExport,10,FALSE),0)</f>
        <v>100</v>
      </c>
      <c r="U1290" s="118">
        <f t="shared" si="176"/>
        <v>50</v>
      </c>
    </row>
    <row r="1291" spans="1:54" ht="17.100000000000001" hidden="1" customHeight="1" outlineLevel="1" x14ac:dyDescent="0.25">
      <c r="A1291" s="3"/>
      <c r="C1291" s="4"/>
      <c r="D1291" s="181"/>
      <c r="E1291" s="91" t="str">
        <f t="shared" si="177"/>
        <v>Cleveland</v>
      </c>
      <c r="F1291" s="93" t="str">
        <f t="shared" si="178"/>
        <v>CP947</v>
      </c>
      <c r="G1291" s="99" t="str">
        <f t="shared" si="174"/>
        <v>CP947-NEW DONOR -6th</v>
      </c>
      <c r="H1291" s="182"/>
      <c r="I1291" s="34" t="s">
        <v>42</v>
      </c>
      <c r="J1291" s="58">
        <v>50</v>
      </c>
      <c r="K1291" s="62">
        <v>70</v>
      </c>
      <c r="L1291" s="58">
        <v>50</v>
      </c>
      <c r="M1291" s="58">
        <v>100</v>
      </c>
      <c r="N1291" s="58">
        <v>100</v>
      </c>
      <c r="O1291" s="58">
        <v>100</v>
      </c>
      <c r="P1291" s="58">
        <v>100</v>
      </c>
      <c r="Q1291" s="58">
        <v>50</v>
      </c>
      <c r="R1291" s="23"/>
      <c r="S1291" s="117" t="str">
        <f t="shared" si="175"/>
        <v>Y</v>
      </c>
      <c r="T1291" s="114">
        <f>IFERROR(SUMIF('Current NLData'!A:A,'Payment Changes'!G1291,'Current NLData'!K:K)/COUNTIF('Current NLData'!A:A,'Payment Changes'!G1291),0)+IFERROR(VLOOKUP(G1291&amp;"-ALL",NLPaymentExport,10,FALSE),0)</f>
        <v>100</v>
      </c>
      <c r="U1291" s="118">
        <f t="shared" si="176"/>
        <v>50</v>
      </c>
    </row>
    <row r="1292" spans="1:54" ht="17.100000000000001" hidden="1" customHeight="1" outlineLevel="1" x14ac:dyDescent="0.25">
      <c r="A1292" s="3"/>
      <c r="C1292" s="4"/>
      <c r="D1292" s="181"/>
      <c r="E1292" s="91" t="str">
        <f t="shared" si="177"/>
        <v>Cleveland</v>
      </c>
      <c r="F1292" s="93" t="str">
        <f t="shared" si="178"/>
        <v>CP947</v>
      </c>
      <c r="G1292" s="99" t="str">
        <f t="shared" si="174"/>
        <v>CP947-NEW DONOR -7th</v>
      </c>
      <c r="H1292" s="182"/>
      <c r="I1292" s="34" t="s">
        <v>43</v>
      </c>
      <c r="J1292" s="58">
        <v>50</v>
      </c>
      <c r="K1292" s="62">
        <v>50</v>
      </c>
      <c r="L1292" s="58">
        <v>50</v>
      </c>
      <c r="M1292" s="58">
        <v>50</v>
      </c>
      <c r="N1292" s="58">
        <v>50</v>
      </c>
      <c r="O1292" s="58">
        <v>50</v>
      </c>
      <c r="P1292" s="58">
        <v>50</v>
      </c>
      <c r="Q1292" s="58">
        <v>50</v>
      </c>
      <c r="R1292" s="23"/>
      <c r="S1292" s="117" t="str">
        <f t="shared" si="175"/>
        <v>N</v>
      </c>
      <c r="T1292" s="114">
        <f>IFERROR(SUMIF('Current NLData'!A:A,'Payment Changes'!G1292,'Current NLData'!K:K)/COUNTIF('Current NLData'!A:A,'Payment Changes'!G1292),0)+IFERROR(VLOOKUP(G1292&amp;"-ALL",NLPaymentExport,10,FALSE),0)</f>
        <v>50</v>
      </c>
      <c r="U1292" s="118">
        <f t="shared" si="176"/>
        <v>0</v>
      </c>
    </row>
    <row r="1293" spans="1:54" ht="17.100000000000001" hidden="1" customHeight="1" outlineLevel="1" x14ac:dyDescent="0.25">
      <c r="A1293" s="3"/>
      <c r="C1293" s="4"/>
      <c r="D1293" s="181"/>
      <c r="E1293" s="91" t="str">
        <f t="shared" si="177"/>
        <v>Cleveland</v>
      </c>
      <c r="F1293" s="93" t="str">
        <f t="shared" si="178"/>
        <v>CP947</v>
      </c>
      <c r="G1293" s="99" t="str">
        <f t="shared" si="174"/>
        <v>CP947-NEW DONOR -8th</v>
      </c>
      <c r="H1293" s="182"/>
      <c r="I1293" s="35" t="s">
        <v>44</v>
      </c>
      <c r="J1293" s="63">
        <v>50</v>
      </c>
      <c r="K1293" s="64">
        <v>70</v>
      </c>
      <c r="L1293" s="63">
        <v>50</v>
      </c>
      <c r="M1293" s="63">
        <v>50</v>
      </c>
      <c r="N1293" s="63">
        <v>50</v>
      </c>
      <c r="O1293" s="63">
        <v>50</v>
      </c>
      <c r="P1293" s="63">
        <v>50</v>
      </c>
      <c r="Q1293" s="63">
        <v>50</v>
      </c>
      <c r="R1293" s="23"/>
      <c r="S1293" s="117" t="str">
        <f t="shared" si="175"/>
        <v>N</v>
      </c>
      <c r="T1293" s="114">
        <f>IFERROR(SUMIF('Current NLData'!A:A,'Payment Changes'!G1293,'Current NLData'!K:K)/COUNTIF('Current NLData'!A:A,'Payment Changes'!G1293),0)+IFERROR(VLOOKUP(G1293&amp;"-ALL",NLPaymentExport,10,FALSE),0)</f>
        <v>50</v>
      </c>
      <c r="U1293" s="118">
        <f t="shared" si="176"/>
        <v>0</v>
      </c>
    </row>
    <row r="1294" spans="1:54" ht="17.100000000000001" hidden="1" customHeight="1" outlineLevel="1" x14ac:dyDescent="0.25">
      <c r="A1294" s="3"/>
      <c r="C1294" s="4"/>
      <c r="D1294" s="181"/>
      <c r="E1294" s="91" t="str">
        <f t="shared" si="177"/>
        <v>Cleveland</v>
      </c>
      <c r="F1294" s="93" t="str">
        <f t="shared" si="178"/>
        <v>CP947</v>
      </c>
      <c r="G1294" s="99" t="str">
        <f t="shared" si="174"/>
        <v>CP947-RETURN - 1st don of the week -STD</v>
      </c>
      <c r="H1294" s="182"/>
      <c r="I1294" s="36" t="s">
        <v>45</v>
      </c>
      <c r="J1294" s="58">
        <v>50</v>
      </c>
      <c r="K1294" s="58">
        <v>50</v>
      </c>
      <c r="L1294" s="58">
        <v>50</v>
      </c>
      <c r="M1294" s="58">
        <v>50</v>
      </c>
      <c r="N1294" s="58">
        <v>50</v>
      </c>
      <c r="O1294" s="58">
        <v>50</v>
      </c>
      <c r="P1294" s="58">
        <v>50</v>
      </c>
      <c r="Q1294" s="58">
        <v>50</v>
      </c>
      <c r="R1294" s="22"/>
      <c r="S1294" s="117" t="str">
        <f t="shared" si="175"/>
        <v>N</v>
      </c>
      <c r="T1294" s="114">
        <f>IFERROR(SUMIF('Current NLData'!A:A,'Payment Changes'!G1294,'Current NLData'!K:K)/COUNTIF('Current NLData'!A:A,'Payment Changes'!G1294),0)+IFERROR(VLOOKUP(G1294&amp;"-ALL",NLPaymentExport,10,FALSE),0)</f>
        <v>50</v>
      </c>
      <c r="U1294" s="118">
        <f t="shared" si="176"/>
        <v>0</v>
      </c>
    </row>
    <row r="1295" spans="1:54" ht="17.100000000000001" hidden="1" customHeight="1" outlineLevel="1" x14ac:dyDescent="0.25">
      <c r="A1295" s="3"/>
      <c r="C1295" s="4"/>
      <c r="D1295" s="181"/>
      <c r="E1295" s="91" t="str">
        <f t="shared" si="177"/>
        <v>Cleveland</v>
      </c>
      <c r="F1295" s="93" t="str">
        <f t="shared" si="178"/>
        <v>CP947</v>
      </c>
      <c r="G1295" s="99" t="str">
        <f t="shared" si="174"/>
        <v>CP947-RETURN - 2nd don of the week -BONUS</v>
      </c>
      <c r="H1295" s="182"/>
      <c r="I1295" s="36" t="s">
        <v>46</v>
      </c>
      <c r="J1295" s="58">
        <v>20</v>
      </c>
      <c r="K1295" s="58">
        <v>20</v>
      </c>
      <c r="L1295" s="58">
        <v>15</v>
      </c>
      <c r="M1295" s="58">
        <v>15</v>
      </c>
      <c r="N1295" s="58">
        <v>15</v>
      </c>
      <c r="O1295" s="58">
        <v>15</v>
      </c>
      <c r="P1295" s="58">
        <v>15</v>
      </c>
      <c r="Q1295" s="58">
        <v>10</v>
      </c>
      <c r="R1295" s="22"/>
      <c r="S1295" s="117" t="str">
        <f t="shared" si="175"/>
        <v>Y</v>
      </c>
      <c r="T1295" s="114">
        <f>IFERROR(SUMIF('Current NLData'!A:A,'Payment Changes'!G1295,'Current NLData'!K:K)/COUNTIF('Current NLData'!A:A,'Payment Changes'!G1295),0)+IFERROR(VLOOKUP(G1295&amp;"-ALL",NLPaymentExport,10,FALSE),0)</f>
        <v>15</v>
      </c>
      <c r="U1295" s="118">
        <f t="shared" si="176"/>
        <v>5</v>
      </c>
    </row>
    <row r="1296" spans="1:54" ht="17.100000000000001" hidden="1" customHeight="1" outlineLevel="1" x14ac:dyDescent="0.25">
      <c r="A1296" s="3"/>
      <c r="C1296" s="4"/>
      <c r="D1296" s="181"/>
      <c r="E1296" s="91" t="str">
        <f t="shared" si="177"/>
        <v>Cleveland</v>
      </c>
      <c r="F1296" s="93" t="str">
        <f t="shared" si="178"/>
        <v>CP947</v>
      </c>
      <c r="G1296" s="99" t="str">
        <f t="shared" si="174"/>
        <v>CP947-RETURN - 5th don of the month -BONUS</v>
      </c>
      <c r="H1296" s="182"/>
      <c r="I1296" s="37" t="s">
        <v>47</v>
      </c>
      <c r="J1296" s="65">
        <v>0</v>
      </c>
      <c r="K1296" s="65">
        <v>0</v>
      </c>
      <c r="L1296" s="65">
        <v>0</v>
      </c>
      <c r="M1296" s="65">
        <v>0</v>
      </c>
      <c r="N1296" s="65">
        <v>0</v>
      </c>
      <c r="O1296" s="65">
        <v>0</v>
      </c>
      <c r="P1296" s="65">
        <v>0</v>
      </c>
      <c r="Q1296" s="65">
        <v>0</v>
      </c>
      <c r="R1296" s="22"/>
      <c r="S1296" s="117" t="str">
        <f t="shared" si="175"/>
        <v>N</v>
      </c>
      <c r="T1296" s="114">
        <f>IFERROR(SUMIF('Current NLData'!A:A,'Payment Changes'!G1296,'Current NLData'!K:K)/COUNTIF('Current NLData'!A:A,'Payment Changes'!G1296),0)+IFERROR(VLOOKUP(G1296&amp;"-ALL",NLPaymentExport,10,FALSE),0)</f>
        <v>0</v>
      </c>
      <c r="U1296" s="118">
        <f t="shared" si="176"/>
        <v>0</v>
      </c>
    </row>
    <row r="1297" spans="1:54" ht="17.100000000000001" hidden="1" customHeight="1" outlineLevel="1" x14ac:dyDescent="0.25">
      <c r="A1297" s="3"/>
      <c r="C1297" s="4"/>
      <c r="D1297" s="181"/>
      <c r="E1297" s="91" t="str">
        <f t="shared" si="177"/>
        <v>Cleveland</v>
      </c>
      <c r="F1297" s="93" t="str">
        <f t="shared" si="178"/>
        <v>CP947</v>
      </c>
      <c r="G1297" s="99" t="str">
        <f t="shared" si="174"/>
        <v>CP947-RETURN - 6th don of the month -BONUS</v>
      </c>
      <c r="H1297" s="182"/>
      <c r="I1297" s="38" t="s">
        <v>48</v>
      </c>
      <c r="J1297" s="58">
        <v>25</v>
      </c>
      <c r="K1297" s="58">
        <v>25</v>
      </c>
      <c r="L1297" s="58">
        <v>0</v>
      </c>
      <c r="M1297" s="58">
        <v>30</v>
      </c>
      <c r="N1297" s="58">
        <v>30</v>
      </c>
      <c r="O1297" s="58">
        <v>30</v>
      </c>
      <c r="P1297" s="58">
        <v>30</v>
      </c>
      <c r="Q1297" s="58">
        <v>30</v>
      </c>
      <c r="R1297" s="22"/>
      <c r="S1297" s="117" t="str">
        <f t="shared" si="175"/>
        <v>N</v>
      </c>
      <c r="T1297" s="114">
        <f>IFERROR(SUMIF('Current NLData'!A:A,'Payment Changes'!G1297,'Current NLData'!K:K)/COUNTIF('Current NLData'!A:A,'Payment Changes'!G1297),0)+IFERROR(VLOOKUP(G1297&amp;"-ALL",NLPaymentExport,10,FALSE),0)</f>
        <v>30</v>
      </c>
      <c r="U1297" s="118">
        <f t="shared" si="176"/>
        <v>0</v>
      </c>
    </row>
    <row r="1298" spans="1:54" ht="17.100000000000001" hidden="1" customHeight="1" outlineLevel="1" x14ac:dyDescent="0.25">
      <c r="A1298" s="3"/>
      <c r="C1298" s="4"/>
      <c r="D1298" s="181"/>
      <c r="E1298" s="91" t="str">
        <f t="shared" si="177"/>
        <v>Cleveland</v>
      </c>
      <c r="F1298" s="93" t="str">
        <f t="shared" si="178"/>
        <v>CP947</v>
      </c>
      <c r="G1298" s="99" t="str">
        <f t="shared" si="174"/>
        <v>CP947-RETURN - 7th don of the month -BONUS</v>
      </c>
      <c r="H1298" s="182"/>
      <c r="I1298" s="38" t="s">
        <v>49</v>
      </c>
      <c r="J1298" s="58">
        <v>0</v>
      </c>
      <c r="K1298" s="58">
        <v>0</v>
      </c>
      <c r="L1298" s="58">
        <v>0</v>
      </c>
      <c r="M1298" s="58">
        <v>0</v>
      </c>
      <c r="N1298" s="58">
        <v>0</v>
      </c>
      <c r="O1298" s="58">
        <v>0</v>
      </c>
      <c r="P1298" s="58">
        <v>0</v>
      </c>
      <c r="Q1298" s="58">
        <v>0</v>
      </c>
      <c r="R1298" s="22"/>
      <c r="S1298" s="117" t="str">
        <f t="shared" si="175"/>
        <v>N</v>
      </c>
      <c r="T1298" s="114">
        <f>IFERROR(SUMIF('Current NLData'!A:A,'Payment Changes'!G1298,'Current NLData'!K:K)/COUNTIF('Current NLData'!A:A,'Payment Changes'!G1298),0)+IFERROR(VLOOKUP(G1298&amp;"-ALL",NLPaymentExport,10,FALSE),0)</f>
        <v>0</v>
      </c>
      <c r="U1298" s="118">
        <f t="shared" si="176"/>
        <v>0</v>
      </c>
    </row>
    <row r="1299" spans="1:54" ht="17.100000000000001" hidden="1" customHeight="1" outlineLevel="1" x14ac:dyDescent="0.25">
      <c r="A1299" s="3"/>
      <c r="C1299" s="4"/>
      <c r="D1299" s="181"/>
      <c r="E1299" s="91" t="str">
        <f t="shared" si="177"/>
        <v>Cleveland</v>
      </c>
      <c r="F1299" s="93" t="str">
        <f t="shared" si="178"/>
        <v>CP947</v>
      </c>
      <c r="G1299" s="99" t="str">
        <f t="shared" si="174"/>
        <v>CP947-RETURN - 8th don of the month -BONUS</v>
      </c>
      <c r="H1299" s="182"/>
      <c r="I1299" s="38" t="s">
        <v>50</v>
      </c>
      <c r="J1299" s="58">
        <v>0</v>
      </c>
      <c r="K1299" s="58">
        <v>0</v>
      </c>
      <c r="L1299" s="58">
        <v>0</v>
      </c>
      <c r="M1299" s="58">
        <v>0</v>
      </c>
      <c r="N1299" s="58">
        <v>0</v>
      </c>
      <c r="O1299" s="58">
        <v>0</v>
      </c>
      <c r="P1299" s="58">
        <v>0</v>
      </c>
      <c r="Q1299" s="58">
        <v>0</v>
      </c>
      <c r="R1299" s="22"/>
      <c r="S1299" s="117" t="str">
        <f t="shared" si="175"/>
        <v>N</v>
      </c>
      <c r="T1299" s="114">
        <f>IFERROR(SUMIF('Current NLData'!A:A,'Payment Changes'!G1299,'Current NLData'!K:K)/COUNTIF('Current NLData'!A:A,'Payment Changes'!G1299),0)+IFERROR(VLOOKUP(G1299&amp;"-ALL",NLPaymentExport,10,FALSE),0)</f>
        <v>0</v>
      </c>
      <c r="U1299" s="118">
        <f t="shared" si="176"/>
        <v>0</v>
      </c>
    </row>
    <row r="1300" spans="1:54" ht="17.100000000000001" hidden="1" customHeight="1" outlineLevel="1" x14ac:dyDescent="0.25">
      <c r="A1300" s="3"/>
      <c r="C1300" s="4" t="str">
        <f>IF(J1300=0,"Warning","")</f>
        <v/>
      </c>
      <c r="D1300" s="181"/>
      <c r="E1300" s="91" t="str">
        <f t="shared" si="177"/>
        <v>Cleveland</v>
      </c>
      <c r="F1300" s="93" t="str">
        <f t="shared" si="178"/>
        <v>CP947</v>
      </c>
      <c r="G1300" s="99" t="str">
        <f t="shared" si="174"/>
        <v>CP947-RETURN - Buddy referral  -BONUS</v>
      </c>
      <c r="H1300" s="182"/>
      <c r="I1300" s="39" t="s">
        <v>51</v>
      </c>
      <c r="J1300" s="58">
        <v>50</v>
      </c>
      <c r="K1300" s="58">
        <v>50</v>
      </c>
      <c r="L1300" s="58">
        <v>0</v>
      </c>
      <c r="M1300" s="58">
        <v>50</v>
      </c>
      <c r="N1300" s="58">
        <v>50</v>
      </c>
      <c r="O1300" s="58">
        <v>50</v>
      </c>
      <c r="P1300" s="58">
        <v>50</v>
      </c>
      <c r="Q1300" s="58">
        <v>50</v>
      </c>
      <c r="R1300" s="22"/>
      <c r="S1300" s="117" t="str">
        <f t="shared" si="175"/>
        <v>N</v>
      </c>
      <c r="T1300" s="114">
        <f>IFERROR(SUMIF('Current NLData'!A:A,'Payment Changes'!G1300,'Current NLData'!K:K)/COUNTIF('Current NLData'!A:A,'Payment Changes'!G1300),0)+IFERROR(VLOOKUP(G1300&amp;"-ALL",NLPaymentExport,10,FALSE),0)</f>
        <v>50</v>
      </c>
      <c r="U1300" s="118">
        <f t="shared" si="176"/>
        <v>0</v>
      </c>
    </row>
    <row r="1301" spans="1:54" s="90" customFormat="1" ht="17.100000000000001" hidden="1" customHeight="1" collapsed="1" x14ac:dyDescent="0.35">
      <c r="A1301" s="85"/>
      <c r="B1301" s="85"/>
      <c r="C1301" s="86"/>
      <c r="D1301" s="87"/>
      <c r="E1301" s="87"/>
      <c r="F1301" s="87"/>
      <c r="G1301" s="87"/>
      <c r="H1301" s="96"/>
      <c r="I1301" s="88"/>
      <c r="J1301" s="89"/>
      <c r="K1301" s="89"/>
      <c r="L1301" s="89"/>
      <c r="M1301" s="89"/>
      <c r="N1301" s="89"/>
      <c r="O1301" s="89"/>
      <c r="P1301" s="89"/>
      <c r="Q1301" s="89"/>
      <c r="R1301" s="21"/>
      <c r="S1301" s="117" t="str">
        <f t="shared" si="175"/>
        <v>N</v>
      </c>
      <c r="T1301" s="114">
        <f>IFERROR(SUMIF('Current NLData'!A:A,'Payment Changes'!G1301,'Current NLData'!K:K)/COUNTIF('Current NLData'!A:A,'Payment Changes'!G1301),0)+IFERROR(VLOOKUP(G1301&amp;"-ALL",NLPaymentExport,10,FALSE),0)</f>
        <v>0</v>
      </c>
      <c r="U1301" s="118" t="str">
        <f t="shared" si="176"/>
        <v/>
      </c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</row>
    <row r="1302" spans="1:54" s="10" customFormat="1" ht="17.100000000000001" hidden="1" customHeight="1" x14ac:dyDescent="0.25">
      <c r="A1302" s="165">
        <v>66</v>
      </c>
      <c r="B1302" s="168" t="s">
        <v>415</v>
      </c>
      <c r="C1302" s="171" t="s">
        <v>19</v>
      </c>
      <c r="D1302" s="174" t="s">
        <v>157</v>
      </c>
      <c r="E1302" s="106" t="str">
        <f t="shared" si="177"/>
        <v>Hickory</v>
      </c>
      <c r="F1302" s="107" t="s">
        <v>416</v>
      </c>
      <c r="G1302" s="108" t="str">
        <f t="shared" ref="G1302:G1320" si="179">F1302&amp;"-"&amp;I1302</f>
        <v>CP872-New Donor</v>
      </c>
      <c r="H1302" s="177" t="s">
        <v>147</v>
      </c>
      <c r="I1302" s="76" t="s">
        <v>23</v>
      </c>
      <c r="J1302" s="40" t="s">
        <v>289</v>
      </c>
      <c r="K1302" s="41" t="s">
        <v>417</v>
      </c>
      <c r="L1302" s="41" t="s">
        <v>293</v>
      </c>
      <c r="M1302" s="41" t="s">
        <v>289</v>
      </c>
      <c r="N1302" s="40" t="s">
        <v>289</v>
      </c>
      <c r="O1302" s="40" t="s">
        <v>289</v>
      </c>
      <c r="P1302" s="40" t="s">
        <v>289</v>
      </c>
      <c r="Q1302" s="40" t="s">
        <v>289</v>
      </c>
      <c r="R1302" s="109"/>
      <c r="S1302" s="117" t="str">
        <f t="shared" si="175"/>
        <v>N</v>
      </c>
      <c r="T1302" s="114">
        <f>IFERROR(SUMIF('Current NLData'!A:A,'Payment Changes'!G1302,'Current NLData'!K:K)/COUNTIF('Current NLData'!A:A,'Payment Changes'!G1302),0)+IFERROR(VLOOKUP(G1302&amp;"-ALL",NLPaymentExport,10,FALSE),0)</f>
        <v>0</v>
      </c>
      <c r="U1302" s="118" t="str">
        <f t="shared" si="176"/>
        <v/>
      </c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</row>
    <row r="1303" spans="1:54" ht="17.100000000000001" hidden="1" customHeight="1" x14ac:dyDescent="0.25">
      <c r="A1303" s="166"/>
      <c r="B1303" s="169"/>
      <c r="C1303" s="172"/>
      <c r="D1303" s="175"/>
      <c r="E1303" s="91" t="str">
        <f t="shared" si="177"/>
        <v>Hickory</v>
      </c>
      <c r="F1303" s="92" t="s">
        <v>416</v>
      </c>
      <c r="G1303" s="98" t="str">
        <f t="shared" si="179"/>
        <v>CP872-Return Donor</v>
      </c>
      <c r="H1303" s="178"/>
      <c r="I1303" s="77" t="s">
        <v>29</v>
      </c>
      <c r="J1303" s="43" t="s">
        <v>418</v>
      </c>
      <c r="K1303" s="43" t="s">
        <v>418</v>
      </c>
      <c r="L1303" s="44" t="s">
        <v>418</v>
      </c>
      <c r="M1303" s="45" t="s">
        <v>418</v>
      </c>
      <c r="N1303" s="43" t="s">
        <v>418</v>
      </c>
      <c r="O1303" s="43" t="s">
        <v>418</v>
      </c>
      <c r="P1303" s="43" t="s">
        <v>418</v>
      </c>
      <c r="Q1303" s="43" t="s">
        <v>418</v>
      </c>
      <c r="R1303" s="21"/>
      <c r="S1303" s="117" t="str">
        <f t="shared" si="175"/>
        <v>N</v>
      </c>
      <c r="T1303" s="114">
        <f>IFERROR(SUMIF('Current NLData'!A:A,'Payment Changes'!G1303,'Current NLData'!K:K)/COUNTIF('Current NLData'!A:A,'Payment Changes'!G1303),0)+IFERROR(VLOOKUP(G1303&amp;"-ALL",NLPaymentExport,10,FALSE),0)</f>
        <v>0</v>
      </c>
      <c r="U1303" s="118" t="str">
        <f t="shared" si="176"/>
        <v/>
      </c>
    </row>
    <row r="1304" spans="1:54" ht="17.100000000000001" hidden="1" customHeight="1" x14ac:dyDescent="0.25">
      <c r="A1304" s="166"/>
      <c r="B1304" s="169"/>
      <c r="C1304" s="172"/>
      <c r="D1304" s="175"/>
      <c r="E1304" s="91" t="str">
        <f t="shared" si="177"/>
        <v>Hickory</v>
      </c>
      <c r="F1304" s="92" t="s">
        <v>416</v>
      </c>
      <c r="G1304" s="98" t="str">
        <f t="shared" si="179"/>
        <v>CP872-Retention Bonus</v>
      </c>
      <c r="H1304" s="178"/>
      <c r="I1304" s="78" t="s">
        <v>30</v>
      </c>
      <c r="J1304" s="46" t="s">
        <v>419</v>
      </c>
      <c r="K1304" s="46" t="s">
        <v>419</v>
      </c>
      <c r="L1304" s="47" t="s">
        <v>419</v>
      </c>
      <c r="M1304" s="47" t="s">
        <v>387</v>
      </c>
      <c r="N1304" s="46" t="s">
        <v>387</v>
      </c>
      <c r="O1304" s="46" t="s">
        <v>387</v>
      </c>
      <c r="P1304" s="46" t="s">
        <v>387</v>
      </c>
      <c r="Q1304" s="46" t="s">
        <v>387</v>
      </c>
      <c r="R1304" s="21"/>
      <c r="S1304" s="117" t="str">
        <f t="shared" si="175"/>
        <v>N</v>
      </c>
      <c r="T1304" s="114">
        <f>IFERROR(SUMIF('Current NLData'!A:A,'Payment Changes'!G1304,'Current NLData'!K:K)/COUNTIF('Current NLData'!A:A,'Payment Changes'!G1304),0)+IFERROR(VLOOKUP(G1304&amp;"-ALL",NLPaymentExport,10,FALSE),0)</f>
        <v>0</v>
      </c>
      <c r="U1304" s="118" t="str">
        <f t="shared" si="176"/>
        <v/>
      </c>
    </row>
    <row r="1305" spans="1:54" s="15" customFormat="1" ht="17.100000000000001" hidden="1" customHeight="1" x14ac:dyDescent="0.25">
      <c r="A1305" s="167"/>
      <c r="B1305" s="170"/>
      <c r="C1305" s="173"/>
      <c r="D1305" s="176"/>
      <c r="E1305" s="110" t="str">
        <f t="shared" si="177"/>
        <v>Hickory</v>
      </c>
      <c r="F1305" s="111" t="s">
        <v>416</v>
      </c>
      <c r="G1305" s="112" t="str">
        <f t="shared" si="179"/>
        <v>CP872-Referral</v>
      </c>
      <c r="H1305" s="179"/>
      <c r="I1305" s="79" t="s">
        <v>34</v>
      </c>
      <c r="J1305" s="49" t="s">
        <v>246</v>
      </c>
      <c r="K1305" s="49" t="s">
        <v>246</v>
      </c>
      <c r="L1305" s="50" t="s">
        <v>32</v>
      </c>
      <c r="M1305" s="50" t="s">
        <v>35</v>
      </c>
      <c r="N1305" s="49" t="s">
        <v>35</v>
      </c>
      <c r="O1305" s="49" t="s">
        <v>35</v>
      </c>
      <c r="P1305" s="49" t="s">
        <v>35</v>
      </c>
      <c r="Q1305" s="49" t="s">
        <v>35</v>
      </c>
      <c r="R1305" s="113"/>
      <c r="S1305" s="117" t="str">
        <f t="shared" si="175"/>
        <v>N</v>
      </c>
      <c r="T1305" s="114">
        <f>IFERROR(SUMIF('Current NLData'!A:A,'Payment Changes'!G1305,'Current NLData'!K:K)/COUNTIF('Current NLData'!A:A,'Payment Changes'!G1305),0)+IFERROR(VLOOKUP(G1305&amp;"-ALL",NLPaymentExport,10,FALSE),0)</f>
        <v>0</v>
      </c>
      <c r="U1305" s="118" t="str">
        <f t="shared" si="176"/>
        <v/>
      </c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</row>
    <row r="1306" spans="1:54" ht="17.100000000000001" hidden="1" customHeight="1" outlineLevel="1" x14ac:dyDescent="0.25">
      <c r="A1306" s="3"/>
      <c r="C1306" s="4"/>
      <c r="D1306" s="180" t="s">
        <v>416</v>
      </c>
      <c r="E1306" s="91" t="str">
        <f t="shared" si="177"/>
        <v>Hickory</v>
      </c>
      <c r="F1306" s="93" t="str">
        <f t="shared" si="178"/>
        <v>CP872</v>
      </c>
      <c r="G1306" s="99" t="str">
        <f t="shared" si="179"/>
        <v>CP872-NEW DONOR -1st</v>
      </c>
      <c r="H1306" s="182" t="s">
        <v>36</v>
      </c>
      <c r="I1306" s="33" t="s">
        <v>37</v>
      </c>
      <c r="J1306" s="60">
        <v>100</v>
      </c>
      <c r="K1306" s="61">
        <v>100</v>
      </c>
      <c r="L1306" s="60">
        <v>100</v>
      </c>
      <c r="M1306" s="60">
        <v>100</v>
      </c>
      <c r="N1306" s="60">
        <v>100</v>
      </c>
      <c r="O1306" s="60">
        <v>100</v>
      </c>
      <c r="P1306" s="60">
        <v>100</v>
      </c>
      <c r="Q1306" s="60">
        <v>100</v>
      </c>
      <c r="R1306" s="23"/>
      <c r="S1306" s="117" t="str">
        <f t="shared" si="175"/>
        <v>N</v>
      </c>
      <c r="T1306" s="114">
        <f>IFERROR(SUMIF('Current NLData'!A:A,'Payment Changes'!G1306,'Current NLData'!K:K)/COUNTIF('Current NLData'!A:A,'Payment Changes'!G1306),0)+IFERROR(VLOOKUP(G1306&amp;"-ALL",NLPaymentExport,10,FALSE),0)</f>
        <v>100</v>
      </c>
      <c r="U1306" s="118">
        <f t="shared" si="176"/>
        <v>0</v>
      </c>
    </row>
    <row r="1307" spans="1:54" ht="17.100000000000001" hidden="1" customHeight="1" outlineLevel="1" x14ac:dyDescent="0.25">
      <c r="A1307" s="3"/>
      <c r="C1307" s="4"/>
      <c r="D1307" s="181"/>
      <c r="E1307" s="91" t="str">
        <f t="shared" si="177"/>
        <v>Hickory</v>
      </c>
      <c r="F1307" s="93" t="str">
        <f t="shared" si="178"/>
        <v>CP872</v>
      </c>
      <c r="G1307" s="99" t="str">
        <f t="shared" si="179"/>
        <v>CP872-NEW DONOR -2nd</v>
      </c>
      <c r="H1307" s="182"/>
      <c r="I1307" s="34" t="s">
        <v>38</v>
      </c>
      <c r="J1307" s="58">
        <v>100</v>
      </c>
      <c r="K1307" s="62">
        <v>100</v>
      </c>
      <c r="L1307" s="58">
        <v>100</v>
      </c>
      <c r="M1307" s="58">
        <v>100</v>
      </c>
      <c r="N1307" s="58">
        <v>100</v>
      </c>
      <c r="O1307" s="58">
        <v>100</v>
      </c>
      <c r="P1307" s="58">
        <v>100</v>
      </c>
      <c r="Q1307" s="58">
        <v>100</v>
      </c>
      <c r="R1307" s="23"/>
      <c r="S1307" s="117" t="str">
        <f t="shared" si="175"/>
        <v>N</v>
      </c>
      <c r="T1307" s="114">
        <f>IFERROR(SUMIF('Current NLData'!A:A,'Payment Changes'!G1307,'Current NLData'!K:K)/COUNTIF('Current NLData'!A:A,'Payment Changes'!G1307),0)+IFERROR(VLOOKUP(G1307&amp;"-ALL",NLPaymentExport,10,FALSE),0)</f>
        <v>100</v>
      </c>
      <c r="U1307" s="118">
        <f t="shared" si="176"/>
        <v>0</v>
      </c>
    </row>
    <row r="1308" spans="1:54" ht="17.100000000000001" hidden="1" customHeight="1" outlineLevel="1" x14ac:dyDescent="0.25">
      <c r="A1308" s="3"/>
      <c r="C1308" s="4"/>
      <c r="D1308" s="181"/>
      <c r="E1308" s="91" t="str">
        <f t="shared" si="177"/>
        <v>Hickory</v>
      </c>
      <c r="F1308" s="93" t="str">
        <f t="shared" si="178"/>
        <v>CP872</v>
      </c>
      <c r="G1308" s="99" t="str">
        <f t="shared" si="179"/>
        <v>CP872-NEW DONOR -3rd</v>
      </c>
      <c r="H1308" s="182"/>
      <c r="I1308" s="34" t="s">
        <v>39</v>
      </c>
      <c r="J1308" s="58">
        <v>100</v>
      </c>
      <c r="K1308" s="62">
        <v>100</v>
      </c>
      <c r="L1308" s="58">
        <v>30</v>
      </c>
      <c r="M1308" s="58">
        <v>100</v>
      </c>
      <c r="N1308" s="58">
        <v>100</v>
      </c>
      <c r="O1308" s="58">
        <v>100</v>
      </c>
      <c r="P1308" s="58">
        <v>100</v>
      </c>
      <c r="Q1308" s="58">
        <v>100</v>
      </c>
      <c r="R1308" s="23"/>
      <c r="S1308" s="117" t="str">
        <f t="shared" si="175"/>
        <v>N</v>
      </c>
      <c r="T1308" s="114">
        <f>IFERROR(SUMIF('Current NLData'!A:A,'Payment Changes'!G1308,'Current NLData'!K:K)/COUNTIF('Current NLData'!A:A,'Payment Changes'!G1308),0)+IFERROR(VLOOKUP(G1308&amp;"-ALL",NLPaymentExport,10,FALSE),0)</f>
        <v>100</v>
      </c>
      <c r="U1308" s="118">
        <f t="shared" si="176"/>
        <v>0</v>
      </c>
    </row>
    <row r="1309" spans="1:54" ht="17.100000000000001" hidden="1" customHeight="1" outlineLevel="1" x14ac:dyDescent="0.25">
      <c r="A1309" s="3"/>
      <c r="C1309" s="4"/>
      <c r="D1309" s="181"/>
      <c r="E1309" s="91" t="str">
        <f t="shared" si="177"/>
        <v>Hickory</v>
      </c>
      <c r="F1309" s="93" t="str">
        <f t="shared" si="178"/>
        <v>CP872</v>
      </c>
      <c r="G1309" s="99" t="str">
        <f t="shared" si="179"/>
        <v>CP872-NEW DONOR -4th</v>
      </c>
      <c r="H1309" s="182"/>
      <c r="I1309" s="34" t="s">
        <v>40</v>
      </c>
      <c r="J1309" s="58">
        <v>30</v>
      </c>
      <c r="K1309" s="62">
        <v>30</v>
      </c>
      <c r="L1309" s="58">
        <v>30</v>
      </c>
      <c r="M1309" s="58">
        <v>30</v>
      </c>
      <c r="N1309" s="58">
        <v>30</v>
      </c>
      <c r="O1309" s="58">
        <v>30</v>
      </c>
      <c r="P1309" s="58">
        <v>30</v>
      </c>
      <c r="Q1309" s="58">
        <v>30</v>
      </c>
      <c r="R1309" s="23"/>
      <c r="S1309" s="117" t="str">
        <f t="shared" si="175"/>
        <v>N</v>
      </c>
      <c r="T1309" s="114">
        <f>IFERROR(SUMIF('Current NLData'!A:A,'Payment Changes'!G1309,'Current NLData'!K:K)/COUNTIF('Current NLData'!A:A,'Payment Changes'!G1309),0)+IFERROR(VLOOKUP(G1309&amp;"-ALL",NLPaymentExport,10,FALSE),0)</f>
        <v>30</v>
      </c>
      <c r="U1309" s="118">
        <f t="shared" si="176"/>
        <v>0</v>
      </c>
    </row>
    <row r="1310" spans="1:54" ht="17.100000000000001" hidden="1" customHeight="1" outlineLevel="1" x14ac:dyDescent="0.25">
      <c r="A1310" s="3"/>
      <c r="C1310" s="4"/>
      <c r="D1310" s="181"/>
      <c r="E1310" s="91" t="str">
        <f t="shared" si="177"/>
        <v>Hickory</v>
      </c>
      <c r="F1310" s="93" t="str">
        <f t="shared" si="178"/>
        <v>CP872</v>
      </c>
      <c r="G1310" s="99" t="str">
        <f t="shared" si="179"/>
        <v>CP872-NEW DONOR -5th</v>
      </c>
      <c r="H1310" s="182"/>
      <c r="I1310" s="34" t="s">
        <v>41</v>
      </c>
      <c r="J1310" s="58">
        <v>30</v>
      </c>
      <c r="K1310" s="62">
        <v>60</v>
      </c>
      <c r="L1310" s="58">
        <v>30</v>
      </c>
      <c r="M1310" s="58">
        <v>30</v>
      </c>
      <c r="N1310" s="58">
        <v>30</v>
      </c>
      <c r="O1310" s="58">
        <v>30</v>
      </c>
      <c r="P1310" s="58">
        <v>30</v>
      </c>
      <c r="Q1310" s="58">
        <v>30</v>
      </c>
      <c r="R1310" s="23"/>
      <c r="S1310" s="117" t="str">
        <f t="shared" si="175"/>
        <v>N</v>
      </c>
      <c r="T1310" s="114">
        <f>IFERROR(SUMIF('Current NLData'!A:A,'Payment Changes'!G1310,'Current NLData'!K:K)/COUNTIF('Current NLData'!A:A,'Payment Changes'!G1310),0)+IFERROR(VLOOKUP(G1310&amp;"-ALL",NLPaymentExport,10,FALSE),0)</f>
        <v>30</v>
      </c>
      <c r="U1310" s="118">
        <f t="shared" si="176"/>
        <v>0</v>
      </c>
    </row>
    <row r="1311" spans="1:54" ht="17.100000000000001" hidden="1" customHeight="1" outlineLevel="1" x14ac:dyDescent="0.25">
      <c r="A1311" s="3"/>
      <c r="C1311" s="4"/>
      <c r="D1311" s="181"/>
      <c r="E1311" s="91" t="str">
        <f t="shared" si="177"/>
        <v>Hickory</v>
      </c>
      <c r="F1311" s="93" t="str">
        <f t="shared" si="178"/>
        <v>CP872</v>
      </c>
      <c r="G1311" s="99" t="str">
        <f t="shared" si="179"/>
        <v>CP872-NEW DONOR -6th</v>
      </c>
      <c r="H1311" s="182"/>
      <c r="I1311" s="34" t="s">
        <v>42</v>
      </c>
      <c r="J1311" s="58">
        <v>30</v>
      </c>
      <c r="K1311" s="62">
        <v>30</v>
      </c>
      <c r="L1311" s="58">
        <v>30</v>
      </c>
      <c r="M1311" s="58">
        <v>30</v>
      </c>
      <c r="N1311" s="58">
        <v>30</v>
      </c>
      <c r="O1311" s="58">
        <v>30</v>
      </c>
      <c r="P1311" s="58">
        <v>30</v>
      </c>
      <c r="Q1311" s="58">
        <v>30</v>
      </c>
      <c r="R1311" s="23"/>
      <c r="S1311" s="117" t="str">
        <f t="shared" si="175"/>
        <v>N</v>
      </c>
      <c r="T1311" s="114">
        <f>IFERROR(SUMIF('Current NLData'!A:A,'Payment Changes'!G1311,'Current NLData'!K:K)/COUNTIF('Current NLData'!A:A,'Payment Changes'!G1311),0)+IFERROR(VLOOKUP(G1311&amp;"-ALL",NLPaymentExport,10,FALSE),0)</f>
        <v>30</v>
      </c>
      <c r="U1311" s="118">
        <f t="shared" si="176"/>
        <v>0</v>
      </c>
    </row>
    <row r="1312" spans="1:54" ht="17.100000000000001" hidden="1" customHeight="1" outlineLevel="1" x14ac:dyDescent="0.25">
      <c r="A1312" s="3"/>
      <c r="C1312" s="4"/>
      <c r="D1312" s="181"/>
      <c r="E1312" s="91" t="str">
        <f t="shared" si="177"/>
        <v>Hickory</v>
      </c>
      <c r="F1312" s="93" t="str">
        <f t="shared" si="178"/>
        <v>CP872</v>
      </c>
      <c r="G1312" s="99" t="str">
        <f t="shared" si="179"/>
        <v>CP872-NEW DONOR -7th</v>
      </c>
      <c r="H1312" s="182"/>
      <c r="I1312" s="34" t="s">
        <v>43</v>
      </c>
      <c r="J1312" s="58">
        <v>30</v>
      </c>
      <c r="K1312" s="62">
        <v>60</v>
      </c>
      <c r="L1312" s="58">
        <v>30</v>
      </c>
      <c r="M1312" s="58">
        <v>30</v>
      </c>
      <c r="N1312" s="58">
        <v>30</v>
      </c>
      <c r="O1312" s="58">
        <v>30</v>
      </c>
      <c r="P1312" s="58">
        <v>30</v>
      </c>
      <c r="Q1312" s="58">
        <v>30</v>
      </c>
      <c r="R1312" s="23"/>
      <c r="S1312" s="117" t="str">
        <f t="shared" si="175"/>
        <v>N</v>
      </c>
      <c r="T1312" s="114">
        <f>IFERROR(SUMIF('Current NLData'!A:A,'Payment Changes'!G1312,'Current NLData'!K:K)/COUNTIF('Current NLData'!A:A,'Payment Changes'!G1312),0)+IFERROR(VLOOKUP(G1312&amp;"-ALL",NLPaymentExport,10,FALSE),0)</f>
        <v>30</v>
      </c>
      <c r="U1312" s="118">
        <f t="shared" si="176"/>
        <v>0</v>
      </c>
    </row>
    <row r="1313" spans="1:54" ht="17.100000000000001" hidden="1" customHeight="1" outlineLevel="1" x14ac:dyDescent="0.25">
      <c r="A1313" s="3"/>
      <c r="C1313" s="4"/>
      <c r="D1313" s="181"/>
      <c r="E1313" s="91" t="str">
        <f t="shared" si="177"/>
        <v>Hickory</v>
      </c>
      <c r="F1313" s="93" t="str">
        <f t="shared" si="178"/>
        <v>CP872</v>
      </c>
      <c r="G1313" s="99" t="str">
        <f t="shared" si="179"/>
        <v>CP872-NEW DONOR -8th</v>
      </c>
      <c r="H1313" s="182"/>
      <c r="I1313" s="35" t="s">
        <v>44</v>
      </c>
      <c r="J1313" s="63">
        <v>30</v>
      </c>
      <c r="K1313" s="64">
        <v>30</v>
      </c>
      <c r="L1313" s="63">
        <v>30</v>
      </c>
      <c r="M1313" s="63">
        <v>30</v>
      </c>
      <c r="N1313" s="63">
        <v>30</v>
      </c>
      <c r="O1313" s="63">
        <v>30</v>
      </c>
      <c r="P1313" s="63">
        <v>30</v>
      </c>
      <c r="Q1313" s="63">
        <v>30</v>
      </c>
      <c r="R1313" s="23"/>
      <c r="S1313" s="117" t="str">
        <f t="shared" si="175"/>
        <v>N</v>
      </c>
      <c r="T1313" s="114">
        <f>IFERROR(SUMIF('Current NLData'!A:A,'Payment Changes'!G1313,'Current NLData'!K:K)/COUNTIF('Current NLData'!A:A,'Payment Changes'!G1313),0)+IFERROR(VLOOKUP(G1313&amp;"-ALL",NLPaymentExport,10,FALSE),0)</f>
        <v>30</v>
      </c>
      <c r="U1313" s="118">
        <f t="shared" si="176"/>
        <v>0</v>
      </c>
    </row>
    <row r="1314" spans="1:54" ht="17.100000000000001" hidden="1" customHeight="1" outlineLevel="1" x14ac:dyDescent="0.25">
      <c r="A1314" s="3"/>
      <c r="C1314" s="4"/>
      <c r="D1314" s="181"/>
      <c r="E1314" s="91" t="str">
        <f t="shared" si="177"/>
        <v>Hickory</v>
      </c>
      <c r="F1314" s="93" t="str">
        <f t="shared" si="178"/>
        <v>CP872</v>
      </c>
      <c r="G1314" s="99" t="str">
        <f t="shared" si="179"/>
        <v>CP872-RETURN - 1st don of the week -STD</v>
      </c>
      <c r="H1314" s="182"/>
      <c r="I1314" s="36" t="s">
        <v>45</v>
      </c>
      <c r="J1314" s="58">
        <v>30</v>
      </c>
      <c r="K1314" s="58">
        <v>30</v>
      </c>
      <c r="L1314" s="58">
        <v>30</v>
      </c>
      <c r="M1314" s="58">
        <v>30</v>
      </c>
      <c r="N1314" s="58">
        <v>30</v>
      </c>
      <c r="O1314" s="58">
        <v>30</v>
      </c>
      <c r="P1314" s="58">
        <v>30</v>
      </c>
      <c r="Q1314" s="58">
        <v>30</v>
      </c>
      <c r="R1314" s="22"/>
      <c r="S1314" s="117" t="str">
        <f t="shared" si="175"/>
        <v>N</v>
      </c>
      <c r="T1314" s="114">
        <f>IFERROR(SUMIF('Current NLData'!A:A,'Payment Changes'!G1314,'Current NLData'!K:K)/COUNTIF('Current NLData'!A:A,'Payment Changes'!G1314),0)+IFERROR(VLOOKUP(G1314&amp;"-ALL",NLPaymentExport,10,FALSE),0)</f>
        <v>30</v>
      </c>
      <c r="U1314" s="118">
        <f t="shared" si="176"/>
        <v>0</v>
      </c>
    </row>
    <row r="1315" spans="1:54" ht="17.100000000000001" hidden="1" customHeight="1" outlineLevel="1" x14ac:dyDescent="0.25">
      <c r="A1315" s="3"/>
      <c r="C1315" s="4"/>
      <c r="D1315" s="181"/>
      <c r="E1315" s="91" t="str">
        <f t="shared" si="177"/>
        <v>Hickory</v>
      </c>
      <c r="F1315" s="93" t="str">
        <f t="shared" si="178"/>
        <v>CP872</v>
      </c>
      <c r="G1315" s="99" t="str">
        <f t="shared" si="179"/>
        <v>CP872-RETURN - 2nd don of the week -BONUS</v>
      </c>
      <c r="H1315" s="182"/>
      <c r="I1315" s="36" t="s">
        <v>46</v>
      </c>
      <c r="J1315" s="58">
        <v>30</v>
      </c>
      <c r="K1315" s="58">
        <v>30</v>
      </c>
      <c r="L1315" s="58">
        <v>30</v>
      </c>
      <c r="M1315" s="58">
        <v>30</v>
      </c>
      <c r="N1315" s="58">
        <v>30</v>
      </c>
      <c r="O1315" s="58">
        <v>30</v>
      </c>
      <c r="P1315" s="58">
        <v>30</v>
      </c>
      <c r="Q1315" s="58">
        <v>30</v>
      </c>
      <c r="R1315" s="22"/>
      <c r="S1315" s="117" t="str">
        <f t="shared" si="175"/>
        <v>N</v>
      </c>
      <c r="T1315" s="114">
        <f>IFERROR(SUMIF('Current NLData'!A:A,'Payment Changes'!G1315,'Current NLData'!K:K)/COUNTIF('Current NLData'!A:A,'Payment Changes'!G1315),0)+IFERROR(VLOOKUP(G1315&amp;"-ALL",NLPaymentExport,10,FALSE),0)</f>
        <v>30</v>
      </c>
      <c r="U1315" s="118">
        <f t="shared" si="176"/>
        <v>0</v>
      </c>
    </row>
    <row r="1316" spans="1:54" ht="17.100000000000001" hidden="1" customHeight="1" outlineLevel="1" x14ac:dyDescent="0.25">
      <c r="A1316" s="3"/>
      <c r="C1316" s="4"/>
      <c r="D1316" s="181"/>
      <c r="E1316" s="91" t="str">
        <f t="shared" si="177"/>
        <v>Hickory</v>
      </c>
      <c r="F1316" s="93" t="str">
        <f t="shared" si="178"/>
        <v>CP872</v>
      </c>
      <c r="G1316" s="99" t="str">
        <f t="shared" si="179"/>
        <v>CP872-RETURN - 5th don of the month -BONUS</v>
      </c>
      <c r="H1316" s="182"/>
      <c r="I1316" s="37" t="s">
        <v>47</v>
      </c>
      <c r="J1316" s="65">
        <v>0</v>
      </c>
      <c r="K1316" s="65">
        <v>0</v>
      </c>
      <c r="L1316" s="65">
        <v>0</v>
      </c>
      <c r="M1316" s="65">
        <v>0</v>
      </c>
      <c r="N1316" s="65">
        <v>0</v>
      </c>
      <c r="O1316" s="65">
        <v>0</v>
      </c>
      <c r="P1316" s="65">
        <v>0</v>
      </c>
      <c r="Q1316" s="65">
        <v>0</v>
      </c>
      <c r="R1316" s="22"/>
      <c r="S1316" s="117" t="str">
        <f t="shared" si="175"/>
        <v>N</v>
      </c>
      <c r="T1316" s="114">
        <f>IFERROR(SUMIF('Current NLData'!A:A,'Payment Changes'!G1316,'Current NLData'!K:K)/COUNTIF('Current NLData'!A:A,'Payment Changes'!G1316),0)+IFERROR(VLOOKUP(G1316&amp;"-ALL",NLPaymentExport,10,FALSE),0)</f>
        <v>0</v>
      </c>
      <c r="U1316" s="118">
        <f t="shared" si="176"/>
        <v>0</v>
      </c>
    </row>
    <row r="1317" spans="1:54" ht="17.100000000000001" hidden="1" customHeight="1" outlineLevel="1" x14ac:dyDescent="0.25">
      <c r="A1317" s="3"/>
      <c r="C1317" s="4"/>
      <c r="D1317" s="181"/>
      <c r="E1317" s="91" t="str">
        <f t="shared" si="177"/>
        <v>Hickory</v>
      </c>
      <c r="F1317" s="93" t="str">
        <f t="shared" si="178"/>
        <v>CP872</v>
      </c>
      <c r="G1317" s="99" t="str">
        <f t="shared" si="179"/>
        <v>CP872-RETURN - 6th don of the month -BONUS</v>
      </c>
      <c r="H1317" s="182"/>
      <c r="I1317" s="38" t="s">
        <v>48</v>
      </c>
      <c r="J1317" s="58">
        <v>25</v>
      </c>
      <c r="K1317" s="58">
        <v>25</v>
      </c>
      <c r="L1317" s="58">
        <v>25</v>
      </c>
      <c r="M1317" s="58">
        <v>30</v>
      </c>
      <c r="N1317" s="58">
        <v>30</v>
      </c>
      <c r="O1317" s="58">
        <v>30</v>
      </c>
      <c r="P1317" s="58">
        <v>30</v>
      </c>
      <c r="Q1317" s="58">
        <v>30</v>
      </c>
      <c r="R1317" s="22"/>
      <c r="S1317" s="117" t="str">
        <f t="shared" si="175"/>
        <v>N</v>
      </c>
      <c r="T1317" s="114">
        <f>IFERROR(SUMIF('Current NLData'!A:A,'Payment Changes'!G1317,'Current NLData'!K:K)/COUNTIF('Current NLData'!A:A,'Payment Changes'!G1317),0)+IFERROR(VLOOKUP(G1317&amp;"-ALL",NLPaymentExport,10,FALSE),0)</f>
        <v>30</v>
      </c>
      <c r="U1317" s="118">
        <f t="shared" si="176"/>
        <v>0</v>
      </c>
    </row>
    <row r="1318" spans="1:54" ht="17.100000000000001" hidden="1" customHeight="1" outlineLevel="1" x14ac:dyDescent="0.25">
      <c r="A1318" s="3"/>
      <c r="C1318" s="4"/>
      <c r="D1318" s="181"/>
      <c r="E1318" s="91" t="str">
        <f t="shared" si="177"/>
        <v>Hickory</v>
      </c>
      <c r="F1318" s="93" t="str">
        <f t="shared" si="178"/>
        <v>CP872</v>
      </c>
      <c r="G1318" s="99" t="str">
        <f t="shared" si="179"/>
        <v>CP872-RETURN - 7th don of the month -BONUS</v>
      </c>
      <c r="H1318" s="182"/>
      <c r="I1318" s="38" t="s">
        <v>49</v>
      </c>
      <c r="J1318" s="58">
        <v>0</v>
      </c>
      <c r="K1318" s="58">
        <v>0</v>
      </c>
      <c r="L1318" s="58">
        <v>0</v>
      </c>
      <c r="M1318" s="58">
        <v>0</v>
      </c>
      <c r="N1318" s="58">
        <v>0</v>
      </c>
      <c r="O1318" s="58">
        <v>0</v>
      </c>
      <c r="P1318" s="58">
        <v>0</v>
      </c>
      <c r="Q1318" s="58">
        <v>0</v>
      </c>
      <c r="R1318" s="22"/>
      <c r="S1318" s="117" t="str">
        <f t="shared" si="175"/>
        <v>N</v>
      </c>
      <c r="T1318" s="114">
        <f>IFERROR(SUMIF('Current NLData'!A:A,'Payment Changes'!G1318,'Current NLData'!K:K)/COUNTIF('Current NLData'!A:A,'Payment Changes'!G1318),0)+IFERROR(VLOOKUP(G1318&amp;"-ALL",NLPaymentExport,10,FALSE),0)</f>
        <v>0</v>
      </c>
      <c r="U1318" s="118">
        <f t="shared" si="176"/>
        <v>0</v>
      </c>
    </row>
    <row r="1319" spans="1:54" ht="17.100000000000001" hidden="1" customHeight="1" outlineLevel="1" x14ac:dyDescent="0.25">
      <c r="A1319" s="3"/>
      <c r="C1319" s="4"/>
      <c r="D1319" s="181"/>
      <c r="E1319" s="91" t="str">
        <f t="shared" si="177"/>
        <v>Hickory</v>
      </c>
      <c r="F1319" s="93" t="str">
        <f t="shared" si="178"/>
        <v>CP872</v>
      </c>
      <c r="G1319" s="99" t="str">
        <f t="shared" si="179"/>
        <v>CP872-RETURN - 8th don of the month -BONUS</v>
      </c>
      <c r="H1319" s="182"/>
      <c r="I1319" s="38" t="s">
        <v>50</v>
      </c>
      <c r="J1319" s="58">
        <v>0</v>
      </c>
      <c r="K1319" s="58">
        <v>0</v>
      </c>
      <c r="L1319" s="58">
        <v>0</v>
      </c>
      <c r="M1319" s="58">
        <v>0</v>
      </c>
      <c r="N1319" s="58">
        <v>0</v>
      </c>
      <c r="O1319" s="58">
        <v>0</v>
      </c>
      <c r="P1319" s="58">
        <v>0</v>
      </c>
      <c r="Q1319" s="58">
        <v>0</v>
      </c>
      <c r="R1319" s="22"/>
      <c r="S1319" s="117" t="str">
        <f t="shared" si="175"/>
        <v>N</v>
      </c>
      <c r="T1319" s="114">
        <f>IFERROR(SUMIF('Current NLData'!A:A,'Payment Changes'!G1319,'Current NLData'!K:K)/COUNTIF('Current NLData'!A:A,'Payment Changes'!G1319),0)+IFERROR(VLOOKUP(G1319&amp;"-ALL",NLPaymentExport,10,FALSE),0)</f>
        <v>0</v>
      </c>
      <c r="U1319" s="118">
        <f t="shared" si="176"/>
        <v>0</v>
      </c>
    </row>
    <row r="1320" spans="1:54" ht="17.100000000000001" hidden="1" customHeight="1" outlineLevel="1" x14ac:dyDescent="0.25">
      <c r="A1320" s="3"/>
      <c r="C1320" s="4"/>
      <c r="D1320" s="181"/>
      <c r="E1320" s="91" t="str">
        <f t="shared" si="177"/>
        <v>Hickory</v>
      </c>
      <c r="F1320" s="93" t="str">
        <f t="shared" si="178"/>
        <v>CP872</v>
      </c>
      <c r="G1320" s="99" t="str">
        <f t="shared" si="179"/>
        <v>CP872-RETURN - Buddy referral  -BONUS</v>
      </c>
      <c r="H1320" s="182"/>
      <c r="I1320" s="39" t="s">
        <v>51</v>
      </c>
      <c r="J1320" s="58">
        <v>0</v>
      </c>
      <c r="K1320" s="58">
        <v>0</v>
      </c>
      <c r="L1320" s="58">
        <v>0</v>
      </c>
      <c r="M1320" s="58">
        <v>50</v>
      </c>
      <c r="N1320" s="58">
        <v>50</v>
      </c>
      <c r="O1320" s="58">
        <v>50</v>
      </c>
      <c r="P1320" s="58">
        <v>50</v>
      </c>
      <c r="Q1320" s="58">
        <v>50</v>
      </c>
      <c r="R1320" s="22"/>
      <c r="S1320" s="117" t="str">
        <f t="shared" si="175"/>
        <v>N</v>
      </c>
      <c r="T1320" s="114">
        <f>IFERROR(SUMIF('Current NLData'!A:A,'Payment Changes'!G1320,'Current NLData'!K:K)/COUNTIF('Current NLData'!A:A,'Payment Changes'!G1320),0)+IFERROR(VLOOKUP(G1320&amp;"-ALL",NLPaymentExport,10,FALSE),0)</f>
        <v>50</v>
      </c>
      <c r="U1320" s="118">
        <f t="shared" si="176"/>
        <v>0</v>
      </c>
    </row>
    <row r="1321" spans="1:54" s="90" customFormat="1" ht="17.100000000000001" hidden="1" customHeight="1" collapsed="1" x14ac:dyDescent="0.35">
      <c r="A1321" s="85"/>
      <c r="B1321" s="85"/>
      <c r="C1321" s="86"/>
      <c r="D1321" s="87"/>
      <c r="E1321" s="87"/>
      <c r="F1321" s="87"/>
      <c r="G1321" s="87"/>
      <c r="H1321" s="96"/>
      <c r="I1321" s="88"/>
      <c r="J1321" s="89"/>
      <c r="K1321" s="89"/>
      <c r="L1321" s="89"/>
      <c r="M1321" s="89"/>
      <c r="N1321" s="89"/>
      <c r="O1321" s="89"/>
      <c r="P1321" s="89"/>
      <c r="Q1321" s="89"/>
      <c r="R1321" s="21"/>
      <c r="S1321" s="117" t="str">
        <f t="shared" si="175"/>
        <v>N</v>
      </c>
      <c r="T1321" s="114">
        <f>IFERROR(SUMIF('Current NLData'!A:A,'Payment Changes'!G1321,'Current NLData'!K:K)/COUNTIF('Current NLData'!A:A,'Payment Changes'!G1321),0)+IFERROR(VLOOKUP(G1321&amp;"-ALL",NLPaymentExport,10,FALSE),0)</f>
        <v>0</v>
      </c>
      <c r="U1321" s="118" t="str">
        <f t="shared" si="176"/>
        <v/>
      </c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</row>
    <row r="1322" spans="1:54" s="10" customFormat="1" ht="17.100000000000001" hidden="1" customHeight="1" x14ac:dyDescent="0.25">
      <c r="A1322" s="165">
        <v>67</v>
      </c>
      <c r="B1322" s="168" t="s">
        <v>420</v>
      </c>
      <c r="C1322" s="171" t="s">
        <v>19</v>
      </c>
      <c r="D1322" s="174" t="s">
        <v>157</v>
      </c>
      <c r="E1322" s="106" t="str">
        <f t="shared" si="177"/>
        <v>Anderson</v>
      </c>
      <c r="F1322" s="107" t="s">
        <v>421</v>
      </c>
      <c r="G1322" s="108" t="str">
        <f t="shared" ref="G1322:G1340" si="180">F1322&amp;"-"&amp;I1322</f>
        <v>CP873-New Donor</v>
      </c>
      <c r="H1322" s="177" t="s">
        <v>147</v>
      </c>
      <c r="I1322" s="76" t="s">
        <v>23</v>
      </c>
      <c r="J1322" s="40" t="s">
        <v>422</v>
      </c>
      <c r="K1322" s="41" t="s">
        <v>423</v>
      </c>
      <c r="L1322" s="41" t="s">
        <v>422</v>
      </c>
      <c r="M1322" s="42" t="s">
        <v>422</v>
      </c>
      <c r="N1322" s="40" t="s">
        <v>422</v>
      </c>
      <c r="O1322" s="40" t="s">
        <v>422</v>
      </c>
      <c r="P1322" s="40" t="s">
        <v>422</v>
      </c>
      <c r="Q1322" s="40" t="s">
        <v>289</v>
      </c>
      <c r="R1322" s="109"/>
      <c r="S1322" s="117" t="str">
        <f t="shared" si="175"/>
        <v>Y</v>
      </c>
      <c r="T1322" s="114">
        <f>IFERROR(SUMIF('Current NLData'!A:A,'Payment Changes'!G1322,'Current NLData'!K:K)/COUNTIF('Current NLData'!A:A,'Payment Changes'!G1322),0)+IFERROR(VLOOKUP(G1322&amp;"-ALL",NLPaymentExport,10,FALSE),0)</f>
        <v>0</v>
      </c>
      <c r="U1322" s="118" t="str">
        <f t="shared" si="176"/>
        <v/>
      </c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</row>
    <row r="1323" spans="1:54" ht="17.100000000000001" hidden="1" customHeight="1" x14ac:dyDescent="0.25">
      <c r="A1323" s="166"/>
      <c r="B1323" s="169"/>
      <c r="C1323" s="172"/>
      <c r="D1323" s="175"/>
      <c r="E1323" s="91" t="str">
        <f t="shared" si="177"/>
        <v>Anderson</v>
      </c>
      <c r="F1323" s="92" t="s">
        <v>421</v>
      </c>
      <c r="G1323" s="98" t="str">
        <f t="shared" si="180"/>
        <v>CP873-Return Donor</v>
      </c>
      <c r="H1323" s="178"/>
      <c r="I1323" s="77" t="s">
        <v>29</v>
      </c>
      <c r="J1323" s="43" t="s">
        <v>424</v>
      </c>
      <c r="K1323" s="43" t="s">
        <v>424</v>
      </c>
      <c r="L1323" s="44" t="s">
        <v>179</v>
      </c>
      <c r="M1323" s="44" t="s">
        <v>253</v>
      </c>
      <c r="N1323" s="43" t="s">
        <v>253</v>
      </c>
      <c r="O1323" s="43" t="s">
        <v>425</v>
      </c>
      <c r="P1323" s="43" t="s">
        <v>425</v>
      </c>
      <c r="Q1323" s="43" t="s">
        <v>235</v>
      </c>
      <c r="R1323" s="21"/>
      <c r="S1323" s="117" t="str">
        <f t="shared" si="175"/>
        <v>Y</v>
      </c>
      <c r="T1323" s="114">
        <f>IFERROR(SUMIF('Current NLData'!A:A,'Payment Changes'!G1323,'Current NLData'!K:K)/COUNTIF('Current NLData'!A:A,'Payment Changes'!G1323),0)+IFERROR(VLOOKUP(G1323&amp;"-ALL",NLPaymentExport,10,FALSE),0)</f>
        <v>0</v>
      </c>
      <c r="U1323" s="118" t="str">
        <f t="shared" si="176"/>
        <v/>
      </c>
    </row>
    <row r="1324" spans="1:54" ht="17.100000000000001" hidden="1" customHeight="1" x14ac:dyDescent="0.25">
      <c r="A1324" s="166"/>
      <c r="B1324" s="169"/>
      <c r="C1324" s="172"/>
      <c r="D1324" s="175"/>
      <c r="E1324" s="91" t="str">
        <f t="shared" si="177"/>
        <v>Anderson</v>
      </c>
      <c r="F1324" s="92" t="s">
        <v>421</v>
      </c>
      <c r="G1324" s="98" t="str">
        <f t="shared" si="180"/>
        <v>CP873-Retention Bonus</v>
      </c>
      <c r="H1324" s="178"/>
      <c r="I1324" s="78" t="s">
        <v>30</v>
      </c>
      <c r="J1324" s="46" t="s">
        <v>163</v>
      </c>
      <c r="K1324" s="46" t="s">
        <v>163</v>
      </c>
      <c r="L1324" s="47" t="s">
        <v>101</v>
      </c>
      <c r="M1324" s="48" t="s">
        <v>101</v>
      </c>
      <c r="N1324" s="46" t="s">
        <v>101</v>
      </c>
      <c r="O1324" s="46" t="s">
        <v>101</v>
      </c>
      <c r="P1324" s="46" t="s">
        <v>101</v>
      </c>
      <c r="Q1324" s="46" t="s">
        <v>101</v>
      </c>
      <c r="R1324" s="21"/>
      <c r="S1324" s="117" t="str">
        <f t="shared" si="175"/>
        <v>N</v>
      </c>
      <c r="T1324" s="114">
        <f>IFERROR(SUMIF('Current NLData'!A:A,'Payment Changes'!G1324,'Current NLData'!K:K)/COUNTIF('Current NLData'!A:A,'Payment Changes'!G1324),0)+IFERROR(VLOOKUP(G1324&amp;"-ALL",NLPaymentExport,10,FALSE),0)</f>
        <v>0</v>
      </c>
      <c r="U1324" s="118" t="str">
        <f t="shared" si="176"/>
        <v/>
      </c>
    </row>
    <row r="1325" spans="1:54" s="15" customFormat="1" ht="17.100000000000001" hidden="1" customHeight="1" x14ac:dyDescent="0.25">
      <c r="A1325" s="167"/>
      <c r="B1325" s="170"/>
      <c r="C1325" s="173"/>
      <c r="D1325" s="176"/>
      <c r="E1325" s="110" t="str">
        <f t="shared" si="177"/>
        <v>Anderson</v>
      </c>
      <c r="F1325" s="111" t="s">
        <v>421</v>
      </c>
      <c r="G1325" s="112" t="str">
        <f t="shared" si="180"/>
        <v>CP873-Referral</v>
      </c>
      <c r="H1325" s="179"/>
      <c r="I1325" s="79" t="s">
        <v>34</v>
      </c>
      <c r="J1325" s="49" t="s">
        <v>246</v>
      </c>
      <c r="K1325" s="49" t="s">
        <v>246</v>
      </c>
      <c r="L1325" s="50" t="s">
        <v>32</v>
      </c>
      <c r="M1325" s="50" t="s">
        <v>35</v>
      </c>
      <c r="N1325" s="49" t="s">
        <v>35</v>
      </c>
      <c r="O1325" s="49" t="s">
        <v>35</v>
      </c>
      <c r="P1325" s="49" t="s">
        <v>35</v>
      </c>
      <c r="Q1325" s="49" t="s">
        <v>35</v>
      </c>
      <c r="R1325" s="113"/>
      <c r="S1325" s="117" t="str">
        <f t="shared" si="175"/>
        <v>N</v>
      </c>
      <c r="T1325" s="114">
        <f>IFERROR(SUMIF('Current NLData'!A:A,'Payment Changes'!G1325,'Current NLData'!K:K)/COUNTIF('Current NLData'!A:A,'Payment Changes'!G1325),0)+IFERROR(VLOOKUP(G1325&amp;"-ALL",NLPaymentExport,10,FALSE),0)</f>
        <v>0</v>
      </c>
      <c r="U1325" s="118" t="str">
        <f t="shared" si="176"/>
        <v/>
      </c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</row>
    <row r="1326" spans="1:54" ht="17.100000000000001" hidden="1" customHeight="1" outlineLevel="1" x14ac:dyDescent="0.25">
      <c r="A1326" s="3"/>
      <c r="C1326" s="4"/>
      <c r="D1326" s="180" t="s">
        <v>421</v>
      </c>
      <c r="E1326" s="91" t="str">
        <f t="shared" si="177"/>
        <v>Anderson</v>
      </c>
      <c r="F1326" s="93" t="str">
        <f t="shared" si="178"/>
        <v>CP873</v>
      </c>
      <c r="G1326" s="99" t="str">
        <f t="shared" si="180"/>
        <v>CP873-NEW DONOR -1st</v>
      </c>
      <c r="H1326" s="182" t="s">
        <v>36</v>
      </c>
      <c r="I1326" s="33" t="s">
        <v>37</v>
      </c>
      <c r="J1326" s="60">
        <v>100</v>
      </c>
      <c r="K1326" s="61">
        <v>100</v>
      </c>
      <c r="L1326" s="60">
        <v>100</v>
      </c>
      <c r="M1326" s="60">
        <v>100</v>
      </c>
      <c r="N1326" s="60">
        <v>100</v>
      </c>
      <c r="O1326" s="60">
        <v>100</v>
      </c>
      <c r="P1326" s="60">
        <v>100</v>
      </c>
      <c r="Q1326" s="60">
        <v>100</v>
      </c>
      <c r="R1326" s="23"/>
      <c r="S1326" s="117" t="str">
        <f t="shared" si="175"/>
        <v>N</v>
      </c>
      <c r="T1326" s="114">
        <f>IFERROR(SUMIF('Current NLData'!A:A,'Payment Changes'!G1326,'Current NLData'!K:K)/COUNTIF('Current NLData'!A:A,'Payment Changes'!G1326),0)+IFERROR(VLOOKUP(G1326&amp;"-ALL",NLPaymentExport,10,FALSE),0)</f>
        <v>100</v>
      </c>
      <c r="U1326" s="118">
        <f t="shared" si="176"/>
        <v>0</v>
      </c>
    </row>
    <row r="1327" spans="1:54" ht="17.100000000000001" hidden="1" customHeight="1" outlineLevel="1" x14ac:dyDescent="0.25">
      <c r="A1327" s="3"/>
      <c r="C1327" s="4"/>
      <c r="D1327" s="181"/>
      <c r="E1327" s="91" t="str">
        <f t="shared" si="177"/>
        <v>Anderson</v>
      </c>
      <c r="F1327" s="93" t="str">
        <f t="shared" si="178"/>
        <v>CP873</v>
      </c>
      <c r="G1327" s="99" t="str">
        <f t="shared" si="180"/>
        <v>CP873-NEW DONOR -2nd</v>
      </c>
      <c r="H1327" s="182"/>
      <c r="I1327" s="34" t="s">
        <v>38</v>
      </c>
      <c r="J1327" s="58">
        <v>100</v>
      </c>
      <c r="K1327" s="62">
        <v>100</v>
      </c>
      <c r="L1327" s="58">
        <v>100</v>
      </c>
      <c r="M1327" s="58">
        <v>100</v>
      </c>
      <c r="N1327" s="58">
        <v>100</v>
      </c>
      <c r="O1327" s="58">
        <v>100</v>
      </c>
      <c r="P1327" s="58">
        <v>100</v>
      </c>
      <c r="Q1327" s="58">
        <v>100</v>
      </c>
      <c r="R1327" s="23"/>
      <c r="S1327" s="117" t="str">
        <f t="shared" si="175"/>
        <v>N</v>
      </c>
      <c r="T1327" s="114">
        <f>IFERROR(SUMIF('Current NLData'!A:A,'Payment Changes'!G1327,'Current NLData'!K:K)/COUNTIF('Current NLData'!A:A,'Payment Changes'!G1327),0)+IFERROR(VLOOKUP(G1327&amp;"-ALL",NLPaymentExport,10,FALSE),0)</f>
        <v>100</v>
      </c>
      <c r="U1327" s="118">
        <f t="shared" si="176"/>
        <v>0</v>
      </c>
    </row>
    <row r="1328" spans="1:54" ht="17.100000000000001" hidden="1" customHeight="1" outlineLevel="1" x14ac:dyDescent="0.25">
      <c r="A1328" s="3"/>
      <c r="C1328" s="4"/>
      <c r="D1328" s="181"/>
      <c r="E1328" s="91" t="str">
        <f t="shared" si="177"/>
        <v>Anderson</v>
      </c>
      <c r="F1328" s="93" t="str">
        <f t="shared" si="178"/>
        <v>CP873</v>
      </c>
      <c r="G1328" s="99" t="str">
        <f t="shared" si="180"/>
        <v>CP873-NEW DONOR -3rd</v>
      </c>
      <c r="H1328" s="182"/>
      <c r="I1328" s="34" t="s">
        <v>39</v>
      </c>
      <c r="J1328" s="58">
        <v>100</v>
      </c>
      <c r="K1328" s="62">
        <v>100</v>
      </c>
      <c r="L1328" s="58">
        <v>100</v>
      </c>
      <c r="M1328" s="58">
        <v>100</v>
      </c>
      <c r="N1328" s="58">
        <v>100</v>
      </c>
      <c r="O1328" s="58">
        <v>100</v>
      </c>
      <c r="P1328" s="58">
        <v>100</v>
      </c>
      <c r="Q1328" s="58">
        <v>100</v>
      </c>
      <c r="R1328" s="23"/>
      <c r="S1328" s="117" t="str">
        <f t="shared" si="175"/>
        <v>N</v>
      </c>
      <c r="T1328" s="114">
        <f>IFERROR(SUMIF('Current NLData'!A:A,'Payment Changes'!G1328,'Current NLData'!K:K)/COUNTIF('Current NLData'!A:A,'Payment Changes'!G1328),0)+IFERROR(VLOOKUP(G1328&amp;"-ALL",NLPaymentExport,10,FALSE),0)</f>
        <v>100</v>
      </c>
      <c r="U1328" s="118">
        <f t="shared" si="176"/>
        <v>0</v>
      </c>
    </row>
    <row r="1329" spans="1:54" ht="17.100000000000001" hidden="1" customHeight="1" outlineLevel="1" x14ac:dyDescent="0.25">
      <c r="A1329" s="3"/>
      <c r="C1329" s="4"/>
      <c r="D1329" s="181"/>
      <c r="E1329" s="91" t="str">
        <f t="shared" si="177"/>
        <v>Anderson</v>
      </c>
      <c r="F1329" s="93" t="str">
        <f t="shared" si="178"/>
        <v>CP873</v>
      </c>
      <c r="G1329" s="99" t="str">
        <f t="shared" si="180"/>
        <v>CP873-NEW DONOR -4th</v>
      </c>
      <c r="H1329" s="182"/>
      <c r="I1329" s="34" t="s">
        <v>40</v>
      </c>
      <c r="J1329" s="58">
        <v>100</v>
      </c>
      <c r="K1329" s="62">
        <v>100</v>
      </c>
      <c r="L1329" s="58">
        <v>100</v>
      </c>
      <c r="M1329" s="58">
        <v>100</v>
      </c>
      <c r="N1329" s="58">
        <v>100</v>
      </c>
      <c r="O1329" s="58">
        <v>100</v>
      </c>
      <c r="P1329" s="58">
        <v>100</v>
      </c>
      <c r="Q1329" s="58">
        <v>45</v>
      </c>
      <c r="R1329" s="23"/>
      <c r="S1329" s="117" t="str">
        <f t="shared" si="175"/>
        <v>Y</v>
      </c>
      <c r="T1329" s="114">
        <f>IFERROR(SUMIF('Current NLData'!A:A,'Payment Changes'!G1329,'Current NLData'!K:K)/COUNTIF('Current NLData'!A:A,'Payment Changes'!G1329),0)+IFERROR(VLOOKUP(G1329&amp;"-ALL",NLPaymentExport,10,FALSE),0)</f>
        <v>100</v>
      </c>
      <c r="U1329" s="118">
        <f t="shared" si="176"/>
        <v>55</v>
      </c>
    </row>
    <row r="1330" spans="1:54" ht="17.100000000000001" hidden="1" customHeight="1" outlineLevel="1" x14ac:dyDescent="0.25">
      <c r="A1330" s="3"/>
      <c r="C1330" s="4"/>
      <c r="D1330" s="181"/>
      <c r="E1330" s="91" t="str">
        <f t="shared" si="177"/>
        <v>Anderson</v>
      </c>
      <c r="F1330" s="93" t="str">
        <f t="shared" si="178"/>
        <v>CP873</v>
      </c>
      <c r="G1330" s="99" t="str">
        <f t="shared" si="180"/>
        <v>CP873-NEW DONOR -5th</v>
      </c>
      <c r="H1330" s="182"/>
      <c r="I1330" s="34" t="s">
        <v>41</v>
      </c>
      <c r="J1330" s="58">
        <v>100</v>
      </c>
      <c r="K1330" s="62">
        <v>100</v>
      </c>
      <c r="L1330" s="58">
        <v>100</v>
      </c>
      <c r="M1330" s="58">
        <v>100</v>
      </c>
      <c r="N1330" s="58">
        <v>100</v>
      </c>
      <c r="O1330" s="58">
        <v>100</v>
      </c>
      <c r="P1330" s="58">
        <v>100</v>
      </c>
      <c r="Q1330" s="58">
        <v>45</v>
      </c>
      <c r="R1330" s="23"/>
      <c r="S1330" s="117" t="str">
        <f t="shared" si="175"/>
        <v>Y</v>
      </c>
      <c r="T1330" s="114">
        <f>IFERROR(SUMIF('Current NLData'!A:A,'Payment Changes'!G1330,'Current NLData'!K:K)/COUNTIF('Current NLData'!A:A,'Payment Changes'!G1330),0)+IFERROR(VLOOKUP(G1330&amp;"-ALL",NLPaymentExport,10,FALSE),0)</f>
        <v>100</v>
      </c>
      <c r="U1330" s="118">
        <f t="shared" si="176"/>
        <v>55</v>
      </c>
    </row>
    <row r="1331" spans="1:54" ht="17.100000000000001" hidden="1" customHeight="1" outlineLevel="1" x14ac:dyDescent="0.25">
      <c r="A1331" s="3"/>
      <c r="C1331" s="4"/>
      <c r="D1331" s="181"/>
      <c r="E1331" s="91" t="str">
        <f t="shared" si="177"/>
        <v>Anderson</v>
      </c>
      <c r="F1331" s="93" t="str">
        <f t="shared" si="178"/>
        <v>CP873</v>
      </c>
      <c r="G1331" s="99" t="str">
        <f t="shared" si="180"/>
        <v>CP873-NEW DONOR -6th</v>
      </c>
      <c r="H1331" s="182"/>
      <c r="I1331" s="34" t="s">
        <v>42</v>
      </c>
      <c r="J1331" s="58">
        <v>40</v>
      </c>
      <c r="K1331" s="62">
        <v>40</v>
      </c>
      <c r="L1331" s="58">
        <v>40</v>
      </c>
      <c r="M1331" s="58">
        <v>40</v>
      </c>
      <c r="N1331" s="58">
        <v>40</v>
      </c>
      <c r="O1331" s="58">
        <v>50</v>
      </c>
      <c r="P1331" s="58">
        <v>50</v>
      </c>
      <c r="Q1331" s="58">
        <v>45</v>
      </c>
      <c r="R1331" s="23"/>
      <c r="S1331" s="117" t="str">
        <f t="shared" si="175"/>
        <v>Y</v>
      </c>
      <c r="T1331" s="114">
        <f>IFERROR(SUMIF('Current NLData'!A:A,'Payment Changes'!G1331,'Current NLData'!K:K)/COUNTIF('Current NLData'!A:A,'Payment Changes'!G1331),0)+IFERROR(VLOOKUP(G1331&amp;"-ALL",NLPaymentExport,10,FALSE),0)</f>
        <v>50</v>
      </c>
      <c r="U1331" s="118">
        <f t="shared" si="176"/>
        <v>5</v>
      </c>
    </row>
    <row r="1332" spans="1:54" ht="17.100000000000001" hidden="1" customHeight="1" outlineLevel="1" x14ac:dyDescent="0.25">
      <c r="A1332" s="3"/>
      <c r="C1332" s="4"/>
      <c r="D1332" s="181"/>
      <c r="E1332" s="91" t="str">
        <f t="shared" si="177"/>
        <v>Anderson</v>
      </c>
      <c r="F1332" s="93" t="str">
        <f t="shared" si="178"/>
        <v>CP873</v>
      </c>
      <c r="G1332" s="99" t="str">
        <f t="shared" si="180"/>
        <v>CP873-NEW DONOR -7th</v>
      </c>
      <c r="H1332" s="182"/>
      <c r="I1332" s="34" t="s">
        <v>43</v>
      </c>
      <c r="J1332" s="58">
        <v>40</v>
      </c>
      <c r="K1332" s="62">
        <v>70</v>
      </c>
      <c r="L1332" s="58">
        <v>40</v>
      </c>
      <c r="M1332" s="58">
        <v>40</v>
      </c>
      <c r="N1332" s="58">
        <v>40</v>
      </c>
      <c r="O1332" s="58">
        <v>50</v>
      </c>
      <c r="P1332" s="58">
        <v>50</v>
      </c>
      <c r="Q1332" s="58">
        <v>45</v>
      </c>
      <c r="R1332" s="23"/>
      <c r="S1332" s="117" t="str">
        <f t="shared" si="175"/>
        <v>Y</v>
      </c>
      <c r="T1332" s="114">
        <f>IFERROR(SUMIF('Current NLData'!A:A,'Payment Changes'!G1332,'Current NLData'!K:K)/COUNTIF('Current NLData'!A:A,'Payment Changes'!G1332),0)+IFERROR(VLOOKUP(G1332&amp;"-ALL",NLPaymentExport,10,FALSE),0)</f>
        <v>50</v>
      </c>
      <c r="U1332" s="118">
        <f t="shared" si="176"/>
        <v>5</v>
      </c>
    </row>
    <row r="1333" spans="1:54" ht="17.100000000000001" hidden="1" customHeight="1" outlineLevel="1" x14ac:dyDescent="0.25">
      <c r="A1333" s="3"/>
      <c r="C1333" s="4"/>
      <c r="D1333" s="181"/>
      <c r="E1333" s="91" t="str">
        <f t="shared" si="177"/>
        <v>Anderson</v>
      </c>
      <c r="F1333" s="93" t="str">
        <f t="shared" si="178"/>
        <v>CP873</v>
      </c>
      <c r="G1333" s="99" t="str">
        <f t="shared" si="180"/>
        <v>CP873-NEW DONOR -8th</v>
      </c>
      <c r="H1333" s="182"/>
      <c r="I1333" s="35" t="s">
        <v>44</v>
      </c>
      <c r="J1333" s="63">
        <v>40</v>
      </c>
      <c r="K1333" s="64">
        <v>40</v>
      </c>
      <c r="L1333" s="63">
        <v>40</v>
      </c>
      <c r="M1333" s="63">
        <v>40</v>
      </c>
      <c r="N1333" s="63">
        <v>40</v>
      </c>
      <c r="O1333" s="63">
        <v>50</v>
      </c>
      <c r="P1333" s="63">
        <v>50</v>
      </c>
      <c r="Q1333" s="63">
        <v>45</v>
      </c>
      <c r="R1333" s="23"/>
      <c r="S1333" s="117" t="str">
        <f t="shared" si="175"/>
        <v>Y</v>
      </c>
      <c r="T1333" s="114">
        <f>IFERROR(SUMIF('Current NLData'!A:A,'Payment Changes'!G1333,'Current NLData'!K:K)/COUNTIF('Current NLData'!A:A,'Payment Changes'!G1333),0)+IFERROR(VLOOKUP(G1333&amp;"-ALL",NLPaymentExport,10,FALSE),0)</f>
        <v>50</v>
      </c>
      <c r="U1333" s="118">
        <f t="shared" si="176"/>
        <v>5</v>
      </c>
    </row>
    <row r="1334" spans="1:54" ht="17.100000000000001" hidden="1" customHeight="1" outlineLevel="1" x14ac:dyDescent="0.25">
      <c r="A1334" s="3"/>
      <c r="C1334" s="4"/>
      <c r="D1334" s="181"/>
      <c r="E1334" s="91" t="str">
        <f t="shared" si="177"/>
        <v>Anderson</v>
      </c>
      <c r="F1334" s="93" t="str">
        <f t="shared" si="178"/>
        <v>CP873</v>
      </c>
      <c r="G1334" s="99" t="str">
        <f t="shared" si="180"/>
        <v>CP873-RETURN - 1st don of the week -STD</v>
      </c>
      <c r="H1334" s="182"/>
      <c r="I1334" s="36" t="s">
        <v>45</v>
      </c>
      <c r="J1334" s="58">
        <v>40</v>
      </c>
      <c r="K1334" s="58">
        <v>40</v>
      </c>
      <c r="L1334" s="58">
        <v>40</v>
      </c>
      <c r="M1334" s="58">
        <v>40</v>
      </c>
      <c r="N1334" s="58">
        <v>40</v>
      </c>
      <c r="O1334" s="58">
        <v>50</v>
      </c>
      <c r="P1334" s="58">
        <v>50</v>
      </c>
      <c r="Q1334" s="58">
        <v>45</v>
      </c>
      <c r="R1334" s="22"/>
      <c r="S1334" s="117" t="str">
        <f t="shared" si="175"/>
        <v>Y</v>
      </c>
      <c r="T1334" s="114">
        <f>IFERROR(SUMIF('Current NLData'!A:A,'Payment Changes'!G1334,'Current NLData'!K:K)/COUNTIF('Current NLData'!A:A,'Payment Changes'!G1334),0)+IFERROR(VLOOKUP(G1334&amp;"-ALL",NLPaymentExport,10,FALSE),0)</f>
        <v>50</v>
      </c>
      <c r="U1334" s="118">
        <f t="shared" si="176"/>
        <v>5</v>
      </c>
    </row>
    <row r="1335" spans="1:54" ht="17.100000000000001" hidden="1" customHeight="1" outlineLevel="1" x14ac:dyDescent="0.25">
      <c r="A1335" s="3"/>
      <c r="C1335" s="4"/>
      <c r="D1335" s="181"/>
      <c r="E1335" s="91" t="str">
        <f t="shared" si="177"/>
        <v>Anderson</v>
      </c>
      <c r="F1335" s="93" t="str">
        <f t="shared" si="178"/>
        <v>CP873</v>
      </c>
      <c r="G1335" s="99" t="str">
        <f t="shared" si="180"/>
        <v>CP873-RETURN - 2nd don of the week -BONUS</v>
      </c>
      <c r="H1335" s="182"/>
      <c r="I1335" s="36" t="s">
        <v>46</v>
      </c>
      <c r="J1335" s="58">
        <v>35</v>
      </c>
      <c r="K1335" s="58">
        <v>35</v>
      </c>
      <c r="L1335" s="58">
        <v>40</v>
      </c>
      <c r="M1335" s="58">
        <v>45</v>
      </c>
      <c r="N1335" s="58">
        <v>45</v>
      </c>
      <c r="O1335" s="58">
        <v>25</v>
      </c>
      <c r="P1335" s="58">
        <v>25</v>
      </c>
      <c r="Q1335" s="58">
        <v>25</v>
      </c>
      <c r="R1335" s="22"/>
      <c r="S1335" s="117" t="str">
        <f t="shared" si="175"/>
        <v>N</v>
      </c>
      <c r="T1335" s="114">
        <f>IFERROR(SUMIF('Current NLData'!A:A,'Payment Changes'!G1335,'Current NLData'!K:K)/COUNTIF('Current NLData'!A:A,'Payment Changes'!G1335),0)+IFERROR(VLOOKUP(G1335&amp;"-ALL",NLPaymentExport,10,FALSE),0)</f>
        <v>25</v>
      </c>
      <c r="U1335" s="118">
        <f t="shared" si="176"/>
        <v>0</v>
      </c>
    </row>
    <row r="1336" spans="1:54" ht="17.100000000000001" hidden="1" customHeight="1" outlineLevel="1" x14ac:dyDescent="0.25">
      <c r="A1336" s="3"/>
      <c r="C1336" s="4"/>
      <c r="D1336" s="181"/>
      <c r="E1336" s="91" t="str">
        <f t="shared" si="177"/>
        <v>Anderson</v>
      </c>
      <c r="F1336" s="93" t="str">
        <f t="shared" si="178"/>
        <v>CP873</v>
      </c>
      <c r="G1336" s="99" t="str">
        <f t="shared" si="180"/>
        <v>CP873-RETURN - 5th don of the month -BONUS</v>
      </c>
      <c r="H1336" s="182"/>
      <c r="I1336" s="37" t="s">
        <v>47</v>
      </c>
      <c r="J1336" s="65">
        <v>0</v>
      </c>
      <c r="K1336" s="65">
        <v>0</v>
      </c>
      <c r="L1336" s="65">
        <v>0</v>
      </c>
      <c r="M1336" s="65">
        <v>0</v>
      </c>
      <c r="N1336" s="65">
        <v>0</v>
      </c>
      <c r="O1336" s="65">
        <v>0</v>
      </c>
      <c r="P1336" s="65">
        <v>0</v>
      </c>
      <c r="Q1336" s="65">
        <v>0</v>
      </c>
      <c r="R1336" s="22"/>
      <c r="S1336" s="117" t="str">
        <f t="shared" si="175"/>
        <v>N</v>
      </c>
      <c r="T1336" s="114">
        <f>IFERROR(SUMIF('Current NLData'!A:A,'Payment Changes'!G1336,'Current NLData'!K:K)/COUNTIF('Current NLData'!A:A,'Payment Changes'!G1336),0)+IFERROR(VLOOKUP(G1336&amp;"-ALL",NLPaymentExport,10,FALSE),0)</f>
        <v>0</v>
      </c>
      <c r="U1336" s="118">
        <f t="shared" si="176"/>
        <v>0</v>
      </c>
    </row>
    <row r="1337" spans="1:54" ht="17.100000000000001" hidden="1" customHeight="1" outlineLevel="1" x14ac:dyDescent="0.25">
      <c r="A1337" s="3"/>
      <c r="C1337" s="4"/>
      <c r="D1337" s="181"/>
      <c r="E1337" s="91" t="str">
        <f t="shared" si="177"/>
        <v>Anderson</v>
      </c>
      <c r="F1337" s="93" t="str">
        <f t="shared" si="178"/>
        <v>CP873</v>
      </c>
      <c r="G1337" s="99" t="str">
        <f t="shared" si="180"/>
        <v>CP873-RETURN - 6th don of the month -BONUS</v>
      </c>
      <c r="H1337" s="182"/>
      <c r="I1337" s="38" t="s">
        <v>48</v>
      </c>
      <c r="J1337" s="58">
        <v>0</v>
      </c>
      <c r="K1337" s="58">
        <v>0</v>
      </c>
      <c r="L1337" s="58">
        <v>30</v>
      </c>
      <c r="M1337" s="58">
        <v>30</v>
      </c>
      <c r="N1337" s="58">
        <v>30</v>
      </c>
      <c r="O1337" s="58">
        <v>30</v>
      </c>
      <c r="P1337" s="58">
        <v>30</v>
      </c>
      <c r="Q1337" s="58">
        <v>30</v>
      </c>
      <c r="R1337" s="22"/>
      <c r="S1337" s="117" t="str">
        <f t="shared" si="175"/>
        <v>N</v>
      </c>
      <c r="T1337" s="114">
        <f>IFERROR(SUMIF('Current NLData'!A:A,'Payment Changes'!G1337,'Current NLData'!K:K)/COUNTIF('Current NLData'!A:A,'Payment Changes'!G1337),0)+IFERROR(VLOOKUP(G1337&amp;"-ALL",NLPaymentExport,10,FALSE),0)</f>
        <v>30</v>
      </c>
      <c r="U1337" s="118">
        <f t="shared" si="176"/>
        <v>0</v>
      </c>
    </row>
    <row r="1338" spans="1:54" ht="17.100000000000001" hidden="1" customHeight="1" outlineLevel="1" x14ac:dyDescent="0.25">
      <c r="A1338" s="3"/>
      <c r="C1338" s="4"/>
      <c r="D1338" s="181"/>
      <c r="E1338" s="91" t="str">
        <f t="shared" si="177"/>
        <v>Anderson</v>
      </c>
      <c r="F1338" s="93" t="str">
        <f t="shared" si="178"/>
        <v>CP873</v>
      </c>
      <c r="G1338" s="99" t="str">
        <f t="shared" si="180"/>
        <v>CP873-RETURN - 7th don of the month -BONUS</v>
      </c>
      <c r="H1338" s="182"/>
      <c r="I1338" s="38" t="s">
        <v>49</v>
      </c>
      <c r="J1338" s="58">
        <v>0</v>
      </c>
      <c r="K1338" s="58">
        <v>0</v>
      </c>
      <c r="L1338" s="58">
        <v>0</v>
      </c>
      <c r="M1338" s="58">
        <v>0</v>
      </c>
      <c r="N1338" s="58">
        <v>0</v>
      </c>
      <c r="O1338" s="58">
        <v>0</v>
      </c>
      <c r="P1338" s="58">
        <v>0</v>
      </c>
      <c r="Q1338" s="58">
        <v>0</v>
      </c>
      <c r="R1338" s="22"/>
      <c r="S1338" s="117" t="str">
        <f t="shared" si="175"/>
        <v>N</v>
      </c>
      <c r="T1338" s="114">
        <f>IFERROR(SUMIF('Current NLData'!A:A,'Payment Changes'!G1338,'Current NLData'!K:K)/COUNTIF('Current NLData'!A:A,'Payment Changes'!G1338),0)+IFERROR(VLOOKUP(G1338&amp;"-ALL",NLPaymentExport,10,FALSE),0)</f>
        <v>0</v>
      </c>
      <c r="U1338" s="118">
        <f t="shared" si="176"/>
        <v>0</v>
      </c>
    </row>
    <row r="1339" spans="1:54" ht="17.100000000000001" hidden="1" customHeight="1" outlineLevel="1" x14ac:dyDescent="0.25">
      <c r="A1339" s="3"/>
      <c r="C1339" s="4"/>
      <c r="D1339" s="181"/>
      <c r="E1339" s="91" t="str">
        <f t="shared" si="177"/>
        <v>Anderson</v>
      </c>
      <c r="F1339" s="93" t="str">
        <f t="shared" si="178"/>
        <v>CP873</v>
      </c>
      <c r="G1339" s="99" t="str">
        <f t="shared" si="180"/>
        <v>CP873-RETURN - 8th don of the month -BONUS</v>
      </c>
      <c r="H1339" s="182"/>
      <c r="I1339" s="38" t="s">
        <v>50</v>
      </c>
      <c r="J1339" s="58">
        <v>0</v>
      </c>
      <c r="K1339" s="58">
        <v>0</v>
      </c>
      <c r="L1339" s="58">
        <v>0</v>
      </c>
      <c r="M1339" s="58">
        <v>0</v>
      </c>
      <c r="N1339" s="58">
        <v>0</v>
      </c>
      <c r="O1339" s="58">
        <v>0</v>
      </c>
      <c r="P1339" s="58">
        <v>0</v>
      </c>
      <c r="Q1339" s="58">
        <v>0</v>
      </c>
      <c r="R1339" s="22"/>
      <c r="S1339" s="117" t="str">
        <f t="shared" si="175"/>
        <v>N</v>
      </c>
      <c r="T1339" s="114">
        <f>IFERROR(SUMIF('Current NLData'!A:A,'Payment Changes'!G1339,'Current NLData'!K:K)/COUNTIF('Current NLData'!A:A,'Payment Changes'!G1339),0)+IFERROR(VLOOKUP(G1339&amp;"-ALL",NLPaymentExport,10,FALSE),0)</f>
        <v>0</v>
      </c>
      <c r="U1339" s="118">
        <f t="shared" si="176"/>
        <v>0</v>
      </c>
    </row>
    <row r="1340" spans="1:54" ht="17.100000000000001" hidden="1" customHeight="1" outlineLevel="1" x14ac:dyDescent="0.25">
      <c r="A1340" s="3"/>
      <c r="C1340" s="4"/>
      <c r="D1340" s="181"/>
      <c r="E1340" s="91" t="str">
        <f t="shared" si="177"/>
        <v>Anderson</v>
      </c>
      <c r="F1340" s="93" t="str">
        <f t="shared" si="178"/>
        <v>CP873</v>
      </c>
      <c r="G1340" s="99" t="str">
        <f t="shared" si="180"/>
        <v>CP873-RETURN - Buddy referral  -BONUS</v>
      </c>
      <c r="H1340" s="182"/>
      <c r="I1340" s="39" t="s">
        <v>51</v>
      </c>
      <c r="J1340" s="58">
        <v>0</v>
      </c>
      <c r="K1340" s="58">
        <v>0</v>
      </c>
      <c r="L1340" s="58">
        <v>0</v>
      </c>
      <c r="M1340" s="58">
        <v>50</v>
      </c>
      <c r="N1340" s="58">
        <v>50</v>
      </c>
      <c r="O1340" s="58">
        <v>50</v>
      </c>
      <c r="P1340" s="58">
        <v>50</v>
      </c>
      <c r="Q1340" s="58">
        <v>50</v>
      </c>
      <c r="R1340" s="22"/>
      <c r="S1340" s="117" t="str">
        <f t="shared" si="175"/>
        <v>N</v>
      </c>
      <c r="T1340" s="114">
        <f>IFERROR(SUMIF('Current NLData'!A:A,'Payment Changes'!G1340,'Current NLData'!K:K)/COUNTIF('Current NLData'!A:A,'Payment Changes'!G1340),0)+IFERROR(VLOOKUP(G1340&amp;"-ALL",NLPaymentExport,10,FALSE),0)</f>
        <v>50</v>
      </c>
      <c r="U1340" s="118">
        <f t="shared" si="176"/>
        <v>0</v>
      </c>
    </row>
    <row r="1341" spans="1:54" s="90" customFormat="1" ht="17.100000000000001" hidden="1" customHeight="1" collapsed="1" x14ac:dyDescent="0.35">
      <c r="A1341" s="85"/>
      <c r="B1341" s="85"/>
      <c r="C1341" s="86"/>
      <c r="D1341" s="87"/>
      <c r="E1341" s="87"/>
      <c r="F1341" s="87"/>
      <c r="G1341" s="87"/>
      <c r="H1341" s="96"/>
      <c r="I1341" s="88"/>
      <c r="J1341" s="89"/>
      <c r="K1341" s="89"/>
      <c r="L1341" s="89"/>
      <c r="M1341" s="89"/>
      <c r="N1341" s="89"/>
      <c r="O1341" s="89"/>
      <c r="P1341" s="89"/>
      <c r="Q1341" s="89"/>
      <c r="R1341" s="21"/>
      <c r="S1341" s="117" t="str">
        <f t="shared" si="175"/>
        <v>N</v>
      </c>
      <c r="T1341" s="114">
        <f>IFERROR(SUMIF('Current NLData'!A:A,'Payment Changes'!G1341,'Current NLData'!K:K)/COUNTIF('Current NLData'!A:A,'Payment Changes'!G1341),0)+IFERROR(VLOOKUP(G1341&amp;"-ALL",NLPaymentExport,10,FALSE),0)</f>
        <v>0</v>
      </c>
      <c r="U1341" s="118" t="str">
        <f t="shared" si="176"/>
        <v/>
      </c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</row>
    <row r="1342" spans="1:54" s="10" customFormat="1" ht="17.100000000000001" hidden="1" customHeight="1" x14ac:dyDescent="0.25">
      <c r="A1342" s="165">
        <v>68</v>
      </c>
      <c r="B1342" s="168" t="s">
        <v>426</v>
      </c>
      <c r="C1342" s="171" t="s">
        <v>19</v>
      </c>
      <c r="D1342" s="174" t="s">
        <v>157</v>
      </c>
      <c r="E1342" s="106" t="str">
        <f t="shared" si="177"/>
        <v>Altoona</v>
      </c>
      <c r="F1342" s="107" t="s">
        <v>427</v>
      </c>
      <c r="G1342" s="108" t="str">
        <f t="shared" ref="G1342:G1360" si="181">F1342&amp;"-"&amp;I1342</f>
        <v>CP941-New Donor</v>
      </c>
      <c r="H1342" s="177" t="s">
        <v>147</v>
      </c>
      <c r="I1342" s="76" t="s">
        <v>23</v>
      </c>
      <c r="J1342" s="40" t="s">
        <v>422</v>
      </c>
      <c r="K1342" s="41" t="s">
        <v>428</v>
      </c>
      <c r="L1342" s="41" t="s">
        <v>422</v>
      </c>
      <c r="M1342" s="42" t="s">
        <v>422</v>
      </c>
      <c r="N1342" s="40" t="s">
        <v>422</v>
      </c>
      <c r="O1342" s="40" t="s">
        <v>422</v>
      </c>
      <c r="P1342" s="40" t="s">
        <v>422</v>
      </c>
      <c r="Q1342" s="40" t="s">
        <v>422</v>
      </c>
      <c r="R1342" s="109"/>
      <c r="S1342" s="117" t="str">
        <f t="shared" si="175"/>
        <v>N</v>
      </c>
      <c r="T1342" s="114">
        <f>IFERROR(SUMIF('Current NLData'!A:A,'Payment Changes'!G1342,'Current NLData'!K:K)/COUNTIF('Current NLData'!A:A,'Payment Changes'!G1342),0)+IFERROR(VLOOKUP(G1342&amp;"-ALL",NLPaymentExport,10,FALSE),0)</f>
        <v>0</v>
      </c>
      <c r="U1342" s="118" t="str">
        <f t="shared" si="176"/>
        <v/>
      </c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</row>
    <row r="1343" spans="1:54" ht="17.100000000000001" hidden="1" customHeight="1" x14ac:dyDescent="0.25">
      <c r="A1343" s="166"/>
      <c r="B1343" s="169"/>
      <c r="C1343" s="172"/>
      <c r="D1343" s="175"/>
      <c r="E1343" s="91" t="str">
        <f t="shared" si="177"/>
        <v>Altoona</v>
      </c>
      <c r="F1343" s="92" t="s">
        <v>427</v>
      </c>
      <c r="G1343" s="98" t="str">
        <f t="shared" si="181"/>
        <v>CP941-Return Donor</v>
      </c>
      <c r="H1343" s="178"/>
      <c r="I1343" s="77" t="s">
        <v>29</v>
      </c>
      <c r="J1343" s="43" t="s">
        <v>429</v>
      </c>
      <c r="K1343" s="43" t="s">
        <v>429</v>
      </c>
      <c r="L1343" s="44" t="s">
        <v>429</v>
      </c>
      <c r="M1343" s="45" t="s">
        <v>429</v>
      </c>
      <c r="N1343" s="43" t="s">
        <v>429</v>
      </c>
      <c r="O1343" s="43" t="s">
        <v>429</v>
      </c>
      <c r="P1343" s="43" t="s">
        <v>429</v>
      </c>
      <c r="Q1343" s="43" t="s">
        <v>429</v>
      </c>
      <c r="R1343" s="21"/>
      <c r="S1343" s="117" t="str">
        <f t="shared" si="175"/>
        <v>N</v>
      </c>
      <c r="T1343" s="114">
        <f>IFERROR(SUMIF('Current NLData'!A:A,'Payment Changes'!G1343,'Current NLData'!K:K)/COUNTIF('Current NLData'!A:A,'Payment Changes'!G1343),0)+IFERROR(VLOOKUP(G1343&amp;"-ALL",NLPaymentExport,10,FALSE),0)</f>
        <v>0</v>
      </c>
      <c r="U1343" s="118" t="str">
        <f t="shared" si="176"/>
        <v/>
      </c>
    </row>
    <row r="1344" spans="1:54" ht="17.100000000000001" hidden="1" customHeight="1" x14ac:dyDescent="0.25">
      <c r="A1344" s="166"/>
      <c r="B1344" s="169"/>
      <c r="C1344" s="172"/>
      <c r="D1344" s="175"/>
      <c r="E1344" s="91" t="str">
        <f t="shared" si="177"/>
        <v>Altoona</v>
      </c>
      <c r="F1344" s="92" t="s">
        <v>427</v>
      </c>
      <c r="G1344" s="98" t="str">
        <f t="shared" si="181"/>
        <v>CP941-Retention Bonus</v>
      </c>
      <c r="H1344" s="178"/>
      <c r="I1344" s="78" t="s">
        <v>30</v>
      </c>
      <c r="J1344" s="46" t="s">
        <v>430</v>
      </c>
      <c r="K1344" s="46" t="s">
        <v>430</v>
      </c>
      <c r="L1344" s="47" t="s">
        <v>101</v>
      </c>
      <c r="M1344" s="48" t="s">
        <v>101</v>
      </c>
      <c r="N1344" s="46" t="s">
        <v>101</v>
      </c>
      <c r="O1344" s="46" t="s">
        <v>101</v>
      </c>
      <c r="P1344" s="46" t="s">
        <v>101</v>
      </c>
      <c r="Q1344" s="46" t="s">
        <v>101</v>
      </c>
      <c r="R1344" s="21"/>
      <c r="S1344" s="117" t="str">
        <f t="shared" si="175"/>
        <v>N</v>
      </c>
      <c r="T1344" s="114">
        <f>IFERROR(SUMIF('Current NLData'!A:A,'Payment Changes'!G1344,'Current NLData'!K:K)/COUNTIF('Current NLData'!A:A,'Payment Changes'!G1344),0)+IFERROR(VLOOKUP(G1344&amp;"-ALL",NLPaymentExport,10,FALSE),0)</f>
        <v>0</v>
      </c>
      <c r="U1344" s="118" t="str">
        <f t="shared" si="176"/>
        <v/>
      </c>
    </row>
    <row r="1345" spans="1:54" s="15" customFormat="1" ht="17.100000000000001" hidden="1" customHeight="1" x14ac:dyDescent="0.25">
      <c r="A1345" s="167"/>
      <c r="B1345" s="170"/>
      <c r="C1345" s="173"/>
      <c r="D1345" s="176"/>
      <c r="E1345" s="110" t="str">
        <f t="shared" si="177"/>
        <v>Altoona</v>
      </c>
      <c r="F1345" s="111" t="s">
        <v>427</v>
      </c>
      <c r="G1345" s="112" t="str">
        <f t="shared" si="181"/>
        <v>CP941-Referral</v>
      </c>
      <c r="H1345" s="179"/>
      <c r="I1345" s="79" t="s">
        <v>34</v>
      </c>
      <c r="J1345" s="49">
        <v>50</v>
      </c>
      <c r="K1345" s="49">
        <v>50</v>
      </c>
      <c r="L1345" s="50">
        <v>50</v>
      </c>
      <c r="M1345" s="51">
        <v>50</v>
      </c>
      <c r="N1345" s="49">
        <v>50</v>
      </c>
      <c r="O1345" s="49">
        <v>50</v>
      </c>
      <c r="P1345" s="49">
        <v>50</v>
      </c>
      <c r="Q1345" s="49">
        <v>50</v>
      </c>
      <c r="R1345" s="113"/>
      <c r="S1345" s="117" t="str">
        <f t="shared" si="175"/>
        <v>N</v>
      </c>
      <c r="T1345" s="114">
        <f>IFERROR(SUMIF('Current NLData'!A:A,'Payment Changes'!G1345,'Current NLData'!K:K)/COUNTIF('Current NLData'!A:A,'Payment Changes'!G1345),0)+IFERROR(VLOOKUP(G1345&amp;"-ALL",NLPaymentExport,10,FALSE),0)</f>
        <v>0</v>
      </c>
      <c r="U1345" s="118" t="str">
        <f t="shared" si="176"/>
        <v/>
      </c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</row>
    <row r="1346" spans="1:54" ht="17.100000000000001" hidden="1" customHeight="1" outlineLevel="1" x14ac:dyDescent="0.25">
      <c r="A1346" s="3"/>
      <c r="C1346" s="4"/>
      <c r="D1346" s="180" t="s">
        <v>427</v>
      </c>
      <c r="E1346" s="91" t="str">
        <f t="shared" si="177"/>
        <v>Altoona</v>
      </c>
      <c r="F1346" s="93" t="str">
        <f t="shared" si="178"/>
        <v>CP941</v>
      </c>
      <c r="G1346" s="99" t="str">
        <f t="shared" si="181"/>
        <v>CP941-NEW DONOR -1st</v>
      </c>
      <c r="H1346" s="182" t="s">
        <v>36</v>
      </c>
      <c r="I1346" s="33" t="s">
        <v>37</v>
      </c>
      <c r="J1346" s="60">
        <v>100</v>
      </c>
      <c r="K1346" s="61">
        <v>100</v>
      </c>
      <c r="L1346" s="60">
        <v>100</v>
      </c>
      <c r="M1346" s="60">
        <v>100</v>
      </c>
      <c r="N1346" s="60">
        <v>100</v>
      </c>
      <c r="O1346" s="60">
        <v>100</v>
      </c>
      <c r="P1346" s="60">
        <v>100</v>
      </c>
      <c r="Q1346" s="60">
        <v>100</v>
      </c>
      <c r="R1346" s="23"/>
      <c r="S1346" s="117" t="str">
        <f t="shared" si="175"/>
        <v>N</v>
      </c>
      <c r="T1346" s="114">
        <f>IFERROR(SUMIF('Current NLData'!A:A,'Payment Changes'!G1346,'Current NLData'!K:K)/COUNTIF('Current NLData'!A:A,'Payment Changes'!G1346),0)+IFERROR(VLOOKUP(G1346&amp;"-ALL",NLPaymentExport,10,FALSE),0)</f>
        <v>100</v>
      </c>
      <c r="U1346" s="118">
        <f t="shared" si="176"/>
        <v>0</v>
      </c>
    </row>
    <row r="1347" spans="1:54" ht="17.100000000000001" hidden="1" customHeight="1" outlineLevel="1" x14ac:dyDescent="0.25">
      <c r="A1347" s="3"/>
      <c r="C1347" s="4"/>
      <c r="D1347" s="181"/>
      <c r="E1347" s="91" t="str">
        <f t="shared" si="177"/>
        <v>Altoona</v>
      </c>
      <c r="F1347" s="93" t="str">
        <f t="shared" si="178"/>
        <v>CP941</v>
      </c>
      <c r="G1347" s="99" t="str">
        <f t="shared" si="181"/>
        <v>CP941-NEW DONOR -2nd</v>
      </c>
      <c r="H1347" s="182"/>
      <c r="I1347" s="34" t="s">
        <v>38</v>
      </c>
      <c r="J1347" s="58">
        <v>100</v>
      </c>
      <c r="K1347" s="62">
        <v>100</v>
      </c>
      <c r="L1347" s="58">
        <v>100</v>
      </c>
      <c r="M1347" s="58">
        <v>100</v>
      </c>
      <c r="N1347" s="58">
        <v>100</v>
      </c>
      <c r="O1347" s="58">
        <v>100</v>
      </c>
      <c r="P1347" s="58">
        <v>100</v>
      </c>
      <c r="Q1347" s="58">
        <v>100</v>
      </c>
      <c r="R1347" s="23"/>
      <c r="S1347" s="117" t="str">
        <f t="shared" ref="S1347:S1410" si="182">IF(P1347=Q1347,"N","Y")</f>
        <v>N</v>
      </c>
      <c r="T1347" s="114">
        <f>IFERROR(SUMIF('Current NLData'!A:A,'Payment Changes'!G1347,'Current NLData'!K:K)/COUNTIF('Current NLData'!A:A,'Payment Changes'!G1347),0)+IFERROR(VLOOKUP(G1347&amp;"-ALL",NLPaymentExport,10,FALSE),0)</f>
        <v>100</v>
      </c>
      <c r="U1347" s="118">
        <f t="shared" si="176"/>
        <v>0</v>
      </c>
    </row>
    <row r="1348" spans="1:54" ht="17.100000000000001" hidden="1" customHeight="1" outlineLevel="1" x14ac:dyDescent="0.25">
      <c r="A1348" s="3"/>
      <c r="C1348" s="4"/>
      <c r="D1348" s="181"/>
      <c r="E1348" s="91" t="str">
        <f t="shared" si="177"/>
        <v>Altoona</v>
      </c>
      <c r="F1348" s="93" t="str">
        <f t="shared" si="178"/>
        <v>CP941</v>
      </c>
      <c r="G1348" s="99" t="str">
        <f t="shared" si="181"/>
        <v>CP941-NEW DONOR -3rd</v>
      </c>
      <c r="H1348" s="182"/>
      <c r="I1348" s="34" t="s">
        <v>39</v>
      </c>
      <c r="J1348" s="58">
        <v>100</v>
      </c>
      <c r="K1348" s="62">
        <v>100</v>
      </c>
      <c r="L1348" s="58">
        <v>100</v>
      </c>
      <c r="M1348" s="58">
        <v>100</v>
      </c>
      <c r="N1348" s="58">
        <v>100</v>
      </c>
      <c r="O1348" s="58">
        <v>100</v>
      </c>
      <c r="P1348" s="58">
        <v>100</v>
      </c>
      <c r="Q1348" s="58">
        <v>100</v>
      </c>
      <c r="R1348" s="23"/>
      <c r="S1348" s="117" t="str">
        <f t="shared" si="182"/>
        <v>N</v>
      </c>
      <c r="T1348" s="114">
        <f>IFERROR(SUMIF('Current NLData'!A:A,'Payment Changes'!G1348,'Current NLData'!K:K)/COUNTIF('Current NLData'!A:A,'Payment Changes'!G1348),0)+IFERROR(VLOOKUP(G1348&amp;"-ALL",NLPaymentExport,10,FALSE),0)</f>
        <v>100</v>
      </c>
      <c r="U1348" s="118">
        <f t="shared" si="176"/>
        <v>0</v>
      </c>
    </row>
    <row r="1349" spans="1:54" ht="17.100000000000001" hidden="1" customHeight="1" outlineLevel="1" x14ac:dyDescent="0.25">
      <c r="A1349" s="3"/>
      <c r="C1349" s="4"/>
      <c r="D1349" s="181"/>
      <c r="E1349" s="91" t="str">
        <f t="shared" si="177"/>
        <v>Altoona</v>
      </c>
      <c r="F1349" s="93" t="str">
        <f t="shared" si="178"/>
        <v>CP941</v>
      </c>
      <c r="G1349" s="99" t="str">
        <f t="shared" si="181"/>
        <v>CP941-NEW DONOR -4th</v>
      </c>
      <c r="H1349" s="182"/>
      <c r="I1349" s="34" t="s">
        <v>40</v>
      </c>
      <c r="J1349" s="58">
        <v>100</v>
      </c>
      <c r="K1349" s="62">
        <v>100</v>
      </c>
      <c r="L1349" s="58">
        <v>100</v>
      </c>
      <c r="M1349" s="58">
        <v>100</v>
      </c>
      <c r="N1349" s="58">
        <v>100</v>
      </c>
      <c r="O1349" s="58">
        <v>100</v>
      </c>
      <c r="P1349" s="58">
        <v>100</v>
      </c>
      <c r="Q1349" s="58">
        <v>100</v>
      </c>
      <c r="R1349" s="23"/>
      <c r="S1349" s="117" t="str">
        <f t="shared" si="182"/>
        <v>N</v>
      </c>
      <c r="T1349" s="114">
        <f>IFERROR(SUMIF('Current NLData'!A:A,'Payment Changes'!G1349,'Current NLData'!K:K)/COUNTIF('Current NLData'!A:A,'Payment Changes'!G1349),0)+IFERROR(VLOOKUP(G1349&amp;"-ALL",NLPaymentExport,10,FALSE),0)</f>
        <v>100</v>
      </c>
      <c r="U1349" s="118">
        <f t="shared" si="176"/>
        <v>0</v>
      </c>
    </row>
    <row r="1350" spans="1:54" ht="17.100000000000001" hidden="1" customHeight="1" outlineLevel="1" x14ac:dyDescent="0.25">
      <c r="A1350" s="3"/>
      <c r="C1350" s="4"/>
      <c r="D1350" s="181"/>
      <c r="E1350" s="91" t="str">
        <f t="shared" si="177"/>
        <v>Altoona</v>
      </c>
      <c r="F1350" s="93" t="str">
        <f t="shared" si="178"/>
        <v>CP941</v>
      </c>
      <c r="G1350" s="99" t="str">
        <f t="shared" si="181"/>
        <v>CP941-NEW DONOR -5th</v>
      </c>
      <c r="H1350" s="182"/>
      <c r="I1350" s="34" t="s">
        <v>41</v>
      </c>
      <c r="J1350" s="58">
        <v>100</v>
      </c>
      <c r="K1350" s="62">
        <v>100</v>
      </c>
      <c r="L1350" s="58">
        <v>100</v>
      </c>
      <c r="M1350" s="58">
        <v>100</v>
      </c>
      <c r="N1350" s="58">
        <v>100</v>
      </c>
      <c r="O1350" s="58">
        <v>100</v>
      </c>
      <c r="P1350" s="58">
        <v>100</v>
      </c>
      <c r="Q1350" s="58">
        <v>100</v>
      </c>
      <c r="R1350" s="23"/>
      <c r="S1350" s="117" t="str">
        <f t="shared" si="182"/>
        <v>N</v>
      </c>
      <c r="T1350" s="114">
        <f>IFERROR(SUMIF('Current NLData'!A:A,'Payment Changes'!G1350,'Current NLData'!K:K)/COUNTIF('Current NLData'!A:A,'Payment Changes'!G1350),0)+IFERROR(VLOOKUP(G1350&amp;"-ALL",NLPaymentExport,10,FALSE),0)</f>
        <v>100</v>
      </c>
      <c r="U1350" s="118">
        <f t="shared" si="176"/>
        <v>0</v>
      </c>
    </row>
    <row r="1351" spans="1:54" ht="17.100000000000001" hidden="1" customHeight="1" outlineLevel="1" x14ac:dyDescent="0.25">
      <c r="A1351" s="3"/>
      <c r="C1351" s="4"/>
      <c r="D1351" s="181"/>
      <c r="E1351" s="91" t="str">
        <f t="shared" si="177"/>
        <v>Altoona</v>
      </c>
      <c r="F1351" s="93" t="str">
        <f t="shared" si="178"/>
        <v>CP941</v>
      </c>
      <c r="G1351" s="99" t="str">
        <f t="shared" si="181"/>
        <v>CP941-NEW DONOR -6th</v>
      </c>
      <c r="H1351" s="182"/>
      <c r="I1351" s="34" t="s">
        <v>42</v>
      </c>
      <c r="J1351" s="58">
        <v>30</v>
      </c>
      <c r="K1351" s="62">
        <v>30</v>
      </c>
      <c r="L1351" s="58">
        <v>30</v>
      </c>
      <c r="M1351" s="58">
        <v>30</v>
      </c>
      <c r="N1351" s="58">
        <v>30</v>
      </c>
      <c r="O1351" s="58">
        <v>30</v>
      </c>
      <c r="P1351" s="58">
        <v>30</v>
      </c>
      <c r="Q1351" s="58">
        <v>30</v>
      </c>
      <c r="R1351" s="23"/>
      <c r="S1351" s="117" t="str">
        <f t="shared" si="182"/>
        <v>N</v>
      </c>
      <c r="T1351" s="114">
        <f>IFERROR(SUMIF('Current NLData'!A:A,'Payment Changes'!G1351,'Current NLData'!K:K)/COUNTIF('Current NLData'!A:A,'Payment Changes'!G1351),0)+IFERROR(VLOOKUP(G1351&amp;"-ALL",NLPaymentExport,10,FALSE),0)</f>
        <v>30</v>
      </c>
      <c r="U1351" s="118">
        <f t="shared" ref="U1351:U1414" si="183">IF(OR(I1351 = "New Donor", I1351="Return Donor", I1351="Retention Bonus", I1351="Referral", I1351 = ""),"",T1351-Q1351 )</f>
        <v>0</v>
      </c>
    </row>
    <row r="1352" spans="1:54" ht="17.100000000000001" hidden="1" customHeight="1" outlineLevel="1" x14ac:dyDescent="0.25">
      <c r="A1352" s="3"/>
      <c r="C1352" s="4"/>
      <c r="D1352" s="181"/>
      <c r="E1352" s="91" t="str">
        <f t="shared" ref="E1352:E1360" si="184">IF(B1352 = "",E1351,B1352)</f>
        <v>Altoona</v>
      </c>
      <c r="F1352" s="93" t="str">
        <f t="shared" ref="F1352:F1360" si="185">IF(D1352 = "",F1351,D1352)</f>
        <v>CP941</v>
      </c>
      <c r="G1352" s="99" t="str">
        <f t="shared" si="181"/>
        <v>CP941-NEW DONOR -7th</v>
      </c>
      <c r="H1352" s="182"/>
      <c r="I1352" s="34" t="s">
        <v>43</v>
      </c>
      <c r="J1352" s="58">
        <v>30</v>
      </c>
      <c r="K1352" s="62">
        <v>80</v>
      </c>
      <c r="L1352" s="58">
        <v>30</v>
      </c>
      <c r="M1352" s="58">
        <v>30</v>
      </c>
      <c r="N1352" s="58">
        <v>30</v>
      </c>
      <c r="O1352" s="58">
        <v>30</v>
      </c>
      <c r="P1352" s="58">
        <v>30</v>
      </c>
      <c r="Q1352" s="58">
        <v>30</v>
      </c>
      <c r="R1352" s="23"/>
      <c r="S1352" s="117" t="str">
        <f t="shared" si="182"/>
        <v>N</v>
      </c>
      <c r="T1352" s="114">
        <f>IFERROR(SUMIF('Current NLData'!A:A,'Payment Changes'!G1352,'Current NLData'!K:K)/COUNTIF('Current NLData'!A:A,'Payment Changes'!G1352),0)+IFERROR(VLOOKUP(G1352&amp;"-ALL",NLPaymentExport,10,FALSE),0)</f>
        <v>30</v>
      </c>
      <c r="U1352" s="118">
        <f t="shared" si="183"/>
        <v>0</v>
      </c>
    </row>
    <row r="1353" spans="1:54" ht="17.100000000000001" hidden="1" customHeight="1" outlineLevel="1" x14ac:dyDescent="0.25">
      <c r="A1353" s="3"/>
      <c r="C1353" s="4"/>
      <c r="D1353" s="181"/>
      <c r="E1353" s="91" t="str">
        <f t="shared" si="184"/>
        <v>Altoona</v>
      </c>
      <c r="F1353" s="93" t="str">
        <f t="shared" si="185"/>
        <v>CP941</v>
      </c>
      <c r="G1353" s="99" t="str">
        <f t="shared" si="181"/>
        <v>CP941-NEW DONOR -8th</v>
      </c>
      <c r="H1353" s="182"/>
      <c r="I1353" s="35" t="s">
        <v>44</v>
      </c>
      <c r="J1353" s="63">
        <v>30</v>
      </c>
      <c r="K1353" s="64">
        <v>30</v>
      </c>
      <c r="L1353" s="63">
        <v>30</v>
      </c>
      <c r="M1353" s="63">
        <v>30</v>
      </c>
      <c r="N1353" s="63">
        <v>30</v>
      </c>
      <c r="O1353" s="63">
        <v>30</v>
      </c>
      <c r="P1353" s="63">
        <v>30</v>
      </c>
      <c r="Q1353" s="63">
        <v>30</v>
      </c>
      <c r="R1353" s="23"/>
      <c r="S1353" s="117" t="str">
        <f t="shared" si="182"/>
        <v>N</v>
      </c>
      <c r="T1353" s="114">
        <f>IFERROR(SUMIF('Current NLData'!A:A,'Payment Changes'!G1353,'Current NLData'!K:K)/COUNTIF('Current NLData'!A:A,'Payment Changes'!G1353),0)+IFERROR(VLOOKUP(G1353&amp;"-ALL",NLPaymentExport,10,FALSE),0)</f>
        <v>30</v>
      </c>
      <c r="U1353" s="118">
        <f t="shared" si="183"/>
        <v>0</v>
      </c>
    </row>
    <row r="1354" spans="1:54" ht="17.100000000000001" hidden="1" customHeight="1" outlineLevel="1" x14ac:dyDescent="0.25">
      <c r="A1354" s="3"/>
      <c r="C1354" s="4"/>
      <c r="D1354" s="181"/>
      <c r="E1354" s="91" t="str">
        <f t="shared" si="184"/>
        <v>Altoona</v>
      </c>
      <c r="F1354" s="93" t="str">
        <f t="shared" si="185"/>
        <v>CP941</v>
      </c>
      <c r="G1354" s="99" t="str">
        <f t="shared" si="181"/>
        <v>CP941-RETURN - 1st don of the week -STD</v>
      </c>
      <c r="H1354" s="182"/>
      <c r="I1354" s="36" t="s">
        <v>45</v>
      </c>
      <c r="J1354" s="58">
        <v>30</v>
      </c>
      <c r="K1354" s="58">
        <v>30</v>
      </c>
      <c r="L1354" s="58">
        <v>30</v>
      </c>
      <c r="M1354" s="58">
        <v>30</v>
      </c>
      <c r="N1354" s="58">
        <v>30</v>
      </c>
      <c r="O1354" s="58">
        <v>30</v>
      </c>
      <c r="P1354" s="58">
        <v>30</v>
      </c>
      <c r="Q1354" s="58">
        <v>30</v>
      </c>
      <c r="R1354" s="22"/>
      <c r="S1354" s="117" t="str">
        <f t="shared" si="182"/>
        <v>N</v>
      </c>
      <c r="T1354" s="114">
        <f>IFERROR(SUMIF('Current NLData'!A:A,'Payment Changes'!G1354,'Current NLData'!K:K)/COUNTIF('Current NLData'!A:A,'Payment Changes'!G1354),0)+IFERROR(VLOOKUP(G1354&amp;"-ALL",NLPaymentExport,10,FALSE),0)</f>
        <v>30</v>
      </c>
      <c r="U1354" s="118">
        <f t="shared" si="183"/>
        <v>0</v>
      </c>
    </row>
    <row r="1355" spans="1:54" ht="17.100000000000001" hidden="1" customHeight="1" outlineLevel="1" x14ac:dyDescent="0.25">
      <c r="A1355" s="3"/>
      <c r="C1355" s="4"/>
      <c r="D1355" s="181"/>
      <c r="E1355" s="91" t="str">
        <f t="shared" si="184"/>
        <v>Altoona</v>
      </c>
      <c r="F1355" s="93" t="str">
        <f t="shared" si="185"/>
        <v>CP941</v>
      </c>
      <c r="G1355" s="99" t="str">
        <f t="shared" si="181"/>
        <v>CP941-RETURN - 2nd don of the week -BONUS</v>
      </c>
      <c r="H1355" s="182"/>
      <c r="I1355" s="36" t="s">
        <v>46</v>
      </c>
      <c r="J1355" s="58">
        <v>50</v>
      </c>
      <c r="K1355" s="58">
        <v>50</v>
      </c>
      <c r="L1355" s="58">
        <v>50</v>
      </c>
      <c r="M1355" s="58">
        <v>50</v>
      </c>
      <c r="N1355" s="58">
        <v>50</v>
      </c>
      <c r="O1355" s="58">
        <v>50</v>
      </c>
      <c r="P1355" s="58">
        <v>50</v>
      </c>
      <c r="Q1355" s="58">
        <v>50</v>
      </c>
      <c r="R1355" s="22"/>
      <c r="S1355" s="117" t="str">
        <f t="shared" si="182"/>
        <v>N</v>
      </c>
      <c r="T1355" s="114">
        <f>IFERROR(SUMIF('Current NLData'!A:A,'Payment Changes'!G1355,'Current NLData'!K:K)/COUNTIF('Current NLData'!A:A,'Payment Changes'!G1355),0)+IFERROR(VLOOKUP(G1355&amp;"-ALL",NLPaymentExport,10,FALSE),0)</f>
        <v>50</v>
      </c>
      <c r="U1355" s="118">
        <f t="shared" si="183"/>
        <v>0</v>
      </c>
    </row>
    <row r="1356" spans="1:54" ht="17.100000000000001" hidden="1" customHeight="1" outlineLevel="1" x14ac:dyDescent="0.25">
      <c r="A1356" s="3"/>
      <c r="C1356" s="4"/>
      <c r="D1356" s="181"/>
      <c r="E1356" s="91" t="str">
        <f t="shared" si="184"/>
        <v>Altoona</v>
      </c>
      <c r="F1356" s="93" t="str">
        <f t="shared" si="185"/>
        <v>CP941</v>
      </c>
      <c r="G1356" s="99" t="str">
        <f t="shared" si="181"/>
        <v>CP941-RETURN - 5th don of the month -BONUS</v>
      </c>
      <c r="H1356" s="182"/>
      <c r="I1356" s="37" t="s">
        <v>47</v>
      </c>
      <c r="J1356" s="65">
        <v>0</v>
      </c>
      <c r="K1356" s="65">
        <v>0</v>
      </c>
      <c r="L1356" s="65">
        <v>0</v>
      </c>
      <c r="M1356" s="65">
        <v>0</v>
      </c>
      <c r="N1356" s="65">
        <v>0</v>
      </c>
      <c r="O1356" s="65">
        <v>0</v>
      </c>
      <c r="P1356" s="65">
        <v>0</v>
      </c>
      <c r="Q1356" s="65">
        <v>0</v>
      </c>
      <c r="R1356" s="22"/>
      <c r="S1356" s="117" t="str">
        <f t="shared" si="182"/>
        <v>N</v>
      </c>
      <c r="T1356" s="114">
        <f>IFERROR(SUMIF('Current NLData'!A:A,'Payment Changes'!G1356,'Current NLData'!K:K)/COUNTIF('Current NLData'!A:A,'Payment Changes'!G1356),0)+IFERROR(VLOOKUP(G1356&amp;"-ALL",NLPaymentExport,10,FALSE),0)</f>
        <v>0</v>
      </c>
      <c r="U1356" s="118">
        <f t="shared" si="183"/>
        <v>0</v>
      </c>
    </row>
    <row r="1357" spans="1:54" ht="17.100000000000001" hidden="1" customHeight="1" outlineLevel="1" x14ac:dyDescent="0.25">
      <c r="A1357" s="3"/>
      <c r="C1357" s="4"/>
      <c r="D1357" s="181"/>
      <c r="E1357" s="91" t="str">
        <f t="shared" si="184"/>
        <v>Altoona</v>
      </c>
      <c r="F1357" s="93" t="str">
        <f t="shared" si="185"/>
        <v>CP941</v>
      </c>
      <c r="G1357" s="99" t="str">
        <f t="shared" si="181"/>
        <v>CP941-RETURN - 6th don of the month -BONUS</v>
      </c>
      <c r="H1357" s="182"/>
      <c r="I1357" s="38" t="s">
        <v>48</v>
      </c>
      <c r="J1357" s="58">
        <v>0</v>
      </c>
      <c r="K1357" s="58">
        <v>0</v>
      </c>
      <c r="L1357" s="58">
        <v>30</v>
      </c>
      <c r="M1357" s="58">
        <v>30</v>
      </c>
      <c r="N1357" s="58">
        <v>30</v>
      </c>
      <c r="O1357" s="58">
        <v>30</v>
      </c>
      <c r="P1357" s="58">
        <v>30</v>
      </c>
      <c r="Q1357" s="58">
        <v>30</v>
      </c>
      <c r="R1357" s="22"/>
      <c r="S1357" s="117" t="str">
        <f t="shared" si="182"/>
        <v>N</v>
      </c>
      <c r="T1357" s="114">
        <f>IFERROR(SUMIF('Current NLData'!A:A,'Payment Changes'!G1357,'Current NLData'!K:K)/COUNTIF('Current NLData'!A:A,'Payment Changes'!G1357),0)+IFERROR(VLOOKUP(G1357&amp;"-ALL",NLPaymentExport,10,FALSE),0)</f>
        <v>30</v>
      </c>
      <c r="U1357" s="118">
        <f t="shared" si="183"/>
        <v>0</v>
      </c>
    </row>
    <row r="1358" spans="1:54" ht="17.100000000000001" hidden="1" customHeight="1" outlineLevel="1" x14ac:dyDescent="0.25">
      <c r="A1358" s="3"/>
      <c r="C1358" s="4"/>
      <c r="D1358" s="181"/>
      <c r="E1358" s="91" t="str">
        <f t="shared" si="184"/>
        <v>Altoona</v>
      </c>
      <c r="F1358" s="93" t="str">
        <f t="shared" si="185"/>
        <v>CP941</v>
      </c>
      <c r="G1358" s="99" t="str">
        <f t="shared" si="181"/>
        <v>CP941-RETURN - 7th don of the month -BONUS</v>
      </c>
      <c r="H1358" s="182"/>
      <c r="I1358" s="38" t="s">
        <v>49</v>
      </c>
      <c r="J1358" s="58">
        <v>0</v>
      </c>
      <c r="K1358" s="58">
        <v>0</v>
      </c>
      <c r="L1358" s="58">
        <v>0</v>
      </c>
      <c r="M1358" s="58">
        <v>0</v>
      </c>
      <c r="N1358" s="58">
        <v>0</v>
      </c>
      <c r="O1358" s="58">
        <v>0</v>
      </c>
      <c r="P1358" s="58">
        <v>0</v>
      </c>
      <c r="Q1358" s="58">
        <v>0</v>
      </c>
      <c r="R1358" s="22"/>
      <c r="S1358" s="117" t="str">
        <f t="shared" si="182"/>
        <v>N</v>
      </c>
      <c r="T1358" s="114">
        <f>IFERROR(SUMIF('Current NLData'!A:A,'Payment Changes'!G1358,'Current NLData'!K:K)/COUNTIF('Current NLData'!A:A,'Payment Changes'!G1358),0)+IFERROR(VLOOKUP(G1358&amp;"-ALL",NLPaymentExport,10,FALSE),0)</f>
        <v>0</v>
      </c>
      <c r="U1358" s="118">
        <f t="shared" si="183"/>
        <v>0</v>
      </c>
    </row>
    <row r="1359" spans="1:54" ht="17.100000000000001" hidden="1" customHeight="1" outlineLevel="1" x14ac:dyDescent="0.25">
      <c r="A1359" s="3"/>
      <c r="C1359" s="4"/>
      <c r="D1359" s="181"/>
      <c r="E1359" s="91" t="str">
        <f t="shared" si="184"/>
        <v>Altoona</v>
      </c>
      <c r="F1359" s="93" t="str">
        <f t="shared" si="185"/>
        <v>CP941</v>
      </c>
      <c r="G1359" s="99" t="str">
        <f t="shared" si="181"/>
        <v>CP941-RETURN - 8th don of the month -BONUS</v>
      </c>
      <c r="H1359" s="182"/>
      <c r="I1359" s="38" t="s">
        <v>50</v>
      </c>
      <c r="J1359" s="58">
        <v>15</v>
      </c>
      <c r="K1359" s="58">
        <v>15</v>
      </c>
      <c r="L1359" s="58">
        <v>0</v>
      </c>
      <c r="M1359" s="58">
        <v>0</v>
      </c>
      <c r="N1359" s="58">
        <v>0</v>
      </c>
      <c r="O1359" s="58">
        <v>0</v>
      </c>
      <c r="P1359" s="58">
        <v>0</v>
      </c>
      <c r="Q1359" s="58">
        <v>0</v>
      </c>
      <c r="R1359" s="22"/>
      <c r="S1359" s="117" t="str">
        <f t="shared" si="182"/>
        <v>N</v>
      </c>
      <c r="T1359" s="114">
        <f>IFERROR(SUMIF('Current NLData'!A:A,'Payment Changes'!G1359,'Current NLData'!K:K)/COUNTIF('Current NLData'!A:A,'Payment Changes'!G1359),0)+IFERROR(VLOOKUP(G1359&amp;"-ALL",NLPaymentExport,10,FALSE),0)</f>
        <v>0</v>
      </c>
      <c r="U1359" s="118">
        <f t="shared" si="183"/>
        <v>0</v>
      </c>
    </row>
    <row r="1360" spans="1:54" ht="17.100000000000001" hidden="1" customHeight="1" outlineLevel="1" x14ac:dyDescent="0.25">
      <c r="A1360" s="3"/>
      <c r="C1360" s="4" t="str">
        <f>IF(J1360=0,"Warning","")</f>
        <v/>
      </c>
      <c r="D1360" s="181"/>
      <c r="E1360" s="91" t="str">
        <f t="shared" si="184"/>
        <v>Altoona</v>
      </c>
      <c r="F1360" s="93" t="str">
        <f t="shared" si="185"/>
        <v>CP941</v>
      </c>
      <c r="G1360" s="99" t="str">
        <f t="shared" si="181"/>
        <v>CP941-RETURN - Buddy referral  -BONUS</v>
      </c>
      <c r="H1360" s="182"/>
      <c r="I1360" s="39" t="s">
        <v>51</v>
      </c>
      <c r="J1360" s="58">
        <v>50</v>
      </c>
      <c r="K1360" s="58">
        <v>50</v>
      </c>
      <c r="L1360" s="58">
        <v>50</v>
      </c>
      <c r="M1360" s="58">
        <v>50</v>
      </c>
      <c r="N1360" s="58">
        <v>50</v>
      </c>
      <c r="O1360" s="58">
        <v>50</v>
      </c>
      <c r="P1360" s="58">
        <v>50</v>
      </c>
      <c r="Q1360" s="58">
        <v>50</v>
      </c>
      <c r="R1360" s="22"/>
      <c r="S1360" s="117" t="str">
        <f t="shared" si="182"/>
        <v>N</v>
      </c>
      <c r="T1360" s="114">
        <f>IFERROR(SUMIF('Current NLData'!A:A,'Payment Changes'!G1360,'Current NLData'!K:K)/COUNTIF('Current NLData'!A:A,'Payment Changes'!G1360),0)+IFERROR(VLOOKUP(G1360&amp;"-ALL",NLPaymentExport,10,FALSE),0)</f>
        <v>50</v>
      </c>
      <c r="U1360" s="118">
        <f t="shared" si="183"/>
        <v>0</v>
      </c>
    </row>
    <row r="1361" spans="1:54" s="90" customFormat="1" ht="17.100000000000001" hidden="1" customHeight="1" collapsed="1" x14ac:dyDescent="0.35">
      <c r="A1361" s="85"/>
      <c r="B1361" s="85"/>
      <c r="C1361" s="86"/>
      <c r="D1361" s="87"/>
      <c r="E1361" s="87"/>
      <c r="F1361" s="87"/>
      <c r="G1361" s="87"/>
      <c r="H1361" s="96"/>
      <c r="I1361" s="88"/>
      <c r="J1361" s="89"/>
      <c r="K1361" s="89"/>
      <c r="L1361" s="89"/>
      <c r="M1361" s="89"/>
      <c r="N1361" s="89"/>
      <c r="O1361" s="89"/>
      <c r="P1361" s="89"/>
      <c r="Q1361" s="89"/>
      <c r="R1361" s="21"/>
      <c r="S1361" s="117" t="str">
        <f t="shared" si="182"/>
        <v>N</v>
      </c>
      <c r="T1361" s="114">
        <f>IFERROR(SUMIF('Current NLData'!A:A,'Payment Changes'!G1361,'Current NLData'!K:K)/COUNTIF('Current NLData'!A:A,'Payment Changes'!G1361),0)+IFERROR(VLOOKUP(G1361&amp;"-ALL",NLPaymentExport,10,FALSE),0)</f>
        <v>0</v>
      </c>
      <c r="U1361" s="118" t="str">
        <f t="shared" si="183"/>
        <v/>
      </c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</row>
    <row r="1362" spans="1:54" s="10" customFormat="1" ht="17.100000000000001" hidden="1" customHeight="1" x14ac:dyDescent="0.25">
      <c r="A1362" s="165">
        <v>69</v>
      </c>
      <c r="B1362" s="168" t="s">
        <v>431</v>
      </c>
      <c r="C1362" s="171" t="s">
        <v>53</v>
      </c>
      <c r="D1362" s="174" t="s">
        <v>157</v>
      </c>
      <c r="E1362" s="106" t="str">
        <f t="shared" ref="E1362:E1400" si="186">IF(B1362 = "",E1361,B1362)</f>
        <v>La Vergne</v>
      </c>
      <c r="F1362" s="107" t="s">
        <v>432</v>
      </c>
      <c r="G1362" s="108" t="str">
        <f t="shared" ref="G1362:G1380" si="187">F1362&amp;"-"&amp;I1362</f>
        <v>CP574-New Donor</v>
      </c>
      <c r="H1362" s="177" t="s">
        <v>75</v>
      </c>
      <c r="I1362" s="76" t="s">
        <v>23</v>
      </c>
      <c r="J1362" s="40" t="s">
        <v>433</v>
      </c>
      <c r="K1362" s="41" t="s">
        <v>434</v>
      </c>
      <c r="L1362" s="41" t="s">
        <v>435</v>
      </c>
      <c r="M1362" s="42" t="s">
        <v>435</v>
      </c>
      <c r="N1362" s="40" t="s">
        <v>435</v>
      </c>
      <c r="O1362" s="40" t="s">
        <v>435</v>
      </c>
      <c r="P1362" s="40" t="s">
        <v>435</v>
      </c>
      <c r="Q1362" s="40" t="s">
        <v>436</v>
      </c>
      <c r="R1362" s="109"/>
      <c r="S1362" s="117" t="str">
        <f t="shared" si="182"/>
        <v>Y</v>
      </c>
      <c r="T1362" s="114">
        <f>IFERROR(SUMIF('Current NLData'!A:A,'Payment Changes'!G1362,'Current NLData'!K:K)/COUNTIF('Current NLData'!A:A,'Payment Changes'!G1362),0)+IFERROR(VLOOKUP(G1362&amp;"-ALL",NLPaymentExport,10,FALSE),0)</f>
        <v>0</v>
      </c>
      <c r="U1362" s="118" t="str">
        <f t="shared" si="183"/>
        <v/>
      </c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</row>
    <row r="1363" spans="1:54" ht="17.100000000000001" hidden="1" customHeight="1" x14ac:dyDescent="0.25">
      <c r="A1363" s="166"/>
      <c r="B1363" s="169"/>
      <c r="C1363" s="172"/>
      <c r="D1363" s="175"/>
      <c r="E1363" s="91" t="str">
        <f t="shared" si="186"/>
        <v>La Vergne</v>
      </c>
      <c r="F1363" s="92" t="s">
        <v>432</v>
      </c>
      <c r="G1363" s="98" t="str">
        <f t="shared" si="187"/>
        <v>CP574-Return Donor</v>
      </c>
      <c r="H1363" s="178"/>
      <c r="I1363" s="77" t="s">
        <v>29</v>
      </c>
      <c r="J1363" s="43" t="s">
        <v>437</v>
      </c>
      <c r="K1363" s="43" t="s">
        <v>437</v>
      </c>
      <c r="L1363" s="44" t="s">
        <v>435</v>
      </c>
      <c r="M1363" s="45" t="s">
        <v>435</v>
      </c>
      <c r="N1363" s="43" t="s">
        <v>435</v>
      </c>
      <c r="O1363" s="43" t="s">
        <v>435</v>
      </c>
      <c r="P1363" s="43" t="s">
        <v>435</v>
      </c>
      <c r="Q1363" s="43" t="s">
        <v>438</v>
      </c>
      <c r="R1363" s="21"/>
      <c r="S1363" s="117" t="str">
        <f t="shared" si="182"/>
        <v>Y</v>
      </c>
      <c r="T1363" s="114">
        <f>IFERROR(SUMIF('Current NLData'!A:A,'Payment Changes'!G1363,'Current NLData'!K:K)/COUNTIF('Current NLData'!A:A,'Payment Changes'!G1363),0)+IFERROR(VLOOKUP(G1363&amp;"-ALL",NLPaymentExport,10,FALSE),0)</f>
        <v>0</v>
      </c>
      <c r="U1363" s="118" t="str">
        <f t="shared" si="183"/>
        <v/>
      </c>
    </row>
    <row r="1364" spans="1:54" ht="17.100000000000001" hidden="1" customHeight="1" x14ac:dyDescent="0.25">
      <c r="A1364" s="166"/>
      <c r="B1364" s="169"/>
      <c r="C1364" s="172"/>
      <c r="D1364" s="175"/>
      <c r="E1364" s="91" t="str">
        <f t="shared" si="186"/>
        <v>La Vergne</v>
      </c>
      <c r="F1364" s="92" t="s">
        <v>432</v>
      </c>
      <c r="G1364" s="98" t="str">
        <f t="shared" si="187"/>
        <v>CP574-Retention Bonus</v>
      </c>
      <c r="H1364" s="178"/>
      <c r="I1364" s="78" t="s">
        <v>30</v>
      </c>
      <c r="J1364" s="46" t="s">
        <v>163</v>
      </c>
      <c r="K1364" s="46" t="s">
        <v>163</v>
      </c>
      <c r="L1364" s="47" t="s">
        <v>32</v>
      </c>
      <c r="M1364" s="48" t="s">
        <v>32</v>
      </c>
      <c r="N1364" s="46" t="s">
        <v>32</v>
      </c>
      <c r="O1364" s="46" t="s">
        <v>439</v>
      </c>
      <c r="P1364" s="46" t="s">
        <v>439</v>
      </c>
      <c r="Q1364" s="46" t="s">
        <v>439</v>
      </c>
      <c r="R1364" s="21"/>
      <c r="S1364" s="117" t="str">
        <f t="shared" si="182"/>
        <v>N</v>
      </c>
      <c r="T1364" s="114">
        <f>IFERROR(SUMIF('Current NLData'!A:A,'Payment Changes'!G1364,'Current NLData'!K:K)/COUNTIF('Current NLData'!A:A,'Payment Changes'!G1364),0)+IFERROR(VLOOKUP(G1364&amp;"-ALL",NLPaymentExport,10,FALSE),0)</f>
        <v>0</v>
      </c>
      <c r="U1364" s="118" t="str">
        <f t="shared" si="183"/>
        <v/>
      </c>
    </row>
    <row r="1365" spans="1:54" s="15" customFormat="1" ht="15" hidden="1" customHeight="1" x14ac:dyDescent="0.25">
      <c r="A1365" s="167"/>
      <c r="B1365" s="170"/>
      <c r="C1365" s="173"/>
      <c r="D1365" s="176"/>
      <c r="E1365" s="110" t="str">
        <f t="shared" si="186"/>
        <v>La Vergne</v>
      </c>
      <c r="F1365" s="111" t="s">
        <v>432</v>
      </c>
      <c r="G1365" s="112" t="str">
        <f t="shared" si="187"/>
        <v>CP574-Referral</v>
      </c>
      <c r="H1365" s="179"/>
      <c r="I1365" s="79" t="s">
        <v>34</v>
      </c>
      <c r="J1365" s="49">
        <v>50</v>
      </c>
      <c r="K1365" s="49">
        <v>50</v>
      </c>
      <c r="L1365" s="50" t="s">
        <v>32</v>
      </c>
      <c r="M1365" s="51" t="s">
        <v>32</v>
      </c>
      <c r="N1365" s="49" t="s">
        <v>32</v>
      </c>
      <c r="O1365" s="49">
        <v>50</v>
      </c>
      <c r="P1365" s="49">
        <v>50</v>
      </c>
      <c r="Q1365" s="49">
        <v>50</v>
      </c>
      <c r="R1365" s="113"/>
      <c r="S1365" s="117" t="str">
        <f t="shared" si="182"/>
        <v>N</v>
      </c>
      <c r="T1365" s="114">
        <f>IFERROR(SUMIF('Current NLData'!A:A,'Payment Changes'!G1365,'Current NLData'!K:K)/COUNTIF('Current NLData'!A:A,'Payment Changes'!G1365),0)+IFERROR(VLOOKUP(G1365&amp;"-ALL",NLPaymentExport,10,FALSE),0)</f>
        <v>0</v>
      </c>
      <c r="U1365" s="118" t="str">
        <f t="shared" si="183"/>
        <v/>
      </c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</row>
    <row r="1366" spans="1:54" ht="17.100000000000001" hidden="1" customHeight="1" outlineLevel="1" x14ac:dyDescent="0.25">
      <c r="A1366" s="3"/>
      <c r="C1366" s="4"/>
      <c r="D1366" s="180" t="s">
        <v>432</v>
      </c>
      <c r="E1366" s="91" t="str">
        <f t="shared" si="186"/>
        <v>La Vergne</v>
      </c>
      <c r="F1366" s="93" t="str">
        <f t="shared" ref="F1366:F1400" si="188">IF(D1366 = "",F1365,D1366)</f>
        <v>CP574</v>
      </c>
      <c r="G1366" s="99" t="str">
        <f t="shared" si="187"/>
        <v>CP574-NEW DONOR -1st</v>
      </c>
      <c r="H1366" s="182" t="s">
        <v>36</v>
      </c>
      <c r="I1366" s="33" t="s">
        <v>37</v>
      </c>
      <c r="J1366" s="60">
        <v>100</v>
      </c>
      <c r="K1366" s="61">
        <v>100</v>
      </c>
      <c r="L1366" s="60">
        <v>65</v>
      </c>
      <c r="M1366" s="60">
        <v>65</v>
      </c>
      <c r="N1366" s="60">
        <v>65</v>
      </c>
      <c r="O1366" s="60">
        <v>65</v>
      </c>
      <c r="P1366" s="60">
        <v>65</v>
      </c>
      <c r="Q1366" s="60">
        <v>100</v>
      </c>
      <c r="R1366" s="23"/>
      <c r="S1366" s="117" t="str">
        <f t="shared" si="182"/>
        <v>Y</v>
      </c>
      <c r="T1366" s="114">
        <f>IFERROR(SUMIF('Current NLData'!A:A,'Payment Changes'!G1366,'Current NLData'!K:K)/COUNTIF('Current NLData'!A:A,'Payment Changes'!G1366),0)+IFERROR(VLOOKUP(G1366&amp;"-ALL",NLPaymentExport,10,FALSE),0)</f>
        <v>65</v>
      </c>
      <c r="U1366" s="118">
        <f t="shared" si="183"/>
        <v>-35</v>
      </c>
    </row>
    <row r="1367" spans="1:54" ht="17.100000000000001" hidden="1" customHeight="1" outlineLevel="1" x14ac:dyDescent="0.25">
      <c r="A1367" s="3"/>
      <c r="C1367" s="4"/>
      <c r="D1367" s="181"/>
      <c r="E1367" s="91" t="str">
        <f t="shared" si="186"/>
        <v>La Vergne</v>
      </c>
      <c r="F1367" s="93" t="str">
        <f t="shared" si="188"/>
        <v>CP574</v>
      </c>
      <c r="G1367" s="99" t="str">
        <f t="shared" si="187"/>
        <v>CP574-NEW DONOR -2nd</v>
      </c>
      <c r="H1367" s="182"/>
      <c r="I1367" s="34" t="s">
        <v>38</v>
      </c>
      <c r="J1367" s="58">
        <v>150</v>
      </c>
      <c r="K1367" s="62">
        <v>150</v>
      </c>
      <c r="L1367" s="58">
        <v>65</v>
      </c>
      <c r="M1367" s="58">
        <v>65</v>
      </c>
      <c r="N1367" s="58">
        <v>65</v>
      </c>
      <c r="O1367" s="58">
        <v>65</v>
      </c>
      <c r="P1367" s="58">
        <v>65</v>
      </c>
      <c r="Q1367" s="58">
        <v>100</v>
      </c>
      <c r="R1367" s="23"/>
      <c r="S1367" s="117" t="str">
        <f t="shared" si="182"/>
        <v>Y</v>
      </c>
      <c r="T1367" s="114">
        <f>IFERROR(SUMIF('Current NLData'!A:A,'Payment Changes'!G1367,'Current NLData'!K:K)/COUNTIF('Current NLData'!A:A,'Payment Changes'!G1367),0)+IFERROR(VLOOKUP(G1367&amp;"-ALL",NLPaymentExport,10,FALSE),0)</f>
        <v>65</v>
      </c>
      <c r="U1367" s="118">
        <f t="shared" si="183"/>
        <v>-35</v>
      </c>
    </row>
    <row r="1368" spans="1:54" ht="17.100000000000001" hidden="1" customHeight="1" outlineLevel="1" x14ac:dyDescent="0.25">
      <c r="A1368" s="3"/>
      <c r="C1368" s="4"/>
      <c r="D1368" s="181"/>
      <c r="E1368" s="91" t="str">
        <f t="shared" si="186"/>
        <v>La Vergne</v>
      </c>
      <c r="F1368" s="93" t="str">
        <f t="shared" si="188"/>
        <v>CP574</v>
      </c>
      <c r="G1368" s="99" t="str">
        <f t="shared" si="187"/>
        <v>CP574-NEW DONOR -3rd</v>
      </c>
      <c r="H1368" s="182"/>
      <c r="I1368" s="34" t="s">
        <v>39</v>
      </c>
      <c r="J1368" s="58">
        <v>200</v>
      </c>
      <c r="K1368" s="62">
        <v>200</v>
      </c>
      <c r="L1368" s="58">
        <v>65</v>
      </c>
      <c r="M1368" s="58">
        <v>65</v>
      </c>
      <c r="N1368" s="58">
        <v>65</v>
      </c>
      <c r="O1368" s="58">
        <v>65</v>
      </c>
      <c r="P1368" s="58">
        <v>65</v>
      </c>
      <c r="Q1368" s="58">
        <v>100</v>
      </c>
      <c r="R1368" s="23"/>
      <c r="S1368" s="117" t="str">
        <f t="shared" si="182"/>
        <v>Y</v>
      </c>
      <c r="T1368" s="114">
        <f>IFERROR(SUMIF('Current NLData'!A:A,'Payment Changes'!G1368,'Current NLData'!K:K)/COUNTIF('Current NLData'!A:A,'Payment Changes'!G1368),0)+IFERROR(VLOOKUP(G1368&amp;"-ALL",NLPaymentExport,10,FALSE),0)</f>
        <v>65</v>
      </c>
      <c r="U1368" s="118">
        <f t="shared" si="183"/>
        <v>-35</v>
      </c>
    </row>
    <row r="1369" spans="1:54" ht="17.100000000000001" hidden="1" customHeight="1" outlineLevel="1" x14ac:dyDescent="0.25">
      <c r="A1369" s="3"/>
      <c r="C1369" s="4"/>
      <c r="D1369" s="181"/>
      <c r="E1369" s="91" t="str">
        <f t="shared" si="186"/>
        <v>La Vergne</v>
      </c>
      <c r="F1369" s="93" t="str">
        <f t="shared" si="188"/>
        <v>CP574</v>
      </c>
      <c r="G1369" s="99" t="str">
        <f t="shared" si="187"/>
        <v>CP574-NEW DONOR -4th</v>
      </c>
      <c r="H1369" s="182"/>
      <c r="I1369" s="34" t="s">
        <v>40</v>
      </c>
      <c r="J1369" s="58">
        <v>30</v>
      </c>
      <c r="K1369" s="62">
        <v>30</v>
      </c>
      <c r="L1369" s="58">
        <v>65</v>
      </c>
      <c r="M1369" s="58">
        <v>65</v>
      </c>
      <c r="N1369" s="58">
        <v>65</v>
      </c>
      <c r="O1369" s="58">
        <v>65</v>
      </c>
      <c r="P1369" s="58">
        <v>65</v>
      </c>
      <c r="Q1369" s="58">
        <v>50</v>
      </c>
      <c r="R1369" s="23"/>
      <c r="S1369" s="117" t="str">
        <f t="shared" si="182"/>
        <v>Y</v>
      </c>
      <c r="T1369" s="114">
        <f>IFERROR(SUMIF('Current NLData'!A:A,'Payment Changes'!G1369,'Current NLData'!K:K)/COUNTIF('Current NLData'!A:A,'Payment Changes'!G1369),0)+IFERROR(VLOOKUP(G1369&amp;"-ALL",NLPaymentExport,10,FALSE),0)</f>
        <v>65</v>
      </c>
      <c r="U1369" s="118">
        <f t="shared" si="183"/>
        <v>15</v>
      </c>
    </row>
    <row r="1370" spans="1:54" ht="17.100000000000001" hidden="1" customHeight="1" outlineLevel="1" x14ac:dyDescent="0.25">
      <c r="A1370" s="3"/>
      <c r="C1370" s="4"/>
      <c r="D1370" s="181"/>
      <c r="E1370" s="91" t="str">
        <f t="shared" si="186"/>
        <v>La Vergne</v>
      </c>
      <c r="F1370" s="93" t="str">
        <f t="shared" si="188"/>
        <v>CP574</v>
      </c>
      <c r="G1370" s="99" t="str">
        <f t="shared" si="187"/>
        <v>CP574-NEW DONOR -5th</v>
      </c>
      <c r="H1370" s="182"/>
      <c r="I1370" s="34" t="s">
        <v>41</v>
      </c>
      <c r="J1370" s="58">
        <v>30</v>
      </c>
      <c r="K1370" s="62">
        <v>60</v>
      </c>
      <c r="L1370" s="58">
        <v>65</v>
      </c>
      <c r="M1370" s="58">
        <v>65</v>
      </c>
      <c r="N1370" s="58">
        <v>65</v>
      </c>
      <c r="O1370" s="58">
        <v>65</v>
      </c>
      <c r="P1370" s="58">
        <v>65</v>
      </c>
      <c r="Q1370" s="58">
        <v>50</v>
      </c>
      <c r="R1370" s="23"/>
      <c r="S1370" s="117" t="str">
        <f t="shared" si="182"/>
        <v>Y</v>
      </c>
      <c r="T1370" s="114">
        <f>IFERROR(SUMIF('Current NLData'!A:A,'Payment Changes'!G1370,'Current NLData'!K:K)/COUNTIF('Current NLData'!A:A,'Payment Changes'!G1370),0)+IFERROR(VLOOKUP(G1370&amp;"-ALL",NLPaymentExport,10,FALSE),0)</f>
        <v>65</v>
      </c>
      <c r="U1370" s="118">
        <f t="shared" si="183"/>
        <v>15</v>
      </c>
    </row>
    <row r="1371" spans="1:54" ht="17.100000000000001" hidden="1" customHeight="1" outlineLevel="1" x14ac:dyDescent="0.25">
      <c r="A1371" s="3"/>
      <c r="C1371" s="4"/>
      <c r="D1371" s="181"/>
      <c r="E1371" s="91" t="str">
        <f t="shared" si="186"/>
        <v>La Vergne</v>
      </c>
      <c r="F1371" s="93" t="str">
        <f t="shared" si="188"/>
        <v>CP574</v>
      </c>
      <c r="G1371" s="99" t="str">
        <f t="shared" si="187"/>
        <v>CP574-NEW DONOR -6th</v>
      </c>
      <c r="H1371" s="182"/>
      <c r="I1371" s="34" t="s">
        <v>42</v>
      </c>
      <c r="J1371" s="58">
        <v>30</v>
      </c>
      <c r="K1371" s="62">
        <v>30</v>
      </c>
      <c r="L1371" s="58">
        <v>65</v>
      </c>
      <c r="M1371" s="58">
        <v>65</v>
      </c>
      <c r="N1371" s="58">
        <v>65</v>
      </c>
      <c r="O1371" s="58">
        <v>65</v>
      </c>
      <c r="P1371" s="58">
        <v>65</v>
      </c>
      <c r="Q1371" s="58">
        <v>50</v>
      </c>
      <c r="R1371" s="23"/>
      <c r="S1371" s="117" t="str">
        <f t="shared" si="182"/>
        <v>Y</v>
      </c>
      <c r="T1371" s="114">
        <f>IFERROR(SUMIF('Current NLData'!A:A,'Payment Changes'!G1371,'Current NLData'!K:K)/COUNTIF('Current NLData'!A:A,'Payment Changes'!G1371),0)+IFERROR(VLOOKUP(G1371&amp;"-ALL",NLPaymentExport,10,FALSE),0)</f>
        <v>65</v>
      </c>
      <c r="U1371" s="118">
        <f t="shared" si="183"/>
        <v>15</v>
      </c>
    </row>
    <row r="1372" spans="1:54" ht="17.100000000000001" hidden="1" customHeight="1" outlineLevel="1" x14ac:dyDescent="0.25">
      <c r="A1372" s="3"/>
      <c r="C1372" s="4"/>
      <c r="D1372" s="181"/>
      <c r="E1372" s="91" t="str">
        <f t="shared" si="186"/>
        <v>La Vergne</v>
      </c>
      <c r="F1372" s="93" t="str">
        <f t="shared" si="188"/>
        <v>CP574</v>
      </c>
      <c r="G1372" s="99" t="str">
        <f t="shared" si="187"/>
        <v>CP574-NEW DONOR -7th</v>
      </c>
      <c r="H1372" s="182"/>
      <c r="I1372" s="34" t="s">
        <v>43</v>
      </c>
      <c r="J1372" s="58">
        <v>30</v>
      </c>
      <c r="K1372" s="62">
        <v>60</v>
      </c>
      <c r="L1372" s="58">
        <v>65</v>
      </c>
      <c r="M1372" s="58">
        <v>65</v>
      </c>
      <c r="N1372" s="58">
        <v>65</v>
      </c>
      <c r="O1372" s="58">
        <v>65</v>
      </c>
      <c r="P1372" s="58">
        <v>65</v>
      </c>
      <c r="Q1372" s="58">
        <v>50</v>
      </c>
      <c r="R1372" s="23"/>
      <c r="S1372" s="117" t="str">
        <f t="shared" si="182"/>
        <v>Y</v>
      </c>
      <c r="T1372" s="114">
        <f>IFERROR(SUMIF('Current NLData'!A:A,'Payment Changes'!G1372,'Current NLData'!K:K)/COUNTIF('Current NLData'!A:A,'Payment Changes'!G1372),0)+IFERROR(VLOOKUP(G1372&amp;"-ALL",NLPaymentExport,10,FALSE),0)</f>
        <v>65</v>
      </c>
      <c r="U1372" s="118">
        <f t="shared" si="183"/>
        <v>15</v>
      </c>
    </row>
    <row r="1373" spans="1:54" ht="17.100000000000001" hidden="1" customHeight="1" outlineLevel="1" x14ac:dyDescent="0.25">
      <c r="A1373" s="3"/>
      <c r="C1373" s="4"/>
      <c r="D1373" s="181"/>
      <c r="E1373" s="91" t="str">
        <f t="shared" si="186"/>
        <v>La Vergne</v>
      </c>
      <c r="F1373" s="93" t="str">
        <f t="shared" si="188"/>
        <v>CP574</v>
      </c>
      <c r="G1373" s="99" t="str">
        <f t="shared" si="187"/>
        <v>CP574-NEW DONOR -8th</v>
      </c>
      <c r="H1373" s="182"/>
      <c r="I1373" s="35" t="s">
        <v>44</v>
      </c>
      <c r="J1373" s="63">
        <v>30</v>
      </c>
      <c r="K1373" s="64">
        <v>30</v>
      </c>
      <c r="L1373" s="63">
        <v>65</v>
      </c>
      <c r="M1373" s="63">
        <v>65</v>
      </c>
      <c r="N1373" s="63">
        <v>65</v>
      </c>
      <c r="O1373" s="63">
        <v>65</v>
      </c>
      <c r="P1373" s="63">
        <v>65</v>
      </c>
      <c r="Q1373" s="63">
        <v>50</v>
      </c>
      <c r="R1373" s="23"/>
      <c r="S1373" s="117" t="str">
        <f t="shared" si="182"/>
        <v>Y</v>
      </c>
      <c r="T1373" s="114">
        <f>IFERROR(SUMIF('Current NLData'!A:A,'Payment Changes'!G1373,'Current NLData'!K:K)/COUNTIF('Current NLData'!A:A,'Payment Changes'!G1373),0)+IFERROR(VLOOKUP(G1373&amp;"-ALL",NLPaymentExport,10,FALSE),0)</f>
        <v>65</v>
      </c>
      <c r="U1373" s="118">
        <f t="shared" si="183"/>
        <v>15</v>
      </c>
    </row>
    <row r="1374" spans="1:54" hidden="1" outlineLevel="1" x14ac:dyDescent="0.25">
      <c r="A1374" s="3"/>
      <c r="C1374" s="4"/>
      <c r="D1374" s="181"/>
      <c r="E1374" s="91" t="str">
        <f t="shared" si="186"/>
        <v>La Vergne</v>
      </c>
      <c r="F1374" s="93" t="str">
        <f t="shared" si="188"/>
        <v>CP574</v>
      </c>
      <c r="G1374" s="99" t="str">
        <f t="shared" si="187"/>
        <v>CP574-RETURN - 1st don of the week -STD</v>
      </c>
      <c r="H1374" s="182"/>
      <c r="I1374" s="36" t="s">
        <v>45</v>
      </c>
      <c r="J1374" s="58">
        <v>30</v>
      </c>
      <c r="K1374" s="58">
        <v>30</v>
      </c>
      <c r="L1374" s="58">
        <v>65</v>
      </c>
      <c r="M1374" s="58">
        <v>65</v>
      </c>
      <c r="N1374" s="58">
        <v>65</v>
      </c>
      <c r="O1374" s="58">
        <v>65</v>
      </c>
      <c r="P1374" s="58">
        <v>65</v>
      </c>
      <c r="Q1374" s="58">
        <v>50</v>
      </c>
      <c r="R1374" s="22"/>
      <c r="S1374" s="117" t="str">
        <f t="shared" si="182"/>
        <v>Y</v>
      </c>
      <c r="T1374" s="114">
        <f>IFERROR(SUMIF('Current NLData'!A:A,'Payment Changes'!G1374,'Current NLData'!K:K)/COUNTIF('Current NLData'!A:A,'Payment Changes'!G1374),0)+IFERROR(VLOOKUP(G1374&amp;"-ALL",NLPaymentExport,10,FALSE),0)</f>
        <v>65</v>
      </c>
      <c r="U1374" s="118">
        <f t="shared" si="183"/>
        <v>15</v>
      </c>
    </row>
    <row r="1375" spans="1:54" hidden="1" outlineLevel="1" x14ac:dyDescent="0.25">
      <c r="A1375" s="3"/>
      <c r="C1375" s="4"/>
      <c r="D1375" s="181"/>
      <c r="E1375" s="91" t="str">
        <f t="shared" si="186"/>
        <v>La Vergne</v>
      </c>
      <c r="F1375" s="93" t="str">
        <f t="shared" si="188"/>
        <v>CP574</v>
      </c>
      <c r="G1375" s="99" t="str">
        <f t="shared" si="187"/>
        <v>CP574-RETURN - 2nd don of the week -BONUS</v>
      </c>
      <c r="H1375" s="182"/>
      <c r="I1375" s="36" t="s">
        <v>46</v>
      </c>
      <c r="J1375" s="58">
        <v>30</v>
      </c>
      <c r="K1375" s="58">
        <v>30</v>
      </c>
      <c r="L1375" s="58">
        <v>0</v>
      </c>
      <c r="M1375" s="58">
        <v>0</v>
      </c>
      <c r="N1375" s="58">
        <v>0</v>
      </c>
      <c r="O1375" s="58">
        <v>0</v>
      </c>
      <c r="P1375" s="58">
        <v>0</v>
      </c>
      <c r="Q1375" s="58">
        <v>10</v>
      </c>
      <c r="R1375" s="22"/>
      <c r="S1375" s="117" t="str">
        <f t="shared" si="182"/>
        <v>Y</v>
      </c>
      <c r="T1375" s="114">
        <f>IFERROR(SUMIF('Current NLData'!A:A,'Payment Changes'!G1375,'Current NLData'!K:K)/COUNTIF('Current NLData'!A:A,'Payment Changes'!G1375),0)+IFERROR(VLOOKUP(G1375&amp;"-ALL",NLPaymentExport,10,FALSE),0)</f>
        <v>0</v>
      </c>
      <c r="U1375" s="118">
        <f t="shared" si="183"/>
        <v>-10</v>
      </c>
    </row>
    <row r="1376" spans="1:54" hidden="1" outlineLevel="1" x14ac:dyDescent="0.25">
      <c r="A1376" s="3"/>
      <c r="C1376" s="4"/>
      <c r="D1376" s="181"/>
      <c r="E1376" s="91" t="str">
        <f t="shared" si="186"/>
        <v>La Vergne</v>
      </c>
      <c r="F1376" s="93" t="str">
        <f t="shared" si="188"/>
        <v>CP574</v>
      </c>
      <c r="G1376" s="99" t="str">
        <f t="shared" si="187"/>
        <v>CP574-RETURN - 5th don of the month -BONUS</v>
      </c>
      <c r="H1376" s="182"/>
      <c r="I1376" s="37" t="s">
        <v>47</v>
      </c>
      <c r="J1376" s="65">
        <v>0</v>
      </c>
      <c r="K1376" s="65">
        <v>0</v>
      </c>
      <c r="L1376" s="65">
        <v>0</v>
      </c>
      <c r="M1376" s="65">
        <v>0</v>
      </c>
      <c r="N1376" s="65">
        <v>0</v>
      </c>
      <c r="O1376" s="65">
        <v>30</v>
      </c>
      <c r="P1376" s="65">
        <v>30</v>
      </c>
      <c r="Q1376" s="65">
        <v>30</v>
      </c>
      <c r="R1376" s="22"/>
      <c r="S1376" s="117" t="str">
        <f t="shared" si="182"/>
        <v>N</v>
      </c>
      <c r="T1376" s="114">
        <f>IFERROR(SUMIF('Current NLData'!A:A,'Payment Changes'!G1376,'Current NLData'!K:K)/COUNTIF('Current NLData'!A:A,'Payment Changes'!G1376),0)+IFERROR(VLOOKUP(G1376&amp;"-ALL",NLPaymentExport,10,FALSE),0)</f>
        <v>30</v>
      </c>
      <c r="U1376" s="118">
        <f t="shared" si="183"/>
        <v>0</v>
      </c>
    </row>
    <row r="1377" spans="1:54" ht="17.100000000000001" hidden="1" customHeight="1" outlineLevel="1" x14ac:dyDescent="0.25">
      <c r="A1377" s="3"/>
      <c r="C1377" s="4"/>
      <c r="D1377" s="181"/>
      <c r="E1377" s="91" t="str">
        <f t="shared" si="186"/>
        <v>La Vergne</v>
      </c>
      <c r="F1377" s="93" t="str">
        <f t="shared" si="188"/>
        <v>CP574</v>
      </c>
      <c r="G1377" s="99" t="str">
        <f t="shared" si="187"/>
        <v>CP574-RETURN - 6th don of the month -BONUS</v>
      </c>
      <c r="H1377" s="182"/>
      <c r="I1377" s="38" t="s">
        <v>48</v>
      </c>
      <c r="J1377" s="58">
        <v>0</v>
      </c>
      <c r="K1377" s="58">
        <v>0</v>
      </c>
      <c r="L1377" s="58">
        <v>0</v>
      </c>
      <c r="M1377" s="58">
        <v>0</v>
      </c>
      <c r="N1377" s="58">
        <v>0</v>
      </c>
      <c r="O1377" s="58">
        <v>0</v>
      </c>
      <c r="P1377" s="58">
        <v>0</v>
      </c>
      <c r="Q1377" s="58">
        <v>0</v>
      </c>
      <c r="R1377" s="22"/>
      <c r="S1377" s="117" t="str">
        <f t="shared" si="182"/>
        <v>N</v>
      </c>
      <c r="T1377" s="114">
        <f>IFERROR(SUMIF('Current NLData'!A:A,'Payment Changes'!G1377,'Current NLData'!K:K)/COUNTIF('Current NLData'!A:A,'Payment Changes'!G1377),0)+IFERROR(VLOOKUP(G1377&amp;"-ALL",NLPaymentExport,10,FALSE),0)</f>
        <v>0</v>
      </c>
      <c r="U1377" s="118">
        <f t="shared" si="183"/>
        <v>0</v>
      </c>
    </row>
    <row r="1378" spans="1:54" ht="17.100000000000001" hidden="1" customHeight="1" outlineLevel="1" x14ac:dyDescent="0.25">
      <c r="A1378" s="3"/>
      <c r="C1378" s="4"/>
      <c r="D1378" s="181"/>
      <c r="E1378" s="91" t="str">
        <f t="shared" si="186"/>
        <v>La Vergne</v>
      </c>
      <c r="F1378" s="93" t="str">
        <f t="shared" si="188"/>
        <v>CP574</v>
      </c>
      <c r="G1378" s="99" t="str">
        <f t="shared" si="187"/>
        <v>CP574-RETURN - 7th don of the month -BONUS</v>
      </c>
      <c r="H1378" s="182"/>
      <c r="I1378" s="38" t="s">
        <v>49</v>
      </c>
      <c r="J1378" s="58">
        <v>0</v>
      </c>
      <c r="K1378" s="58">
        <v>0</v>
      </c>
      <c r="L1378" s="58">
        <v>0</v>
      </c>
      <c r="M1378" s="58">
        <v>0</v>
      </c>
      <c r="N1378" s="58">
        <v>0</v>
      </c>
      <c r="O1378" s="58">
        <v>0</v>
      </c>
      <c r="P1378" s="58">
        <v>0</v>
      </c>
      <c r="Q1378" s="58">
        <v>0</v>
      </c>
      <c r="R1378" s="22"/>
      <c r="S1378" s="117" t="str">
        <f t="shared" si="182"/>
        <v>N</v>
      </c>
      <c r="T1378" s="114">
        <f>IFERROR(SUMIF('Current NLData'!A:A,'Payment Changes'!G1378,'Current NLData'!K:K)/COUNTIF('Current NLData'!A:A,'Payment Changes'!G1378),0)+IFERROR(VLOOKUP(G1378&amp;"-ALL",NLPaymentExport,10,FALSE),0)</f>
        <v>0</v>
      </c>
      <c r="U1378" s="118">
        <f t="shared" si="183"/>
        <v>0</v>
      </c>
    </row>
    <row r="1379" spans="1:54" ht="17.100000000000001" hidden="1" customHeight="1" outlineLevel="1" x14ac:dyDescent="0.25">
      <c r="A1379" s="3"/>
      <c r="C1379" s="4"/>
      <c r="D1379" s="181"/>
      <c r="E1379" s="91" t="str">
        <f t="shared" si="186"/>
        <v>La Vergne</v>
      </c>
      <c r="F1379" s="93" t="str">
        <f t="shared" si="188"/>
        <v>CP574</v>
      </c>
      <c r="G1379" s="99" t="str">
        <f t="shared" si="187"/>
        <v>CP574-RETURN - 8th don of the month -BONUS</v>
      </c>
      <c r="H1379" s="182"/>
      <c r="I1379" s="38" t="s">
        <v>50</v>
      </c>
      <c r="J1379" s="58">
        <v>0</v>
      </c>
      <c r="K1379" s="58">
        <v>0</v>
      </c>
      <c r="L1379" s="58">
        <v>0</v>
      </c>
      <c r="M1379" s="58">
        <v>0</v>
      </c>
      <c r="N1379" s="58">
        <v>0</v>
      </c>
      <c r="O1379" s="58">
        <v>0</v>
      </c>
      <c r="P1379" s="58">
        <v>0</v>
      </c>
      <c r="Q1379" s="58">
        <v>0</v>
      </c>
      <c r="R1379" s="22"/>
      <c r="S1379" s="117" t="str">
        <f t="shared" si="182"/>
        <v>N</v>
      </c>
      <c r="T1379" s="114">
        <f>IFERROR(SUMIF('Current NLData'!A:A,'Payment Changes'!G1379,'Current NLData'!K:K)/COUNTIF('Current NLData'!A:A,'Payment Changes'!G1379),0)+IFERROR(VLOOKUP(G1379&amp;"-ALL",NLPaymentExport,10,FALSE),0)</f>
        <v>0</v>
      </c>
      <c r="U1379" s="118">
        <f t="shared" si="183"/>
        <v>0</v>
      </c>
    </row>
    <row r="1380" spans="1:54" ht="17.100000000000001" hidden="1" customHeight="1" outlineLevel="1" x14ac:dyDescent="0.25">
      <c r="A1380" s="3"/>
      <c r="C1380" s="4" t="str">
        <f>IF(J1380=0,"Warning","")</f>
        <v/>
      </c>
      <c r="D1380" s="181"/>
      <c r="E1380" s="91" t="str">
        <f t="shared" si="186"/>
        <v>La Vergne</v>
      </c>
      <c r="F1380" s="93" t="str">
        <f t="shared" si="188"/>
        <v>CP574</v>
      </c>
      <c r="G1380" s="99" t="str">
        <f t="shared" si="187"/>
        <v>CP574-RETURN - Buddy referral  -BONUS</v>
      </c>
      <c r="H1380" s="182"/>
      <c r="I1380" s="39" t="s">
        <v>51</v>
      </c>
      <c r="J1380" s="58">
        <v>50</v>
      </c>
      <c r="K1380" s="58">
        <v>50</v>
      </c>
      <c r="L1380" s="58">
        <v>0</v>
      </c>
      <c r="M1380" s="58">
        <v>0</v>
      </c>
      <c r="N1380" s="58">
        <v>0</v>
      </c>
      <c r="O1380" s="58">
        <v>50</v>
      </c>
      <c r="P1380" s="58">
        <v>50</v>
      </c>
      <c r="Q1380" s="58">
        <v>50</v>
      </c>
      <c r="R1380" s="22"/>
      <c r="S1380" s="117" t="str">
        <f t="shared" si="182"/>
        <v>N</v>
      </c>
      <c r="T1380" s="114">
        <f>IFERROR(SUMIF('Current NLData'!A:A,'Payment Changes'!G1380,'Current NLData'!K:K)/COUNTIF('Current NLData'!A:A,'Payment Changes'!G1380),0)+IFERROR(VLOOKUP(G1380&amp;"-ALL",NLPaymentExport,10,FALSE),0)</f>
        <v>50</v>
      </c>
      <c r="U1380" s="118">
        <f t="shared" si="183"/>
        <v>0</v>
      </c>
    </row>
    <row r="1381" spans="1:54" s="90" customFormat="1" ht="17.100000000000001" hidden="1" customHeight="1" collapsed="1" x14ac:dyDescent="0.35">
      <c r="A1381" s="85"/>
      <c r="B1381" s="85"/>
      <c r="C1381" s="86"/>
      <c r="D1381" s="87"/>
      <c r="E1381" s="87"/>
      <c r="F1381" s="87"/>
      <c r="G1381" s="87"/>
      <c r="H1381" s="96"/>
      <c r="I1381" s="88"/>
      <c r="J1381" s="89"/>
      <c r="K1381" s="89"/>
      <c r="L1381" s="89"/>
      <c r="M1381" s="89"/>
      <c r="N1381" s="89"/>
      <c r="O1381" s="89"/>
      <c r="P1381" s="89"/>
      <c r="Q1381" s="89"/>
      <c r="R1381" s="17"/>
      <c r="S1381" s="117" t="str">
        <f t="shared" si="182"/>
        <v>N</v>
      </c>
      <c r="T1381" s="114">
        <f>IFERROR(SUMIF('Current NLData'!A:A,'Payment Changes'!G1381,'Current NLData'!K:K)/COUNTIF('Current NLData'!A:A,'Payment Changes'!G1381),0)+IFERROR(VLOOKUP(G1381&amp;"-ALL",NLPaymentExport,10,FALSE),0)</f>
        <v>0</v>
      </c>
      <c r="U1381" s="118" t="str">
        <f t="shared" si="183"/>
        <v/>
      </c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</row>
    <row r="1382" spans="1:54" s="10" customFormat="1" ht="17.100000000000001" hidden="1" customHeight="1" x14ac:dyDescent="0.25">
      <c r="A1382" s="165">
        <v>70</v>
      </c>
      <c r="B1382" s="168" t="s">
        <v>440</v>
      </c>
      <c r="C1382" s="171" t="s">
        <v>53</v>
      </c>
      <c r="D1382" s="174" t="s">
        <v>157</v>
      </c>
      <c r="E1382" s="106" t="str">
        <f t="shared" si="186"/>
        <v>Tuscaloosa</v>
      </c>
      <c r="F1382" s="107" t="s">
        <v>441</v>
      </c>
      <c r="G1382" s="108" t="str">
        <f t="shared" ref="G1382:G1400" si="189">F1382&amp;"-"&amp;I1382</f>
        <v>CP577-New Donor</v>
      </c>
      <c r="H1382" s="177" t="s">
        <v>147</v>
      </c>
      <c r="I1382" s="76" t="s">
        <v>23</v>
      </c>
      <c r="J1382" s="40" t="s">
        <v>293</v>
      </c>
      <c r="K1382" s="41" t="s">
        <v>442</v>
      </c>
      <c r="L1382" s="41" t="s">
        <v>293</v>
      </c>
      <c r="M1382" s="42" t="s">
        <v>293</v>
      </c>
      <c r="N1382" s="40" t="s">
        <v>293</v>
      </c>
      <c r="O1382" s="40" t="s">
        <v>293</v>
      </c>
      <c r="P1382" s="40" t="s">
        <v>293</v>
      </c>
      <c r="Q1382" s="40" t="s">
        <v>293</v>
      </c>
      <c r="R1382" s="109"/>
      <c r="S1382" s="117" t="str">
        <f t="shared" si="182"/>
        <v>N</v>
      </c>
      <c r="T1382" s="114">
        <f>IFERROR(SUMIF('Current NLData'!A:A,'Payment Changes'!G1382,'Current NLData'!K:K)/COUNTIF('Current NLData'!A:A,'Payment Changes'!G1382),0)+IFERROR(VLOOKUP(G1382&amp;"-ALL",NLPaymentExport,10,FALSE),0)</f>
        <v>0</v>
      </c>
      <c r="U1382" s="118" t="str">
        <f t="shared" si="183"/>
        <v/>
      </c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</row>
    <row r="1383" spans="1:54" ht="17.100000000000001" hidden="1" customHeight="1" x14ac:dyDescent="0.25">
      <c r="A1383" s="166"/>
      <c r="B1383" s="169"/>
      <c r="C1383" s="172"/>
      <c r="D1383" s="175"/>
      <c r="E1383" s="91" t="str">
        <f t="shared" si="186"/>
        <v>Tuscaloosa</v>
      </c>
      <c r="F1383" s="92" t="s">
        <v>441</v>
      </c>
      <c r="G1383" s="98" t="str">
        <f t="shared" si="189"/>
        <v>CP577-Return Donor</v>
      </c>
      <c r="H1383" s="178"/>
      <c r="I1383" s="77" t="s">
        <v>29</v>
      </c>
      <c r="J1383" s="43" t="s">
        <v>443</v>
      </c>
      <c r="K1383" s="43" t="s">
        <v>443</v>
      </c>
      <c r="L1383" s="44" t="s">
        <v>443</v>
      </c>
      <c r="M1383" s="45" t="s">
        <v>443</v>
      </c>
      <c r="N1383" s="43" t="s">
        <v>443</v>
      </c>
      <c r="O1383" s="43" t="s">
        <v>443</v>
      </c>
      <c r="P1383" s="43" t="s">
        <v>443</v>
      </c>
      <c r="Q1383" s="43" t="s">
        <v>443</v>
      </c>
      <c r="R1383" s="21"/>
      <c r="S1383" s="117" t="str">
        <f t="shared" si="182"/>
        <v>N</v>
      </c>
      <c r="T1383" s="114">
        <f>IFERROR(SUMIF('Current NLData'!A:A,'Payment Changes'!G1383,'Current NLData'!K:K)/COUNTIF('Current NLData'!A:A,'Payment Changes'!G1383),0)+IFERROR(VLOOKUP(G1383&amp;"-ALL",NLPaymentExport,10,FALSE),0)</f>
        <v>0</v>
      </c>
      <c r="U1383" s="118" t="str">
        <f t="shared" si="183"/>
        <v/>
      </c>
    </row>
    <row r="1384" spans="1:54" ht="17.100000000000001" hidden="1" customHeight="1" x14ac:dyDescent="0.25">
      <c r="A1384" s="166"/>
      <c r="B1384" s="169"/>
      <c r="C1384" s="172"/>
      <c r="D1384" s="175"/>
      <c r="E1384" s="91" t="str">
        <f t="shared" si="186"/>
        <v>Tuscaloosa</v>
      </c>
      <c r="F1384" s="92" t="s">
        <v>441</v>
      </c>
      <c r="G1384" s="98" t="str">
        <f t="shared" si="189"/>
        <v>CP577-Retention Bonus</v>
      </c>
      <c r="H1384" s="178"/>
      <c r="I1384" s="78" t="s">
        <v>30</v>
      </c>
      <c r="J1384" s="46" t="s">
        <v>163</v>
      </c>
      <c r="K1384" s="46" t="s">
        <v>163</v>
      </c>
      <c r="L1384" s="47" t="s">
        <v>32</v>
      </c>
      <c r="M1384" s="48" t="s">
        <v>32</v>
      </c>
      <c r="N1384" s="46" t="s">
        <v>32</v>
      </c>
      <c r="O1384" s="46" t="s">
        <v>32</v>
      </c>
      <c r="P1384" s="46" t="s">
        <v>32</v>
      </c>
      <c r="Q1384" s="46" t="s">
        <v>32</v>
      </c>
      <c r="R1384" s="21"/>
      <c r="S1384" s="117" t="str">
        <f t="shared" si="182"/>
        <v>N</v>
      </c>
      <c r="T1384" s="114">
        <f>IFERROR(SUMIF('Current NLData'!A:A,'Payment Changes'!G1384,'Current NLData'!K:K)/COUNTIF('Current NLData'!A:A,'Payment Changes'!G1384),0)+IFERROR(VLOOKUP(G1384&amp;"-ALL",NLPaymentExport,10,FALSE),0)</f>
        <v>0</v>
      </c>
      <c r="U1384" s="118" t="str">
        <f t="shared" si="183"/>
        <v/>
      </c>
    </row>
    <row r="1385" spans="1:54" s="15" customFormat="1" ht="17.100000000000001" hidden="1" customHeight="1" x14ac:dyDescent="0.25">
      <c r="A1385" s="167"/>
      <c r="B1385" s="170"/>
      <c r="C1385" s="173"/>
      <c r="D1385" s="176"/>
      <c r="E1385" s="110" t="str">
        <f t="shared" si="186"/>
        <v>Tuscaloosa</v>
      </c>
      <c r="F1385" s="111" t="s">
        <v>441</v>
      </c>
      <c r="G1385" s="112" t="str">
        <f t="shared" si="189"/>
        <v>CP577-Referral</v>
      </c>
      <c r="H1385" s="179"/>
      <c r="I1385" s="79" t="s">
        <v>34</v>
      </c>
      <c r="J1385" s="49">
        <v>50</v>
      </c>
      <c r="K1385" s="49">
        <v>50</v>
      </c>
      <c r="L1385" s="50" t="s">
        <v>32</v>
      </c>
      <c r="M1385" s="51" t="s">
        <v>32</v>
      </c>
      <c r="N1385" s="49" t="s">
        <v>32</v>
      </c>
      <c r="O1385" s="49">
        <v>50</v>
      </c>
      <c r="P1385" s="49">
        <v>50</v>
      </c>
      <c r="Q1385" s="49">
        <v>50</v>
      </c>
      <c r="R1385" s="113"/>
      <c r="S1385" s="117" t="str">
        <f t="shared" si="182"/>
        <v>N</v>
      </c>
      <c r="T1385" s="114">
        <f>IFERROR(SUMIF('Current NLData'!A:A,'Payment Changes'!G1385,'Current NLData'!K:K)/COUNTIF('Current NLData'!A:A,'Payment Changes'!G1385),0)+IFERROR(VLOOKUP(G1385&amp;"-ALL",NLPaymentExport,10,FALSE),0)</f>
        <v>0</v>
      </c>
      <c r="U1385" s="118" t="str">
        <f t="shared" si="183"/>
        <v/>
      </c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</row>
    <row r="1386" spans="1:54" ht="17.100000000000001" hidden="1" customHeight="1" outlineLevel="1" x14ac:dyDescent="0.25">
      <c r="A1386" s="3"/>
      <c r="C1386" s="4"/>
      <c r="D1386" s="180" t="s">
        <v>441</v>
      </c>
      <c r="E1386" s="91" t="str">
        <f t="shared" si="186"/>
        <v>Tuscaloosa</v>
      </c>
      <c r="F1386" s="93" t="str">
        <f t="shared" si="188"/>
        <v>CP577</v>
      </c>
      <c r="G1386" s="99" t="str">
        <f t="shared" si="189"/>
        <v>CP577-NEW DONOR -1st</v>
      </c>
      <c r="H1386" s="182" t="s">
        <v>36</v>
      </c>
      <c r="I1386" s="33" t="s">
        <v>37</v>
      </c>
      <c r="J1386" s="60">
        <v>100</v>
      </c>
      <c r="K1386" s="61">
        <v>100</v>
      </c>
      <c r="L1386" s="60">
        <v>100</v>
      </c>
      <c r="M1386" s="60">
        <v>100</v>
      </c>
      <c r="N1386" s="60">
        <v>100</v>
      </c>
      <c r="O1386" s="60">
        <v>100</v>
      </c>
      <c r="P1386" s="60">
        <v>100</v>
      </c>
      <c r="Q1386" s="60">
        <v>100</v>
      </c>
      <c r="R1386" s="23"/>
      <c r="S1386" s="117" t="str">
        <f t="shared" si="182"/>
        <v>N</v>
      </c>
      <c r="T1386" s="114">
        <f>IFERROR(SUMIF('Current NLData'!A:A,'Payment Changes'!G1386,'Current NLData'!K:K)/COUNTIF('Current NLData'!A:A,'Payment Changes'!G1386),0)+IFERROR(VLOOKUP(G1386&amp;"-ALL",NLPaymentExport,10,FALSE),0)</f>
        <v>100</v>
      </c>
      <c r="U1386" s="118">
        <f t="shared" si="183"/>
        <v>0</v>
      </c>
    </row>
    <row r="1387" spans="1:54" ht="17.100000000000001" hidden="1" customHeight="1" outlineLevel="1" x14ac:dyDescent="0.25">
      <c r="A1387" s="3"/>
      <c r="C1387" s="4"/>
      <c r="D1387" s="181"/>
      <c r="E1387" s="91" t="str">
        <f t="shared" si="186"/>
        <v>Tuscaloosa</v>
      </c>
      <c r="F1387" s="93" t="str">
        <f t="shared" si="188"/>
        <v>CP577</v>
      </c>
      <c r="G1387" s="99" t="str">
        <f t="shared" si="189"/>
        <v>CP577-NEW DONOR -2nd</v>
      </c>
      <c r="H1387" s="182"/>
      <c r="I1387" s="34" t="s">
        <v>38</v>
      </c>
      <c r="J1387" s="58">
        <v>100</v>
      </c>
      <c r="K1387" s="62">
        <v>100</v>
      </c>
      <c r="L1387" s="58">
        <v>100</v>
      </c>
      <c r="M1387" s="58">
        <v>100</v>
      </c>
      <c r="N1387" s="58">
        <v>100</v>
      </c>
      <c r="O1387" s="58">
        <v>100</v>
      </c>
      <c r="P1387" s="58">
        <v>100</v>
      </c>
      <c r="Q1387" s="58">
        <v>100</v>
      </c>
      <c r="R1387" s="23"/>
      <c r="S1387" s="117" t="str">
        <f t="shared" si="182"/>
        <v>N</v>
      </c>
      <c r="T1387" s="114">
        <f>IFERROR(SUMIF('Current NLData'!A:A,'Payment Changes'!G1387,'Current NLData'!K:K)/COUNTIF('Current NLData'!A:A,'Payment Changes'!G1387),0)+IFERROR(VLOOKUP(G1387&amp;"-ALL",NLPaymentExport,10,FALSE),0)</f>
        <v>100</v>
      </c>
      <c r="U1387" s="118">
        <f t="shared" si="183"/>
        <v>0</v>
      </c>
    </row>
    <row r="1388" spans="1:54" ht="17.100000000000001" hidden="1" customHeight="1" outlineLevel="1" x14ac:dyDescent="0.25">
      <c r="A1388" s="3"/>
      <c r="C1388" s="4"/>
      <c r="D1388" s="181"/>
      <c r="E1388" s="91" t="str">
        <f t="shared" si="186"/>
        <v>Tuscaloosa</v>
      </c>
      <c r="F1388" s="93" t="str">
        <f t="shared" si="188"/>
        <v>CP577</v>
      </c>
      <c r="G1388" s="99" t="str">
        <f t="shared" si="189"/>
        <v>CP577-NEW DONOR -3rd</v>
      </c>
      <c r="H1388" s="182"/>
      <c r="I1388" s="34" t="s">
        <v>39</v>
      </c>
      <c r="J1388" s="58">
        <v>30</v>
      </c>
      <c r="K1388" s="62">
        <v>30</v>
      </c>
      <c r="L1388" s="58">
        <v>30</v>
      </c>
      <c r="M1388" s="58">
        <v>30</v>
      </c>
      <c r="N1388" s="58">
        <v>30</v>
      </c>
      <c r="O1388" s="58">
        <v>30</v>
      </c>
      <c r="P1388" s="58">
        <v>30</v>
      </c>
      <c r="Q1388" s="58">
        <v>30</v>
      </c>
      <c r="R1388" s="23"/>
      <c r="S1388" s="117" t="str">
        <f t="shared" si="182"/>
        <v>N</v>
      </c>
      <c r="T1388" s="114">
        <f>IFERROR(SUMIF('Current NLData'!A:A,'Payment Changes'!G1388,'Current NLData'!K:K)/COUNTIF('Current NLData'!A:A,'Payment Changes'!G1388),0)+IFERROR(VLOOKUP(G1388&amp;"-ALL",NLPaymentExport,10,FALSE),0)</f>
        <v>30</v>
      </c>
      <c r="U1388" s="118">
        <f t="shared" si="183"/>
        <v>0</v>
      </c>
    </row>
    <row r="1389" spans="1:54" ht="17.100000000000001" hidden="1" customHeight="1" outlineLevel="1" x14ac:dyDescent="0.25">
      <c r="A1389" s="3"/>
      <c r="C1389" s="4"/>
      <c r="D1389" s="181"/>
      <c r="E1389" s="91" t="str">
        <f t="shared" si="186"/>
        <v>Tuscaloosa</v>
      </c>
      <c r="F1389" s="93" t="str">
        <f t="shared" si="188"/>
        <v>CP577</v>
      </c>
      <c r="G1389" s="99" t="str">
        <f t="shared" si="189"/>
        <v>CP577-NEW DONOR -4th</v>
      </c>
      <c r="H1389" s="182"/>
      <c r="I1389" s="34" t="s">
        <v>40</v>
      </c>
      <c r="J1389" s="58">
        <v>30</v>
      </c>
      <c r="K1389" s="62">
        <v>75</v>
      </c>
      <c r="L1389" s="58">
        <v>30</v>
      </c>
      <c r="M1389" s="58">
        <v>30</v>
      </c>
      <c r="N1389" s="58">
        <v>30</v>
      </c>
      <c r="O1389" s="58">
        <v>30</v>
      </c>
      <c r="P1389" s="58">
        <v>30</v>
      </c>
      <c r="Q1389" s="58">
        <v>30</v>
      </c>
      <c r="R1389" s="23"/>
      <c r="S1389" s="117" t="str">
        <f t="shared" si="182"/>
        <v>N</v>
      </c>
      <c r="T1389" s="114">
        <f>IFERROR(SUMIF('Current NLData'!A:A,'Payment Changes'!G1389,'Current NLData'!K:K)/COUNTIF('Current NLData'!A:A,'Payment Changes'!G1389),0)+IFERROR(VLOOKUP(G1389&amp;"-ALL",NLPaymentExport,10,FALSE),0)</f>
        <v>30</v>
      </c>
      <c r="U1389" s="118">
        <f t="shared" si="183"/>
        <v>0</v>
      </c>
    </row>
    <row r="1390" spans="1:54" ht="17.100000000000001" hidden="1" customHeight="1" outlineLevel="1" x14ac:dyDescent="0.25">
      <c r="A1390" s="3"/>
      <c r="C1390" s="4"/>
      <c r="D1390" s="181"/>
      <c r="E1390" s="91" t="str">
        <f t="shared" si="186"/>
        <v>Tuscaloosa</v>
      </c>
      <c r="F1390" s="93" t="str">
        <f t="shared" si="188"/>
        <v>CP577</v>
      </c>
      <c r="G1390" s="99" t="str">
        <f t="shared" si="189"/>
        <v>CP577-NEW DONOR -5th</v>
      </c>
      <c r="H1390" s="182"/>
      <c r="I1390" s="34" t="s">
        <v>41</v>
      </c>
      <c r="J1390" s="58">
        <v>30</v>
      </c>
      <c r="K1390" s="62">
        <v>30</v>
      </c>
      <c r="L1390" s="58">
        <v>30</v>
      </c>
      <c r="M1390" s="58">
        <v>30</v>
      </c>
      <c r="N1390" s="58">
        <v>30</v>
      </c>
      <c r="O1390" s="58">
        <v>30</v>
      </c>
      <c r="P1390" s="58">
        <v>30</v>
      </c>
      <c r="Q1390" s="58">
        <v>30</v>
      </c>
      <c r="R1390" s="23"/>
      <c r="S1390" s="117" t="str">
        <f t="shared" si="182"/>
        <v>N</v>
      </c>
      <c r="T1390" s="114">
        <f>IFERROR(SUMIF('Current NLData'!A:A,'Payment Changes'!G1390,'Current NLData'!K:K)/COUNTIF('Current NLData'!A:A,'Payment Changes'!G1390),0)+IFERROR(VLOOKUP(G1390&amp;"-ALL",NLPaymentExport,10,FALSE),0)</f>
        <v>30</v>
      </c>
      <c r="U1390" s="118">
        <f t="shared" si="183"/>
        <v>0</v>
      </c>
    </row>
    <row r="1391" spans="1:54" ht="17.100000000000001" hidden="1" customHeight="1" outlineLevel="1" x14ac:dyDescent="0.25">
      <c r="A1391" s="3"/>
      <c r="C1391" s="4"/>
      <c r="D1391" s="181"/>
      <c r="E1391" s="91" t="str">
        <f t="shared" si="186"/>
        <v>Tuscaloosa</v>
      </c>
      <c r="F1391" s="93" t="str">
        <f t="shared" si="188"/>
        <v>CP577</v>
      </c>
      <c r="G1391" s="99" t="str">
        <f t="shared" si="189"/>
        <v>CP577-NEW DONOR -6th</v>
      </c>
      <c r="H1391" s="182"/>
      <c r="I1391" s="34" t="s">
        <v>42</v>
      </c>
      <c r="J1391" s="58">
        <v>30</v>
      </c>
      <c r="K1391" s="62">
        <v>75</v>
      </c>
      <c r="L1391" s="58">
        <v>30</v>
      </c>
      <c r="M1391" s="58">
        <v>30</v>
      </c>
      <c r="N1391" s="58">
        <v>30</v>
      </c>
      <c r="O1391" s="58">
        <v>30</v>
      </c>
      <c r="P1391" s="58">
        <v>30</v>
      </c>
      <c r="Q1391" s="58">
        <v>30</v>
      </c>
      <c r="R1391" s="23"/>
      <c r="S1391" s="117" t="str">
        <f t="shared" si="182"/>
        <v>N</v>
      </c>
      <c r="T1391" s="114">
        <f>IFERROR(SUMIF('Current NLData'!A:A,'Payment Changes'!G1391,'Current NLData'!K:K)/COUNTIF('Current NLData'!A:A,'Payment Changes'!G1391),0)+IFERROR(VLOOKUP(G1391&amp;"-ALL",NLPaymentExport,10,FALSE),0)</f>
        <v>30</v>
      </c>
      <c r="U1391" s="118">
        <f t="shared" si="183"/>
        <v>0</v>
      </c>
    </row>
    <row r="1392" spans="1:54" ht="17.100000000000001" hidden="1" customHeight="1" outlineLevel="1" x14ac:dyDescent="0.25">
      <c r="A1392" s="3"/>
      <c r="C1392" s="4"/>
      <c r="D1392" s="181"/>
      <c r="E1392" s="91" t="str">
        <f t="shared" si="186"/>
        <v>Tuscaloosa</v>
      </c>
      <c r="F1392" s="93" t="str">
        <f t="shared" si="188"/>
        <v>CP577</v>
      </c>
      <c r="G1392" s="99" t="str">
        <f t="shared" si="189"/>
        <v>CP577-NEW DONOR -7th</v>
      </c>
      <c r="H1392" s="182"/>
      <c r="I1392" s="34" t="s">
        <v>43</v>
      </c>
      <c r="J1392" s="58">
        <v>30</v>
      </c>
      <c r="K1392" s="62">
        <v>30</v>
      </c>
      <c r="L1392" s="58">
        <v>30</v>
      </c>
      <c r="M1392" s="58">
        <v>30</v>
      </c>
      <c r="N1392" s="58">
        <v>30</v>
      </c>
      <c r="O1392" s="58">
        <v>30</v>
      </c>
      <c r="P1392" s="58">
        <v>30</v>
      </c>
      <c r="Q1392" s="58">
        <v>30</v>
      </c>
      <c r="R1392" s="23"/>
      <c r="S1392" s="117" t="str">
        <f t="shared" si="182"/>
        <v>N</v>
      </c>
      <c r="T1392" s="114">
        <f>IFERROR(SUMIF('Current NLData'!A:A,'Payment Changes'!G1392,'Current NLData'!K:K)/COUNTIF('Current NLData'!A:A,'Payment Changes'!G1392),0)+IFERROR(VLOOKUP(G1392&amp;"-ALL",NLPaymentExport,10,FALSE),0)</f>
        <v>30</v>
      </c>
      <c r="U1392" s="118">
        <f t="shared" si="183"/>
        <v>0</v>
      </c>
    </row>
    <row r="1393" spans="1:54" ht="17.100000000000001" hidden="1" customHeight="1" outlineLevel="1" x14ac:dyDescent="0.25">
      <c r="A1393" s="3"/>
      <c r="C1393" s="4"/>
      <c r="D1393" s="181"/>
      <c r="E1393" s="91" t="str">
        <f t="shared" si="186"/>
        <v>Tuscaloosa</v>
      </c>
      <c r="F1393" s="93" t="str">
        <f t="shared" si="188"/>
        <v>CP577</v>
      </c>
      <c r="G1393" s="99" t="str">
        <f t="shared" si="189"/>
        <v>CP577-NEW DONOR -8th</v>
      </c>
      <c r="H1393" s="182"/>
      <c r="I1393" s="35" t="s">
        <v>44</v>
      </c>
      <c r="J1393" s="63">
        <v>30</v>
      </c>
      <c r="K1393" s="64">
        <v>75</v>
      </c>
      <c r="L1393" s="63">
        <v>30</v>
      </c>
      <c r="M1393" s="63">
        <v>30</v>
      </c>
      <c r="N1393" s="63">
        <v>30</v>
      </c>
      <c r="O1393" s="63">
        <v>30</v>
      </c>
      <c r="P1393" s="63">
        <v>30</v>
      </c>
      <c r="Q1393" s="63">
        <v>30</v>
      </c>
      <c r="R1393" s="23"/>
      <c r="S1393" s="117" t="str">
        <f t="shared" si="182"/>
        <v>N</v>
      </c>
      <c r="T1393" s="114">
        <f>IFERROR(SUMIF('Current NLData'!A:A,'Payment Changes'!G1393,'Current NLData'!K:K)/COUNTIF('Current NLData'!A:A,'Payment Changes'!G1393),0)+IFERROR(VLOOKUP(G1393&amp;"-ALL",NLPaymentExport,10,FALSE),0)</f>
        <v>30</v>
      </c>
      <c r="U1393" s="118">
        <f t="shared" si="183"/>
        <v>0</v>
      </c>
    </row>
    <row r="1394" spans="1:54" ht="17.100000000000001" hidden="1" customHeight="1" outlineLevel="1" x14ac:dyDescent="0.25">
      <c r="A1394" s="3"/>
      <c r="C1394" s="4"/>
      <c r="D1394" s="181"/>
      <c r="E1394" s="91" t="str">
        <f t="shared" si="186"/>
        <v>Tuscaloosa</v>
      </c>
      <c r="F1394" s="93" t="str">
        <f t="shared" si="188"/>
        <v>CP577</v>
      </c>
      <c r="G1394" s="99" t="str">
        <f t="shared" si="189"/>
        <v>CP577-RETURN - 1st don of the week -STD</v>
      </c>
      <c r="H1394" s="182"/>
      <c r="I1394" s="36" t="s">
        <v>45</v>
      </c>
      <c r="J1394" s="58">
        <v>30</v>
      </c>
      <c r="K1394" s="58">
        <v>30</v>
      </c>
      <c r="L1394" s="58">
        <v>30</v>
      </c>
      <c r="M1394" s="58">
        <v>30</v>
      </c>
      <c r="N1394" s="58">
        <v>30</v>
      </c>
      <c r="O1394" s="58">
        <v>30</v>
      </c>
      <c r="P1394" s="58">
        <v>30</v>
      </c>
      <c r="Q1394" s="58">
        <v>30</v>
      </c>
      <c r="R1394" s="22"/>
      <c r="S1394" s="117" t="str">
        <f t="shared" si="182"/>
        <v>N</v>
      </c>
      <c r="T1394" s="114">
        <f>IFERROR(SUMIF('Current NLData'!A:A,'Payment Changes'!G1394,'Current NLData'!K:K)/COUNTIF('Current NLData'!A:A,'Payment Changes'!G1394),0)+IFERROR(VLOOKUP(G1394&amp;"-ALL",NLPaymentExport,10,FALSE),0)</f>
        <v>30</v>
      </c>
      <c r="U1394" s="118">
        <f t="shared" si="183"/>
        <v>0</v>
      </c>
    </row>
    <row r="1395" spans="1:54" ht="17.100000000000001" hidden="1" customHeight="1" outlineLevel="1" x14ac:dyDescent="0.25">
      <c r="A1395" s="3"/>
      <c r="C1395" s="4"/>
      <c r="D1395" s="181"/>
      <c r="E1395" s="91" t="str">
        <f t="shared" si="186"/>
        <v>Tuscaloosa</v>
      </c>
      <c r="F1395" s="93" t="str">
        <f t="shared" si="188"/>
        <v>CP577</v>
      </c>
      <c r="G1395" s="99" t="str">
        <f t="shared" si="189"/>
        <v>CP577-RETURN - 2nd don of the week -BONUS</v>
      </c>
      <c r="H1395" s="182"/>
      <c r="I1395" s="36" t="s">
        <v>46</v>
      </c>
      <c r="J1395" s="58">
        <v>45</v>
      </c>
      <c r="K1395" s="58">
        <v>45</v>
      </c>
      <c r="L1395" s="58">
        <v>45</v>
      </c>
      <c r="M1395" s="58">
        <v>45</v>
      </c>
      <c r="N1395" s="58">
        <v>45</v>
      </c>
      <c r="O1395" s="58">
        <v>45</v>
      </c>
      <c r="P1395" s="58">
        <v>45</v>
      </c>
      <c r="Q1395" s="58">
        <v>45</v>
      </c>
      <c r="R1395" s="22"/>
      <c r="S1395" s="117" t="str">
        <f t="shared" si="182"/>
        <v>N</v>
      </c>
      <c r="T1395" s="114">
        <f>IFERROR(SUMIF('Current NLData'!A:A,'Payment Changes'!G1395,'Current NLData'!K:K)/COUNTIF('Current NLData'!A:A,'Payment Changes'!G1395),0)+IFERROR(VLOOKUP(G1395&amp;"-ALL",NLPaymentExport,10,FALSE),0)</f>
        <v>45</v>
      </c>
      <c r="U1395" s="118">
        <f t="shared" si="183"/>
        <v>0</v>
      </c>
    </row>
    <row r="1396" spans="1:54" ht="17.100000000000001" hidden="1" customHeight="1" outlineLevel="1" x14ac:dyDescent="0.25">
      <c r="A1396" s="3"/>
      <c r="C1396" s="4"/>
      <c r="D1396" s="181"/>
      <c r="E1396" s="91" t="str">
        <f t="shared" si="186"/>
        <v>Tuscaloosa</v>
      </c>
      <c r="F1396" s="93" t="str">
        <f t="shared" si="188"/>
        <v>CP577</v>
      </c>
      <c r="G1396" s="99" t="str">
        <f t="shared" si="189"/>
        <v>CP577-RETURN - 5th don of the month -BONUS</v>
      </c>
      <c r="H1396" s="182"/>
      <c r="I1396" s="37" t="s">
        <v>47</v>
      </c>
      <c r="J1396" s="65">
        <v>0</v>
      </c>
      <c r="K1396" s="65">
        <v>0</v>
      </c>
      <c r="L1396" s="65">
        <v>0</v>
      </c>
      <c r="M1396" s="65">
        <v>0</v>
      </c>
      <c r="N1396" s="65">
        <v>0</v>
      </c>
      <c r="O1396" s="65">
        <v>0</v>
      </c>
      <c r="P1396" s="65">
        <v>0</v>
      </c>
      <c r="Q1396" s="65">
        <v>0</v>
      </c>
      <c r="R1396" s="22"/>
      <c r="S1396" s="117" t="str">
        <f t="shared" si="182"/>
        <v>N</v>
      </c>
      <c r="T1396" s="114">
        <f>IFERROR(SUMIF('Current NLData'!A:A,'Payment Changes'!G1396,'Current NLData'!K:K)/COUNTIF('Current NLData'!A:A,'Payment Changes'!G1396),0)+IFERROR(VLOOKUP(G1396&amp;"-ALL",NLPaymentExport,10,FALSE),0)</f>
        <v>0</v>
      </c>
      <c r="U1396" s="118">
        <f t="shared" si="183"/>
        <v>0</v>
      </c>
    </row>
    <row r="1397" spans="1:54" ht="17.100000000000001" hidden="1" customHeight="1" outlineLevel="1" x14ac:dyDescent="0.25">
      <c r="A1397" s="3"/>
      <c r="C1397" s="4"/>
      <c r="D1397" s="181"/>
      <c r="E1397" s="91" t="str">
        <f t="shared" si="186"/>
        <v>Tuscaloosa</v>
      </c>
      <c r="F1397" s="93" t="str">
        <f t="shared" si="188"/>
        <v>CP577</v>
      </c>
      <c r="G1397" s="99" t="str">
        <f t="shared" si="189"/>
        <v>CP577-RETURN - 6th don of the month -BONUS</v>
      </c>
      <c r="H1397" s="182"/>
      <c r="I1397" s="38" t="s">
        <v>48</v>
      </c>
      <c r="J1397" s="58">
        <v>0</v>
      </c>
      <c r="K1397" s="58">
        <v>0</v>
      </c>
      <c r="L1397" s="58">
        <v>0</v>
      </c>
      <c r="M1397" s="58">
        <v>0</v>
      </c>
      <c r="N1397" s="58">
        <v>0</v>
      </c>
      <c r="O1397" s="58">
        <v>0</v>
      </c>
      <c r="P1397" s="58">
        <v>0</v>
      </c>
      <c r="Q1397" s="58">
        <v>0</v>
      </c>
      <c r="R1397" s="22"/>
      <c r="S1397" s="117" t="str">
        <f t="shared" si="182"/>
        <v>N</v>
      </c>
      <c r="T1397" s="114">
        <f>IFERROR(SUMIF('Current NLData'!A:A,'Payment Changes'!G1397,'Current NLData'!K:K)/COUNTIF('Current NLData'!A:A,'Payment Changes'!G1397),0)+IFERROR(VLOOKUP(G1397&amp;"-ALL",NLPaymentExport,10,FALSE),0)</f>
        <v>0</v>
      </c>
      <c r="U1397" s="118">
        <f t="shared" si="183"/>
        <v>0</v>
      </c>
    </row>
    <row r="1398" spans="1:54" ht="17.100000000000001" hidden="1" customHeight="1" outlineLevel="1" x14ac:dyDescent="0.25">
      <c r="A1398" s="3"/>
      <c r="C1398" s="4"/>
      <c r="D1398" s="181"/>
      <c r="E1398" s="91" t="str">
        <f t="shared" si="186"/>
        <v>Tuscaloosa</v>
      </c>
      <c r="F1398" s="93" t="str">
        <f t="shared" si="188"/>
        <v>CP577</v>
      </c>
      <c r="G1398" s="99" t="str">
        <f t="shared" si="189"/>
        <v>CP577-RETURN - 7th don of the month -BONUS</v>
      </c>
      <c r="H1398" s="182"/>
      <c r="I1398" s="38" t="s">
        <v>49</v>
      </c>
      <c r="J1398" s="58">
        <v>0</v>
      </c>
      <c r="K1398" s="58">
        <v>0</v>
      </c>
      <c r="L1398" s="58">
        <v>0</v>
      </c>
      <c r="M1398" s="58">
        <v>0</v>
      </c>
      <c r="N1398" s="58">
        <v>0</v>
      </c>
      <c r="O1398" s="58">
        <v>0</v>
      </c>
      <c r="P1398" s="58">
        <v>0</v>
      </c>
      <c r="Q1398" s="58">
        <v>0</v>
      </c>
      <c r="R1398" s="22"/>
      <c r="S1398" s="117" t="str">
        <f t="shared" si="182"/>
        <v>N</v>
      </c>
      <c r="T1398" s="114">
        <f>IFERROR(SUMIF('Current NLData'!A:A,'Payment Changes'!G1398,'Current NLData'!K:K)/COUNTIF('Current NLData'!A:A,'Payment Changes'!G1398),0)+IFERROR(VLOOKUP(G1398&amp;"-ALL",NLPaymentExport,10,FALSE),0)</f>
        <v>0</v>
      </c>
      <c r="U1398" s="118">
        <f t="shared" si="183"/>
        <v>0</v>
      </c>
    </row>
    <row r="1399" spans="1:54" ht="17.100000000000001" hidden="1" customHeight="1" outlineLevel="1" x14ac:dyDescent="0.25">
      <c r="A1399" s="3"/>
      <c r="C1399" s="4"/>
      <c r="D1399" s="181"/>
      <c r="E1399" s="91" t="str">
        <f t="shared" si="186"/>
        <v>Tuscaloosa</v>
      </c>
      <c r="F1399" s="93" t="str">
        <f t="shared" si="188"/>
        <v>CP577</v>
      </c>
      <c r="G1399" s="99" t="str">
        <f t="shared" si="189"/>
        <v>CP577-RETURN - 8th don of the month -BONUS</v>
      </c>
      <c r="H1399" s="182"/>
      <c r="I1399" s="38" t="s">
        <v>50</v>
      </c>
      <c r="J1399" s="58">
        <v>0</v>
      </c>
      <c r="K1399" s="58">
        <v>0</v>
      </c>
      <c r="L1399" s="58">
        <v>0</v>
      </c>
      <c r="M1399" s="58">
        <v>0</v>
      </c>
      <c r="N1399" s="58">
        <v>0</v>
      </c>
      <c r="O1399" s="58">
        <v>0</v>
      </c>
      <c r="P1399" s="58">
        <v>0</v>
      </c>
      <c r="Q1399" s="58">
        <v>0</v>
      </c>
      <c r="R1399" s="22"/>
      <c r="S1399" s="117" t="str">
        <f t="shared" si="182"/>
        <v>N</v>
      </c>
      <c r="T1399" s="114">
        <f>IFERROR(SUMIF('Current NLData'!A:A,'Payment Changes'!G1399,'Current NLData'!K:K)/COUNTIF('Current NLData'!A:A,'Payment Changes'!G1399),0)+IFERROR(VLOOKUP(G1399&amp;"-ALL",NLPaymentExport,10,FALSE),0)</f>
        <v>0</v>
      </c>
      <c r="U1399" s="118">
        <f t="shared" si="183"/>
        <v>0</v>
      </c>
    </row>
    <row r="1400" spans="1:54" ht="17.100000000000001" hidden="1" customHeight="1" outlineLevel="1" x14ac:dyDescent="0.25">
      <c r="A1400" s="3"/>
      <c r="C1400" s="4" t="str">
        <f>IF(J1400=0,"Warning","")</f>
        <v/>
      </c>
      <c r="D1400" s="181"/>
      <c r="E1400" s="91" t="str">
        <f t="shared" si="186"/>
        <v>Tuscaloosa</v>
      </c>
      <c r="F1400" s="93" t="str">
        <f t="shared" si="188"/>
        <v>CP577</v>
      </c>
      <c r="G1400" s="99" t="str">
        <f t="shared" si="189"/>
        <v>CP577-RETURN - Buddy referral  -BONUS</v>
      </c>
      <c r="H1400" s="182"/>
      <c r="I1400" s="39" t="s">
        <v>51</v>
      </c>
      <c r="J1400" s="58">
        <v>50</v>
      </c>
      <c r="K1400" s="58">
        <v>50</v>
      </c>
      <c r="L1400" s="58">
        <v>0</v>
      </c>
      <c r="M1400" s="58">
        <v>0</v>
      </c>
      <c r="N1400" s="58">
        <v>0</v>
      </c>
      <c r="O1400" s="58">
        <v>50</v>
      </c>
      <c r="P1400" s="58">
        <v>50</v>
      </c>
      <c r="Q1400" s="58">
        <v>50</v>
      </c>
      <c r="R1400" s="22"/>
      <c r="S1400" s="117" t="str">
        <f t="shared" si="182"/>
        <v>N</v>
      </c>
      <c r="T1400" s="114">
        <f>IFERROR(SUMIF('Current NLData'!A:A,'Payment Changes'!G1400,'Current NLData'!K:K)/COUNTIF('Current NLData'!A:A,'Payment Changes'!G1400),0)+IFERROR(VLOOKUP(G1400&amp;"-ALL",NLPaymentExport,10,FALSE),0)</f>
        <v>50</v>
      </c>
      <c r="U1400" s="118">
        <f t="shared" si="183"/>
        <v>0</v>
      </c>
    </row>
    <row r="1401" spans="1:54" s="90" customFormat="1" ht="17.100000000000001" hidden="1" customHeight="1" collapsed="1" x14ac:dyDescent="0.35">
      <c r="A1401" s="85"/>
      <c r="B1401" s="85"/>
      <c r="C1401" s="86"/>
      <c r="D1401" s="87"/>
      <c r="E1401" s="87"/>
      <c r="F1401" s="87"/>
      <c r="G1401" s="87"/>
      <c r="H1401" s="96"/>
      <c r="I1401" s="88"/>
      <c r="J1401" s="89"/>
      <c r="K1401" s="89"/>
      <c r="L1401" s="89"/>
      <c r="M1401" s="89"/>
      <c r="N1401" s="89"/>
      <c r="O1401" s="89"/>
      <c r="P1401" s="89"/>
      <c r="Q1401" s="89"/>
      <c r="R1401" s="17"/>
      <c r="S1401" s="117" t="str">
        <f t="shared" si="182"/>
        <v>N</v>
      </c>
      <c r="T1401" s="114"/>
      <c r="U1401" s="118" t="str">
        <f t="shared" si="183"/>
        <v/>
      </c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</row>
    <row r="1402" spans="1:54" s="10" customFormat="1" ht="17.100000000000001" hidden="1" customHeight="1" x14ac:dyDescent="0.25">
      <c r="A1402" s="165">
        <v>71</v>
      </c>
      <c r="B1402" s="168" t="s">
        <v>444</v>
      </c>
      <c r="C1402" s="171" t="s">
        <v>53</v>
      </c>
      <c r="D1402" s="174" t="s">
        <v>157</v>
      </c>
      <c r="E1402" s="106" t="str">
        <f>IF(B1402 = "",E1401,B1402)</f>
        <v>Chicago</v>
      </c>
      <c r="F1402" s="107" t="s">
        <v>445</v>
      </c>
      <c r="G1402" s="108" t="str">
        <f t="shared" ref="G1402:G1420" si="190">F1402&amp;"-"&amp;I1402</f>
        <v>CP575-New Donor</v>
      </c>
      <c r="H1402" s="177" t="s">
        <v>147</v>
      </c>
      <c r="I1402" s="76" t="s">
        <v>23</v>
      </c>
      <c r="J1402" s="40" t="s">
        <v>293</v>
      </c>
      <c r="K1402" s="41" t="s">
        <v>446</v>
      </c>
      <c r="L1402" s="41" t="s">
        <v>293</v>
      </c>
      <c r="M1402" s="42" t="s">
        <v>293</v>
      </c>
      <c r="N1402" s="40" t="s">
        <v>293</v>
      </c>
      <c r="O1402" s="40" t="s">
        <v>447</v>
      </c>
      <c r="P1402" s="40" t="s">
        <v>447</v>
      </c>
      <c r="Q1402" s="40" t="s">
        <v>447</v>
      </c>
      <c r="R1402" s="109"/>
      <c r="S1402" s="117" t="str">
        <f t="shared" si="182"/>
        <v>N</v>
      </c>
      <c r="T1402" s="114">
        <f>IFERROR(SUMIF('Current NLData'!A:A,'Payment Changes'!G1402,'Current NLData'!K:K)/COUNTIF('Current NLData'!A:A,'Payment Changes'!G1402),0)+IFERROR(VLOOKUP(G1402&amp;"-ALL",NLPaymentExport,10,FALSE),0)</f>
        <v>0</v>
      </c>
      <c r="U1402" s="118" t="str">
        <f t="shared" si="183"/>
        <v/>
      </c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</row>
    <row r="1403" spans="1:54" ht="17.100000000000001" hidden="1" customHeight="1" x14ac:dyDescent="0.25">
      <c r="A1403" s="166"/>
      <c r="B1403" s="169"/>
      <c r="C1403" s="172"/>
      <c r="D1403" s="175"/>
      <c r="E1403" s="91" t="str">
        <f t="shared" ref="E1403:E1420" si="191">IF(B1403 = "",E1402,B1403)</f>
        <v>Chicago</v>
      </c>
      <c r="F1403" s="92" t="s">
        <v>445</v>
      </c>
      <c r="G1403" s="98" t="str">
        <f t="shared" si="190"/>
        <v>CP575-Return Donor</v>
      </c>
      <c r="H1403" s="178"/>
      <c r="I1403" s="77" t="s">
        <v>29</v>
      </c>
      <c r="J1403" s="43" t="s">
        <v>443</v>
      </c>
      <c r="K1403" s="43" t="s">
        <v>448</v>
      </c>
      <c r="L1403" s="44" t="s">
        <v>449</v>
      </c>
      <c r="M1403" s="45" t="s">
        <v>449</v>
      </c>
      <c r="N1403" s="43" t="s">
        <v>449</v>
      </c>
      <c r="O1403" s="43" t="s">
        <v>450</v>
      </c>
      <c r="P1403" s="43" t="s">
        <v>450</v>
      </c>
      <c r="Q1403" s="43" t="s">
        <v>450</v>
      </c>
      <c r="R1403" s="21"/>
      <c r="S1403" s="117" t="str">
        <f t="shared" si="182"/>
        <v>N</v>
      </c>
      <c r="T1403" s="114">
        <f>IFERROR(SUMIF('Current NLData'!A:A,'Payment Changes'!G1403,'Current NLData'!K:K)/COUNTIF('Current NLData'!A:A,'Payment Changes'!G1403),0)+IFERROR(VLOOKUP(G1403&amp;"-ALL",NLPaymentExport,10,FALSE),0)</f>
        <v>0</v>
      </c>
      <c r="U1403" s="118" t="str">
        <f t="shared" si="183"/>
        <v/>
      </c>
    </row>
    <row r="1404" spans="1:54" ht="17.100000000000001" hidden="1" customHeight="1" x14ac:dyDescent="0.25">
      <c r="A1404" s="166"/>
      <c r="B1404" s="169"/>
      <c r="C1404" s="172"/>
      <c r="D1404" s="175"/>
      <c r="E1404" s="91" t="str">
        <f t="shared" si="191"/>
        <v>Chicago</v>
      </c>
      <c r="F1404" s="92" t="s">
        <v>445</v>
      </c>
      <c r="G1404" s="98" t="str">
        <f t="shared" si="190"/>
        <v>CP575-Retention Bonus</v>
      </c>
      <c r="H1404" s="178"/>
      <c r="I1404" s="78" t="s">
        <v>30</v>
      </c>
      <c r="J1404" s="46" t="s">
        <v>163</v>
      </c>
      <c r="K1404" s="46" t="s">
        <v>163</v>
      </c>
      <c r="L1404" s="47" t="s">
        <v>32</v>
      </c>
      <c r="M1404" s="48" t="s">
        <v>32</v>
      </c>
      <c r="N1404" s="46" t="s">
        <v>32</v>
      </c>
      <c r="O1404" s="46" t="s">
        <v>451</v>
      </c>
      <c r="P1404" s="46" t="s">
        <v>451</v>
      </c>
      <c r="Q1404" s="46" t="s">
        <v>451</v>
      </c>
      <c r="R1404" s="21"/>
      <c r="S1404" s="117" t="str">
        <f t="shared" si="182"/>
        <v>N</v>
      </c>
      <c r="T1404" s="114">
        <f>IFERROR(SUMIF('Current NLData'!A:A,'Payment Changes'!G1404,'Current NLData'!K:K)/COUNTIF('Current NLData'!A:A,'Payment Changes'!G1404),0)+IFERROR(VLOOKUP(G1404&amp;"-ALL",NLPaymentExport,10,FALSE),0)</f>
        <v>0</v>
      </c>
      <c r="U1404" s="118" t="str">
        <f t="shared" si="183"/>
        <v/>
      </c>
    </row>
    <row r="1405" spans="1:54" s="15" customFormat="1" ht="17.100000000000001" hidden="1" customHeight="1" x14ac:dyDescent="0.25">
      <c r="A1405" s="167"/>
      <c r="B1405" s="170"/>
      <c r="C1405" s="173"/>
      <c r="D1405" s="176"/>
      <c r="E1405" s="110" t="str">
        <f t="shared" si="191"/>
        <v>Chicago</v>
      </c>
      <c r="F1405" s="111" t="s">
        <v>445</v>
      </c>
      <c r="G1405" s="112" t="str">
        <f t="shared" si="190"/>
        <v>CP575-Referral</v>
      </c>
      <c r="H1405" s="179"/>
      <c r="I1405" s="79" t="s">
        <v>34</v>
      </c>
      <c r="J1405" s="49">
        <v>50</v>
      </c>
      <c r="K1405" s="49">
        <v>50</v>
      </c>
      <c r="L1405" s="50" t="s">
        <v>32</v>
      </c>
      <c r="M1405" s="51" t="s">
        <v>32</v>
      </c>
      <c r="N1405" s="49" t="s">
        <v>32</v>
      </c>
      <c r="O1405" s="49">
        <v>50</v>
      </c>
      <c r="P1405" s="49">
        <v>50</v>
      </c>
      <c r="Q1405" s="49">
        <v>50</v>
      </c>
      <c r="R1405" s="113"/>
      <c r="S1405" s="117" t="str">
        <f t="shared" si="182"/>
        <v>N</v>
      </c>
      <c r="T1405" s="114">
        <f>IFERROR(SUMIF('Current NLData'!A:A,'Payment Changes'!G1405,'Current NLData'!K:K)/COUNTIF('Current NLData'!A:A,'Payment Changes'!G1405),0)+IFERROR(VLOOKUP(G1405&amp;"-ALL",NLPaymentExport,10,FALSE),0)</f>
        <v>0</v>
      </c>
      <c r="U1405" s="118" t="str">
        <f t="shared" si="183"/>
        <v/>
      </c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</row>
    <row r="1406" spans="1:54" ht="17.100000000000001" hidden="1" customHeight="1" outlineLevel="1" x14ac:dyDescent="0.25">
      <c r="A1406" s="3"/>
      <c r="C1406" s="4"/>
      <c r="D1406" s="180" t="s">
        <v>445</v>
      </c>
      <c r="E1406" s="91" t="str">
        <f t="shared" si="191"/>
        <v>Chicago</v>
      </c>
      <c r="F1406" s="93" t="str">
        <f t="shared" ref="F1406:F1420" si="192">IF(D1406 = "",F1405,D1406)</f>
        <v>CP575</v>
      </c>
      <c r="G1406" s="99" t="str">
        <f t="shared" si="190"/>
        <v>CP575-NEW DONOR -1st</v>
      </c>
      <c r="H1406" s="182" t="s">
        <v>36</v>
      </c>
      <c r="I1406" s="33" t="s">
        <v>37</v>
      </c>
      <c r="J1406" s="60">
        <v>100</v>
      </c>
      <c r="K1406" s="61">
        <v>100</v>
      </c>
      <c r="L1406" s="60">
        <v>100</v>
      </c>
      <c r="M1406" s="60">
        <v>100</v>
      </c>
      <c r="N1406" s="60">
        <v>100</v>
      </c>
      <c r="O1406" s="60">
        <v>125</v>
      </c>
      <c r="P1406" s="60">
        <v>125</v>
      </c>
      <c r="Q1406" s="60">
        <v>125</v>
      </c>
      <c r="R1406" s="23"/>
      <c r="S1406" s="117" t="str">
        <f t="shared" si="182"/>
        <v>N</v>
      </c>
      <c r="T1406" s="114">
        <f>IFERROR(SUMIF('Current NLData'!A:A,'Payment Changes'!G1406,'Current NLData'!K:K)/COUNTIF('Current NLData'!A:A,'Payment Changes'!G1406),0)+IFERROR(VLOOKUP(G1406&amp;"-ALL",NLPaymentExport,10,FALSE),0)</f>
        <v>125</v>
      </c>
      <c r="U1406" s="118">
        <f t="shared" si="183"/>
        <v>0</v>
      </c>
    </row>
    <row r="1407" spans="1:54" ht="17.100000000000001" hidden="1" customHeight="1" outlineLevel="1" x14ac:dyDescent="0.25">
      <c r="A1407" s="3"/>
      <c r="C1407" s="4"/>
      <c r="D1407" s="181"/>
      <c r="E1407" s="91" t="str">
        <f t="shared" si="191"/>
        <v>Chicago</v>
      </c>
      <c r="F1407" s="93" t="str">
        <f t="shared" si="192"/>
        <v>CP575</v>
      </c>
      <c r="G1407" s="99" t="str">
        <f t="shared" si="190"/>
        <v>CP575-NEW DONOR -2nd</v>
      </c>
      <c r="H1407" s="182"/>
      <c r="I1407" s="34" t="s">
        <v>38</v>
      </c>
      <c r="J1407" s="58">
        <v>100</v>
      </c>
      <c r="K1407" s="62">
        <v>100</v>
      </c>
      <c r="L1407" s="58">
        <v>100</v>
      </c>
      <c r="M1407" s="58">
        <v>100</v>
      </c>
      <c r="N1407" s="58">
        <v>100</v>
      </c>
      <c r="O1407" s="58">
        <v>125</v>
      </c>
      <c r="P1407" s="58">
        <v>125</v>
      </c>
      <c r="Q1407" s="58">
        <v>125</v>
      </c>
      <c r="R1407" s="23"/>
      <c r="S1407" s="117" t="str">
        <f t="shared" si="182"/>
        <v>N</v>
      </c>
      <c r="T1407" s="114">
        <f>IFERROR(SUMIF('Current NLData'!A:A,'Payment Changes'!G1407,'Current NLData'!K:K)/COUNTIF('Current NLData'!A:A,'Payment Changes'!G1407),0)+IFERROR(VLOOKUP(G1407&amp;"-ALL",NLPaymentExport,10,FALSE),0)</f>
        <v>125</v>
      </c>
      <c r="U1407" s="118">
        <f t="shared" si="183"/>
        <v>0</v>
      </c>
    </row>
    <row r="1408" spans="1:54" ht="17.100000000000001" hidden="1" customHeight="1" outlineLevel="1" x14ac:dyDescent="0.25">
      <c r="A1408" s="3"/>
      <c r="C1408" s="4"/>
      <c r="D1408" s="181"/>
      <c r="E1408" s="91" t="str">
        <f t="shared" si="191"/>
        <v>Chicago</v>
      </c>
      <c r="F1408" s="93" t="str">
        <f t="shared" si="192"/>
        <v>CP575</v>
      </c>
      <c r="G1408" s="99" t="str">
        <f t="shared" si="190"/>
        <v>CP575-NEW DONOR -3rd</v>
      </c>
      <c r="H1408" s="182"/>
      <c r="I1408" s="34" t="s">
        <v>39</v>
      </c>
      <c r="J1408" s="58">
        <v>30</v>
      </c>
      <c r="K1408" s="62">
        <v>40</v>
      </c>
      <c r="L1408" s="58">
        <v>40</v>
      </c>
      <c r="M1408" s="58">
        <v>40</v>
      </c>
      <c r="N1408" s="58">
        <v>40</v>
      </c>
      <c r="O1408" s="58">
        <v>125</v>
      </c>
      <c r="P1408" s="58">
        <v>125</v>
      </c>
      <c r="Q1408" s="58">
        <v>125</v>
      </c>
      <c r="R1408" s="23"/>
      <c r="S1408" s="117" t="str">
        <f t="shared" si="182"/>
        <v>N</v>
      </c>
      <c r="T1408" s="114">
        <f>IFERROR(SUMIF('Current NLData'!A:A,'Payment Changes'!G1408,'Current NLData'!K:K)/COUNTIF('Current NLData'!A:A,'Payment Changes'!G1408),0)+IFERROR(VLOOKUP(G1408&amp;"-ALL",NLPaymentExport,10,FALSE),0)</f>
        <v>125</v>
      </c>
      <c r="U1408" s="118">
        <f t="shared" si="183"/>
        <v>0</v>
      </c>
    </row>
    <row r="1409" spans="1:54" ht="17.100000000000001" hidden="1" customHeight="1" outlineLevel="1" x14ac:dyDescent="0.25">
      <c r="A1409" s="3"/>
      <c r="C1409" s="4"/>
      <c r="D1409" s="181"/>
      <c r="E1409" s="91" t="str">
        <f t="shared" si="191"/>
        <v>Chicago</v>
      </c>
      <c r="F1409" s="93" t="str">
        <f t="shared" si="192"/>
        <v>CP575</v>
      </c>
      <c r="G1409" s="99" t="str">
        <f t="shared" si="190"/>
        <v>CP575-NEW DONOR -4th</v>
      </c>
      <c r="H1409" s="182"/>
      <c r="I1409" s="34" t="s">
        <v>40</v>
      </c>
      <c r="J1409" s="58">
        <v>30</v>
      </c>
      <c r="K1409" s="62">
        <v>40</v>
      </c>
      <c r="L1409" s="58">
        <v>40</v>
      </c>
      <c r="M1409" s="58">
        <v>40</v>
      </c>
      <c r="N1409" s="58">
        <v>40</v>
      </c>
      <c r="O1409" s="58">
        <v>125</v>
      </c>
      <c r="P1409" s="58">
        <v>125</v>
      </c>
      <c r="Q1409" s="58">
        <v>125</v>
      </c>
      <c r="R1409" s="23"/>
      <c r="S1409" s="117" t="str">
        <f t="shared" si="182"/>
        <v>N</v>
      </c>
      <c r="T1409" s="114">
        <f>IFERROR(SUMIF('Current NLData'!A:A,'Payment Changes'!G1409,'Current NLData'!K:K)/COUNTIF('Current NLData'!A:A,'Payment Changes'!G1409),0)+IFERROR(VLOOKUP(G1409&amp;"-ALL",NLPaymentExport,10,FALSE),0)</f>
        <v>125</v>
      </c>
      <c r="U1409" s="118">
        <f t="shared" si="183"/>
        <v>0</v>
      </c>
    </row>
    <row r="1410" spans="1:54" ht="17.100000000000001" hidden="1" customHeight="1" outlineLevel="1" x14ac:dyDescent="0.25">
      <c r="A1410" s="3"/>
      <c r="C1410" s="4"/>
      <c r="D1410" s="181"/>
      <c r="E1410" s="91" t="str">
        <f t="shared" si="191"/>
        <v>Chicago</v>
      </c>
      <c r="F1410" s="93" t="str">
        <f t="shared" si="192"/>
        <v>CP575</v>
      </c>
      <c r="G1410" s="99" t="str">
        <f t="shared" si="190"/>
        <v>CP575-NEW DONOR -5th</v>
      </c>
      <c r="H1410" s="182"/>
      <c r="I1410" s="34" t="s">
        <v>41</v>
      </c>
      <c r="J1410" s="58">
        <v>30</v>
      </c>
      <c r="K1410" s="62">
        <v>40</v>
      </c>
      <c r="L1410" s="58">
        <v>40</v>
      </c>
      <c r="M1410" s="58">
        <v>40</v>
      </c>
      <c r="N1410" s="58">
        <v>40</v>
      </c>
      <c r="O1410" s="58">
        <v>125</v>
      </c>
      <c r="P1410" s="58">
        <v>125</v>
      </c>
      <c r="Q1410" s="58">
        <v>125</v>
      </c>
      <c r="R1410" s="23"/>
      <c r="S1410" s="117" t="str">
        <f t="shared" si="182"/>
        <v>N</v>
      </c>
      <c r="T1410" s="114">
        <f>IFERROR(SUMIF('Current NLData'!A:A,'Payment Changes'!G1410,'Current NLData'!K:K)/COUNTIF('Current NLData'!A:A,'Payment Changes'!G1410),0)+IFERROR(VLOOKUP(G1410&amp;"-ALL",NLPaymentExport,10,FALSE),0)</f>
        <v>125</v>
      </c>
      <c r="U1410" s="118">
        <f t="shared" si="183"/>
        <v>0</v>
      </c>
    </row>
    <row r="1411" spans="1:54" ht="17.100000000000001" hidden="1" customHeight="1" outlineLevel="1" x14ac:dyDescent="0.25">
      <c r="A1411" s="3"/>
      <c r="C1411" s="4"/>
      <c r="D1411" s="181"/>
      <c r="E1411" s="91" t="str">
        <f>IF(B1411 = "",E1410,B1411)</f>
        <v>Chicago</v>
      </c>
      <c r="F1411" s="93" t="str">
        <f t="shared" si="192"/>
        <v>CP575</v>
      </c>
      <c r="G1411" s="99" t="str">
        <f t="shared" si="190"/>
        <v>CP575-NEW DONOR -6th</v>
      </c>
      <c r="H1411" s="182"/>
      <c r="I1411" s="34" t="s">
        <v>42</v>
      </c>
      <c r="J1411" s="58">
        <v>30</v>
      </c>
      <c r="K1411" s="62">
        <v>40</v>
      </c>
      <c r="L1411" s="58">
        <v>40</v>
      </c>
      <c r="M1411" s="58">
        <v>40</v>
      </c>
      <c r="N1411" s="58">
        <v>40</v>
      </c>
      <c r="O1411" s="58">
        <v>125</v>
      </c>
      <c r="P1411" s="58">
        <v>125</v>
      </c>
      <c r="Q1411" s="58">
        <v>125</v>
      </c>
      <c r="R1411" s="23"/>
      <c r="S1411" s="117" t="str">
        <f t="shared" ref="S1411:S1420" si="193">IF(P1411=Q1411,"N","Y")</f>
        <v>N</v>
      </c>
      <c r="T1411" s="114">
        <f>IFERROR(SUMIF('Current NLData'!A:A,'Payment Changes'!G1411,'Current NLData'!K:K)/COUNTIF('Current NLData'!A:A,'Payment Changes'!G1411),0)+IFERROR(VLOOKUP(G1411&amp;"-ALL",NLPaymentExport,10,FALSE),0)</f>
        <v>125</v>
      </c>
      <c r="U1411" s="118">
        <f t="shared" si="183"/>
        <v>0</v>
      </c>
    </row>
    <row r="1412" spans="1:54" ht="17.100000000000001" hidden="1" customHeight="1" outlineLevel="1" x14ac:dyDescent="0.25">
      <c r="A1412" s="3"/>
      <c r="C1412" s="4"/>
      <c r="D1412" s="181"/>
      <c r="E1412" s="91" t="str">
        <f t="shared" si="191"/>
        <v>Chicago</v>
      </c>
      <c r="F1412" s="93" t="str">
        <f t="shared" si="192"/>
        <v>CP575</v>
      </c>
      <c r="G1412" s="99" t="str">
        <f t="shared" si="190"/>
        <v>CP575-NEW DONOR -7th</v>
      </c>
      <c r="H1412" s="182"/>
      <c r="I1412" s="34" t="s">
        <v>43</v>
      </c>
      <c r="J1412" s="58">
        <v>30</v>
      </c>
      <c r="K1412" s="62">
        <v>40</v>
      </c>
      <c r="L1412" s="58">
        <v>40</v>
      </c>
      <c r="M1412" s="58">
        <v>40</v>
      </c>
      <c r="N1412" s="58">
        <v>40</v>
      </c>
      <c r="O1412" s="58">
        <v>40</v>
      </c>
      <c r="P1412" s="58">
        <v>40</v>
      </c>
      <c r="Q1412" s="58">
        <v>40</v>
      </c>
      <c r="R1412" s="23"/>
      <c r="S1412" s="117" t="str">
        <f t="shared" si="193"/>
        <v>N</v>
      </c>
      <c r="T1412" s="114">
        <f>IFERROR(SUMIF('Current NLData'!A:A,'Payment Changes'!G1412,'Current NLData'!K:K)/COUNTIF('Current NLData'!A:A,'Payment Changes'!G1412),0)+IFERROR(VLOOKUP(G1412&amp;"-ALL",NLPaymentExport,10,FALSE),0)</f>
        <v>40</v>
      </c>
      <c r="U1412" s="118">
        <f t="shared" si="183"/>
        <v>0</v>
      </c>
    </row>
    <row r="1413" spans="1:54" ht="17.100000000000001" hidden="1" customHeight="1" outlineLevel="1" x14ac:dyDescent="0.25">
      <c r="A1413" s="3"/>
      <c r="C1413" s="4"/>
      <c r="D1413" s="181"/>
      <c r="E1413" s="91" t="str">
        <f t="shared" si="191"/>
        <v>Chicago</v>
      </c>
      <c r="F1413" s="93" t="str">
        <f t="shared" si="192"/>
        <v>CP575</v>
      </c>
      <c r="G1413" s="99" t="str">
        <f t="shared" si="190"/>
        <v>CP575-NEW DONOR -8th</v>
      </c>
      <c r="H1413" s="182"/>
      <c r="I1413" s="35" t="s">
        <v>44</v>
      </c>
      <c r="J1413" s="63">
        <v>30</v>
      </c>
      <c r="K1413" s="64">
        <v>40</v>
      </c>
      <c r="L1413" s="63">
        <v>40</v>
      </c>
      <c r="M1413" s="63">
        <v>40</v>
      </c>
      <c r="N1413" s="63">
        <v>40</v>
      </c>
      <c r="O1413" s="63">
        <v>40</v>
      </c>
      <c r="P1413" s="63">
        <v>40</v>
      </c>
      <c r="Q1413" s="63">
        <v>40</v>
      </c>
      <c r="R1413" s="23"/>
      <c r="S1413" s="117" t="str">
        <f t="shared" si="193"/>
        <v>N</v>
      </c>
      <c r="T1413" s="114">
        <f>IFERROR(SUMIF('Current NLData'!A:A,'Payment Changes'!G1413,'Current NLData'!K:K)/COUNTIF('Current NLData'!A:A,'Payment Changes'!G1413),0)+IFERROR(VLOOKUP(G1413&amp;"-ALL",NLPaymentExport,10,FALSE),0)</f>
        <v>40</v>
      </c>
      <c r="U1413" s="118">
        <f t="shared" si="183"/>
        <v>0</v>
      </c>
    </row>
    <row r="1414" spans="1:54" ht="17.100000000000001" hidden="1" customHeight="1" outlineLevel="1" x14ac:dyDescent="0.25">
      <c r="A1414" s="3"/>
      <c r="C1414" s="4"/>
      <c r="D1414" s="181"/>
      <c r="E1414" s="91" t="str">
        <f t="shared" si="191"/>
        <v>Chicago</v>
      </c>
      <c r="F1414" s="93" t="str">
        <f t="shared" si="192"/>
        <v>CP575</v>
      </c>
      <c r="G1414" s="99" t="str">
        <f t="shared" si="190"/>
        <v>CP575-RETURN - 1st don of the week -STD</v>
      </c>
      <c r="H1414" s="182"/>
      <c r="I1414" s="36" t="s">
        <v>45</v>
      </c>
      <c r="J1414" s="58">
        <v>30</v>
      </c>
      <c r="K1414" s="58">
        <v>40</v>
      </c>
      <c r="L1414" s="58">
        <v>40</v>
      </c>
      <c r="M1414" s="58">
        <v>40</v>
      </c>
      <c r="N1414" s="58">
        <v>40</v>
      </c>
      <c r="O1414" s="58">
        <v>40</v>
      </c>
      <c r="P1414" s="58">
        <v>40</v>
      </c>
      <c r="Q1414" s="58">
        <v>40</v>
      </c>
      <c r="R1414" s="22"/>
      <c r="S1414" s="117" t="str">
        <f t="shared" si="193"/>
        <v>N</v>
      </c>
      <c r="T1414" s="114">
        <f>IFERROR(SUMIF('Current NLData'!A:A,'Payment Changes'!G1414,'Current NLData'!K:K)/COUNTIF('Current NLData'!A:A,'Payment Changes'!G1414),0)+IFERROR(VLOOKUP(G1414&amp;"-ALL",NLPaymentExport,10,FALSE),0)</f>
        <v>40</v>
      </c>
      <c r="U1414" s="118">
        <f t="shared" si="183"/>
        <v>0</v>
      </c>
    </row>
    <row r="1415" spans="1:54" ht="17.100000000000001" hidden="1" customHeight="1" outlineLevel="1" x14ac:dyDescent="0.25">
      <c r="A1415" s="3"/>
      <c r="C1415" s="4"/>
      <c r="D1415" s="181"/>
      <c r="E1415" s="91" t="str">
        <f t="shared" si="191"/>
        <v>Chicago</v>
      </c>
      <c r="F1415" s="93" t="str">
        <f t="shared" si="192"/>
        <v>CP575</v>
      </c>
      <c r="G1415" s="99" t="str">
        <f t="shared" si="190"/>
        <v>CP575-RETURN - 2nd don of the week -BONUS</v>
      </c>
      <c r="H1415" s="182"/>
      <c r="I1415" s="36" t="s">
        <v>46</v>
      </c>
      <c r="J1415" s="58">
        <v>45</v>
      </c>
      <c r="K1415" s="58">
        <v>25</v>
      </c>
      <c r="L1415" s="58">
        <v>25</v>
      </c>
      <c r="M1415" s="58">
        <v>25</v>
      </c>
      <c r="N1415" s="58">
        <v>25</v>
      </c>
      <c r="O1415" s="58">
        <v>50</v>
      </c>
      <c r="P1415" s="58">
        <v>50</v>
      </c>
      <c r="Q1415" s="58">
        <v>50</v>
      </c>
      <c r="R1415" s="22"/>
      <c r="S1415" s="117" t="str">
        <f t="shared" si="193"/>
        <v>N</v>
      </c>
      <c r="T1415" s="114">
        <f>IFERROR(SUMIF('Current NLData'!A:A,'Payment Changes'!G1415,'Current NLData'!K:K)/COUNTIF('Current NLData'!A:A,'Payment Changes'!G1415),0)+IFERROR(VLOOKUP(G1415&amp;"-ALL",NLPaymentExport,10,FALSE),0)</f>
        <v>50</v>
      </c>
      <c r="U1415" s="118">
        <f t="shared" ref="U1415:U1420" si="194">IF(OR(I1415 = "New Donor", I1415="Return Donor", I1415="Retention Bonus", I1415="Referral", I1415 = ""),"",T1415-Q1415 )</f>
        <v>0</v>
      </c>
    </row>
    <row r="1416" spans="1:54" ht="17.100000000000001" hidden="1" customHeight="1" outlineLevel="1" x14ac:dyDescent="0.25">
      <c r="A1416" s="3"/>
      <c r="C1416" s="4"/>
      <c r="D1416" s="181"/>
      <c r="E1416" s="91" t="str">
        <f t="shared" si="191"/>
        <v>Chicago</v>
      </c>
      <c r="F1416" s="93" t="str">
        <f t="shared" si="192"/>
        <v>CP575</v>
      </c>
      <c r="G1416" s="99" t="str">
        <f t="shared" si="190"/>
        <v>CP575-RETURN - 5th don of the month -BONUS</v>
      </c>
      <c r="H1416" s="182"/>
      <c r="I1416" s="37" t="s">
        <v>47</v>
      </c>
      <c r="J1416" s="65">
        <v>0</v>
      </c>
      <c r="K1416" s="65">
        <v>0</v>
      </c>
      <c r="L1416" s="65">
        <v>0</v>
      </c>
      <c r="M1416" s="65">
        <v>0</v>
      </c>
      <c r="N1416" s="65">
        <v>0</v>
      </c>
      <c r="O1416" s="65">
        <v>0</v>
      </c>
      <c r="P1416" s="65">
        <v>0</v>
      </c>
      <c r="Q1416" s="65">
        <v>0</v>
      </c>
      <c r="R1416" s="22"/>
      <c r="S1416" s="117" t="str">
        <f t="shared" si="193"/>
        <v>N</v>
      </c>
      <c r="T1416" s="114">
        <f>IFERROR(SUMIF('Current NLData'!A:A,'Payment Changes'!G1416,'Current NLData'!K:K)/COUNTIF('Current NLData'!A:A,'Payment Changes'!G1416),0)+IFERROR(VLOOKUP(G1416&amp;"-ALL",NLPaymentExport,10,FALSE),0)</f>
        <v>0</v>
      </c>
      <c r="U1416" s="118">
        <f t="shared" si="194"/>
        <v>0</v>
      </c>
    </row>
    <row r="1417" spans="1:54" ht="17.100000000000001" hidden="1" customHeight="1" outlineLevel="1" x14ac:dyDescent="0.25">
      <c r="A1417" s="3"/>
      <c r="C1417" s="4"/>
      <c r="D1417" s="181"/>
      <c r="E1417" s="91" t="str">
        <f t="shared" si="191"/>
        <v>Chicago</v>
      </c>
      <c r="F1417" s="93" t="str">
        <f t="shared" si="192"/>
        <v>CP575</v>
      </c>
      <c r="G1417" s="99" t="str">
        <f t="shared" si="190"/>
        <v>CP575-RETURN - 6th don of the month -BONUS</v>
      </c>
      <c r="H1417" s="182"/>
      <c r="I1417" s="38" t="s">
        <v>48</v>
      </c>
      <c r="J1417" s="58">
        <v>0</v>
      </c>
      <c r="K1417" s="58">
        <v>0</v>
      </c>
      <c r="L1417" s="58">
        <v>0</v>
      </c>
      <c r="M1417" s="58">
        <v>0</v>
      </c>
      <c r="N1417" s="58">
        <v>0</v>
      </c>
      <c r="O1417" s="58">
        <v>60</v>
      </c>
      <c r="P1417" s="58">
        <v>60</v>
      </c>
      <c r="Q1417" s="58">
        <v>60</v>
      </c>
      <c r="R1417" s="22"/>
      <c r="S1417" s="117" t="str">
        <f t="shared" si="193"/>
        <v>N</v>
      </c>
      <c r="T1417" s="114">
        <f>IFERROR(SUMIF('Current NLData'!A:A,'Payment Changes'!G1417,'Current NLData'!K:K)/COUNTIF('Current NLData'!A:A,'Payment Changes'!G1417),0)+IFERROR(VLOOKUP(G1417&amp;"-ALL",NLPaymentExport,10,FALSE),0)</f>
        <v>60</v>
      </c>
      <c r="U1417" s="118">
        <f t="shared" si="194"/>
        <v>0</v>
      </c>
    </row>
    <row r="1418" spans="1:54" ht="17.100000000000001" hidden="1" customHeight="1" outlineLevel="1" x14ac:dyDescent="0.25">
      <c r="A1418" s="3"/>
      <c r="C1418" s="4"/>
      <c r="D1418" s="181"/>
      <c r="E1418" s="91" t="str">
        <f t="shared" si="191"/>
        <v>Chicago</v>
      </c>
      <c r="F1418" s="93" t="str">
        <f t="shared" si="192"/>
        <v>CP575</v>
      </c>
      <c r="G1418" s="99" t="str">
        <f t="shared" si="190"/>
        <v>CP575-RETURN - 7th don of the month -BONUS</v>
      </c>
      <c r="H1418" s="182"/>
      <c r="I1418" s="38" t="s">
        <v>49</v>
      </c>
      <c r="J1418" s="58">
        <v>0</v>
      </c>
      <c r="K1418" s="58">
        <v>0</v>
      </c>
      <c r="L1418" s="58">
        <v>0</v>
      </c>
      <c r="M1418" s="58">
        <v>0</v>
      </c>
      <c r="N1418" s="58">
        <v>0</v>
      </c>
      <c r="O1418" s="58">
        <v>0</v>
      </c>
      <c r="P1418" s="58">
        <v>0</v>
      </c>
      <c r="Q1418" s="58">
        <v>0</v>
      </c>
      <c r="R1418" s="22"/>
      <c r="S1418" s="117" t="str">
        <f t="shared" si="193"/>
        <v>N</v>
      </c>
      <c r="T1418" s="114">
        <f>IFERROR(SUMIF('Current NLData'!A:A,'Payment Changes'!G1418,'Current NLData'!K:K)/COUNTIF('Current NLData'!A:A,'Payment Changes'!G1418),0)+IFERROR(VLOOKUP(G1418&amp;"-ALL",NLPaymentExport,10,FALSE),0)</f>
        <v>0</v>
      </c>
      <c r="U1418" s="118">
        <f t="shared" si="194"/>
        <v>0</v>
      </c>
    </row>
    <row r="1419" spans="1:54" ht="17.100000000000001" hidden="1" customHeight="1" outlineLevel="1" x14ac:dyDescent="0.25">
      <c r="A1419" s="3"/>
      <c r="C1419" s="4"/>
      <c r="D1419" s="181"/>
      <c r="E1419" s="91" t="str">
        <f t="shared" si="191"/>
        <v>Chicago</v>
      </c>
      <c r="F1419" s="93" t="str">
        <f t="shared" si="192"/>
        <v>CP575</v>
      </c>
      <c r="G1419" s="99" t="str">
        <f t="shared" si="190"/>
        <v>CP575-RETURN - 8th don of the month -BONUS</v>
      </c>
      <c r="H1419" s="182"/>
      <c r="I1419" s="38" t="s">
        <v>50</v>
      </c>
      <c r="J1419" s="58">
        <v>0</v>
      </c>
      <c r="K1419" s="58">
        <v>0</v>
      </c>
      <c r="L1419" s="58">
        <v>0</v>
      </c>
      <c r="M1419" s="58">
        <v>0</v>
      </c>
      <c r="N1419" s="58">
        <v>0</v>
      </c>
      <c r="O1419" s="58">
        <v>0</v>
      </c>
      <c r="P1419" s="58">
        <v>0</v>
      </c>
      <c r="Q1419" s="58">
        <v>0</v>
      </c>
      <c r="R1419" s="22"/>
      <c r="S1419" s="117" t="str">
        <f t="shared" si="193"/>
        <v>N</v>
      </c>
      <c r="T1419" s="114">
        <f>IFERROR(SUMIF('Current NLData'!A:A,'Payment Changes'!G1419,'Current NLData'!K:K)/COUNTIF('Current NLData'!A:A,'Payment Changes'!G1419),0)+IFERROR(VLOOKUP(G1419&amp;"-ALL",NLPaymentExport,10,FALSE),0)</f>
        <v>0</v>
      </c>
      <c r="U1419" s="118">
        <f t="shared" si="194"/>
        <v>0</v>
      </c>
    </row>
    <row r="1420" spans="1:54" ht="17.100000000000001" hidden="1" customHeight="1" outlineLevel="1" x14ac:dyDescent="0.25">
      <c r="A1420" s="3"/>
      <c r="C1420" s="4" t="str">
        <f>IF(J1420=0,"Warning","")</f>
        <v/>
      </c>
      <c r="D1420" s="181"/>
      <c r="E1420" s="91" t="str">
        <f t="shared" si="191"/>
        <v>Chicago</v>
      </c>
      <c r="F1420" s="93" t="str">
        <f t="shared" si="192"/>
        <v>CP575</v>
      </c>
      <c r="G1420" s="99" t="str">
        <f t="shared" si="190"/>
        <v>CP575-RETURN - Buddy referral  -BONUS</v>
      </c>
      <c r="H1420" s="182"/>
      <c r="I1420" s="39" t="s">
        <v>51</v>
      </c>
      <c r="J1420" s="58">
        <v>50</v>
      </c>
      <c r="K1420" s="58">
        <v>50</v>
      </c>
      <c r="L1420" s="58">
        <v>0</v>
      </c>
      <c r="M1420" s="58">
        <v>0</v>
      </c>
      <c r="N1420" s="58">
        <v>0</v>
      </c>
      <c r="O1420" s="58">
        <v>50</v>
      </c>
      <c r="P1420" s="58">
        <v>50</v>
      </c>
      <c r="Q1420" s="58">
        <v>50</v>
      </c>
      <c r="R1420" s="22"/>
      <c r="S1420" s="117" t="str">
        <f t="shared" si="193"/>
        <v>N</v>
      </c>
      <c r="T1420" s="114">
        <f>IFERROR(SUMIF('Current NLData'!A:A,'Payment Changes'!G1420,'Current NLData'!K:K)/COUNTIF('Current NLData'!A:A,'Payment Changes'!G1420),0)+IFERROR(VLOOKUP(G1420&amp;"-ALL",NLPaymentExport,10,FALSE),0)</f>
        <v>50</v>
      </c>
      <c r="U1420" s="118">
        <f t="shared" si="194"/>
        <v>0</v>
      </c>
    </row>
    <row r="1421" spans="1:54" s="90" customFormat="1" ht="17.100000000000001" hidden="1" customHeight="1" collapsed="1" x14ac:dyDescent="0.35">
      <c r="A1421" s="85"/>
      <c r="B1421" s="85"/>
      <c r="C1421" s="86"/>
      <c r="D1421" s="87"/>
      <c r="E1421" s="87"/>
      <c r="F1421" s="87"/>
      <c r="G1421" s="87"/>
      <c r="H1421" s="96"/>
      <c r="I1421" s="88"/>
      <c r="J1421" s="89"/>
      <c r="K1421" s="89"/>
      <c r="L1421" s="89"/>
      <c r="M1421" s="89"/>
      <c r="N1421" s="89"/>
      <c r="O1421" s="89"/>
      <c r="P1421" s="89"/>
      <c r="Q1421" s="89"/>
      <c r="R1421" s="17"/>
      <c r="S1421" s="117"/>
      <c r="T1421" s="114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</row>
    <row r="1422" spans="1:54" s="10" customFormat="1" ht="17.100000000000001" hidden="1" customHeight="1" x14ac:dyDescent="0.25">
      <c r="A1422" s="165">
        <v>72</v>
      </c>
      <c r="B1422" s="168" t="s">
        <v>452</v>
      </c>
      <c r="C1422" s="171" t="s">
        <v>53</v>
      </c>
      <c r="D1422" s="174" t="s">
        <v>157</v>
      </c>
      <c r="E1422" s="106" t="str">
        <f>IF(B1422 = "",E1421,B1422)</f>
        <v>Indianapolis</v>
      </c>
      <c r="F1422" s="107" t="s">
        <v>453</v>
      </c>
      <c r="G1422" s="108" t="str">
        <f t="shared" ref="G1422:G1440" si="195">F1422&amp;"-"&amp;I1422</f>
        <v>CP959-New Donor</v>
      </c>
      <c r="H1422" s="177" t="s">
        <v>147</v>
      </c>
      <c r="I1422" s="76" t="s">
        <v>23</v>
      </c>
      <c r="J1422" s="40"/>
      <c r="K1422" s="41"/>
      <c r="L1422" s="41"/>
      <c r="M1422" s="42"/>
      <c r="N1422" s="40"/>
      <c r="O1422" s="40" t="s">
        <v>454</v>
      </c>
      <c r="P1422" s="40" t="s">
        <v>454</v>
      </c>
      <c r="Q1422" s="40" t="s">
        <v>454</v>
      </c>
      <c r="R1422" s="109"/>
      <c r="S1422" s="117" t="str">
        <f t="shared" ref="S1422:S1440" si="196">IF(N1422=O1422,"N","Y")</f>
        <v>Y</v>
      </c>
      <c r="T1422" s="114">
        <f>IFERROR(SUMIF('Current NLData'!A:A,'Payment Changes'!G1422,'Current NLData'!K:K)/COUNTIF('Current NLData'!A:A,'Payment Changes'!G1422),0)+IFERROR(VLOOKUP(G1422&amp;"-ALL",NLPaymentExport,10,FALSE),0)</f>
        <v>0</v>
      </c>
      <c r="U1422" s="118" t="str">
        <f t="shared" ref="U1422:U1440" si="197">IF(OR(I1422 = "New Donor", I1422="Return Donor", I1422="Retention Bonus", I1422="Referral", I1422 = ""),"",T1422-O1422 )</f>
        <v/>
      </c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</row>
    <row r="1423" spans="1:54" ht="17.100000000000001" hidden="1" customHeight="1" x14ac:dyDescent="0.25">
      <c r="A1423" s="166"/>
      <c r="B1423" s="169"/>
      <c r="C1423" s="172"/>
      <c r="D1423" s="175"/>
      <c r="E1423" s="91" t="str">
        <f t="shared" ref="E1423:E1430" si="198">IF(B1423 = "",E1422,B1423)</f>
        <v>Indianapolis</v>
      </c>
      <c r="F1423" s="92" t="s">
        <v>453</v>
      </c>
      <c r="G1423" s="98" t="str">
        <f t="shared" si="195"/>
        <v>CP959-Return Donor</v>
      </c>
      <c r="H1423" s="178"/>
      <c r="I1423" s="77" t="s">
        <v>29</v>
      </c>
      <c r="J1423" s="43"/>
      <c r="K1423" s="43"/>
      <c r="L1423" s="44"/>
      <c r="M1423" s="45"/>
      <c r="N1423" s="43"/>
      <c r="O1423" s="43" t="s">
        <v>242</v>
      </c>
      <c r="P1423" s="43" t="s">
        <v>242</v>
      </c>
      <c r="Q1423" s="43" t="s">
        <v>242</v>
      </c>
      <c r="R1423" s="21"/>
      <c r="S1423" s="117" t="str">
        <f t="shared" si="196"/>
        <v>Y</v>
      </c>
      <c r="T1423" s="114">
        <f>IFERROR(SUMIF('Current NLData'!A:A,'Payment Changes'!G1423,'Current NLData'!K:K)/COUNTIF('Current NLData'!A:A,'Payment Changes'!G1423),0)+IFERROR(VLOOKUP(G1423&amp;"-ALL",NLPaymentExport,10,FALSE),0)</f>
        <v>0</v>
      </c>
      <c r="U1423" s="118" t="str">
        <f t="shared" si="197"/>
        <v/>
      </c>
    </row>
    <row r="1424" spans="1:54" ht="17.100000000000001" hidden="1" customHeight="1" x14ac:dyDescent="0.25">
      <c r="A1424" s="166"/>
      <c r="B1424" s="169"/>
      <c r="C1424" s="172"/>
      <c r="D1424" s="175"/>
      <c r="E1424" s="91" t="str">
        <f t="shared" si="198"/>
        <v>Indianapolis</v>
      </c>
      <c r="F1424" s="92" t="s">
        <v>453</v>
      </c>
      <c r="G1424" s="98" t="str">
        <f t="shared" si="195"/>
        <v>CP959-Retention Bonus</v>
      </c>
      <c r="H1424" s="178"/>
      <c r="I1424" s="78" t="s">
        <v>30</v>
      </c>
      <c r="J1424" s="46"/>
      <c r="K1424" s="46"/>
      <c r="L1424" s="47"/>
      <c r="M1424" s="48"/>
      <c r="N1424" s="46"/>
      <c r="O1424" s="145" t="s">
        <v>455</v>
      </c>
      <c r="P1424" s="145" t="s">
        <v>455</v>
      </c>
      <c r="Q1424" s="145" t="s">
        <v>455</v>
      </c>
      <c r="R1424" s="21"/>
      <c r="S1424" s="117" t="str">
        <f t="shared" si="196"/>
        <v>Y</v>
      </c>
      <c r="T1424" s="114">
        <f>IFERROR(SUMIF('Current NLData'!A:A,'Payment Changes'!G1424,'Current NLData'!K:K)/COUNTIF('Current NLData'!A:A,'Payment Changes'!G1424),0)+IFERROR(VLOOKUP(G1424&amp;"-ALL",NLPaymentExport,10,FALSE),0)</f>
        <v>0</v>
      </c>
      <c r="U1424" s="118" t="str">
        <f t="shared" si="197"/>
        <v/>
      </c>
    </row>
    <row r="1425" spans="1:54" s="15" customFormat="1" ht="17.100000000000001" hidden="1" customHeight="1" x14ac:dyDescent="0.25">
      <c r="A1425" s="167"/>
      <c r="B1425" s="170"/>
      <c r="C1425" s="173"/>
      <c r="D1425" s="176"/>
      <c r="E1425" s="110" t="str">
        <f t="shared" si="198"/>
        <v>Indianapolis</v>
      </c>
      <c r="F1425" s="111" t="s">
        <v>453</v>
      </c>
      <c r="G1425" s="112" t="str">
        <f t="shared" si="195"/>
        <v>CP959-Referral</v>
      </c>
      <c r="H1425" s="179"/>
      <c r="I1425" s="79" t="s">
        <v>34</v>
      </c>
      <c r="J1425" s="49"/>
      <c r="K1425" s="49"/>
      <c r="L1425" s="50"/>
      <c r="M1425" s="51"/>
      <c r="N1425" s="49"/>
      <c r="O1425" s="49">
        <v>100</v>
      </c>
      <c r="P1425" s="49">
        <v>100</v>
      </c>
      <c r="Q1425" s="49">
        <v>100</v>
      </c>
      <c r="R1425" s="113"/>
      <c r="S1425" s="117" t="str">
        <f t="shared" si="196"/>
        <v>Y</v>
      </c>
      <c r="T1425" s="114">
        <f>IFERROR(SUMIF('Current NLData'!A:A,'Payment Changes'!G1425,'Current NLData'!K:K)/COUNTIF('Current NLData'!A:A,'Payment Changes'!G1425),0)+IFERROR(VLOOKUP(G1425&amp;"-ALL",NLPaymentExport,10,FALSE),0)</f>
        <v>0</v>
      </c>
      <c r="U1425" s="118" t="str">
        <f t="shared" si="197"/>
        <v/>
      </c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</row>
    <row r="1426" spans="1:54" ht="17.100000000000001" hidden="1" customHeight="1" outlineLevel="1" x14ac:dyDescent="0.25">
      <c r="A1426" s="3"/>
      <c r="C1426" s="4"/>
      <c r="D1426" s="180" t="s">
        <v>453</v>
      </c>
      <c r="E1426" s="91" t="str">
        <f t="shared" si="198"/>
        <v>Indianapolis</v>
      </c>
      <c r="F1426" s="93" t="str">
        <f t="shared" ref="F1426:F1440" si="199">IF(D1426 = "",F1425,D1426)</f>
        <v>CP959</v>
      </c>
      <c r="G1426" s="99" t="str">
        <f t="shared" si="195"/>
        <v>CP959-NEW DONOR -1st</v>
      </c>
      <c r="H1426" s="182" t="s">
        <v>36</v>
      </c>
      <c r="I1426" s="33" t="s">
        <v>37</v>
      </c>
      <c r="J1426" s="60">
        <v>100</v>
      </c>
      <c r="K1426" s="61"/>
      <c r="L1426" s="60"/>
      <c r="M1426" s="60"/>
      <c r="N1426" s="60"/>
      <c r="O1426" s="60">
        <v>75</v>
      </c>
      <c r="P1426" s="60">
        <v>75</v>
      </c>
      <c r="Q1426" s="60">
        <v>75</v>
      </c>
      <c r="R1426" s="23"/>
      <c r="S1426" s="117" t="str">
        <f t="shared" si="196"/>
        <v>Y</v>
      </c>
      <c r="T1426" s="114">
        <f>IFERROR(SUMIF('Current NLData'!A:A,'Payment Changes'!G1426,'Current NLData'!K:K)/COUNTIF('Current NLData'!A:A,'Payment Changes'!G1426),0)+IFERROR(VLOOKUP(G1426&amp;"-ALL",NLPaymentExport,10,FALSE),0)</f>
        <v>75</v>
      </c>
      <c r="U1426" s="118">
        <f t="shared" si="197"/>
        <v>0</v>
      </c>
    </row>
    <row r="1427" spans="1:54" ht="17.100000000000001" hidden="1" customHeight="1" outlineLevel="1" x14ac:dyDescent="0.25">
      <c r="A1427" s="3"/>
      <c r="C1427" s="4"/>
      <c r="D1427" s="181"/>
      <c r="E1427" s="91" t="str">
        <f t="shared" si="198"/>
        <v>Indianapolis</v>
      </c>
      <c r="F1427" s="93" t="str">
        <f t="shared" si="199"/>
        <v>CP959</v>
      </c>
      <c r="G1427" s="99" t="str">
        <f t="shared" si="195"/>
        <v>CP959-NEW DONOR -2nd</v>
      </c>
      <c r="H1427" s="182"/>
      <c r="I1427" s="34" t="s">
        <v>38</v>
      </c>
      <c r="J1427" s="58">
        <v>100</v>
      </c>
      <c r="K1427" s="62"/>
      <c r="L1427" s="58"/>
      <c r="M1427" s="58"/>
      <c r="N1427" s="58"/>
      <c r="O1427" s="58">
        <v>75</v>
      </c>
      <c r="P1427" s="58">
        <v>75</v>
      </c>
      <c r="Q1427" s="58">
        <v>75</v>
      </c>
      <c r="R1427" s="23"/>
      <c r="S1427" s="117" t="str">
        <f t="shared" si="196"/>
        <v>Y</v>
      </c>
      <c r="T1427" s="114">
        <f>IFERROR(SUMIF('Current NLData'!A:A,'Payment Changes'!G1427,'Current NLData'!K:K)/COUNTIF('Current NLData'!A:A,'Payment Changes'!G1427),0)+IFERROR(VLOOKUP(G1427&amp;"-ALL",NLPaymentExport,10,FALSE),0)</f>
        <v>75</v>
      </c>
      <c r="U1427" s="118">
        <f t="shared" si="197"/>
        <v>0</v>
      </c>
    </row>
    <row r="1428" spans="1:54" ht="17.100000000000001" hidden="1" customHeight="1" outlineLevel="1" x14ac:dyDescent="0.25">
      <c r="A1428" s="3"/>
      <c r="C1428" s="4"/>
      <c r="D1428" s="181"/>
      <c r="E1428" s="91" t="str">
        <f t="shared" si="198"/>
        <v>Indianapolis</v>
      </c>
      <c r="F1428" s="93" t="str">
        <f t="shared" si="199"/>
        <v>CP959</v>
      </c>
      <c r="G1428" s="99" t="str">
        <f t="shared" si="195"/>
        <v>CP959-NEW DONOR -3rd</v>
      </c>
      <c r="H1428" s="182"/>
      <c r="I1428" s="34" t="s">
        <v>39</v>
      </c>
      <c r="J1428" s="58">
        <v>30</v>
      </c>
      <c r="K1428" s="62"/>
      <c r="L1428" s="58"/>
      <c r="M1428" s="58"/>
      <c r="N1428" s="58"/>
      <c r="O1428" s="58">
        <v>75</v>
      </c>
      <c r="P1428" s="58">
        <v>75</v>
      </c>
      <c r="Q1428" s="58">
        <v>75</v>
      </c>
      <c r="R1428" s="23"/>
      <c r="S1428" s="117" t="str">
        <f t="shared" si="196"/>
        <v>Y</v>
      </c>
      <c r="T1428" s="114">
        <f>IFERROR(SUMIF('Current NLData'!A:A,'Payment Changes'!G1428,'Current NLData'!K:K)/COUNTIF('Current NLData'!A:A,'Payment Changes'!G1428),0)+IFERROR(VLOOKUP(G1428&amp;"-ALL",NLPaymentExport,10,FALSE),0)</f>
        <v>75</v>
      </c>
      <c r="U1428" s="118">
        <f t="shared" si="197"/>
        <v>0</v>
      </c>
    </row>
    <row r="1429" spans="1:54" ht="17.100000000000001" hidden="1" customHeight="1" outlineLevel="1" x14ac:dyDescent="0.25">
      <c r="A1429" s="3"/>
      <c r="C1429" s="4"/>
      <c r="D1429" s="181"/>
      <c r="E1429" s="91" t="str">
        <f t="shared" si="198"/>
        <v>Indianapolis</v>
      </c>
      <c r="F1429" s="93" t="str">
        <f t="shared" si="199"/>
        <v>CP959</v>
      </c>
      <c r="G1429" s="99" t="str">
        <f t="shared" si="195"/>
        <v>CP959-NEW DONOR -4th</v>
      </c>
      <c r="H1429" s="182"/>
      <c r="I1429" s="34" t="s">
        <v>40</v>
      </c>
      <c r="J1429" s="58">
        <v>30</v>
      </c>
      <c r="K1429" s="62"/>
      <c r="L1429" s="58"/>
      <c r="M1429" s="58"/>
      <c r="N1429" s="58"/>
      <c r="O1429" s="58">
        <v>45</v>
      </c>
      <c r="P1429" s="58">
        <v>45</v>
      </c>
      <c r="Q1429" s="58">
        <v>45</v>
      </c>
      <c r="R1429" s="23"/>
      <c r="S1429" s="117" t="str">
        <f t="shared" si="196"/>
        <v>Y</v>
      </c>
      <c r="T1429" s="114">
        <f>IFERROR(SUMIF('Current NLData'!A:A,'Payment Changes'!G1429,'Current NLData'!K:K)/COUNTIF('Current NLData'!A:A,'Payment Changes'!G1429),0)+IFERROR(VLOOKUP(G1429&amp;"-ALL",NLPaymentExport,10,FALSE),0)</f>
        <v>45</v>
      </c>
      <c r="U1429" s="118">
        <f t="shared" si="197"/>
        <v>0</v>
      </c>
    </row>
    <row r="1430" spans="1:54" ht="17.100000000000001" hidden="1" customHeight="1" outlineLevel="1" x14ac:dyDescent="0.25">
      <c r="A1430" s="3"/>
      <c r="C1430" s="4"/>
      <c r="D1430" s="181"/>
      <c r="E1430" s="91" t="str">
        <f t="shared" si="198"/>
        <v>Indianapolis</v>
      </c>
      <c r="F1430" s="93" t="str">
        <f t="shared" si="199"/>
        <v>CP959</v>
      </c>
      <c r="G1430" s="99" t="str">
        <f t="shared" si="195"/>
        <v>CP959-NEW DONOR -5th</v>
      </c>
      <c r="H1430" s="182"/>
      <c r="I1430" s="34" t="s">
        <v>41</v>
      </c>
      <c r="J1430" s="58">
        <v>30</v>
      </c>
      <c r="K1430" s="62"/>
      <c r="L1430" s="58"/>
      <c r="M1430" s="58"/>
      <c r="N1430" s="58"/>
      <c r="O1430" s="58">
        <v>45</v>
      </c>
      <c r="P1430" s="58">
        <v>45</v>
      </c>
      <c r="Q1430" s="58">
        <v>45</v>
      </c>
      <c r="R1430" s="23"/>
      <c r="S1430" s="117" t="str">
        <f t="shared" si="196"/>
        <v>Y</v>
      </c>
      <c r="T1430" s="114">
        <f>IFERROR(SUMIF('Current NLData'!A:A,'Payment Changes'!G1430,'Current NLData'!K:K)/COUNTIF('Current NLData'!A:A,'Payment Changes'!G1430),0)+IFERROR(VLOOKUP(G1430&amp;"-ALL",NLPaymentExport,10,FALSE),0)</f>
        <v>45</v>
      </c>
      <c r="U1430" s="118">
        <f t="shared" si="197"/>
        <v>0</v>
      </c>
    </row>
    <row r="1431" spans="1:54" ht="17.100000000000001" hidden="1" customHeight="1" outlineLevel="1" x14ac:dyDescent="0.25">
      <c r="A1431" s="3"/>
      <c r="C1431" s="4"/>
      <c r="D1431" s="181"/>
      <c r="E1431" s="91" t="str">
        <f>IF(B1431 = "",E1430,B1431)</f>
        <v>Indianapolis</v>
      </c>
      <c r="F1431" s="93" t="str">
        <f t="shared" si="199"/>
        <v>CP959</v>
      </c>
      <c r="G1431" s="99" t="str">
        <f t="shared" si="195"/>
        <v>CP959-NEW DONOR -6th</v>
      </c>
      <c r="H1431" s="182"/>
      <c r="I1431" s="34" t="s">
        <v>42</v>
      </c>
      <c r="J1431" s="58">
        <v>30</v>
      </c>
      <c r="K1431" s="62"/>
      <c r="L1431" s="58"/>
      <c r="M1431" s="58"/>
      <c r="N1431" s="58"/>
      <c r="O1431" s="58">
        <v>45</v>
      </c>
      <c r="P1431" s="58">
        <v>45</v>
      </c>
      <c r="Q1431" s="58">
        <v>45</v>
      </c>
      <c r="R1431" s="23"/>
      <c r="S1431" s="117" t="str">
        <f t="shared" si="196"/>
        <v>Y</v>
      </c>
      <c r="T1431" s="114">
        <f>IFERROR(SUMIF('Current NLData'!A:A,'Payment Changes'!G1431,'Current NLData'!K:K)/COUNTIF('Current NLData'!A:A,'Payment Changes'!G1431),0)+IFERROR(VLOOKUP(G1431&amp;"-ALL",NLPaymentExport,10,FALSE),0)</f>
        <v>45</v>
      </c>
      <c r="U1431" s="118">
        <f t="shared" si="197"/>
        <v>0</v>
      </c>
    </row>
    <row r="1432" spans="1:54" ht="17.100000000000001" hidden="1" customHeight="1" outlineLevel="1" x14ac:dyDescent="0.25">
      <c r="A1432" s="3"/>
      <c r="C1432" s="4"/>
      <c r="D1432" s="181"/>
      <c r="E1432" s="91" t="str">
        <f t="shared" ref="E1432:E1440" si="200">IF(B1432 = "",E1431,B1432)</f>
        <v>Indianapolis</v>
      </c>
      <c r="F1432" s="93" t="str">
        <f t="shared" si="199"/>
        <v>CP959</v>
      </c>
      <c r="G1432" s="99" t="str">
        <f t="shared" si="195"/>
        <v>CP959-NEW DONOR -7th</v>
      </c>
      <c r="H1432" s="182"/>
      <c r="I1432" s="34" t="s">
        <v>43</v>
      </c>
      <c r="J1432" s="58">
        <v>30</v>
      </c>
      <c r="K1432" s="62"/>
      <c r="L1432" s="58"/>
      <c r="M1432" s="58"/>
      <c r="N1432" s="58"/>
      <c r="O1432" s="58">
        <v>45</v>
      </c>
      <c r="P1432" s="58">
        <v>45</v>
      </c>
      <c r="Q1432" s="58">
        <v>45</v>
      </c>
      <c r="R1432" s="23"/>
      <c r="S1432" s="117" t="str">
        <f t="shared" si="196"/>
        <v>Y</v>
      </c>
      <c r="T1432" s="114">
        <f>IFERROR(SUMIF('Current NLData'!A:A,'Payment Changes'!G1432,'Current NLData'!K:K)/COUNTIF('Current NLData'!A:A,'Payment Changes'!G1432),0)+IFERROR(VLOOKUP(G1432&amp;"-ALL",NLPaymentExport,10,FALSE),0)</f>
        <v>45</v>
      </c>
      <c r="U1432" s="118">
        <f t="shared" si="197"/>
        <v>0</v>
      </c>
    </row>
    <row r="1433" spans="1:54" ht="17.100000000000001" hidden="1" customHeight="1" outlineLevel="1" x14ac:dyDescent="0.25">
      <c r="A1433" s="3"/>
      <c r="C1433" s="4"/>
      <c r="D1433" s="181"/>
      <c r="E1433" s="91" t="str">
        <f t="shared" si="200"/>
        <v>Indianapolis</v>
      </c>
      <c r="F1433" s="93" t="str">
        <f t="shared" si="199"/>
        <v>CP959</v>
      </c>
      <c r="G1433" s="99" t="str">
        <f t="shared" si="195"/>
        <v>CP959-NEW DONOR -8th</v>
      </c>
      <c r="H1433" s="182"/>
      <c r="I1433" s="35" t="s">
        <v>44</v>
      </c>
      <c r="J1433" s="63">
        <v>30</v>
      </c>
      <c r="K1433" s="64"/>
      <c r="L1433" s="63"/>
      <c r="M1433" s="63"/>
      <c r="N1433" s="63"/>
      <c r="O1433" s="63">
        <v>45</v>
      </c>
      <c r="P1433" s="63">
        <v>45</v>
      </c>
      <c r="Q1433" s="63">
        <v>45</v>
      </c>
      <c r="R1433" s="23"/>
      <c r="S1433" s="117" t="str">
        <f t="shared" si="196"/>
        <v>Y</v>
      </c>
      <c r="T1433" s="114">
        <f>IFERROR(SUMIF('Current NLData'!A:A,'Payment Changes'!G1433,'Current NLData'!K:K)/COUNTIF('Current NLData'!A:A,'Payment Changes'!G1433),0)+IFERROR(VLOOKUP(G1433&amp;"-ALL",NLPaymentExport,10,FALSE),0)</f>
        <v>45</v>
      </c>
      <c r="U1433" s="118">
        <f t="shared" si="197"/>
        <v>0</v>
      </c>
    </row>
    <row r="1434" spans="1:54" ht="17.100000000000001" hidden="1" customHeight="1" outlineLevel="1" x14ac:dyDescent="0.25">
      <c r="A1434" s="3"/>
      <c r="C1434" s="4"/>
      <c r="D1434" s="181"/>
      <c r="E1434" s="91" t="str">
        <f t="shared" si="200"/>
        <v>Indianapolis</v>
      </c>
      <c r="F1434" s="93" t="str">
        <f t="shared" si="199"/>
        <v>CP959</v>
      </c>
      <c r="G1434" s="99" t="str">
        <f t="shared" si="195"/>
        <v>CP959-RETURN - 1st don of the week -STD</v>
      </c>
      <c r="H1434" s="182"/>
      <c r="I1434" s="36" t="s">
        <v>45</v>
      </c>
      <c r="J1434" s="58">
        <v>30</v>
      </c>
      <c r="K1434" s="58"/>
      <c r="L1434" s="58"/>
      <c r="M1434" s="58"/>
      <c r="N1434" s="58"/>
      <c r="O1434" s="58">
        <v>45</v>
      </c>
      <c r="P1434" s="58">
        <v>45</v>
      </c>
      <c r="Q1434" s="58">
        <v>45</v>
      </c>
      <c r="R1434" s="22"/>
      <c r="S1434" s="117" t="str">
        <f t="shared" si="196"/>
        <v>Y</v>
      </c>
      <c r="T1434" s="114">
        <f>IFERROR(SUMIF('Current NLData'!A:A,'Payment Changes'!G1434,'Current NLData'!K:K)/COUNTIF('Current NLData'!A:A,'Payment Changes'!G1434),0)+IFERROR(VLOOKUP(G1434&amp;"-ALL",NLPaymentExport,10,FALSE),0)</f>
        <v>45</v>
      </c>
      <c r="U1434" s="118">
        <f t="shared" si="197"/>
        <v>0</v>
      </c>
    </row>
    <row r="1435" spans="1:54" ht="17.100000000000001" hidden="1" customHeight="1" outlineLevel="1" x14ac:dyDescent="0.25">
      <c r="A1435" s="3"/>
      <c r="C1435" s="4"/>
      <c r="D1435" s="181"/>
      <c r="E1435" s="91" t="str">
        <f t="shared" si="200"/>
        <v>Indianapolis</v>
      </c>
      <c r="F1435" s="93" t="str">
        <f t="shared" si="199"/>
        <v>CP959</v>
      </c>
      <c r="G1435" s="99" t="str">
        <f t="shared" si="195"/>
        <v>CP959-RETURN - 2nd don of the week -BONUS</v>
      </c>
      <c r="H1435" s="182"/>
      <c r="I1435" s="36" t="s">
        <v>46</v>
      </c>
      <c r="J1435" s="58">
        <v>45</v>
      </c>
      <c r="K1435" s="58"/>
      <c r="L1435" s="58"/>
      <c r="M1435" s="58"/>
      <c r="N1435" s="58"/>
      <c r="O1435" s="58">
        <v>35</v>
      </c>
      <c r="P1435" s="58">
        <v>35</v>
      </c>
      <c r="Q1435" s="58">
        <v>35</v>
      </c>
      <c r="R1435" s="22"/>
      <c r="S1435" s="117" t="str">
        <f t="shared" si="196"/>
        <v>Y</v>
      </c>
      <c r="T1435" s="114">
        <f>IFERROR(SUMIF('Current NLData'!A:A,'Payment Changes'!G1435,'Current NLData'!K:K)/COUNTIF('Current NLData'!A:A,'Payment Changes'!G1435),0)+IFERROR(VLOOKUP(G1435&amp;"-ALL",NLPaymentExport,10,FALSE),0)</f>
        <v>35</v>
      </c>
      <c r="U1435" s="118">
        <f t="shared" si="197"/>
        <v>0</v>
      </c>
    </row>
    <row r="1436" spans="1:54" ht="17.100000000000001" hidden="1" customHeight="1" outlineLevel="1" x14ac:dyDescent="0.25">
      <c r="A1436" s="3"/>
      <c r="C1436" s="4"/>
      <c r="D1436" s="181"/>
      <c r="E1436" s="91" t="str">
        <f t="shared" si="200"/>
        <v>Indianapolis</v>
      </c>
      <c r="F1436" s="93" t="str">
        <f t="shared" si="199"/>
        <v>CP959</v>
      </c>
      <c r="G1436" s="99" t="str">
        <f t="shared" si="195"/>
        <v>CP959-RETURN - 5th don of the month -BONUS</v>
      </c>
      <c r="H1436" s="182"/>
      <c r="I1436" s="37" t="s">
        <v>47</v>
      </c>
      <c r="J1436" s="65">
        <v>0</v>
      </c>
      <c r="K1436" s="65"/>
      <c r="L1436" s="65"/>
      <c r="M1436" s="65"/>
      <c r="N1436" s="65"/>
      <c r="O1436" s="65">
        <v>0</v>
      </c>
      <c r="P1436" s="65">
        <v>0</v>
      </c>
      <c r="Q1436" s="65">
        <v>0</v>
      </c>
      <c r="R1436" s="22"/>
      <c r="S1436" s="117" t="str">
        <f t="shared" si="196"/>
        <v>N</v>
      </c>
      <c r="T1436" s="114">
        <f>IFERROR(SUMIF('Current NLData'!A:A,'Payment Changes'!G1436,'Current NLData'!K:K)/COUNTIF('Current NLData'!A:A,'Payment Changes'!G1436),0)+IFERROR(VLOOKUP(G1436&amp;"-ALL",NLPaymentExport,10,FALSE),0)</f>
        <v>0</v>
      </c>
      <c r="U1436" s="118">
        <f t="shared" si="197"/>
        <v>0</v>
      </c>
    </row>
    <row r="1437" spans="1:54" ht="17.100000000000001" hidden="1" customHeight="1" outlineLevel="1" x14ac:dyDescent="0.25">
      <c r="A1437" s="3"/>
      <c r="C1437" s="4"/>
      <c r="D1437" s="181"/>
      <c r="E1437" s="91" t="str">
        <f t="shared" si="200"/>
        <v>Indianapolis</v>
      </c>
      <c r="F1437" s="93" t="str">
        <f t="shared" si="199"/>
        <v>CP959</v>
      </c>
      <c r="G1437" s="99" t="str">
        <f t="shared" si="195"/>
        <v>CP959-RETURN - 6th don of the month -BONUS</v>
      </c>
      <c r="H1437" s="182"/>
      <c r="I1437" s="38" t="s">
        <v>48</v>
      </c>
      <c r="J1437" s="58">
        <v>0</v>
      </c>
      <c r="K1437" s="58"/>
      <c r="L1437" s="58"/>
      <c r="M1437" s="58"/>
      <c r="N1437" s="58"/>
      <c r="O1437" s="58">
        <v>0</v>
      </c>
      <c r="P1437" s="58">
        <v>0</v>
      </c>
      <c r="Q1437" s="58">
        <v>0</v>
      </c>
      <c r="R1437" s="22"/>
      <c r="S1437" s="117" t="str">
        <f t="shared" si="196"/>
        <v>N</v>
      </c>
      <c r="T1437" s="114">
        <f>IFERROR(SUMIF('Current NLData'!A:A,'Payment Changes'!G1437,'Current NLData'!K:K)/COUNTIF('Current NLData'!A:A,'Payment Changes'!G1437),0)+IFERROR(VLOOKUP(G1437&amp;"-ALL",NLPaymentExport,10,FALSE),0)</f>
        <v>0</v>
      </c>
      <c r="U1437" s="118">
        <f t="shared" si="197"/>
        <v>0</v>
      </c>
    </row>
    <row r="1438" spans="1:54" ht="17.100000000000001" hidden="1" customHeight="1" outlineLevel="1" x14ac:dyDescent="0.25">
      <c r="A1438" s="3"/>
      <c r="C1438" s="4"/>
      <c r="D1438" s="181"/>
      <c r="E1438" s="91" t="str">
        <f t="shared" si="200"/>
        <v>Indianapolis</v>
      </c>
      <c r="F1438" s="93" t="str">
        <f t="shared" si="199"/>
        <v>CP959</v>
      </c>
      <c r="G1438" s="99" t="str">
        <f t="shared" si="195"/>
        <v>CP959-RETURN - 7th don of the month -BONUS</v>
      </c>
      <c r="H1438" s="182"/>
      <c r="I1438" s="38" t="s">
        <v>49</v>
      </c>
      <c r="J1438" s="58">
        <v>0</v>
      </c>
      <c r="K1438" s="58"/>
      <c r="L1438" s="58"/>
      <c r="M1438" s="58"/>
      <c r="N1438" s="58"/>
      <c r="O1438" s="58">
        <v>0</v>
      </c>
      <c r="P1438" s="58">
        <v>0</v>
      </c>
      <c r="Q1438" s="58">
        <v>0</v>
      </c>
      <c r="R1438" s="22"/>
      <c r="S1438" s="117" t="str">
        <f t="shared" si="196"/>
        <v>N</v>
      </c>
      <c r="T1438" s="114">
        <f>IFERROR(SUMIF('Current NLData'!A:A,'Payment Changes'!G1438,'Current NLData'!K:K)/COUNTIF('Current NLData'!A:A,'Payment Changes'!G1438),0)+IFERROR(VLOOKUP(G1438&amp;"-ALL",NLPaymentExport,10,FALSE),0)</f>
        <v>0</v>
      </c>
      <c r="U1438" s="118">
        <f t="shared" si="197"/>
        <v>0</v>
      </c>
    </row>
    <row r="1439" spans="1:54" ht="17.100000000000001" hidden="1" customHeight="1" outlineLevel="1" x14ac:dyDescent="0.25">
      <c r="A1439" s="3"/>
      <c r="C1439" s="4"/>
      <c r="D1439" s="181"/>
      <c r="E1439" s="91" t="str">
        <f t="shared" si="200"/>
        <v>Indianapolis</v>
      </c>
      <c r="F1439" s="93" t="str">
        <f t="shared" si="199"/>
        <v>CP959</v>
      </c>
      <c r="G1439" s="99" t="str">
        <f t="shared" si="195"/>
        <v>CP959-RETURN - 8th don of the month -BONUS</v>
      </c>
      <c r="H1439" s="182"/>
      <c r="I1439" s="38" t="s">
        <v>50</v>
      </c>
      <c r="J1439" s="58">
        <v>0</v>
      </c>
      <c r="K1439" s="58"/>
      <c r="L1439" s="58"/>
      <c r="M1439" s="58"/>
      <c r="N1439" s="58"/>
      <c r="O1439" s="58">
        <v>0</v>
      </c>
      <c r="P1439" s="58">
        <v>0</v>
      </c>
      <c r="Q1439" s="58">
        <v>0</v>
      </c>
      <c r="R1439" s="22"/>
      <c r="S1439" s="117" t="str">
        <f t="shared" si="196"/>
        <v>N</v>
      </c>
      <c r="T1439" s="114">
        <f>IFERROR(SUMIF('Current NLData'!A:A,'Payment Changes'!G1439,'Current NLData'!K:K)/COUNTIF('Current NLData'!A:A,'Payment Changes'!G1439),0)+IFERROR(VLOOKUP(G1439&amp;"-ALL",NLPaymentExport,10,FALSE),0)</f>
        <v>0</v>
      </c>
      <c r="U1439" s="118">
        <f t="shared" si="197"/>
        <v>0</v>
      </c>
    </row>
    <row r="1440" spans="1:54" ht="17.100000000000001" hidden="1" customHeight="1" outlineLevel="1" x14ac:dyDescent="0.25">
      <c r="A1440" s="3"/>
      <c r="C1440" s="4" t="str">
        <f>IF(J1440=0,"Warning","")</f>
        <v/>
      </c>
      <c r="D1440" s="181"/>
      <c r="E1440" s="91" t="str">
        <f t="shared" si="200"/>
        <v>Indianapolis</v>
      </c>
      <c r="F1440" s="93" t="str">
        <f t="shared" si="199"/>
        <v>CP959</v>
      </c>
      <c r="G1440" s="99" t="str">
        <f t="shared" si="195"/>
        <v>CP959-RETURN - Buddy referral  -BONUS</v>
      </c>
      <c r="H1440" s="182"/>
      <c r="I1440" s="39" t="s">
        <v>51</v>
      </c>
      <c r="J1440" s="58">
        <v>50</v>
      </c>
      <c r="K1440" s="58"/>
      <c r="L1440" s="58"/>
      <c r="M1440" s="58"/>
      <c r="N1440" s="58"/>
      <c r="O1440" s="58">
        <v>100</v>
      </c>
      <c r="P1440" s="58">
        <v>100</v>
      </c>
      <c r="Q1440" s="58">
        <v>100</v>
      </c>
      <c r="R1440" s="22"/>
      <c r="S1440" s="117" t="str">
        <f t="shared" si="196"/>
        <v>Y</v>
      </c>
      <c r="T1440" s="114">
        <f>IFERROR(SUMIF('Current NLData'!A:A,'Payment Changes'!G1440,'Current NLData'!K:K)/COUNTIF('Current NLData'!A:A,'Payment Changes'!G1440),0)+IFERROR(VLOOKUP(G1440&amp;"-ALL",NLPaymentExport,10,FALSE),0)</f>
        <v>100</v>
      </c>
      <c r="U1440" s="118">
        <f t="shared" si="197"/>
        <v>0</v>
      </c>
    </row>
    <row r="1441" spans="1:54" s="90" customFormat="1" ht="17.100000000000001" hidden="1" customHeight="1" collapsed="1" x14ac:dyDescent="0.35">
      <c r="A1441" s="85"/>
      <c r="B1441" s="85"/>
      <c r="C1441" s="86"/>
      <c r="D1441" s="87"/>
      <c r="E1441" s="87"/>
      <c r="F1441" s="87"/>
      <c r="G1441" s="87"/>
      <c r="H1441" s="96"/>
      <c r="I1441" s="88"/>
      <c r="J1441" s="89"/>
      <c r="K1441" s="89"/>
      <c r="L1441" s="89"/>
      <c r="M1441" s="89"/>
      <c r="N1441" s="89"/>
      <c r="O1441" s="89"/>
      <c r="P1441" s="89"/>
      <c r="Q1441" s="89"/>
      <c r="R1441" s="17"/>
      <c r="S1441" s="117"/>
      <c r="T1441" s="114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</row>
    <row r="1442" spans="1:54" ht="17.100000000000001" hidden="1" customHeight="1" x14ac:dyDescent="0.25"/>
    <row r="1443" spans="1:54" ht="17.100000000000001" hidden="1" customHeight="1" x14ac:dyDescent="0.25"/>
    <row r="1444" spans="1:54" ht="17.100000000000001" hidden="1" customHeight="1" x14ac:dyDescent="0.25"/>
    <row r="1445" spans="1:54" ht="17.100000000000001" hidden="1" customHeight="1" x14ac:dyDescent="0.25"/>
  </sheetData>
  <autoFilter ref="A1:BB1445" xr:uid="{C1528FF5-E65D-4104-9EC5-E99E4B6EB0C1}">
    <filterColumn colId="5">
      <filters>
        <filter val="CP150"/>
      </filters>
    </filterColumn>
  </autoFilter>
  <mergeCells count="504">
    <mergeCell ref="A1322:A1325"/>
    <mergeCell ref="B1322:B1325"/>
    <mergeCell ref="C1322:C1325"/>
    <mergeCell ref="D1322:D1325"/>
    <mergeCell ref="D1326:D1340"/>
    <mergeCell ref="H1322:H1325"/>
    <mergeCell ref="H1326:H1340"/>
    <mergeCell ref="A1362:A1365"/>
    <mergeCell ref="B1362:B1365"/>
    <mergeCell ref="C1362:C1365"/>
    <mergeCell ref="D1362:D1365"/>
    <mergeCell ref="D1366:D1380"/>
    <mergeCell ref="H1362:H1365"/>
    <mergeCell ref="H1366:H1380"/>
    <mergeCell ref="A1342:A1345"/>
    <mergeCell ref="B1342:B1345"/>
    <mergeCell ref="C1342:C1345"/>
    <mergeCell ref="D1342:D1345"/>
    <mergeCell ref="D1346:D1360"/>
    <mergeCell ref="H1342:H1345"/>
    <mergeCell ref="H1346:H1360"/>
    <mergeCell ref="D1406:D1420"/>
    <mergeCell ref="H1406:H1420"/>
    <mergeCell ref="A1402:A1405"/>
    <mergeCell ref="B1402:B1405"/>
    <mergeCell ref="C1402:C1405"/>
    <mergeCell ref="D1402:D1405"/>
    <mergeCell ref="H1402:H1405"/>
    <mergeCell ref="A1382:A1385"/>
    <mergeCell ref="B1382:B1385"/>
    <mergeCell ref="C1382:C1385"/>
    <mergeCell ref="D1382:D1385"/>
    <mergeCell ref="D1386:D1400"/>
    <mergeCell ref="H1382:H1385"/>
    <mergeCell ref="H1386:H1400"/>
    <mergeCell ref="A1302:A1305"/>
    <mergeCell ref="B1302:B1305"/>
    <mergeCell ref="C1302:C1305"/>
    <mergeCell ref="D1302:D1305"/>
    <mergeCell ref="D1306:D1320"/>
    <mergeCell ref="H1302:H1305"/>
    <mergeCell ref="H1306:H1320"/>
    <mergeCell ref="A1282:A1285"/>
    <mergeCell ref="B1282:B1285"/>
    <mergeCell ref="C1282:C1285"/>
    <mergeCell ref="D1282:D1285"/>
    <mergeCell ref="D1286:D1300"/>
    <mergeCell ref="H1282:H1285"/>
    <mergeCell ref="H1286:H1300"/>
    <mergeCell ref="A1262:A1265"/>
    <mergeCell ref="B1262:B1265"/>
    <mergeCell ref="C1262:C1265"/>
    <mergeCell ref="D1262:D1265"/>
    <mergeCell ref="D1266:D1280"/>
    <mergeCell ref="H1262:H1265"/>
    <mergeCell ref="H1266:H1280"/>
    <mergeCell ref="A1242:A1245"/>
    <mergeCell ref="B1242:B1245"/>
    <mergeCell ref="C1242:C1245"/>
    <mergeCell ref="D1242:D1245"/>
    <mergeCell ref="D1246:D1260"/>
    <mergeCell ref="H1242:H1245"/>
    <mergeCell ref="H1246:H1260"/>
    <mergeCell ref="A1222:A1225"/>
    <mergeCell ref="B1222:B1225"/>
    <mergeCell ref="C1222:C1225"/>
    <mergeCell ref="D1222:D1225"/>
    <mergeCell ref="D1226:D1240"/>
    <mergeCell ref="H1222:H1225"/>
    <mergeCell ref="H1226:H1240"/>
    <mergeCell ref="A1202:A1205"/>
    <mergeCell ref="B1202:B1205"/>
    <mergeCell ref="C1202:C1205"/>
    <mergeCell ref="D1202:D1205"/>
    <mergeCell ref="D1206:D1220"/>
    <mergeCell ref="H1202:H1205"/>
    <mergeCell ref="H1206:H1220"/>
    <mergeCell ref="A1182:A1185"/>
    <mergeCell ref="B1182:B1185"/>
    <mergeCell ref="C1182:C1185"/>
    <mergeCell ref="D1182:D1185"/>
    <mergeCell ref="D1186:D1200"/>
    <mergeCell ref="H1182:H1185"/>
    <mergeCell ref="H1186:H1200"/>
    <mergeCell ref="A1162:A1165"/>
    <mergeCell ref="B1162:B1165"/>
    <mergeCell ref="C1162:C1165"/>
    <mergeCell ref="D1162:D1165"/>
    <mergeCell ref="D1166:D1180"/>
    <mergeCell ref="H1162:H1165"/>
    <mergeCell ref="H1166:H1180"/>
    <mergeCell ref="A1142:A1145"/>
    <mergeCell ref="B1142:B1145"/>
    <mergeCell ref="C1142:C1145"/>
    <mergeCell ref="D1142:D1145"/>
    <mergeCell ref="D1146:D1160"/>
    <mergeCell ref="H1142:H1145"/>
    <mergeCell ref="H1146:H1160"/>
    <mergeCell ref="A1122:A1125"/>
    <mergeCell ref="B1122:B1125"/>
    <mergeCell ref="C1122:C1125"/>
    <mergeCell ref="D1122:D1125"/>
    <mergeCell ref="D1126:D1140"/>
    <mergeCell ref="H1122:H1125"/>
    <mergeCell ref="H1126:H1140"/>
    <mergeCell ref="A1102:A1105"/>
    <mergeCell ref="B1102:B1105"/>
    <mergeCell ref="C1102:C1105"/>
    <mergeCell ref="D1102:D1105"/>
    <mergeCell ref="D1106:D1120"/>
    <mergeCell ref="H1102:H1105"/>
    <mergeCell ref="H1106:H1120"/>
    <mergeCell ref="A1082:A1085"/>
    <mergeCell ref="B1082:B1085"/>
    <mergeCell ref="C1082:C1085"/>
    <mergeCell ref="D1082:D1085"/>
    <mergeCell ref="D1086:D1100"/>
    <mergeCell ref="H1082:H1085"/>
    <mergeCell ref="H1086:H1100"/>
    <mergeCell ref="A1062:A1065"/>
    <mergeCell ref="B1062:B1065"/>
    <mergeCell ref="C1062:C1065"/>
    <mergeCell ref="D1062:D1065"/>
    <mergeCell ref="D1066:D1080"/>
    <mergeCell ref="H1062:H1065"/>
    <mergeCell ref="H1066:H1080"/>
    <mergeCell ref="A1042:A1045"/>
    <mergeCell ref="B1042:B1045"/>
    <mergeCell ref="C1042:C1045"/>
    <mergeCell ref="D1042:D1045"/>
    <mergeCell ref="D1046:D1060"/>
    <mergeCell ref="H1042:H1045"/>
    <mergeCell ref="H1046:H1060"/>
    <mergeCell ref="A1022:A1025"/>
    <mergeCell ref="B1022:B1025"/>
    <mergeCell ref="C1022:C1025"/>
    <mergeCell ref="D1022:D1025"/>
    <mergeCell ref="D1026:D1040"/>
    <mergeCell ref="H1022:H1025"/>
    <mergeCell ref="H1026:H1040"/>
    <mergeCell ref="A1002:A1005"/>
    <mergeCell ref="B1002:B1005"/>
    <mergeCell ref="C1002:C1005"/>
    <mergeCell ref="D1002:D1005"/>
    <mergeCell ref="D1006:D1020"/>
    <mergeCell ref="H1002:H1005"/>
    <mergeCell ref="H1006:H1020"/>
    <mergeCell ref="A982:A985"/>
    <mergeCell ref="B982:B985"/>
    <mergeCell ref="C982:C985"/>
    <mergeCell ref="D982:D985"/>
    <mergeCell ref="D986:D1000"/>
    <mergeCell ref="H982:H985"/>
    <mergeCell ref="H986:H1000"/>
    <mergeCell ref="A962:A965"/>
    <mergeCell ref="B962:B965"/>
    <mergeCell ref="C962:C965"/>
    <mergeCell ref="D962:D965"/>
    <mergeCell ref="D966:D980"/>
    <mergeCell ref="H962:H965"/>
    <mergeCell ref="H966:H980"/>
    <mergeCell ref="A942:A945"/>
    <mergeCell ref="B942:B945"/>
    <mergeCell ref="C942:C945"/>
    <mergeCell ref="D942:D945"/>
    <mergeCell ref="D946:D960"/>
    <mergeCell ref="H942:H945"/>
    <mergeCell ref="H946:H960"/>
    <mergeCell ref="A922:A925"/>
    <mergeCell ref="B922:B925"/>
    <mergeCell ref="C922:C925"/>
    <mergeCell ref="D922:D925"/>
    <mergeCell ref="D926:D940"/>
    <mergeCell ref="H922:H925"/>
    <mergeCell ref="H926:H940"/>
    <mergeCell ref="A902:A905"/>
    <mergeCell ref="B902:B905"/>
    <mergeCell ref="C902:C905"/>
    <mergeCell ref="D902:D905"/>
    <mergeCell ref="D906:D920"/>
    <mergeCell ref="H902:H905"/>
    <mergeCell ref="H906:H920"/>
    <mergeCell ref="A882:A885"/>
    <mergeCell ref="B882:B885"/>
    <mergeCell ref="C882:C885"/>
    <mergeCell ref="D882:D885"/>
    <mergeCell ref="D886:D900"/>
    <mergeCell ref="H882:H885"/>
    <mergeCell ref="H886:H900"/>
    <mergeCell ref="A862:A865"/>
    <mergeCell ref="B862:B865"/>
    <mergeCell ref="C862:C865"/>
    <mergeCell ref="D862:D865"/>
    <mergeCell ref="D866:D880"/>
    <mergeCell ref="H862:H865"/>
    <mergeCell ref="H866:H880"/>
    <mergeCell ref="A842:A845"/>
    <mergeCell ref="B842:B845"/>
    <mergeCell ref="C842:C845"/>
    <mergeCell ref="D842:D845"/>
    <mergeCell ref="D846:D860"/>
    <mergeCell ref="H842:H845"/>
    <mergeCell ref="H846:H860"/>
    <mergeCell ref="A822:A825"/>
    <mergeCell ref="B822:B825"/>
    <mergeCell ref="C822:C825"/>
    <mergeCell ref="D822:D825"/>
    <mergeCell ref="D826:D840"/>
    <mergeCell ref="H822:H825"/>
    <mergeCell ref="H826:H840"/>
    <mergeCell ref="A802:A805"/>
    <mergeCell ref="B802:B805"/>
    <mergeCell ref="C802:C805"/>
    <mergeCell ref="D802:D805"/>
    <mergeCell ref="D806:D820"/>
    <mergeCell ref="H802:H805"/>
    <mergeCell ref="H806:H820"/>
    <mergeCell ref="A782:A785"/>
    <mergeCell ref="B782:B785"/>
    <mergeCell ref="C782:C785"/>
    <mergeCell ref="D782:D785"/>
    <mergeCell ref="D786:D800"/>
    <mergeCell ref="H782:H785"/>
    <mergeCell ref="H786:H800"/>
    <mergeCell ref="A762:A765"/>
    <mergeCell ref="B762:B765"/>
    <mergeCell ref="C762:C765"/>
    <mergeCell ref="D762:D765"/>
    <mergeCell ref="D766:D780"/>
    <mergeCell ref="H762:H765"/>
    <mergeCell ref="H766:H780"/>
    <mergeCell ref="A742:A745"/>
    <mergeCell ref="B742:B745"/>
    <mergeCell ref="C742:C745"/>
    <mergeCell ref="D742:D745"/>
    <mergeCell ref="D746:D760"/>
    <mergeCell ref="H742:H745"/>
    <mergeCell ref="H746:H760"/>
    <mergeCell ref="A722:A725"/>
    <mergeCell ref="B722:B725"/>
    <mergeCell ref="C722:C725"/>
    <mergeCell ref="D722:D725"/>
    <mergeCell ref="D726:D740"/>
    <mergeCell ref="H722:H725"/>
    <mergeCell ref="H726:H740"/>
    <mergeCell ref="A702:A705"/>
    <mergeCell ref="B702:B705"/>
    <mergeCell ref="C702:C705"/>
    <mergeCell ref="D702:D705"/>
    <mergeCell ref="D706:D720"/>
    <mergeCell ref="H702:H705"/>
    <mergeCell ref="H706:H720"/>
    <mergeCell ref="A682:A685"/>
    <mergeCell ref="B682:B685"/>
    <mergeCell ref="C682:C685"/>
    <mergeCell ref="D682:D685"/>
    <mergeCell ref="D686:D700"/>
    <mergeCell ref="H682:H685"/>
    <mergeCell ref="H686:H700"/>
    <mergeCell ref="A662:A665"/>
    <mergeCell ref="B662:B665"/>
    <mergeCell ref="C662:C665"/>
    <mergeCell ref="D662:D665"/>
    <mergeCell ref="D666:D680"/>
    <mergeCell ref="H662:H665"/>
    <mergeCell ref="H666:H680"/>
    <mergeCell ref="A642:A645"/>
    <mergeCell ref="B642:B645"/>
    <mergeCell ref="C642:C645"/>
    <mergeCell ref="D642:D645"/>
    <mergeCell ref="D646:D660"/>
    <mergeCell ref="H642:H645"/>
    <mergeCell ref="H646:H660"/>
    <mergeCell ref="A622:A625"/>
    <mergeCell ref="B622:B625"/>
    <mergeCell ref="C622:C625"/>
    <mergeCell ref="D622:D625"/>
    <mergeCell ref="D626:D640"/>
    <mergeCell ref="H622:H625"/>
    <mergeCell ref="H626:H640"/>
    <mergeCell ref="A602:A605"/>
    <mergeCell ref="B602:B605"/>
    <mergeCell ref="C602:C605"/>
    <mergeCell ref="D602:D605"/>
    <mergeCell ref="D606:D620"/>
    <mergeCell ref="H602:H605"/>
    <mergeCell ref="H606:H620"/>
    <mergeCell ref="A582:A585"/>
    <mergeCell ref="B582:B585"/>
    <mergeCell ref="C582:C585"/>
    <mergeCell ref="D582:D585"/>
    <mergeCell ref="D586:D600"/>
    <mergeCell ref="H582:H585"/>
    <mergeCell ref="A562:A565"/>
    <mergeCell ref="B562:B565"/>
    <mergeCell ref="C562:C565"/>
    <mergeCell ref="D562:D565"/>
    <mergeCell ref="D566:D580"/>
    <mergeCell ref="H562:H565"/>
    <mergeCell ref="H566:H580"/>
    <mergeCell ref="A542:A545"/>
    <mergeCell ref="B542:B545"/>
    <mergeCell ref="C542:C545"/>
    <mergeCell ref="D542:D545"/>
    <mergeCell ref="D546:D560"/>
    <mergeCell ref="H542:H545"/>
    <mergeCell ref="H546:H560"/>
    <mergeCell ref="A522:A525"/>
    <mergeCell ref="B522:B525"/>
    <mergeCell ref="C522:C525"/>
    <mergeCell ref="D522:D525"/>
    <mergeCell ref="D526:D540"/>
    <mergeCell ref="H522:H525"/>
    <mergeCell ref="H526:H540"/>
    <mergeCell ref="A502:A505"/>
    <mergeCell ref="B502:B505"/>
    <mergeCell ref="C502:C505"/>
    <mergeCell ref="D502:D505"/>
    <mergeCell ref="D506:D520"/>
    <mergeCell ref="H502:H505"/>
    <mergeCell ref="H506:H520"/>
    <mergeCell ref="A482:A485"/>
    <mergeCell ref="B482:B485"/>
    <mergeCell ref="C482:C485"/>
    <mergeCell ref="D482:D485"/>
    <mergeCell ref="D486:D500"/>
    <mergeCell ref="H482:H485"/>
    <mergeCell ref="H486:H500"/>
    <mergeCell ref="A462:A465"/>
    <mergeCell ref="B462:B465"/>
    <mergeCell ref="C462:C465"/>
    <mergeCell ref="D462:D465"/>
    <mergeCell ref="D466:D480"/>
    <mergeCell ref="H462:H465"/>
    <mergeCell ref="H466:H480"/>
    <mergeCell ref="A442:A445"/>
    <mergeCell ref="B442:B445"/>
    <mergeCell ref="C442:C445"/>
    <mergeCell ref="D442:D445"/>
    <mergeCell ref="D446:D460"/>
    <mergeCell ref="H442:H445"/>
    <mergeCell ref="H446:H460"/>
    <mergeCell ref="A422:A425"/>
    <mergeCell ref="B422:B425"/>
    <mergeCell ref="C422:C425"/>
    <mergeCell ref="D422:D425"/>
    <mergeCell ref="D426:D440"/>
    <mergeCell ref="H422:H425"/>
    <mergeCell ref="H426:H440"/>
    <mergeCell ref="A402:A405"/>
    <mergeCell ref="B402:B405"/>
    <mergeCell ref="C402:C405"/>
    <mergeCell ref="D402:D405"/>
    <mergeCell ref="D406:D420"/>
    <mergeCell ref="H402:H405"/>
    <mergeCell ref="H406:H420"/>
    <mergeCell ref="A382:A385"/>
    <mergeCell ref="B382:B385"/>
    <mergeCell ref="C382:C385"/>
    <mergeCell ref="D382:D385"/>
    <mergeCell ref="D386:D400"/>
    <mergeCell ref="H382:H385"/>
    <mergeCell ref="H386:H400"/>
    <mergeCell ref="A362:A365"/>
    <mergeCell ref="B362:B365"/>
    <mergeCell ref="C362:C365"/>
    <mergeCell ref="D362:D365"/>
    <mergeCell ref="D366:D380"/>
    <mergeCell ref="H362:H365"/>
    <mergeCell ref="H366:H380"/>
    <mergeCell ref="A342:A345"/>
    <mergeCell ref="B342:B345"/>
    <mergeCell ref="C342:C345"/>
    <mergeCell ref="D342:D345"/>
    <mergeCell ref="D346:D360"/>
    <mergeCell ref="H342:H345"/>
    <mergeCell ref="H346:H360"/>
    <mergeCell ref="A322:A325"/>
    <mergeCell ref="B322:B325"/>
    <mergeCell ref="C322:C325"/>
    <mergeCell ref="D322:D325"/>
    <mergeCell ref="D326:D340"/>
    <mergeCell ref="H322:H325"/>
    <mergeCell ref="H326:H340"/>
    <mergeCell ref="A302:A305"/>
    <mergeCell ref="B302:B305"/>
    <mergeCell ref="C302:C305"/>
    <mergeCell ref="D302:D305"/>
    <mergeCell ref="D306:D320"/>
    <mergeCell ref="H302:H305"/>
    <mergeCell ref="H306:H320"/>
    <mergeCell ref="A282:A285"/>
    <mergeCell ref="B282:B285"/>
    <mergeCell ref="C282:C285"/>
    <mergeCell ref="D282:D285"/>
    <mergeCell ref="D286:D300"/>
    <mergeCell ref="H282:H285"/>
    <mergeCell ref="H286:H300"/>
    <mergeCell ref="A262:A265"/>
    <mergeCell ref="B262:B265"/>
    <mergeCell ref="C262:C265"/>
    <mergeCell ref="D262:D265"/>
    <mergeCell ref="D266:D280"/>
    <mergeCell ref="H262:H265"/>
    <mergeCell ref="H266:H280"/>
    <mergeCell ref="A242:A245"/>
    <mergeCell ref="B242:B245"/>
    <mergeCell ref="C242:C245"/>
    <mergeCell ref="D242:D245"/>
    <mergeCell ref="D246:D260"/>
    <mergeCell ref="H242:H245"/>
    <mergeCell ref="H246:H260"/>
    <mergeCell ref="A222:A225"/>
    <mergeCell ref="B222:B225"/>
    <mergeCell ref="C222:C225"/>
    <mergeCell ref="D222:D225"/>
    <mergeCell ref="D226:D240"/>
    <mergeCell ref="H222:H225"/>
    <mergeCell ref="H226:H240"/>
    <mergeCell ref="A202:A205"/>
    <mergeCell ref="B202:B205"/>
    <mergeCell ref="C202:C205"/>
    <mergeCell ref="D202:D205"/>
    <mergeCell ref="D206:D220"/>
    <mergeCell ref="H202:H205"/>
    <mergeCell ref="H206:H220"/>
    <mergeCell ref="D186:D200"/>
    <mergeCell ref="H182:H185"/>
    <mergeCell ref="H186:H200"/>
    <mergeCell ref="H102:H105"/>
    <mergeCell ref="H106:H120"/>
    <mergeCell ref="D166:D180"/>
    <mergeCell ref="H162:H165"/>
    <mergeCell ref="H166:H180"/>
    <mergeCell ref="A142:A145"/>
    <mergeCell ref="B142:B145"/>
    <mergeCell ref="C142:C145"/>
    <mergeCell ref="D142:D145"/>
    <mergeCell ref="D146:D160"/>
    <mergeCell ref="H142:H145"/>
    <mergeCell ref="H146:H160"/>
    <mergeCell ref="H122:H125"/>
    <mergeCell ref="H126:H140"/>
    <mergeCell ref="A102:A105"/>
    <mergeCell ref="B102:B105"/>
    <mergeCell ref="C102:C105"/>
    <mergeCell ref="D102:D105"/>
    <mergeCell ref="D106:D120"/>
    <mergeCell ref="A182:A185"/>
    <mergeCell ref="B182:B185"/>
    <mergeCell ref="A162:A165"/>
    <mergeCell ref="D26:D40"/>
    <mergeCell ref="B162:B165"/>
    <mergeCell ref="C162:C165"/>
    <mergeCell ref="D162:D165"/>
    <mergeCell ref="A122:A125"/>
    <mergeCell ref="B122:B125"/>
    <mergeCell ref="C122:C125"/>
    <mergeCell ref="D122:D125"/>
    <mergeCell ref="D126:D140"/>
    <mergeCell ref="B82:B85"/>
    <mergeCell ref="C82:C85"/>
    <mergeCell ref="D82:D85"/>
    <mergeCell ref="D86:D100"/>
    <mergeCell ref="A2:A5"/>
    <mergeCell ref="B2:B5"/>
    <mergeCell ref="C2:C5"/>
    <mergeCell ref="D2:D5"/>
    <mergeCell ref="D6:D20"/>
    <mergeCell ref="H2:H5"/>
    <mergeCell ref="H6:H20"/>
    <mergeCell ref="A42:A45"/>
    <mergeCell ref="B42:B45"/>
    <mergeCell ref="C42:C45"/>
    <mergeCell ref="D42:D45"/>
    <mergeCell ref="H42:H45"/>
    <mergeCell ref="A22:A25"/>
    <mergeCell ref="B22:B25"/>
    <mergeCell ref="C22:C25"/>
    <mergeCell ref="D22:D25"/>
    <mergeCell ref="A1422:A1425"/>
    <mergeCell ref="B1422:B1425"/>
    <mergeCell ref="C1422:C1425"/>
    <mergeCell ref="D1422:D1425"/>
    <mergeCell ref="H1422:H1425"/>
    <mergeCell ref="D1426:D1440"/>
    <mergeCell ref="H1426:H1440"/>
    <mergeCell ref="H22:H25"/>
    <mergeCell ref="H26:H40"/>
    <mergeCell ref="B62:B65"/>
    <mergeCell ref="C62:C65"/>
    <mergeCell ref="D62:D65"/>
    <mergeCell ref="A82:A85"/>
    <mergeCell ref="H62:H65"/>
    <mergeCell ref="H66:H80"/>
    <mergeCell ref="D46:D60"/>
    <mergeCell ref="H46:H60"/>
    <mergeCell ref="D66:D80"/>
    <mergeCell ref="H82:H85"/>
    <mergeCell ref="H86:H100"/>
    <mergeCell ref="H586:H600"/>
    <mergeCell ref="C182:C185"/>
    <mergeCell ref="D182:D185"/>
    <mergeCell ref="A62:A65"/>
  </mergeCells>
  <phoneticPr fontId="7" type="noConversion"/>
  <conditionalFormatting sqref="O2:Q719 O721:Q1420">
    <cfRule type="expression" dxfId="23" priority="2">
      <formula>($S2="Y")</formula>
    </cfRule>
  </conditionalFormatting>
  <conditionalFormatting sqref="O1422:Q1440">
    <cfRule type="expression" dxfId="22" priority="1">
      <formula>($S1422="Y")</formula>
    </cfRule>
  </conditionalFormatting>
  <conditionalFormatting sqref="O720:Q720">
    <cfRule type="expression" dxfId="21" priority="9">
      <formula>(#REF!="Y")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DC175-553F-4928-9874-D487C562AA14}">
  <dimension ref="A1:L782"/>
  <sheetViews>
    <sheetView tabSelected="1" workbookViewId="0">
      <pane ySplit="3" topLeftCell="A4" activePane="bottomLeft" state="frozen"/>
      <selection activeCell="B1" sqref="B1"/>
      <selection pane="bottomLeft" activeCell="A588" sqref="A588:XFD588"/>
    </sheetView>
  </sheetViews>
  <sheetFormatPr defaultColWidth="27" defaultRowHeight="15" x14ac:dyDescent="0.25"/>
  <cols>
    <col min="1" max="1" width="17" customWidth="1"/>
    <col min="2" max="2" width="11.85546875" customWidth="1"/>
    <col min="3" max="3" width="36" bestFit="1" customWidth="1"/>
    <col min="4" max="5" width="29.5703125" style="36" customWidth="1"/>
    <col min="6" max="6" width="29.85546875" style="36" customWidth="1"/>
    <col min="7" max="7" width="18.42578125" style="155" customWidth="1"/>
    <col min="8" max="8" width="22.5703125" style="5" bestFit="1" customWidth="1"/>
    <col min="9" max="9" width="13.85546875" style="5" customWidth="1"/>
    <col min="10" max="10" width="15.28515625" style="5" customWidth="1"/>
    <col min="11" max="11" width="15" style="148" customWidth="1"/>
    <col min="12" max="12" width="13.140625" style="5" customWidth="1"/>
    <col min="13" max="13" width="27" bestFit="1" customWidth="1"/>
  </cols>
  <sheetData>
    <row r="1" spans="1:12" s="156" customFormat="1" ht="48" customHeight="1" x14ac:dyDescent="0.35">
      <c r="G1" s="157" t="s">
        <v>456</v>
      </c>
      <c r="H1" s="158"/>
      <c r="I1" s="158"/>
      <c r="J1" s="158"/>
      <c r="K1" s="159"/>
      <c r="L1" s="158"/>
    </row>
    <row r="2" spans="1:12" s="160" customFormat="1" ht="48" customHeight="1" x14ac:dyDescent="0.25">
      <c r="G2" s="161"/>
      <c r="H2" s="164" t="s">
        <v>457</v>
      </c>
      <c r="I2" s="164" t="s">
        <v>457</v>
      </c>
      <c r="J2" s="164" t="s">
        <v>458</v>
      </c>
      <c r="K2" s="163"/>
      <c r="L2" s="162"/>
    </row>
    <row r="3" spans="1:12" x14ac:dyDescent="0.25">
      <c r="A3" t="s">
        <v>459</v>
      </c>
      <c r="B3" t="s">
        <v>460</v>
      </c>
      <c r="C3" t="s">
        <v>461</v>
      </c>
      <c r="D3" s="36" t="s">
        <v>462</v>
      </c>
      <c r="F3" s="36" t="s">
        <v>463</v>
      </c>
      <c r="G3" s="155" t="s">
        <v>464</v>
      </c>
      <c r="H3" s="5" t="s">
        <v>465</v>
      </c>
      <c r="I3" s="5" t="s">
        <v>466</v>
      </c>
      <c r="J3" s="5" t="s">
        <v>467</v>
      </c>
      <c r="K3" s="148" t="s">
        <v>468</v>
      </c>
      <c r="L3" s="5" t="s">
        <v>17</v>
      </c>
    </row>
    <row r="4" spans="1:12" x14ac:dyDescent="0.25">
      <c r="A4" t="s">
        <v>426</v>
      </c>
      <c r="B4" t="s">
        <v>427</v>
      </c>
      <c r="C4" t="s">
        <v>469</v>
      </c>
      <c r="D4" s="36" t="str">
        <f t="shared" ref="D4:D67" si="0">B4&amp;"-"&amp;C4</f>
        <v>CP941-P Anti-D Pre-Existing Standard</v>
      </c>
      <c r="E4" s="36" t="str">
        <f t="shared" ref="E4:E67" si="1">VLOOKUP(C4,RULENAMELU,5,FALSE)</f>
        <v>RETURN - 1st don of the week -STD</v>
      </c>
      <c r="F4" s="36" t="str">
        <f t="shared" ref="F4:F67" si="2">B4&amp;"-"&amp;E4</f>
        <v>CP941-RETURN - 1st don of the week -STD</v>
      </c>
      <c r="G4" s="155">
        <f>IFERROR(VLOOKUP(F4,SpecialtyBaseLU,11,FALSE),0)</f>
        <v>30</v>
      </c>
      <c r="H4" s="5">
        <v>20</v>
      </c>
      <c r="J4" s="5">
        <f t="shared" ref="J4:J67" si="3">G4+H4+I4</f>
        <v>50</v>
      </c>
      <c r="K4" s="148">
        <f t="shared" ref="K4:K67" si="4">VLOOKUP(D4,CurrentNLDataLU,11,FALSE)</f>
        <v>50</v>
      </c>
      <c r="L4" s="5">
        <f t="shared" ref="L4:L67" si="5">J4-K4</f>
        <v>0</v>
      </c>
    </row>
    <row r="5" spans="1:12" x14ac:dyDescent="0.25">
      <c r="A5" t="s">
        <v>269</v>
      </c>
      <c r="B5" t="s">
        <v>270</v>
      </c>
      <c r="C5" t="s">
        <v>470</v>
      </c>
      <c r="D5" s="36" t="str">
        <f t="shared" si="0"/>
        <v>CP893-2X Week P HBS</v>
      </c>
      <c r="E5" s="36" t="str">
        <f t="shared" si="1"/>
        <v>RETURN - 2nd don of the week -BONUS</v>
      </c>
      <c r="F5" s="36" t="str">
        <f t="shared" si="2"/>
        <v>CP893-RETURN - 2nd don of the week -BONUS</v>
      </c>
      <c r="G5" s="155">
        <f>IFERROR(VLOOKUP(F5,SpecialtyBaseLU,11,FALSE),0)</f>
        <v>20</v>
      </c>
      <c r="H5" s="5">
        <v>10</v>
      </c>
      <c r="J5" s="5">
        <f t="shared" si="3"/>
        <v>30</v>
      </c>
      <c r="K5" s="148">
        <f t="shared" si="4"/>
        <v>30</v>
      </c>
      <c r="L5" s="5">
        <f t="shared" si="5"/>
        <v>0</v>
      </c>
    </row>
    <row r="6" spans="1:12" x14ac:dyDescent="0.25">
      <c r="A6" t="s">
        <v>269</v>
      </c>
      <c r="B6" t="s">
        <v>270</v>
      </c>
      <c r="C6" t="s">
        <v>471</v>
      </c>
      <c r="D6" s="36" t="str">
        <f t="shared" si="0"/>
        <v>CP893-2X Week P HBS Pre-Existing</v>
      </c>
      <c r="E6" s="36" t="str">
        <f t="shared" si="1"/>
        <v>RETURN - 2nd don of the week -BONUS</v>
      </c>
      <c r="F6" s="36" t="str">
        <f t="shared" si="2"/>
        <v>CP893-RETURN - 2nd don of the week -BONUS</v>
      </c>
      <c r="G6" s="155">
        <f>IFERROR(VLOOKUP(F6,SpecialtyBaseLU,11,FALSE),0)</f>
        <v>20</v>
      </c>
      <c r="H6" s="5">
        <v>10</v>
      </c>
      <c r="J6" s="5">
        <f t="shared" si="3"/>
        <v>30</v>
      </c>
      <c r="K6" s="148">
        <f t="shared" si="4"/>
        <v>30</v>
      </c>
      <c r="L6" s="5">
        <f t="shared" si="5"/>
        <v>0</v>
      </c>
    </row>
    <row r="7" spans="1:12" x14ac:dyDescent="0.25">
      <c r="A7" t="s">
        <v>269</v>
      </c>
      <c r="B7" t="s">
        <v>270</v>
      </c>
      <c r="C7" t="s">
        <v>469</v>
      </c>
      <c r="D7" s="36" t="str">
        <f t="shared" si="0"/>
        <v>CP893-P Anti-D Pre-Existing Standard</v>
      </c>
      <c r="E7" s="36" t="str">
        <f t="shared" si="1"/>
        <v>RETURN - 1st don of the week -STD</v>
      </c>
      <c r="F7" s="36" t="str">
        <f t="shared" si="2"/>
        <v>CP893-RETURN - 1st don of the week -STD</v>
      </c>
      <c r="G7" s="155">
        <f>IFERROR(VLOOKUP(F7,SpecialtyBaseLU,11,FALSE),0)</f>
        <v>50</v>
      </c>
      <c r="H7" s="5">
        <v>0</v>
      </c>
      <c r="J7" s="5">
        <f t="shared" si="3"/>
        <v>50</v>
      </c>
      <c r="K7" s="148">
        <f t="shared" si="4"/>
        <v>50</v>
      </c>
      <c r="L7" s="5">
        <f t="shared" si="5"/>
        <v>0</v>
      </c>
    </row>
    <row r="8" spans="1:12" x14ac:dyDescent="0.25">
      <c r="A8" t="s">
        <v>269</v>
      </c>
      <c r="B8" t="s">
        <v>270</v>
      </c>
      <c r="C8" t="s">
        <v>472</v>
      </c>
      <c r="D8" s="36" t="str">
        <f t="shared" si="0"/>
        <v>CP893-P HBS Pre-Existing Standard</v>
      </c>
      <c r="E8" s="36" t="str">
        <f t="shared" si="1"/>
        <v>RETURN - 1st don of the week -STD</v>
      </c>
      <c r="F8" s="36" t="str">
        <f t="shared" si="2"/>
        <v>CP893-RETURN - 1st don of the week -STD</v>
      </c>
      <c r="G8" s="155">
        <f>IFERROR(VLOOKUP(F8,SpecialtyBaseLU,11,FALSE),0)</f>
        <v>50</v>
      </c>
      <c r="H8" s="5">
        <v>5</v>
      </c>
      <c r="J8" s="5">
        <f t="shared" si="3"/>
        <v>55</v>
      </c>
      <c r="K8" s="148">
        <f t="shared" si="4"/>
        <v>55</v>
      </c>
      <c r="L8" s="5">
        <f t="shared" si="5"/>
        <v>0</v>
      </c>
    </row>
    <row r="9" spans="1:12" x14ac:dyDescent="0.25">
      <c r="A9" t="s">
        <v>269</v>
      </c>
      <c r="B9" t="s">
        <v>270</v>
      </c>
      <c r="C9" t="s">
        <v>473</v>
      </c>
      <c r="D9" s="36" t="str">
        <f t="shared" si="0"/>
        <v>CP893-P HBS Standard</v>
      </c>
      <c r="E9" s="36" t="str">
        <f t="shared" si="1"/>
        <v>RETURN - 1st don of the week -STD</v>
      </c>
      <c r="F9" s="36" t="str">
        <f t="shared" si="2"/>
        <v>CP893-RETURN - 1st don of the week -STD</v>
      </c>
      <c r="G9" s="155">
        <f>IFERROR(VLOOKUP(F9,SpecialtyBaseLU,11,FALSE),0)</f>
        <v>50</v>
      </c>
      <c r="H9" s="5">
        <v>5</v>
      </c>
      <c r="J9" s="5">
        <f t="shared" si="3"/>
        <v>55</v>
      </c>
      <c r="K9" s="148">
        <f t="shared" si="4"/>
        <v>55</v>
      </c>
      <c r="L9" s="5">
        <f t="shared" si="5"/>
        <v>0</v>
      </c>
    </row>
    <row r="10" spans="1:12" x14ac:dyDescent="0.25">
      <c r="A10" t="s">
        <v>279</v>
      </c>
      <c r="B10" t="s">
        <v>280</v>
      </c>
      <c r="C10" t="s">
        <v>469</v>
      </c>
      <c r="D10" s="36" t="str">
        <f t="shared" si="0"/>
        <v>CP917-P Anti-D Pre-Existing Standard</v>
      </c>
      <c r="E10" s="36" t="str">
        <f t="shared" si="1"/>
        <v>RETURN - 1st don of the week -STD</v>
      </c>
      <c r="F10" s="36" t="str">
        <f t="shared" si="2"/>
        <v>CP917-RETURN - 1st don of the week -STD</v>
      </c>
      <c r="G10" s="155">
        <f>IFERROR(VLOOKUP(F10,SpecialtyBaseLU,11,FALSE),0)</f>
        <v>30</v>
      </c>
      <c r="H10" s="5">
        <v>20</v>
      </c>
      <c r="J10" s="5">
        <f t="shared" si="3"/>
        <v>50</v>
      </c>
      <c r="K10" s="148">
        <f t="shared" si="4"/>
        <v>50</v>
      </c>
      <c r="L10" s="5">
        <f t="shared" si="5"/>
        <v>0</v>
      </c>
    </row>
    <row r="11" spans="1:12" x14ac:dyDescent="0.25">
      <c r="A11" t="s">
        <v>279</v>
      </c>
      <c r="B11" t="s">
        <v>280</v>
      </c>
      <c r="C11" t="s">
        <v>474</v>
      </c>
      <c r="D11" s="36" t="str">
        <f t="shared" si="0"/>
        <v>CP917-P Anti-D Standard</v>
      </c>
      <c r="E11" s="36" t="str">
        <f t="shared" si="1"/>
        <v>RETURN - 1st don of the week -STD</v>
      </c>
      <c r="F11" s="36" t="str">
        <f t="shared" si="2"/>
        <v>CP917-RETURN - 1st don of the week -STD</v>
      </c>
      <c r="G11" s="155">
        <f>IFERROR(VLOOKUP(F11,SpecialtyBaseLU,11,FALSE),0)</f>
        <v>30</v>
      </c>
      <c r="H11" s="5">
        <v>70</v>
      </c>
      <c r="J11" s="5">
        <f t="shared" si="3"/>
        <v>100</v>
      </c>
      <c r="K11" s="148">
        <f t="shared" si="4"/>
        <v>100</v>
      </c>
      <c r="L11" s="5">
        <f t="shared" si="5"/>
        <v>0</v>
      </c>
    </row>
    <row r="12" spans="1:12" x14ac:dyDescent="0.25">
      <c r="A12" t="s">
        <v>279</v>
      </c>
      <c r="B12" t="s">
        <v>280</v>
      </c>
      <c r="C12" t="s">
        <v>475</v>
      </c>
      <c r="D12" s="36" t="str">
        <f t="shared" si="0"/>
        <v>CP917-P Vaccinia AP Standard</v>
      </c>
      <c r="E12" s="36">
        <f t="shared" si="1"/>
        <v>0</v>
      </c>
      <c r="F12" s="36" t="str">
        <f t="shared" si="2"/>
        <v>CP917-0</v>
      </c>
      <c r="G12" s="155">
        <f>IFERROR(VLOOKUP(F12,SpecialtyBaseLU,11,FALSE),0)</f>
        <v>0</v>
      </c>
      <c r="I12" s="5">
        <v>100</v>
      </c>
      <c r="J12" s="5">
        <f t="shared" si="3"/>
        <v>100</v>
      </c>
      <c r="K12" s="148">
        <f t="shared" si="4"/>
        <v>100</v>
      </c>
      <c r="L12" s="5">
        <f t="shared" si="5"/>
        <v>0</v>
      </c>
    </row>
    <row r="13" spans="1:12" x14ac:dyDescent="0.25">
      <c r="A13" t="s">
        <v>279</v>
      </c>
      <c r="B13" t="s">
        <v>280</v>
      </c>
      <c r="C13" t="s">
        <v>476</v>
      </c>
      <c r="D13" s="36" t="str">
        <f t="shared" si="0"/>
        <v>CP917-P Vaccinia Standard</v>
      </c>
      <c r="E13" s="36">
        <f t="shared" si="1"/>
        <v>0</v>
      </c>
      <c r="F13" s="36" t="str">
        <f t="shared" si="2"/>
        <v>CP917-0</v>
      </c>
      <c r="G13" s="155">
        <f>IFERROR(VLOOKUP(F13,SpecialtyBaseLU,11,FALSE),0)</f>
        <v>0</v>
      </c>
      <c r="I13" s="5">
        <v>100</v>
      </c>
      <c r="J13" s="5">
        <f t="shared" si="3"/>
        <v>100</v>
      </c>
      <c r="K13" s="148">
        <f t="shared" si="4"/>
        <v>100</v>
      </c>
      <c r="L13" s="5">
        <f t="shared" si="5"/>
        <v>0</v>
      </c>
    </row>
    <row r="14" spans="1:12" x14ac:dyDescent="0.25">
      <c r="A14" t="s">
        <v>279</v>
      </c>
      <c r="B14" t="s">
        <v>280</v>
      </c>
      <c r="C14" t="s">
        <v>477</v>
      </c>
      <c r="D14" s="36" t="str">
        <f t="shared" si="0"/>
        <v>CP917-Vaccinia - 1st Donation</v>
      </c>
      <c r="E14" s="36">
        <f t="shared" si="1"/>
        <v>0</v>
      </c>
      <c r="F14" s="36" t="str">
        <f t="shared" si="2"/>
        <v>CP917-0</v>
      </c>
      <c r="G14" s="155">
        <f>IFERROR(VLOOKUP(F14,SpecialtyBaseLU,11,FALSE),0)</f>
        <v>0</v>
      </c>
      <c r="I14" s="5">
        <v>150</v>
      </c>
      <c r="J14" s="5">
        <f t="shared" si="3"/>
        <v>150</v>
      </c>
      <c r="K14" s="148">
        <f t="shared" si="4"/>
        <v>150</v>
      </c>
      <c r="L14" s="5">
        <f t="shared" si="5"/>
        <v>0</v>
      </c>
    </row>
    <row r="15" spans="1:12" x14ac:dyDescent="0.25">
      <c r="A15" t="s">
        <v>279</v>
      </c>
      <c r="B15" t="s">
        <v>280</v>
      </c>
      <c r="C15" t="s">
        <v>478</v>
      </c>
      <c r="D15" s="36" t="str">
        <f t="shared" si="0"/>
        <v>CP917-Vaccinia - 2nd Donation</v>
      </c>
      <c r="E15" s="36">
        <f t="shared" si="1"/>
        <v>0</v>
      </c>
      <c r="F15" s="36" t="str">
        <f t="shared" si="2"/>
        <v>CP917-0</v>
      </c>
      <c r="G15" s="155">
        <f>IFERROR(VLOOKUP(F15,SpecialtyBaseLU,11,FALSE),0)</f>
        <v>0</v>
      </c>
      <c r="I15" s="5">
        <v>250</v>
      </c>
      <c r="J15" s="5">
        <f t="shared" si="3"/>
        <v>250</v>
      </c>
      <c r="K15" s="148">
        <f t="shared" si="4"/>
        <v>250</v>
      </c>
      <c r="L15" s="5">
        <f t="shared" si="5"/>
        <v>0</v>
      </c>
    </row>
    <row r="16" spans="1:12" x14ac:dyDescent="0.25">
      <c r="A16" t="s">
        <v>279</v>
      </c>
      <c r="B16" t="s">
        <v>280</v>
      </c>
      <c r="C16" t="s">
        <v>479</v>
      </c>
      <c r="D16" s="36" t="str">
        <f t="shared" si="0"/>
        <v>CP917-Vaccinia - 3rd Donation</v>
      </c>
      <c r="E16" s="36">
        <f t="shared" si="1"/>
        <v>0</v>
      </c>
      <c r="F16" s="36" t="str">
        <f t="shared" si="2"/>
        <v>CP917-0</v>
      </c>
      <c r="G16" s="155">
        <f>IFERROR(VLOOKUP(F16,SpecialtyBaseLU,11,FALSE),0)</f>
        <v>0</v>
      </c>
      <c r="I16" s="5">
        <v>300</v>
      </c>
      <c r="J16" s="5">
        <f t="shared" si="3"/>
        <v>300</v>
      </c>
      <c r="K16" s="148">
        <f t="shared" si="4"/>
        <v>300</v>
      </c>
      <c r="L16" s="5">
        <f t="shared" si="5"/>
        <v>0</v>
      </c>
    </row>
    <row r="17" spans="1:12" x14ac:dyDescent="0.25">
      <c r="A17" t="s">
        <v>279</v>
      </c>
      <c r="B17" t="s">
        <v>280</v>
      </c>
      <c r="C17" t="s">
        <v>480</v>
      </c>
      <c r="D17" s="36" t="str">
        <f t="shared" si="0"/>
        <v>CP917-Vaccinia - 4th Donation</v>
      </c>
      <c r="E17" s="36">
        <f t="shared" si="1"/>
        <v>0</v>
      </c>
      <c r="F17" s="36" t="str">
        <f t="shared" si="2"/>
        <v>CP917-0</v>
      </c>
      <c r="G17" s="155">
        <f>IFERROR(VLOOKUP(F17,SpecialtyBaseLU,11,FALSE),0)</f>
        <v>0</v>
      </c>
      <c r="I17" s="5">
        <v>300</v>
      </c>
      <c r="J17" s="5">
        <f t="shared" si="3"/>
        <v>300</v>
      </c>
      <c r="K17" s="148">
        <f t="shared" si="4"/>
        <v>300</v>
      </c>
      <c r="L17" s="5">
        <f t="shared" si="5"/>
        <v>0</v>
      </c>
    </row>
    <row r="18" spans="1:12" x14ac:dyDescent="0.25">
      <c r="A18" t="s">
        <v>279</v>
      </c>
      <c r="B18" t="s">
        <v>280</v>
      </c>
      <c r="C18" t="s">
        <v>481</v>
      </c>
      <c r="D18" s="36" t="str">
        <f t="shared" si="0"/>
        <v>CP917-Vaccinia AP - 1st Donation</v>
      </c>
      <c r="E18" s="36">
        <f t="shared" si="1"/>
        <v>0</v>
      </c>
      <c r="F18" s="36" t="str">
        <f t="shared" si="2"/>
        <v>CP917-0</v>
      </c>
      <c r="G18" s="155">
        <f>IFERROR(VLOOKUP(F18,SpecialtyBaseLU,11,FALSE),0)</f>
        <v>0</v>
      </c>
      <c r="I18" s="5">
        <v>150</v>
      </c>
      <c r="J18" s="5">
        <f t="shared" si="3"/>
        <v>150</v>
      </c>
      <c r="K18" s="148">
        <f t="shared" si="4"/>
        <v>150</v>
      </c>
      <c r="L18" s="5">
        <f t="shared" si="5"/>
        <v>0</v>
      </c>
    </row>
    <row r="19" spans="1:12" x14ac:dyDescent="0.25">
      <c r="A19" t="s">
        <v>279</v>
      </c>
      <c r="B19" t="s">
        <v>280</v>
      </c>
      <c r="C19" t="s">
        <v>482</v>
      </c>
      <c r="D19" s="36" t="str">
        <f t="shared" si="0"/>
        <v>CP917-Vaccinia AP - 2nd Donation</v>
      </c>
      <c r="E19" s="36">
        <f t="shared" si="1"/>
        <v>0</v>
      </c>
      <c r="F19" s="36" t="str">
        <f t="shared" si="2"/>
        <v>CP917-0</v>
      </c>
      <c r="G19" s="155">
        <f>IFERROR(VLOOKUP(F19,SpecialtyBaseLU,11,FALSE),0)</f>
        <v>0</v>
      </c>
      <c r="I19" s="5">
        <v>250</v>
      </c>
      <c r="J19" s="5">
        <f t="shared" si="3"/>
        <v>250</v>
      </c>
      <c r="K19" s="148">
        <f t="shared" si="4"/>
        <v>250</v>
      </c>
      <c r="L19" s="5">
        <f t="shared" si="5"/>
        <v>0</v>
      </c>
    </row>
    <row r="20" spans="1:12" x14ac:dyDescent="0.25">
      <c r="A20" t="s">
        <v>279</v>
      </c>
      <c r="B20" t="s">
        <v>280</v>
      </c>
      <c r="C20" t="s">
        <v>483</v>
      </c>
      <c r="D20" s="36" t="str">
        <f t="shared" si="0"/>
        <v>CP917-Vaccinia AP - 3rd Donation</v>
      </c>
      <c r="E20" s="36">
        <f t="shared" si="1"/>
        <v>0</v>
      </c>
      <c r="F20" s="36" t="str">
        <f t="shared" si="2"/>
        <v>CP917-0</v>
      </c>
      <c r="G20" s="155">
        <f>IFERROR(VLOOKUP(F20,SpecialtyBaseLU,11,FALSE),0)</f>
        <v>0</v>
      </c>
      <c r="I20" s="5">
        <v>300</v>
      </c>
      <c r="J20" s="5">
        <f t="shared" si="3"/>
        <v>300</v>
      </c>
      <c r="K20" s="148">
        <f t="shared" si="4"/>
        <v>300</v>
      </c>
      <c r="L20" s="5">
        <f t="shared" si="5"/>
        <v>0</v>
      </c>
    </row>
    <row r="21" spans="1:12" x14ac:dyDescent="0.25">
      <c r="A21" t="s">
        <v>279</v>
      </c>
      <c r="B21" t="s">
        <v>280</v>
      </c>
      <c r="C21" t="s">
        <v>484</v>
      </c>
      <c r="D21" s="36" t="str">
        <f t="shared" si="0"/>
        <v>CP917-Vaccinia AP - 4th Donation</v>
      </c>
      <c r="E21" s="36">
        <f t="shared" si="1"/>
        <v>0</v>
      </c>
      <c r="F21" s="36" t="str">
        <f t="shared" si="2"/>
        <v>CP917-0</v>
      </c>
      <c r="G21" s="155">
        <f>IFERROR(VLOOKUP(F21,SpecialtyBaseLU,11,FALSE),0)</f>
        <v>0</v>
      </c>
      <c r="I21" s="5">
        <v>300</v>
      </c>
      <c r="J21" s="5">
        <f t="shared" si="3"/>
        <v>300</v>
      </c>
      <c r="K21" s="148">
        <f t="shared" si="4"/>
        <v>300</v>
      </c>
      <c r="L21" s="5">
        <f t="shared" si="5"/>
        <v>0</v>
      </c>
    </row>
    <row r="22" spans="1:12" x14ac:dyDescent="0.25">
      <c r="A22" t="s">
        <v>420</v>
      </c>
      <c r="B22" t="s">
        <v>421</v>
      </c>
      <c r="C22" t="s">
        <v>485</v>
      </c>
      <c r="D22" s="36" t="str">
        <f t="shared" si="0"/>
        <v>CP873-2X Week P Tetanus</v>
      </c>
      <c r="E22" s="36" t="str">
        <f t="shared" si="1"/>
        <v>RETURN - 2nd don of the week -BONUS</v>
      </c>
      <c r="F22" s="36" t="str">
        <f t="shared" si="2"/>
        <v>CP873-RETURN - 2nd don of the week -BONUS</v>
      </c>
      <c r="G22" s="155">
        <f>IFERROR(VLOOKUP(F22,SpecialtyBaseLU,11,FALSE),0)</f>
        <v>25</v>
      </c>
      <c r="H22" s="5">
        <v>0</v>
      </c>
      <c r="J22" s="5">
        <f t="shared" si="3"/>
        <v>25</v>
      </c>
      <c r="K22" s="148">
        <f t="shared" si="4"/>
        <v>25</v>
      </c>
      <c r="L22" s="5">
        <f t="shared" si="5"/>
        <v>0</v>
      </c>
    </row>
    <row r="23" spans="1:12" x14ac:dyDescent="0.25">
      <c r="A23" t="s">
        <v>420</v>
      </c>
      <c r="B23" t="s">
        <v>421</v>
      </c>
      <c r="C23" t="s">
        <v>486</v>
      </c>
      <c r="D23" s="36" t="str">
        <f t="shared" si="0"/>
        <v>CP873-2X Week P Tetanus AP</v>
      </c>
      <c r="E23" s="36" t="str">
        <f t="shared" si="1"/>
        <v>RETURN - 2nd don of the week -BONUS</v>
      </c>
      <c r="F23" s="36" t="str">
        <f t="shared" si="2"/>
        <v>CP873-RETURN - 2nd don of the week -BONUS</v>
      </c>
      <c r="G23" s="155">
        <f>IFERROR(VLOOKUP(F23,SpecialtyBaseLU,11,FALSE),0)</f>
        <v>25</v>
      </c>
      <c r="H23" s="5">
        <v>0</v>
      </c>
      <c r="J23" s="5">
        <f t="shared" si="3"/>
        <v>25</v>
      </c>
      <c r="K23" s="148">
        <f t="shared" si="4"/>
        <v>25</v>
      </c>
      <c r="L23" s="5">
        <f t="shared" si="5"/>
        <v>0</v>
      </c>
    </row>
    <row r="24" spans="1:12" x14ac:dyDescent="0.25">
      <c r="A24" t="s">
        <v>420</v>
      </c>
      <c r="B24" t="s">
        <v>421</v>
      </c>
      <c r="C24" t="s">
        <v>487</v>
      </c>
      <c r="D24" s="36" t="str">
        <f t="shared" si="0"/>
        <v>CP873-2X Week P Tetanus PE</v>
      </c>
      <c r="E24" s="36" t="str">
        <f t="shared" si="1"/>
        <v>RETURN - 2nd don of the week -BONUS</v>
      </c>
      <c r="F24" s="36" t="str">
        <f t="shared" si="2"/>
        <v>CP873-RETURN - 2nd don of the week -BONUS</v>
      </c>
      <c r="G24" s="155">
        <f>IFERROR(VLOOKUP(F24,SpecialtyBaseLU,11,FALSE),0)</f>
        <v>25</v>
      </c>
      <c r="H24" s="5">
        <v>0</v>
      </c>
      <c r="J24" s="5">
        <f t="shared" si="3"/>
        <v>25</v>
      </c>
      <c r="K24" s="148">
        <f t="shared" si="4"/>
        <v>25</v>
      </c>
      <c r="L24" s="5">
        <f t="shared" si="5"/>
        <v>0</v>
      </c>
    </row>
    <row r="25" spans="1:12" x14ac:dyDescent="0.25">
      <c r="A25" t="s">
        <v>420</v>
      </c>
      <c r="B25" t="s">
        <v>421</v>
      </c>
      <c r="C25" t="s">
        <v>488</v>
      </c>
      <c r="D25" s="36" t="str">
        <f t="shared" si="0"/>
        <v>CP873-2X Week P VZV</v>
      </c>
      <c r="E25" s="36" t="str">
        <f t="shared" si="1"/>
        <v>RETURN - 2nd don of the week -BONUS</v>
      </c>
      <c r="F25" s="36" t="str">
        <f t="shared" si="2"/>
        <v>CP873-RETURN - 2nd don of the week -BONUS</v>
      </c>
      <c r="G25" s="155">
        <f>IFERROR(VLOOKUP(F25,SpecialtyBaseLU,11,FALSE),0)</f>
        <v>25</v>
      </c>
      <c r="H25" s="5">
        <v>0</v>
      </c>
      <c r="J25" s="5">
        <f t="shared" si="3"/>
        <v>25</v>
      </c>
      <c r="K25" s="148">
        <f t="shared" si="4"/>
        <v>25</v>
      </c>
      <c r="L25" s="5">
        <f t="shared" si="5"/>
        <v>0</v>
      </c>
    </row>
    <row r="26" spans="1:12" x14ac:dyDescent="0.25">
      <c r="A26" t="s">
        <v>420</v>
      </c>
      <c r="B26" t="s">
        <v>421</v>
      </c>
      <c r="C26" t="s">
        <v>489</v>
      </c>
      <c r="D26" s="36" t="str">
        <f t="shared" si="0"/>
        <v>CP873-2X Week P VZV AP</v>
      </c>
      <c r="E26" s="36" t="str">
        <f t="shared" si="1"/>
        <v>RETURN - 2nd don of the week -BONUS</v>
      </c>
      <c r="F26" s="36" t="str">
        <f t="shared" si="2"/>
        <v>CP873-RETURN - 2nd don of the week -BONUS</v>
      </c>
      <c r="G26" s="155">
        <f>IFERROR(VLOOKUP(F26,SpecialtyBaseLU,11,FALSE),0)</f>
        <v>25</v>
      </c>
      <c r="H26" s="5">
        <v>0</v>
      </c>
      <c r="J26" s="5">
        <f t="shared" si="3"/>
        <v>25</v>
      </c>
      <c r="K26" s="148">
        <f t="shared" si="4"/>
        <v>25</v>
      </c>
      <c r="L26" s="5">
        <f t="shared" si="5"/>
        <v>0</v>
      </c>
    </row>
    <row r="27" spans="1:12" x14ac:dyDescent="0.25">
      <c r="A27" t="s">
        <v>420</v>
      </c>
      <c r="B27" t="s">
        <v>421</v>
      </c>
      <c r="C27" t="s">
        <v>490</v>
      </c>
      <c r="D27" s="36" t="str">
        <f t="shared" si="0"/>
        <v>CP873-2X Week P VZV Pre-Existing</v>
      </c>
      <c r="E27" s="36" t="str">
        <f t="shared" si="1"/>
        <v>RETURN - 2nd don of the week -BONUS</v>
      </c>
      <c r="F27" s="36" t="str">
        <f t="shared" si="2"/>
        <v>CP873-RETURN - 2nd don of the week -BONUS</v>
      </c>
      <c r="G27" s="155">
        <f>IFERROR(VLOOKUP(F27,SpecialtyBaseLU,11,FALSE),0)</f>
        <v>25</v>
      </c>
      <c r="H27" s="5">
        <v>0</v>
      </c>
      <c r="J27" s="5">
        <f t="shared" si="3"/>
        <v>25</v>
      </c>
      <c r="K27" s="148">
        <f t="shared" si="4"/>
        <v>25</v>
      </c>
      <c r="L27" s="5">
        <f t="shared" si="5"/>
        <v>0</v>
      </c>
    </row>
    <row r="28" spans="1:12" x14ac:dyDescent="0.25">
      <c r="A28" t="s">
        <v>420</v>
      </c>
      <c r="B28" t="s">
        <v>421</v>
      </c>
      <c r="C28" t="s">
        <v>491</v>
      </c>
      <c r="D28" s="36" t="str">
        <f t="shared" si="0"/>
        <v>CP873-2X Week P VZV Pre-Existing AP</v>
      </c>
      <c r="E28" s="36" t="str">
        <f t="shared" si="1"/>
        <v>RETURN - 2nd don of the week -BONUS</v>
      </c>
      <c r="F28" s="36" t="str">
        <f t="shared" si="2"/>
        <v>CP873-RETURN - 2nd don of the week -BONUS</v>
      </c>
      <c r="G28" s="155">
        <f>IFERROR(VLOOKUP(F28,SpecialtyBaseLU,11,FALSE),0)</f>
        <v>25</v>
      </c>
      <c r="H28" s="5">
        <v>0</v>
      </c>
      <c r="J28" s="5">
        <f t="shared" si="3"/>
        <v>25</v>
      </c>
      <c r="K28" s="148">
        <f t="shared" si="4"/>
        <v>25</v>
      </c>
      <c r="L28" s="5">
        <f t="shared" si="5"/>
        <v>0</v>
      </c>
    </row>
    <row r="29" spans="1:12" x14ac:dyDescent="0.25">
      <c r="A29" t="s">
        <v>420</v>
      </c>
      <c r="B29" t="s">
        <v>421</v>
      </c>
      <c r="C29" t="s">
        <v>469</v>
      </c>
      <c r="D29" s="36" t="str">
        <f t="shared" si="0"/>
        <v>CP873-P Anti-D Pre-Existing Standard</v>
      </c>
      <c r="E29" s="36" t="str">
        <f t="shared" si="1"/>
        <v>RETURN - 1st don of the week -STD</v>
      </c>
      <c r="F29" s="36" t="str">
        <f t="shared" si="2"/>
        <v>CP873-RETURN - 1st don of the week -STD</v>
      </c>
      <c r="G29" s="155">
        <f>IFERROR(VLOOKUP(F29,SpecialtyBaseLU,11,FALSE),0)</f>
        <v>45</v>
      </c>
      <c r="H29" s="5">
        <v>0</v>
      </c>
      <c r="J29" s="5">
        <f t="shared" si="3"/>
        <v>45</v>
      </c>
      <c r="K29" s="148">
        <f t="shared" si="4"/>
        <v>50</v>
      </c>
      <c r="L29" s="5">
        <f t="shared" si="5"/>
        <v>-5</v>
      </c>
    </row>
    <row r="30" spans="1:12" x14ac:dyDescent="0.25">
      <c r="A30" t="s">
        <v>420</v>
      </c>
      <c r="B30" t="s">
        <v>421</v>
      </c>
      <c r="C30" t="s">
        <v>492</v>
      </c>
      <c r="D30" s="36" t="str">
        <f t="shared" si="0"/>
        <v>CP873-P Tetanus AP Standard</v>
      </c>
      <c r="E30" s="36" t="str">
        <f t="shared" si="1"/>
        <v>RETURN - 1st don of the week -STD</v>
      </c>
      <c r="F30" s="36" t="str">
        <f t="shared" si="2"/>
        <v>CP873-RETURN - 1st don of the week -STD</v>
      </c>
      <c r="G30" s="155">
        <f>IFERROR(VLOOKUP(F30,SpecialtyBaseLU,11,FALSE),0)</f>
        <v>45</v>
      </c>
      <c r="H30" s="5">
        <f>K30-G30</f>
        <v>10</v>
      </c>
      <c r="J30" s="5">
        <f t="shared" si="3"/>
        <v>55</v>
      </c>
      <c r="K30" s="148">
        <f t="shared" si="4"/>
        <v>55</v>
      </c>
      <c r="L30" s="5">
        <f t="shared" si="5"/>
        <v>0</v>
      </c>
    </row>
    <row r="31" spans="1:12" x14ac:dyDescent="0.25">
      <c r="A31" t="s">
        <v>420</v>
      </c>
      <c r="B31" t="s">
        <v>421</v>
      </c>
      <c r="C31" t="s">
        <v>493</v>
      </c>
      <c r="D31" s="36" t="str">
        <f t="shared" si="0"/>
        <v>CP873-P Tetanus Pre-Existing Standard</v>
      </c>
      <c r="E31" s="36" t="str">
        <f t="shared" si="1"/>
        <v>RETURN - 1st don of the week -STD</v>
      </c>
      <c r="F31" s="36" t="str">
        <f t="shared" si="2"/>
        <v>CP873-RETURN - 1st don of the week -STD</v>
      </c>
      <c r="G31" s="155">
        <f>IFERROR(VLOOKUP(F31,SpecialtyBaseLU,11,FALSE),0)</f>
        <v>45</v>
      </c>
      <c r="H31" s="5">
        <f>K31-G31</f>
        <v>10</v>
      </c>
      <c r="J31" s="5">
        <f t="shared" si="3"/>
        <v>55</v>
      </c>
      <c r="K31" s="148">
        <f t="shared" si="4"/>
        <v>55</v>
      </c>
      <c r="L31" s="5">
        <f t="shared" si="5"/>
        <v>0</v>
      </c>
    </row>
    <row r="32" spans="1:12" x14ac:dyDescent="0.25">
      <c r="A32" t="s">
        <v>420</v>
      </c>
      <c r="B32" t="s">
        <v>421</v>
      </c>
      <c r="C32" t="s">
        <v>494</v>
      </c>
      <c r="D32" s="36" t="str">
        <f t="shared" si="0"/>
        <v>CP873-P Tetanus Standard</v>
      </c>
      <c r="E32" s="36" t="str">
        <f t="shared" si="1"/>
        <v>RETURN - 1st don of the week -STD</v>
      </c>
      <c r="F32" s="36" t="str">
        <f t="shared" si="2"/>
        <v>CP873-RETURN - 1st don of the week -STD</v>
      </c>
      <c r="G32" s="155">
        <f>IFERROR(VLOOKUP(F32,SpecialtyBaseLU,11,FALSE),0)</f>
        <v>45</v>
      </c>
      <c r="H32" s="5">
        <f>K32-G32</f>
        <v>10</v>
      </c>
      <c r="J32" s="5">
        <f t="shared" si="3"/>
        <v>55</v>
      </c>
      <c r="K32" s="148">
        <f t="shared" si="4"/>
        <v>55</v>
      </c>
      <c r="L32" s="5">
        <f t="shared" si="5"/>
        <v>0</v>
      </c>
    </row>
    <row r="33" spans="1:12" x14ac:dyDescent="0.25">
      <c r="A33" t="s">
        <v>420</v>
      </c>
      <c r="B33" t="s">
        <v>421</v>
      </c>
      <c r="C33" t="s">
        <v>495</v>
      </c>
      <c r="D33" s="36" t="str">
        <f t="shared" si="0"/>
        <v>CP873-P VZV Pre-Existing AP</v>
      </c>
      <c r="E33" s="36" t="str">
        <f t="shared" si="1"/>
        <v>RETURN - 1st don of the week -STD</v>
      </c>
      <c r="F33" s="36" t="str">
        <f t="shared" si="2"/>
        <v>CP873-RETURN - 1st don of the week -STD</v>
      </c>
      <c r="G33" s="155">
        <f>IFERROR(VLOOKUP(F33,SpecialtyBaseLU,11,FALSE),0)</f>
        <v>45</v>
      </c>
      <c r="H33" s="5">
        <v>10</v>
      </c>
      <c r="J33" s="5">
        <f t="shared" si="3"/>
        <v>55</v>
      </c>
      <c r="K33" s="148">
        <f t="shared" si="4"/>
        <v>60</v>
      </c>
      <c r="L33" s="5">
        <f t="shared" si="5"/>
        <v>-5</v>
      </c>
    </row>
    <row r="34" spans="1:12" x14ac:dyDescent="0.25">
      <c r="A34" t="s">
        <v>420</v>
      </c>
      <c r="B34" t="s">
        <v>421</v>
      </c>
      <c r="C34" t="s">
        <v>496</v>
      </c>
      <c r="D34" s="36" t="str">
        <f t="shared" si="0"/>
        <v>CP873-P VZV Standard</v>
      </c>
      <c r="E34" s="36" t="str">
        <f t="shared" si="1"/>
        <v>RETURN - 1st don of the week -STD</v>
      </c>
      <c r="F34" s="36" t="str">
        <f t="shared" si="2"/>
        <v>CP873-RETURN - 1st don of the week -STD</v>
      </c>
      <c r="G34" s="155">
        <f>IFERROR(VLOOKUP(F34,SpecialtyBaseLU,11,FALSE),0)</f>
        <v>45</v>
      </c>
      <c r="H34" s="5">
        <v>10</v>
      </c>
      <c r="J34" s="5">
        <f t="shared" si="3"/>
        <v>55</v>
      </c>
      <c r="K34" s="148">
        <f t="shared" si="4"/>
        <v>60</v>
      </c>
      <c r="L34" s="5">
        <f t="shared" si="5"/>
        <v>-5</v>
      </c>
    </row>
    <row r="35" spans="1:12" x14ac:dyDescent="0.25">
      <c r="A35" t="s">
        <v>420</v>
      </c>
      <c r="B35" t="s">
        <v>421</v>
      </c>
      <c r="C35" t="s">
        <v>497</v>
      </c>
      <c r="D35" s="36" t="str">
        <f t="shared" si="0"/>
        <v>CP873-PVZV Pre-Existing Standard</v>
      </c>
      <c r="E35" s="36" t="str">
        <f t="shared" si="1"/>
        <v>RETURN - 1st don of the week -STD</v>
      </c>
      <c r="F35" s="36" t="str">
        <f t="shared" si="2"/>
        <v>CP873-RETURN - 1st don of the week -STD</v>
      </c>
      <c r="G35" s="155">
        <f>IFERROR(VLOOKUP(F35,SpecialtyBaseLU,11,FALSE),0)</f>
        <v>45</v>
      </c>
      <c r="H35" s="5">
        <f>K35-G35</f>
        <v>15</v>
      </c>
      <c r="J35" s="5">
        <f t="shared" si="3"/>
        <v>60</v>
      </c>
      <c r="K35" s="148">
        <f t="shared" si="4"/>
        <v>60</v>
      </c>
      <c r="L35" s="5">
        <f t="shared" si="5"/>
        <v>0</v>
      </c>
    </row>
    <row r="36" spans="1:12" x14ac:dyDescent="0.25">
      <c r="A36" t="s">
        <v>239</v>
      </c>
      <c r="B36" t="s">
        <v>240</v>
      </c>
      <c r="C36" t="s">
        <v>498</v>
      </c>
      <c r="D36" s="36" t="str">
        <f t="shared" si="0"/>
        <v>CP078-2X Week P CMV</v>
      </c>
      <c r="E36" s="36" t="str">
        <f t="shared" si="1"/>
        <v>RETURN - 2nd don of the week -BONUS</v>
      </c>
      <c r="F36" s="36" t="str">
        <f t="shared" si="2"/>
        <v>CP078-RETURN - 2nd don of the week -BONUS</v>
      </c>
      <c r="G36" s="155">
        <f>IFERROR(VLOOKUP(F36,SpecialtyBaseLU,11,FALSE),0)</f>
        <v>20</v>
      </c>
      <c r="H36" s="5">
        <v>0</v>
      </c>
      <c r="J36" s="5">
        <f t="shared" si="3"/>
        <v>20</v>
      </c>
      <c r="K36" s="148">
        <f t="shared" si="4"/>
        <v>20</v>
      </c>
      <c r="L36" s="5">
        <f t="shared" si="5"/>
        <v>0</v>
      </c>
    </row>
    <row r="37" spans="1:12" x14ac:dyDescent="0.25">
      <c r="A37" t="s">
        <v>239</v>
      </c>
      <c r="B37" t="s">
        <v>240</v>
      </c>
      <c r="C37" t="s">
        <v>499</v>
      </c>
      <c r="D37" s="36" t="str">
        <f t="shared" si="0"/>
        <v>CP078-2X Week P Rabies</v>
      </c>
      <c r="E37" s="36" t="str">
        <f t="shared" si="1"/>
        <v>RETURN - 2nd don of the week -BONUS</v>
      </c>
      <c r="F37" s="36" t="str">
        <f t="shared" si="2"/>
        <v>CP078-RETURN - 2nd don of the week -BONUS</v>
      </c>
      <c r="G37" s="155">
        <f>IFERROR(VLOOKUP(F37,SpecialtyBaseLU,11,FALSE),0)</f>
        <v>20</v>
      </c>
      <c r="H37" s="5">
        <v>0</v>
      </c>
      <c r="J37" s="5">
        <f t="shared" si="3"/>
        <v>20</v>
      </c>
      <c r="K37" s="148">
        <f t="shared" si="4"/>
        <v>20</v>
      </c>
      <c r="L37" s="5">
        <f t="shared" si="5"/>
        <v>0</v>
      </c>
    </row>
    <row r="38" spans="1:12" x14ac:dyDescent="0.25">
      <c r="A38" t="s">
        <v>239</v>
      </c>
      <c r="B38" t="s">
        <v>240</v>
      </c>
      <c r="C38" t="s">
        <v>500</v>
      </c>
      <c r="D38" s="36" t="str">
        <f t="shared" si="0"/>
        <v>CP078-2X Week P Rabies HT</v>
      </c>
      <c r="E38" s="36" t="str">
        <f t="shared" si="1"/>
        <v>RETURN - 2nd don of the week -BONUS</v>
      </c>
      <c r="F38" s="36" t="str">
        <f t="shared" si="2"/>
        <v>CP078-RETURN - 2nd don of the week -BONUS</v>
      </c>
      <c r="G38" s="155">
        <f>IFERROR(VLOOKUP(F38,SpecialtyBaseLU,11,FALSE),0)</f>
        <v>20</v>
      </c>
      <c r="H38" s="5">
        <v>0</v>
      </c>
      <c r="J38" s="5">
        <f t="shared" si="3"/>
        <v>20</v>
      </c>
      <c r="K38" s="148">
        <f t="shared" si="4"/>
        <v>20</v>
      </c>
      <c r="L38" s="5">
        <f t="shared" si="5"/>
        <v>0</v>
      </c>
    </row>
    <row r="39" spans="1:12" x14ac:dyDescent="0.25">
      <c r="A39" t="s">
        <v>239</v>
      </c>
      <c r="B39" t="s">
        <v>240</v>
      </c>
      <c r="C39" t="s">
        <v>485</v>
      </c>
      <c r="D39" s="36" t="str">
        <f t="shared" si="0"/>
        <v>CP078-2X Week P Tetanus</v>
      </c>
      <c r="E39" s="36" t="str">
        <f t="shared" si="1"/>
        <v>RETURN - 2nd don of the week -BONUS</v>
      </c>
      <c r="F39" s="36" t="str">
        <f t="shared" si="2"/>
        <v>CP078-RETURN - 2nd don of the week -BONUS</v>
      </c>
      <c r="G39" s="155">
        <f>IFERROR(VLOOKUP(F39,SpecialtyBaseLU,11,FALSE),0)</f>
        <v>20</v>
      </c>
      <c r="H39" s="5">
        <v>0</v>
      </c>
      <c r="J39" s="5">
        <f t="shared" si="3"/>
        <v>20</v>
      </c>
      <c r="K39" s="148">
        <f t="shared" si="4"/>
        <v>20</v>
      </c>
      <c r="L39" s="5">
        <f t="shared" si="5"/>
        <v>0</v>
      </c>
    </row>
    <row r="40" spans="1:12" x14ac:dyDescent="0.25">
      <c r="A40" t="s">
        <v>239</v>
      </c>
      <c r="B40" t="s">
        <v>240</v>
      </c>
      <c r="C40" t="s">
        <v>486</v>
      </c>
      <c r="D40" s="36" t="str">
        <f t="shared" si="0"/>
        <v>CP078-2X Week P Tetanus AP</v>
      </c>
      <c r="E40" s="36" t="str">
        <f t="shared" si="1"/>
        <v>RETURN - 2nd don of the week -BONUS</v>
      </c>
      <c r="F40" s="36" t="str">
        <f t="shared" si="2"/>
        <v>CP078-RETURN - 2nd don of the week -BONUS</v>
      </c>
      <c r="G40" s="155">
        <f>IFERROR(VLOOKUP(F40,SpecialtyBaseLU,11,FALSE),0)</f>
        <v>20</v>
      </c>
      <c r="H40" s="5">
        <v>0</v>
      </c>
      <c r="J40" s="5">
        <f t="shared" si="3"/>
        <v>20</v>
      </c>
      <c r="K40" s="148">
        <f t="shared" si="4"/>
        <v>20</v>
      </c>
      <c r="L40" s="5">
        <f t="shared" si="5"/>
        <v>0</v>
      </c>
    </row>
    <row r="41" spans="1:12" x14ac:dyDescent="0.25">
      <c r="A41" t="s">
        <v>239</v>
      </c>
      <c r="B41" t="s">
        <v>240</v>
      </c>
      <c r="C41" t="s">
        <v>487</v>
      </c>
      <c r="D41" s="36" t="str">
        <f t="shared" si="0"/>
        <v>CP078-2X Week P Tetanus PE</v>
      </c>
      <c r="E41" s="36" t="str">
        <f t="shared" si="1"/>
        <v>RETURN - 2nd don of the week -BONUS</v>
      </c>
      <c r="F41" s="36" t="str">
        <f t="shared" si="2"/>
        <v>CP078-RETURN - 2nd don of the week -BONUS</v>
      </c>
      <c r="G41" s="155">
        <f>IFERROR(VLOOKUP(F41,SpecialtyBaseLU,11,FALSE),0)</f>
        <v>20</v>
      </c>
      <c r="H41" s="5">
        <v>0</v>
      </c>
      <c r="J41" s="5">
        <f t="shared" si="3"/>
        <v>20</v>
      </c>
      <c r="K41" s="148">
        <f t="shared" si="4"/>
        <v>20</v>
      </c>
      <c r="L41" s="5">
        <f t="shared" si="5"/>
        <v>0</v>
      </c>
    </row>
    <row r="42" spans="1:12" x14ac:dyDescent="0.25">
      <c r="A42" t="s">
        <v>239</v>
      </c>
      <c r="B42" t="s">
        <v>240</v>
      </c>
      <c r="C42" t="s">
        <v>469</v>
      </c>
      <c r="D42" s="36" t="str">
        <f t="shared" si="0"/>
        <v>CP078-P Anti-D Pre-Existing Standard</v>
      </c>
      <c r="E42" s="36" t="str">
        <f t="shared" si="1"/>
        <v>RETURN - 1st don of the week -STD</v>
      </c>
      <c r="F42" s="36" t="str">
        <f t="shared" si="2"/>
        <v>CP078-RETURN - 1st don of the week -STD</v>
      </c>
      <c r="G42" s="155">
        <f>IFERROR(VLOOKUP(F42,SpecialtyBaseLU,11,FALSE),0)</f>
        <v>55</v>
      </c>
      <c r="H42" s="5">
        <v>45</v>
      </c>
      <c r="J42" s="5">
        <f t="shared" si="3"/>
        <v>100</v>
      </c>
      <c r="K42" s="148">
        <f t="shared" si="4"/>
        <v>100</v>
      </c>
      <c r="L42" s="5">
        <f t="shared" si="5"/>
        <v>0</v>
      </c>
    </row>
    <row r="43" spans="1:12" x14ac:dyDescent="0.25">
      <c r="A43" t="s">
        <v>239</v>
      </c>
      <c r="B43" t="s">
        <v>240</v>
      </c>
      <c r="C43" t="s">
        <v>474</v>
      </c>
      <c r="D43" s="36" t="str">
        <f t="shared" si="0"/>
        <v>CP078-P Anti-D Standard</v>
      </c>
      <c r="E43" s="36" t="str">
        <f t="shared" si="1"/>
        <v>RETURN - 1st don of the week -STD</v>
      </c>
      <c r="F43" s="36" t="str">
        <f t="shared" si="2"/>
        <v>CP078-RETURN - 1st don of the week -STD</v>
      </c>
      <c r="G43" s="155">
        <f>IFERROR(VLOOKUP(F43,SpecialtyBaseLU,11,FALSE),0)</f>
        <v>55</v>
      </c>
      <c r="H43" s="5">
        <v>45</v>
      </c>
      <c r="J43" s="5">
        <f t="shared" si="3"/>
        <v>100</v>
      </c>
      <c r="K43" s="148">
        <f t="shared" si="4"/>
        <v>100</v>
      </c>
      <c r="L43" s="5">
        <f t="shared" si="5"/>
        <v>0</v>
      </c>
    </row>
    <row r="44" spans="1:12" x14ac:dyDescent="0.25">
      <c r="A44" t="s">
        <v>239</v>
      </c>
      <c r="B44" t="s">
        <v>240</v>
      </c>
      <c r="C44" t="s">
        <v>501</v>
      </c>
      <c r="D44" s="36" t="str">
        <f t="shared" si="0"/>
        <v>CP078-P CMV Standard</v>
      </c>
      <c r="E44" s="36" t="str">
        <f t="shared" si="1"/>
        <v>RETURN - 1st don of the week -STD</v>
      </c>
      <c r="F44" s="36" t="str">
        <f t="shared" si="2"/>
        <v>CP078-RETURN - 1st don of the week -STD</v>
      </c>
      <c r="G44" s="155">
        <f>IFERROR(VLOOKUP(F44,SpecialtyBaseLU,11,FALSE),0)</f>
        <v>55</v>
      </c>
      <c r="H44" s="5">
        <v>5</v>
      </c>
      <c r="J44" s="5">
        <f t="shared" si="3"/>
        <v>60</v>
      </c>
      <c r="K44" s="148">
        <f t="shared" si="4"/>
        <v>60</v>
      </c>
      <c r="L44" s="5">
        <f t="shared" si="5"/>
        <v>0</v>
      </c>
    </row>
    <row r="45" spans="1:12" x14ac:dyDescent="0.25">
      <c r="A45" t="s">
        <v>239</v>
      </c>
      <c r="B45" t="s">
        <v>240</v>
      </c>
      <c r="C45" t="s">
        <v>502</v>
      </c>
      <c r="D45" s="36" t="str">
        <f t="shared" si="0"/>
        <v>CP078-P Rabies HT Standard</v>
      </c>
      <c r="E45" s="36" t="str">
        <f t="shared" si="1"/>
        <v>RETURN - 1st don of the week -STD</v>
      </c>
      <c r="F45" s="36" t="str">
        <f t="shared" si="2"/>
        <v>CP078-RETURN - 1st don of the week -STD</v>
      </c>
      <c r="G45" s="155">
        <f>IFERROR(VLOOKUP(F45,SpecialtyBaseLU,11,FALSE),0)</f>
        <v>55</v>
      </c>
      <c r="H45" s="5">
        <f>K45-G45</f>
        <v>5</v>
      </c>
      <c r="J45" s="5">
        <f t="shared" si="3"/>
        <v>60</v>
      </c>
      <c r="K45" s="148">
        <f t="shared" si="4"/>
        <v>60</v>
      </c>
      <c r="L45" s="5">
        <f t="shared" si="5"/>
        <v>0</v>
      </c>
    </row>
    <row r="46" spans="1:12" x14ac:dyDescent="0.25">
      <c r="A46" t="s">
        <v>239</v>
      </c>
      <c r="B46" t="s">
        <v>240</v>
      </c>
      <c r="C46" t="s">
        <v>503</v>
      </c>
      <c r="D46" s="36" t="str">
        <f t="shared" si="0"/>
        <v>CP078-P Rabies Standard</v>
      </c>
      <c r="E46" s="36" t="str">
        <f t="shared" si="1"/>
        <v>RETURN - 1st don of the week -STD</v>
      </c>
      <c r="F46" s="36" t="str">
        <f t="shared" si="2"/>
        <v>CP078-RETURN - 1st don of the week -STD</v>
      </c>
      <c r="G46" s="155">
        <f>IFERROR(VLOOKUP(F46,SpecialtyBaseLU,11,FALSE),0)</f>
        <v>55</v>
      </c>
      <c r="H46" s="5">
        <f>K46-G46</f>
        <v>5</v>
      </c>
      <c r="J46" s="5">
        <f t="shared" si="3"/>
        <v>60</v>
      </c>
      <c r="K46" s="148">
        <f t="shared" si="4"/>
        <v>60</v>
      </c>
      <c r="L46" s="5">
        <f t="shared" si="5"/>
        <v>0</v>
      </c>
    </row>
    <row r="47" spans="1:12" x14ac:dyDescent="0.25">
      <c r="A47" t="s">
        <v>239</v>
      </c>
      <c r="B47" t="s">
        <v>240</v>
      </c>
      <c r="C47" t="s">
        <v>492</v>
      </c>
      <c r="D47" s="36" t="str">
        <f t="shared" si="0"/>
        <v>CP078-P Tetanus AP Standard</v>
      </c>
      <c r="E47" s="36" t="str">
        <f t="shared" si="1"/>
        <v>RETURN - 1st don of the week -STD</v>
      </c>
      <c r="F47" s="36" t="str">
        <f t="shared" si="2"/>
        <v>CP078-RETURN - 1st don of the week -STD</v>
      </c>
      <c r="G47" s="155">
        <f>IFERROR(VLOOKUP(F47,SpecialtyBaseLU,11,FALSE),0)</f>
        <v>55</v>
      </c>
      <c r="H47" s="5">
        <f>K47-G47</f>
        <v>5</v>
      </c>
      <c r="J47" s="5">
        <f t="shared" si="3"/>
        <v>60</v>
      </c>
      <c r="K47" s="148">
        <f t="shared" si="4"/>
        <v>60</v>
      </c>
      <c r="L47" s="5">
        <f t="shared" si="5"/>
        <v>0</v>
      </c>
    </row>
    <row r="48" spans="1:12" x14ac:dyDescent="0.25">
      <c r="A48" t="s">
        <v>239</v>
      </c>
      <c r="B48" t="s">
        <v>240</v>
      </c>
      <c r="C48" t="s">
        <v>493</v>
      </c>
      <c r="D48" s="36" t="str">
        <f t="shared" si="0"/>
        <v>CP078-P Tetanus Pre-Existing Standard</v>
      </c>
      <c r="E48" s="36" t="str">
        <f t="shared" si="1"/>
        <v>RETURN - 1st don of the week -STD</v>
      </c>
      <c r="F48" s="36" t="str">
        <f t="shared" si="2"/>
        <v>CP078-RETURN - 1st don of the week -STD</v>
      </c>
      <c r="G48" s="155">
        <f>IFERROR(VLOOKUP(F48,SpecialtyBaseLU,11,FALSE),0)</f>
        <v>55</v>
      </c>
      <c r="H48" s="5">
        <f>K48-G48</f>
        <v>5</v>
      </c>
      <c r="J48" s="5">
        <f t="shared" si="3"/>
        <v>60</v>
      </c>
      <c r="K48" s="148">
        <f t="shared" si="4"/>
        <v>60</v>
      </c>
      <c r="L48" s="5">
        <f t="shared" si="5"/>
        <v>0</v>
      </c>
    </row>
    <row r="49" spans="1:12" x14ac:dyDescent="0.25">
      <c r="A49" t="s">
        <v>239</v>
      </c>
      <c r="B49" t="s">
        <v>240</v>
      </c>
      <c r="C49" t="s">
        <v>494</v>
      </c>
      <c r="D49" s="36" t="str">
        <f t="shared" si="0"/>
        <v>CP078-P Tetanus Standard</v>
      </c>
      <c r="E49" s="36" t="str">
        <f t="shared" si="1"/>
        <v>RETURN - 1st don of the week -STD</v>
      </c>
      <c r="F49" s="36" t="str">
        <f t="shared" si="2"/>
        <v>CP078-RETURN - 1st don of the week -STD</v>
      </c>
      <c r="G49" s="155">
        <f>IFERROR(VLOOKUP(F49,SpecialtyBaseLU,11,FALSE),0)</f>
        <v>55</v>
      </c>
      <c r="H49" s="5">
        <f>K49-G49</f>
        <v>5</v>
      </c>
      <c r="J49" s="5">
        <f t="shared" si="3"/>
        <v>60</v>
      </c>
      <c r="K49" s="148">
        <f t="shared" si="4"/>
        <v>60</v>
      </c>
      <c r="L49" s="5">
        <f t="shared" si="5"/>
        <v>0</v>
      </c>
    </row>
    <row r="50" spans="1:12" x14ac:dyDescent="0.25">
      <c r="A50" t="s">
        <v>216</v>
      </c>
      <c r="B50" t="s">
        <v>217</v>
      </c>
      <c r="C50" t="s">
        <v>470</v>
      </c>
      <c r="D50" s="36" t="str">
        <f t="shared" si="0"/>
        <v>CP946-2X Week P HBS</v>
      </c>
      <c r="E50" s="36" t="str">
        <f t="shared" si="1"/>
        <v>RETURN - 2nd don of the week -BONUS</v>
      </c>
      <c r="F50" s="36" t="str">
        <f t="shared" si="2"/>
        <v>CP946-RETURN - 2nd don of the week -BONUS</v>
      </c>
      <c r="G50" s="155">
        <f>IFERROR(VLOOKUP(F50,SpecialtyBaseLU,11,FALSE),0)</f>
        <v>20</v>
      </c>
      <c r="H50" s="5">
        <v>10</v>
      </c>
      <c r="J50" s="5">
        <f t="shared" si="3"/>
        <v>30</v>
      </c>
      <c r="K50" s="148">
        <f t="shared" si="4"/>
        <v>30</v>
      </c>
      <c r="L50" s="5">
        <f t="shared" si="5"/>
        <v>0</v>
      </c>
    </row>
    <row r="51" spans="1:12" x14ac:dyDescent="0.25">
      <c r="A51" t="s">
        <v>216</v>
      </c>
      <c r="B51" t="s">
        <v>217</v>
      </c>
      <c r="C51" t="s">
        <v>471</v>
      </c>
      <c r="D51" s="36" t="str">
        <f t="shared" si="0"/>
        <v>CP946-2X Week P HBS Pre-Existing</v>
      </c>
      <c r="E51" s="36" t="str">
        <f t="shared" si="1"/>
        <v>RETURN - 2nd don of the week -BONUS</v>
      </c>
      <c r="F51" s="36" t="str">
        <f t="shared" si="2"/>
        <v>CP946-RETURN - 2nd don of the week -BONUS</v>
      </c>
      <c r="G51" s="155">
        <f>IFERROR(VLOOKUP(F51,SpecialtyBaseLU,11,FALSE),0)</f>
        <v>20</v>
      </c>
      <c r="H51" s="5">
        <v>10</v>
      </c>
      <c r="J51" s="5">
        <f t="shared" si="3"/>
        <v>30</v>
      </c>
      <c r="K51" s="148">
        <f t="shared" si="4"/>
        <v>30</v>
      </c>
      <c r="L51" s="5">
        <f t="shared" si="5"/>
        <v>0</v>
      </c>
    </row>
    <row r="52" spans="1:12" x14ac:dyDescent="0.25">
      <c r="A52" t="s">
        <v>216</v>
      </c>
      <c r="B52" t="s">
        <v>217</v>
      </c>
      <c r="C52" t="s">
        <v>488</v>
      </c>
      <c r="D52" s="36" t="str">
        <f t="shared" si="0"/>
        <v>CP946-2X Week P VZV</v>
      </c>
      <c r="E52" s="36" t="str">
        <f t="shared" si="1"/>
        <v>RETURN - 2nd don of the week -BONUS</v>
      </c>
      <c r="F52" s="36" t="str">
        <f t="shared" si="2"/>
        <v>CP946-RETURN - 2nd don of the week -BONUS</v>
      </c>
      <c r="G52" s="155">
        <f>IFERROR(VLOOKUP(F52,SpecialtyBaseLU,11,FALSE),0)</f>
        <v>20</v>
      </c>
      <c r="H52" s="5">
        <v>0</v>
      </c>
      <c r="J52" s="5">
        <f t="shared" si="3"/>
        <v>20</v>
      </c>
      <c r="K52" s="148">
        <f t="shared" si="4"/>
        <v>20</v>
      </c>
      <c r="L52" s="5">
        <f t="shared" si="5"/>
        <v>0</v>
      </c>
    </row>
    <row r="53" spans="1:12" x14ac:dyDescent="0.25">
      <c r="A53" t="s">
        <v>216</v>
      </c>
      <c r="B53" t="s">
        <v>217</v>
      </c>
      <c r="C53" t="s">
        <v>489</v>
      </c>
      <c r="D53" s="36" t="str">
        <f t="shared" si="0"/>
        <v>CP946-2X Week P VZV AP</v>
      </c>
      <c r="E53" s="36" t="str">
        <f t="shared" si="1"/>
        <v>RETURN - 2nd don of the week -BONUS</v>
      </c>
      <c r="F53" s="36" t="str">
        <f t="shared" si="2"/>
        <v>CP946-RETURN - 2nd don of the week -BONUS</v>
      </c>
      <c r="G53" s="155">
        <f>IFERROR(VLOOKUP(F53,SpecialtyBaseLU,11,FALSE),0)</f>
        <v>20</v>
      </c>
      <c r="H53" s="5">
        <v>0</v>
      </c>
      <c r="J53" s="5">
        <f t="shared" si="3"/>
        <v>20</v>
      </c>
      <c r="K53" s="148">
        <f t="shared" si="4"/>
        <v>20</v>
      </c>
      <c r="L53" s="5">
        <f t="shared" si="5"/>
        <v>0</v>
      </c>
    </row>
    <row r="54" spans="1:12" x14ac:dyDescent="0.25">
      <c r="A54" t="s">
        <v>216</v>
      </c>
      <c r="B54" t="s">
        <v>217</v>
      </c>
      <c r="C54" t="s">
        <v>490</v>
      </c>
      <c r="D54" s="36" t="str">
        <f t="shared" si="0"/>
        <v>CP946-2X Week P VZV Pre-Existing</v>
      </c>
      <c r="E54" s="36" t="str">
        <f t="shared" si="1"/>
        <v>RETURN - 2nd don of the week -BONUS</v>
      </c>
      <c r="F54" s="36" t="str">
        <f t="shared" si="2"/>
        <v>CP946-RETURN - 2nd don of the week -BONUS</v>
      </c>
      <c r="G54" s="155">
        <f>IFERROR(VLOOKUP(F54,SpecialtyBaseLU,11,FALSE),0)</f>
        <v>20</v>
      </c>
      <c r="H54" s="5">
        <v>0</v>
      </c>
      <c r="J54" s="5">
        <f t="shared" si="3"/>
        <v>20</v>
      </c>
      <c r="K54" s="148">
        <f t="shared" si="4"/>
        <v>20</v>
      </c>
      <c r="L54" s="5">
        <f t="shared" si="5"/>
        <v>0</v>
      </c>
    </row>
    <row r="55" spans="1:12" x14ac:dyDescent="0.25">
      <c r="A55" t="s">
        <v>216</v>
      </c>
      <c r="B55" t="s">
        <v>217</v>
      </c>
      <c r="C55" t="s">
        <v>491</v>
      </c>
      <c r="D55" s="36" t="str">
        <f t="shared" si="0"/>
        <v>CP946-2X Week P VZV Pre-Existing AP</v>
      </c>
      <c r="E55" s="36" t="str">
        <f t="shared" si="1"/>
        <v>RETURN - 2nd don of the week -BONUS</v>
      </c>
      <c r="F55" s="36" t="str">
        <f t="shared" si="2"/>
        <v>CP946-RETURN - 2nd don of the week -BONUS</v>
      </c>
      <c r="G55" s="155">
        <f>IFERROR(VLOOKUP(F55,SpecialtyBaseLU,11,FALSE),0)</f>
        <v>20</v>
      </c>
      <c r="H55" s="5">
        <v>0</v>
      </c>
      <c r="J55" s="5">
        <f t="shared" si="3"/>
        <v>20</v>
      </c>
      <c r="K55" s="148">
        <f t="shared" si="4"/>
        <v>20</v>
      </c>
      <c r="L55" s="5">
        <f t="shared" si="5"/>
        <v>0</v>
      </c>
    </row>
    <row r="56" spans="1:12" x14ac:dyDescent="0.25">
      <c r="A56" t="s">
        <v>216</v>
      </c>
      <c r="B56" t="s">
        <v>217</v>
      </c>
      <c r="C56" t="s">
        <v>469</v>
      </c>
      <c r="D56" s="36" t="str">
        <f t="shared" si="0"/>
        <v>CP946-P Anti-D Pre-Existing Standard</v>
      </c>
      <c r="E56" s="36" t="str">
        <f t="shared" si="1"/>
        <v>RETURN - 1st don of the week -STD</v>
      </c>
      <c r="F56" s="36" t="str">
        <f t="shared" si="2"/>
        <v>CP946-RETURN - 1st don of the week -STD</v>
      </c>
      <c r="G56" s="155">
        <f>IFERROR(VLOOKUP(F56,SpecialtyBaseLU,11,FALSE),0)</f>
        <v>50</v>
      </c>
      <c r="H56" s="5">
        <v>0</v>
      </c>
      <c r="J56" s="5">
        <f t="shared" si="3"/>
        <v>50</v>
      </c>
      <c r="K56" s="148">
        <f t="shared" si="4"/>
        <v>50</v>
      </c>
      <c r="L56" s="5">
        <f t="shared" si="5"/>
        <v>0</v>
      </c>
    </row>
    <row r="57" spans="1:12" x14ac:dyDescent="0.25">
      <c r="A57" t="s">
        <v>216</v>
      </c>
      <c r="B57" t="s">
        <v>217</v>
      </c>
      <c r="C57" t="s">
        <v>472</v>
      </c>
      <c r="D57" s="36" t="str">
        <f t="shared" si="0"/>
        <v>CP946-P HBS Pre-Existing Standard</v>
      </c>
      <c r="E57" s="36" t="str">
        <f t="shared" si="1"/>
        <v>RETURN - 1st don of the week -STD</v>
      </c>
      <c r="F57" s="36" t="str">
        <f t="shared" si="2"/>
        <v>CP946-RETURN - 1st don of the week -STD</v>
      </c>
      <c r="G57" s="155">
        <f>IFERROR(VLOOKUP(F57,SpecialtyBaseLU,11,FALSE),0)</f>
        <v>50</v>
      </c>
      <c r="H57" s="5">
        <v>0</v>
      </c>
      <c r="J57" s="5">
        <f t="shared" si="3"/>
        <v>50</v>
      </c>
      <c r="K57" s="148">
        <f t="shared" si="4"/>
        <v>50</v>
      </c>
      <c r="L57" s="5">
        <f t="shared" si="5"/>
        <v>0</v>
      </c>
    </row>
    <row r="58" spans="1:12" x14ac:dyDescent="0.25">
      <c r="A58" t="s">
        <v>216</v>
      </c>
      <c r="B58" t="s">
        <v>217</v>
      </c>
      <c r="C58" t="s">
        <v>473</v>
      </c>
      <c r="D58" s="36" t="str">
        <f t="shared" si="0"/>
        <v>CP946-P HBS Standard</v>
      </c>
      <c r="E58" s="36" t="str">
        <f t="shared" si="1"/>
        <v>RETURN - 1st don of the week -STD</v>
      </c>
      <c r="F58" s="36" t="str">
        <f t="shared" si="2"/>
        <v>CP946-RETURN - 1st don of the week -STD</v>
      </c>
      <c r="G58" s="155">
        <f>IFERROR(VLOOKUP(F58,SpecialtyBaseLU,11,FALSE),0)</f>
        <v>50</v>
      </c>
      <c r="J58" s="5">
        <f t="shared" si="3"/>
        <v>50</v>
      </c>
      <c r="K58" s="148">
        <f t="shared" si="4"/>
        <v>50</v>
      </c>
      <c r="L58" s="5">
        <f t="shared" si="5"/>
        <v>0</v>
      </c>
    </row>
    <row r="59" spans="1:12" x14ac:dyDescent="0.25">
      <c r="A59" t="s">
        <v>216</v>
      </c>
      <c r="B59" t="s">
        <v>217</v>
      </c>
      <c r="C59" t="s">
        <v>495</v>
      </c>
      <c r="D59" s="36" t="str">
        <f t="shared" si="0"/>
        <v>CP946-P VZV Pre-Existing AP</v>
      </c>
      <c r="E59" s="36" t="str">
        <f t="shared" si="1"/>
        <v>RETURN - 1st don of the week -STD</v>
      </c>
      <c r="F59" s="36" t="str">
        <f t="shared" si="2"/>
        <v>CP946-RETURN - 1st don of the week -STD</v>
      </c>
      <c r="G59" s="155">
        <f>IFERROR(VLOOKUP(F59,SpecialtyBaseLU,11,FALSE),0)</f>
        <v>50</v>
      </c>
      <c r="H59" s="5">
        <v>10</v>
      </c>
      <c r="J59" s="5">
        <f t="shared" si="3"/>
        <v>60</v>
      </c>
      <c r="K59" s="148">
        <f t="shared" si="4"/>
        <v>60</v>
      </c>
      <c r="L59" s="5">
        <f t="shared" si="5"/>
        <v>0</v>
      </c>
    </row>
    <row r="60" spans="1:12" x14ac:dyDescent="0.25">
      <c r="A60" t="s">
        <v>216</v>
      </c>
      <c r="B60" t="s">
        <v>217</v>
      </c>
      <c r="C60" t="s">
        <v>496</v>
      </c>
      <c r="D60" s="36" t="str">
        <f t="shared" si="0"/>
        <v>CP946-P VZV Standard</v>
      </c>
      <c r="E60" s="36" t="str">
        <f t="shared" si="1"/>
        <v>RETURN - 1st don of the week -STD</v>
      </c>
      <c r="F60" s="36" t="str">
        <f t="shared" si="2"/>
        <v>CP946-RETURN - 1st don of the week -STD</v>
      </c>
      <c r="G60" s="155">
        <f>IFERROR(VLOOKUP(F60,SpecialtyBaseLU,11,FALSE),0)</f>
        <v>50</v>
      </c>
      <c r="H60" s="5">
        <v>10</v>
      </c>
      <c r="J60" s="5">
        <f t="shared" si="3"/>
        <v>60</v>
      </c>
      <c r="K60" s="148">
        <f t="shared" si="4"/>
        <v>60</v>
      </c>
      <c r="L60" s="5">
        <f t="shared" si="5"/>
        <v>0</v>
      </c>
    </row>
    <row r="61" spans="1:12" x14ac:dyDescent="0.25">
      <c r="A61" t="s">
        <v>216</v>
      </c>
      <c r="B61" t="s">
        <v>217</v>
      </c>
      <c r="C61" t="s">
        <v>497</v>
      </c>
      <c r="D61" s="36" t="str">
        <f t="shared" si="0"/>
        <v>CP946-PVZV Pre-Existing Standard</v>
      </c>
      <c r="E61" s="36" t="str">
        <f t="shared" si="1"/>
        <v>RETURN - 1st don of the week -STD</v>
      </c>
      <c r="F61" s="36" t="str">
        <f t="shared" si="2"/>
        <v>CP946-RETURN - 1st don of the week -STD</v>
      </c>
      <c r="G61" s="155">
        <f>IFERROR(VLOOKUP(F61,SpecialtyBaseLU,11,FALSE),0)</f>
        <v>50</v>
      </c>
      <c r="H61" s="5">
        <f>K61-G61</f>
        <v>10</v>
      </c>
      <c r="J61" s="5">
        <f t="shared" si="3"/>
        <v>60</v>
      </c>
      <c r="K61" s="148">
        <f t="shared" si="4"/>
        <v>60</v>
      </c>
      <c r="L61" s="5">
        <f t="shared" si="5"/>
        <v>0</v>
      </c>
    </row>
    <row r="62" spans="1:12" x14ac:dyDescent="0.25">
      <c r="A62" t="s">
        <v>298</v>
      </c>
      <c r="B62" t="s">
        <v>299</v>
      </c>
      <c r="C62" t="s">
        <v>471</v>
      </c>
      <c r="D62" s="36" t="str">
        <f t="shared" si="0"/>
        <v>CP177-2X Week P HBS Pre-Existing</v>
      </c>
      <c r="E62" s="36" t="str">
        <f t="shared" si="1"/>
        <v>RETURN - 2nd don of the week -BONUS</v>
      </c>
      <c r="F62" s="36" t="str">
        <f t="shared" si="2"/>
        <v>CP177-RETURN - 2nd don of the week -BONUS</v>
      </c>
      <c r="G62" s="155">
        <f>IFERROR(VLOOKUP(F62,SpecialtyBaseLU,11,FALSE),0)</f>
        <v>24</v>
      </c>
      <c r="H62" s="5">
        <v>0</v>
      </c>
      <c r="J62" s="5">
        <f t="shared" si="3"/>
        <v>24</v>
      </c>
      <c r="K62" s="148">
        <f t="shared" si="4"/>
        <v>24</v>
      </c>
      <c r="L62" s="5">
        <f t="shared" si="5"/>
        <v>0</v>
      </c>
    </row>
    <row r="63" spans="1:12" x14ac:dyDescent="0.25">
      <c r="A63" t="s">
        <v>298</v>
      </c>
      <c r="B63" t="s">
        <v>299</v>
      </c>
      <c r="C63" t="s">
        <v>504</v>
      </c>
      <c r="D63" s="36" t="str">
        <f t="shared" si="0"/>
        <v>CP177-2X Week P HBS TWINRX</v>
      </c>
      <c r="E63" s="36" t="str">
        <f t="shared" si="1"/>
        <v>RETURN - 2nd don of the week -BONUS</v>
      </c>
      <c r="F63" s="36" t="str">
        <f t="shared" si="2"/>
        <v>CP177-RETURN - 2nd don of the week -BONUS</v>
      </c>
      <c r="G63" s="155">
        <f>IFERROR(VLOOKUP(F63,SpecialtyBaseLU,11,FALSE),0)</f>
        <v>24</v>
      </c>
      <c r="H63" s="5">
        <v>0</v>
      </c>
      <c r="J63" s="5">
        <f t="shared" si="3"/>
        <v>24</v>
      </c>
      <c r="K63" s="148">
        <f t="shared" si="4"/>
        <v>24</v>
      </c>
      <c r="L63" s="5">
        <f t="shared" si="5"/>
        <v>0</v>
      </c>
    </row>
    <row r="64" spans="1:12" x14ac:dyDescent="0.25">
      <c r="A64" t="s">
        <v>298</v>
      </c>
      <c r="B64" t="s">
        <v>299</v>
      </c>
      <c r="C64" t="s">
        <v>505</v>
      </c>
      <c r="D64" s="36" t="str">
        <f t="shared" si="0"/>
        <v>CP177-2X Week P HBS TWINRX-AP</v>
      </c>
      <c r="E64" s="36" t="str">
        <f t="shared" si="1"/>
        <v>RETURN - 2nd don of the week -BONUS</v>
      </c>
      <c r="F64" s="36" t="str">
        <f t="shared" si="2"/>
        <v>CP177-RETURN - 2nd don of the week -BONUS</v>
      </c>
      <c r="G64" s="155">
        <f>IFERROR(VLOOKUP(F64,SpecialtyBaseLU,11,FALSE),0)</f>
        <v>24</v>
      </c>
      <c r="H64" s="5">
        <v>0</v>
      </c>
      <c r="J64" s="5">
        <f t="shared" si="3"/>
        <v>24</v>
      </c>
      <c r="K64" s="148">
        <f t="shared" si="4"/>
        <v>24</v>
      </c>
      <c r="L64" s="5">
        <f t="shared" si="5"/>
        <v>0</v>
      </c>
    </row>
    <row r="65" spans="1:12" x14ac:dyDescent="0.25">
      <c r="A65" t="s">
        <v>298</v>
      </c>
      <c r="B65" t="s">
        <v>299</v>
      </c>
      <c r="C65" t="s">
        <v>490</v>
      </c>
      <c r="D65" s="36" t="str">
        <f t="shared" si="0"/>
        <v>CP177-2X Week P VZV Pre-Existing</v>
      </c>
      <c r="E65" s="36" t="str">
        <f t="shared" si="1"/>
        <v>RETURN - 2nd don of the week -BONUS</v>
      </c>
      <c r="F65" s="36" t="str">
        <f t="shared" si="2"/>
        <v>CP177-RETURN - 2nd don of the week -BONUS</v>
      </c>
      <c r="G65" s="155">
        <f>IFERROR(VLOOKUP(F65,SpecialtyBaseLU,11,FALSE),0)</f>
        <v>24</v>
      </c>
      <c r="H65" s="5">
        <v>0</v>
      </c>
      <c r="J65" s="5">
        <f t="shared" si="3"/>
        <v>24</v>
      </c>
      <c r="K65" s="148">
        <f t="shared" si="4"/>
        <v>24</v>
      </c>
      <c r="L65" s="5">
        <f t="shared" si="5"/>
        <v>0</v>
      </c>
    </row>
    <row r="66" spans="1:12" x14ac:dyDescent="0.25">
      <c r="A66" t="s">
        <v>298</v>
      </c>
      <c r="B66" t="s">
        <v>299</v>
      </c>
      <c r="C66" t="s">
        <v>491</v>
      </c>
      <c r="D66" s="36" t="str">
        <f t="shared" si="0"/>
        <v>CP177-2X Week P VZV Pre-Existing AP</v>
      </c>
      <c r="E66" s="36" t="str">
        <f t="shared" si="1"/>
        <v>RETURN - 2nd don of the week -BONUS</v>
      </c>
      <c r="F66" s="36" t="str">
        <f t="shared" si="2"/>
        <v>CP177-RETURN - 2nd don of the week -BONUS</v>
      </c>
      <c r="G66" s="155">
        <f>IFERROR(VLOOKUP(F66,SpecialtyBaseLU,11,FALSE),0)</f>
        <v>24</v>
      </c>
      <c r="H66" s="5">
        <v>0</v>
      </c>
      <c r="J66" s="5">
        <f t="shared" si="3"/>
        <v>24</v>
      </c>
      <c r="K66" s="148">
        <f t="shared" si="4"/>
        <v>24</v>
      </c>
      <c r="L66" s="5">
        <f t="shared" si="5"/>
        <v>0</v>
      </c>
    </row>
    <row r="67" spans="1:12" x14ac:dyDescent="0.25">
      <c r="A67" t="s">
        <v>298</v>
      </c>
      <c r="B67" t="s">
        <v>299</v>
      </c>
      <c r="C67" t="s">
        <v>469</v>
      </c>
      <c r="D67" s="36" t="str">
        <f t="shared" si="0"/>
        <v>CP177-P Anti-D Pre-Existing Standard</v>
      </c>
      <c r="E67" s="36" t="str">
        <f t="shared" si="1"/>
        <v>RETURN - 1st don of the week -STD</v>
      </c>
      <c r="F67" s="36" t="str">
        <f t="shared" si="2"/>
        <v>CP177-RETURN - 1st don of the week -STD</v>
      </c>
      <c r="G67" s="155">
        <f>IFERROR(VLOOKUP(F67,SpecialtyBaseLU,11,FALSE),0)</f>
        <v>36</v>
      </c>
      <c r="H67" s="5">
        <v>14</v>
      </c>
      <c r="J67" s="5">
        <f t="shared" si="3"/>
        <v>50</v>
      </c>
      <c r="K67" s="148">
        <f t="shared" si="4"/>
        <v>50</v>
      </c>
      <c r="L67" s="5">
        <f t="shared" si="5"/>
        <v>0</v>
      </c>
    </row>
    <row r="68" spans="1:12" x14ac:dyDescent="0.25">
      <c r="A68" t="s">
        <v>298</v>
      </c>
      <c r="B68" t="s">
        <v>299</v>
      </c>
      <c r="C68" t="s">
        <v>472</v>
      </c>
      <c r="D68" s="36" t="str">
        <f t="shared" ref="D68:D131" si="6">B68&amp;"-"&amp;C68</f>
        <v>CP177-P HBS Pre-Existing Standard</v>
      </c>
      <c r="E68" s="36" t="str">
        <f t="shared" ref="E68:E131" si="7">VLOOKUP(C68,RULENAMELU,5,FALSE)</f>
        <v>RETURN - 1st don of the week -STD</v>
      </c>
      <c r="F68" s="36" t="str">
        <f t="shared" ref="F68:F131" si="8">B68&amp;"-"&amp;E68</f>
        <v>CP177-RETURN - 1st don of the week -STD</v>
      </c>
      <c r="G68" s="155">
        <f>IFERROR(VLOOKUP(F68,SpecialtyBaseLU,11,FALSE),0)</f>
        <v>36</v>
      </c>
      <c r="H68" s="5">
        <v>20</v>
      </c>
      <c r="J68" s="5">
        <f t="shared" ref="J68:J131" si="9">G68+H68+I68</f>
        <v>56</v>
      </c>
      <c r="K68" s="148">
        <f t="shared" ref="K68:K131" si="10">VLOOKUP(D68,CurrentNLDataLU,11,FALSE)</f>
        <v>56</v>
      </c>
      <c r="L68" s="5">
        <f t="shared" ref="L68:L131" si="11">J68-K68</f>
        <v>0</v>
      </c>
    </row>
    <row r="69" spans="1:12" x14ac:dyDescent="0.25">
      <c r="A69" t="s">
        <v>298</v>
      </c>
      <c r="B69" t="s">
        <v>299</v>
      </c>
      <c r="C69" t="s">
        <v>506</v>
      </c>
      <c r="D69" s="36" t="str">
        <f t="shared" si="6"/>
        <v>CP177-P HBS TWINRIX Standard</v>
      </c>
      <c r="E69" s="36" t="str">
        <f t="shared" si="7"/>
        <v>RETURN - 1st don of the week -STD</v>
      </c>
      <c r="F69" s="36" t="str">
        <f t="shared" si="8"/>
        <v>CP177-RETURN - 1st don of the week -STD</v>
      </c>
      <c r="G69" s="155">
        <f>IFERROR(VLOOKUP(F69,SpecialtyBaseLU,11,FALSE),0)</f>
        <v>36</v>
      </c>
      <c r="H69" s="5">
        <v>20</v>
      </c>
      <c r="J69" s="5">
        <f t="shared" si="9"/>
        <v>56</v>
      </c>
      <c r="K69" s="148">
        <f t="shared" si="10"/>
        <v>56</v>
      </c>
      <c r="L69" s="5">
        <f t="shared" si="11"/>
        <v>0</v>
      </c>
    </row>
    <row r="70" spans="1:12" x14ac:dyDescent="0.25">
      <c r="A70" t="s">
        <v>298</v>
      </c>
      <c r="B70" t="s">
        <v>299</v>
      </c>
      <c r="C70" t="s">
        <v>507</v>
      </c>
      <c r="D70" s="36" t="str">
        <f t="shared" si="6"/>
        <v>CP177-P HBS TWINRIX-AP Standard</v>
      </c>
      <c r="E70" s="36" t="str">
        <f t="shared" si="7"/>
        <v>RETURN - 1st don of the week -STD</v>
      </c>
      <c r="F70" s="36" t="str">
        <f t="shared" si="8"/>
        <v>CP177-RETURN - 1st don of the week -STD</v>
      </c>
      <c r="G70" s="155">
        <f>IFERROR(VLOOKUP(F70,SpecialtyBaseLU,11,FALSE),0)</f>
        <v>36</v>
      </c>
      <c r="H70" s="5">
        <f>K70-G70</f>
        <v>20</v>
      </c>
      <c r="J70" s="5">
        <f t="shared" si="9"/>
        <v>56</v>
      </c>
      <c r="K70" s="148">
        <f t="shared" si="10"/>
        <v>56</v>
      </c>
      <c r="L70" s="5">
        <f t="shared" si="11"/>
        <v>0</v>
      </c>
    </row>
    <row r="71" spans="1:12" x14ac:dyDescent="0.25">
      <c r="A71" t="s">
        <v>298</v>
      </c>
      <c r="B71" t="s">
        <v>299</v>
      </c>
      <c r="C71" t="s">
        <v>495</v>
      </c>
      <c r="D71" s="36" t="str">
        <f t="shared" si="6"/>
        <v>CP177-P VZV Pre-Existing AP</v>
      </c>
      <c r="E71" s="36" t="str">
        <f t="shared" si="7"/>
        <v>RETURN - 1st don of the week -STD</v>
      </c>
      <c r="F71" s="36" t="str">
        <f t="shared" si="8"/>
        <v>CP177-RETURN - 1st don of the week -STD</v>
      </c>
      <c r="G71" s="155">
        <f>IFERROR(VLOOKUP(F71,SpecialtyBaseLU,11,FALSE),0)</f>
        <v>36</v>
      </c>
      <c r="H71" s="5">
        <v>10</v>
      </c>
      <c r="J71" s="5">
        <f t="shared" si="9"/>
        <v>46</v>
      </c>
      <c r="K71" s="148">
        <f t="shared" si="10"/>
        <v>46</v>
      </c>
      <c r="L71" s="5">
        <f t="shared" si="11"/>
        <v>0</v>
      </c>
    </row>
    <row r="72" spans="1:12" x14ac:dyDescent="0.25">
      <c r="A72" t="s">
        <v>298</v>
      </c>
      <c r="B72" t="s">
        <v>299</v>
      </c>
      <c r="C72" t="s">
        <v>497</v>
      </c>
      <c r="D72" s="36" t="str">
        <f t="shared" si="6"/>
        <v>CP177-PVZV Pre-Existing Standard</v>
      </c>
      <c r="E72" s="36" t="str">
        <f t="shared" si="7"/>
        <v>RETURN - 1st don of the week -STD</v>
      </c>
      <c r="F72" s="36" t="str">
        <f t="shared" si="8"/>
        <v>CP177-RETURN - 1st don of the week -STD</v>
      </c>
      <c r="G72" s="155">
        <f>IFERROR(VLOOKUP(F72,SpecialtyBaseLU,11,FALSE),0)</f>
        <v>36</v>
      </c>
      <c r="H72" s="5">
        <f>K72-G72</f>
        <v>10</v>
      </c>
      <c r="J72" s="5">
        <f t="shared" si="9"/>
        <v>46</v>
      </c>
      <c r="K72" s="148">
        <f t="shared" si="10"/>
        <v>46</v>
      </c>
      <c r="L72" s="5">
        <f t="shared" si="11"/>
        <v>0</v>
      </c>
    </row>
    <row r="73" spans="1:12" x14ac:dyDescent="0.25">
      <c r="A73" t="s">
        <v>400</v>
      </c>
      <c r="B73" t="s">
        <v>401</v>
      </c>
      <c r="C73" t="s">
        <v>498</v>
      </c>
      <c r="D73" s="36" t="str">
        <f t="shared" si="6"/>
        <v>CP154-2X Week P CMV</v>
      </c>
      <c r="E73" s="36" t="str">
        <f t="shared" si="7"/>
        <v>RETURN - 2nd don of the week -BONUS</v>
      </c>
      <c r="F73" s="36" t="str">
        <f t="shared" si="8"/>
        <v>CP154-RETURN - 2nd don of the week -BONUS</v>
      </c>
      <c r="G73" s="155">
        <f>IFERROR(VLOOKUP(F73,SpecialtyBaseLU,11,FALSE),0)</f>
        <v>35</v>
      </c>
      <c r="H73" s="5">
        <v>0</v>
      </c>
      <c r="J73" s="5">
        <f t="shared" si="9"/>
        <v>35</v>
      </c>
      <c r="K73" s="148">
        <f t="shared" si="10"/>
        <v>35</v>
      </c>
      <c r="L73" s="5">
        <f t="shared" si="11"/>
        <v>0</v>
      </c>
    </row>
    <row r="74" spans="1:12" x14ac:dyDescent="0.25">
      <c r="A74" t="s">
        <v>400</v>
      </c>
      <c r="B74" t="s">
        <v>401</v>
      </c>
      <c r="C74" t="s">
        <v>470</v>
      </c>
      <c r="D74" s="36" t="str">
        <f t="shared" si="6"/>
        <v>CP154-2X Week P HBS</v>
      </c>
      <c r="E74" s="36" t="str">
        <f t="shared" si="7"/>
        <v>RETURN - 2nd don of the week -BONUS</v>
      </c>
      <c r="F74" s="36" t="str">
        <f t="shared" si="8"/>
        <v>CP154-RETURN - 2nd don of the week -BONUS</v>
      </c>
      <c r="G74" s="155">
        <f>IFERROR(VLOOKUP(F74,SpecialtyBaseLU,11,FALSE),0)</f>
        <v>35</v>
      </c>
      <c r="H74" s="5">
        <v>20</v>
      </c>
      <c r="J74" s="5">
        <f t="shared" si="9"/>
        <v>55</v>
      </c>
      <c r="K74" s="148">
        <f t="shared" si="10"/>
        <v>55</v>
      </c>
      <c r="L74" s="5">
        <f t="shared" si="11"/>
        <v>0</v>
      </c>
    </row>
    <row r="75" spans="1:12" x14ac:dyDescent="0.25">
      <c r="A75" t="s">
        <v>400</v>
      </c>
      <c r="B75" t="s">
        <v>401</v>
      </c>
      <c r="C75" t="s">
        <v>471</v>
      </c>
      <c r="D75" s="36" t="str">
        <f t="shared" si="6"/>
        <v>CP154-2X Week P HBS Pre-Existing</v>
      </c>
      <c r="E75" s="36" t="str">
        <f t="shared" si="7"/>
        <v>RETURN - 2nd don of the week -BONUS</v>
      </c>
      <c r="F75" s="36" t="str">
        <f t="shared" si="8"/>
        <v>CP154-RETURN - 2nd don of the week -BONUS</v>
      </c>
      <c r="G75" s="155">
        <f>IFERROR(VLOOKUP(F75,SpecialtyBaseLU,11,FALSE),0)</f>
        <v>35</v>
      </c>
      <c r="H75" s="5">
        <v>20</v>
      </c>
      <c r="J75" s="5">
        <f t="shared" si="9"/>
        <v>55</v>
      </c>
      <c r="K75" s="148">
        <f t="shared" si="10"/>
        <v>55</v>
      </c>
      <c r="L75" s="5">
        <f t="shared" si="11"/>
        <v>0</v>
      </c>
    </row>
    <row r="76" spans="1:12" x14ac:dyDescent="0.25">
      <c r="A76" t="s">
        <v>400</v>
      </c>
      <c r="B76" t="s">
        <v>401</v>
      </c>
      <c r="C76" t="s">
        <v>488</v>
      </c>
      <c r="D76" s="36" t="str">
        <f t="shared" si="6"/>
        <v>CP154-2X Week P VZV</v>
      </c>
      <c r="E76" s="36" t="str">
        <f t="shared" si="7"/>
        <v>RETURN - 2nd don of the week -BONUS</v>
      </c>
      <c r="F76" s="36" t="str">
        <f t="shared" si="8"/>
        <v>CP154-RETURN - 2nd don of the week -BONUS</v>
      </c>
      <c r="G76" s="155">
        <f>IFERROR(VLOOKUP(F76,SpecialtyBaseLU,11,FALSE),0)</f>
        <v>35</v>
      </c>
      <c r="H76" s="5">
        <v>0</v>
      </c>
      <c r="J76" s="5">
        <f t="shared" si="9"/>
        <v>35</v>
      </c>
      <c r="K76" s="148">
        <f t="shared" si="10"/>
        <v>35</v>
      </c>
      <c r="L76" s="5">
        <f t="shared" si="11"/>
        <v>0</v>
      </c>
    </row>
    <row r="77" spans="1:12" x14ac:dyDescent="0.25">
      <c r="A77" t="s">
        <v>400</v>
      </c>
      <c r="B77" t="s">
        <v>401</v>
      </c>
      <c r="C77" t="s">
        <v>489</v>
      </c>
      <c r="D77" s="36" t="str">
        <f t="shared" si="6"/>
        <v>CP154-2X Week P VZV AP</v>
      </c>
      <c r="E77" s="36" t="str">
        <f t="shared" si="7"/>
        <v>RETURN - 2nd don of the week -BONUS</v>
      </c>
      <c r="F77" s="36" t="str">
        <f t="shared" si="8"/>
        <v>CP154-RETURN - 2nd don of the week -BONUS</v>
      </c>
      <c r="G77" s="155">
        <f>IFERROR(VLOOKUP(F77,SpecialtyBaseLU,11,FALSE),0)</f>
        <v>35</v>
      </c>
      <c r="H77" s="5">
        <v>0</v>
      </c>
      <c r="J77" s="5">
        <f t="shared" si="9"/>
        <v>35</v>
      </c>
      <c r="K77" s="148">
        <f t="shared" si="10"/>
        <v>35</v>
      </c>
      <c r="L77" s="5">
        <f t="shared" si="11"/>
        <v>0</v>
      </c>
    </row>
    <row r="78" spans="1:12" x14ac:dyDescent="0.25">
      <c r="A78" t="s">
        <v>400</v>
      </c>
      <c r="B78" t="s">
        <v>401</v>
      </c>
      <c r="C78" t="s">
        <v>490</v>
      </c>
      <c r="D78" s="36" t="str">
        <f t="shared" si="6"/>
        <v>CP154-2X Week P VZV Pre-Existing</v>
      </c>
      <c r="E78" s="36" t="str">
        <f t="shared" si="7"/>
        <v>RETURN - 2nd don of the week -BONUS</v>
      </c>
      <c r="F78" s="36" t="str">
        <f t="shared" si="8"/>
        <v>CP154-RETURN - 2nd don of the week -BONUS</v>
      </c>
      <c r="G78" s="155">
        <f>IFERROR(VLOOKUP(F78,SpecialtyBaseLU,11,FALSE),0)</f>
        <v>35</v>
      </c>
      <c r="H78" s="5">
        <v>0</v>
      </c>
      <c r="J78" s="5">
        <f t="shared" si="9"/>
        <v>35</v>
      </c>
      <c r="K78" s="148">
        <f t="shared" si="10"/>
        <v>35</v>
      </c>
      <c r="L78" s="5">
        <f t="shared" si="11"/>
        <v>0</v>
      </c>
    </row>
    <row r="79" spans="1:12" x14ac:dyDescent="0.25">
      <c r="A79" t="s">
        <v>400</v>
      </c>
      <c r="B79" t="s">
        <v>401</v>
      </c>
      <c r="C79" t="s">
        <v>491</v>
      </c>
      <c r="D79" s="36" t="str">
        <f t="shared" si="6"/>
        <v>CP154-2X Week P VZV Pre-Existing AP</v>
      </c>
      <c r="E79" s="36" t="str">
        <f t="shared" si="7"/>
        <v>RETURN - 2nd don of the week -BONUS</v>
      </c>
      <c r="F79" s="36" t="str">
        <f t="shared" si="8"/>
        <v>CP154-RETURN - 2nd don of the week -BONUS</v>
      </c>
      <c r="G79" s="155">
        <f>IFERROR(VLOOKUP(F79,SpecialtyBaseLU,11,FALSE),0)</f>
        <v>35</v>
      </c>
      <c r="H79" s="5">
        <v>0</v>
      </c>
      <c r="J79" s="5">
        <f t="shared" si="9"/>
        <v>35</v>
      </c>
      <c r="K79" s="148">
        <f t="shared" si="10"/>
        <v>35</v>
      </c>
      <c r="L79" s="5">
        <f t="shared" si="11"/>
        <v>0</v>
      </c>
    </row>
    <row r="80" spans="1:12" x14ac:dyDescent="0.25">
      <c r="A80" t="s">
        <v>400</v>
      </c>
      <c r="B80" t="s">
        <v>401</v>
      </c>
      <c r="C80" t="s">
        <v>469</v>
      </c>
      <c r="D80" s="36" t="str">
        <f t="shared" si="6"/>
        <v>CP154-P Anti-D Pre-Existing Standard</v>
      </c>
      <c r="E80" s="36" t="str">
        <f t="shared" si="7"/>
        <v>RETURN - 1st don of the week -STD</v>
      </c>
      <c r="F80" s="36" t="str">
        <f t="shared" si="8"/>
        <v>CP154-RETURN - 1st don of the week -STD</v>
      </c>
      <c r="G80" s="155">
        <f>IFERROR(VLOOKUP(F80,SpecialtyBaseLU,11,FALSE),0)</f>
        <v>40</v>
      </c>
      <c r="H80" s="5">
        <v>10</v>
      </c>
      <c r="J80" s="5">
        <f t="shared" si="9"/>
        <v>50</v>
      </c>
      <c r="K80" s="148">
        <f t="shared" si="10"/>
        <v>50</v>
      </c>
      <c r="L80" s="5">
        <f t="shared" si="11"/>
        <v>0</v>
      </c>
    </row>
    <row r="81" spans="1:12" x14ac:dyDescent="0.25">
      <c r="A81" t="s">
        <v>400</v>
      </c>
      <c r="B81" t="s">
        <v>401</v>
      </c>
      <c r="C81" t="s">
        <v>474</v>
      </c>
      <c r="D81" s="36" t="str">
        <f t="shared" si="6"/>
        <v>CP154-P Anti-D Standard</v>
      </c>
      <c r="E81" s="36" t="str">
        <f t="shared" si="7"/>
        <v>RETURN - 1st don of the week -STD</v>
      </c>
      <c r="F81" s="36" t="str">
        <f t="shared" si="8"/>
        <v>CP154-RETURN - 1st don of the week -STD</v>
      </c>
      <c r="G81" s="155">
        <f>IFERROR(VLOOKUP(F81,SpecialtyBaseLU,11,FALSE),0)</f>
        <v>40</v>
      </c>
      <c r="H81" s="5">
        <v>10</v>
      </c>
      <c r="J81" s="5">
        <f t="shared" si="9"/>
        <v>50</v>
      </c>
      <c r="K81" s="148">
        <f t="shared" si="10"/>
        <v>50</v>
      </c>
      <c r="L81" s="5">
        <f t="shared" si="11"/>
        <v>0</v>
      </c>
    </row>
    <row r="82" spans="1:12" x14ac:dyDescent="0.25">
      <c r="A82" t="s">
        <v>400</v>
      </c>
      <c r="B82" t="s">
        <v>401</v>
      </c>
      <c r="C82" t="s">
        <v>501</v>
      </c>
      <c r="D82" s="36" t="str">
        <f t="shared" si="6"/>
        <v>CP154-P CMV Standard</v>
      </c>
      <c r="E82" s="36" t="str">
        <f t="shared" si="7"/>
        <v>RETURN - 1st don of the week -STD</v>
      </c>
      <c r="F82" s="36" t="str">
        <f t="shared" si="8"/>
        <v>CP154-RETURN - 1st don of the week -STD</v>
      </c>
      <c r="G82" s="155">
        <f>IFERROR(VLOOKUP(F82,SpecialtyBaseLU,11,FALSE),0)</f>
        <v>40</v>
      </c>
      <c r="H82" s="5">
        <v>5</v>
      </c>
      <c r="J82" s="5">
        <f t="shared" si="9"/>
        <v>45</v>
      </c>
      <c r="K82" s="148">
        <f t="shared" si="10"/>
        <v>45</v>
      </c>
      <c r="L82" s="5">
        <f t="shared" si="11"/>
        <v>0</v>
      </c>
    </row>
    <row r="83" spans="1:12" x14ac:dyDescent="0.25">
      <c r="A83" t="s">
        <v>400</v>
      </c>
      <c r="B83" t="s">
        <v>401</v>
      </c>
      <c r="C83" t="s">
        <v>472</v>
      </c>
      <c r="D83" s="36" t="str">
        <f t="shared" si="6"/>
        <v>CP154-P HBS Pre-Existing Standard</v>
      </c>
      <c r="E83" s="36" t="str">
        <f t="shared" si="7"/>
        <v>RETURN - 1st don of the week -STD</v>
      </c>
      <c r="F83" s="36" t="str">
        <f t="shared" si="8"/>
        <v>CP154-RETURN - 1st don of the week -STD</v>
      </c>
      <c r="G83" s="155">
        <f>IFERROR(VLOOKUP(F83,SpecialtyBaseLU,11,FALSE),0)</f>
        <v>40</v>
      </c>
      <c r="H83" s="5">
        <v>0</v>
      </c>
      <c r="J83" s="5">
        <f t="shared" si="9"/>
        <v>40</v>
      </c>
      <c r="K83" s="148">
        <f t="shared" si="10"/>
        <v>40</v>
      </c>
      <c r="L83" s="5">
        <f t="shared" si="11"/>
        <v>0</v>
      </c>
    </row>
    <row r="84" spans="1:12" x14ac:dyDescent="0.25">
      <c r="A84" t="s">
        <v>400</v>
      </c>
      <c r="B84" t="s">
        <v>401</v>
      </c>
      <c r="C84" t="s">
        <v>473</v>
      </c>
      <c r="D84" s="36" t="str">
        <f t="shared" si="6"/>
        <v>CP154-P HBS Standard</v>
      </c>
      <c r="E84" s="36" t="str">
        <f t="shared" si="7"/>
        <v>RETURN - 1st don of the week -STD</v>
      </c>
      <c r="F84" s="36" t="str">
        <f t="shared" si="8"/>
        <v>CP154-RETURN - 1st don of the week -STD</v>
      </c>
      <c r="G84" s="155">
        <f>IFERROR(VLOOKUP(F84,SpecialtyBaseLU,11,FALSE),0)</f>
        <v>40</v>
      </c>
      <c r="H84" s="5">
        <v>0</v>
      </c>
      <c r="J84" s="5">
        <f t="shared" si="9"/>
        <v>40</v>
      </c>
      <c r="K84" s="148">
        <f t="shared" si="10"/>
        <v>40</v>
      </c>
      <c r="L84" s="5">
        <f t="shared" si="11"/>
        <v>0</v>
      </c>
    </row>
    <row r="85" spans="1:12" x14ac:dyDescent="0.25">
      <c r="A85" t="s">
        <v>400</v>
      </c>
      <c r="B85" t="s">
        <v>401</v>
      </c>
      <c r="C85" t="s">
        <v>475</v>
      </c>
      <c r="D85" s="36" t="str">
        <f t="shared" si="6"/>
        <v>CP154-P Vaccinia AP Standard</v>
      </c>
      <c r="E85" s="36">
        <f t="shared" si="7"/>
        <v>0</v>
      </c>
      <c r="F85" s="36" t="str">
        <f t="shared" si="8"/>
        <v>CP154-0</v>
      </c>
      <c r="G85" s="155">
        <f>IFERROR(VLOOKUP(F85,SpecialtyBaseLU,11,FALSE),0)</f>
        <v>0</v>
      </c>
      <c r="I85" s="5">
        <v>100</v>
      </c>
      <c r="J85" s="5">
        <f t="shared" si="9"/>
        <v>100</v>
      </c>
      <c r="K85" s="148">
        <f t="shared" si="10"/>
        <v>100</v>
      </c>
      <c r="L85" s="5">
        <f t="shared" si="11"/>
        <v>0</v>
      </c>
    </row>
    <row r="86" spans="1:12" x14ac:dyDescent="0.25">
      <c r="A86" t="s">
        <v>400</v>
      </c>
      <c r="B86" t="s">
        <v>401</v>
      </c>
      <c r="C86" t="s">
        <v>476</v>
      </c>
      <c r="D86" s="36" t="str">
        <f t="shared" si="6"/>
        <v>CP154-P Vaccinia Standard</v>
      </c>
      <c r="E86" s="36">
        <f t="shared" si="7"/>
        <v>0</v>
      </c>
      <c r="F86" s="36" t="str">
        <f t="shared" si="8"/>
        <v>CP154-0</v>
      </c>
      <c r="G86" s="155">
        <f>IFERROR(VLOOKUP(F86,SpecialtyBaseLU,11,FALSE),0)</f>
        <v>0</v>
      </c>
      <c r="I86" s="5">
        <v>100</v>
      </c>
      <c r="J86" s="5">
        <f t="shared" si="9"/>
        <v>100</v>
      </c>
      <c r="K86" s="148">
        <f t="shared" si="10"/>
        <v>100</v>
      </c>
      <c r="L86" s="5">
        <f t="shared" si="11"/>
        <v>0</v>
      </c>
    </row>
    <row r="87" spans="1:12" x14ac:dyDescent="0.25">
      <c r="A87" t="s">
        <v>400</v>
      </c>
      <c r="B87" t="s">
        <v>401</v>
      </c>
      <c r="C87" t="s">
        <v>495</v>
      </c>
      <c r="D87" s="36" t="str">
        <f t="shared" si="6"/>
        <v>CP154-P VZV Pre-Existing AP</v>
      </c>
      <c r="E87" s="36" t="str">
        <f t="shared" si="7"/>
        <v>RETURN - 1st don of the week -STD</v>
      </c>
      <c r="F87" s="36" t="str">
        <f t="shared" si="8"/>
        <v>CP154-RETURN - 1st don of the week -STD</v>
      </c>
      <c r="G87" s="155">
        <f>IFERROR(VLOOKUP(F87,SpecialtyBaseLU,11,FALSE),0)</f>
        <v>40</v>
      </c>
      <c r="H87" s="5">
        <v>10</v>
      </c>
      <c r="J87" s="5">
        <f t="shared" si="9"/>
        <v>50</v>
      </c>
      <c r="K87" s="148">
        <f t="shared" si="10"/>
        <v>50</v>
      </c>
      <c r="L87" s="5">
        <f t="shared" si="11"/>
        <v>0</v>
      </c>
    </row>
    <row r="88" spans="1:12" x14ac:dyDescent="0.25">
      <c r="A88" t="s">
        <v>400</v>
      </c>
      <c r="B88" t="s">
        <v>401</v>
      </c>
      <c r="C88" t="s">
        <v>496</v>
      </c>
      <c r="D88" s="36" t="str">
        <f t="shared" si="6"/>
        <v>CP154-P VZV Standard</v>
      </c>
      <c r="E88" s="36" t="str">
        <f t="shared" si="7"/>
        <v>RETURN - 1st don of the week -STD</v>
      </c>
      <c r="F88" s="36" t="str">
        <f t="shared" si="8"/>
        <v>CP154-RETURN - 1st don of the week -STD</v>
      </c>
      <c r="G88" s="155">
        <f>IFERROR(VLOOKUP(F88,SpecialtyBaseLU,11,FALSE),0)</f>
        <v>40</v>
      </c>
      <c r="H88" s="5">
        <v>10</v>
      </c>
      <c r="J88" s="5">
        <f t="shared" si="9"/>
        <v>50</v>
      </c>
      <c r="K88" s="148">
        <f t="shared" si="10"/>
        <v>50</v>
      </c>
      <c r="L88" s="5">
        <f t="shared" si="11"/>
        <v>0</v>
      </c>
    </row>
    <row r="89" spans="1:12" x14ac:dyDescent="0.25">
      <c r="A89" t="s">
        <v>400</v>
      </c>
      <c r="B89" t="s">
        <v>401</v>
      </c>
      <c r="C89" t="s">
        <v>497</v>
      </c>
      <c r="D89" s="36" t="str">
        <f t="shared" si="6"/>
        <v>CP154-PVZV Pre-Existing Standard</v>
      </c>
      <c r="E89" s="36" t="str">
        <f t="shared" si="7"/>
        <v>RETURN - 1st don of the week -STD</v>
      </c>
      <c r="F89" s="36" t="str">
        <f t="shared" si="8"/>
        <v>CP154-RETURN - 1st don of the week -STD</v>
      </c>
      <c r="G89" s="155">
        <f>IFERROR(VLOOKUP(F89,SpecialtyBaseLU,11,FALSE),0)</f>
        <v>40</v>
      </c>
      <c r="H89" s="5">
        <f>K89-G89</f>
        <v>10</v>
      </c>
      <c r="J89" s="5">
        <f t="shared" si="9"/>
        <v>50</v>
      </c>
      <c r="K89" s="148">
        <f t="shared" si="10"/>
        <v>50</v>
      </c>
      <c r="L89" s="5">
        <f t="shared" si="11"/>
        <v>0</v>
      </c>
    </row>
    <row r="90" spans="1:12" x14ac:dyDescent="0.25">
      <c r="A90" t="s">
        <v>400</v>
      </c>
      <c r="B90" t="s">
        <v>401</v>
      </c>
      <c r="C90" t="s">
        <v>477</v>
      </c>
      <c r="D90" s="36" t="str">
        <f t="shared" si="6"/>
        <v>CP154-Vaccinia - 1st Donation</v>
      </c>
      <c r="E90" s="36">
        <f t="shared" si="7"/>
        <v>0</v>
      </c>
      <c r="F90" s="36" t="str">
        <f t="shared" si="8"/>
        <v>CP154-0</v>
      </c>
      <c r="G90" s="155">
        <f>IFERROR(VLOOKUP(F90,SpecialtyBaseLU,11,FALSE),0)</f>
        <v>0</v>
      </c>
      <c r="H90" s="5">
        <v>0</v>
      </c>
      <c r="I90" s="5">
        <v>150</v>
      </c>
      <c r="J90" s="5">
        <f t="shared" si="9"/>
        <v>150</v>
      </c>
      <c r="K90" s="148">
        <f t="shared" si="10"/>
        <v>150</v>
      </c>
      <c r="L90" s="5">
        <f t="shared" si="11"/>
        <v>0</v>
      </c>
    </row>
    <row r="91" spans="1:12" x14ac:dyDescent="0.25">
      <c r="A91" t="s">
        <v>400</v>
      </c>
      <c r="B91" t="s">
        <v>401</v>
      </c>
      <c r="C91" t="s">
        <v>478</v>
      </c>
      <c r="D91" s="36" t="str">
        <f t="shared" si="6"/>
        <v>CP154-Vaccinia - 2nd Donation</v>
      </c>
      <c r="E91" s="36">
        <f t="shared" si="7"/>
        <v>0</v>
      </c>
      <c r="F91" s="36" t="str">
        <f t="shared" si="8"/>
        <v>CP154-0</v>
      </c>
      <c r="G91" s="155">
        <f>IFERROR(VLOOKUP(F91,SpecialtyBaseLU,11,FALSE),0)</f>
        <v>0</v>
      </c>
      <c r="H91" s="5">
        <v>0</v>
      </c>
      <c r="I91" s="5">
        <v>250</v>
      </c>
      <c r="J91" s="5">
        <f t="shared" si="9"/>
        <v>250</v>
      </c>
      <c r="K91" s="148">
        <f t="shared" si="10"/>
        <v>250</v>
      </c>
      <c r="L91" s="5">
        <f t="shared" si="11"/>
        <v>0</v>
      </c>
    </row>
    <row r="92" spans="1:12" x14ac:dyDescent="0.25">
      <c r="A92" t="s">
        <v>400</v>
      </c>
      <c r="B92" t="s">
        <v>401</v>
      </c>
      <c r="C92" t="s">
        <v>479</v>
      </c>
      <c r="D92" s="36" t="str">
        <f t="shared" si="6"/>
        <v>CP154-Vaccinia - 3rd Donation</v>
      </c>
      <c r="E92" s="36">
        <f t="shared" si="7"/>
        <v>0</v>
      </c>
      <c r="F92" s="36" t="str">
        <f t="shared" si="8"/>
        <v>CP154-0</v>
      </c>
      <c r="G92" s="155">
        <f>IFERROR(VLOOKUP(F92,SpecialtyBaseLU,11,FALSE),0)</f>
        <v>0</v>
      </c>
      <c r="H92" s="5">
        <v>0</v>
      </c>
      <c r="I92" s="5">
        <v>300</v>
      </c>
      <c r="J92" s="5">
        <f t="shared" si="9"/>
        <v>300</v>
      </c>
      <c r="K92" s="148">
        <f t="shared" si="10"/>
        <v>300</v>
      </c>
      <c r="L92" s="5">
        <f t="shared" si="11"/>
        <v>0</v>
      </c>
    </row>
    <row r="93" spans="1:12" x14ac:dyDescent="0.25">
      <c r="A93" t="s">
        <v>400</v>
      </c>
      <c r="B93" t="s">
        <v>401</v>
      </c>
      <c r="C93" t="s">
        <v>480</v>
      </c>
      <c r="D93" s="36" t="str">
        <f t="shared" si="6"/>
        <v>CP154-Vaccinia - 4th Donation</v>
      </c>
      <c r="E93" s="36">
        <f t="shared" si="7"/>
        <v>0</v>
      </c>
      <c r="F93" s="36" t="str">
        <f t="shared" si="8"/>
        <v>CP154-0</v>
      </c>
      <c r="G93" s="155">
        <f>IFERROR(VLOOKUP(F93,SpecialtyBaseLU,11,FALSE),0)</f>
        <v>0</v>
      </c>
      <c r="H93" s="5">
        <v>0</v>
      </c>
      <c r="I93" s="5">
        <v>300</v>
      </c>
      <c r="J93" s="5">
        <f t="shared" si="9"/>
        <v>300</v>
      </c>
      <c r="K93" s="148">
        <f t="shared" si="10"/>
        <v>300</v>
      </c>
      <c r="L93" s="5">
        <f t="shared" si="11"/>
        <v>0</v>
      </c>
    </row>
    <row r="94" spans="1:12" x14ac:dyDescent="0.25">
      <c r="A94" t="s">
        <v>400</v>
      </c>
      <c r="B94" t="s">
        <v>401</v>
      </c>
      <c r="C94" t="s">
        <v>481</v>
      </c>
      <c r="D94" s="36" t="str">
        <f t="shared" si="6"/>
        <v>CP154-Vaccinia AP - 1st Donation</v>
      </c>
      <c r="E94" s="36">
        <f t="shared" si="7"/>
        <v>0</v>
      </c>
      <c r="F94" s="36" t="str">
        <f t="shared" si="8"/>
        <v>CP154-0</v>
      </c>
      <c r="G94" s="155">
        <f>IFERROR(VLOOKUP(F94,SpecialtyBaseLU,11,FALSE),0)</f>
        <v>0</v>
      </c>
      <c r="H94" s="5">
        <v>0</v>
      </c>
      <c r="I94" s="5">
        <v>150</v>
      </c>
      <c r="J94" s="5">
        <f t="shared" si="9"/>
        <v>150</v>
      </c>
      <c r="K94" s="148">
        <f t="shared" si="10"/>
        <v>150</v>
      </c>
      <c r="L94" s="5">
        <f t="shared" si="11"/>
        <v>0</v>
      </c>
    </row>
    <row r="95" spans="1:12" x14ac:dyDescent="0.25">
      <c r="A95" t="s">
        <v>400</v>
      </c>
      <c r="B95" t="s">
        <v>401</v>
      </c>
      <c r="C95" t="s">
        <v>482</v>
      </c>
      <c r="D95" s="36" t="str">
        <f t="shared" si="6"/>
        <v>CP154-Vaccinia AP - 2nd Donation</v>
      </c>
      <c r="E95" s="36">
        <f t="shared" si="7"/>
        <v>0</v>
      </c>
      <c r="F95" s="36" t="str">
        <f t="shared" si="8"/>
        <v>CP154-0</v>
      </c>
      <c r="G95" s="155">
        <f>IFERROR(VLOOKUP(F95,SpecialtyBaseLU,11,FALSE),0)</f>
        <v>0</v>
      </c>
      <c r="H95" s="5">
        <v>0</v>
      </c>
      <c r="I95" s="5">
        <v>250</v>
      </c>
      <c r="J95" s="5">
        <f t="shared" si="9"/>
        <v>250</v>
      </c>
      <c r="K95" s="148">
        <f t="shared" si="10"/>
        <v>250</v>
      </c>
      <c r="L95" s="5">
        <f t="shared" si="11"/>
        <v>0</v>
      </c>
    </row>
    <row r="96" spans="1:12" x14ac:dyDescent="0.25">
      <c r="A96" t="s">
        <v>400</v>
      </c>
      <c r="B96" t="s">
        <v>401</v>
      </c>
      <c r="C96" t="s">
        <v>483</v>
      </c>
      <c r="D96" s="36" t="str">
        <f t="shared" si="6"/>
        <v>CP154-Vaccinia AP - 3rd Donation</v>
      </c>
      <c r="E96" s="36">
        <f t="shared" si="7"/>
        <v>0</v>
      </c>
      <c r="F96" s="36" t="str">
        <f t="shared" si="8"/>
        <v>CP154-0</v>
      </c>
      <c r="G96" s="155">
        <f>IFERROR(VLOOKUP(F96,SpecialtyBaseLU,11,FALSE),0)</f>
        <v>0</v>
      </c>
      <c r="H96" s="5">
        <v>0</v>
      </c>
      <c r="I96" s="5">
        <v>300</v>
      </c>
      <c r="J96" s="5">
        <f t="shared" si="9"/>
        <v>300</v>
      </c>
      <c r="K96" s="148">
        <f t="shared" si="10"/>
        <v>300</v>
      </c>
      <c r="L96" s="5">
        <f t="shared" si="11"/>
        <v>0</v>
      </c>
    </row>
    <row r="97" spans="1:12" x14ac:dyDescent="0.25">
      <c r="A97" t="s">
        <v>400</v>
      </c>
      <c r="B97" t="s">
        <v>401</v>
      </c>
      <c r="C97" t="s">
        <v>484</v>
      </c>
      <c r="D97" s="36" t="str">
        <f t="shared" si="6"/>
        <v>CP154-Vaccinia AP - 4th Donation</v>
      </c>
      <c r="E97" s="36">
        <f t="shared" si="7"/>
        <v>0</v>
      </c>
      <c r="F97" s="36" t="str">
        <f t="shared" si="8"/>
        <v>CP154-0</v>
      </c>
      <c r="G97" s="155">
        <f>IFERROR(VLOOKUP(F97,SpecialtyBaseLU,11,FALSE),0)</f>
        <v>0</v>
      </c>
      <c r="I97" s="5">
        <v>300</v>
      </c>
      <c r="J97" s="5">
        <f t="shared" si="9"/>
        <v>300</v>
      </c>
      <c r="K97" s="148">
        <f t="shared" si="10"/>
        <v>300</v>
      </c>
      <c r="L97" s="5">
        <f t="shared" si="11"/>
        <v>0</v>
      </c>
    </row>
    <row r="98" spans="1:12" x14ac:dyDescent="0.25">
      <c r="A98" t="s">
        <v>395</v>
      </c>
      <c r="B98" t="s">
        <v>396</v>
      </c>
      <c r="C98" t="s">
        <v>498</v>
      </c>
      <c r="D98" s="36" t="str">
        <f t="shared" si="6"/>
        <v>CP149-2X Week P CMV</v>
      </c>
      <c r="E98" s="36" t="str">
        <f t="shared" si="7"/>
        <v>RETURN - 2nd don of the week -BONUS</v>
      </c>
      <c r="F98" s="36" t="str">
        <f t="shared" si="8"/>
        <v>CP149-RETURN - 2nd don of the week -BONUS</v>
      </c>
      <c r="G98" s="155">
        <f>IFERROR(VLOOKUP(F98,SpecialtyBaseLU,11,FALSE),0)</f>
        <v>50</v>
      </c>
      <c r="H98" s="5">
        <v>0</v>
      </c>
      <c r="J98" s="5">
        <f t="shared" si="9"/>
        <v>50</v>
      </c>
      <c r="K98" s="148">
        <f t="shared" si="10"/>
        <v>50</v>
      </c>
      <c r="L98" s="5">
        <f t="shared" si="11"/>
        <v>0</v>
      </c>
    </row>
    <row r="99" spans="1:12" x14ac:dyDescent="0.25">
      <c r="A99" t="s">
        <v>395</v>
      </c>
      <c r="B99" t="s">
        <v>396</v>
      </c>
      <c r="C99" t="s">
        <v>485</v>
      </c>
      <c r="D99" s="36" t="str">
        <f t="shared" si="6"/>
        <v>CP149-2X Week P Tetanus</v>
      </c>
      <c r="E99" s="36" t="str">
        <f t="shared" si="7"/>
        <v>RETURN - 2nd don of the week -BONUS</v>
      </c>
      <c r="F99" s="36" t="str">
        <f t="shared" si="8"/>
        <v>CP149-RETURN - 2nd don of the week -BONUS</v>
      </c>
      <c r="G99" s="155">
        <f>IFERROR(VLOOKUP(F99,SpecialtyBaseLU,11,FALSE),0)</f>
        <v>50</v>
      </c>
      <c r="H99" s="5">
        <v>0</v>
      </c>
      <c r="J99" s="5">
        <f t="shared" si="9"/>
        <v>50</v>
      </c>
      <c r="K99" s="148">
        <f t="shared" si="10"/>
        <v>50</v>
      </c>
      <c r="L99" s="5">
        <f t="shared" si="11"/>
        <v>0</v>
      </c>
    </row>
    <row r="100" spans="1:12" x14ac:dyDescent="0.25">
      <c r="A100" t="s">
        <v>395</v>
      </c>
      <c r="B100" t="s">
        <v>396</v>
      </c>
      <c r="C100" t="s">
        <v>486</v>
      </c>
      <c r="D100" s="36" t="str">
        <f t="shared" si="6"/>
        <v>CP149-2X Week P Tetanus AP</v>
      </c>
      <c r="E100" s="36" t="str">
        <f t="shared" si="7"/>
        <v>RETURN - 2nd don of the week -BONUS</v>
      </c>
      <c r="F100" s="36" t="str">
        <f t="shared" si="8"/>
        <v>CP149-RETURN - 2nd don of the week -BONUS</v>
      </c>
      <c r="G100" s="155">
        <f>IFERROR(VLOOKUP(F100,SpecialtyBaseLU,11,FALSE),0)</f>
        <v>50</v>
      </c>
      <c r="H100" s="5">
        <v>0</v>
      </c>
      <c r="J100" s="5">
        <f t="shared" si="9"/>
        <v>50</v>
      </c>
      <c r="K100" s="148">
        <f t="shared" si="10"/>
        <v>50</v>
      </c>
      <c r="L100" s="5">
        <f t="shared" si="11"/>
        <v>0</v>
      </c>
    </row>
    <row r="101" spans="1:12" x14ac:dyDescent="0.25">
      <c r="A101" t="s">
        <v>395</v>
      </c>
      <c r="B101" t="s">
        <v>396</v>
      </c>
      <c r="C101" t="s">
        <v>487</v>
      </c>
      <c r="D101" s="36" t="str">
        <f t="shared" si="6"/>
        <v>CP149-2X Week P Tetanus PE</v>
      </c>
      <c r="E101" s="36" t="str">
        <f t="shared" si="7"/>
        <v>RETURN - 2nd don of the week -BONUS</v>
      </c>
      <c r="F101" s="36" t="str">
        <f t="shared" si="8"/>
        <v>CP149-RETURN - 2nd don of the week -BONUS</v>
      </c>
      <c r="G101" s="155">
        <f>IFERROR(VLOOKUP(F101,SpecialtyBaseLU,11,FALSE),0)</f>
        <v>50</v>
      </c>
      <c r="H101" s="5">
        <v>0</v>
      </c>
      <c r="J101" s="5">
        <f t="shared" si="9"/>
        <v>50</v>
      </c>
      <c r="K101" s="148">
        <f t="shared" si="10"/>
        <v>50</v>
      </c>
      <c r="L101" s="5">
        <f t="shared" si="11"/>
        <v>0</v>
      </c>
    </row>
    <row r="102" spans="1:12" x14ac:dyDescent="0.25">
      <c r="A102" t="s">
        <v>395</v>
      </c>
      <c r="B102" t="s">
        <v>396</v>
      </c>
      <c r="C102" t="s">
        <v>469</v>
      </c>
      <c r="D102" s="36" t="str">
        <f t="shared" si="6"/>
        <v>CP149-P Anti-D Pre-Existing Standard</v>
      </c>
      <c r="E102" s="36" t="str">
        <f t="shared" si="7"/>
        <v>RETURN - 1st don of the week -STD</v>
      </c>
      <c r="F102" s="36" t="str">
        <f t="shared" si="8"/>
        <v>CP149-RETURN - 1st don of the week -STD</v>
      </c>
      <c r="G102" s="155">
        <f>IFERROR(VLOOKUP(F102,SpecialtyBaseLU,11,FALSE),0)</f>
        <v>50</v>
      </c>
      <c r="H102" s="5">
        <v>0</v>
      </c>
      <c r="J102" s="5">
        <f t="shared" si="9"/>
        <v>50</v>
      </c>
      <c r="K102" s="148">
        <f t="shared" si="10"/>
        <v>50</v>
      </c>
      <c r="L102" s="5">
        <f t="shared" si="11"/>
        <v>0</v>
      </c>
    </row>
    <row r="103" spans="1:12" x14ac:dyDescent="0.25">
      <c r="A103" t="s">
        <v>395</v>
      </c>
      <c r="B103" t="s">
        <v>396</v>
      </c>
      <c r="C103" t="s">
        <v>501</v>
      </c>
      <c r="D103" s="36" t="str">
        <f t="shared" si="6"/>
        <v>CP149-P CMV Standard</v>
      </c>
      <c r="E103" s="36" t="str">
        <f t="shared" si="7"/>
        <v>RETURN - 1st don of the week -STD</v>
      </c>
      <c r="F103" s="36" t="str">
        <f t="shared" si="8"/>
        <v>CP149-RETURN - 1st don of the week -STD</v>
      </c>
      <c r="G103" s="155">
        <f>IFERROR(VLOOKUP(F103,SpecialtyBaseLU,11,FALSE),0)</f>
        <v>50</v>
      </c>
      <c r="H103" s="5">
        <v>5</v>
      </c>
      <c r="J103" s="5">
        <f t="shared" si="9"/>
        <v>55</v>
      </c>
      <c r="K103" s="148">
        <f t="shared" si="10"/>
        <v>55</v>
      </c>
      <c r="L103" s="5">
        <f t="shared" si="11"/>
        <v>0</v>
      </c>
    </row>
    <row r="104" spans="1:12" x14ac:dyDescent="0.25">
      <c r="A104" t="s">
        <v>395</v>
      </c>
      <c r="B104" t="s">
        <v>396</v>
      </c>
      <c r="C104" t="s">
        <v>492</v>
      </c>
      <c r="D104" s="36" t="str">
        <f t="shared" si="6"/>
        <v>CP149-P Tetanus AP Standard</v>
      </c>
      <c r="E104" s="36" t="str">
        <f t="shared" si="7"/>
        <v>RETURN - 1st don of the week -STD</v>
      </c>
      <c r="F104" s="36" t="str">
        <f t="shared" si="8"/>
        <v>CP149-RETURN - 1st don of the week -STD</v>
      </c>
      <c r="G104" s="155">
        <f>IFERROR(VLOOKUP(F104,SpecialtyBaseLU,11,FALSE),0)</f>
        <v>50</v>
      </c>
      <c r="H104" s="5">
        <f>K104-G104</f>
        <v>5</v>
      </c>
      <c r="J104" s="5">
        <f t="shared" si="9"/>
        <v>55</v>
      </c>
      <c r="K104" s="148">
        <f t="shared" si="10"/>
        <v>55</v>
      </c>
      <c r="L104" s="5">
        <f t="shared" si="11"/>
        <v>0</v>
      </c>
    </row>
    <row r="105" spans="1:12" x14ac:dyDescent="0.25">
      <c r="A105" t="s">
        <v>395</v>
      </c>
      <c r="B105" t="s">
        <v>396</v>
      </c>
      <c r="C105" t="s">
        <v>493</v>
      </c>
      <c r="D105" s="36" t="str">
        <f t="shared" si="6"/>
        <v>CP149-P Tetanus Pre-Existing Standard</v>
      </c>
      <c r="E105" s="36" t="str">
        <f t="shared" si="7"/>
        <v>RETURN - 1st don of the week -STD</v>
      </c>
      <c r="F105" s="36" t="str">
        <f t="shared" si="8"/>
        <v>CP149-RETURN - 1st don of the week -STD</v>
      </c>
      <c r="G105" s="155">
        <f>IFERROR(VLOOKUP(F105,SpecialtyBaseLU,11,FALSE),0)</f>
        <v>50</v>
      </c>
      <c r="H105" s="5">
        <f>K105-G105</f>
        <v>5</v>
      </c>
      <c r="J105" s="5">
        <f t="shared" si="9"/>
        <v>55</v>
      </c>
      <c r="K105" s="148">
        <f t="shared" si="10"/>
        <v>55</v>
      </c>
      <c r="L105" s="5">
        <f t="shared" si="11"/>
        <v>0</v>
      </c>
    </row>
    <row r="106" spans="1:12" x14ac:dyDescent="0.25">
      <c r="A106" t="s">
        <v>395</v>
      </c>
      <c r="B106" t="s">
        <v>396</v>
      </c>
      <c r="C106" t="s">
        <v>494</v>
      </c>
      <c r="D106" s="36" t="str">
        <f t="shared" si="6"/>
        <v>CP149-P Tetanus Standard</v>
      </c>
      <c r="E106" s="36" t="str">
        <f t="shared" si="7"/>
        <v>RETURN - 1st don of the week -STD</v>
      </c>
      <c r="F106" s="36" t="str">
        <f t="shared" si="8"/>
        <v>CP149-RETURN - 1st don of the week -STD</v>
      </c>
      <c r="G106" s="155">
        <f>IFERROR(VLOOKUP(F106,SpecialtyBaseLU,11,FALSE),0)</f>
        <v>50</v>
      </c>
      <c r="H106" s="5">
        <f>K106-G106</f>
        <v>5</v>
      </c>
      <c r="J106" s="5">
        <f t="shared" si="9"/>
        <v>55</v>
      </c>
      <c r="K106" s="148">
        <f t="shared" si="10"/>
        <v>55</v>
      </c>
      <c r="L106" s="5">
        <f t="shared" si="11"/>
        <v>0</v>
      </c>
    </row>
    <row r="107" spans="1:12" x14ac:dyDescent="0.25">
      <c r="A107" t="s">
        <v>395</v>
      </c>
      <c r="B107" t="s">
        <v>396</v>
      </c>
      <c r="C107" t="s">
        <v>508</v>
      </c>
      <c r="D107" s="36" t="str">
        <f t="shared" si="6"/>
        <v>CP149-P Tetanus Tox Standard</v>
      </c>
      <c r="E107" s="36" t="str">
        <f t="shared" si="7"/>
        <v>RETURN - 1st don of the week -STD</v>
      </c>
      <c r="F107" s="36" t="str">
        <f t="shared" si="8"/>
        <v>CP149-RETURN - 1st don of the week -STD</v>
      </c>
      <c r="G107" s="155">
        <f>IFERROR(VLOOKUP(F107,SpecialtyBaseLU,11,FALSE),0)</f>
        <v>50</v>
      </c>
      <c r="H107" s="5">
        <f>K107-G107</f>
        <v>5</v>
      </c>
      <c r="J107" s="5">
        <f t="shared" si="9"/>
        <v>55</v>
      </c>
      <c r="K107" s="148">
        <f t="shared" si="10"/>
        <v>55</v>
      </c>
      <c r="L107" s="5">
        <f t="shared" si="11"/>
        <v>0</v>
      </c>
    </row>
    <row r="108" spans="1:12" x14ac:dyDescent="0.25">
      <c r="A108" t="s">
        <v>444</v>
      </c>
      <c r="B108" t="s">
        <v>445</v>
      </c>
      <c r="C108" t="s">
        <v>469</v>
      </c>
      <c r="D108" s="36" t="str">
        <f t="shared" si="6"/>
        <v>CP575-P Anti-D Pre-Existing Standard</v>
      </c>
      <c r="E108" s="36" t="str">
        <f t="shared" si="7"/>
        <v>RETURN - 1st don of the week -STD</v>
      </c>
      <c r="F108" s="36" t="str">
        <f t="shared" si="8"/>
        <v>CP575-RETURN - 1st don of the week -STD</v>
      </c>
      <c r="G108" s="155">
        <f>IFERROR(VLOOKUP(F108,SpecialtyBaseLU,11,FALSE),0)</f>
        <v>40</v>
      </c>
      <c r="H108" s="5">
        <v>10</v>
      </c>
      <c r="J108" s="5">
        <f t="shared" si="9"/>
        <v>50</v>
      </c>
      <c r="K108" s="148">
        <f t="shared" si="10"/>
        <v>50</v>
      </c>
      <c r="L108" s="5">
        <f t="shared" si="11"/>
        <v>0</v>
      </c>
    </row>
    <row r="109" spans="1:12" x14ac:dyDescent="0.25">
      <c r="A109" t="s">
        <v>185</v>
      </c>
      <c r="B109" t="s">
        <v>186</v>
      </c>
      <c r="C109" t="s">
        <v>469</v>
      </c>
      <c r="D109" s="36" t="str">
        <f t="shared" si="6"/>
        <v>CP138-P Anti-D Pre-Existing Standard</v>
      </c>
      <c r="E109" s="36" t="str">
        <f t="shared" si="7"/>
        <v>RETURN - 1st don of the week -STD</v>
      </c>
      <c r="F109" s="36" t="str">
        <f t="shared" si="8"/>
        <v>CP138-RETURN - 1st don of the week -STD</v>
      </c>
      <c r="G109" s="155">
        <f>IFERROR(VLOOKUP(F109,SpecialtyBaseLU,11,FALSE),0)</f>
        <v>40</v>
      </c>
      <c r="H109" s="5">
        <v>10</v>
      </c>
      <c r="J109" s="5">
        <f t="shared" si="9"/>
        <v>50</v>
      </c>
      <c r="K109" s="148">
        <f t="shared" si="10"/>
        <v>50</v>
      </c>
      <c r="L109" s="5">
        <f t="shared" si="11"/>
        <v>0</v>
      </c>
    </row>
    <row r="110" spans="1:12" x14ac:dyDescent="0.25">
      <c r="A110" t="s">
        <v>410</v>
      </c>
      <c r="B110" t="s">
        <v>411</v>
      </c>
      <c r="C110" t="s">
        <v>469</v>
      </c>
      <c r="D110" s="36" t="str">
        <f t="shared" si="6"/>
        <v>CP947-P Anti-D Pre-Existing Standard</v>
      </c>
      <c r="E110" s="36" t="str">
        <f t="shared" si="7"/>
        <v>RETURN - 1st don of the week -STD</v>
      </c>
      <c r="F110" s="36" t="str">
        <f t="shared" si="8"/>
        <v>CP947-RETURN - 1st don of the week -STD</v>
      </c>
      <c r="G110" s="155">
        <f>IFERROR(VLOOKUP(F110,SpecialtyBaseLU,11,FALSE),0)</f>
        <v>50</v>
      </c>
      <c r="H110" s="5">
        <v>0</v>
      </c>
      <c r="J110" s="5">
        <f t="shared" si="9"/>
        <v>50</v>
      </c>
      <c r="K110" s="148">
        <f t="shared" si="10"/>
        <v>50</v>
      </c>
      <c r="L110" s="5">
        <f t="shared" si="11"/>
        <v>0</v>
      </c>
    </row>
    <row r="111" spans="1:12" s="147" customFormat="1" x14ac:dyDescent="0.25">
      <c r="A111" s="147" t="s">
        <v>509</v>
      </c>
      <c r="B111" s="147" t="s">
        <v>91</v>
      </c>
      <c r="C111" s="147" t="s">
        <v>488</v>
      </c>
      <c r="D111" s="149" t="str">
        <f t="shared" si="6"/>
        <v>CP178-2X Week P VZV</v>
      </c>
      <c r="E111" s="149" t="str">
        <f t="shared" si="7"/>
        <v>RETURN - 2nd don of the week -BONUS</v>
      </c>
      <c r="F111" s="149" t="str">
        <f t="shared" si="8"/>
        <v>CP178-RETURN - 2nd don of the week -BONUS</v>
      </c>
      <c r="G111" s="155">
        <f>IFERROR(VLOOKUP(F111,SpecialtyBaseLU,11,FALSE),0)</f>
        <v>10</v>
      </c>
      <c r="H111" s="150">
        <v>0</v>
      </c>
      <c r="I111" s="150"/>
      <c r="J111" s="150">
        <f t="shared" si="9"/>
        <v>10</v>
      </c>
      <c r="K111" s="151">
        <f t="shared" si="10"/>
        <v>10</v>
      </c>
      <c r="L111" s="150">
        <f t="shared" si="11"/>
        <v>0</v>
      </c>
    </row>
    <row r="112" spans="1:12" s="147" customFormat="1" x14ac:dyDescent="0.25">
      <c r="A112" s="147" t="s">
        <v>509</v>
      </c>
      <c r="B112" s="147" t="s">
        <v>91</v>
      </c>
      <c r="C112" s="147" t="s">
        <v>489</v>
      </c>
      <c r="D112" s="149" t="str">
        <f t="shared" si="6"/>
        <v>CP178-2X Week P VZV AP</v>
      </c>
      <c r="E112" s="149" t="str">
        <f t="shared" si="7"/>
        <v>RETURN - 2nd don of the week -BONUS</v>
      </c>
      <c r="F112" s="149" t="str">
        <f t="shared" si="8"/>
        <v>CP178-RETURN - 2nd don of the week -BONUS</v>
      </c>
      <c r="G112" s="155">
        <f>IFERROR(VLOOKUP(F112,SpecialtyBaseLU,11,FALSE),0)</f>
        <v>10</v>
      </c>
      <c r="H112" s="150">
        <v>0</v>
      </c>
      <c r="I112" s="150"/>
      <c r="J112" s="150">
        <f t="shared" si="9"/>
        <v>10</v>
      </c>
      <c r="K112" s="151">
        <f t="shared" si="10"/>
        <v>10</v>
      </c>
      <c r="L112" s="150">
        <f t="shared" si="11"/>
        <v>0</v>
      </c>
    </row>
    <row r="113" spans="1:12" s="147" customFormat="1" x14ac:dyDescent="0.25">
      <c r="A113" s="147" t="s">
        <v>509</v>
      </c>
      <c r="B113" s="147" t="s">
        <v>91</v>
      </c>
      <c r="C113" s="147" t="s">
        <v>490</v>
      </c>
      <c r="D113" s="149" t="str">
        <f t="shared" si="6"/>
        <v>CP178-2X Week P VZV Pre-Existing</v>
      </c>
      <c r="E113" s="149" t="str">
        <f t="shared" si="7"/>
        <v>RETURN - 2nd don of the week -BONUS</v>
      </c>
      <c r="F113" s="149" t="str">
        <f t="shared" si="8"/>
        <v>CP178-RETURN - 2nd don of the week -BONUS</v>
      </c>
      <c r="G113" s="155">
        <f>IFERROR(VLOOKUP(F113,SpecialtyBaseLU,11,FALSE),0)</f>
        <v>10</v>
      </c>
      <c r="H113" s="150">
        <v>0</v>
      </c>
      <c r="I113" s="150"/>
      <c r="J113" s="150">
        <f t="shared" si="9"/>
        <v>10</v>
      </c>
      <c r="K113" s="151">
        <f t="shared" si="10"/>
        <v>10</v>
      </c>
      <c r="L113" s="150">
        <f t="shared" si="11"/>
        <v>0</v>
      </c>
    </row>
    <row r="114" spans="1:12" s="147" customFormat="1" x14ac:dyDescent="0.25">
      <c r="A114" s="147" t="s">
        <v>509</v>
      </c>
      <c r="B114" s="147" t="s">
        <v>91</v>
      </c>
      <c r="C114" s="147" t="s">
        <v>491</v>
      </c>
      <c r="D114" s="149" t="str">
        <f t="shared" si="6"/>
        <v>CP178-2X Week P VZV Pre-Existing AP</v>
      </c>
      <c r="E114" s="149" t="str">
        <f t="shared" si="7"/>
        <v>RETURN - 2nd don of the week -BONUS</v>
      </c>
      <c r="F114" s="149" t="str">
        <f t="shared" si="8"/>
        <v>CP178-RETURN - 2nd don of the week -BONUS</v>
      </c>
      <c r="G114" s="155">
        <f>IFERROR(VLOOKUP(F114,SpecialtyBaseLU,11,FALSE),0)</f>
        <v>10</v>
      </c>
      <c r="H114" s="150">
        <v>0</v>
      </c>
      <c r="I114" s="150"/>
      <c r="J114" s="150">
        <f t="shared" si="9"/>
        <v>10</v>
      </c>
      <c r="K114" s="151">
        <f t="shared" si="10"/>
        <v>10</v>
      </c>
      <c r="L114" s="150">
        <f t="shared" si="11"/>
        <v>0</v>
      </c>
    </row>
    <row r="115" spans="1:12" s="147" customFormat="1" x14ac:dyDescent="0.25">
      <c r="A115" s="147" t="s">
        <v>509</v>
      </c>
      <c r="B115" s="147" t="s">
        <v>91</v>
      </c>
      <c r="C115" s="147" t="s">
        <v>469</v>
      </c>
      <c r="D115" s="149" t="str">
        <f t="shared" si="6"/>
        <v>CP178-P Anti-D Pre-Existing Standard</v>
      </c>
      <c r="E115" s="149" t="str">
        <f t="shared" si="7"/>
        <v>RETURN - 1st don of the week -STD</v>
      </c>
      <c r="F115" s="149" t="str">
        <f t="shared" si="8"/>
        <v>CP178-RETURN - 1st don of the week -STD</v>
      </c>
      <c r="G115" s="155">
        <f>IFERROR(VLOOKUP(F115,SpecialtyBaseLU,11,FALSE),0)</f>
        <v>55</v>
      </c>
      <c r="H115" s="150">
        <v>-5</v>
      </c>
      <c r="I115" s="150"/>
      <c r="J115" s="150">
        <f t="shared" si="9"/>
        <v>50</v>
      </c>
      <c r="K115" s="151">
        <f t="shared" si="10"/>
        <v>50</v>
      </c>
      <c r="L115" s="150">
        <f t="shared" si="11"/>
        <v>0</v>
      </c>
    </row>
    <row r="116" spans="1:12" s="147" customFormat="1" x14ac:dyDescent="0.25">
      <c r="A116" s="147" t="s">
        <v>509</v>
      </c>
      <c r="B116" s="147" t="s">
        <v>91</v>
      </c>
      <c r="C116" s="147" t="s">
        <v>475</v>
      </c>
      <c r="D116" s="149" t="str">
        <f t="shared" si="6"/>
        <v>CP178-P Vaccinia AP Standard</v>
      </c>
      <c r="E116" s="149">
        <f t="shared" si="7"/>
        <v>0</v>
      </c>
      <c r="F116" s="149" t="str">
        <f t="shared" si="8"/>
        <v>CP178-0</v>
      </c>
      <c r="G116" s="155">
        <f>IFERROR(VLOOKUP(F116,SpecialtyBaseLU,11,FALSE),0)</f>
        <v>0</v>
      </c>
      <c r="H116" s="150"/>
      <c r="I116" s="150">
        <v>100</v>
      </c>
      <c r="J116" s="150">
        <f t="shared" si="9"/>
        <v>100</v>
      </c>
      <c r="K116" s="151">
        <f t="shared" si="10"/>
        <v>100</v>
      </c>
      <c r="L116" s="150">
        <f t="shared" si="11"/>
        <v>0</v>
      </c>
    </row>
    <row r="117" spans="1:12" s="147" customFormat="1" x14ac:dyDescent="0.25">
      <c r="A117" s="147" t="s">
        <v>509</v>
      </c>
      <c r="B117" s="147" t="s">
        <v>91</v>
      </c>
      <c r="C117" s="147" t="s">
        <v>476</v>
      </c>
      <c r="D117" s="149" t="str">
        <f t="shared" si="6"/>
        <v>CP178-P Vaccinia Standard</v>
      </c>
      <c r="E117" s="149">
        <f t="shared" si="7"/>
        <v>0</v>
      </c>
      <c r="F117" s="149" t="str">
        <f t="shared" si="8"/>
        <v>CP178-0</v>
      </c>
      <c r="G117" s="155">
        <f>IFERROR(VLOOKUP(F117,SpecialtyBaseLU,11,FALSE),0)</f>
        <v>0</v>
      </c>
      <c r="H117" s="150"/>
      <c r="I117" s="150">
        <v>100</v>
      </c>
      <c r="J117" s="150">
        <f t="shared" si="9"/>
        <v>100</v>
      </c>
      <c r="K117" s="151">
        <f t="shared" si="10"/>
        <v>100</v>
      </c>
      <c r="L117" s="150">
        <f t="shared" si="11"/>
        <v>0</v>
      </c>
    </row>
    <row r="118" spans="1:12" s="147" customFormat="1" x14ac:dyDescent="0.25">
      <c r="A118" s="147" t="s">
        <v>509</v>
      </c>
      <c r="B118" s="147" t="s">
        <v>91</v>
      </c>
      <c r="C118" s="147" t="s">
        <v>495</v>
      </c>
      <c r="D118" s="149" t="str">
        <f t="shared" si="6"/>
        <v>CP178-P VZV Pre-Existing AP</v>
      </c>
      <c r="E118" s="149" t="str">
        <f t="shared" si="7"/>
        <v>RETURN - 1st don of the week -STD</v>
      </c>
      <c r="F118" s="149" t="str">
        <f t="shared" si="8"/>
        <v>CP178-RETURN - 1st don of the week -STD</v>
      </c>
      <c r="G118" s="155">
        <f>IFERROR(VLOOKUP(F118,SpecialtyBaseLU,11,FALSE),0)</f>
        <v>55</v>
      </c>
      <c r="H118" s="150">
        <v>10</v>
      </c>
      <c r="I118" s="150"/>
      <c r="J118" s="150">
        <f t="shared" si="9"/>
        <v>65</v>
      </c>
      <c r="K118" s="151">
        <f t="shared" si="10"/>
        <v>65</v>
      </c>
      <c r="L118" s="150">
        <f t="shared" si="11"/>
        <v>0</v>
      </c>
    </row>
    <row r="119" spans="1:12" s="147" customFormat="1" x14ac:dyDescent="0.25">
      <c r="A119" s="147" t="s">
        <v>509</v>
      </c>
      <c r="B119" s="147" t="s">
        <v>91</v>
      </c>
      <c r="C119" s="147" t="s">
        <v>496</v>
      </c>
      <c r="D119" s="149" t="str">
        <f t="shared" si="6"/>
        <v>CP178-P VZV Standard</v>
      </c>
      <c r="E119" s="149" t="str">
        <f t="shared" si="7"/>
        <v>RETURN - 1st don of the week -STD</v>
      </c>
      <c r="F119" s="149" t="str">
        <f t="shared" si="8"/>
        <v>CP178-RETURN - 1st don of the week -STD</v>
      </c>
      <c r="G119" s="155">
        <f>IFERROR(VLOOKUP(F119,SpecialtyBaseLU,11,FALSE),0)</f>
        <v>55</v>
      </c>
      <c r="H119" s="150">
        <v>10</v>
      </c>
      <c r="I119" s="150"/>
      <c r="J119" s="150">
        <f t="shared" si="9"/>
        <v>65</v>
      </c>
      <c r="K119" s="151">
        <f t="shared" si="10"/>
        <v>65</v>
      </c>
      <c r="L119" s="150">
        <f t="shared" si="11"/>
        <v>0</v>
      </c>
    </row>
    <row r="120" spans="1:12" s="147" customFormat="1" x14ac:dyDescent="0.25">
      <c r="A120" s="147" t="s">
        <v>509</v>
      </c>
      <c r="B120" s="147" t="s">
        <v>91</v>
      </c>
      <c r="C120" s="147" t="s">
        <v>497</v>
      </c>
      <c r="D120" s="149" t="str">
        <f t="shared" si="6"/>
        <v>CP178-PVZV Pre-Existing Standard</v>
      </c>
      <c r="E120" s="149" t="str">
        <f t="shared" si="7"/>
        <v>RETURN - 1st don of the week -STD</v>
      </c>
      <c r="F120" s="149" t="str">
        <f t="shared" si="8"/>
        <v>CP178-RETURN - 1st don of the week -STD</v>
      </c>
      <c r="G120" s="155">
        <f>IFERROR(VLOOKUP(F120,SpecialtyBaseLU,11,FALSE),0)</f>
        <v>55</v>
      </c>
      <c r="H120" s="150">
        <f>K120-G120</f>
        <v>10</v>
      </c>
      <c r="I120" s="150"/>
      <c r="J120" s="150">
        <f t="shared" si="9"/>
        <v>65</v>
      </c>
      <c r="K120" s="151">
        <f t="shared" si="10"/>
        <v>65</v>
      </c>
      <c r="L120" s="150">
        <f t="shared" si="11"/>
        <v>0</v>
      </c>
    </row>
    <row r="121" spans="1:12" s="147" customFormat="1" x14ac:dyDescent="0.25">
      <c r="A121" s="147" t="s">
        <v>509</v>
      </c>
      <c r="B121" s="147" t="s">
        <v>91</v>
      </c>
      <c r="C121" s="147" t="s">
        <v>477</v>
      </c>
      <c r="D121" s="149" t="str">
        <f t="shared" si="6"/>
        <v>CP178-Vaccinia - 1st Donation</v>
      </c>
      <c r="E121" s="149">
        <f t="shared" si="7"/>
        <v>0</v>
      </c>
      <c r="F121" s="149" t="str">
        <f t="shared" si="8"/>
        <v>CP178-0</v>
      </c>
      <c r="G121" s="155">
        <f>IFERROR(VLOOKUP(F121,SpecialtyBaseLU,11,FALSE),0)</f>
        <v>0</v>
      </c>
      <c r="H121" s="150"/>
      <c r="I121" s="150">
        <v>150</v>
      </c>
      <c r="J121" s="150">
        <f t="shared" si="9"/>
        <v>150</v>
      </c>
      <c r="K121" s="151">
        <f t="shared" si="10"/>
        <v>150</v>
      </c>
      <c r="L121" s="150">
        <f t="shared" si="11"/>
        <v>0</v>
      </c>
    </row>
    <row r="122" spans="1:12" s="147" customFormat="1" x14ac:dyDescent="0.25">
      <c r="A122" s="147" t="s">
        <v>509</v>
      </c>
      <c r="B122" s="147" t="s">
        <v>91</v>
      </c>
      <c r="C122" s="147" t="s">
        <v>478</v>
      </c>
      <c r="D122" s="149" t="str">
        <f t="shared" si="6"/>
        <v>CP178-Vaccinia - 2nd Donation</v>
      </c>
      <c r="E122" s="149">
        <f t="shared" si="7"/>
        <v>0</v>
      </c>
      <c r="F122" s="149" t="str">
        <f t="shared" si="8"/>
        <v>CP178-0</v>
      </c>
      <c r="G122" s="155">
        <f>IFERROR(VLOOKUP(F122,SpecialtyBaseLU,11,FALSE),0)</f>
        <v>0</v>
      </c>
      <c r="H122" s="150"/>
      <c r="I122" s="150">
        <v>250</v>
      </c>
      <c r="J122" s="150">
        <f t="shared" si="9"/>
        <v>250</v>
      </c>
      <c r="K122" s="151">
        <f t="shared" si="10"/>
        <v>250</v>
      </c>
      <c r="L122" s="150">
        <f t="shared" si="11"/>
        <v>0</v>
      </c>
    </row>
    <row r="123" spans="1:12" s="147" customFormat="1" x14ac:dyDescent="0.25">
      <c r="A123" s="147" t="s">
        <v>509</v>
      </c>
      <c r="B123" s="147" t="s">
        <v>91</v>
      </c>
      <c r="C123" s="147" t="s">
        <v>479</v>
      </c>
      <c r="D123" s="149" t="str">
        <f t="shared" si="6"/>
        <v>CP178-Vaccinia - 3rd Donation</v>
      </c>
      <c r="E123" s="149">
        <f t="shared" si="7"/>
        <v>0</v>
      </c>
      <c r="F123" s="149" t="str">
        <f t="shared" si="8"/>
        <v>CP178-0</v>
      </c>
      <c r="G123" s="155">
        <f>IFERROR(VLOOKUP(F123,SpecialtyBaseLU,11,FALSE),0)</f>
        <v>0</v>
      </c>
      <c r="H123" s="150"/>
      <c r="I123" s="150">
        <v>300</v>
      </c>
      <c r="J123" s="150">
        <f t="shared" si="9"/>
        <v>300</v>
      </c>
      <c r="K123" s="151">
        <f t="shared" si="10"/>
        <v>300</v>
      </c>
      <c r="L123" s="150">
        <f t="shared" si="11"/>
        <v>0</v>
      </c>
    </row>
    <row r="124" spans="1:12" s="147" customFormat="1" x14ac:dyDescent="0.25">
      <c r="A124" s="147" t="s">
        <v>509</v>
      </c>
      <c r="B124" s="147" t="s">
        <v>91</v>
      </c>
      <c r="C124" s="147" t="s">
        <v>480</v>
      </c>
      <c r="D124" s="149" t="str">
        <f t="shared" si="6"/>
        <v>CP178-Vaccinia - 4th Donation</v>
      </c>
      <c r="E124" s="149">
        <f t="shared" si="7"/>
        <v>0</v>
      </c>
      <c r="F124" s="149" t="str">
        <f t="shared" si="8"/>
        <v>CP178-0</v>
      </c>
      <c r="G124" s="155">
        <f>IFERROR(VLOOKUP(F124,SpecialtyBaseLU,11,FALSE),0)</f>
        <v>0</v>
      </c>
      <c r="H124" s="150"/>
      <c r="I124" s="150">
        <v>300</v>
      </c>
      <c r="J124" s="150">
        <f t="shared" si="9"/>
        <v>300</v>
      </c>
      <c r="K124" s="151">
        <f t="shared" si="10"/>
        <v>300</v>
      </c>
      <c r="L124" s="150">
        <f t="shared" si="11"/>
        <v>0</v>
      </c>
    </row>
    <row r="125" spans="1:12" s="147" customFormat="1" x14ac:dyDescent="0.25">
      <c r="A125" s="147" t="s">
        <v>509</v>
      </c>
      <c r="B125" s="147" t="s">
        <v>91</v>
      </c>
      <c r="C125" s="147" t="s">
        <v>481</v>
      </c>
      <c r="D125" s="149" t="str">
        <f t="shared" si="6"/>
        <v>CP178-Vaccinia AP - 1st Donation</v>
      </c>
      <c r="E125" s="149">
        <f t="shared" si="7"/>
        <v>0</v>
      </c>
      <c r="F125" s="149" t="str">
        <f t="shared" si="8"/>
        <v>CP178-0</v>
      </c>
      <c r="G125" s="155">
        <f>IFERROR(VLOOKUP(F125,SpecialtyBaseLU,11,FALSE),0)</f>
        <v>0</v>
      </c>
      <c r="H125" s="150"/>
      <c r="I125" s="150">
        <v>150</v>
      </c>
      <c r="J125" s="150">
        <f t="shared" si="9"/>
        <v>150</v>
      </c>
      <c r="K125" s="151">
        <f t="shared" si="10"/>
        <v>150</v>
      </c>
      <c r="L125" s="150">
        <f t="shared" si="11"/>
        <v>0</v>
      </c>
    </row>
    <row r="126" spans="1:12" s="147" customFormat="1" x14ac:dyDescent="0.25">
      <c r="A126" s="147" t="s">
        <v>509</v>
      </c>
      <c r="B126" s="147" t="s">
        <v>91</v>
      </c>
      <c r="C126" s="147" t="s">
        <v>482</v>
      </c>
      <c r="D126" s="149" t="str">
        <f t="shared" si="6"/>
        <v>CP178-Vaccinia AP - 2nd Donation</v>
      </c>
      <c r="E126" s="149">
        <f t="shared" si="7"/>
        <v>0</v>
      </c>
      <c r="F126" s="149" t="str">
        <f t="shared" si="8"/>
        <v>CP178-0</v>
      </c>
      <c r="G126" s="155">
        <f>IFERROR(VLOOKUP(F126,SpecialtyBaseLU,11,FALSE),0)</f>
        <v>0</v>
      </c>
      <c r="H126" s="150"/>
      <c r="I126" s="150">
        <v>250</v>
      </c>
      <c r="J126" s="150">
        <f t="shared" si="9"/>
        <v>250</v>
      </c>
      <c r="K126" s="151">
        <f t="shared" si="10"/>
        <v>250</v>
      </c>
      <c r="L126" s="150">
        <f t="shared" si="11"/>
        <v>0</v>
      </c>
    </row>
    <row r="127" spans="1:12" s="147" customFormat="1" x14ac:dyDescent="0.25">
      <c r="A127" s="147" t="s">
        <v>509</v>
      </c>
      <c r="B127" s="147" t="s">
        <v>91</v>
      </c>
      <c r="C127" s="147" t="s">
        <v>483</v>
      </c>
      <c r="D127" s="149" t="str">
        <f t="shared" si="6"/>
        <v>CP178-Vaccinia AP - 3rd Donation</v>
      </c>
      <c r="E127" s="149">
        <f t="shared" si="7"/>
        <v>0</v>
      </c>
      <c r="F127" s="149" t="str">
        <f t="shared" si="8"/>
        <v>CP178-0</v>
      </c>
      <c r="G127" s="155">
        <f>IFERROR(VLOOKUP(F127,SpecialtyBaseLU,11,FALSE),0)</f>
        <v>0</v>
      </c>
      <c r="H127" s="150"/>
      <c r="I127" s="150">
        <v>300</v>
      </c>
      <c r="J127" s="150">
        <f t="shared" si="9"/>
        <v>300</v>
      </c>
      <c r="K127" s="151">
        <f t="shared" si="10"/>
        <v>300</v>
      </c>
      <c r="L127" s="150">
        <f t="shared" si="11"/>
        <v>0</v>
      </c>
    </row>
    <row r="128" spans="1:12" s="147" customFormat="1" x14ac:dyDescent="0.25">
      <c r="A128" s="147" t="s">
        <v>509</v>
      </c>
      <c r="B128" s="147" t="s">
        <v>91</v>
      </c>
      <c r="C128" s="147" t="s">
        <v>484</v>
      </c>
      <c r="D128" s="149" t="str">
        <f t="shared" si="6"/>
        <v>CP178-Vaccinia AP - 4th Donation</v>
      </c>
      <c r="E128" s="149">
        <f t="shared" si="7"/>
        <v>0</v>
      </c>
      <c r="F128" s="149" t="str">
        <f t="shared" si="8"/>
        <v>CP178-0</v>
      </c>
      <c r="G128" s="155">
        <f>IFERROR(VLOOKUP(F128,SpecialtyBaseLU,11,FALSE),0)</f>
        <v>0</v>
      </c>
      <c r="H128" s="150"/>
      <c r="I128" s="150">
        <v>300</v>
      </c>
      <c r="J128" s="150">
        <f t="shared" si="9"/>
        <v>300</v>
      </c>
      <c r="K128" s="151">
        <f t="shared" si="10"/>
        <v>300</v>
      </c>
      <c r="L128" s="150">
        <f t="shared" si="11"/>
        <v>0</v>
      </c>
    </row>
    <row r="129" spans="1:12" x14ac:dyDescent="0.25">
      <c r="A129" t="s">
        <v>324</v>
      </c>
      <c r="B129" t="s">
        <v>325</v>
      </c>
      <c r="C129" t="s">
        <v>469</v>
      </c>
      <c r="D129" s="36" t="str">
        <f t="shared" si="6"/>
        <v>CP686-P Anti-D Pre-Existing Standard</v>
      </c>
      <c r="E129" s="36" t="str">
        <f t="shared" si="7"/>
        <v>RETURN - 1st don of the week -STD</v>
      </c>
      <c r="F129" s="36" t="str">
        <f t="shared" si="8"/>
        <v>CP686-RETURN - 1st don of the week -STD</v>
      </c>
      <c r="G129" s="155">
        <f>IFERROR(VLOOKUP(F129,SpecialtyBaseLU,11,FALSE),0)</f>
        <v>30</v>
      </c>
      <c r="H129" s="5">
        <v>20</v>
      </c>
      <c r="J129" s="5">
        <f t="shared" si="9"/>
        <v>50</v>
      </c>
      <c r="K129" s="148">
        <f t="shared" si="10"/>
        <v>50</v>
      </c>
      <c r="L129" s="5">
        <f t="shared" si="11"/>
        <v>0</v>
      </c>
    </row>
    <row r="130" spans="1:12" x14ac:dyDescent="0.25">
      <c r="A130" t="s">
        <v>181</v>
      </c>
      <c r="B130" t="s">
        <v>182</v>
      </c>
      <c r="C130" t="s">
        <v>498</v>
      </c>
      <c r="D130" s="36" t="str">
        <f t="shared" si="6"/>
        <v>CP134-2X Week P CMV</v>
      </c>
      <c r="E130" s="36" t="str">
        <f t="shared" si="7"/>
        <v>RETURN - 2nd don of the week -BONUS</v>
      </c>
      <c r="F130" s="36" t="str">
        <f t="shared" si="8"/>
        <v>CP134-RETURN - 2nd don of the week -BONUS</v>
      </c>
      <c r="G130" s="155">
        <f>IFERROR(VLOOKUP(F130,SpecialtyBaseLU,11,FALSE),0)</f>
        <v>35</v>
      </c>
      <c r="H130" s="5">
        <v>0</v>
      </c>
      <c r="J130" s="5">
        <f t="shared" si="9"/>
        <v>35</v>
      </c>
      <c r="K130" s="148">
        <f t="shared" si="10"/>
        <v>35</v>
      </c>
      <c r="L130" s="5">
        <f t="shared" si="11"/>
        <v>0</v>
      </c>
    </row>
    <row r="131" spans="1:12" x14ac:dyDescent="0.25">
      <c r="A131" t="s">
        <v>181</v>
      </c>
      <c r="B131" t="s">
        <v>182</v>
      </c>
      <c r="C131" t="s">
        <v>471</v>
      </c>
      <c r="D131" s="36" t="str">
        <f t="shared" si="6"/>
        <v>CP134-2X Week P HBS Pre-Existing</v>
      </c>
      <c r="E131" s="36" t="str">
        <f t="shared" si="7"/>
        <v>RETURN - 2nd don of the week -BONUS</v>
      </c>
      <c r="F131" s="36" t="str">
        <f t="shared" si="8"/>
        <v>CP134-RETURN - 2nd don of the week -BONUS</v>
      </c>
      <c r="G131" s="155">
        <f>IFERROR(VLOOKUP(F131,SpecialtyBaseLU,11,FALSE),0)</f>
        <v>35</v>
      </c>
      <c r="H131" s="5">
        <v>5</v>
      </c>
      <c r="J131" s="5">
        <f t="shared" si="9"/>
        <v>40</v>
      </c>
      <c r="K131" s="148">
        <f t="shared" si="10"/>
        <v>40</v>
      </c>
      <c r="L131" s="5">
        <f t="shared" si="11"/>
        <v>0</v>
      </c>
    </row>
    <row r="132" spans="1:12" x14ac:dyDescent="0.25">
      <c r="A132" t="s">
        <v>181</v>
      </c>
      <c r="B132" t="s">
        <v>182</v>
      </c>
      <c r="C132" t="s">
        <v>504</v>
      </c>
      <c r="D132" s="36" t="str">
        <f t="shared" ref="D132:D195" si="12">B132&amp;"-"&amp;C132</f>
        <v>CP134-2X Week P HBS TWINRX</v>
      </c>
      <c r="E132" s="36" t="str">
        <f t="shared" ref="E132:E195" si="13">VLOOKUP(C132,RULENAMELU,5,FALSE)</f>
        <v>RETURN - 2nd don of the week -BONUS</v>
      </c>
      <c r="F132" s="36" t="str">
        <f t="shared" ref="F132:F195" si="14">B132&amp;"-"&amp;E132</f>
        <v>CP134-RETURN - 2nd don of the week -BONUS</v>
      </c>
      <c r="G132" s="155">
        <f>IFERROR(VLOOKUP(F132,SpecialtyBaseLU,11,FALSE),0)</f>
        <v>35</v>
      </c>
      <c r="H132" s="5">
        <v>5</v>
      </c>
      <c r="J132" s="5">
        <f t="shared" ref="J132:J195" si="15">G132+H132+I132</f>
        <v>40</v>
      </c>
      <c r="K132" s="148">
        <f t="shared" ref="K132:K195" si="16">VLOOKUP(D132,CurrentNLDataLU,11,FALSE)</f>
        <v>40</v>
      </c>
      <c r="L132" s="5">
        <f t="shared" ref="L132:L195" si="17">J132-K132</f>
        <v>0</v>
      </c>
    </row>
    <row r="133" spans="1:12" x14ac:dyDescent="0.25">
      <c r="A133" t="s">
        <v>181</v>
      </c>
      <c r="B133" t="s">
        <v>182</v>
      </c>
      <c r="C133" t="s">
        <v>505</v>
      </c>
      <c r="D133" s="36" t="str">
        <f t="shared" si="12"/>
        <v>CP134-2X Week P HBS TWINRX-AP</v>
      </c>
      <c r="E133" s="36" t="str">
        <f t="shared" si="13"/>
        <v>RETURN - 2nd don of the week -BONUS</v>
      </c>
      <c r="F133" s="36" t="str">
        <f t="shared" si="14"/>
        <v>CP134-RETURN - 2nd don of the week -BONUS</v>
      </c>
      <c r="G133" s="155">
        <f>IFERROR(VLOOKUP(F133,SpecialtyBaseLU,11,FALSE),0)</f>
        <v>35</v>
      </c>
      <c r="H133" s="5">
        <v>5</v>
      </c>
      <c r="J133" s="5">
        <f t="shared" si="15"/>
        <v>40</v>
      </c>
      <c r="K133" s="148">
        <f t="shared" si="16"/>
        <v>40</v>
      </c>
      <c r="L133" s="5">
        <f t="shared" si="17"/>
        <v>0</v>
      </c>
    </row>
    <row r="134" spans="1:12" x14ac:dyDescent="0.25">
      <c r="A134" t="s">
        <v>181</v>
      </c>
      <c r="B134" t="s">
        <v>182</v>
      </c>
      <c r="C134" t="s">
        <v>510</v>
      </c>
      <c r="D134" s="36" t="str">
        <f t="shared" si="12"/>
        <v>CP134-2X Week P VIP A</v>
      </c>
      <c r="E134" s="36" t="str">
        <f t="shared" si="13"/>
        <v>RETURN - 2nd don of the week -BONUS</v>
      </c>
      <c r="F134" s="36" t="str">
        <f t="shared" si="14"/>
        <v>CP134-RETURN - 2nd don of the week -BONUS</v>
      </c>
      <c r="G134" s="155">
        <f>IFERROR(VLOOKUP(F134,SpecialtyBaseLU,11,FALSE),0)</f>
        <v>35</v>
      </c>
      <c r="H134" s="5">
        <v>5</v>
      </c>
      <c r="J134" s="5">
        <f t="shared" si="15"/>
        <v>40</v>
      </c>
      <c r="K134" s="148">
        <f t="shared" si="16"/>
        <v>40</v>
      </c>
      <c r="L134" s="5">
        <f t="shared" si="17"/>
        <v>0</v>
      </c>
    </row>
    <row r="135" spans="1:12" x14ac:dyDescent="0.25">
      <c r="A135" t="s">
        <v>181</v>
      </c>
      <c r="B135" t="s">
        <v>182</v>
      </c>
      <c r="C135" t="s">
        <v>511</v>
      </c>
      <c r="D135" s="36" t="str">
        <f t="shared" si="12"/>
        <v>CP134-2X Week P VIP AB</v>
      </c>
      <c r="E135" s="36" t="str">
        <f t="shared" si="13"/>
        <v>RETURN - 2nd don of the week -BONUS</v>
      </c>
      <c r="F135" s="36" t="str">
        <f t="shared" si="14"/>
        <v>CP134-RETURN - 2nd don of the week -BONUS</v>
      </c>
      <c r="G135" s="155">
        <f>IFERROR(VLOOKUP(F135,SpecialtyBaseLU,11,FALSE),0)</f>
        <v>35</v>
      </c>
      <c r="H135" s="5">
        <v>5</v>
      </c>
      <c r="J135" s="5">
        <f t="shared" si="15"/>
        <v>40</v>
      </c>
      <c r="K135" s="148">
        <f t="shared" si="16"/>
        <v>40</v>
      </c>
      <c r="L135" s="5">
        <f t="shared" si="17"/>
        <v>0</v>
      </c>
    </row>
    <row r="136" spans="1:12" x14ac:dyDescent="0.25">
      <c r="A136" t="s">
        <v>181</v>
      </c>
      <c r="B136" t="s">
        <v>182</v>
      </c>
      <c r="C136" t="s">
        <v>488</v>
      </c>
      <c r="D136" s="36" t="str">
        <f t="shared" si="12"/>
        <v>CP134-2X Week P VZV</v>
      </c>
      <c r="E136" s="36" t="str">
        <f t="shared" si="13"/>
        <v>RETURN - 2nd don of the week -BONUS</v>
      </c>
      <c r="F136" s="36" t="str">
        <f t="shared" si="14"/>
        <v>CP134-RETURN - 2nd don of the week -BONUS</v>
      </c>
      <c r="G136" s="155">
        <f>IFERROR(VLOOKUP(F136,SpecialtyBaseLU,11,FALSE),0)</f>
        <v>35</v>
      </c>
      <c r="H136" s="5">
        <v>0</v>
      </c>
      <c r="J136" s="5">
        <f t="shared" si="15"/>
        <v>35</v>
      </c>
      <c r="K136" s="148">
        <f t="shared" si="16"/>
        <v>35</v>
      </c>
      <c r="L136" s="5">
        <f t="shared" si="17"/>
        <v>0</v>
      </c>
    </row>
    <row r="137" spans="1:12" x14ac:dyDescent="0.25">
      <c r="A137" t="s">
        <v>181</v>
      </c>
      <c r="B137" t="s">
        <v>182</v>
      </c>
      <c r="C137" t="s">
        <v>489</v>
      </c>
      <c r="D137" s="36" t="str">
        <f t="shared" si="12"/>
        <v>CP134-2X Week P VZV AP</v>
      </c>
      <c r="E137" s="36" t="str">
        <f t="shared" si="13"/>
        <v>RETURN - 2nd don of the week -BONUS</v>
      </c>
      <c r="F137" s="36" t="str">
        <f t="shared" si="14"/>
        <v>CP134-RETURN - 2nd don of the week -BONUS</v>
      </c>
      <c r="G137" s="155">
        <f>IFERROR(VLOOKUP(F137,SpecialtyBaseLU,11,FALSE),0)</f>
        <v>35</v>
      </c>
      <c r="H137" s="5">
        <v>0</v>
      </c>
      <c r="J137" s="5">
        <f t="shared" si="15"/>
        <v>35</v>
      </c>
      <c r="K137" s="148">
        <f t="shared" si="16"/>
        <v>35</v>
      </c>
      <c r="L137" s="5">
        <f t="shared" si="17"/>
        <v>0</v>
      </c>
    </row>
    <row r="138" spans="1:12" x14ac:dyDescent="0.25">
      <c r="A138" t="s">
        <v>181</v>
      </c>
      <c r="B138" t="s">
        <v>182</v>
      </c>
      <c r="C138" t="s">
        <v>490</v>
      </c>
      <c r="D138" s="36" t="str">
        <f t="shared" si="12"/>
        <v>CP134-2X Week P VZV Pre-Existing</v>
      </c>
      <c r="E138" s="36" t="str">
        <f t="shared" si="13"/>
        <v>RETURN - 2nd don of the week -BONUS</v>
      </c>
      <c r="F138" s="36" t="str">
        <f t="shared" si="14"/>
        <v>CP134-RETURN - 2nd don of the week -BONUS</v>
      </c>
      <c r="G138" s="155">
        <f>IFERROR(VLOOKUP(F138,SpecialtyBaseLU,11,FALSE),0)</f>
        <v>35</v>
      </c>
      <c r="H138" s="5">
        <v>0</v>
      </c>
      <c r="J138" s="5">
        <f t="shared" si="15"/>
        <v>35</v>
      </c>
      <c r="K138" s="148">
        <f t="shared" si="16"/>
        <v>35</v>
      </c>
      <c r="L138" s="5">
        <f t="shared" si="17"/>
        <v>0</v>
      </c>
    </row>
    <row r="139" spans="1:12" x14ac:dyDescent="0.25">
      <c r="A139" t="s">
        <v>181</v>
      </c>
      <c r="B139" t="s">
        <v>182</v>
      </c>
      <c r="C139" t="s">
        <v>491</v>
      </c>
      <c r="D139" s="36" t="str">
        <f t="shared" si="12"/>
        <v>CP134-2X Week P VZV Pre-Existing AP</v>
      </c>
      <c r="E139" s="36" t="str">
        <f t="shared" si="13"/>
        <v>RETURN - 2nd don of the week -BONUS</v>
      </c>
      <c r="F139" s="36" t="str">
        <f t="shared" si="14"/>
        <v>CP134-RETURN - 2nd don of the week -BONUS</v>
      </c>
      <c r="G139" s="155">
        <f>IFERROR(VLOOKUP(F139,SpecialtyBaseLU,11,FALSE),0)</f>
        <v>35</v>
      </c>
      <c r="H139" s="5">
        <v>0</v>
      </c>
      <c r="J139" s="5">
        <f t="shared" si="15"/>
        <v>35</v>
      </c>
      <c r="K139" s="148">
        <f t="shared" si="16"/>
        <v>35</v>
      </c>
      <c r="L139" s="5">
        <f t="shared" si="17"/>
        <v>0</v>
      </c>
    </row>
    <row r="140" spans="1:12" x14ac:dyDescent="0.25">
      <c r="A140" t="s">
        <v>181</v>
      </c>
      <c r="B140" t="s">
        <v>182</v>
      </c>
      <c r="C140" t="s">
        <v>469</v>
      </c>
      <c r="D140" s="36" t="str">
        <f t="shared" si="12"/>
        <v>CP134-P Anti-D Pre-Existing Standard</v>
      </c>
      <c r="E140" s="36" t="str">
        <f t="shared" si="13"/>
        <v>RETURN - 1st don of the week -STD</v>
      </c>
      <c r="F140" s="36" t="str">
        <f t="shared" si="14"/>
        <v>CP134-RETURN - 1st don of the week -STD</v>
      </c>
      <c r="G140" s="155">
        <f>IFERROR(VLOOKUP(F140,SpecialtyBaseLU,11,FALSE),0)</f>
        <v>40</v>
      </c>
      <c r="H140" s="5">
        <v>10</v>
      </c>
      <c r="J140" s="5">
        <f t="shared" si="15"/>
        <v>50</v>
      </c>
      <c r="K140" s="148">
        <f t="shared" si="16"/>
        <v>50</v>
      </c>
      <c r="L140" s="5">
        <f t="shared" si="17"/>
        <v>0</v>
      </c>
    </row>
    <row r="141" spans="1:12" x14ac:dyDescent="0.25">
      <c r="A141" t="s">
        <v>181</v>
      </c>
      <c r="B141" t="s">
        <v>182</v>
      </c>
      <c r="C141" t="s">
        <v>501</v>
      </c>
      <c r="D141" s="36" t="str">
        <f t="shared" si="12"/>
        <v>CP134-P CMV Standard</v>
      </c>
      <c r="E141" s="36" t="str">
        <f t="shared" si="13"/>
        <v>RETURN - 1st don of the week -STD</v>
      </c>
      <c r="F141" s="36" t="str">
        <f t="shared" si="14"/>
        <v>CP134-RETURN - 1st don of the week -STD</v>
      </c>
      <c r="G141" s="155">
        <f>IFERROR(VLOOKUP(F141,SpecialtyBaseLU,11,FALSE),0)</f>
        <v>40</v>
      </c>
      <c r="H141" s="5">
        <v>0</v>
      </c>
      <c r="J141" s="5">
        <f t="shared" si="15"/>
        <v>40</v>
      </c>
      <c r="K141" s="148">
        <f t="shared" si="16"/>
        <v>40</v>
      </c>
      <c r="L141" s="5">
        <f t="shared" si="17"/>
        <v>0</v>
      </c>
    </row>
    <row r="142" spans="1:12" x14ac:dyDescent="0.25">
      <c r="A142" t="s">
        <v>181</v>
      </c>
      <c r="B142" t="s">
        <v>182</v>
      </c>
      <c r="C142" t="s">
        <v>472</v>
      </c>
      <c r="D142" s="36" t="str">
        <f t="shared" si="12"/>
        <v>CP134-P HBS Pre-Existing Standard</v>
      </c>
      <c r="E142" s="36" t="str">
        <f t="shared" si="13"/>
        <v>RETURN - 1st don of the week -STD</v>
      </c>
      <c r="F142" s="36" t="str">
        <f t="shared" si="14"/>
        <v>CP134-RETURN - 1st don of the week -STD</v>
      </c>
      <c r="G142" s="155">
        <f>IFERROR(VLOOKUP(F142,SpecialtyBaseLU,11,FALSE),0)</f>
        <v>40</v>
      </c>
      <c r="H142" s="5">
        <v>5</v>
      </c>
      <c r="J142" s="5">
        <f t="shared" si="15"/>
        <v>45</v>
      </c>
      <c r="K142" s="148">
        <f t="shared" si="16"/>
        <v>45</v>
      </c>
      <c r="L142" s="5">
        <f t="shared" si="17"/>
        <v>0</v>
      </c>
    </row>
    <row r="143" spans="1:12" x14ac:dyDescent="0.25">
      <c r="A143" t="s">
        <v>181</v>
      </c>
      <c r="B143" t="s">
        <v>182</v>
      </c>
      <c r="C143" t="s">
        <v>506</v>
      </c>
      <c r="D143" s="36" t="str">
        <f t="shared" si="12"/>
        <v>CP134-P HBS TWINRIX Standard</v>
      </c>
      <c r="E143" s="36" t="str">
        <f t="shared" si="13"/>
        <v>RETURN - 1st don of the week -STD</v>
      </c>
      <c r="F143" s="36" t="str">
        <f t="shared" si="14"/>
        <v>CP134-RETURN - 1st don of the week -STD</v>
      </c>
      <c r="G143" s="155">
        <f>IFERROR(VLOOKUP(F143,SpecialtyBaseLU,11,FALSE),0)</f>
        <v>40</v>
      </c>
      <c r="H143" s="5">
        <v>5</v>
      </c>
      <c r="J143" s="5">
        <f t="shared" si="15"/>
        <v>45</v>
      </c>
      <c r="K143" s="148">
        <f t="shared" si="16"/>
        <v>45</v>
      </c>
      <c r="L143" s="5">
        <f t="shared" si="17"/>
        <v>0</v>
      </c>
    </row>
    <row r="144" spans="1:12" x14ac:dyDescent="0.25">
      <c r="A144" t="s">
        <v>181</v>
      </c>
      <c r="B144" t="s">
        <v>182</v>
      </c>
      <c r="C144" t="s">
        <v>507</v>
      </c>
      <c r="D144" s="36" t="str">
        <f t="shared" si="12"/>
        <v>CP134-P HBS TWINRIX-AP Standard</v>
      </c>
      <c r="E144" s="36" t="str">
        <f t="shared" si="13"/>
        <v>RETURN - 1st don of the week -STD</v>
      </c>
      <c r="F144" s="36" t="str">
        <f t="shared" si="14"/>
        <v>CP134-RETURN - 1st don of the week -STD</v>
      </c>
      <c r="G144" s="155">
        <f>IFERROR(VLOOKUP(F144,SpecialtyBaseLU,11,FALSE),0)</f>
        <v>40</v>
      </c>
      <c r="H144" s="5">
        <f>K144-G144</f>
        <v>5</v>
      </c>
      <c r="J144" s="5">
        <f t="shared" si="15"/>
        <v>45</v>
      </c>
      <c r="K144" s="148">
        <f t="shared" si="16"/>
        <v>45</v>
      </c>
      <c r="L144" s="5">
        <f t="shared" si="17"/>
        <v>0</v>
      </c>
    </row>
    <row r="145" spans="1:12" x14ac:dyDescent="0.25">
      <c r="A145" t="s">
        <v>181</v>
      </c>
      <c r="B145" t="s">
        <v>182</v>
      </c>
      <c r="C145" t="s">
        <v>512</v>
      </c>
      <c r="D145" s="36" t="str">
        <f t="shared" si="12"/>
        <v>CP134-P VIP A Standard</v>
      </c>
      <c r="E145" s="36" t="str">
        <f t="shared" si="13"/>
        <v>RETURN - 1st don of the week -STD</v>
      </c>
      <c r="F145" s="36" t="str">
        <f t="shared" si="14"/>
        <v>CP134-RETURN - 1st don of the week -STD</v>
      </c>
      <c r="G145" s="155">
        <f>IFERROR(VLOOKUP(F145,SpecialtyBaseLU,11,FALSE),0)</f>
        <v>40</v>
      </c>
      <c r="H145" s="5">
        <f>K145-G145</f>
        <v>0</v>
      </c>
      <c r="J145" s="5">
        <f t="shared" si="15"/>
        <v>40</v>
      </c>
      <c r="K145" s="148">
        <f t="shared" si="16"/>
        <v>40</v>
      </c>
      <c r="L145" s="5">
        <f t="shared" si="17"/>
        <v>0</v>
      </c>
    </row>
    <row r="146" spans="1:12" x14ac:dyDescent="0.25">
      <c r="A146" t="s">
        <v>181</v>
      </c>
      <c r="B146" t="s">
        <v>182</v>
      </c>
      <c r="C146" t="s">
        <v>513</v>
      </c>
      <c r="D146" s="36" t="str">
        <f t="shared" si="12"/>
        <v>CP134-P VIP AB Standard</v>
      </c>
      <c r="E146" s="36" t="str">
        <f t="shared" si="13"/>
        <v>RETURN - 1st don of the week -STD</v>
      </c>
      <c r="F146" s="36" t="str">
        <f t="shared" si="14"/>
        <v>CP134-RETURN - 1st don of the week -STD</v>
      </c>
      <c r="G146" s="155">
        <f>IFERROR(VLOOKUP(F146,SpecialtyBaseLU,11,FALSE),0)</f>
        <v>40</v>
      </c>
      <c r="H146" s="5">
        <f>K146-G146</f>
        <v>0</v>
      </c>
      <c r="J146" s="5">
        <f t="shared" si="15"/>
        <v>40</v>
      </c>
      <c r="K146" s="148">
        <f t="shared" si="16"/>
        <v>40</v>
      </c>
      <c r="L146" s="5">
        <f t="shared" si="17"/>
        <v>0</v>
      </c>
    </row>
    <row r="147" spans="1:12" x14ac:dyDescent="0.25">
      <c r="A147" t="s">
        <v>181</v>
      </c>
      <c r="B147" t="s">
        <v>182</v>
      </c>
      <c r="C147" t="s">
        <v>495</v>
      </c>
      <c r="D147" s="36" t="str">
        <f t="shared" si="12"/>
        <v>CP134-P VZV Pre-Existing AP</v>
      </c>
      <c r="E147" s="36" t="str">
        <f t="shared" si="13"/>
        <v>RETURN - 1st don of the week -STD</v>
      </c>
      <c r="F147" s="36" t="str">
        <f t="shared" si="14"/>
        <v>CP134-RETURN - 1st don of the week -STD</v>
      </c>
      <c r="G147" s="155">
        <f>IFERROR(VLOOKUP(F147,SpecialtyBaseLU,11,FALSE),0)</f>
        <v>40</v>
      </c>
      <c r="H147" s="5">
        <v>10</v>
      </c>
      <c r="J147" s="5">
        <f t="shared" si="15"/>
        <v>50</v>
      </c>
      <c r="K147" s="148">
        <f t="shared" si="16"/>
        <v>50</v>
      </c>
      <c r="L147" s="5">
        <f t="shared" si="17"/>
        <v>0</v>
      </c>
    </row>
    <row r="148" spans="1:12" x14ac:dyDescent="0.25">
      <c r="A148" t="s">
        <v>181</v>
      </c>
      <c r="B148" t="s">
        <v>182</v>
      </c>
      <c r="C148" t="s">
        <v>496</v>
      </c>
      <c r="D148" s="36" t="str">
        <f t="shared" si="12"/>
        <v>CP134-P VZV Standard</v>
      </c>
      <c r="E148" s="36" t="str">
        <f t="shared" si="13"/>
        <v>RETURN - 1st don of the week -STD</v>
      </c>
      <c r="F148" s="36" t="str">
        <f t="shared" si="14"/>
        <v>CP134-RETURN - 1st don of the week -STD</v>
      </c>
      <c r="G148" s="155">
        <f>IFERROR(VLOOKUP(F148,SpecialtyBaseLU,11,FALSE),0)</f>
        <v>40</v>
      </c>
      <c r="H148" s="5">
        <v>10</v>
      </c>
      <c r="J148" s="5">
        <f t="shared" si="15"/>
        <v>50</v>
      </c>
      <c r="K148" s="148">
        <f t="shared" si="16"/>
        <v>50</v>
      </c>
      <c r="L148" s="5">
        <f t="shared" si="17"/>
        <v>0</v>
      </c>
    </row>
    <row r="149" spans="1:12" x14ac:dyDescent="0.25">
      <c r="A149" t="s">
        <v>181</v>
      </c>
      <c r="B149" t="s">
        <v>182</v>
      </c>
      <c r="C149" t="s">
        <v>497</v>
      </c>
      <c r="D149" s="36" t="str">
        <f t="shared" si="12"/>
        <v>CP134-PVZV Pre-Existing Standard</v>
      </c>
      <c r="E149" s="36" t="str">
        <f t="shared" si="13"/>
        <v>RETURN - 1st don of the week -STD</v>
      </c>
      <c r="F149" s="36" t="str">
        <f t="shared" si="14"/>
        <v>CP134-RETURN - 1st don of the week -STD</v>
      </c>
      <c r="G149" s="155">
        <f>IFERROR(VLOOKUP(F149,SpecialtyBaseLU,11,FALSE),0)</f>
        <v>40</v>
      </c>
      <c r="H149" s="5">
        <f>K149-G149</f>
        <v>10</v>
      </c>
      <c r="J149" s="5">
        <f t="shared" si="15"/>
        <v>50</v>
      </c>
      <c r="K149" s="148">
        <f t="shared" si="16"/>
        <v>50</v>
      </c>
      <c r="L149" s="5">
        <f t="shared" si="17"/>
        <v>0</v>
      </c>
    </row>
    <row r="150" spans="1:12" x14ac:dyDescent="0.25">
      <c r="A150" t="s">
        <v>343</v>
      </c>
      <c r="B150" t="s">
        <v>344</v>
      </c>
      <c r="C150" t="s">
        <v>469</v>
      </c>
      <c r="D150" s="36" t="str">
        <f t="shared" si="12"/>
        <v>CP685-P Anti-D Pre-Existing Standard</v>
      </c>
      <c r="E150" s="36" t="str">
        <f t="shared" si="13"/>
        <v>RETURN - 1st don of the week -STD</v>
      </c>
      <c r="F150" s="36" t="str">
        <f t="shared" si="14"/>
        <v>CP685-RETURN - 1st don of the week -STD</v>
      </c>
      <c r="G150" s="155">
        <f>IFERROR(VLOOKUP(F150,SpecialtyBaseLU,11,FALSE),0)</f>
        <v>45</v>
      </c>
      <c r="H150" s="5">
        <v>5</v>
      </c>
      <c r="J150" s="5">
        <f t="shared" si="15"/>
        <v>50</v>
      </c>
      <c r="K150" s="148">
        <f t="shared" si="16"/>
        <v>50</v>
      </c>
      <c r="L150" s="5">
        <f t="shared" si="17"/>
        <v>0</v>
      </c>
    </row>
    <row r="151" spans="1:12" s="147" customFormat="1" x14ac:dyDescent="0.25">
      <c r="A151" s="147" t="s">
        <v>85</v>
      </c>
      <c r="B151" s="147" t="s">
        <v>86</v>
      </c>
      <c r="C151" s="147" t="s">
        <v>488</v>
      </c>
      <c r="D151" s="149" t="str">
        <f t="shared" si="12"/>
        <v>CP179-2X Week P VZV</v>
      </c>
      <c r="E151" s="149" t="str">
        <f t="shared" si="13"/>
        <v>RETURN - 2nd don of the week -BONUS</v>
      </c>
      <c r="F151" s="149" t="str">
        <f t="shared" si="14"/>
        <v>CP179-RETURN - 2nd don of the week -BONUS</v>
      </c>
      <c r="G151" s="155">
        <f>IFERROR(VLOOKUP(F151,SpecialtyBaseLU,11,FALSE),0)</f>
        <v>0</v>
      </c>
      <c r="H151" s="150">
        <v>0</v>
      </c>
      <c r="I151" s="150"/>
      <c r="J151" s="150">
        <f t="shared" si="15"/>
        <v>0</v>
      </c>
      <c r="K151" s="151">
        <f t="shared" si="16"/>
        <v>10</v>
      </c>
      <c r="L151" s="150">
        <f t="shared" si="17"/>
        <v>-10</v>
      </c>
    </row>
    <row r="152" spans="1:12" s="147" customFormat="1" x14ac:dyDescent="0.25">
      <c r="A152" s="147" t="s">
        <v>85</v>
      </c>
      <c r="B152" s="147" t="s">
        <v>86</v>
      </c>
      <c r="C152" s="147" t="s">
        <v>489</v>
      </c>
      <c r="D152" s="149" t="str">
        <f t="shared" si="12"/>
        <v>CP179-2X Week P VZV AP</v>
      </c>
      <c r="E152" s="149" t="str">
        <f t="shared" si="13"/>
        <v>RETURN - 2nd don of the week -BONUS</v>
      </c>
      <c r="F152" s="149" t="str">
        <f t="shared" si="14"/>
        <v>CP179-RETURN - 2nd don of the week -BONUS</v>
      </c>
      <c r="G152" s="155">
        <f>IFERROR(VLOOKUP(F152,SpecialtyBaseLU,11,FALSE),0)</f>
        <v>0</v>
      </c>
      <c r="H152" s="150">
        <v>0</v>
      </c>
      <c r="I152" s="150"/>
      <c r="J152" s="150">
        <f t="shared" si="15"/>
        <v>0</v>
      </c>
      <c r="K152" s="151">
        <f t="shared" si="16"/>
        <v>10</v>
      </c>
      <c r="L152" s="150">
        <f t="shared" si="17"/>
        <v>-10</v>
      </c>
    </row>
    <row r="153" spans="1:12" s="147" customFormat="1" x14ac:dyDescent="0.25">
      <c r="A153" s="147" t="s">
        <v>85</v>
      </c>
      <c r="B153" s="147" t="s">
        <v>86</v>
      </c>
      <c r="C153" s="147" t="s">
        <v>490</v>
      </c>
      <c r="D153" s="149" t="str">
        <f t="shared" si="12"/>
        <v>CP179-2X Week P VZV Pre-Existing</v>
      </c>
      <c r="E153" s="149" t="str">
        <f t="shared" si="13"/>
        <v>RETURN - 2nd don of the week -BONUS</v>
      </c>
      <c r="F153" s="149" t="str">
        <f t="shared" si="14"/>
        <v>CP179-RETURN - 2nd don of the week -BONUS</v>
      </c>
      <c r="G153" s="155">
        <f>IFERROR(VLOOKUP(F153,SpecialtyBaseLU,11,FALSE),0)</f>
        <v>0</v>
      </c>
      <c r="H153" s="150">
        <v>0</v>
      </c>
      <c r="I153" s="150"/>
      <c r="J153" s="150">
        <f t="shared" si="15"/>
        <v>0</v>
      </c>
      <c r="K153" s="151">
        <f t="shared" si="16"/>
        <v>10</v>
      </c>
      <c r="L153" s="150">
        <f t="shared" si="17"/>
        <v>-10</v>
      </c>
    </row>
    <row r="154" spans="1:12" s="147" customFormat="1" x14ac:dyDescent="0.25">
      <c r="A154" s="147" t="s">
        <v>85</v>
      </c>
      <c r="B154" s="147" t="s">
        <v>86</v>
      </c>
      <c r="C154" s="147" t="s">
        <v>491</v>
      </c>
      <c r="D154" s="149" t="str">
        <f t="shared" si="12"/>
        <v>CP179-2X Week P VZV Pre-Existing AP</v>
      </c>
      <c r="E154" s="149" t="str">
        <f t="shared" si="13"/>
        <v>RETURN - 2nd don of the week -BONUS</v>
      </c>
      <c r="F154" s="149" t="str">
        <f t="shared" si="14"/>
        <v>CP179-RETURN - 2nd don of the week -BONUS</v>
      </c>
      <c r="G154" s="155">
        <f>IFERROR(VLOOKUP(F154,SpecialtyBaseLU,11,FALSE),0)</f>
        <v>0</v>
      </c>
      <c r="H154" s="150">
        <v>0</v>
      </c>
      <c r="I154" s="150"/>
      <c r="J154" s="150">
        <f t="shared" si="15"/>
        <v>0</v>
      </c>
      <c r="K154" s="151">
        <f t="shared" si="16"/>
        <v>10</v>
      </c>
      <c r="L154" s="150">
        <f t="shared" si="17"/>
        <v>-10</v>
      </c>
    </row>
    <row r="155" spans="1:12" s="147" customFormat="1" x14ac:dyDescent="0.25">
      <c r="A155" s="147" t="s">
        <v>85</v>
      </c>
      <c r="B155" s="147" t="s">
        <v>86</v>
      </c>
      <c r="C155" s="147" t="s">
        <v>469</v>
      </c>
      <c r="D155" s="149" t="str">
        <f t="shared" si="12"/>
        <v>CP179-P Anti-D Pre-Existing Standard</v>
      </c>
      <c r="E155" s="149" t="str">
        <f t="shared" si="13"/>
        <v>RETURN - 1st don of the week -STD</v>
      </c>
      <c r="F155" s="149" t="str">
        <f t="shared" si="14"/>
        <v>CP179-RETURN - 1st don of the week -STD</v>
      </c>
      <c r="G155" s="155">
        <f>IFERROR(VLOOKUP(F155,SpecialtyBaseLU,11,FALSE),0)</f>
        <v>0</v>
      </c>
      <c r="H155" s="150">
        <v>-5</v>
      </c>
      <c r="I155" s="150"/>
      <c r="J155" s="150">
        <f t="shared" si="15"/>
        <v>-5</v>
      </c>
      <c r="K155" s="151">
        <f t="shared" si="16"/>
        <v>50</v>
      </c>
      <c r="L155" s="150">
        <f t="shared" si="17"/>
        <v>-55</v>
      </c>
    </row>
    <row r="156" spans="1:12" s="147" customFormat="1" x14ac:dyDescent="0.25">
      <c r="A156" s="147" t="s">
        <v>85</v>
      </c>
      <c r="B156" s="147" t="s">
        <v>86</v>
      </c>
      <c r="C156" s="147" t="s">
        <v>495</v>
      </c>
      <c r="D156" s="149" t="str">
        <f t="shared" si="12"/>
        <v>CP179-P VZV Pre-Existing AP</v>
      </c>
      <c r="E156" s="149" t="str">
        <f t="shared" si="13"/>
        <v>RETURN - 1st don of the week -STD</v>
      </c>
      <c r="F156" s="149" t="str">
        <f t="shared" si="14"/>
        <v>CP179-RETURN - 1st don of the week -STD</v>
      </c>
      <c r="G156" s="155">
        <f>IFERROR(VLOOKUP(F156,SpecialtyBaseLU,11,FALSE),0)</f>
        <v>0</v>
      </c>
      <c r="H156" s="150">
        <v>10</v>
      </c>
      <c r="I156" s="150">
        <v>0</v>
      </c>
      <c r="J156" s="150">
        <f t="shared" si="15"/>
        <v>10</v>
      </c>
      <c r="K156" s="151">
        <f t="shared" si="16"/>
        <v>65</v>
      </c>
      <c r="L156" s="150">
        <f t="shared" si="17"/>
        <v>-55</v>
      </c>
    </row>
    <row r="157" spans="1:12" s="147" customFormat="1" x14ac:dyDescent="0.25">
      <c r="A157" s="147" t="s">
        <v>85</v>
      </c>
      <c r="B157" s="147" t="s">
        <v>86</v>
      </c>
      <c r="C157" s="147" t="s">
        <v>496</v>
      </c>
      <c r="D157" s="149" t="str">
        <f t="shared" si="12"/>
        <v>CP179-P VZV Standard</v>
      </c>
      <c r="E157" s="149" t="str">
        <f t="shared" si="13"/>
        <v>RETURN - 1st don of the week -STD</v>
      </c>
      <c r="F157" s="149" t="str">
        <f t="shared" si="14"/>
        <v>CP179-RETURN - 1st don of the week -STD</v>
      </c>
      <c r="G157" s="155">
        <f>IFERROR(VLOOKUP(F157,SpecialtyBaseLU,11,FALSE),0)</f>
        <v>0</v>
      </c>
      <c r="H157" s="150">
        <v>10</v>
      </c>
      <c r="I157" s="150">
        <v>0</v>
      </c>
      <c r="J157" s="150">
        <f t="shared" si="15"/>
        <v>10</v>
      </c>
      <c r="K157" s="151">
        <f t="shared" si="16"/>
        <v>65</v>
      </c>
      <c r="L157" s="150">
        <f t="shared" si="17"/>
        <v>-55</v>
      </c>
    </row>
    <row r="158" spans="1:12" s="147" customFormat="1" x14ac:dyDescent="0.25">
      <c r="A158" s="147" t="s">
        <v>85</v>
      </c>
      <c r="B158" s="147" t="s">
        <v>86</v>
      </c>
      <c r="C158" s="147" t="s">
        <v>497</v>
      </c>
      <c r="D158" s="149" t="str">
        <f t="shared" si="12"/>
        <v>CP179-PVZV Pre-Existing Standard</v>
      </c>
      <c r="E158" s="149" t="str">
        <f t="shared" si="13"/>
        <v>RETURN - 1st don of the week -STD</v>
      </c>
      <c r="F158" s="149" t="str">
        <f t="shared" si="14"/>
        <v>CP179-RETURN - 1st don of the week -STD</v>
      </c>
      <c r="G158" s="155">
        <f>IFERROR(VLOOKUP(F158,SpecialtyBaseLU,11,FALSE),0)</f>
        <v>0</v>
      </c>
      <c r="H158" s="150">
        <f>K158-G158</f>
        <v>65</v>
      </c>
      <c r="I158" s="150"/>
      <c r="J158" s="150">
        <f t="shared" si="15"/>
        <v>65</v>
      </c>
      <c r="K158" s="151">
        <f t="shared" si="16"/>
        <v>65</v>
      </c>
      <c r="L158" s="150">
        <f t="shared" si="17"/>
        <v>0</v>
      </c>
    </row>
    <row r="159" spans="1:12" x14ac:dyDescent="0.25">
      <c r="A159" t="s">
        <v>135</v>
      </c>
      <c r="B159" t="s">
        <v>136</v>
      </c>
      <c r="C159" t="s">
        <v>490</v>
      </c>
      <c r="D159" s="36" t="str">
        <f t="shared" si="12"/>
        <v>CP184-2X Week P VZV Pre-Existing</v>
      </c>
      <c r="E159" s="36" t="str">
        <f t="shared" si="13"/>
        <v>RETURN - 2nd don of the week -BONUS</v>
      </c>
      <c r="F159" s="36" t="str">
        <f t="shared" si="14"/>
        <v>CP184-RETURN - 2nd don of the week -BONUS</v>
      </c>
      <c r="G159" s="155">
        <f>IFERROR(VLOOKUP(F159,SpecialtyBaseLU,11,FALSE),0)</f>
        <v>20</v>
      </c>
      <c r="H159" s="5">
        <v>0</v>
      </c>
      <c r="J159" s="5">
        <f t="shared" si="15"/>
        <v>20</v>
      </c>
      <c r="K159" s="148">
        <f t="shared" si="16"/>
        <v>15</v>
      </c>
      <c r="L159" s="5">
        <f t="shared" si="17"/>
        <v>5</v>
      </c>
    </row>
    <row r="160" spans="1:12" x14ac:dyDescent="0.25">
      <c r="A160" t="s">
        <v>135</v>
      </c>
      <c r="B160" t="s">
        <v>136</v>
      </c>
      <c r="C160" t="s">
        <v>491</v>
      </c>
      <c r="D160" s="36" t="str">
        <f t="shared" si="12"/>
        <v>CP184-2X Week P VZV Pre-Existing AP</v>
      </c>
      <c r="E160" s="36" t="str">
        <f t="shared" si="13"/>
        <v>RETURN - 2nd don of the week -BONUS</v>
      </c>
      <c r="F160" s="36" t="str">
        <f t="shared" si="14"/>
        <v>CP184-RETURN - 2nd don of the week -BONUS</v>
      </c>
      <c r="G160" s="155">
        <f>IFERROR(VLOOKUP(F160,SpecialtyBaseLU,11,FALSE),0)</f>
        <v>20</v>
      </c>
      <c r="H160" s="5">
        <v>0</v>
      </c>
      <c r="J160" s="5">
        <f t="shared" si="15"/>
        <v>20</v>
      </c>
      <c r="K160" s="148">
        <f t="shared" si="16"/>
        <v>15</v>
      </c>
      <c r="L160" s="5">
        <f t="shared" si="17"/>
        <v>5</v>
      </c>
    </row>
    <row r="161" spans="1:12" x14ac:dyDescent="0.25">
      <c r="A161" t="s">
        <v>135</v>
      </c>
      <c r="B161" t="s">
        <v>136</v>
      </c>
      <c r="C161" t="s">
        <v>469</v>
      </c>
      <c r="D161" s="36" t="str">
        <f t="shared" si="12"/>
        <v>CP184-P Anti-D Pre-Existing Standard</v>
      </c>
      <c r="E161" s="36" t="str">
        <f t="shared" si="13"/>
        <v>RETURN - 1st don of the week -STD</v>
      </c>
      <c r="F161" s="36" t="str">
        <f t="shared" si="14"/>
        <v>CP184-RETURN - 1st don of the week -STD</v>
      </c>
      <c r="G161" s="155">
        <f>IFERROR(VLOOKUP(F161,SpecialtyBaseLU,11,FALSE),0)</f>
        <v>50</v>
      </c>
      <c r="H161" s="5">
        <v>-10</v>
      </c>
      <c r="J161" s="5">
        <f t="shared" si="15"/>
        <v>40</v>
      </c>
      <c r="K161" s="148">
        <f t="shared" si="16"/>
        <v>50</v>
      </c>
      <c r="L161" s="5">
        <f t="shared" si="17"/>
        <v>-10</v>
      </c>
    </row>
    <row r="162" spans="1:12" x14ac:dyDescent="0.25">
      <c r="A162" t="s">
        <v>135</v>
      </c>
      <c r="B162" t="s">
        <v>136</v>
      </c>
      <c r="C162" t="s">
        <v>475</v>
      </c>
      <c r="D162" s="36" t="str">
        <f t="shared" si="12"/>
        <v>CP184-P Vaccinia AP Standard</v>
      </c>
      <c r="E162" s="36">
        <f t="shared" si="13"/>
        <v>0</v>
      </c>
      <c r="F162" s="36" t="str">
        <f t="shared" si="14"/>
        <v>CP184-0</v>
      </c>
      <c r="G162" s="155">
        <f>IFERROR(VLOOKUP(F162,SpecialtyBaseLU,11,FALSE),0)</f>
        <v>0</v>
      </c>
      <c r="I162" s="5">
        <v>100</v>
      </c>
      <c r="J162" s="5">
        <f t="shared" si="15"/>
        <v>100</v>
      </c>
      <c r="K162" s="148">
        <f t="shared" si="16"/>
        <v>100</v>
      </c>
      <c r="L162" s="5">
        <f t="shared" si="17"/>
        <v>0</v>
      </c>
    </row>
    <row r="163" spans="1:12" x14ac:dyDescent="0.25">
      <c r="A163" t="s">
        <v>135</v>
      </c>
      <c r="B163" t="s">
        <v>136</v>
      </c>
      <c r="C163" t="s">
        <v>476</v>
      </c>
      <c r="D163" s="36" t="str">
        <f t="shared" si="12"/>
        <v>CP184-P Vaccinia Standard</v>
      </c>
      <c r="E163" s="36">
        <f t="shared" si="13"/>
        <v>0</v>
      </c>
      <c r="F163" s="36" t="str">
        <f t="shared" si="14"/>
        <v>CP184-0</v>
      </c>
      <c r="G163" s="155">
        <f>IFERROR(VLOOKUP(F163,SpecialtyBaseLU,11,FALSE),0)</f>
        <v>0</v>
      </c>
      <c r="I163" s="5">
        <v>100</v>
      </c>
      <c r="J163" s="5">
        <f t="shared" si="15"/>
        <v>100</v>
      </c>
      <c r="K163" s="148">
        <f t="shared" si="16"/>
        <v>100</v>
      </c>
      <c r="L163" s="5">
        <f t="shared" si="17"/>
        <v>0</v>
      </c>
    </row>
    <row r="164" spans="1:12" x14ac:dyDescent="0.25">
      <c r="A164" t="s">
        <v>135</v>
      </c>
      <c r="B164" t="s">
        <v>136</v>
      </c>
      <c r="C164" t="s">
        <v>495</v>
      </c>
      <c r="D164" s="36" t="str">
        <f t="shared" si="12"/>
        <v>CP184-P VZV Pre-Existing AP</v>
      </c>
      <c r="E164" s="36" t="str">
        <f t="shared" si="13"/>
        <v>RETURN - 1st don of the week -STD</v>
      </c>
      <c r="F164" s="36" t="str">
        <f t="shared" si="14"/>
        <v>CP184-RETURN - 1st don of the week -STD</v>
      </c>
      <c r="G164" s="155">
        <f>IFERROR(VLOOKUP(F164,SpecialtyBaseLU,11,FALSE),0)</f>
        <v>50</v>
      </c>
      <c r="H164" s="5">
        <v>10</v>
      </c>
      <c r="I164" s="5">
        <v>0</v>
      </c>
      <c r="J164" s="5">
        <f t="shared" si="15"/>
        <v>60</v>
      </c>
      <c r="K164" s="148">
        <f t="shared" si="16"/>
        <v>70</v>
      </c>
      <c r="L164" s="5">
        <f t="shared" si="17"/>
        <v>-10</v>
      </c>
    </row>
    <row r="165" spans="1:12" x14ac:dyDescent="0.25">
      <c r="A165" t="s">
        <v>135</v>
      </c>
      <c r="B165" t="s">
        <v>136</v>
      </c>
      <c r="C165" t="s">
        <v>497</v>
      </c>
      <c r="D165" s="36" t="str">
        <f t="shared" si="12"/>
        <v>CP184-PVZV Pre-Existing Standard</v>
      </c>
      <c r="E165" s="36" t="str">
        <f t="shared" si="13"/>
        <v>RETURN - 1st don of the week -STD</v>
      </c>
      <c r="F165" s="36" t="str">
        <f t="shared" si="14"/>
        <v>CP184-RETURN - 1st don of the week -STD</v>
      </c>
      <c r="G165" s="155">
        <f>IFERROR(VLOOKUP(F165,SpecialtyBaseLU,11,FALSE),0)</f>
        <v>50</v>
      </c>
      <c r="H165" s="5">
        <f>K165-G165</f>
        <v>20</v>
      </c>
      <c r="J165" s="5">
        <f t="shared" si="15"/>
        <v>70</v>
      </c>
      <c r="K165" s="148">
        <f t="shared" si="16"/>
        <v>70</v>
      </c>
      <c r="L165" s="5">
        <f t="shared" si="17"/>
        <v>0</v>
      </c>
    </row>
    <row r="166" spans="1:12" x14ac:dyDescent="0.25">
      <c r="A166" t="s">
        <v>135</v>
      </c>
      <c r="B166" t="s">
        <v>136</v>
      </c>
      <c r="C166" t="s">
        <v>477</v>
      </c>
      <c r="D166" s="36" t="str">
        <f t="shared" si="12"/>
        <v>CP184-Vaccinia - 1st Donation</v>
      </c>
      <c r="E166" s="36">
        <f t="shared" si="13"/>
        <v>0</v>
      </c>
      <c r="F166" s="36" t="str">
        <f t="shared" si="14"/>
        <v>CP184-0</v>
      </c>
      <c r="G166" s="155">
        <f>IFERROR(VLOOKUP(F166,SpecialtyBaseLU,11,FALSE),0)</f>
        <v>0</v>
      </c>
      <c r="I166" s="5">
        <v>150</v>
      </c>
      <c r="J166" s="5">
        <f t="shared" si="15"/>
        <v>150</v>
      </c>
      <c r="K166" s="148">
        <f t="shared" si="16"/>
        <v>150</v>
      </c>
      <c r="L166" s="5">
        <f t="shared" si="17"/>
        <v>0</v>
      </c>
    </row>
    <row r="167" spans="1:12" x14ac:dyDescent="0.25">
      <c r="A167" t="s">
        <v>135</v>
      </c>
      <c r="B167" t="s">
        <v>136</v>
      </c>
      <c r="C167" t="s">
        <v>478</v>
      </c>
      <c r="D167" s="36" t="str">
        <f t="shared" si="12"/>
        <v>CP184-Vaccinia - 2nd Donation</v>
      </c>
      <c r="E167" s="36">
        <f t="shared" si="13"/>
        <v>0</v>
      </c>
      <c r="F167" s="36" t="str">
        <f t="shared" si="14"/>
        <v>CP184-0</v>
      </c>
      <c r="G167" s="155">
        <f>IFERROR(VLOOKUP(F167,SpecialtyBaseLU,11,FALSE),0)</f>
        <v>0</v>
      </c>
      <c r="I167" s="5">
        <v>250</v>
      </c>
      <c r="J167" s="5">
        <f t="shared" si="15"/>
        <v>250</v>
      </c>
      <c r="K167" s="148">
        <f t="shared" si="16"/>
        <v>250</v>
      </c>
      <c r="L167" s="5">
        <f t="shared" si="17"/>
        <v>0</v>
      </c>
    </row>
    <row r="168" spans="1:12" x14ac:dyDescent="0.25">
      <c r="A168" t="s">
        <v>135</v>
      </c>
      <c r="B168" t="s">
        <v>136</v>
      </c>
      <c r="C168" t="s">
        <v>479</v>
      </c>
      <c r="D168" s="36" t="str">
        <f t="shared" si="12"/>
        <v>CP184-Vaccinia - 3rd Donation</v>
      </c>
      <c r="E168" s="36">
        <f t="shared" si="13"/>
        <v>0</v>
      </c>
      <c r="F168" s="36" t="str">
        <f t="shared" si="14"/>
        <v>CP184-0</v>
      </c>
      <c r="G168" s="155">
        <f>IFERROR(VLOOKUP(F168,SpecialtyBaseLU,11,FALSE),0)</f>
        <v>0</v>
      </c>
      <c r="I168" s="5">
        <v>300</v>
      </c>
      <c r="J168" s="5">
        <f t="shared" si="15"/>
        <v>300</v>
      </c>
      <c r="K168" s="148">
        <f t="shared" si="16"/>
        <v>300</v>
      </c>
      <c r="L168" s="5">
        <f t="shared" si="17"/>
        <v>0</v>
      </c>
    </row>
    <row r="169" spans="1:12" x14ac:dyDescent="0.25">
      <c r="A169" t="s">
        <v>135</v>
      </c>
      <c r="B169" t="s">
        <v>136</v>
      </c>
      <c r="C169" t="s">
        <v>480</v>
      </c>
      <c r="D169" s="36" t="str">
        <f t="shared" si="12"/>
        <v>CP184-Vaccinia - 4th Donation</v>
      </c>
      <c r="E169" s="36">
        <f t="shared" si="13"/>
        <v>0</v>
      </c>
      <c r="F169" s="36" t="str">
        <f t="shared" si="14"/>
        <v>CP184-0</v>
      </c>
      <c r="G169" s="155">
        <f>IFERROR(VLOOKUP(F169,SpecialtyBaseLU,11,FALSE),0)</f>
        <v>0</v>
      </c>
      <c r="I169" s="5">
        <v>300</v>
      </c>
      <c r="J169" s="5">
        <f t="shared" si="15"/>
        <v>300</v>
      </c>
      <c r="K169" s="148">
        <f t="shared" si="16"/>
        <v>300</v>
      </c>
      <c r="L169" s="5">
        <f t="shared" si="17"/>
        <v>0</v>
      </c>
    </row>
    <row r="170" spans="1:12" x14ac:dyDescent="0.25">
      <c r="A170" t="s">
        <v>135</v>
      </c>
      <c r="B170" t="s">
        <v>136</v>
      </c>
      <c r="C170" t="s">
        <v>481</v>
      </c>
      <c r="D170" s="36" t="str">
        <f t="shared" si="12"/>
        <v>CP184-Vaccinia AP - 1st Donation</v>
      </c>
      <c r="E170" s="36">
        <f t="shared" si="13"/>
        <v>0</v>
      </c>
      <c r="F170" s="36" t="str">
        <f t="shared" si="14"/>
        <v>CP184-0</v>
      </c>
      <c r="G170" s="155">
        <f>IFERROR(VLOOKUP(F170,SpecialtyBaseLU,11,FALSE),0)</f>
        <v>0</v>
      </c>
      <c r="I170" s="5">
        <v>150</v>
      </c>
      <c r="J170" s="5">
        <f t="shared" si="15"/>
        <v>150</v>
      </c>
      <c r="K170" s="148">
        <f t="shared" si="16"/>
        <v>150</v>
      </c>
      <c r="L170" s="5">
        <f t="shared" si="17"/>
        <v>0</v>
      </c>
    </row>
    <row r="171" spans="1:12" x14ac:dyDescent="0.25">
      <c r="A171" t="s">
        <v>135</v>
      </c>
      <c r="B171" t="s">
        <v>136</v>
      </c>
      <c r="C171" t="s">
        <v>482</v>
      </c>
      <c r="D171" s="36" t="str">
        <f t="shared" si="12"/>
        <v>CP184-Vaccinia AP - 2nd Donation</v>
      </c>
      <c r="E171" s="36">
        <f t="shared" si="13"/>
        <v>0</v>
      </c>
      <c r="F171" s="36" t="str">
        <f t="shared" si="14"/>
        <v>CP184-0</v>
      </c>
      <c r="G171" s="155">
        <f>IFERROR(VLOOKUP(F171,SpecialtyBaseLU,11,FALSE),0)</f>
        <v>0</v>
      </c>
      <c r="I171" s="5">
        <v>250</v>
      </c>
      <c r="J171" s="5">
        <f t="shared" si="15"/>
        <v>250</v>
      </c>
      <c r="K171" s="148">
        <f t="shared" si="16"/>
        <v>250</v>
      </c>
      <c r="L171" s="5">
        <f t="shared" si="17"/>
        <v>0</v>
      </c>
    </row>
    <row r="172" spans="1:12" x14ac:dyDescent="0.25">
      <c r="A172" t="s">
        <v>135</v>
      </c>
      <c r="B172" t="s">
        <v>136</v>
      </c>
      <c r="C172" t="s">
        <v>483</v>
      </c>
      <c r="D172" s="36" t="str">
        <f t="shared" si="12"/>
        <v>CP184-Vaccinia AP - 3rd Donation</v>
      </c>
      <c r="E172" s="36">
        <f t="shared" si="13"/>
        <v>0</v>
      </c>
      <c r="F172" s="36" t="str">
        <f t="shared" si="14"/>
        <v>CP184-0</v>
      </c>
      <c r="G172" s="155">
        <f>IFERROR(VLOOKUP(F172,SpecialtyBaseLU,11,FALSE),0)</f>
        <v>0</v>
      </c>
      <c r="I172" s="5">
        <v>300</v>
      </c>
      <c r="J172" s="5">
        <f t="shared" si="15"/>
        <v>300</v>
      </c>
      <c r="K172" s="148">
        <f t="shared" si="16"/>
        <v>300</v>
      </c>
      <c r="L172" s="5">
        <f t="shared" si="17"/>
        <v>0</v>
      </c>
    </row>
    <row r="173" spans="1:12" x14ac:dyDescent="0.25">
      <c r="A173" t="s">
        <v>135</v>
      </c>
      <c r="B173" t="s">
        <v>136</v>
      </c>
      <c r="C173" t="s">
        <v>484</v>
      </c>
      <c r="D173" s="36" t="str">
        <f t="shared" si="12"/>
        <v>CP184-Vaccinia AP - 4th Donation</v>
      </c>
      <c r="E173" s="36">
        <f t="shared" si="13"/>
        <v>0</v>
      </c>
      <c r="F173" s="36" t="str">
        <f t="shared" si="14"/>
        <v>CP184-0</v>
      </c>
      <c r="G173" s="155">
        <f>IFERROR(VLOOKUP(F173,SpecialtyBaseLU,11,FALSE),0)</f>
        <v>0</v>
      </c>
      <c r="I173" s="5">
        <v>300</v>
      </c>
      <c r="J173" s="5">
        <f t="shared" si="15"/>
        <v>300</v>
      </c>
      <c r="K173" s="148">
        <f t="shared" si="16"/>
        <v>300</v>
      </c>
      <c r="L173" s="5">
        <f t="shared" si="17"/>
        <v>0</v>
      </c>
    </row>
    <row r="174" spans="1:12" x14ac:dyDescent="0.25">
      <c r="A174" t="s">
        <v>156</v>
      </c>
      <c r="B174" t="s">
        <v>158</v>
      </c>
      <c r="C174" t="s">
        <v>469</v>
      </c>
      <c r="D174" s="36" t="str">
        <f t="shared" si="12"/>
        <v>CP530-P Anti-D Pre-Existing Standard</v>
      </c>
      <c r="E174" s="36" t="str">
        <f t="shared" si="13"/>
        <v>RETURN - 1st don of the week -STD</v>
      </c>
      <c r="F174" s="36" t="str">
        <f t="shared" si="14"/>
        <v>CP530-RETURN - 1st don of the week -STD</v>
      </c>
      <c r="G174" s="155">
        <f>IFERROR(VLOOKUP(F174,SpecialtyBaseLU,11,FALSE),0)</f>
        <v>45</v>
      </c>
      <c r="H174" s="5">
        <v>5</v>
      </c>
      <c r="J174" s="5">
        <f t="shared" si="15"/>
        <v>50</v>
      </c>
      <c r="K174" s="148">
        <f t="shared" si="16"/>
        <v>50</v>
      </c>
      <c r="L174" s="5">
        <f t="shared" si="17"/>
        <v>0</v>
      </c>
    </row>
    <row r="175" spans="1:12" x14ac:dyDescent="0.25">
      <c r="A175" t="s">
        <v>514</v>
      </c>
      <c r="B175" t="s">
        <v>96</v>
      </c>
      <c r="C175" t="s">
        <v>490</v>
      </c>
      <c r="D175" s="36" t="str">
        <f t="shared" si="12"/>
        <v>CP185-2X Week P VZV Pre-Existing</v>
      </c>
      <c r="E175" s="36" t="str">
        <f t="shared" si="13"/>
        <v>RETURN - 2nd don of the week -BONUS</v>
      </c>
      <c r="F175" s="36" t="str">
        <f t="shared" si="14"/>
        <v>CP185-RETURN - 2nd don of the week -BONUS</v>
      </c>
      <c r="G175" s="155">
        <f>IFERROR(VLOOKUP(F175,SpecialtyBaseLU,11,FALSE),0)</f>
        <v>20</v>
      </c>
      <c r="H175" s="5">
        <v>0</v>
      </c>
      <c r="J175" s="5">
        <f t="shared" si="15"/>
        <v>20</v>
      </c>
      <c r="K175" s="148">
        <f t="shared" si="16"/>
        <v>5</v>
      </c>
      <c r="L175" s="5">
        <f t="shared" si="17"/>
        <v>15</v>
      </c>
    </row>
    <row r="176" spans="1:12" x14ac:dyDescent="0.25">
      <c r="A176" t="s">
        <v>514</v>
      </c>
      <c r="B176" t="s">
        <v>96</v>
      </c>
      <c r="C176" t="s">
        <v>491</v>
      </c>
      <c r="D176" s="36" t="str">
        <f t="shared" si="12"/>
        <v>CP185-2X Week P VZV Pre-Existing AP</v>
      </c>
      <c r="E176" s="36" t="str">
        <f t="shared" si="13"/>
        <v>RETURN - 2nd don of the week -BONUS</v>
      </c>
      <c r="F176" s="36" t="str">
        <f t="shared" si="14"/>
        <v>CP185-RETURN - 2nd don of the week -BONUS</v>
      </c>
      <c r="G176" s="155">
        <f>IFERROR(VLOOKUP(F176,SpecialtyBaseLU,11,FALSE),0)</f>
        <v>20</v>
      </c>
      <c r="H176" s="5">
        <v>0</v>
      </c>
      <c r="J176" s="5">
        <f t="shared" si="15"/>
        <v>20</v>
      </c>
      <c r="K176" s="148">
        <f t="shared" si="16"/>
        <v>5</v>
      </c>
      <c r="L176" s="5">
        <f t="shared" si="17"/>
        <v>15</v>
      </c>
    </row>
    <row r="177" spans="1:12" x14ac:dyDescent="0.25">
      <c r="A177" t="s">
        <v>514</v>
      </c>
      <c r="B177" t="s">
        <v>96</v>
      </c>
      <c r="C177" t="s">
        <v>469</v>
      </c>
      <c r="D177" s="36" t="str">
        <f t="shared" si="12"/>
        <v>CP185-P Anti-D Pre-Existing Standard</v>
      </c>
      <c r="E177" s="36" t="str">
        <f t="shared" si="13"/>
        <v>RETURN - 1st don of the week -STD</v>
      </c>
      <c r="F177" s="36" t="str">
        <f t="shared" si="14"/>
        <v>CP185-RETURN - 1st don of the week -STD</v>
      </c>
      <c r="G177" s="155">
        <f>IFERROR(VLOOKUP(F177,SpecialtyBaseLU,11,FALSE),0)</f>
        <v>55</v>
      </c>
      <c r="H177" s="5">
        <v>-15</v>
      </c>
      <c r="J177" s="5">
        <f t="shared" si="15"/>
        <v>40</v>
      </c>
      <c r="K177" s="148">
        <f t="shared" si="16"/>
        <v>50</v>
      </c>
      <c r="L177" s="5">
        <f t="shared" si="17"/>
        <v>-10</v>
      </c>
    </row>
    <row r="178" spans="1:12" x14ac:dyDescent="0.25">
      <c r="A178" t="s">
        <v>514</v>
      </c>
      <c r="B178" t="s">
        <v>96</v>
      </c>
      <c r="C178" t="s">
        <v>475</v>
      </c>
      <c r="D178" s="36" t="str">
        <f t="shared" si="12"/>
        <v>CP185-P Vaccinia AP Standard</v>
      </c>
      <c r="E178" s="36">
        <f t="shared" si="13"/>
        <v>0</v>
      </c>
      <c r="F178" s="36" t="str">
        <f t="shared" si="14"/>
        <v>CP185-0</v>
      </c>
      <c r="G178" s="155">
        <f>IFERROR(VLOOKUP(F178,SpecialtyBaseLU,11,FALSE),0)</f>
        <v>0</v>
      </c>
      <c r="I178" s="5">
        <v>100</v>
      </c>
      <c r="J178" s="5">
        <f t="shared" si="15"/>
        <v>100</v>
      </c>
      <c r="K178" s="148">
        <f t="shared" si="16"/>
        <v>100</v>
      </c>
      <c r="L178" s="5">
        <f t="shared" si="17"/>
        <v>0</v>
      </c>
    </row>
    <row r="179" spans="1:12" x14ac:dyDescent="0.25">
      <c r="A179" t="s">
        <v>514</v>
      </c>
      <c r="B179" t="s">
        <v>96</v>
      </c>
      <c r="C179" t="s">
        <v>476</v>
      </c>
      <c r="D179" s="36" t="str">
        <f t="shared" si="12"/>
        <v>CP185-P Vaccinia Standard</v>
      </c>
      <c r="E179" s="36">
        <f t="shared" si="13"/>
        <v>0</v>
      </c>
      <c r="F179" s="36" t="str">
        <f t="shared" si="14"/>
        <v>CP185-0</v>
      </c>
      <c r="G179" s="155">
        <f>IFERROR(VLOOKUP(F179,SpecialtyBaseLU,11,FALSE),0)</f>
        <v>0</v>
      </c>
      <c r="I179" s="5">
        <v>100</v>
      </c>
      <c r="J179" s="5">
        <f t="shared" si="15"/>
        <v>100</v>
      </c>
      <c r="K179" s="148">
        <f t="shared" si="16"/>
        <v>100</v>
      </c>
      <c r="L179" s="5">
        <f t="shared" si="17"/>
        <v>0</v>
      </c>
    </row>
    <row r="180" spans="1:12" x14ac:dyDescent="0.25">
      <c r="A180" t="s">
        <v>514</v>
      </c>
      <c r="B180" t="s">
        <v>96</v>
      </c>
      <c r="C180" t="s">
        <v>495</v>
      </c>
      <c r="D180" s="36" t="str">
        <f t="shared" si="12"/>
        <v>CP185-P VZV Pre-Existing AP</v>
      </c>
      <c r="E180" s="36" t="str">
        <f t="shared" si="13"/>
        <v>RETURN - 1st don of the week -STD</v>
      </c>
      <c r="F180" s="36" t="str">
        <f t="shared" si="14"/>
        <v>CP185-RETURN - 1st don of the week -STD</v>
      </c>
      <c r="G180" s="155">
        <f>IFERROR(VLOOKUP(F180,SpecialtyBaseLU,11,FALSE),0)</f>
        <v>55</v>
      </c>
      <c r="H180" s="5">
        <v>10</v>
      </c>
      <c r="I180" s="5">
        <v>0</v>
      </c>
      <c r="J180" s="5">
        <f t="shared" si="15"/>
        <v>65</v>
      </c>
      <c r="K180" s="148">
        <f t="shared" si="16"/>
        <v>75</v>
      </c>
      <c r="L180" s="5">
        <f t="shared" si="17"/>
        <v>-10</v>
      </c>
    </row>
    <row r="181" spans="1:12" x14ac:dyDescent="0.25">
      <c r="A181" t="s">
        <v>514</v>
      </c>
      <c r="B181" t="s">
        <v>96</v>
      </c>
      <c r="C181" t="s">
        <v>497</v>
      </c>
      <c r="D181" s="36" t="str">
        <f t="shared" si="12"/>
        <v>CP185-PVZV Pre-Existing Standard</v>
      </c>
      <c r="E181" s="36" t="str">
        <f t="shared" si="13"/>
        <v>RETURN - 1st don of the week -STD</v>
      </c>
      <c r="F181" s="36" t="str">
        <f t="shared" si="14"/>
        <v>CP185-RETURN - 1st don of the week -STD</v>
      </c>
      <c r="G181" s="155">
        <f>IFERROR(VLOOKUP(F181,SpecialtyBaseLU,11,FALSE),0)</f>
        <v>55</v>
      </c>
      <c r="H181" s="5">
        <f>K181-G181</f>
        <v>20</v>
      </c>
      <c r="J181" s="5">
        <f t="shared" si="15"/>
        <v>75</v>
      </c>
      <c r="K181" s="148">
        <f t="shared" si="16"/>
        <v>75</v>
      </c>
      <c r="L181" s="5">
        <f t="shared" si="17"/>
        <v>0</v>
      </c>
    </row>
    <row r="182" spans="1:12" x14ac:dyDescent="0.25">
      <c r="A182" t="s">
        <v>514</v>
      </c>
      <c r="B182" t="s">
        <v>96</v>
      </c>
      <c r="C182" t="s">
        <v>477</v>
      </c>
      <c r="D182" s="36" t="str">
        <f t="shared" si="12"/>
        <v>CP185-Vaccinia - 1st Donation</v>
      </c>
      <c r="E182" s="36">
        <f t="shared" si="13"/>
        <v>0</v>
      </c>
      <c r="F182" s="36" t="str">
        <f t="shared" si="14"/>
        <v>CP185-0</v>
      </c>
      <c r="G182" s="155">
        <f>IFERROR(VLOOKUP(F182,SpecialtyBaseLU,11,FALSE),0)</f>
        <v>0</v>
      </c>
      <c r="I182" s="5">
        <v>150</v>
      </c>
      <c r="J182" s="5">
        <f t="shared" si="15"/>
        <v>150</v>
      </c>
      <c r="K182" s="148">
        <f t="shared" si="16"/>
        <v>150</v>
      </c>
      <c r="L182" s="5">
        <f t="shared" si="17"/>
        <v>0</v>
      </c>
    </row>
    <row r="183" spans="1:12" x14ac:dyDescent="0.25">
      <c r="A183" t="s">
        <v>514</v>
      </c>
      <c r="B183" t="s">
        <v>96</v>
      </c>
      <c r="C183" t="s">
        <v>478</v>
      </c>
      <c r="D183" s="36" t="str">
        <f t="shared" si="12"/>
        <v>CP185-Vaccinia - 2nd Donation</v>
      </c>
      <c r="E183" s="36">
        <f t="shared" si="13"/>
        <v>0</v>
      </c>
      <c r="F183" s="36" t="str">
        <f t="shared" si="14"/>
        <v>CP185-0</v>
      </c>
      <c r="G183" s="155">
        <f>IFERROR(VLOOKUP(F183,SpecialtyBaseLU,11,FALSE),0)</f>
        <v>0</v>
      </c>
      <c r="I183" s="5">
        <v>250</v>
      </c>
      <c r="J183" s="5">
        <f t="shared" si="15"/>
        <v>250</v>
      </c>
      <c r="K183" s="148">
        <f t="shared" si="16"/>
        <v>250</v>
      </c>
      <c r="L183" s="5">
        <f t="shared" si="17"/>
        <v>0</v>
      </c>
    </row>
    <row r="184" spans="1:12" x14ac:dyDescent="0.25">
      <c r="A184" t="s">
        <v>514</v>
      </c>
      <c r="B184" t="s">
        <v>96</v>
      </c>
      <c r="C184" t="s">
        <v>479</v>
      </c>
      <c r="D184" s="36" t="str">
        <f t="shared" si="12"/>
        <v>CP185-Vaccinia - 3rd Donation</v>
      </c>
      <c r="E184" s="36">
        <f t="shared" si="13"/>
        <v>0</v>
      </c>
      <c r="F184" s="36" t="str">
        <f t="shared" si="14"/>
        <v>CP185-0</v>
      </c>
      <c r="G184" s="155">
        <f>IFERROR(VLOOKUP(F184,SpecialtyBaseLU,11,FALSE),0)</f>
        <v>0</v>
      </c>
      <c r="I184" s="5">
        <v>300</v>
      </c>
      <c r="J184" s="5">
        <f t="shared" si="15"/>
        <v>300</v>
      </c>
      <c r="K184" s="148">
        <f t="shared" si="16"/>
        <v>300</v>
      </c>
      <c r="L184" s="5">
        <f t="shared" si="17"/>
        <v>0</v>
      </c>
    </row>
    <row r="185" spans="1:12" x14ac:dyDescent="0.25">
      <c r="A185" t="s">
        <v>514</v>
      </c>
      <c r="B185" t="s">
        <v>96</v>
      </c>
      <c r="C185" t="s">
        <v>480</v>
      </c>
      <c r="D185" s="36" t="str">
        <f t="shared" si="12"/>
        <v>CP185-Vaccinia - 4th Donation</v>
      </c>
      <c r="E185" s="36">
        <f t="shared" si="13"/>
        <v>0</v>
      </c>
      <c r="F185" s="36" t="str">
        <f t="shared" si="14"/>
        <v>CP185-0</v>
      </c>
      <c r="G185" s="155">
        <f>IFERROR(VLOOKUP(F185,SpecialtyBaseLU,11,FALSE),0)</f>
        <v>0</v>
      </c>
      <c r="I185" s="5">
        <v>300</v>
      </c>
      <c r="J185" s="5">
        <f t="shared" si="15"/>
        <v>300</v>
      </c>
      <c r="K185" s="148">
        <f t="shared" si="16"/>
        <v>300</v>
      </c>
      <c r="L185" s="5">
        <f t="shared" si="17"/>
        <v>0</v>
      </c>
    </row>
    <row r="186" spans="1:12" x14ac:dyDescent="0.25">
      <c r="A186" t="s">
        <v>514</v>
      </c>
      <c r="B186" t="s">
        <v>96</v>
      </c>
      <c r="C186" t="s">
        <v>481</v>
      </c>
      <c r="D186" s="36" t="str">
        <f t="shared" si="12"/>
        <v>CP185-Vaccinia AP - 1st Donation</v>
      </c>
      <c r="E186" s="36">
        <f t="shared" si="13"/>
        <v>0</v>
      </c>
      <c r="F186" s="36" t="str">
        <f t="shared" si="14"/>
        <v>CP185-0</v>
      </c>
      <c r="G186" s="155">
        <f>IFERROR(VLOOKUP(F186,SpecialtyBaseLU,11,FALSE),0)</f>
        <v>0</v>
      </c>
      <c r="I186" s="5">
        <v>150</v>
      </c>
      <c r="J186" s="5">
        <f t="shared" si="15"/>
        <v>150</v>
      </c>
      <c r="K186" s="148">
        <f t="shared" si="16"/>
        <v>150</v>
      </c>
      <c r="L186" s="5">
        <f t="shared" si="17"/>
        <v>0</v>
      </c>
    </row>
    <row r="187" spans="1:12" x14ac:dyDescent="0.25">
      <c r="A187" t="s">
        <v>514</v>
      </c>
      <c r="B187" t="s">
        <v>96</v>
      </c>
      <c r="C187" t="s">
        <v>482</v>
      </c>
      <c r="D187" s="36" t="str">
        <f t="shared" si="12"/>
        <v>CP185-Vaccinia AP - 2nd Donation</v>
      </c>
      <c r="E187" s="36">
        <f t="shared" si="13"/>
        <v>0</v>
      </c>
      <c r="F187" s="36" t="str">
        <f t="shared" si="14"/>
        <v>CP185-0</v>
      </c>
      <c r="G187" s="155">
        <f>IFERROR(VLOOKUP(F187,SpecialtyBaseLU,11,FALSE),0)</f>
        <v>0</v>
      </c>
      <c r="I187" s="5">
        <v>250</v>
      </c>
      <c r="J187" s="5">
        <f t="shared" si="15"/>
        <v>250</v>
      </c>
      <c r="K187" s="148">
        <f t="shared" si="16"/>
        <v>250</v>
      </c>
      <c r="L187" s="5">
        <f t="shared" si="17"/>
        <v>0</v>
      </c>
    </row>
    <row r="188" spans="1:12" x14ac:dyDescent="0.25">
      <c r="A188" t="s">
        <v>514</v>
      </c>
      <c r="B188" t="s">
        <v>96</v>
      </c>
      <c r="C188" t="s">
        <v>483</v>
      </c>
      <c r="D188" s="36" t="str">
        <f t="shared" si="12"/>
        <v>CP185-Vaccinia AP - 3rd Donation</v>
      </c>
      <c r="E188" s="36">
        <f t="shared" si="13"/>
        <v>0</v>
      </c>
      <c r="F188" s="36" t="str">
        <f t="shared" si="14"/>
        <v>CP185-0</v>
      </c>
      <c r="G188" s="155">
        <f>IFERROR(VLOOKUP(F188,SpecialtyBaseLU,11,FALSE),0)</f>
        <v>0</v>
      </c>
      <c r="I188" s="5">
        <v>300</v>
      </c>
      <c r="J188" s="5">
        <f t="shared" si="15"/>
        <v>300</v>
      </c>
      <c r="K188" s="148">
        <f t="shared" si="16"/>
        <v>300</v>
      </c>
      <c r="L188" s="5">
        <f t="shared" si="17"/>
        <v>0</v>
      </c>
    </row>
    <row r="189" spans="1:12" x14ac:dyDescent="0.25">
      <c r="A189" t="s">
        <v>514</v>
      </c>
      <c r="B189" t="s">
        <v>96</v>
      </c>
      <c r="C189" t="s">
        <v>484</v>
      </c>
      <c r="D189" s="36" t="str">
        <f t="shared" si="12"/>
        <v>CP185-Vaccinia AP - 4th Donation</v>
      </c>
      <c r="E189" s="36">
        <f t="shared" si="13"/>
        <v>0</v>
      </c>
      <c r="F189" s="36" t="str">
        <f t="shared" si="14"/>
        <v>CP185-0</v>
      </c>
      <c r="G189" s="155">
        <f>IFERROR(VLOOKUP(F189,SpecialtyBaseLU,11,FALSE),0)</f>
        <v>0</v>
      </c>
      <c r="I189" s="5">
        <v>300</v>
      </c>
      <c r="J189" s="5">
        <f t="shared" si="15"/>
        <v>300</v>
      </c>
      <c r="K189" s="148">
        <f t="shared" si="16"/>
        <v>300</v>
      </c>
      <c r="L189" s="5">
        <f t="shared" si="17"/>
        <v>0</v>
      </c>
    </row>
    <row r="190" spans="1:12" x14ac:dyDescent="0.25">
      <c r="A190" t="s">
        <v>515</v>
      </c>
      <c r="B190" t="s">
        <v>107</v>
      </c>
      <c r="C190" t="s">
        <v>469</v>
      </c>
      <c r="D190" s="36" t="str">
        <f t="shared" si="12"/>
        <v>CP528-P Anti-D Pre-Existing Standard</v>
      </c>
      <c r="E190" s="36" t="str">
        <f t="shared" si="13"/>
        <v>RETURN - 1st don of the week -STD</v>
      </c>
      <c r="F190" s="36" t="str">
        <f t="shared" si="14"/>
        <v>CP528-RETURN - 1st don of the week -STD</v>
      </c>
      <c r="G190" s="155">
        <f>IFERROR(VLOOKUP(F190,SpecialtyBaseLU,11,FALSE),0)</f>
        <v>65</v>
      </c>
      <c r="H190" s="5">
        <v>-15</v>
      </c>
      <c r="J190" s="5">
        <f t="shared" si="15"/>
        <v>50</v>
      </c>
      <c r="K190" s="148">
        <f t="shared" si="16"/>
        <v>50</v>
      </c>
      <c r="L190" s="5">
        <f t="shared" si="17"/>
        <v>0</v>
      </c>
    </row>
    <row r="191" spans="1:12" x14ac:dyDescent="0.25">
      <c r="A191" t="s">
        <v>516</v>
      </c>
      <c r="B191" t="s">
        <v>114</v>
      </c>
      <c r="C191" t="s">
        <v>471</v>
      </c>
      <c r="D191" s="36" t="str">
        <f t="shared" si="12"/>
        <v>CP206-2X Week P HBS Pre-Existing</v>
      </c>
      <c r="E191" s="36" t="str">
        <f t="shared" si="13"/>
        <v>RETURN - 2nd don of the week -BONUS</v>
      </c>
      <c r="F191" s="36" t="str">
        <f t="shared" si="14"/>
        <v>CP206-RETURN - 2nd don of the week -BONUS</v>
      </c>
      <c r="G191" s="155">
        <f>IFERROR(VLOOKUP(F191,SpecialtyBaseLU,11,FALSE),0)</f>
        <v>5</v>
      </c>
      <c r="H191" s="5">
        <v>0</v>
      </c>
      <c r="J191" s="5">
        <f t="shared" si="15"/>
        <v>5</v>
      </c>
      <c r="K191" s="148">
        <f t="shared" si="16"/>
        <v>5</v>
      </c>
      <c r="L191" s="5">
        <f t="shared" si="17"/>
        <v>0</v>
      </c>
    </row>
    <row r="192" spans="1:12" x14ac:dyDescent="0.25">
      <c r="A192" t="s">
        <v>516</v>
      </c>
      <c r="B192" t="s">
        <v>114</v>
      </c>
      <c r="C192" t="s">
        <v>504</v>
      </c>
      <c r="D192" s="36" t="str">
        <f t="shared" si="12"/>
        <v>CP206-2X Week P HBS TWINRX</v>
      </c>
      <c r="E192" s="36" t="str">
        <f t="shared" si="13"/>
        <v>RETURN - 2nd don of the week -BONUS</v>
      </c>
      <c r="F192" s="36" t="str">
        <f t="shared" si="14"/>
        <v>CP206-RETURN - 2nd don of the week -BONUS</v>
      </c>
      <c r="G192" s="155">
        <f>IFERROR(VLOOKUP(F192,SpecialtyBaseLU,11,FALSE),0)</f>
        <v>5</v>
      </c>
      <c r="H192" s="5">
        <v>0</v>
      </c>
      <c r="J192" s="5">
        <f t="shared" si="15"/>
        <v>5</v>
      </c>
      <c r="K192" s="148">
        <f t="shared" si="16"/>
        <v>5</v>
      </c>
      <c r="L192" s="5">
        <f t="shared" si="17"/>
        <v>0</v>
      </c>
    </row>
    <row r="193" spans="1:12" x14ac:dyDescent="0.25">
      <c r="A193" t="s">
        <v>516</v>
      </c>
      <c r="B193" t="s">
        <v>114</v>
      </c>
      <c r="C193" t="s">
        <v>505</v>
      </c>
      <c r="D193" s="36" t="str">
        <f t="shared" si="12"/>
        <v>CP206-2X Week P HBS TWINRX-AP</v>
      </c>
      <c r="E193" s="36" t="str">
        <f t="shared" si="13"/>
        <v>RETURN - 2nd don of the week -BONUS</v>
      </c>
      <c r="F193" s="36" t="str">
        <f t="shared" si="14"/>
        <v>CP206-RETURN - 2nd don of the week -BONUS</v>
      </c>
      <c r="G193" s="155">
        <f>IFERROR(VLOOKUP(F193,SpecialtyBaseLU,11,FALSE),0)</f>
        <v>5</v>
      </c>
      <c r="H193" s="5">
        <v>0</v>
      </c>
      <c r="J193" s="5">
        <f t="shared" si="15"/>
        <v>5</v>
      </c>
      <c r="K193" s="148">
        <f t="shared" si="16"/>
        <v>5</v>
      </c>
      <c r="L193" s="5">
        <f t="shared" si="17"/>
        <v>0</v>
      </c>
    </row>
    <row r="194" spans="1:12" x14ac:dyDescent="0.25">
      <c r="A194" t="s">
        <v>516</v>
      </c>
      <c r="B194" t="s">
        <v>114</v>
      </c>
      <c r="C194" t="s">
        <v>488</v>
      </c>
      <c r="D194" s="36" t="str">
        <f t="shared" si="12"/>
        <v>CP206-2X Week P VZV</v>
      </c>
      <c r="E194" s="36" t="str">
        <f t="shared" si="13"/>
        <v>RETURN - 2nd don of the week -BONUS</v>
      </c>
      <c r="F194" s="36" t="str">
        <f t="shared" si="14"/>
        <v>CP206-RETURN - 2nd don of the week -BONUS</v>
      </c>
      <c r="G194" s="155">
        <f>IFERROR(VLOOKUP(F194,SpecialtyBaseLU,11,FALSE),0)</f>
        <v>5</v>
      </c>
      <c r="H194" s="5">
        <v>0</v>
      </c>
      <c r="J194" s="5">
        <f t="shared" si="15"/>
        <v>5</v>
      </c>
      <c r="K194" s="148">
        <f t="shared" si="16"/>
        <v>5</v>
      </c>
      <c r="L194" s="5">
        <f t="shared" si="17"/>
        <v>0</v>
      </c>
    </row>
    <row r="195" spans="1:12" x14ac:dyDescent="0.25">
      <c r="A195" t="s">
        <v>516</v>
      </c>
      <c r="B195" t="s">
        <v>114</v>
      </c>
      <c r="C195" t="s">
        <v>489</v>
      </c>
      <c r="D195" s="36" t="str">
        <f t="shared" si="12"/>
        <v>CP206-2X Week P VZV AP</v>
      </c>
      <c r="E195" s="36" t="str">
        <f t="shared" si="13"/>
        <v>RETURN - 2nd don of the week -BONUS</v>
      </c>
      <c r="F195" s="36" t="str">
        <f t="shared" si="14"/>
        <v>CP206-RETURN - 2nd don of the week -BONUS</v>
      </c>
      <c r="G195" s="155">
        <f>IFERROR(VLOOKUP(F195,SpecialtyBaseLU,11,FALSE),0)</f>
        <v>5</v>
      </c>
      <c r="H195" s="5">
        <v>0</v>
      </c>
      <c r="J195" s="5">
        <f t="shared" si="15"/>
        <v>5</v>
      </c>
      <c r="K195" s="148">
        <f t="shared" si="16"/>
        <v>5</v>
      </c>
      <c r="L195" s="5">
        <f t="shared" si="17"/>
        <v>0</v>
      </c>
    </row>
    <row r="196" spans="1:12" x14ac:dyDescent="0.25">
      <c r="A196" t="s">
        <v>516</v>
      </c>
      <c r="B196" t="s">
        <v>114</v>
      </c>
      <c r="C196" t="s">
        <v>490</v>
      </c>
      <c r="D196" s="36" t="str">
        <f t="shared" ref="D196:D259" si="18">B196&amp;"-"&amp;C196</f>
        <v>CP206-2X Week P VZV Pre-Existing</v>
      </c>
      <c r="E196" s="36" t="str">
        <f t="shared" ref="E196:E259" si="19">VLOOKUP(C196,RULENAMELU,5,FALSE)</f>
        <v>RETURN - 2nd don of the week -BONUS</v>
      </c>
      <c r="F196" s="36" t="str">
        <f t="shared" ref="F196:F259" si="20">B196&amp;"-"&amp;E196</f>
        <v>CP206-RETURN - 2nd don of the week -BONUS</v>
      </c>
      <c r="G196" s="155">
        <f>IFERROR(VLOOKUP(F196,SpecialtyBaseLU,11,FALSE),0)</f>
        <v>5</v>
      </c>
      <c r="H196" s="5">
        <v>0</v>
      </c>
      <c r="J196" s="5">
        <f t="shared" ref="J196:J259" si="21">G196+H196+I196</f>
        <v>5</v>
      </c>
      <c r="K196" s="148">
        <f t="shared" ref="K196:K259" si="22">VLOOKUP(D196,CurrentNLDataLU,11,FALSE)</f>
        <v>5</v>
      </c>
      <c r="L196" s="5">
        <f t="shared" ref="L196:L259" si="23">J196-K196</f>
        <v>0</v>
      </c>
    </row>
    <row r="197" spans="1:12" x14ac:dyDescent="0.25">
      <c r="A197" t="s">
        <v>516</v>
      </c>
      <c r="B197" t="s">
        <v>114</v>
      </c>
      <c r="C197" t="s">
        <v>491</v>
      </c>
      <c r="D197" s="36" t="str">
        <f t="shared" si="18"/>
        <v>CP206-2X Week P VZV Pre-Existing AP</v>
      </c>
      <c r="E197" s="36" t="str">
        <f t="shared" si="19"/>
        <v>RETURN - 2nd don of the week -BONUS</v>
      </c>
      <c r="F197" s="36" t="str">
        <f t="shared" si="20"/>
        <v>CP206-RETURN - 2nd don of the week -BONUS</v>
      </c>
      <c r="G197" s="155">
        <f>IFERROR(VLOOKUP(F197,SpecialtyBaseLU,11,FALSE),0)</f>
        <v>5</v>
      </c>
      <c r="H197" s="5">
        <v>0</v>
      </c>
      <c r="J197" s="5">
        <f t="shared" si="21"/>
        <v>5</v>
      </c>
      <c r="K197" s="148">
        <f t="shared" si="22"/>
        <v>5</v>
      </c>
      <c r="L197" s="5">
        <f t="shared" si="23"/>
        <v>0</v>
      </c>
    </row>
    <row r="198" spans="1:12" x14ac:dyDescent="0.25">
      <c r="A198" t="s">
        <v>516</v>
      </c>
      <c r="B198" t="s">
        <v>114</v>
      </c>
      <c r="C198" t="s">
        <v>469</v>
      </c>
      <c r="D198" s="36" t="str">
        <f t="shared" si="18"/>
        <v>CP206-P Anti-D Pre-Existing Standard</v>
      </c>
      <c r="E198" s="36" t="str">
        <f t="shared" si="19"/>
        <v>RETURN - 1st don of the week -STD</v>
      </c>
      <c r="F198" s="36" t="str">
        <f t="shared" si="20"/>
        <v>CP206-RETURN - 1st don of the week -STD</v>
      </c>
      <c r="G198" s="155">
        <f>IFERROR(VLOOKUP(F198,SpecialtyBaseLU,11,FALSE),0)</f>
        <v>65</v>
      </c>
      <c r="H198" s="5">
        <v>-15</v>
      </c>
      <c r="J198" s="5">
        <f t="shared" si="21"/>
        <v>50</v>
      </c>
      <c r="K198" s="148">
        <f t="shared" si="22"/>
        <v>50</v>
      </c>
      <c r="L198" s="5">
        <f t="shared" si="23"/>
        <v>0</v>
      </c>
    </row>
    <row r="199" spans="1:12" x14ac:dyDescent="0.25">
      <c r="A199" t="s">
        <v>516</v>
      </c>
      <c r="B199" t="s">
        <v>114</v>
      </c>
      <c r="C199" t="s">
        <v>472</v>
      </c>
      <c r="D199" s="36" t="str">
        <f t="shared" si="18"/>
        <v>CP206-P HBS Pre-Existing Standard</v>
      </c>
      <c r="E199" s="36" t="str">
        <f t="shared" si="19"/>
        <v>RETURN - 1st don of the week -STD</v>
      </c>
      <c r="F199" s="36" t="str">
        <f t="shared" si="20"/>
        <v>CP206-RETURN - 1st don of the week -STD</v>
      </c>
      <c r="G199" s="155">
        <f>IFERROR(VLOOKUP(F199,SpecialtyBaseLU,11,FALSE),0)</f>
        <v>65</v>
      </c>
      <c r="H199" s="5">
        <v>20</v>
      </c>
      <c r="J199" s="5">
        <f t="shared" si="21"/>
        <v>85</v>
      </c>
      <c r="K199" s="148">
        <f t="shared" si="22"/>
        <v>85</v>
      </c>
      <c r="L199" s="5">
        <f t="shared" si="23"/>
        <v>0</v>
      </c>
    </row>
    <row r="200" spans="1:12" x14ac:dyDescent="0.25">
      <c r="A200" t="s">
        <v>516</v>
      </c>
      <c r="B200" t="s">
        <v>114</v>
      </c>
      <c r="C200" t="s">
        <v>506</v>
      </c>
      <c r="D200" s="36" t="str">
        <f t="shared" si="18"/>
        <v>CP206-P HBS TWINRIX Standard</v>
      </c>
      <c r="E200" s="36" t="str">
        <f t="shared" si="19"/>
        <v>RETURN - 1st don of the week -STD</v>
      </c>
      <c r="F200" s="36" t="str">
        <f t="shared" si="20"/>
        <v>CP206-RETURN - 1st don of the week -STD</v>
      </c>
      <c r="G200" s="155">
        <f>IFERROR(VLOOKUP(F200,SpecialtyBaseLU,11,FALSE),0)</f>
        <v>65</v>
      </c>
      <c r="H200" s="5">
        <v>20</v>
      </c>
      <c r="J200" s="5">
        <f t="shared" si="21"/>
        <v>85</v>
      </c>
      <c r="K200" s="148">
        <f t="shared" si="22"/>
        <v>85</v>
      </c>
      <c r="L200" s="5">
        <f t="shared" si="23"/>
        <v>0</v>
      </c>
    </row>
    <row r="201" spans="1:12" x14ac:dyDescent="0.25">
      <c r="A201" t="s">
        <v>516</v>
      </c>
      <c r="B201" t="s">
        <v>114</v>
      </c>
      <c r="C201" t="s">
        <v>507</v>
      </c>
      <c r="D201" s="36" t="str">
        <f t="shared" si="18"/>
        <v>CP206-P HBS TWINRIX-AP Standard</v>
      </c>
      <c r="E201" s="36" t="str">
        <f t="shared" si="19"/>
        <v>RETURN - 1st don of the week -STD</v>
      </c>
      <c r="F201" s="36" t="str">
        <f t="shared" si="20"/>
        <v>CP206-RETURN - 1st don of the week -STD</v>
      </c>
      <c r="G201" s="155">
        <f>IFERROR(VLOOKUP(F201,SpecialtyBaseLU,11,FALSE),0)</f>
        <v>65</v>
      </c>
      <c r="H201" s="5">
        <f>K201-G201</f>
        <v>20</v>
      </c>
      <c r="J201" s="5">
        <f t="shared" si="21"/>
        <v>85</v>
      </c>
      <c r="K201" s="148">
        <f t="shared" si="22"/>
        <v>85</v>
      </c>
      <c r="L201" s="5">
        <f t="shared" si="23"/>
        <v>0</v>
      </c>
    </row>
    <row r="202" spans="1:12" x14ac:dyDescent="0.25">
      <c r="A202" t="s">
        <v>516</v>
      </c>
      <c r="B202" t="s">
        <v>114</v>
      </c>
      <c r="C202" t="s">
        <v>495</v>
      </c>
      <c r="D202" s="36" t="str">
        <f t="shared" si="18"/>
        <v>CP206-P VZV Pre-Existing AP</v>
      </c>
      <c r="E202" s="36" t="str">
        <f t="shared" si="19"/>
        <v>RETURN - 1st don of the week -STD</v>
      </c>
      <c r="F202" s="36" t="str">
        <f t="shared" si="20"/>
        <v>CP206-RETURN - 1st don of the week -STD</v>
      </c>
      <c r="G202" s="155">
        <f>IFERROR(VLOOKUP(F202,SpecialtyBaseLU,11,FALSE),0)</f>
        <v>65</v>
      </c>
      <c r="H202" s="5">
        <v>10</v>
      </c>
      <c r="I202" s="5">
        <v>0</v>
      </c>
      <c r="J202" s="5">
        <f t="shared" si="21"/>
        <v>75</v>
      </c>
      <c r="K202" s="148">
        <f t="shared" si="22"/>
        <v>75</v>
      </c>
      <c r="L202" s="5">
        <f t="shared" si="23"/>
        <v>0</v>
      </c>
    </row>
    <row r="203" spans="1:12" x14ac:dyDescent="0.25">
      <c r="A203" t="s">
        <v>516</v>
      </c>
      <c r="B203" t="s">
        <v>114</v>
      </c>
      <c r="C203" t="s">
        <v>496</v>
      </c>
      <c r="D203" s="36" t="str">
        <f t="shared" si="18"/>
        <v>CP206-P VZV Standard</v>
      </c>
      <c r="E203" s="36" t="str">
        <f t="shared" si="19"/>
        <v>RETURN - 1st don of the week -STD</v>
      </c>
      <c r="F203" s="36" t="str">
        <f t="shared" si="20"/>
        <v>CP206-RETURN - 1st don of the week -STD</v>
      </c>
      <c r="G203" s="155">
        <f>IFERROR(VLOOKUP(F203,SpecialtyBaseLU,11,FALSE),0)</f>
        <v>65</v>
      </c>
      <c r="H203" s="5">
        <v>10</v>
      </c>
      <c r="I203" s="5">
        <v>0</v>
      </c>
      <c r="J203" s="5">
        <f t="shared" si="21"/>
        <v>75</v>
      </c>
      <c r="K203" s="148">
        <f t="shared" si="22"/>
        <v>75</v>
      </c>
      <c r="L203" s="5">
        <f t="shared" si="23"/>
        <v>0</v>
      </c>
    </row>
    <row r="204" spans="1:12" x14ac:dyDescent="0.25">
      <c r="A204" t="s">
        <v>516</v>
      </c>
      <c r="B204" t="s">
        <v>114</v>
      </c>
      <c r="C204" t="s">
        <v>497</v>
      </c>
      <c r="D204" s="36" t="str">
        <f t="shared" si="18"/>
        <v>CP206-PVZV Pre-Existing Standard</v>
      </c>
      <c r="E204" s="36" t="str">
        <f t="shared" si="19"/>
        <v>RETURN - 1st don of the week -STD</v>
      </c>
      <c r="F204" s="36" t="str">
        <f t="shared" si="20"/>
        <v>CP206-RETURN - 1st don of the week -STD</v>
      </c>
      <c r="G204" s="155">
        <f>IFERROR(VLOOKUP(F204,SpecialtyBaseLU,11,FALSE),0)</f>
        <v>65</v>
      </c>
      <c r="H204" s="5">
        <f>K204-G204</f>
        <v>10</v>
      </c>
      <c r="J204" s="5">
        <f t="shared" si="21"/>
        <v>75</v>
      </c>
      <c r="K204" s="148">
        <f t="shared" si="22"/>
        <v>75</v>
      </c>
      <c r="L204" s="5">
        <f t="shared" si="23"/>
        <v>0</v>
      </c>
    </row>
    <row r="205" spans="1:12" x14ac:dyDescent="0.25">
      <c r="A205" t="s">
        <v>517</v>
      </c>
      <c r="B205" t="s">
        <v>109</v>
      </c>
      <c r="C205" t="s">
        <v>469</v>
      </c>
      <c r="D205" s="36" t="str">
        <f t="shared" si="18"/>
        <v>CP527-P Anti-D Pre-Existing Standard</v>
      </c>
      <c r="E205" s="36" t="str">
        <f t="shared" si="19"/>
        <v>RETURN - 1st don of the week -STD</v>
      </c>
      <c r="F205" s="36" t="str">
        <f t="shared" si="20"/>
        <v>CP527-RETURN - 1st don of the week -STD</v>
      </c>
      <c r="G205" s="155">
        <f>IFERROR(VLOOKUP(F205,SpecialtyBaseLU,11,FALSE),0)</f>
        <v>65</v>
      </c>
      <c r="H205" s="5">
        <v>-15</v>
      </c>
      <c r="J205" s="5">
        <f t="shared" si="21"/>
        <v>50</v>
      </c>
      <c r="K205" s="148">
        <f t="shared" si="22"/>
        <v>50</v>
      </c>
      <c r="L205" s="5">
        <f t="shared" si="23"/>
        <v>0</v>
      </c>
    </row>
    <row r="206" spans="1:12" x14ac:dyDescent="0.25">
      <c r="A206" t="s">
        <v>145</v>
      </c>
      <c r="B206" t="s">
        <v>146</v>
      </c>
      <c r="C206" t="s">
        <v>469</v>
      </c>
      <c r="D206" s="36" t="str">
        <f t="shared" si="18"/>
        <v>CP207-P Anti-D Pre-Existing Standard</v>
      </c>
      <c r="E206" s="36" t="str">
        <f t="shared" si="19"/>
        <v>RETURN - 1st don of the week -STD</v>
      </c>
      <c r="F206" s="36" t="str">
        <f t="shared" si="20"/>
        <v>CP207-RETURN - 1st don of the week -STD</v>
      </c>
      <c r="G206" s="155">
        <f>IFERROR(VLOOKUP(F206,SpecialtyBaseLU,11,FALSE),0)</f>
        <v>50</v>
      </c>
      <c r="H206" s="5">
        <v>-3</v>
      </c>
      <c r="J206" s="5">
        <f t="shared" si="21"/>
        <v>47</v>
      </c>
      <c r="K206" s="148">
        <f t="shared" si="22"/>
        <v>50</v>
      </c>
      <c r="L206" s="5">
        <f t="shared" si="23"/>
        <v>-3</v>
      </c>
    </row>
    <row r="207" spans="1:12" x14ac:dyDescent="0.25">
      <c r="A207" t="s">
        <v>145</v>
      </c>
      <c r="B207" t="s">
        <v>146</v>
      </c>
      <c r="C207" t="s">
        <v>472</v>
      </c>
      <c r="D207" s="36" t="str">
        <f t="shared" si="18"/>
        <v>CP207-P HBS Pre-Existing Standard</v>
      </c>
      <c r="E207" s="36" t="str">
        <f t="shared" si="19"/>
        <v>RETURN - 1st don of the week -STD</v>
      </c>
      <c r="F207" s="36" t="str">
        <f t="shared" si="20"/>
        <v>CP207-RETURN - 1st don of the week -STD</v>
      </c>
      <c r="G207" s="155">
        <f>IFERROR(VLOOKUP(F207,SpecialtyBaseLU,11,FALSE),0)</f>
        <v>50</v>
      </c>
      <c r="H207" s="5">
        <v>20</v>
      </c>
      <c r="J207" s="5">
        <f t="shared" si="21"/>
        <v>70</v>
      </c>
      <c r="K207" s="148">
        <f t="shared" si="22"/>
        <v>73</v>
      </c>
      <c r="L207" s="5">
        <f t="shared" si="23"/>
        <v>-3</v>
      </c>
    </row>
    <row r="208" spans="1:12" x14ac:dyDescent="0.25">
      <c r="A208" t="s">
        <v>145</v>
      </c>
      <c r="B208" t="s">
        <v>146</v>
      </c>
      <c r="C208" t="s">
        <v>506</v>
      </c>
      <c r="D208" s="36" t="str">
        <f t="shared" si="18"/>
        <v>CP207-P HBS TWINRIX Standard</v>
      </c>
      <c r="E208" s="36" t="str">
        <f t="shared" si="19"/>
        <v>RETURN - 1st don of the week -STD</v>
      </c>
      <c r="F208" s="36" t="str">
        <f t="shared" si="20"/>
        <v>CP207-RETURN - 1st don of the week -STD</v>
      </c>
      <c r="G208" s="155">
        <f>IFERROR(VLOOKUP(F208,SpecialtyBaseLU,11,FALSE),0)</f>
        <v>50</v>
      </c>
      <c r="H208" s="5">
        <v>20</v>
      </c>
      <c r="J208" s="5">
        <f t="shared" si="21"/>
        <v>70</v>
      </c>
      <c r="K208" s="148">
        <f t="shared" si="22"/>
        <v>73</v>
      </c>
      <c r="L208" s="5">
        <f t="shared" si="23"/>
        <v>-3</v>
      </c>
    </row>
    <row r="209" spans="1:12" x14ac:dyDescent="0.25">
      <c r="A209" t="s">
        <v>145</v>
      </c>
      <c r="B209" t="s">
        <v>146</v>
      </c>
      <c r="C209" t="s">
        <v>507</v>
      </c>
      <c r="D209" s="36" t="str">
        <f t="shared" si="18"/>
        <v>CP207-P HBS TWINRIX-AP Standard</v>
      </c>
      <c r="E209" s="36" t="str">
        <f t="shared" si="19"/>
        <v>RETURN - 1st don of the week -STD</v>
      </c>
      <c r="F209" s="36" t="str">
        <f t="shared" si="20"/>
        <v>CP207-RETURN - 1st don of the week -STD</v>
      </c>
      <c r="G209" s="155">
        <f>IFERROR(VLOOKUP(F209,SpecialtyBaseLU,11,FALSE),0)</f>
        <v>50</v>
      </c>
      <c r="H209" s="5">
        <f>K209-G209</f>
        <v>23</v>
      </c>
      <c r="J209" s="5">
        <f t="shared" si="21"/>
        <v>73</v>
      </c>
      <c r="K209" s="148">
        <f t="shared" si="22"/>
        <v>73</v>
      </c>
      <c r="L209" s="5">
        <f t="shared" si="23"/>
        <v>0</v>
      </c>
    </row>
    <row r="210" spans="1:12" x14ac:dyDescent="0.25">
      <c r="A210" t="s">
        <v>145</v>
      </c>
      <c r="B210" t="s">
        <v>146</v>
      </c>
      <c r="C210" t="s">
        <v>495</v>
      </c>
      <c r="D210" s="36" t="str">
        <f t="shared" si="18"/>
        <v>CP207-P VZV Pre-Existing AP</v>
      </c>
      <c r="E210" s="36" t="str">
        <f t="shared" si="19"/>
        <v>RETURN - 1st don of the week -STD</v>
      </c>
      <c r="F210" s="36" t="str">
        <f t="shared" si="20"/>
        <v>CP207-RETURN - 1st don of the week -STD</v>
      </c>
      <c r="G210" s="155">
        <f>IFERROR(VLOOKUP(F210,SpecialtyBaseLU,11,FALSE),0)</f>
        <v>50</v>
      </c>
      <c r="H210" s="5">
        <v>10</v>
      </c>
      <c r="I210" s="5">
        <v>0</v>
      </c>
      <c r="J210" s="5">
        <f t="shared" si="21"/>
        <v>60</v>
      </c>
      <c r="K210" s="148">
        <f t="shared" si="22"/>
        <v>63</v>
      </c>
      <c r="L210" s="5">
        <f t="shared" si="23"/>
        <v>-3</v>
      </c>
    </row>
    <row r="211" spans="1:12" x14ac:dyDescent="0.25">
      <c r="A211" t="s">
        <v>145</v>
      </c>
      <c r="B211" t="s">
        <v>146</v>
      </c>
      <c r="C211" t="s">
        <v>496</v>
      </c>
      <c r="D211" s="36" t="str">
        <f t="shared" si="18"/>
        <v>CP207-P VZV Standard</v>
      </c>
      <c r="E211" s="36" t="str">
        <f t="shared" si="19"/>
        <v>RETURN - 1st don of the week -STD</v>
      </c>
      <c r="F211" s="36" t="str">
        <f t="shared" si="20"/>
        <v>CP207-RETURN - 1st don of the week -STD</v>
      </c>
      <c r="G211" s="155">
        <f>IFERROR(VLOOKUP(F211,SpecialtyBaseLU,11,FALSE),0)</f>
        <v>50</v>
      </c>
      <c r="H211" s="5">
        <v>10</v>
      </c>
      <c r="I211" s="5">
        <v>0</v>
      </c>
      <c r="J211" s="5">
        <f t="shared" si="21"/>
        <v>60</v>
      </c>
      <c r="K211" s="148">
        <f t="shared" si="22"/>
        <v>63</v>
      </c>
      <c r="L211" s="5">
        <f t="shared" si="23"/>
        <v>-3</v>
      </c>
    </row>
    <row r="212" spans="1:12" x14ac:dyDescent="0.25">
      <c r="A212" t="s">
        <v>145</v>
      </c>
      <c r="B212" t="s">
        <v>146</v>
      </c>
      <c r="C212" t="s">
        <v>497</v>
      </c>
      <c r="D212" s="36" t="str">
        <f t="shared" si="18"/>
        <v>CP207-PVZV Pre-Existing Standard</v>
      </c>
      <c r="E212" s="36" t="str">
        <f t="shared" si="19"/>
        <v>RETURN - 1st don of the week -STD</v>
      </c>
      <c r="F212" s="36" t="str">
        <f t="shared" si="20"/>
        <v>CP207-RETURN - 1st don of the week -STD</v>
      </c>
      <c r="G212" s="155">
        <f>IFERROR(VLOOKUP(F212,SpecialtyBaseLU,11,FALSE),0)</f>
        <v>50</v>
      </c>
      <c r="H212" s="5">
        <f>K212-G212</f>
        <v>13</v>
      </c>
      <c r="J212" s="5">
        <f t="shared" si="21"/>
        <v>63</v>
      </c>
      <c r="K212" s="148">
        <f t="shared" si="22"/>
        <v>63</v>
      </c>
      <c r="L212" s="5">
        <f t="shared" si="23"/>
        <v>0</v>
      </c>
    </row>
    <row r="213" spans="1:12" s="147" customFormat="1" x14ac:dyDescent="0.25">
      <c r="A213" s="147" t="s">
        <v>303</v>
      </c>
      <c r="B213" s="147" t="s">
        <v>304</v>
      </c>
      <c r="C213" s="147" t="s">
        <v>469</v>
      </c>
      <c r="D213" s="149" t="str">
        <f t="shared" si="18"/>
        <v>CP208-P Anti-D Pre-Existing Standard</v>
      </c>
      <c r="E213" s="149" t="str">
        <f t="shared" si="19"/>
        <v>RETURN - 1st don of the week -STD</v>
      </c>
      <c r="F213" s="149" t="str">
        <f t="shared" si="20"/>
        <v>CP208-RETURN - 1st don of the week -STD</v>
      </c>
      <c r="G213" s="155">
        <f>IFERROR(VLOOKUP(F213,SpecialtyBaseLU,11,FALSE),0)</f>
        <v>0</v>
      </c>
      <c r="H213" s="150">
        <v>5</v>
      </c>
      <c r="I213" s="150"/>
      <c r="J213" s="150">
        <f t="shared" si="21"/>
        <v>5</v>
      </c>
      <c r="K213" s="151">
        <f t="shared" si="22"/>
        <v>50</v>
      </c>
      <c r="L213" s="150">
        <f t="shared" si="23"/>
        <v>-45</v>
      </c>
    </row>
    <row r="214" spans="1:12" s="147" customFormat="1" x14ac:dyDescent="0.25">
      <c r="A214" s="147" t="s">
        <v>303</v>
      </c>
      <c r="B214" s="147" t="s">
        <v>304</v>
      </c>
      <c r="C214" s="147" t="s">
        <v>475</v>
      </c>
      <c r="D214" s="149" t="str">
        <f t="shared" si="18"/>
        <v>CP208-P Vaccinia AP Standard</v>
      </c>
      <c r="E214" s="149">
        <f t="shared" si="19"/>
        <v>0</v>
      </c>
      <c r="F214" s="149" t="str">
        <f t="shared" si="20"/>
        <v>CP208-0</v>
      </c>
      <c r="G214" s="155">
        <f>IFERROR(VLOOKUP(F214,SpecialtyBaseLU,11,FALSE),0)</f>
        <v>0</v>
      </c>
      <c r="H214" s="150"/>
      <c r="I214" s="150">
        <v>100</v>
      </c>
      <c r="J214" s="150">
        <f t="shared" si="21"/>
        <v>100</v>
      </c>
      <c r="K214" s="151">
        <f t="shared" si="22"/>
        <v>100</v>
      </c>
      <c r="L214" s="150">
        <f t="shared" si="23"/>
        <v>0</v>
      </c>
    </row>
    <row r="215" spans="1:12" s="147" customFormat="1" x14ac:dyDescent="0.25">
      <c r="A215" s="147" t="s">
        <v>303</v>
      </c>
      <c r="B215" s="147" t="s">
        <v>304</v>
      </c>
      <c r="C215" s="147" t="s">
        <v>476</v>
      </c>
      <c r="D215" s="149" t="str">
        <f t="shared" si="18"/>
        <v>CP208-P Vaccinia Standard</v>
      </c>
      <c r="E215" s="149">
        <f t="shared" si="19"/>
        <v>0</v>
      </c>
      <c r="F215" s="149" t="str">
        <f t="shared" si="20"/>
        <v>CP208-0</v>
      </c>
      <c r="G215" s="155">
        <f>IFERROR(VLOOKUP(F215,SpecialtyBaseLU,11,FALSE),0)</f>
        <v>0</v>
      </c>
      <c r="H215" s="150"/>
      <c r="I215" s="150">
        <v>100</v>
      </c>
      <c r="J215" s="150">
        <f t="shared" si="21"/>
        <v>100</v>
      </c>
      <c r="K215" s="151">
        <f t="shared" si="22"/>
        <v>100</v>
      </c>
      <c r="L215" s="150">
        <f t="shared" si="23"/>
        <v>0</v>
      </c>
    </row>
    <row r="216" spans="1:12" s="147" customFormat="1" x14ac:dyDescent="0.25">
      <c r="A216" s="147" t="s">
        <v>303</v>
      </c>
      <c r="B216" s="147" t="s">
        <v>304</v>
      </c>
      <c r="C216" s="147" t="s">
        <v>495</v>
      </c>
      <c r="D216" s="149" t="str">
        <f t="shared" si="18"/>
        <v>CP208-P VZV Pre-Existing AP</v>
      </c>
      <c r="E216" s="149" t="str">
        <f t="shared" si="19"/>
        <v>RETURN - 1st don of the week -STD</v>
      </c>
      <c r="F216" s="149" t="str">
        <f t="shared" si="20"/>
        <v>CP208-RETURN - 1st don of the week -STD</v>
      </c>
      <c r="G216" s="155">
        <f>IFERROR(VLOOKUP(F216,SpecialtyBaseLU,11,FALSE),0)</f>
        <v>0</v>
      </c>
      <c r="H216" s="150">
        <v>10</v>
      </c>
      <c r="I216" s="150">
        <v>0</v>
      </c>
      <c r="J216" s="150">
        <f t="shared" si="21"/>
        <v>10</v>
      </c>
      <c r="K216" s="151">
        <f t="shared" si="22"/>
        <v>55</v>
      </c>
      <c r="L216" s="150">
        <f t="shared" si="23"/>
        <v>-45</v>
      </c>
    </row>
    <row r="217" spans="1:12" s="147" customFormat="1" x14ac:dyDescent="0.25">
      <c r="A217" s="147" t="s">
        <v>303</v>
      </c>
      <c r="B217" s="147" t="s">
        <v>304</v>
      </c>
      <c r="C217" s="147" t="s">
        <v>496</v>
      </c>
      <c r="D217" s="149" t="str">
        <f t="shared" si="18"/>
        <v>CP208-P VZV Standard</v>
      </c>
      <c r="E217" s="149" t="str">
        <f t="shared" si="19"/>
        <v>RETURN - 1st don of the week -STD</v>
      </c>
      <c r="F217" s="149" t="str">
        <f t="shared" si="20"/>
        <v>CP208-RETURN - 1st don of the week -STD</v>
      </c>
      <c r="G217" s="155">
        <f>IFERROR(VLOOKUP(F217,SpecialtyBaseLU,11,FALSE),0)</f>
        <v>0</v>
      </c>
      <c r="H217" s="150">
        <v>10</v>
      </c>
      <c r="I217" s="150">
        <v>0</v>
      </c>
      <c r="J217" s="150">
        <f t="shared" si="21"/>
        <v>10</v>
      </c>
      <c r="K217" s="151">
        <f t="shared" si="22"/>
        <v>55</v>
      </c>
      <c r="L217" s="150">
        <f t="shared" si="23"/>
        <v>-45</v>
      </c>
    </row>
    <row r="218" spans="1:12" s="147" customFormat="1" x14ac:dyDescent="0.25">
      <c r="A218" s="147" t="s">
        <v>303</v>
      </c>
      <c r="B218" s="147" t="s">
        <v>304</v>
      </c>
      <c r="C218" s="147" t="s">
        <v>497</v>
      </c>
      <c r="D218" s="149" t="str">
        <f t="shared" si="18"/>
        <v>CP208-PVZV Pre-Existing Standard</v>
      </c>
      <c r="E218" s="149" t="str">
        <f t="shared" si="19"/>
        <v>RETURN - 1st don of the week -STD</v>
      </c>
      <c r="F218" s="149" t="str">
        <f t="shared" si="20"/>
        <v>CP208-RETURN - 1st don of the week -STD</v>
      </c>
      <c r="G218" s="155">
        <f>IFERROR(VLOOKUP(F218,SpecialtyBaseLU,11,FALSE),0)</f>
        <v>0</v>
      </c>
      <c r="H218" s="150">
        <f>K218-G218</f>
        <v>55</v>
      </c>
      <c r="I218" s="150"/>
      <c r="J218" s="150">
        <f t="shared" si="21"/>
        <v>55</v>
      </c>
      <c r="K218" s="151">
        <f t="shared" si="22"/>
        <v>55</v>
      </c>
      <c r="L218" s="150">
        <f t="shared" si="23"/>
        <v>0</v>
      </c>
    </row>
    <row r="219" spans="1:12" s="147" customFormat="1" x14ac:dyDescent="0.25">
      <c r="A219" s="147" t="s">
        <v>303</v>
      </c>
      <c r="B219" s="147" t="s">
        <v>304</v>
      </c>
      <c r="C219" s="147" t="s">
        <v>477</v>
      </c>
      <c r="D219" s="149" t="str">
        <f t="shared" si="18"/>
        <v>CP208-Vaccinia - 1st Donation</v>
      </c>
      <c r="E219" s="149">
        <f t="shared" si="19"/>
        <v>0</v>
      </c>
      <c r="F219" s="149" t="str">
        <f t="shared" si="20"/>
        <v>CP208-0</v>
      </c>
      <c r="G219" s="155">
        <f>IFERROR(VLOOKUP(F219,SpecialtyBaseLU,11,FALSE),0)</f>
        <v>0</v>
      </c>
      <c r="H219" s="150"/>
      <c r="I219" s="150">
        <v>150</v>
      </c>
      <c r="J219" s="150">
        <f t="shared" si="21"/>
        <v>150</v>
      </c>
      <c r="K219" s="151">
        <f t="shared" si="22"/>
        <v>150</v>
      </c>
      <c r="L219" s="150">
        <f t="shared" si="23"/>
        <v>0</v>
      </c>
    </row>
    <row r="220" spans="1:12" s="147" customFormat="1" x14ac:dyDescent="0.25">
      <c r="A220" s="147" t="s">
        <v>303</v>
      </c>
      <c r="B220" s="147" t="s">
        <v>304</v>
      </c>
      <c r="C220" s="147" t="s">
        <v>478</v>
      </c>
      <c r="D220" s="149" t="str">
        <f t="shared" si="18"/>
        <v>CP208-Vaccinia - 2nd Donation</v>
      </c>
      <c r="E220" s="149">
        <f t="shared" si="19"/>
        <v>0</v>
      </c>
      <c r="F220" s="149" t="str">
        <f t="shared" si="20"/>
        <v>CP208-0</v>
      </c>
      <c r="G220" s="155">
        <f>IFERROR(VLOOKUP(F220,SpecialtyBaseLU,11,FALSE),0)</f>
        <v>0</v>
      </c>
      <c r="H220" s="150"/>
      <c r="I220" s="150">
        <v>250</v>
      </c>
      <c r="J220" s="150">
        <f t="shared" si="21"/>
        <v>250</v>
      </c>
      <c r="K220" s="151">
        <f t="shared" si="22"/>
        <v>250</v>
      </c>
      <c r="L220" s="150">
        <f t="shared" si="23"/>
        <v>0</v>
      </c>
    </row>
    <row r="221" spans="1:12" s="147" customFormat="1" x14ac:dyDescent="0.25">
      <c r="A221" s="147" t="s">
        <v>303</v>
      </c>
      <c r="B221" s="147" t="s">
        <v>304</v>
      </c>
      <c r="C221" s="147" t="s">
        <v>479</v>
      </c>
      <c r="D221" s="149" t="str">
        <f t="shared" si="18"/>
        <v>CP208-Vaccinia - 3rd Donation</v>
      </c>
      <c r="E221" s="149">
        <f t="shared" si="19"/>
        <v>0</v>
      </c>
      <c r="F221" s="149" t="str">
        <f t="shared" si="20"/>
        <v>CP208-0</v>
      </c>
      <c r="G221" s="155">
        <f>IFERROR(VLOOKUP(F221,SpecialtyBaseLU,11,FALSE),0)</f>
        <v>0</v>
      </c>
      <c r="H221" s="150"/>
      <c r="I221" s="150">
        <v>300</v>
      </c>
      <c r="J221" s="150">
        <f t="shared" si="21"/>
        <v>300</v>
      </c>
      <c r="K221" s="151">
        <f t="shared" si="22"/>
        <v>300</v>
      </c>
      <c r="L221" s="150">
        <f t="shared" si="23"/>
        <v>0</v>
      </c>
    </row>
    <row r="222" spans="1:12" s="147" customFormat="1" x14ac:dyDescent="0.25">
      <c r="A222" s="147" t="s">
        <v>303</v>
      </c>
      <c r="B222" s="147" t="s">
        <v>304</v>
      </c>
      <c r="C222" s="147" t="s">
        <v>480</v>
      </c>
      <c r="D222" s="149" t="str">
        <f t="shared" si="18"/>
        <v>CP208-Vaccinia - 4th Donation</v>
      </c>
      <c r="E222" s="149">
        <f t="shared" si="19"/>
        <v>0</v>
      </c>
      <c r="F222" s="149" t="str">
        <f t="shared" si="20"/>
        <v>CP208-0</v>
      </c>
      <c r="G222" s="155">
        <f>IFERROR(VLOOKUP(F222,SpecialtyBaseLU,11,FALSE),0)</f>
        <v>0</v>
      </c>
      <c r="H222" s="150"/>
      <c r="I222" s="150">
        <v>300</v>
      </c>
      <c r="J222" s="150">
        <f t="shared" si="21"/>
        <v>300</v>
      </c>
      <c r="K222" s="151">
        <f t="shared" si="22"/>
        <v>300</v>
      </c>
      <c r="L222" s="150">
        <f t="shared" si="23"/>
        <v>0</v>
      </c>
    </row>
    <row r="223" spans="1:12" s="147" customFormat="1" x14ac:dyDescent="0.25">
      <c r="A223" s="147" t="s">
        <v>303</v>
      </c>
      <c r="B223" s="147" t="s">
        <v>304</v>
      </c>
      <c r="C223" s="147" t="s">
        <v>481</v>
      </c>
      <c r="D223" s="149" t="str">
        <f t="shared" si="18"/>
        <v>CP208-Vaccinia AP - 1st Donation</v>
      </c>
      <c r="E223" s="149">
        <f t="shared" si="19"/>
        <v>0</v>
      </c>
      <c r="F223" s="149" t="str">
        <f t="shared" si="20"/>
        <v>CP208-0</v>
      </c>
      <c r="G223" s="155">
        <f>IFERROR(VLOOKUP(F223,SpecialtyBaseLU,11,FALSE),0)</f>
        <v>0</v>
      </c>
      <c r="H223" s="150"/>
      <c r="I223" s="150">
        <v>150</v>
      </c>
      <c r="J223" s="150">
        <f t="shared" si="21"/>
        <v>150</v>
      </c>
      <c r="K223" s="151">
        <f t="shared" si="22"/>
        <v>150</v>
      </c>
      <c r="L223" s="150">
        <f t="shared" si="23"/>
        <v>0</v>
      </c>
    </row>
    <row r="224" spans="1:12" s="147" customFormat="1" x14ac:dyDescent="0.25">
      <c r="A224" s="147" t="s">
        <v>303</v>
      </c>
      <c r="B224" s="147" t="s">
        <v>304</v>
      </c>
      <c r="C224" s="147" t="s">
        <v>482</v>
      </c>
      <c r="D224" s="149" t="str">
        <f t="shared" si="18"/>
        <v>CP208-Vaccinia AP - 2nd Donation</v>
      </c>
      <c r="E224" s="149">
        <f t="shared" si="19"/>
        <v>0</v>
      </c>
      <c r="F224" s="149" t="str">
        <f t="shared" si="20"/>
        <v>CP208-0</v>
      </c>
      <c r="G224" s="155">
        <f>IFERROR(VLOOKUP(F224,SpecialtyBaseLU,11,FALSE),0)</f>
        <v>0</v>
      </c>
      <c r="H224" s="150"/>
      <c r="I224" s="150">
        <v>250</v>
      </c>
      <c r="J224" s="150">
        <f t="shared" si="21"/>
        <v>250</v>
      </c>
      <c r="K224" s="151">
        <f t="shared" si="22"/>
        <v>250</v>
      </c>
      <c r="L224" s="150">
        <f t="shared" si="23"/>
        <v>0</v>
      </c>
    </row>
    <row r="225" spans="1:12" s="147" customFormat="1" x14ac:dyDescent="0.25">
      <c r="A225" s="147" t="s">
        <v>303</v>
      </c>
      <c r="B225" s="147" t="s">
        <v>304</v>
      </c>
      <c r="C225" s="147" t="s">
        <v>483</v>
      </c>
      <c r="D225" s="149" t="str">
        <f t="shared" si="18"/>
        <v>CP208-Vaccinia AP - 3rd Donation</v>
      </c>
      <c r="E225" s="149">
        <f t="shared" si="19"/>
        <v>0</v>
      </c>
      <c r="F225" s="149" t="str">
        <f t="shared" si="20"/>
        <v>CP208-0</v>
      </c>
      <c r="G225" s="155">
        <f>IFERROR(VLOOKUP(F225,SpecialtyBaseLU,11,FALSE),0)</f>
        <v>0</v>
      </c>
      <c r="H225" s="150"/>
      <c r="I225" s="150">
        <v>300</v>
      </c>
      <c r="J225" s="150">
        <f t="shared" si="21"/>
        <v>300</v>
      </c>
      <c r="K225" s="151">
        <f t="shared" si="22"/>
        <v>300</v>
      </c>
      <c r="L225" s="150">
        <f t="shared" si="23"/>
        <v>0</v>
      </c>
    </row>
    <row r="226" spans="1:12" s="147" customFormat="1" x14ac:dyDescent="0.25">
      <c r="A226" s="147" t="s">
        <v>303</v>
      </c>
      <c r="B226" s="147" t="s">
        <v>304</v>
      </c>
      <c r="C226" s="147" t="s">
        <v>484</v>
      </c>
      <c r="D226" s="149" t="str">
        <f t="shared" si="18"/>
        <v>CP208-Vaccinia AP - 4th Donation</v>
      </c>
      <c r="E226" s="149">
        <f t="shared" si="19"/>
        <v>0</v>
      </c>
      <c r="F226" s="149" t="str">
        <f t="shared" si="20"/>
        <v>CP208-0</v>
      </c>
      <c r="G226" s="155">
        <f>IFERROR(VLOOKUP(F226,SpecialtyBaseLU,11,FALSE),0)</f>
        <v>0</v>
      </c>
      <c r="H226" s="150"/>
      <c r="I226" s="150">
        <v>300</v>
      </c>
      <c r="J226" s="150">
        <f t="shared" si="21"/>
        <v>300</v>
      </c>
      <c r="K226" s="151">
        <f t="shared" si="22"/>
        <v>300</v>
      </c>
      <c r="L226" s="150">
        <f t="shared" si="23"/>
        <v>0</v>
      </c>
    </row>
    <row r="227" spans="1:12" x14ac:dyDescent="0.25">
      <c r="A227" t="s">
        <v>230</v>
      </c>
      <c r="B227" t="s">
        <v>231</v>
      </c>
      <c r="C227" t="s">
        <v>469</v>
      </c>
      <c r="D227" s="36" t="str">
        <f t="shared" si="18"/>
        <v>CP894-P Anti-D Pre-Existing Standard</v>
      </c>
      <c r="E227" s="36" t="str">
        <f t="shared" si="19"/>
        <v>RETURN - 1st don of the week -STD</v>
      </c>
      <c r="F227" s="36" t="str">
        <f t="shared" si="20"/>
        <v>CP894-RETURN - 1st don of the week -STD</v>
      </c>
      <c r="G227" s="155">
        <f>IFERROR(VLOOKUP(F227,SpecialtyBaseLU,11,FALSE),0)</f>
        <v>45</v>
      </c>
      <c r="H227" s="5">
        <v>5</v>
      </c>
      <c r="J227" s="5">
        <f t="shared" si="21"/>
        <v>50</v>
      </c>
      <c r="K227" s="148">
        <f t="shared" si="22"/>
        <v>50</v>
      </c>
      <c r="L227" s="5">
        <f t="shared" si="23"/>
        <v>0</v>
      </c>
    </row>
    <row r="228" spans="1:12" x14ac:dyDescent="0.25">
      <c r="A228" t="s">
        <v>117</v>
      </c>
      <c r="B228" t="s">
        <v>118</v>
      </c>
      <c r="C228" t="s">
        <v>471</v>
      </c>
      <c r="D228" s="36" t="str">
        <f t="shared" si="18"/>
        <v>CP214-2X Week P HBS Pre-Existing</v>
      </c>
      <c r="E228" s="36" t="str">
        <f t="shared" si="19"/>
        <v>RETURN - 2nd don of the week -BONUS</v>
      </c>
      <c r="F228" s="36" t="str">
        <f t="shared" si="20"/>
        <v>CP214-RETURN - 2nd don of the week -BONUS</v>
      </c>
      <c r="G228" s="155">
        <f>IFERROR(VLOOKUP(F228,SpecialtyBaseLU,11,FALSE),0)</f>
        <v>20</v>
      </c>
      <c r="H228" s="5">
        <v>0</v>
      </c>
      <c r="J228" s="5">
        <f t="shared" si="21"/>
        <v>20</v>
      </c>
      <c r="K228" s="148">
        <f t="shared" si="22"/>
        <v>20</v>
      </c>
      <c r="L228" s="5">
        <f t="shared" si="23"/>
        <v>0</v>
      </c>
    </row>
    <row r="229" spans="1:12" x14ac:dyDescent="0.25">
      <c r="A229" t="s">
        <v>117</v>
      </c>
      <c r="B229" t="s">
        <v>118</v>
      </c>
      <c r="C229" t="s">
        <v>504</v>
      </c>
      <c r="D229" s="36" t="str">
        <f t="shared" si="18"/>
        <v>CP214-2X Week P HBS TWINRX</v>
      </c>
      <c r="E229" s="36" t="str">
        <f t="shared" si="19"/>
        <v>RETURN - 2nd don of the week -BONUS</v>
      </c>
      <c r="F229" s="36" t="str">
        <f t="shared" si="20"/>
        <v>CP214-RETURN - 2nd don of the week -BONUS</v>
      </c>
      <c r="G229" s="155">
        <f>IFERROR(VLOOKUP(F229,SpecialtyBaseLU,11,FALSE),0)</f>
        <v>20</v>
      </c>
      <c r="H229" s="5">
        <v>0</v>
      </c>
      <c r="J229" s="5">
        <f t="shared" si="21"/>
        <v>20</v>
      </c>
      <c r="K229" s="148">
        <f t="shared" si="22"/>
        <v>20</v>
      </c>
      <c r="L229" s="5">
        <f t="shared" si="23"/>
        <v>0</v>
      </c>
    </row>
    <row r="230" spans="1:12" x14ac:dyDescent="0.25">
      <c r="A230" t="s">
        <v>117</v>
      </c>
      <c r="B230" t="s">
        <v>118</v>
      </c>
      <c r="C230" t="s">
        <v>505</v>
      </c>
      <c r="D230" s="36" t="str">
        <f t="shared" si="18"/>
        <v>CP214-2X Week P HBS TWINRX-AP</v>
      </c>
      <c r="E230" s="36" t="str">
        <f t="shared" si="19"/>
        <v>RETURN - 2nd don of the week -BONUS</v>
      </c>
      <c r="F230" s="36" t="str">
        <f t="shared" si="20"/>
        <v>CP214-RETURN - 2nd don of the week -BONUS</v>
      </c>
      <c r="G230" s="155">
        <f>IFERROR(VLOOKUP(F230,SpecialtyBaseLU,11,FALSE),0)</f>
        <v>20</v>
      </c>
      <c r="H230" s="5">
        <v>0</v>
      </c>
      <c r="J230" s="5">
        <f t="shared" si="21"/>
        <v>20</v>
      </c>
      <c r="K230" s="148">
        <f t="shared" si="22"/>
        <v>20</v>
      </c>
      <c r="L230" s="5">
        <f t="shared" si="23"/>
        <v>0</v>
      </c>
    </row>
    <row r="231" spans="1:12" x14ac:dyDescent="0.25">
      <c r="A231" t="s">
        <v>117</v>
      </c>
      <c r="B231" t="s">
        <v>118</v>
      </c>
      <c r="C231" t="s">
        <v>488</v>
      </c>
      <c r="D231" s="36" t="str">
        <f t="shared" si="18"/>
        <v>CP214-2X Week P VZV</v>
      </c>
      <c r="E231" s="36" t="str">
        <f t="shared" si="19"/>
        <v>RETURN - 2nd don of the week -BONUS</v>
      </c>
      <c r="F231" s="36" t="str">
        <f t="shared" si="20"/>
        <v>CP214-RETURN - 2nd don of the week -BONUS</v>
      </c>
      <c r="G231" s="155">
        <f>IFERROR(VLOOKUP(F231,SpecialtyBaseLU,11,FALSE),0)</f>
        <v>20</v>
      </c>
      <c r="H231" s="5">
        <v>0</v>
      </c>
      <c r="J231" s="5">
        <f t="shared" si="21"/>
        <v>20</v>
      </c>
      <c r="K231" s="148">
        <f t="shared" si="22"/>
        <v>20</v>
      </c>
      <c r="L231" s="5">
        <f t="shared" si="23"/>
        <v>0</v>
      </c>
    </row>
    <row r="232" spans="1:12" x14ac:dyDescent="0.25">
      <c r="A232" t="s">
        <v>117</v>
      </c>
      <c r="B232" t="s">
        <v>118</v>
      </c>
      <c r="C232" t="s">
        <v>489</v>
      </c>
      <c r="D232" s="36" t="str">
        <f t="shared" si="18"/>
        <v>CP214-2X Week P VZV AP</v>
      </c>
      <c r="E232" s="36" t="str">
        <f t="shared" si="19"/>
        <v>RETURN - 2nd don of the week -BONUS</v>
      </c>
      <c r="F232" s="36" t="str">
        <f t="shared" si="20"/>
        <v>CP214-RETURN - 2nd don of the week -BONUS</v>
      </c>
      <c r="G232" s="155">
        <f>IFERROR(VLOOKUP(F232,SpecialtyBaseLU,11,FALSE),0)</f>
        <v>20</v>
      </c>
      <c r="H232" s="5">
        <v>0</v>
      </c>
      <c r="J232" s="5">
        <f t="shared" si="21"/>
        <v>20</v>
      </c>
      <c r="K232" s="148">
        <f t="shared" si="22"/>
        <v>20</v>
      </c>
      <c r="L232" s="5">
        <f t="shared" si="23"/>
        <v>0</v>
      </c>
    </row>
    <row r="233" spans="1:12" x14ac:dyDescent="0.25">
      <c r="A233" t="s">
        <v>117</v>
      </c>
      <c r="B233" t="s">
        <v>118</v>
      </c>
      <c r="C233" t="s">
        <v>490</v>
      </c>
      <c r="D233" s="36" t="str">
        <f t="shared" si="18"/>
        <v>CP214-2X Week P VZV Pre-Existing</v>
      </c>
      <c r="E233" s="36" t="str">
        <f t="shared" si="19"/>
        <v>RETURN - 2nd don of the week -BONUS</v>
      </c>
      <c r="F233" s="36" t="str">
        <f t="shared" si="20"/>
        <v>CP214-RETURN - 2nd don of the week -BONUS</v>
      </c>
      <c r="G233" s="155">
        <f>IFERROR(VLOOKUP(F233,SpecialtyBaseLU,11,FALSE),0)</f>
        <v>20</v>
      </c>
      <c r="H233" s="5">
        <v>0</v>
      </c>
      <c r="J233" s="5">
        <f t="shared" si="21"/>
        <v>20</v>
      </c>
      <c r="K233" s="148">
        <f t="shared" si="22"/>
        <v>20</v>
      </c>
      <c r="L233" s="5">
        <f t="shared" si="23"/>
        <v>0</v>
      </c>
    </row>
    <row r="234" spans="1:12" x14ac:dyDescent="0.25">
      <c r="A234" t="s">
        <v>117</v>
      </c>
      <c r="B234" t="s">
        <v>118</v>
      </c>
      <c r="C234" t="s">
        <v>491</v>
      </c>
      <c r="D234" s="36" t="str">
        <f t="shared" si="18"/>
        <v>CP214-2X Week P VZV Pre-Existing AP</v>
      </c>
      <c r="E234" s="36" t="str">
        <f t="shared" si="19"/>
        <v>RETURN - 2nd don of the week -BONUS</v>
      </c>
      <c r="F234" s="36" t="str">
        <f t="shared" si="20"/>
        <v>CP214-RETURN - 2nd don of the week -BONUS</v>
      </c>
      <c r="G234" s="155">
        <f>IFERROR(VLOOKUP(F234,SpecialtyBaseLU,11,FALSE),0)</f>
        <v>20</v>
      </c>
      <c r="H234" s="5">
        <v>0</v>
      </c>
      <c r="J234" s="5">
        <f t="shared" si="21"/>
        <v>20</v>
      </c>
      <c r="K234" s="148">
        <f t="shared" si="22"/>
        <v>20</v>
      </c>
      <c r="L234" s="5">
        <f t="shared" si="23"/>
        <v>0</v>
      </c>
    </row>
    <row r="235" spans="1:12" x14ac:dyDescent="0.25">
      <c r="A235" t="s">
        <v>117</v>
      </c>
      <c r="B235" t="s">
        <v>118</v>
      </c>
      <c r="C235" t="s">
        <v>469</v>
      </c>
      <c r="D235" s="36" t="str">
        <f t="shared" si="18"/>
        <v>CP214-P Anti-D Pre-Existing Standard</v>
      </c>
      <c r="E235" s="36" t="str">
        <f t="shared" si="19"/>
        <v>RETURN - 1st don of the week -STD</v>
      </c>
      <c r="F235" s="36" t="str">
        <f t="shared" si="20"/>
        <v>CP214-RETURN - 1st don of the week -STD</v>
      </c>
      <c r="G235" s="155">
        <f>IFERROR(VLOOKUP(F235,SpecialtyBaseLU,11,FALSE),0)</f>
        <v>55</v>
      </c>
      <c r="H235" s="5">
        <v>-5</v>
      </c>
      <c r="J235" s="5">
        <f t="shared" si="21"/>
        <v>50</v>
      </c>
      <c r="K235" s="148">
        <f t="shared" si="22"/>
        <v>50</v>
      </c>
      <c r="L235" s="5">
        <f t="shared" si="23"/>
        <v>0</v>
      </c>
    </row>
    <row r="236" spans="1:12" x14ac:dyDescent="0.25">
      <c r="A236" t="s">
        <v>117</v>
      </c>
      <c r="B236" t="s">
        <v>118</v>
      </c>
      <c r="C236" t="s">
        <v>472</v>
      </c>
      <c r="D236" s="36" t="str">
        <f t="shared" si="18"/>
        <v>CP214-P HBS Pre-Existing Standard</v>
      </c>
      <c r="E236" s="36" t="str">
        <f t="shared" si="19"/>
        <v>RETURN - 1st don of the week -STD</v>
      </c>
      <c r="F236" s="36" t="str">
        <f t="shared" si="20"/>
        <v>CP214-RETURN - 1st don of the week -STD</v>
      </c>
      <c r="G236" s="155">
        <f>IFERROR(VLOOKUP(F236,SpecialtyBaseLU,11,FALSE),0)</f>
        <v>55</v>
      </c>
      <c r="H236" s="5">
        <v>20</v>
      </c>
      <c r="J236" s="5">
        <f t="shared" si="21"/>
        <v>75</v>
      </c>
      <c r="K236" s="148">
        <f t="shared" si="22"/>
        <v>75</v>
      </c>
      <c r="L236" s="5">
        <f t="shared" si="23"/>
        <v>0</v>
      </c>
    </row>
    <row r="237" spans="1:12" x14ac:dyDescent="0.25">
      <c r="A237" t="s">
        <v>117</v>
      </c>
      <c r="B237" t="s">
        <v>118</v>
      </c>
      <c r="C237" t="s">
        <v>506</v>
      </c>
      <c r="D237" s="36" t="str">
        <f t="shared" si="18"/>
        <v>CP214-P HBS TWINRIX Standard</v>
      </c>
      <c r="E237" s="36" t="str">
        <f t="shared" si="19"/>
        <v>RETURN - 1st don of the week -STD</v>
      </c>
      <c r="F237" s="36" t="str">
        <f t="shared" si="20"/>
        <v>CP214-RETURN - 1st don of the week -STD</v>
      </c>
      <c r="G237" s="155">
        <f>IFERROR(VLOOKUP(F237,SpecialtyBaseLU,11,FALSE),0)</f>
        <v>55</v>
      </c>
      <c r="H237" s="5">
        <v>20</v>
      </c>
      <c r="J237" s="5">
        <f t="shared" si="21"/>
        <v>75</v>
      </c>
      <c r="K237" s="148">
        <f t="shared" si="22"/>
        <v>75</v>
      </c>
      <c r="L237" s="5">
        <f t="shared" si="23"/>
        <v>0</v>
      </c>
    </row>
    <row r="238" spans="1:12" x14ac:dyDescent="0.25">
      <c r="A238" t="s">
        <v>117</v>
      </c>
      <c r="B238" t="s">
        <v>118</v>
      </c>
      <c r="C238" t="s">
        <v>507</v>
      </c>
      <c r="D238" s="36" t="str">
        <f t="shared" si="18"/>
        <v>CP214-P HBS TWINRIX-AP Standard</v>
      </c>
      <c r="E238" s="36" t="str">
        <f t="shared" si="19"/>
        <v>RETURN - 1st don of the week -STD</v>
      </c>
      <c r="F238" s="36" t="str">
        <f t="shared" si="20"/>
        <v>CP214-RETURN - 1st don of the week -STD</v>
      </c>
      <c r="G238" s="155">
        <f>IFERROR(VLOOKUP(F238,SpecialtyBaseLU,11,FALSE),0)</f>
        <v>55</v>
      </c>
      <c r="H238" s="5">
        <f>K238-G238</f>
        <v>20</v>
      </c>
      <c r="J238" s="5">
        <f t="shared" si="21"/>
        <v>75</v>
      </c>
      <c r="K238" s="148">
        <f t="shared" si="22"/>
        <v>75</v>
      </c>
      <c r="L238" s="5">
        <f t="shared" si="23"/>
        <v>0</v>
      </c>
    </row>
    <row r="239" spans="1:12" x14ac:dyDescent="0.25">
      <c r="A239" t="s">
        <v>117</v>
      </c>
      <c r="B239" t="s">
        <v>118</v>
      </c>
      <c r="C239" t="s">
        <v>475</v>
      </c>
      <c r="D239" s="36" t="str">
        <f t="shared" si="18"/>
        <v>CP214-P Vaccinia AP Standard</v>
      </c>
      <c r="E239" s="36">
        <f t="shared" si="19"/>
        <v>0</v>
      </c>
      <c r="F239" s="36" t="str">
        <f t="shared" si="20"/>
        <v>CP214-0</v>
      </c>
      <c r="G239" s="155">
        <f>IFERROR(VLOOKUP(F239,SpecialtyBaseLU,11,FALSE),0)</f>
        <v>0</v>
      </c>
      <c r="I239" s="5">
        <v>100</v>
      </c>
      <c r="J239" s="5">
        <f t="shared" si="21"/>
        <v>100</v>
      </c>
      <c r="K239" s="148">
        <f t="shared" si="22"/>
        <v>100</v>
      </c>
      <c r="L239" s="5">
        <f t="shared" si="23"/>
        <v>0</v>
      </c>
    </row>
    <row r="240" spans="1:12" x14ac:dyDescent="0.25">
      <c r="A240" t="s">
        <v>117</v>
      </c>
      <c r="B240" t="s">
        <v>118</v>
      </c>
      <c r="C240" t="s">
        <v>476</v>
      </c>
      <c r="D240" s="36" t="str">
        <f t="shared" si="18"/>
        <v>CP214-P Vaccinia Standard</v>
      </c>
      <c r="E240" s="36">
        <f t="shared" si="19"/>
        <v>0</v>
      </c>
      <c r="F240" s="36" t="str">
        <f t="shared" si="20"/>
        <v>CP214-0</v>
      </c>
      <c r="G240" s="155">
        <f>IFERROR(VLOOKUP(F240,SpecialtyBaseLU,11,FALSE),0)</f>
        <v>0</v>
      </c>
      <c r="I240" s="5">
        <v>100</v>
      </c>
      <c r="J240" s="5">
        <f t="shared" si="21"/>
        <v>100</v>
      </c>
      <c r="K240" s="148">
        <f t="shared" si="22"/>
        <v>100</v>
      </c>
      <c r="L240" s="5">
        <f t="shared" si="23"/>
        <v>0</v>
      </c>
    </row>
    <row r="241" spans="1:12" x14ac:dyDescent="0.25">
      <c r="A241" t="s">
        <v>117</v>
      </c>
      <c r="B241" t="s">
        <v>118</v>
      </c>
      <c r="C241" t="s">
        <v>495</v>
      </c>
      <c r="D241" s="36" t="str">
        <f t="shared" si="18"/>
        <v>CP214-P VZV Pre-Existing AP</v>
      </c>
      <c r="E241" s="36" t="str">
        <f t="shared" si="19"/>
        <v>RETURN - 1st don of the week -STD</v>
      </c>
      <c r="F241" s="36" t="str">
        <f t="shared" si="20"/>
        <v>CP214-RETURN - 1st don of the week -STD</v>
      </c>
      <c r="G241" s="155">
        <f>IFERROR(VLOOKUP(F241,SpecialtyBaseLU,11,FALSE),0)</f>
        <v>55</v>
      </c>
      <c r="H241" s="5">
        <v>10</v>
      </c>
      <c r="I241" s="5">
        <v>0</v>
      </c>
      <c r="J241" s="5">
        <f t="shared" si="21"/>
        <v>65</v>
      </c>
      <c r="K241" s="148">
        <f t="shared" si="22"/>
        <v>65</v>
      </c>
      <c r="L241" s="5">
        <f t="shared" si="23"/>
        <v>0</v>
      </c>
    </row>
    <row r="242" spans="1:12" x14ac:dyDescent="0.25">
      <c r="A242" t="s">
        <v>117</v>
      </c>
      <c r="B242" t="s">
        <v>118</v>
      </c>
      <c r="C242" t="s">
        <v>496</v>
      </c>
      <c r="D242" s="36" t="str">
        <f t="shared" si="18"/>
        <v>CP214-P VZV Standard</v>
      </c>
      <c r="E242" s="36" t="str">
        <f t="shared" si="19"/>
        <v>RETURN - 1st don of the week -STD</v>
      </c>
      <c r="F242" s="36" t="str">
        <f t="shared" si="20"/>
        <v>CP214-RETURN - 1st don of the week -STD</v>
      </c>
      <c r="G242" s="155">
        <f>IFERROR(VLOOKUP(F242,SpecialtyBaseLU,11,FALSE),0)</f>
        <v>55</v>
      </c>
      <c r="H242" s="5">
        <v>10</v>
      </c>
      <c r="I242" s="5">
        <v>0</v>
      </c>
      <c r="J242" s="5">
        <f t="shared" si="21"/>
        <v>65</v>
      </c>
      <c r="K242" s="148">
        <f t="shared" si="22"/>
        <v>65</v>
      </c>
      <c r="L242" s="5">
        <f t="shared" si="23"/>
        <v>0</v>
      </c>
    </row>
    <row r="243" spans="1:12" x14ac:dyDescent="0.25">
      <c r="A243" t="s">
        <v>117</v>
      </c>
      <c r="B243" t="s">
        <v>118</v>
      </c>
      <c r="C243" t="s">
        <v>497</v>
      </c>
      <c r="D243" s="36" t="str">
        <f t="shared" si="18"/>
        <v>CP214-PVZV Pre-Existing Standard</v>
      </c>
      <c r="E243" s="36" t="str">
        <f t="shared" si="19"/>
        <v>RETURN - 1st don of the week -STD</v>
      </c>
      <c r="F243" s="36" t="str">
        <f t="shared" si="20"/>
        <v>CP214-RETURN - 1st don of the week -STD</v>
      </c>
      <c r="G243" s="155">
        <f>IFERROR(VLOOKUP(F243,SpecialtyBaseLU,11,FALSE),0)</f>
        <v>55</v>
      </c>
      <c r="H243" s="5">
        <f>K243-G243</f>
        <v>10</v>
      </c>
      <c r="J243" s="5">
        <f t="shared" si="21"/>
        <v>65</v>
      </c>
      <c r="K243" s="148">
        <f t="shared" si="22"/>
        <v>65</v>
      </c>
      <c r="L243" s="5">
        <f t="shared" si="23"/>
        <v>0</v>
      </c>
    </row>
    <row r="244" spans="1:12" x14ac:dyDescent="0.25">
      <c r="A244" t="s">
        <v>117</v>
      </c>
      <c r="B244" t="s">
        <v>118</v>
      </c>
      <c r="C244" t="s">
        <v>477</v>
      </c>
      <c r="D244" s="36" t="str">
        <f t="shared" si="18"/>
        <v>CP214-Vaccinia - 1st Donation</v>
      </c>
      <c r="E244" s="36">
        <f t="shared" si="19"/>
        <v>0</v>
      </c>
      <c r="F244" s="36" t="str">
        <f t="shared" si="20"/>
        <v>CP214-0</v>
      </c>
      <c r="G244" s="155">
        <f>IFERROR(VLOOKUP(F244,SpecialtyBaseLU,11,FALSE),0)</f>
        <v>0</v>
      </c>
      <c r="I244" s="5">
        <v>150</v>
      </c>
      <c r="J244" s="5">
        <f t="shared" si="21"/>
        <v>150</v>
      </c>
      <c r="K244" s="148">
        <f t="shared" si="22"/>
        <v>150</v>
      </c>
      <c r="L244" s="5">
        <f t="shared" si="23"/>
        <v>0</v>
      </c>
    </row>
    <row r="245" spans="1:12" x14ac:dyDescent="0.25">
      <c r="A245" t="s">
        <v>117</v>
      </c>
      <c r="B245" t="s">
        <v>118</v>
      </c>
      <c r="C245" t="s">
        <v>478</v>
      </c>
      <c r="D245" s="36" t="str">
        <f t="shared" si="18"/>
        <v>CP214-Vaccinia - 2nd Donation</v>
      </c>
      <c r="E245" s="36">
        <f t="shared" si="19"/>
        <v>0</v>
      </c>
      <c r="F245" s="36" t="str">
        <f t="shared" si="20"/>
        <v>CP214-0</v>
      </c>
      <c r="G245" s="155">
        <f>IFERROR(VLOOKUP(F245,SpecialtyBaseLU,11,FALSE),0)</f>
        <v>0</v>
      </c>
      <c r="I245" s="5">
        <v>250</v>
      </c>
      <c r="J245" s="5">
        <f t="shared" si="21"/>
        <v>250</v>
      </c>
      <c r="K245" s="148">
        <f t="shared" si="22"/>
        <v>250</v>
      </c>
      <c r="L245" s="5">
        <f t="shared" si="23"/>
        <v>0</v>
      </c>
    </row>
    <row r="246" spans="1:12" x14ac:dyDescent="0.25">
      <c r="A246" t="s">
        <v>117</v>
      </c>
      <c r="B246" t="s">
        <v>118</v>
      </c>
      <c r="C246" t="s">
        <v>479</v>
      </c>
      <c r="D246" s="36" t="str">
        <f t="shared" si="18"/>
        <v>CP214-Vaccinia - 3rd Donation</v>
      </c>
      <c r="E246" s="36">
        <f t="shared" si="19"/>
        <v>0</v>
      </c>
      <c r="F246" s="36" t="str">
        <f t="shared" si="20"/>
        <v>CP214-0</v>
      </c>
      <c r="G246" s="155">
        <f>IFERROR(VLOOKUP(F246,SpecialtyBaseLU,11,FALSE),0)</f>
        <v>0</v>
      </c>
      <c r="I246" s="5">
        <v>300</v>
      </c>
      <c r="J246" s="5">
        <f t="shared" si="21"/>
        <v>300</v>
      </c>
      <c r="K246" s="148">
        <f t="shared" si="22"/>
        <v>300</v>
      </c>
      <c r="L246" s="5">
        <f t="shared" si="23"/>
        <v>0</v>
      </c>
    </row>
    <row r="247" spans="1:12" x14ac:dyDescent="0.25">
      <c r="A247" t="s">
        <v>117</v>
      </c>
      <c r="B247" t="s">
        <v>118</v>
      </c>
      <c r="C247" t="s">
        <v>480</v>
      </c>
      <c r="D247" s="36" t="str">
        <f t="shared" si="18"/>
        <v>CP214-Vaccinia - 4th Donation</v>
      </c>
      <c r="E247" s="36">
        <f t="shared" si="19"/>
        <v>0</v>
      </c>
      <c r="F247" s="36" t="str">
        <f t="shared" si="20"/>
        <v>CP214-0</v>
      </c>
      <c r="G247" s="155">
        <f>IFERROR(VLOOKUP(F247,SpecialtyBaseLU,11,FALSE),0)</f>
        <v>0</v>
      </c>
      <c r="I247" s="5">
        <v>300</v>
      </c>
      <c r="J247" s="5">
        <f t="shared" si="21"/>
        <v>300</v>
      </c>
      <c r="K247" s="148">
        <f t="shared" si="22"/>
        <v>300</v>
      </c>
      <c r="L247" s="5">
        <f t="shared" si="23"/>
        <v>0</v>
      </c>
    </row>
    <row r="248" spans="1:12" x14ac:dyDescent="0.25">
      <c r="A248" t="s">
        <v>117</v>
      </c>
      <c r="B248" t="s">
        <v>118</v>
      </c>
      <c r="C248" t="s">
        <v>481</v>
      </c>
      <c r="D248" s="36" t="str">
        <f t="shared" si="18"/>
        <v>CP214-Vaccinia AP - 1st Donation</v>
      </c>
      <c r="E248" s="36">
        <f t="shared" si="19"/>
        <v>0</v>
      </c>
      <c r="F248" s="36" t="str">
        <f t="shared" si="20"/>
        <v>CP214-0</v>
      </c>
      <c r="G248" s="155">
        <f>IFERROR(VLOOKUP(F248,SpecialtyBaseLU,11,FALSE),0)</f>
        <v>0</v>
      </c>
      <c r="I248" s="5">
        <v>150</v>
      </c>
      <c r="J248" s="5">
        <f t="shared" si="21"/>
        <v>150</v>
      </c>
      <c r="K248" s="148">
        <f t="shared" si="22"/>
        <v>150</v>
      </c>
      <c r="L248" s="5">
        <f t="shared" si="23"/>
        <v>0</v>
      </c>
    </row>
    <row r="249" spans="1:12" x14ac:dyDescent="0.25">
      <c r="A249" t="s">
        <v>117</v>
      </c>
      <c r="B249" t="s">
        <v>118</v>
      </c>
      <c r="C249" t="s">
        <v>482</v>
      </c>
      <c r="D249" s="36" t="str">
        <f t="shared" si="18"/>
        <v>CP214-Vaccinia AP - 2nd Donation</v>
      </c>
      <c r="E249" s="36">
        <f t="shared" si="19"/>
        <v>0</v>
      </c>
      <c r="F249" s="36" t="str">
        <f t="shared" si="20"/>
        <v>CP214-0</v>
      </c>
      <c r="G249" s="155">
        <f>IFERROR(VLOOKUP(F249,SpecialtyBaseLU,11,FALSE),0)</f>
        <v>0</v>
      </c>
      <c r="I249" s="5">
        <v>250</v>
      </c>
      <c r="J249" s="5">
        <f t="shared" si="21"/>
        <v>250</v>
      </c>
      <c r="K249" s="148">
        <f t="shared" si="22"/>
        <v>250</v>
      </c>
      <c r="L249" s="5">
        <f t="shared" si="23"/>
        <v>0</v>
      </c>
    </row>
    <row r="250" spans="1:12" x14ac:dyDescent="0.25">
      <c r="A250" t="s">
        <v>117</v>
      </c>
      <c r="B250" t="s">
        <v>118</v>
      </c>
      <c r="C250" t="s">
        <v>483</v>
      </c>
      <c r="D250" s="36" t="str">
        <f t="shared" si="18"/>
        <v>CP214-Vaccinia AP - 3rd Donation</v>
      </c>
      <c r="E250" s="36">
        <f t="shared" si="19"/>
        <v>0</v>
      </c>
      <c r="F250" s="36" t="str">
        <f t="shared" si="20"/>
        <v>CP214-0</v>
      </c>
      <c r="G250" s="155">
        <f>IFERROR(VLOOKUP(F250,SpecialtyBaseLU,11,FALSE),0)</f>
        <v>0</v>
      </c>
      <c r="I250" s="5">
        <v>300</v>
      </c>
      <c r="J250" s="5">
        <f t="shared" si="21"/>
        <v>300</v>
      </c>
      <c r="K250" s="148">
        <f t="shared" si="22"/>
        <v>300</v>
      </c>
      <c r="L250" s="5">
        <f t="shared" si="23"/>
        <v>0</v>
      </c>
    </row>
    <row r="251" spans="1:12" x14ac:dyDescent="0.25">
      <c r="A251" t="s">
        <v>117</v>
      </c>
      <c r="B251" t="s">
        <v>118</v>
      </c>
      <c r="C251" t="s">
        <v>484</v>
      </c>
      <c r="D251" s="36" t="str">
        <f t="shared" si="18"/>
        <v>CP214-Vaccinia AP - 4th Donation</v>
      </c>
      <c r="E251" s="36">
        <f t="shared" si="19"/>
        <v>0</v>
      </c>
      <c r="F251" s="36" t="str">
        <f t="shared" si="20"/>
        <v>CP214-0</v>
      </c>
      <c r="G251" s="155">
        <f>IFERROR(VLOOKUP(F251,SpecialtyBaseLU,11,FALSE),0)</f>
        <v>0</v>
      </c>
      <c r="I251" s="5">
        <v>300</v>
      </c>
      <c r="J251" s="5">
        <f t="shared" si="21"/>
        <v>300</v>
      </c>
      <c r="K251" s="148">
        <f t="shared" si="22"/>
        <v>300</v>
      </c>
      <c r="L251" s="5">
        <f t="shared" si="23"/>
        <v>0</v>
      </c>
    </row>
    <row r="252" spans="1:12" x14ac:dyDescent="0.25">
      <c r="A252" t="s">
        <v>152</v>
      </c>
      <c r="B252" t="s">
        <v>153</v>
      </c>
      <c r="C252" t="s">
        <v>469</v>
      </c>
      <c r="D252" s="36" t="str">
        <f t="shared" si="18"/>
        <v>CP215-P Anti-D Pre-Existing Standard</v>
      </c>
      <c r="E252" s="36" t="str">
        <f t="shared" si="19"/>
        <v>RETURN - 1st don of the week -STD</v>
      </c>
      <c r="F252" s="36" t="str">
        <f t="shared" si="20"/>
        <v>CP215-RETURN - 1st don of the week -STD</v>
      </c>
      <c r="G252" s="155">
        <f>IFERROR(VLOOKUP(F252,SpecialtyBaseLU,11,FALSE),0)</f>
        <v>50.5</v>
      </c>
      <c r="H252" s="5">
        <v>-0.5</v>
      </c>
      <c r="J252" s="5">
        <f t="shared" si="21"/>
        <v>50</v>
      </c>
      <c r="K252" s="148">
        <f t="shared" si="22"/>
        <v>50</v>
      </c>
      <c r="L252" s="5">
        <f t="shared" si="23"/>
        <v>0</v>
      </c>
    </row>
    <row r="253" spans="1:12" x14ac:dyDescent="0.25">
      <c r="A253" t="s">
        <v>152</v>
      </c>
      <c r="B253" t="s">
        <v>153</v>
      </c>
      <c r="C253" t="s">
        <v>475</v>
      </c>
      <c r="D253" s="36" t="str">
        <f t="shared" si="18"/>
        <v>CP215-P Vaccinia AP Standard</v>
      </c>
      <c r="E253" s="36">
        <f t="shared" si="19"/>
        <v>0</v>
      </c>
      <c r="F253" s="36" t="str">
        <f t="shared" si="20"/>
        <v>CP215-0</v>
      </c>
      <c r="G253" s="155">
        <f>IFERROR(VLOOKUP(F253,SpecialtyBaseLU,11,FALSE),0)</f>
        <v>0</v>
      </c>
      <c r="I253" s="5">
        <v>100</v>
      </c>
      <c r="J253" s="5">
        <f t="shared" si="21"/>
        <v>100</v>
      </c>
      <c r="K253" s="148">
        <f t="shared" si="22"/>
        <v>100</v>
      </c>
      <c r="L253" s="5">
        <f t="shared" si="23"/>
        <v>0</v>
      </c>
    </row>
    <row r="254" spans="1:12" x14ac:dyDescent="0.25">
      <c r="A254" t="s">
        <v>152</v>
      </c>
      <c r="B254" t="s">
        <v>153</v>
      </c>
      <c r="C254" t="s">
        <v>476</v>
      </c>
      <c r="D254" s="36" t="str">
        <f t="shared" si="18"/>
        <v>CP215-P Vaccinia Standard</v>
      </c>
      <c r="E254" s="36">
        <f t="shared" si="19"/>
        <v>0</v>
      </c>
      <c r="F254" s="36" t="str">
        <f t="shared" si="20"/>
        <v>CP215-0</v>
      </c>
      <c r="G254" s="155">
        <f>IFERROR(VLOOKUP(F254,SpecialtyBaseLU,11,FALSE),0)</f>
        <v>0</v>
      </c>
      <c r="I254" s="5">
        <v>100</v>
      </c>
      <c r="J254" s="5">
        <f t="shared" si="21"/>
        <v>100</v>
      </c>
      <c r="K254" s="148">
        <f t="shared" si="22"/>
        <v>100</v>
      </c>
      <c r="L254" s="5">
        <f t="shared" si="23"/>
        <v>0</v>
      </c>
    </row>
    <row r="255" spans="1:12" x14ac:dyDescent="0.25">
      <c r="A255" t="s">
        <v>152</v>
      </c>
      <c r="B255" t="s">
        <v>153</v>
      </c>
      <c r="C255" t="s">
        <v>495</v>
      </c>
      <c r="D255" s="36" t="str">
        <f t="shared" si="18"/>
        <v>CP215-P VZV Pre-Existing AP</v>
      </c>
      <c r="E255" s="36" t="str">
        <f t="shared" si="19"/>
        <v>RETURN - 1st don of the week -STD</v>
      </c>
      <c r="F255" s="36" t="str">
        <f t="shared" si="20"/>
        <v>CP215-RETURN - 1st don of the week -STD</v>
      </c>
      <c r="G255" s="155">
        <f>IFERROR(VLOOKUP(F255,SpecialtyBaseLU,11,FALSE),0)</f>
        <v>50.5</v>
      </c>
      <c r="H255" s="5">
        <v>10</v>
      </c>
      <c r="I255" s="5">
        <v>0</v>
      </c>
      <c r="J255" s="5">
        <f t="shared" si="21"/>
        <v>60.5</v>
      </c>
      <c r="K255" s="148">
        <f t="shared" si="22"/>
        <v>60.5</v>
      </c>
      <c r="L255" s="5">
        <f t="shared" si="23"/>
        <v>0</v>
      </c>
    </row>
    <row r="256" spans="1:12" x14ac:dyDescent="0.25">
      <c r="A256" t="s">
        <v>152</v>
      </c>
      <c r="B256" t="s">
        <v>153</v>
      </c>
      <c r="C256" t="s">
        <v>496</v>
      </c>
      <c r="D256" s="36" t="str">
        <f t="shared" si="18"/>
        <v>CP215-P VZV Standard</v>
      </c>
      <c r="E256" s="36" t="str">
        <f t="shared" si="19"/>
        <v>RETURN - 1st don of the week -STD</v>
      </c>
      <c r="F256" s="36" t="str">
        <f t="shared" si="20"/>
        <v>CP215-RETURN - 1st don of the week -STD</v>
      </c>
      <c r="G256" s="155">
        <f>IFERROR(VLOOKUP(F256,SpecialtyBaseLU,11,FALSE),0)</f>
        <v>50.5</v>
      </c>
      <c r="H256" s="5">
        <v>10</v>
      </c>
      <c r="I256" s="5">
        <v>0</v>
      </c>
      <c r="J256" s="5">
        <f t="shared" si="21"/>
        <v>60.5</v>
      </c>
      <c r="K256" s="148">
        <f t="shared" si="22"/>
        <v>60.5</v>
      </c>
      <c r="L256" s="5">
        <f t="shared" si="23"/>
        <v>0</v>
      </c>
    </row>
    <row r="257" spans="1:12" x14ac:dyDescent="0.25">
      <c r="A257" t="s">
        <v>152</v>
      </c>
      <c r="B257" t="s">
        <v>153</v>
      </c>
      <c r="C257" t="s">
        <v>497</v>
      </c>
      <c r="D257" s="36" t="str">
        <f t="shared" si="18"/>
        <v>CP215-PVZV Pre-Existing Standard</v>
      </c>
      <c r="E257" s="36" t="str">
        <f t="shared" si="19"/>
        <v>RETURN - 1st don of the week -STD</v>
      </c>
      <c r="F257" s="36" t="str">
        <f t="shared" si="20"/>
        <v>CP215-RETURN - 1st don of the week -STD</v>
      </c>
      <c r="G257" s="155">
        <f>IFERROR(VLOOKUP(F257,SpecialtyBaseLU,11,FALSE),0)</f>
        <v>50.5</v>
      </c>
      <c r="H257" s="5">
        <f>K257-G257</f>
        <v>10</v>
      </c>
      <c r="J257" s="5">
        <f t="shared" si="21"/>
        <v>60.5</v>
      </c>
      <c r="K257" s="148">
        <f t="shared" si="22"/>
        <v>60.5</v>
      </c>
      <c r="L257" s="5">
        <f t="shared" si="23"/>
        <v>0</v>
      </c>
    </row>
    <row r="258" spans="1:12" x14ac:dyDescent="0.25">
      <c r="A258" t="s">
        <v>152</v>
      </c>
      <c r="B258" t="s">
        <v>153</v>
      </c>
      <c r="C258" t="s">
        <v>477</v>
      </c>
      <c r="D258" s="36" t="str">
        <f t="shared" si="18"/>
        <v>CP215-Vaccinia - 1st Donation</v>
      </c>
      <c r="E258" s="36">
        <f t="shared" si="19"/>
        <v>0</v>
      </c>
      <c r="F258" s="36" t="str">
        <f t="shared" si="20"/>
        <v>CP215-0</v>
      </c>
      <c r="G258" s="155">
        <f>IFERROR(VLOOKUP(F258,SpecialtyBaseLU,11,FALSE),0)</f>
        <v>0</v>
      </c>
      <c r="I258" s="5">
        <v>150</v>
      </c>
      <c r="J258" s="5">
        <f t="shared" si="21"/>
        <v>150</v>
      </c>
      <c r="K258" s="148">
        <f t="shared" si="22"/>
        <v>150</v>
      </c>
      <c r="L258" s="5">
        <f t="shared" si="23"/>
        <v>0</v>
      </c>
    </row>
    <row r="259" spans="1:12" x14ac:dyDescent="0.25">
      <c r="A259" t="s">
        <v>152</v>
      </c>
      <c r="B259" t="s">
        <v>153</v>
      </c>
      <c r="C259" t="s">
        <v>478</v>
      </c>
      <c r="D259" s="36" t="str">
        <f t="shared" si="18"/>
        <v>CP215-Vaccinia - 2nd Donation</v>
      </c>
      <c r="E259" s="36">
        <f t="shared" si="19"/>
        <v>0</v>
      </c>
      <c r="F259" s="36" t="str">
        <f t="shared" si="20"/>
        <v>CP215-0</v>
      </c>
      <c r="G259" s="155">
        <f>IFERROR(VLOOKUP(F259,SpecialtyBaseLU,11,FALSE),0)</f>
        <v>0</v>
      </c>
      <c r="I259" s="5">
        <v>250</v>
      </c>
      <c r="J259" s="5">
        <f t="shared" si="21"/>
        <v>250</v>
      </c>
      <c r="K259" s="148">
        <f t="shared" si="22"/>
        <v>250</v>
      </c>
      <c r="L259" s="5">
        <f t="shared" si="23"/>
        <v>0</v>
      </c>
    </row>
    <row r="260" spans="1:12" x14ac:dyDescent="0.25">
      <c r="A260" t="s">
        <v>152</v>
      </c>
      <c r="B260" t="s">
        <v>153</v>
      </c>
      <c r="C260" t="s">
        <v>479</v>
      </c>
      <c r="D260" s="36" t="str">
        <f t="shared" ref="D260:D323" si="24">B260&amp;"-"&amp;C260</f>
        <v>CP215-Vaccinia - 3rd Donation</v>
      </c>
      <c r="E260" s="36">
        <f t="shared" ref="E260:E323" si="25">VLOOKUP(C260,RULENAMELU,5,FALSE)</f>
        <v>0</v>
      </c>
      <c r="F260" s="36" t="str">
        <f t="shared" ref="F260:F323" si="26">B260&amp;"-"&amp;E260</f>
        <v>CP215-0</v>
      </c>
      <c r="G260" s="155">
        <f>IFERROR(VLOOKUP(F260,SpecialtyBaseLU,11,FALSE),0)</f>
        <v>0</v>
      </c>
      <c r="I260" s="5">
        <v>300</v>
      </c>
      <c r="J260" s="5">
        <f t="shared" ref="J260:J323" si="27">G260+H260+I260</f>
        <v>300</v>
      </c>
      <c r="K260" s="148">
        <f t="shared" ref="K260:K323" si="28">VLOOKUP(D260,CurrentNLDataLU,11,FALSE)</f>
        <v>300</v>
      </c>
      <c r="L260" s="5">
        <f t="shared" ref="L260:L323" si="29">J260-K260</f>
        <v>0</v>
      </c>
    </row>
    <row r="261" spans="1:12" x14ac:dyDescent="0.25">
      <c r="A261" t="s">
        <v>152</v>
      </c>
      <c r="B261" t="s">
        <v>153</v>
      </c>
      <c r="C261" t="s">
        <v>480</v>
      </c>
      <c r="D261" s="36" t="str">
        <f t="shared" si="24"/>
        <v>CP215-Vaccinia - 4th Donation</v>
      </c>
      <c r="E261" s="36">
        <f t="shared" si="25"/>
        <v>0</v>
      </c>
      <c r="F261" s="36" t="str">
        <f t="shared" si="26"/>
        <v>CP215-0</v>
      </c>
      <c r="G261" s="155">
        <f>IFERROR(VLOOKUP(F261,SpecialtyBaseLU,11,FALSE),0)</f>
        <v>0</v>
      </c>
      <c r="I261" s="5">
        <v>300</v>
      </c>
      <c r="J261" s="5">
        <f t="shared" si="27"/>
        <v>300</v>
      </c>
      <c r="K261" s="148">
        <f t="shared" si="28"/>
        <v>300</v>
      </c>
      <c r="L261" s="5">
        <f t="shared" si="29"/>
        <v>0</v>
      </c>
    </row>
    <row r="262" spans="1:12" x14ac:dyDescent="0.25">
      <c r="A262" t="s">
        <v>152</v>
      </c>
      <c r="B262" t="s">
        <v>153</v>
      </c>
      <c r="C262" t="s">
        <v>481</v>
      </c>
      <c r="D262" s="36" t="str">
        <f t="shared" si="24"/>
        <v>CP215-Vaccinia AP - 1st Donation</v>
      </c>
      <c r="E262" s="36">
        <f t="shared" si="25"/>
        <v>0</v>
      </c>
      <c r="F262" s="36" t="str">
        <f t="shared" si="26"/>
        <v>CP215-0</v>
      </c>
      <c r="G262" s="155">
        <f>IFERROR(VLOOKUP(F262,SpecialtyBaseLU,11,FALSE),0)</f>
        <v>0</v>
      </c>
      <c r="I262" s="5">
        <v>150</v>
      </c>
      <c r="J262" s="5">
        <f t="shared" si="27"/>
        <v>150</v>
      </c>
      <c r="K262" s="148">
        <f t="shared" si="28"/>
        <v>150</v>
      </c>
      <c r="L262" s="5">
        <f t="shared" si="29"/>
        <v>0</v>
      </c>
    </row>
    <row r="263" spans="1:12" x14ac:dyDescent="0.25">
      <c r="A263" t="s">
        <v>152</v>
      </c>
      <c r="B263" t="s">
        <v>153</v>
      </c>
      <c r="C263" t="s">
        <v>482</v>
      </c>
      <c r="D263" s="36" t="str">
        <f t="shared" si="24"/>
        <v>CP215-Vaccinia AP - 2nd Donation</v>
      </c>
      <c r="E263" s="36">
        <f t="shared" si="25"/>
        <v>0</v>
      </c>
      <c r="F263" s="36" t="str">
        <f t="shared" si="26"/>
        <v>CP215-0</v>
      </c>
      <c r="G263" s="155">
        <f>IFERROR(VLOOKUP(F263,SpecialtyBaseLU,11,FALSE),0)</f>
        <v>0</v>
      </c>
      <c r="I263" s="5">
        <v>250</v>
      </c>
      <c r="J263" s="5">
        <f t="shared" si="27"/>
        <v>250</v>
      </c>
      <c r="K263" s="148">
        <f t="shared" si="28"/>
        <v>250</v>
      </c>
      <c r="L263" s="5">
        <f t="shared" si="29"/>
        <v>0</v>
      </c>
    </row>
    <row r="264" spans="1:12" x14ac:dyDescent="0.25">
      <c r="A264" t="s">
        <v>152</v>
      </c>
      <c r="B264" t="s">
        <v>153</v>
      </c>
      <c r="C264" t="s">
        <v>483</v>
      </c>
      <c r="D264" s="36" t="str">
        <f t="shared" si="24"/>
        <v>CP215-Vaccinia AP - 3rd Donation</v>
      </c>
      <c r="E264" s="36">
        <f t="shared" si="25"/>
        <v>0</v>
      </c>
      <c r="F264" s="36" t="str">
        <f t="shared" si="26"/>
        <v>CP215-0</v>
      </c>
      <c r="G264" s="155">
        <f>IFERROR(VLOOKUP(F264,SpecialtyBaseLU,11,FALSE),0)</f>
        <v>0</v>
      </c>
      <c r="I264" s="5">
        <v>300</v>
      </c>
      <c r="J264" s="5">
        <f t="shared" si="27"/>
        <v>300</v>
      </c>
      <c r="K264" s="148">
        <f t="shared" si="28"/>
        <v>300</v>
      </c>
      <c r="L264" s="5">
        <f t="shared" si="29"/>
        <v>0</v>
      </c>
    </row>
    <row r="265" spans="1:12" x14ac:dyDescent="0.25">
      <c r="A265" t="s">
        <v>152</v>
      </c>
      <c r="B265" t="s">
        <v>153</v>
      </c>
      <c r="C265" t="s">
        <v>484</v>
      </c>
      <c r="D265" s="36" t="str">
        <f t="shared" si="24"/>
        <v>CP215-Vaccinia AP - 4th Donation</v>
      </c>
      <c r="E265" s="36">
        <f t="shared" si="25"/>
        <v>0</v>
      </c>
      <c r="F265" s="36" t="str">
        <f t="shared" si="26"/>
        <v>CP215-0</v>
      </c>
      <c r="G265" s="155">
        <f>IFERROR(VLOOKUP(F265,SpecialtyBaseLU,11,FALSE),0)</f>
        <v>0</v>
      </c>
      <c r="I265" s="5">
        <v>300</v>
      </c>
      <c r="J265" s="5">
        <f t="shared" si="27"/>
        <v>300</v>
      </c>
      <c r="K265" s="148">
        <f t="shared" si="28"/>
        <v>300</v>
      </c>
      <c r="L265" s="5">
        <f t="shared" si="29"/>
        <v>0</v>
      </c>
    </row>
    <row r="266" spans="1:12" x14ac:dyDescent="0.25">
      <c r="A266" t="s">
        <v>73</v>
      </c>
      <c r="B266" t="s">
        <v>74</v>
      </c>
      <c r="C266" t="s">
        <v>488</v>
      </c>
      <c r="D266" s="36" t="str">
        <f t="shared" si="24"/>
        <v>CP221-2X Week P VZV</v>
      </c>
      <c r="E266" s="36" t="str">
        <f t="shared" si="25"/>
        <v>RETURN - 2nd don of the week -BONUS</v>
      </c>
      <c r="F266" s="36" t="str">
        <f t="shared" si="26"/>
        <v>CP221-RETURN - 2nd don of the week -BONUS</v>
      </c>
      <c r="G266" s="155">
        <f>IFERROR(VLOOKUP(F266,SpecialtyBaseLU,11,FALSE),0)</f>
        <v>20</v>
      </c>
      <c r="H266" s="5">
        <v>0</v>
      </c>
      <c r="J266" s="5">
        <f t="shared" si="27"/>
        <v>20</v>
      </c>
      <c r="K266" s="148">
        <f t="shared" si="28"/>
        <v>20</v>
      </c>
      <c r="L266" s="5">
        <f t="shared" si="29"/>
        <v>0</v>
      </c>
    </row>
    <row r="267" spans="1:12" x14ac:dyDescent="0.25">
      <c r="A267" t="s">
        <v>73</v>
      </c>
      <c r="B267" t="s">
        <v>74</v>
      </c>
      <c r="C267" t="s">
        <v>489</v>
      </c>
      <c r="D267" s="36" t="str">
        <f t="shared" si="24"/>
        <v>CP221-2X Week P VZV AP</v>
      </c>
      <c r="E267" s="36" t="str">
        <f t="shared" si="25"/>
        <v>RETURN - 2nd don of the week -BONUS</v>
      </c>
      <c r="F267" s="36" t="str">
        <f t="shared" si="26"/>
        <v>CP221-RETURN - 2nd don of the week -BONUS</v>
      </c>
      <c r="G267" s="155">
        <f>IFERROR(VLOOKUP(F267,SpecialtyBaseLU,11,FALSE),0)</f>
        <v>20</v>
      </c>
      <c r="H267" s="5">
        <v>0</v>
      </c>
      <c r="J267" s="5">
        <f t="shared" si="27"/>
        <v>20</v>
      </c>
      <c r="K267" s="148">
        <f t="shared" si="28"/>
        <v>20</v>
      </c>
      <c r="L267" s="5">
        <f t="shared" si="29"/>
        <v>0</v>
      </c>
    </row>
    <row r="268" spans="1:12" x14ac:dyDescent="0.25">
      <c r="A268" t="s">
        <v>73</v>
      </c>
      <c r="B268" t="s">
        <v>74</v>
      </c>
      <c r="C268" t="s">
        <v>490</v>
      </c>
      <c r="D268" s="36" t="str">
        <f t="shared" si="24"/>
        <v>CP221-2X Week P VZV Pre-Existing</v>
      </c>
      <c r="E268" s="36" t="str">
        <f t="shared" si="25"/>
        <v>RETURN - 2nd don of the week -BONUS</v>
      </c>
      <c r="F268" s="36" t="str">
        <f t="shared" si="26"/>
        <v>CP221-RETURN - 2nd don of the week -BONUS</v>
      </c>
      <c r="G268" s="155">
        <f>IFERROR(VLOOKUP(F268,SpecialtyBaseLU,11,FALSE),0)</f>
        <v>20</v>
      </c>
      <c r="H268" s="5">
        <v>0</v>
      </c>
      <c r="J268" s="5">
        <f t="shared" si="27"/>
        <v>20</v>
      </c>
      <c r="K268" s="148">
        <f t="shared" si="28"/>
        <v>20</v>
      </c>
      <c r="L268" s="5">
        <f t="shared" si="29"/>
        <v>0</v>
      </c>
    </row>
    <row r="269" spans="1:12" x14ac:dyDescent="0.25">
      <c r="A269" t="s">
        <v>73</v>
      </c>
      <c r="B269" t="s">
        <v>74</v>
      </c>
      <c r="C269" t="s">
        <v>491</v>
      </c>
      <c r="D269" s="36" t="str">
        <f t="shared" si="24"/>
        <v>CP221-2X Week P VZV Pre-Existing AP</v>
      </c>
      <c r="E269" s="36" t="str">
        <f t="shared" si="25"/>
        <v>RETURN - 2nd don of the week -BONUS</v>
      </c>
      <c r="F269" s="36" t="str">
        <f t="shared" si="26"/>
        <v>CP221-RETURN - 2nd don of the week -BONUS</v>
      </c>
      <c r="G269" s="155">
        <f>IFERROR(VLOOKUP(F269,SpecialtyBaseLU,11,FALSE),0)</f>
        <v>20</v>
      </c>
      <c r="H269" s="5">
        <v>0</v>
      </c>
      <c r="J269" s="5">
        <f t="shared" si="27"/>
        <v>20</v>
      </c>
      <c r="K269" s="148">
        <f t="shared" si="28"/>
        <v>20</v>
      </c>
      <c r="L269" s="5">
        <f t="shared" si="29"/>
        <v>0</v>
      </c>
    </row>
    <row r="270" spans="1:12" x14ac:dyDescent="0.25">
      <c r="A270" t="s">
        <v>73</v>
      </c>
      <c r="B270" t="s">
        <v>74</v>
      </c>
      <c r="C270" t="s">
        <v>469</v>
      </c>
      <c r="D270" s="36" t="str">
        <f t="shared" si="24"/>
        <v>CP221-P Anti-D Pre-Existing Standard</v>
      </c>
      <c r="E270" s="36" t="str">
        <f t="shared" si="25"/>
        <v>RETURN - 1st don of the week -STD</v>
      </c>
      <c r="F270" s="36" t="str">
        <f t="shared" si="26"/>
        <v>CP221-RETURN - 1st don of the week -STD</v>
      </c>
      <c r="G270" s="155">
        <f>IFERROR(VLOOKUP(F270,SpecialtyBaseLU,11,FALSE),0)</f>
        <v>50</v>
      </c>
      <c r="H270" s="5">
        <v>0</v>
      </c>
      <c r="J270" s="5">
        <f t="shared" si="27"/>
        <v>50</v>
      </c>
      <c r="K270" s="148">
        <f t="shared" si="28"/>
        <v>50</v>
      </c>
      <c r="L270" s="5">
        <f t="shared" si="29"/>
        <v>0</v>
      </c>
    </row>
    <row r="271" spans="1:12" x14ac:dyDescent="0.25">
      <c r="A271" t="s">
        <v>73</v>
      </c>
      <c r="B271" t="s">
        <v>74</v>
      </c>
      <c r="C271" t="s">
        <v>475</v>
      </c>
      <c r="D271" s="36" t="str">
        <f t="shared" si="24"/>
        <v>CP221-P Vaccinia AP Standard</v>
      </c>
      <c r="E271" s="36">
        <f t="shared" si="25"/>
        <v>0</v>
      </c>
      <c r="F271" s="36" t="str">
        <f t="shared" si="26"/>
        <v>CP221-0</v>
      </c>
      <c r="G271" s="155">
        <f>IFERROR(VLOOKUP(F271,SpecialtyBaseLU,11,FALSE),0)</f>
        <v>0</v>
      </c>
      <c r="I271" s="5">
        <v>100</v>
      </c>
      <c r="J271" s="5">
        <f t="shared" si="27"/>
        <v>100</v>
      </c>
      <c r="K271" s="148">
        <f t="shared" si="28"/>
        <v>100</v>
      </c>
      <c r="L271" s="5">
        <f t="shared" si="29"/>
        <v>0</v>
      </c>
    </row>
    <row r="272" spans="1:12" x14ac:dyDescent="0.25">
      <c r="A272" t="s">
        <v>73</v>
      </c>
      <c r="B272" t="s">
        <v>74</v>
      </c>
      <c r="C272" t="s">
        <v>476</v>
      </c>
      <c r="D272" s="36" t="str">
        <f t="shared" si="24"/>
        <v>CP221-P Vaccinia Standard</v>
      </c>
      <c r="E272" s="36">
        <f t="shared" si="25"/>
        <v>0</v>
      </c>
      <c r="F272" s="36" t="str">
        <f t="shared" si="26"/>
        <v>CP221-0</v>
      </c>
      <c r="G272" s="155">
        <f>IFERROR(VLOOKUP(F272,SpecialtyBaseLU,11,FALSE),0)</f>
        <v>0</v>
      </c>
      <c r="I272" s="5">
        <v>100</v>
      </c>
      <c r="J272" s="5">
        <f t="shared" si="27"/>
        <v>100</v>
      </c>
      <c r="K272" s="148">
        <f t="shared" si="28"/>
        <v>100</v>
      </c>
      <c r="L272" s="5">
        <f t="shared" si="29"/>
        <v>0</v>
      </c>
    </row>
    <row r="273" spans="1:12" x14ac:dyDescent="0.25">
      <c r="A273" t="s">
        <v>73</v>
      </c>
      <c r="B273" t="s">
        <v>74</v>
      </c>
      <c r="C273" t="s">
        <v>495</v>
      </c>
      <c r="D273" s="36" t="str">
        <f t="shared" si="24"/>
        <v>CP221-P VZV Pre-Existing AP</v>
      </c>
      <c r="E273" s="36" t="str">
        <f t="shared" si="25"/>
        <v>RETURN - 1st don of the week -STD</v>
      </c>
      <c r="F273" s="36" t="str">
        <f t="shared" si="26"/>
        <v>CP221-RETURN - 1st don of the week -STD</v>
      </c>
      <c r="G273" s="155">
        <f>IFERROR(VLOOKUP(F273,SpecialtyBaseLU,11,FALSE),0)</f>
        <v>50</v>
      </c>
      <c r="H273" s="5">
        <v>10</v>
      </c>
      <c r="I273" s="5">
        <v>0</v>
      </c>
      <c r="J273" s="5">
        <f t="shared" si="27"/>
        <v>60</v>
      </c>
      <c r="K273" s="148">
        <f t="shared" si="28"/>
        <v>60</v>
      </c>
      <c r="L273" s="5">
        <f t="shared" si="29"/>
        <v>0</v>
      </c>
    </row>
    <row r="274" spans="1:12" x14ac:dyDescent="0.25">
      <c r="A274" t="s">
        <v>73</v>
      </c>
      <c r="B274" t="s">
        <v>74</v>
      </c>
      <c r="C274" t="s">
        <v>496</v>
      </c>
      <c r="D274" s="36" t="str">
        <f t="shared" si="24"/>
        <v>CP221-P VZV Standard</v>
      </c>
      <c r="E274" s="36" t="str">
        <f t="shared" si="25"/>
        <v>RETURN - 1st don of the week -STD</v>
      </c>
      <c r="F274" s="36" t="str">
        <f t="shared" si="26"/>
        <v>CP221-RETURN - 1st don of the week -STD</v>
      </c>
      <c r="G274" s="155">
        <f>IFERROR(VLOOKUP(F274,SpecialtyBaseLU,11,FALSE),0)</f>
        <v>50</v>
      </c>
      <c r="H274" s="5">
        <v>10</v>
      </c>
      <c r="I274" s="5">
        <v>0</v>
      </c>
      <c r="J274" s="5">
        <f t="shared" si="27"/>
        <v>60</v>
      </c>
      <c r="K274" s="148">
        <f t="shared" si="28"/>
        <v>60</v>
      </c>
      <c r="L274" s="5">
        <f t="shared" si="29"/>
        <v>0</v>
      </c>
    </row>
    <row r="275" spans="1:12" x14ac:dyDescent="0.25">
      <c r="A275" t="s">
        <v>73</v>
      </c>
      <c r="B275" t="s">
        <v>74</v>
      </c>
      <c r="C275" t="s">
        <v>497</v>
      </c>
      <c r="D275" s="36" t="str">
        <f t="shared" si="24"/>
        <v>CP221-PVZV Pre-Existing Standard</v>
      </c>
      <c r="E275" s="36" t="str">
        <f t="shared" si="25"/>
        <v>RETURN - 1st don of the week -STD</v>
      </c>
      <c r="F275" s="36" t="str">
        <f t="shared" si="26"/>
        <v>CP221-RETURN - 1st don of the week -STD</v>
      </c>
      <c r="G275" s="155">
        <f>IFERROR(VLOOKUP(F275,SpecialtyBaseLU,11,FALSE),0)</f>
        <v>50</v>
      </c>
      <c r="H275" s="5">
        <f>K275-G275</f>
        <v>10</v>
      </c>
      <c r="J275" s="5">
        <f t="shared" si="27"/>
        <v>60</v>
      </c>
      <c r="K275" s="148">
        <f t="shared" si="28"/>
        <v>60</v>
      </c>
      <c r="L275" s="5">
        <f t="shared" si="29"/>
        <v>0</v>
      </c>
    </row>
    <row r="276" spans="1:12" x14ac:dyDescent="0.25">
      <c r="A276" t="s">
        <v>73</v>
      </c>
      <c r="B276" t="s">
        <v>74</v>
      </c>
      <c r="C276" t="s">
        <v>477</v>
      </c>
      <c r="D276" s="36" t="str">
        <f t="shared" si="24"/>
        <v>CP221-Vaccinia - 1st Donation</v>
      </c>
      <c r="E276" s="36">
        <f t="shared" si="25"/>
        <v>0</v>
      </c>
      <c r="F276" s="36" t="str">
        <f t="shared" si="26"/>
        <v>CP221-0</v>
      </c>
      <c r="G276" s="155">
        <f>IFERROR(VLOOKUP(F276,SpecialtyBaseLU,11,FALSE),0)</f>
        <v>0</v>
      </c>
      <c r="I276" s="5">
        <v>150</v>
      </c>
      <c r="J276" s="5">
        <f t="shared" si="27"/>
        <v>150</v>
      </c>
      <c r="K276" s="148">
        <f t="shared" si="28"/>
        <v>150</v>
      </c>
      <c r="L276" s="5">
        <f t="shared" si="29"/>
        <v>0</v>
      </c>
    </row>
    <row r="277" spans="1:12" x14ac:dyDescent="0.25">
      <c r="A277" t="s">
        <v>73</v>
      </c>
      <c r="B277" t="s">
        <v>74</v>
      </c>
      <c r="C277" t="s">
        <v>478</v>
      </c>
      <c r="D277" s="36" t="str">
        <f t="shared" si="24"/>
        <v>CP221-Vaccinia - 2nd Donation</v>
      </c>
      <c r="E277" s="36">
        <f t="shared" si="25"/>
        <v>0</v>
      </c>
      <c r="F277" s="36" t="str">
        <f t="shared" si="26"/>
        <v>CP221-0</v>
      </c>
      <c r="G277" s="155">
        <f>IFERROR(VLOOKUP(F277,SpecialtyBaseLU,11,FALSE),0)</f>
        <v>0</v>
      </c>
      <c r="I277" s="5">
        <v>250</v>
      </c>
      <c r="J277" s="5">
        <f t="shared" si="27"/>
        <v>250</v>
      </c>
      <c r="K277" s="148">
        <f t="shared" si="28"/>
        <v>250</v>
      </c>
      <c r="L277" s="5">
        <f t="shared" si="29"/>
        <v>0</v>
      </c>
    </row>
    <row r="278" spans="1:12" x14ac:dyDescent="0.25">
      <c r="A278" t="s">
        <v>73</v>
      </c>
      <c r="B278" t="s">
        <v>74</v>
      </c>
      <c r="C278" t="s">
        <v>479</v>
      </c>
      <c r="D278" s="36" t="str">
        <f t="shared" si="24"/>
        <v>CP221-Vaccinia - 3rd Donation</v>
      </c>
      <c r="E278" s="36">
        <f t="shared" si="25"/>
        <v>0</v>
      </c>
      <c r="F278" s="36" t="str">
        <f t="shared" si="26"/>
        <v>CP221-0</v>
      </c>
      <c r="G278" s="155">
        <f>IFERROR(VLOOKUP(F278,SpecialtyBaseLU,11,FALSE),0)</f>
        <v>0</v>
      </c>
      <c r="I278" s="5">
        <v>300</v>
      </c>
      <c r="J278" s="5">
        <f t="shared" si="27"/>
        <v>300</v>
      </c>
      <c r="K278" s="148">
        <f t="shared" si="28"/>
        <v>300</v>
      </c>
      <c r="L278" s="5">
        <f t="shared" si="29"/>
        <v>0</v>
      </c>
    </row>
    <row r="279" spans="1:12" x14ac:dyDescent="0.25">
      <c r="A279" t="s">
        <v>73</v>
      </c>
      <c r="B279" t="s">
        <v>74</v>
      </c>
      <c r="C279" t="s">
        <v>480</v>
      </c>
      <c r="D279" s="36" t="str">
        <f t="shared" si="24"/>
        <v>CP221-Vaccinia - 4th Donation</v>
      </c>
      <c r="E279" s="36">
        <f t="shared" si="25"/>
        <v>0</v>
      </c>
      <c r="F279" s="36" t="str">
        <f t="shared" si="26"/>
        <v>CP221-0</v>
      </c>
      <c r="G279" s="155">
        <f>IFERROR(VLOOKUP(F279,SpecialtyBaseLU,11,FALSE),0)</f>
        <v>0</v>
      </c>
      <c r="I279" s="5">
        <v>300</v>
      </c>
      <c r="J279" s="5">
        <f t="shared" si="27"/>
        <v>300</v>
      </c>
      <c r="K279" s="148">
        <f t="shared" si="28"/>
        <v>300</v>
      </c>
      <c r="L279" s="5">
        <f t="shared" si="29"/>
        <v>0</v>
      </c>
    </row>
    <row r="280" spans="1:12" x14ac:dyDescent="0.25">
      <c r="A280" t="s">
        <v>73</v>
      </c>
      <c r="B280" t="s">
        <v>74</v>
      </c>
      <c r="C280" t="s">
        <v>481</v>
      </c>
      <c r="D280" s="36" t="str">
        <f t="shared" si="24"/>
        <v>CP221-Vaccinia AP - 1st Donation</v>
      </c>
      <c r="E280" s="36">
        <f t="shared" si="25"/>
        <v>0</v>
      </c>
      <c r="F280" s="36" t="str">
        <f t="shared" si="26"/>
        <v>CP221-0</v>
      </c>
      <c r="G280" s="155">
        <f>IFERROR(VLOOKUP(F280,SpecialtyBaseLU,11,FALSE),0)</f>
        <v>0</v>
      </c>
      <c r="I280" s="5">
        <v>150</v>
      </c>
      <c r="J280" s="5">
        <f t="shared" si="27"/>
        <v>150</v>
      </c>
      <c r="K280" s="148">
        <f t="shared" si="28"/>
        <v>150</v>
      </c>
      <c r="L280" s="5">
        <f t="shared" si="29"/>
        <v>0</v>
      </c>
    </row>
    <row r="281" spans="1:12" x14ac:dyDescent="0.25">
      <c r="A281" t="s">
        <v>73</v>
      </c>
      <c r="B281" t="s">
        <v>74</v>
      </c>
      <c r="C281" t="s">
        <v>482</v>
      </c>
      <c r="D281" s="36" t="str">
        <f t="shared" si="24"/>
        <v>CP221-Vaccinia AP - 2nd Donation</v>
      </c>
      <c r="E281" s="36">
        <f t="shared" si="25"/>
        <v>0</v>
      </c>
      <c r="F281" s="36" t="str">
        <f t="shared" si="26"/>
        <v>CP221-0</v>
      </c>
      <c r="G281" s="155">
        <f>IFERROR(VLOOKUP(F281,SpecialtyBaseLU,11,FALSE),0)</f>
        <v>0</v>
      </c>
      <c r="I281" s="5">
        <v>250</v>
      </c>
      <c r="J281" s="5">
        <f t="shared" si="27"/>
        <v>250</v>
      </c>
      <c r="K281" s="148">
        <f t="shared" si="28"/>
        <v>250</v>
      </c>
      <c r="L281" s="5">
        <f t="shared" si="29"/>
        <v>0</v>
      </c>
    </row>
    <row r="282" spans="1:12" x14ac:dyDescent="0.25">
      <c r="A282" t="s">
        <v>73</v>
      </c>
      <c r="B282" t="s">
        <v>74</v>
      </c>
      <c r="C282" t="s">
        <v>483</v>
      </c>
      <c r="D282" s="36" t="str">
        <f t="shared" si="24"/>
        <v>CP221-Vaccinia AP - 3rd Donation</v>
      </c>
      <c r="E282" s="36">
        <f t="shared" si="25"/>
        <v>0</v>
      </c>
      <c r="F282" s="36" t="str">
        <f t="shared" si="26"/>
        <v>CP221-0</v>
      </c>
      <c r="G282" s="155">
        <f>IFERROR(VLOOKUP(F282,SpecialtyBaseLU,11,FALSE),0)</f>
        <v>0</v>
      </c>
      <c r="I282" s="5">
        <v>300</v>
      </c>
      <c r="J282" s="5">
        <f t="shared" si="27"/>
        <v>300</v>
      </c>
      <c r="K282" s="148">
        <f t="shared" si="28"/>
        <v>300</v>
      </c>
      <c r="L282" s="5">
        <f t="shared" si="29"/>
        <v>0</v>
      </c>
    </row>
    <row r="283" spans="1:12" x14ac:dyDescent="0.25">
      <c r="A283" t="s">
        <v>73</v>
      </c>
      <c r="B283" t="s">
        <v>74</v>
      </c>
      <c r="C283" t="s">
        <v>484</v>
      </c>
      <c r="D283" s="36" t="str">
        <f t="shared" si="24"/>
        <v>CP221-Vaccinia AP - 4th Donation</v>
      </c>
      <c r="E283" s="36">
        <f t="shared" si="25"/>
        <v>0</v>
      </c>
      <c r="F283" s="36" t="str">
        <f t="shared" si="26"/>
        <v>CP221-0</v>
      </c>
      <c r="G283" s="155">
        <f>IFERROR(VLOOKUP(F283,SpecialtyBaseLU,11,FALSE),0)</f>
        <v>0</v>
      </c>
      <c r="I283" s="5">
        <v>300</v>
      </c>
      <c r="J283" s="5">
        <f t="shared" si="27"/>
        <v>300</v>
      </c>
      <c r="K283" s="148">
        <f t="shared" si="28"/>
        <v>300</v>
      </c>
      <c r="L283" s="5">
        <f t="shared" si="29"/>
        <v>0</v>
      </c>
    </row>
    <row r="284" spans="1:12" x14ac:dyDescent="0.25">
      <c r="A284" t="s">
        <v>318</v>
      </c>
      <c r="B284" t="s">
        <v>319</v>
      </c>
      <c r="C284" t="s">
        <v>469</v>
      </c>
      <c r="D284" s="36" t="str">
        <f t="shared" si="24"/>
        <v>CP573-P Anti-D Pre-Existing Standard</v>
      </c>
      <c r="E284" s="36" t="str">
        <f t="shared" si="25"/>
        <v>RETURN - 1st don of the week -STD</v>
      </c>
      <c r="F284" s="36" t="str">
        <f t="shared" si="26"/>
        <v>CP573-RETURN - 1st don of the week -STD</v>
      </c>
      <c r="G284" s="155">
        <f>IFERROR(VLOOKUP(F284,SpecialtyBaseLU,11,FALSE),0)</f>
        <v>40</v>
      </c>
      <c r="H284" s="5">
        <v>10</v>
      </c>
      <c r="J284" s="5">
        <f t="shared" si="27"/>
        <v>50</v>
      </c>
      <c r="K284" s="148">
        <f t="shared" si="28"/>
        <v>50</v>
      </c>
      <c r="L284" s="5">
        <f t="shared" si="29"/>
        <v>0</v>
      </c>
    </row>
    <row r="285" spans="1:12" x14ac:dyDescent="0.25">
      <c r="A285" t="s">
        <v>141</v>
      </c>
      <c r="B285" t="s">
        <v>142</v>
      </c>
      <c r="C285" t="s">
        <v>471</v>
      </c>
      <c r="D285" s="36" t="str">
        <f t="shared" si="24"/>
        <v>CP222-2X Week P HBS Pre-Existing</v>
      </c>
      <c r="E285" s="36" t="str">
        <f t="shared" si="25"/>
        <v>RETURN - 2nd don of the week -BONUS</v>
      </c>
      <c r="F285" s="36" t="str">
        <f t="shared" si="26"/>
        <v>CP222-RETURN - 2nd don of the week -BONUS</v>
      </c>
      <c r="G285" s="155">
        <f>IFERROR(VLOOKUP(F285,SpecialtyBaseLU,11,FALSE),0)</f>
        <v>20</v>
      </c>
      <c r="H285" s="5">
        <v>0</v>
      </c>
      <c r="J285" s="5">
        <f t="shared" si="27"/>
        <v>20</v>
      </c>
      <c r="K285" s="148">
        <f t="shared" si="28"/>
        <v>10</v>
      </c>
      <c r="L285" s="5">
        <f t="shared" si="29"/>
        <v>10</v>
      </c>
    </row>
    <row r="286" spans="1:12" x14ac:dyDescent="0.25">
      <c r="A286" t="s">
        <v>141</v>
      </c>
      <c r="B286" t="s">
        <v>142</v>
      </c>
      <c r="C286" t="s">
        <v>504</v>
      </c>
      <c r="D286" s="36" t="str">
        <f t="shared" si="24"/>
        <v>CP222-2X Week P HBS TWINRX</v>
      </c>
      <c r="E286" s="36" t="str">
        <f t="shared" si="25"/>
        <v>RETURN - 2nd don of the week -BONUS</v>
      </c>
      <c r="F286" s="36" t="str">
        <f t="shared" si="26"/>
        <v>CP222-RETURN - 2nd don of the week -BONUS</v>
      </c>
      <c r="G286" s="155">
        <f>IFERROR(VLOOKUP(F286,SpecialtyBaseLU,11,FALSE),0)</f>
        <v>20</v>
      </c>
      <c r="H286" s="5">
        <v>0</v>
      </c>
      <c r="J286" s="5">
        <f t="shared" si="27"/>
        <v>20</v>
      </c>
      <c r="K286" s="148">
        <f t="shared" si="28"/>
        <v>10</v>
      </c>
      <c r="L286" s="5">
        <f t="shared" si="29"/>
        <v>10</v>
      </c>
    </row>
    <row r="287" spans="1:12" x14ac:dyDescent="0.25">
      <c r="A287" t="s">
        <v>141</v>
      </c>
      <c r="B287" t="s">
        <v>142</v>
      </c>
      <c r="C287" t="s">
        <v>505</v>
      </c>
      <c r="D287" s="36" t="str">
        <f t="shared" si="24"/>
        <v>CP222-2X Week P HBS TWINRX-AP</v>
      </c>
      <c r="E287" s="36" t="str">
        <f t="shared" si="25"/>
        <v>RETURN - 2nd don of the week -BONUS</v>
      </c>
      <c r="F287" s="36" t="str">
        <f t="shared" si="26"/>
        <v>CP222-RETURN - 2nd don of the week -BONUS</v>
      </c>
      <c r="G287" s="155">
        <f>IFERROR(VLOOKUP(F287,SpecialtyBaseLU,11,FALSE),0)</f>
        <v>20</v>
      </c>
      <c r="H287" s="5">
        <v>0</v>
      </c>
      <c r="J287" s="5">
        <f t="shared" si="27"/>
        <v>20</v>
      </c>
      <c r="K287" s="148">
        <f t="shared" si="28"/>
        <v>10</v>
      </c>
      <c r="L287" s="5">
        <f t="shared" si="29"/>
        <v>10</v>
      </c>
    </row>
    <row r="288" spans="1:12" x14ac:dyDescent="0.25">
      <c r="A288" t="s">
        <v>141</v>
      </c>
      <c r="B288" t="s">
        <v>142</v>
      </c>
      <c r="C288" t="s">
        <v>488</v>
      </c>
      <c r="D288" s="36" t="str">
        <f t="shared" si="24"/>
        <v>CP222-2X Week P VZV</v>
      </c>
      <c r="E288" s="36" t="str">
        <f t="shared" si="25"/>
        <v>RETURN - 2nd don of the week -BONUS</v>
      </c>
      <c r="F288" s="36" t="str">
        <f t="shared" si="26"/>
        <v>CP222-RETURN - 2nd don of the week -BONUS</v>
      </c>
      <c r="G288" s="155">
        <f>IFERROR(VLOOKUP(F288,SpecialtyBaseLU,11,FALSE),0)</f>
        <v>20</v>
      </c>
      <c r="H288" s="5">
        <v>0</v>
      </c>
      <c r="J288" s="5">
        <f t="shared" si="27"/>
        <v>20</v>
      </c>
      <c r="K288" s="148">
        <f t="shared" si="28"/>
        <v>10</v>
      </c>
      <c r="L288" s="5">
        <f t="shared" si="29"/>
        <v>10</v>
      </c>
    </row>
    <row r="289" spans="1:12" x14ac:dyDescent="0.25">
      <c r="A289" t="s">
        <v>141</v>
      </c>
      <c r="B289" t="s">
        <v>142</v>
      </c>
      <c r="C289" t="s">
        <v>489</v>
      </c>
      <c r="D289" s="36" t="str">
        <f t="shared" si="24"/>
        <v>CP222-2X Week P VZV AP</v>
      </c>
      <c r="E289" s="36" t="str">
        <f t="shared" si="25"/>
        <v>RETURN - 2nd don of the week -BONUS</v>
      </c>
      <c r="F289" s="36" t="str">
        <f t="shared" si="26"/>
        <v>CP222-RETURN - 2nd don of the week -BONUS</v>
      </c>
      <c r="G289" s="155">
        <f>IFERROR(VLOOKUP(F289,SpecialtyBaseLU,11,FALSE),0)</f>
        <v>20</v>
      </c>
      <c r="H289" s="5">
        <v>0</v>
      </c>
      <c r="J289" s="5">
        <f t="shared" si="27"/>
        <v>20</v>
      </c>
      <c r="K289" s="148">
        <f t="shared" si="28"/>
        <v>10</v>
      </c>
      <c r="L289" s="5">
        <f t="shared" si="29"/>
        <v>10</v>
      </c>
    </row>
    <row r="290" spans="1:12" x14ac:dyDescent="0.25">
      <c r="A290" t="s">
        <v>141</v>
      </c>
      <c r="B290" t="s">
        <v>142</v>
      </c>
      <c r="C290" t="s">
        <v>490</v>
      </c>
      <c r="D290" s="36" t="str">
        <f t="shared" si="24"/>
        <v>CP222-2X Week P VZV Pre-Existing</v>
      </c>
      <c r="E290" s="36" t="str">
        <f t="shared" si="25"/>
        <v>RETURN - 2nd don of the week -BONUS</v>
      </c>
      <c r="F290" s="36" t="str">
        <f t="shared" si="26"/>
        <v>CP222-RETURN - 2nd don of the week -BONUS</v>
      </c>
      <c r="G290" s="155">
        <f>IFERROR(VLOOKUP(F290,SpecialtyBaseLU,11,FALSE),0)</f>
        <v>20</v>
      </c>
      <c r="H290" s="5">
        <v>0</v>
      </c>
      <c r="J290" s="5">
        <f t="shared" si="27"/>
        <v>20</v>
      </c>
      <c r="K290" s="148">
        <f t="shared" si="28"/>
        <v>10</v>
      </c>
      <c r="L290" s="5">
        <f t="shared" si="29"/>
        <v>10</v>
      </c>
    </row>
    <row r="291" spans="1:12" x14ac:dyDescent="0.25">
      <c r="A291" t="s">
        <v>141</v>
      </c>
      <c r="B291" t="s">
        <v>142</v>
      </c>
      <c r="C291" t="s">
        <v>491</v>
      </c>
      <c r="D291" s="36" t="str">
        <f t="shared" si="24"/>
        <v>CP222-2X Week P VZV Pre-Existing AP</v>
      </c>
      <c r="E291" s="36" t="str">
        <f t="shared" si="25"/>
        <v>RETURN - 2nd don of the week -BONUS</v>
      </c>
      <c r="F291" s="36" t="str">
        <f t="shared" si="26"/>
        <v>CP222-RETURN - 2nd don of the week -BONUS</v>
      </c>
      <c r="G291" s="155">
        <f>IFERROR(VLOOKUP(F291,SpecialtyBaseLU,11,FALSE),0)</f>
        <v>20</v>
      </c>
      <c r="H291" s="5">
        <v>0</v>
      </c>
      <c r="J291" s="5">
        <f t="shared" si="27"/>
        <v>20</v>
      </c>
      <c r="K291" s="148">
        <f t="shared" si="28"/>
        <v>10</v>
      </c>
      <c r="L291" s="5">
        <f t="shared" si="29"/>
        <v>10</v>
      </c>
    </row>
    <row r="292" spans="1:12" x14ac:dyDescent="0.25">
      <c r="A292" t="s">
        <v>141</v>
      </c>
      <c r="B292" t="s">
        <v>142</v>
      </c>
      <c r="C292" t="s">
        <v>469</v>
      </c>
      <c r="D292" s="36" t="str">
        <f t="shared" si="24"/>
        <v>CP222-P Anti-D Pre-Existing Standard</v>
      </c>
      <c r="E292" s="36" t="str">
        <f t="shared" si="25"/>
        <v>RETURN - 1st don of the week -STD</v>
      </c>
      <c r="F292" s="36" t="str">
        <f t="shared" si="26"/>
        <v>CP222-RETURN - 1st don of the week -STD</v>
      </c>
      <c r="G292" s="155">
        <f>IFERROR(VLOOKUP(F292,SpecialtyBaseLU,11,FALSE),0)</f>
        <v>50</v>
      </c>
      <c r="H292" s="5">
        <v>-10</v>
      </c>
      <c r="J292" s="5">
        <f t="shared" si="27"/>
        <v>40</v>
      </c>
      <c r="K292" s="148">
        <f t="shared" si="28"/>
        <v>50</v>
      </c>
      <c r="L292" s="5">
        <f t="shared" si="29"/>
        <v>-10</v>
      </c>
    </row>
    <row r="293" spans="1:12" x14ac:dyDescent="0.25">
      <c r="A293" t="s">
        <v>141</v>
      </c>
      <c r="B293" t="s">
        <v>142</v>
      </c>
      <c r="C293" t="s">
        <v>472</v>
      </c>
      <c r="D293" s="36" t="str">
        <f t="shared" si="24"/>
        <v>CP222-P HBS Pre-Existing Standard</v>
      </c>
      <c r="E293" s="36" t="str">
        <f t="shared" si="25"/>
        <v>RETURN - 1st don of the week -STD</v>
      </c>
      <c r="F293" s="36" t="str">
        <f t="shared" si="26"/>
        <v>CP222-RETURN - 1st don of the week -STD</v>
      </c>
      <c r="G293" s="155">
        <f>IFERROR(VLOOKUP(F293,SpecialtyBaseLU,11,FALSE),0)</f>
        <v>50</v>
      </c>
      <c r="H293" s="5">
        <v>20</v>
      </c>
      <c r="J293" s="5">
        <f t="shared" si="27"/>
        <v>70</v>
      </c>
      <c r="K293" s="148">
        <f t="shared" si="28"/>
        <v>80</v>
      </c>
      <c r="L293" s="5">
        <f t="shared" si="29"/>
        <v>-10</v>
      </c>
    </row>
    <row r="294" spans="1:12" x14ac:dyDescent="0.25">
      <c r="A294" t="s">
        <v>141</v>
      </c>
      <c r="B294" t="s">
        <v>142</v>
      </c>
      <c r="C294" t="s">
        <v>506</v>
      </c>
      <c r="D294" s="36" t="str">
        <f t="shared" si="24"/>
        <v>CP222-P HBS TWINRIX Standard</v>
      </c>
      <c r="E294" s="36" t="str">
        <f t="shared" si="25"/>
        <v>RETURN - 1st don of the week -STD</v>
      </c>
      <c r="F294" s="36" t="str">
        <f t="shared" si="26"/>
        <v>CP222-RETURN - 1st don of the week -STD</v>
      </c>
      <c r="G294" s="155">
        <f>IFERROR(VLOOKUP(F294,SpecialtyBaseLU,11,FALSE),0)</f>
        <v>50</v>
      </c>
      <c r="H294" s="5">
        <v>20</v>
      </c>
      <c r="J294" s="5">
        <f t="shared" si="27"/>
        <v>70</v>
      </c>
      <c r="K294" s="148">
        <f t="shared" si="28"/>
        <v>80</v>
      </c>
      <c r="L294" s="5">
        <f t="shared" si="29"/>
        <v>-10</v>
      </c>
    </row>
    <row r="295" spans="1:12" x14ac:dyDescent="0.25">
      <c r="A295" t="s">
        <v>141</v>
      </c>
      <c r="B295" t="s">
        <v>142</v>
      </c>
      <c r="C295" t="s">
        <v>507</v>
      </c>
      <c r="D295" s="36" t="str">
        <f t="shared" si="24"/>
        <v>CP222-P HBS TWINRIX-AP Standard</v>
      </c>
      <c r="E295" s="36" t="str">
        <f t="shared" si="25"/>
        <v>RETURN - 1st don of the week -STD</v>
      </c>
      <c r="F295" s="36" t="str">
        <f t="shared" si="26"/>
        <v>CP222-RETURN - 1st don of the week -STD</v>
      </c>
      <c r="G295" s="155">
        <f>IFERROR(VLOOKUP(F295,SpecialtyBaseLU,11,FALSE),0)</f>
        <v>50</v>
      </c>
      <c r="H295" s="5">
        <f>K295-G295</f>
        <v>30</v>
      </c>
      <c r="J295" s="5">
        <f t="shared" si="27"/>
        <v>80</v>
      </c>
      <c r="K295" s="148">
        <f t="shared" si="28"/>
        <v>80</v>
      </c>
      <c r="L295" s="5">
        <f t="shared" si="29"/>
        <v>0</v>
      </c>
    </row>
    <row r="296" spans="1:12" x14ac:dyDescent="0.25">
      <c r="A296" t="s">
        <v>141</v>
      </c>
      <c r="B296" t="s">
        <v>142</v>
      </c>
      <c r="C296" t="s">
        <v>475</v>
      </c>
      <c r="D296" s="36" t="str">
        <f t="shared" si="24"/>
        <v>CP222-P Vaccinia AP Standard</v>
      </c>
      <c r="E296" s="36">
        <f t="shared" si="25"/>
        <v>0</v>
      </c>
      <c r="F296" s="36" t="str">
        <f t="shared" si="26"/>
        <v>CP222-0</v>
      </c>
      <c r="G296" s="155">
        <f>IFERROR(VLOOKUP(F296,SpecialtyBaseLU,11,FALSE),0)</f>
        <v>0</v>
      </c>
      <c r="I296" s="5">
        <v>100</v>
      </c>
      <c r="J296" s="5">
        <f t="shared" si="27"/>
        <v>100</v>
      </c>
      <c r="K296" s="148">
        <f t="shared" si="28"/>
        <v>100</v>
      </c>
      <c r="L296" s="5">
        <f t="shared" si="29"/>
        <v>0</v>
      </c>
    </row>
    <row r="297" spans="1:12" x14ac:dyDescent="0.25">
      <c r="A297" t="s">
        <v>141</v>
      </c>
      <c r="B297" t="s">
        <v>142</v>
      </c>
      <c r="C297" t="s">
        <v>476</v>
      </c>
      <c r="D297" s="36" t="str">
        <f t="shared" si="24"/>
        <v>CP222-P Vaccinia Standard</v>
      </c>
      <c r="E297" s="36">
        <f t="shared" si="25"/>
        <v>0</v>
      </c>
      <c r="F297" s="36" t="str">
        <f t="shared" si="26"/>
        <v>CP222-0</v>
      </c>
      <c r="G297" s="155">
        <f>IFERROR(VLOOKUP(F297,SpecialtyBaseLU,11,FALSE),0)</f>
        <v>0</v>
      </c>
      <c r="I297" s="5">
        <v>100</v>
      </c>
      <c r="J297" s="5">
        <f t="shared" si="27"/>
        <v>100</v>
      </c>
      <c r="K297" s="148">
        <f t="shared" si="28"/>
        <v>100</v>
      </c>
      <c r="L297" s="5">
        <f t="shared" si="29"/>
        <v>0</v>
      </c>
    </row>
    <row r="298" spans="1:12" x14ac:dyDescent="0.25">
      <c r="A298" t="s">
        <v>141</v>
      </c>
      <c r="B298" t="s">
        <v>142</v>
      </c>
      <c r="C298" t="s">
        <v>495</v>
      </c>
      <c r="D298" s="36" t="str">
        <f t="shared" si="24"/>
        <v>CP222-P VZV Pre-Existing AP</v>
      </c>
      <c r="E298" s="36" t="str">
        <f t="shared" si="25"/>
        <v>RETURN - 1st don of the week -STD</v>
      </c>
      <c r="F298" s="36" t="str">
        <f t="shared" si="26"/>
        <v>CP222-RETURN - 1st don of the week -STD</v>
      </c>
      <c r="G298" s="155">
        <f>IFERROR(VLOOKUP(F298,SpecialtyBaseLU,11,FALSE),0)</f>
        <v>50</v>
      </c>
      <c r="H298" s="5">
        <v>10</v>
      </c>
      <c r="I298" s="5">
        <v>0</v>
      </c>
      <c r="J298" s="5">
        <f t="shared" si="27"/>
        <v>60</v>
      </c>
      <c r="K298" s="148">
        <f t="shared" si="28"/>
        <v>70</v>
      </c>
      <c r="L298" s="5">
        <f t="shared" si="29"/>
        <v>-10</v>
      </c>
    </row>
    <row r="299" spans="1:12" x14ac:dyDescent="0.25">
      <c r="A299" t="s">
        <v>141</v>
      </c>
      <c r="B299" t="s">
        <v>142</v>
      </c>
      <c r="C299" t="s">
        <v>496</v>
      </c>
      <c r="D299" s="36" t="str">
        <f t="shared" si="24"/>
        <v>CP222-P VZV Standard</v>
      </c>
      <c r="E299" s="36" t="str">
        <f t="shared" si="25"/>
        <v>RETURN - 1st don of the week -STD</v>
      </c>
      <c r="F299" s="36" t="str">
        <f t="shared" si="26"/>
        <v>CP222-RETURN - 1st don of the week -STD</v>
      </c>
      <c r="G299" s="155">
        <f>IFERROR(VLOOKUP(F299,SpecialtyBaseLU,11,FALSE),0)</f>
        <v>50</v>
      </c>
      <c r="H299" s="5">
        <v>10</v>
      </c>
      <c r="I299" s="5">
        <v>0</v>
      </c>
      <c r="J299" s="5">
        <f t="shared" si="27"/>
        <v>60</v>
      </c>
      <c r="K299" s="148">
        <f t="shared" si="28"/>
        <v>70</v>
      </c>
      <c r="L299" s="5">
        <f t="shared" si="29"/>
        <v>-10</v>
      </c>
    </row>
    <row r="300" spans="1:12" x14ac:dyDescent="0.25">
      <c r="A300" t="s">
        <v>141</v>
      </c>
      <c r="B300" t="s">
        <v>142</v>
      </c>
      <c r="C300" t="s">
        <v>497</v>
      </c>
      <c r="D300" s="36" t="str">
        <f t="shared" si="24"/>
        <v>CP222-PVZV Pre-Existing Standard</v>
      </c>
      <c r="E300" s="36" t="str">
        <f t="shared" si="25"/>
        <v>RETURN - 1st don of the week -STD</v>
      </c>
      <c r="F300" s="36" t="str">
        <f t="shared" si="26"/>
        <v>CP222-RETURN - 1st don of the week -STD</v>
      </c>
      <c r="G300" s="155">
        <f>IFERROR(VLOOKUP(F300,SpecialtyBaseLU,11,FALSE),0)</f>
        <v>50</v>
      </c>
      <c r="H300" s="5">
        <f>K300-G300</f>
        <v>20</v>
      </c>
      <c r="J300" s="5">
        <f t="shared" si="27"/>
        <v>70</v>
      </c>
      <c r="K300" s="148">
        <f t="shared" si="28"/>
        <v>70</v>
      </c>
      <c r="L300" s="5">
        <f t="shared" si="29"/>
        <v>0</v>
      </c>
    </row>
    <row r="301" spans="1:12" x14ac:dyDescent="0.25">
      <c r="A301" t="s">
        <v>141</v>
      </c>
      <c r="B301" t="s">
        <v>142</v>
      </c>
      <c r="C301" t="s">
        <v>477</v>
      </c>
      <c r="D301" s="36" t="str">
        <f t="shared" si="24"/>
        <v>CP222-Vaccinia - 1st Donation</v>
      </c>
      <c r="E301" s="36">
        <f t="shared" si="25"/>
        <v>0</v>
      </c>
      <c r="F301" s="36" t="str">
        <f t="shared" si="26"/>
        <v>CP222-0</v>
      </c>
      <c r="G301" s="155">
        <f>IFERROR(VLOOKUP(F301,SpecialtyBaseLU,11,FALSE),0)</f>
        <v>0</v>
      </c>
      <c r="I301" s="5">
        <v>150</v>
      </c>
      <c r="J301" s="5">
        <f t="shared" si="27"/>
        <v>150</v>
      </c>
      <c r="K301" s="148">
        <f t="shared" si="28"/>
        <v>150</v>
      </c>
      <c r="L301" s="5">
        <f t="shared" si="29"/>
        <v>0</v>
      </c>
    </row>
    <row r="302" spans="1:12" x14ac:dyDescent="0.25">
      <c r="A302" t="s">
        <v>141</v>
      </c>
      <c r="B302" t="s">
        <v>142</v>
      </c>
      <c r="C302" t="s">
        <v>478</v>
      </c>
      <c r="D302" s="36" t="str">
        <f t="shared" si="24"/>
        <v>CP222-Vaccinia - 2nd Donation</v>
      </c>
      <c r="E302" s="36">
        <f t="shared" si="25"/>
        <v>0</v>
      </c>
      <c r="F302" s="36" t="str">
        <f t="shared" si="26"/>
        <v>CP222-0</v>
      </c>
      <c r="G302" s="155">
        <f>IFERROR(VLOOKUP(F302,SpecialtyBaseLU,11,FALSE),0)</f>
        <v>0</v>
      </c>
      <c r="I302" s="5">
        <v>250</v>
      </c>
      <c r="J302" s="5">
        <f t="shared" si="27"/>
        <v>250</v>
      </c>
      <c r="K302" s="148">
        <f t="shared" si="28"/>
        <v>250</v>
      </c>
      <c r="L302" s="5">
        <f t="shared" si="29"/>
        <v>0</v>
      </c>
    </row>
    <row r="303" spans="1:12" x14ac:dyDescent="0.25">
      <c r="A303" t="s">
        <v>141</v>
      </c>
      <c r="B303" t="s">
        <v>142</v>
      </c>
      <c r="C303" t="s">
        <v>479</v>
      </c>
      <c r="D303" s="36" t="str">
        <f t="shared" si="24"/>
        <v>CP222-Vaccinia - 3rd Donation</v>
      </c>
      <c r="E303" s="36">
        <f t="shared" si="25"/>
        <v>0</v>
      </c>
      <c r="F303" s="36" t="str">
        <f t="shared" si="26"/>
        <v>CP222-0</v>
      </c>
      <c r="G303" s="155">
        <f>IFERROR(VLOOKUP(F303,SpecialtyBaseLU,11,FALSE),0)</f>
        <v>0</v>
      </c>
      <c r="I303" s="5">
        <v>300</v>
      </c>
      <c r="J303" s="5">
        <f t="shared" si="27"/>
        <v>300</v>
      </c>
      <c r="K303" s="148">
        <f t="shared" si="28"/>
        <v>300</v>
      </c>
      <c r="L303" s="5">
        <f t="shared" si="29"/>
        <v>0</v>
      </c>
    </row>
    <row r="304" spans="1:12" x14ac:dyDescent="0.25">
      <c r="A304" t="s">
        <v>141</v>
      </c>
      <c r="B304" t="s">
        <v>142</v>
      </c>
      <c r="C304" t="s">
        <v>480</v>
      </c>
      <c r="D304" s="36" t="str">
        <f t="shared" si="24"/>
        <v>CP222-Vaccinia - 4th Donation</v>
      </c>
      <c r="E304" s="36">
        <f t="shared" si="25"/>
        <v>0</v>
      </c>
      <c r="F304" s="36" t="str">
        <f t="shared" si="26"/>
        <v>CP222-0</v>
      </c>
      <c r="G304" s="155">
        <f>IFERROR(VLOOKUP(F304,SpecialtyBaseLU,11,FALSE),0)</f>
        <v>0</v>
      </c>
      <c r="I304" s="5">
        <v>300</v>
      </c>
      <c r="J304" s="5">
        <f t="shared" si="27"/>
        <v>300</v>
      </c>
      <c r="K304" s="148">
        <f t="shared" si="28"/>
        <v>300</v>
      </c>
      <c r="L304" s="5">
        <f t="shared" si="29"/>
        <v>0</v>
      </c>
    </row>
    <row r="305" spans="1:12" x14ac:dyDescent="0.25">
      <c r="A305" t="s">
        <v>141</v>
      </c>
      <c r="B305" t="s">
        <v>142</v>
      </c>
      <c r="C305" t="s">
        <v>481</v>
      </c>
      <c r="D305" s="36" t="str">
        <f t="shared" si="24"/>
        <v>CP222-Vaccinia AP - 1st Donation</v>
      </c>
      <c r="E305" s="36">
        <f t="shared" si="25"/>
        <v>0</v>
      </c>
      <c r="F305" s="36" t="str">
        <f t="shared" si="26"/>
        <v>CP222-0</v>
      </c>
      <c r="G305" s="155">
        <f>IFERROR(VLOOKUP(F305,SpecialtyBaseLU,11,FALSE),0)</f>
        <v>0</v>
      </c>
      <c r="I305" s="5">
        <v>150</v>
      </c>
      <c r="J305" s="5">
        <f t="shared" si="27"/>
        <v>150</v>
      </c>
      <c r="K305" s="148">
        <f t="shared" si="28"/>
        <v>150</v>
      </c>
      <c r="L305" s="5">
        <f t="shared" si="29"/>
        <v>0</v>
      </c>
    </row>
    <row r="306" spans="1:12" x14ac:dyDescent="0.25">
      <c r="A306" t="s">
        <v>141</v>
      </c>
      <c r="B306" t="s">
        <v>142</v>
      </c>
      <c r="C306" t="s">
        <v>482</v>
      </c>
      <c r="D306" s="36" t="str">
        <f t="shared" si="24"/>
        <v>CP222-Vaccinia AP - 2nd Donation</v>
      </c>
      <c r="E306" s="36">
        <f t="shared" si="25"/>
        <v>0</v>
      </c>
      <c r="F306" s="36" t="str">
        <f t="shared" si="26"/>
        <v>CP222-0</v>
      </c>
      <c r="G306" s="155">
        <f>IFERROR(VLOOKUP(F306,SpecialtyBaseLU,11,FALSE),0)</f>
        <v>0</v>
      </c>
      <c r="I306" s="5">
        <v>250</v>
      </c>
      <c r="J306" s="5">
        <f t="shared" si="27"/>
        <v>250</v>
      </c>
      <c r="K306" s="148">
        <f t="shared" si="28"/>
        <v>250</v>
      </c>
      <c r="L306" s="5">
        <f t="shared" si="29"/>
        <v>0</v>
      </c>
    </row>
    <row r="307" spans="1:12" x14ac:dyDescent="0.25">
      <c r="A307" t="s">
        <v>141</v>
      </c>
      <c r="B307" t="s">
        <v>142</v>
      </c>
      <c r="C307" t="s">
        <v>483</v>
      </c>
      <c r="D307" s="36" t="str">
        <f t="shared" si="24"/>
        <v>CP222-Vaccinia AP - 3rd Donation</v>
      </c>
      <c r="E307" s="36">
        <f t="shared" si="25"/>
        <v>0</v>
      </c>
      <c r="F307" s="36" t="str">
        <f t="shared" si="26"/>
        <v>CP222-0</v>
      </c>
      <c r="G307" s="155">
        <f>IFERROR(VLOOKUP(F307,SpecialtyBaseLU,11,FALSE),0)</f>
        <v>0</v>
      </c>
      <c r="I307" s="5">
        <v>300</v>
      </c>
      <c r="J307" s="5">
        <f t="shared" si="27"/>
        <v>300</v>
      </c>
      <c r="K307" s="148">
        <f t="shared" si="28"/>
        <v>300</v>
      </c>
      <c r="L307" s="5">
        <f t="shared" si="29"/>
        <v>0</v>
      </c>
    </row>
    <row r="308" spans="1:12" x14ac:dyDescent="0.25">
      <c r="A308" t="s">
        <v>141</v>
      </c>
      <c r="B308" t="s">
        <v>142</v>
      </c>
      <c r="C308" t="s">
        <v>484</v>
      </c>
      <c r="D308" s="36" t="str">
        <f t="shared" si="24"/>
        <v>CP222-Vaccinia AP - 4th Donation</v>
      </c>
      <c r="E308" s="36">
        <f t="shared" si="25"/>
        <v>0</v>
      </c>
      <c r="F308" s="36" t="str">
        <f t="shared" si="26"/>
        <v>CP222-0</v>
      </c>
      <c r="G308" s="155">
        <f>IFERROR(VLOOKUP(F308,SpecialtyBaseLU,11,FALSE),0)</f>
        <v>0</v>
      </c>
      <c r="I308" s="5">
        <v>300</v>
      </c>
      <c r="J308" s="5">
        <f t="shared" si="27"/>
        <v>300</v>
      </c>
      <c r="K308" s="148">
        <f t="shared" si="28"/>
        <v>300</v>
      </c>
      <c r="L308" s="5">
        <f t="shared" si="29"/>
        <v>0</v>
      </c>
    </row>
    <row r="309" spans="1:12" x14ac:dyDescent="0.25">
      <c r="A309" t="s">
        <v>330</v>
      </c>
      <c r="B309" t="s">
        <v>331</v>
      </c>
      <c r="C309" t="s">
        <v>518</v>
      </c>
      <c r="D309" s="36" t="str">
        <f t="shared" si="24"/>
        <v>CP955-2X Week P Anti-D</v>
      </c>
      <c r="E309" s="36" t="str">
        <f t="shared" si="25"/>
        <v>RETURN - 2nd don of the week -BONUS</v>
      </c>
      <c r="F309" s="36" t="str">
        <f t="shared" si="26"/>
        <v>CP955-RETURN - 2nd don of the week -BONUS</v>
      </c>
      <c r="G309" s="155">
        <f>IFERROR(VLOOKUP(F309,SpecialtyBaseLU,11,FALSE),0)</f>
        <v>30</v>
      </c>
      <c r="H309" s="5">
        <v>-5</v>
      </c>
      <c r="J309" s="5">
        <f t="shared" si="27"/>
        <v>25</v>
      </c>
      <c r="K309" s="148">
        <f t="shared" si="28"/>
        <v>15</v>
      </c>
      <c r="L309" s="5">
        <f t="shared" si="29"/>
        <v>10</v>
      </c>
    </row>
    <row r="310" spans="1:12" x14ac:dyDescent="0.25">
      <c r="A310" t="s">
        <v>330</v>
      </c>
      <c r="B310" t="s">
        <v>331</v>
      </c>
      <c r="C310" t="s">
        <v>469</v>
      </c>
      <c r="D310" s="36" t="str">
        <f t="shared" si="24"/>
        <v>CP955-P Anti-D Pre-Existing Standard</v>
      </c>
      <c r="E310" s="36" t="str">
        <f t="shared" si="25"/>
        <v>RETURN - 1st don of the week -STD</v>
      </c>
      <c r="F310" s="36" t="str">
        <f t="shared" si="26"/>
        <v>CP955-RETURN - 1st don of the week -STD</v>
      </c>
      <c r="G310" s="155">
        <f>IFERROR(VLOOKUP(F310,SpecialtyBaseLU,11,FALSE),0)</f>
        <v>45</v>
      </c>
      <c r="H310" s="5">
        <v>5</v>
      </c>
      <c r="J310" s="5">
        <f t="shared" si="27"/>
        <v>50</v>
      </c>
      <c r="K310" s="148">
        <f t="shared" si="28"/>
        <v>50</v>
      </c>
      <c r="L310" s="5">
        <f t="shared" si="29"/>
        <v>0</v>
      </c>
    </row>
    <row r="311" spans="1:12" x14ac:dyDescent="0.25">
      <c r="A311" t="s">
        <v>330</v>
      </c>
      <c r="B311" t="s">
        <v>331</v>
      </c>
      <c r="C311" t="s">
        <v>474</v>
      </c>
      <c r="D311" s="36" t="str">
        <f t="shared" si="24"/>
        <v>CP955-P Anti-D Standard</v>
      </c>
      <c r="E311" s="36" t="str">
        <f t="shared" si="25"/>
        <v>RETURN - 1st don of the week -STD</v>
      </c>
      <c r="F311" s="36" t="str">
        <f t="shared" si="26"/>
        <v>CP955-RETURN - 1st don of the week -STD</v>
      </c>
      <c r="G311" s="155">
        <f>IFERROR(VLOOKUP(F311,SpecialtyBaseLU,11,FALSE),0)</f>
        <v>45</v>
      </c>
      <c r="H311" s="5">
        <v>5</v>
      </c>
      <c r="J311" s="5">
        <f t="shared" si="27"/>
        <v>50</v>
      </c>
      <c r="K311" s="148">
        <f t="shared" si="28"/>
        <v>50</v>
      </c>
      <c r="L311" s="5">
        <f t="shared" si="29"/>
        <v>0</v>
      </c>
    </row>
    <row r="312" spans="1:12" x14ac:dyDescent="0.25">
      <c r="A312" t="s">
        <v>415</v>
      </c>
      <c r="B312" t="s">
        <v>416</v>
      </c>
      <c r="C312" t="s">
        <v>518</v>
      </c>
      <c r="D312" s="36" t="str">
        <f t="shared" si="24"/>
        <v>CP872-2X Week P Anti-D</v>
      </c>
      <c r="E312" s="36" t="str">
        <f t="shared" si="25"/>
        <v>RETURN - 2nd don of the week -BONUS</v>
      </c>
      <c r="F312" s="36" t="str">
        <f t="shared" si="26"/>
        <v>CP872-RETURN - 2nd don of the week -BONUS</v>
      </c>
      <c r="G312" s="155">
        <f>IFERROR(VLOOKUP(F312,SpecialtyBaseLU,11,FALSE),0)</f>
        <v>30</v>
      </c>
      <c r="H312" s="5">
        <v>-15</v>
      </c>
      <c r="J312" s="5">
        <f t="shared" si="27"/>
        <v>15</v>
      </c>
      <c r="K312" s="148">
        <f t="shared" si="28"/>
        <v>15</v>
      </c>
      <c r="L312" s="5">
        <f t="shared" si="29"/>
        <v>0</v>
      </c>
    </row>
    <row r="313" spans="1:12" x14ac:dyDescent="0.25">
      <c r="A313" t="s">
        <v>415</v>
      </c>
      <c r="B313" t="s">
        <v>416</v>
      </c>
      <c r="C313" t="s">
        <v>498</v>
      </c>
      <c r="D313" s="36" t="str">
        <f t="shared" si="24"/>
        <v>CP872-2X Week P CMV</v>
      </c>
      <c r="E313" s="36" t="str">
        <f t="shared" si="25"/>
        <v>RETURN - 2nd don of the week -BONUS</v>
      </c>
      <c r="F313" s="36" t="str">
        <f t="shared" si="26"/>
        <v>CP872-RETURN - 2nd don of the week -BONUS</v>
      </c>
      <c r="G313" s="155">
        <f>IFERROR(VLOOKUP(F313,SpecialtyBaseLU,11,FALSE),0)</f>
        <v>30</v>
      </c>
      <c r="H313" s="5">
        <v>0</v>
      </c>
      <c r="J313" s="5">
        <f t="shared" si="27"/>
        <v>30</v>
      </c>
      <c r="K313" s="148">
        <f t="shared" si="28"/>
        <v>30</v>
      </c>
      <c r="L313" s="5">
        <f t="shared" si="29"/>
        <v>0</v>
      </c>
    </row>
    <row r="314" spans="1:12" x14ac:dyDescent="0.25">
      <c r="A314" t="s">
        <v>415</v>
      </c>
      <c r="B314" t="s">
        <v>416</v>
      </c>
      <c r="C314" t="s">
        <v>485</v>
      </c>
      <c r="D314" s="36" t="str">
        <f t="shared" si="24"/>
        <v>CP872-2X Week P Tetanus</v>
      </c>
      <c r="E314" s="36" t="str">
        <f t="shared" si="25"/>
        <v>RETURN - 2nd don of the week -BONUS</v>
      </c>
      <c r="F314" s="36" t="str">
        <f t="shared" si="26"/>
        <v>CP872-RETURN - 2nd don of the week -BONUS</v>
      </c>
      <c r="G314" s="155">
        <f>IFERROR(VLOOKUP(F314,SpecialtyBaseLU,11,FALSE),0)</f>
        <v>30</v>
      </c>
      <c r="H314" s="5">
        <v>0</v>
      </c>
      <c r="J314" s="5">
        <f t="shared" si="27"/>
        <v>30</v>
      </c>
      <c r="K314" s="148">
        <f t="shared" si="28"/>
        <v>30</v>
      </c>
      <c r="L314" s="5">
        <f t="shared" si="29"/>
        <v>0</v>
      </c>
    </row>
    <row r="315" spans="1:12" x14ac:dyDescent="0.25">
      <c r="A315" t="s">
        <v>415</v>
      </c>
      <c r="B315" t="s">
        <v>416</v>
      </c>
      <c r="C315" t="s">
        <v>486</v>
      </c>
      <c r="D315" s="36" t="str">
        <f t="shared" si="24"/>
        <v>CP872-2X Week P Tetanus AP</v>
      </c>
      <c r="E315" s="36" t="str">
        <f t="shared" si="25"/>
        <v>RETURN - 2nd don of the week -BONUS</v>
      </c>
      <c r="F315" s="36" t="str">
        <f t="shared" si="26"/>
        <v>CP872-RETURN - 2nd don of the week -BONUS</v>
      </c>
      <c r="G315" s="155">
        <f>IFERROR(VLOOKUP(F315,SpecialtyBaseLU,11,FALSE),0)</f>
        <v>30</v>
      </c>
      <c r="H315" s="5">
        <v>0</v>
      </c>
      <c r="J315" s="5">
        <f t="shared" si="27"/>
        <v>30</v>
      </c>
      <c r="K315" s="148">
        <f t="shared" si="28"/>
        <v>30</v>
      </c>
      <c r="L315" s="5">
        <f t="shared" si="29"/>
        <v>0</v>
      </c>
    </row>
    <row r="316" spans="1:12" x14ac:dyDescent="0.25">
      <c r="A316" t="s">
        <v>415</v>
      </c>
      <c r="B316" t="s">
        <v>416</v>
      </c>
      <c r="C316" t="s">
        <v>487</v>
      </c>
      <c r="D316" s="36" t="str">
        <f t="shared" si="24"/>
        <v>CP872-2X Week P Tetanus PE</v>
      </c>
      <c r="E316" s="36" t="str">
        <f t="shared" si="25"/>
        <v>RETURN - 2nd don of the week -BONUS</v>
      </c>
      <c r="F316" s="36" t="str">
        <f t="shared" si="26"/>
        <v>CP872-RETURN - 2nd don of the week -BONUS</v>
      </c>
      <c r="G316" s="155">
        <f>IFERROR(VLOOKUP(F316,SpecialtyBaseLU,11,FALSE),0)</f>
        <v>30</v>
      </c>
      <c r="H316" s="5">
        <v>0</v>
      </c>
      <c r="J316" s="5">
        <f t="shared" si="27"/>
        <v>30</v>
      </c>
      <c r="K316" s="148">
        <f t="shared" si="28"/>
        <v>30</v>
      </c>
      <c r="L316" s="5">
        <f t="shared" si="29"/>
        <v>0</v>
      </c>
    </row>
    <row r="317" spans="1:12" x14ac:dyDescent="0.25">
      <c r="A317" t="s">
        <v>415</v>
      </c>
      <c r="B317" t="s">
        <v>416</v>
      </c>
      <c r="C317" t="s">
        <v>469</v>
      </c>
      <c r="D317" s="36" t="str">
        <f t="shared" si="24"/>
        <v>CP872-P Anti-D Pre-Existing Standard</v>
      </c>
      <c r="E317" s="36" t="str">
        <f t="shared" si="25"/>
        <v>RETURN - 1st don of the week -STD</v>
      </c>
      <c r="F317" s="36" t="str">
        <f t="shared" si="26"/>
        <v>CP872-RETURN - 1st don of the week -STD</v>
      </c>
      <c r="G317" s="155">
        <f>IFERROR(VLOOKUP(F317,SpecialtyBaseLU,11,FALSE),0)</f>
        <v>30</v>
      </c>
      <c r="H317" s="5">
        <v>20</v>
      </c>
      <c r="J317" s="5">
        <f t="shared" si="27"/>
        <v>50</v>
      </c>
      <c r="K317" s="148">
        <f t="shared" si="28"/>
        <v>50</v>
      </c>
      <c r="L317" s="5">
        <f t="shared" si="29"/>
        <v>0</v>
      </c>
    </row>
    <row r="318" spans="1:12" x14ac:dyDescent="0.25">
      <c r="A318" t="s">
        <v>415</v>
      </c>
      <c r="B318" t="s">
        <v>416</v>
      </c>
      <c r="C318" t="s">
        <v>474</v>
      </c>
      <c r="D318" s="36" t="str">
        <f t="shared" si="24"/>
        <v>CP872-P Anti-D Standard</v>
      </c>
      <c r="E318" s="36" t="str">
        <f t="shared" si="25"/>
        <v>RETURN - 1st don of the week -STD</v>
      </c>
      <c r="F318" s="36" t="str">
        <f t="shared" si="26"/>
        <v>CP872-RETURN - 1st don of the week -STD</v>
      </c>
      <c r="G318" s="155">
        <f>IFERROR(VLOOKUP(F318,SpecialtyBaseLU,11,FALSE),0)</f>
        <v>30</v>
      </c>
      <c r="H318" s="5">
        <v>20</v>
      </c>
      <c r="J318" s="5">
        <f t="shared" si="27"/>
        <v>50</v>
      </c>
      <c r="K318" s="148">
        <f t="shared" si="28"/>
        <v>50</v>
      </c>
      <c r="L318" s="5">
        <f t="shared" si="29"/>
        <v>0</v>
      </c>
    </row>
    <row r="319" spans="1:12" x14ac:dyDescent="0.25">
      <c r="A319" t="s">
        <v>415</v>
      </c>
      <c r="B319" t="s">
        <v>416</v>
      </c>
      <c r="C319" t="s">
        <v>501</v>
      </c>
      <c r="D319" s="36" t="str">
        <f t="shared" si="24"/>
        <v>CP872-P CMV Standard</v>
      </c>
      <c r="E319" s="36" t="str">
        <f t="shared" si="25"/>
        <v>RETURN - 1st don of the week -STD</v>
      </c>
      <c r="F319" s="36" t="str">
        <f t="shared" si="26"/>
        <v>CP872-RETURN - 1st don of the week -STD</v>
      </c>
      <c r="G319" s="155">
        <f>IFERROR(VLOOKUP(F319,SpecialtyBaseLU,11,FALSE),0)</f>
        <v>30</v>
      </c>
      <c r="H319" s="5">
        <v>5</v>
      </c>
      <c r="J319" s="5">
        <f t="shared" si="27"/>
        <v>35</v>
      </c>
      <c r="K319" s="148">
        <f t="shared" si="28"/>
        <v>35</v>
      </c>
      <c r="L319" s="5">
        <f t="shared" si="29"/>
        <v>0</v>
      </c>
    </row>
    <row r="320" spans="1:12" x14ac:dyDescent="0.25">
      <c r="A320" t="s">
        <v>415</v>
      </c>
      <c r="B320" t="s">
        <v>416</v>
      </c>
      <c r="C320" t="s">
        <v>492</v>
      </c>
      <c r="D320" s="36" t="str">
        <f t="shared" si="24"/>
        <v>CP872-P Tetanus AP Standard</v>
      </c>
      <c r="E320" s="36" t="str">
        <f t="shared" si="25"/>
        <v>RETURN - 1st don of the week -STD</v>
      </c>
      <c r="F320" s="36" t="str">
        <f t="shared" si="26"/>
        <v>CP872-RETURN - 1st don of the week -STD</v>
      </c>
      <c r="G320" s="155">
        <f>IFERROR(VLOOKUP(F320,SpecialtyBaseLU,11,FALSE),0)</f>
        <v>30</v>
      </c>
      <c r="H320" s="5">
        <f>K320-G320</f>
        <v>5</v>
      </c>
      <c r="J320" s="5">
        <f t="shared" si="27"/>
        <v>35</v>
      </c>
      <c r="K320" s="148">
        <f t="shared" si="28"/>
        <v>35</v>
      </c>
      <c r="L320" s="5">
        <f t="shared" si="29"/>
        <v>0</v>
      </c>
    </row>
    <row r="321" spans="1:12" x14ac:dyDescent="0.25">
      <c r="A321" t="s">
        <v>415</v>
      </c>
      <c r="B321" t="s">
        <v>416</v>
      </c>
      <c r="C321" t="s">
        <v>493</v>
      </c>
      <c r="D321" s="36" t="str">
        <f t="shared" si="24"/>
        <v>CP872-P Tetanus Pre-Existing Standard</v>
      </c>
      <c r="E321" s="36" t="str">
        <f t="shared" si="25"/>
        <v>RETURN - 1st don of the week -STD</v>
      </c>
      <c r="F321" s="36" t="str">
        <f t="shared" si="26"/>
        <v>CP872-RETURN - 1st don of the week -STD</v>
      </c>
      <c r="G321" s="155">
        <f>IFERROR(VLOOKUP(F321,SpecialtyBaseLU,11,FALSE),0)</f>
        <v>30</v>
      </c>
      <c r="H321" s="5">
        <f>K321-G321</f>
        <v>5</v>
      </c>
      <c r="J321" s="5">
        <f t="shared" si="27"/>
        <v>35</v>
      </c>
      <c r="K321" s="148">
        <f t="shared" si="28"/>
        <v>35</v>
      </c>
      <c r="L321" s="5">
        <f t="shared" si="29"/>
        <v>0</v>
      </c>
    </row>
    <row r="322" spans="1:12" x14ac:dyDescent="0.25">
      <c r="A322" t="s">
        <v>415</v>
      </c>
      <c r="B322" t="s">
        <v>416</v>
      </c>
      <c r="C322" t="s">
        <v>494</v>
      </c>
      <c r="D322" s="36" t="str">
        <f t="shared" si="24"/>
        <v>CP872-P Tetanus Standard</v>
      </c>
      <c r="E322" s="36" t="str">
        <f t="shared" si="25"/>
        <v>RETURN - 1st don of the week -STD</v>
      </c>
      <c r="F322" s="36" t="str">
        <f t="shared" si="26"/>
        <v>CP872-RETURN - 1st don of the week -STD</v>
      </c>
      <c r="G322" s="155">
        <f>IFERROR(VLOOKUP(F322,SpecialtyBaseLU,11,FALSE),0)</f>
        <v>30</v>
      </c>
      <c r="H322" s="5">
        <f>K322-G322</f>
        <v>5</v>
      </c>
      <c r="J322" s="5">
        <f t="shared" si="27"/>
        <v>35</v>
      </c>
      <c r="K322" s="148">
        <f t="shared" si="28"/>
        <v>35</v>
      </c>
      <c r="L322" s="5">
        <f t="shared" si="29"/>
        <v>0</v>
      </c>
    </row>
    <row r="323" spans="1:12" x14ac:dyDescent="0.25">
      <c r="A323" t="s">
        <v>415</v>
      </c>
      <c r="B323" t="s">
        <v>416</v>
      </c>
      <c r="C323" t="s">
        <v>508</v>
      </c>
      <c r="D323" s="36" t="str">
        <f t="shared" si="24"/>
        <v>CP872-P Tetanus Tox Standard</v>
      </c>
      <c r="E323" s="36" t="str">
        <f t="shared" si="25"/>
        <v>RETURN - 1st don of the week -STD</v>
      </c>
      <c r="F323" s="36" t="str">
        <f t="shared" si="26"/>
        <v>CP872-RETURN - 1st don of the week -STD</v>
      </c>
      <c r="G323" s="155">
        <f>IFERROR(VLOOKUP(F323,SpecialtyBaseLU,11,FALSE),0)</f>
        <v>30</v>
      </c>
      <c r="H323" s="5">
        <f>K323-G323</f>
        <v>5</v>
      </c>
      <c r="J323" s="5">
        <f t="shared" si="27"/>
        <v>35</v>
      </c>
      <c r="K323" s="148">
        <f t="shared" si="28"/>
        <v>35</v>
      </c>
      <c r="L323" s="5">
        <f t="shared" si="29"/>
        <v>0</v>
      </c>
    </row>
    <row r="324" spans="1:12" x14ac:dyDescent="0.25">
      <c r="A324" t="s">
        <v>290</v>
      </c>
      <c r="B324" t="s">
        <v>291</v>
      </c>
      <c r="C324" t="s">
        <v>469</v>
      </c>
      <c r="D324" s="36" t="str">
        <f t="shared" ref="D324:D387" si="30">B324&amp;"-"&amp;C324</f>
        <v>CP224-P Anti-D Pre-Existing Standard</v>
      </c>
      <c r="E324" s="36" t="str">
        <f t="shared" ref="E324:E387" si="31">VLOOKUP(C324,RULENAMELU,5,FALSE)</f>
        <v>RETURN - 1st don of the week -STD</v>
      </c>
      <c r="F324" s="36" t="str">
        <f t="shared" ref="F324:F387" si="32">B324&amp;"-"&amp;E324</f>
        <v>CP224-RETURN - 1st don of the week -STD</v>
      </c>
      <c r="G324" s="155">
        <f>IFERROR(VLOOKUP(F324,SpecialtyBaseLU,11,FALSE),0)</f>
        <v>50</v>
      </c>
      <c r="H324" s="5">
        <v>-5</v>
      </c>
      <c r="J324" s="5">
        <f t="shared" ref="J324:J387" si="33">G324+H324+I324</f>
        <v>45</v>
      </c>
      <c r="K324" s="148">
        <f t="shared" ref="K324:K387" si="34">VLOOKUP(D324,CurrentNLDataLU,11,FALSE)</f>
        <v>50</v>
      </c>
      <c r="L324" s="5">
        <f t="shared" ref="L324:L387" si="35">J324-K324</f>
        <v>-5</v>
      </c>
    </row>
    <row r="325" spans="1:12" x14ac:dyDescent="0.25">
      <c r="A325" t="s">
        <v>290</v>
      </c>
      <c r="B325" t="s">
        <v>291</v>
      </c>
      <c r="C325" t="s">
        <v>474</v>
      </c>
      <c r="D325" s="36" t="str">
        <f t="shared" si="30"/>
        <v>CP224-P Anti-D Standard</v>
      </c>
      <c r="E325" s="36" t="str">
        <f t="shared" si="31"/>
        <v>RETURN - 1st don of the week -STD</v>
      </c>
      <c r="F325" s="36" t="str">
        <f t="shared" si="32"/>
        <v>CP224-RETURN - 1st don of the week -STD</v>
      </c>
      <c r="G325" s="155">
        <f>IFERROR(VLOOKUP(F325,SpecialtyBaseLU,11,FALSE),0)</f>
        <v>50</v>
      </c>
      <c r="H325" s="5">
        <v>20</v>
      </c>
      <c r="J325" s="5">
        <f t="shared" si="33"/>
        <v>70</v>
      </c>
      <c r="K325" s="148">
        <f t="shared" si="34"/>
        <v>75</v>
      </c>
      <c r="L325" s="5">
        <f t="shared" si="35"/>
        <v>-5</v>
      </c>
    </row>
    <row r="326" spans="1:12" x14ac:dyDescent="0.25">
      <c r="A326" t="s">
        <v>290</v>
      </c>
      <c r="B326" t="s">
        <v>291</v>
      </c>
      <c r="C326" t="s">
        <v>475</v>
      </c>
      <c r="D326" s="36" t="str">
        <f t="shared" si="30"/>
        <v>CP224-P Vaccinia AP Standard</v>
      </c>
      <c r="E326" s="36">
        <f t="shared" si="31"/>
        <v>0</v>
      </c>
      <c r="F326" s="36" t="str">
        <f t="shared" si="32"/>
        <v>CP224-0</v>
      </c>
      <c r="G326" s="155">
        <f>IFERROR(VLOOKUP(F326,SpecialtyBaseLU,11,FALSE),0)</f>
        <v>0</v>
      </c>
      <c r="I326" s="5">
        <v>100</v>
      </c>
      <c r="J326" s="5">
        <f t="shared" si="33"/>
        <v>100</v>
      </c>
      <c r="K326" s="148">
        <f t="shared" si="34"/>
        <v>100</v>
      </c>
      <c r="L326" s="5">
        <f t="shared" si="35"/>
        <v>0</v>
      </c>
    </row>
    <row r="327" spans="1:12" x14ac:dyDescent="0.25">
      <c r="A327" t="s">
        <v>290</v>
      </c>
      <c r="B327" t="s">
        <v>291</v>
      </c>
      <c r="C327" t="s">
        <v>476</v>
      </c>
      <c r="D327" s="36" t="str">
        <f t="shared" si="30"/>
        <v>CP224-P Vaccinia Standard</v>
      </c>
      <c r="E327" s="36">
        <f t="shared" si="31"/>
        <v>0</v>
      </c>
      <c r="F327" s="36" t="str">
        <f t="shared" si="32"/>
        <v>CP224-0</v>
      </c>
      <c r="G327" s="155">
        <f>IFERROR(VLOOKUP(F327,SpecialtyBaseLU,11,FALSE),0)</f>
        <v>0</v>
      </c>
      <c r="I327" s="5">
        <v>100</v>
      </c>
      <c r="J327" s="5">
        <f t="shared" si="33"/>
        <v>100</v>
      </c>
      <c r="K327" s="148">
        <f t="shared" si="34"/>
        <v>100</v>
      </c>
      <c r="L327" s="5">
        <f t="shared" si="35"/>
        <v>0</v>
      </c>
    </row>
    <row r="328" spans="1:12" x14ac:dyDescent="0.25">
      <c r="A328" t="s">
        <v>290</v>
      </c>
      <c r="B328" t="s">
        <v>291</v>
      </c>
      <c r="C328" t="s">
        <v>495</v>
      </c>
      <c r="D328" s="36" t="str">
        <f t="shared" si="30"/>
        <v>CP224-P VZV Pre-Existing AP</v>
      </c>
      <c r="E328" s="36" t="str">
        <f t="shared" si="31"/>
        <v>RETURN - 1st don of the week -STD</v>
      </c>
      <c r="F328" s="36" t="str">
        <f t="shared" si="32"/>
        <v>CP224-RETURN - 1st don of the week -STD</v>
      </c>
      <c r="G328" s="155">
        <f>IFERROR(VLOOKUP(F328,SpecialtyBaseLU,11,FALSE),0)</f>
        <v>50</v>
      </c>
      <c r="H328" s="5">
        <v>10</v>
      </c>
      <c r="I328" s="5">
        <v>0</v>
      </c>
      <c r="J328" s="5">
        <f t="shared" si="33"/>
        <v>60</v>
      </c>
      <c r="K328" s="148">
        <f t="shared" si="34"/>
        <v>65</v>
      </c>
      <c r="L328" s="5">
        <f t="shared" si="35"/>
        <v>-5</v>
      </c>
    </row>
    <row r="329" spans="1:12" x14ac:dyDescent="0.25">
      <c r="A329" t="s">
        <v>290</v>
      </c>
      <c r="B329" t="s">
        <v>291</v>
      </c>
      <c r="C329" t="s">
        <v>497</v>
      </c>
      <c r="D329" s="36" t="str">
        <f t="shared" si="30"/>
        <v>CP224-PVZV Pre-Existing Standard</v>
      </c>
      <c r="E329" s="36" t="str">
        <f t="shared" si="31"/>
        <v>RETURN - 1st don of the week -STD</v>
      </c>
      <c r="F329" s="36" t="str">
        <f t="shared" si="32"/>
        <v>CP224-RETURN - 1st don of the week -STD</v>
      </c>
      <c r="G329" s="155">
        <f>IFERROR(VLOOKUP(F329,SpecialtyBaseLU,11,FALSE),0)</f>
        <v>50</v>
      </c>
      <c r="H329" s="5">
        <f>K329-G329</f>
        <v>15</v>
      </c>
      <c r="J329" s="5">
        <f t="shared" si="33"/>
        <v>65</v>
      </c>
      <c r="K329" s="148">
        <f t="shared" si="34"/>
        <v>65</v>
      </c>
      <c r="L329" s="5">
        <f t="shared" si="35"/>
        <v>0</v>
      </c>
    </row>
    <row r="330" spans="1:12" x14ac:dyDescent="0.25">
      <c r="A330" t="s">
        <v>290</v>
      </c>
      <c r="B330" t="s">
        <v>291</v>
      </c>
      <c r="C330" t="s">
        <v>477</v>
      </c>
      <c r="D330" s="36" t="str">
        <f t="shared" si="30"/>
        <v>CP224-Vaccinia - 1st Donation</v>
      </c>
      <c r="E330" s="36">
        <f t="shared" si="31"/>
        <v>0</v>
      </c>
      <c r="F330" s="36" t="str">
        <f t="shared" si="32"/>
        <v>CP224-0</v>
      </c>
      <c r="G330" s="155">
        <f>IFERROR(VLOOKUP(F330,SpecialtyBaseLU,11,FALSE),0)</f>
        <v>0</v>
      </c>
      <c r="I330" s="5">
        <v>150</v>
      </c>
      <c r="J330" s="5">
        <f t="shared" si="33"/>
        <v>150</v>
      </c>
      <c r="K330" s="148">
        <f t="shared" si="34"/>
        <v>150</v>
      </c>
      <c r="L330" s="5">
        <f t="shared" si="35"/>
        <v>0</v>
      </c>
    </row>
    <row r="331" spans="1:12" x14ac:dyDescent="0.25">
      <c r="A331" t="s">
        <v>290</v>
      </c>
      <c r="B331" t="s">
        <v>291</v>
      </c>
      <c r="C331" t="s">
        <v>478</v>
      </c>
      <c r="D331" s="36" t="str">
        <f t="shared" si="30"/>
        <v>CP224-Vaccinia - 2nd Donation</v>
      </c>
      <c r="E331" s="36">
        <f t="shared" si="31"/>
        <v>0</v>
      </c>
      <c r="F331" s="36" t="str">
        <f t="shared" si="32"/>
        <v>CP224-0</v>
      </c>
      <c r="G331" s="155">
        <f>IFERROR(VLOOKUP(F331,SpecialtyBaseLU,11,FALSE),0)</f>
        <v>0</v>
      </c>
      <c r="I331" s="5">
        <v>250</v>
      </c>
      <c r="J331" s="5">
        <f t="shared" si="33"/>
        <v>250</v>
      </c>
      <c r="K331" s="148">
        <f t="shared" si="34"/>
        <v>250</v>
      </c>
      <c r="L331" s="5">
        <f t="shared" si="35"/>
        <v>0</v>
      </c>
    </row>
    <row r="332" spans="1:12" x14ac:dyDescent="0.25">
      <c r="A332" t="s">
        <v>290</v>
      </c>
      <c r="B332" t="s">
        <v>291</v>
      </c>
      <c r="C332" t="s">
        <v>479</v>
      </c>
      <c r="D332" s="36" t="str">
        <f t="shared" si="30"/>
        <v>CP224-Vaccinia - 3rd Donation</v>
      </c>
      <c r="E332" s="36">
        <f t="shared" si="31"/>
        <v>0</v>
      </c>
      <c r="F332" s="36" t="str">
        <f t="shared" si="32"/>
        <v>CP224-0</v>
      </c>
      <c r="G332" s="155">
        <f>IFERROR(VLOOKUP(F332,SpecialtyBaseLU,11,FALSE),0)</f>
        <v>0</v>
      </c>
      <c r="I332" s="5">
        <v>300</v>
      </c>
      <c r="J332" s="5">
        <f t="shared" si="33"/>
        <v>300</v>
      </c>
      <c r="K332" s="148">
        <f t="shared" si="34"/>
        <v>300</v>
      </c>
      <c r="L332" s="5">
        <f t="shared" si="35"/>
        <v>0</v>
      </c>
    </row>
    <row r="333" spans="1:12" x14ac:dyDescent="0.25">
      <c r="A333" t="s">
        <v>290</v>
      </c>
      <c r="B333" t="s">
        <v>291</v>
      </c>
      <c r="C333" t="s">
        <v>480</v>
      </c>
      <c r="D333" s="36" t="str">
        <f t="shared" si="30"/>
        <v>CP224-Vaccinia - 4th Donation</v>
      </c>
      <c r="E333" s="36">
        <f t="shared" si="31"/>
        <v>0</v>
      </c>
      <c r="F333" s="36" t="str">
        <f t="shared" si="32"/>
        <v>CP224-0</v>
      </c>
      <c r="G333" s="155">
        <f>IFERROR(VLOOKUP(F333,SpecialtyBaseLU,11,FALSE),0)</f>
        <v>0</v>
      </c>
      <c r="I333" s="5">
        <v>300</v>
      </c>
      <c r="J333" s="5">
        <f t="shared" si="33"/>
        <v>300</v>
      </c>
      <c r="K333" s="148">
        <f t="shared" si="34"/>
        <v>300</v>
      </c>
      <c r="L333" s="5">
        <f t="shared" si="35"/>
        <v>0</v>
      </c>
    </row>
    <row r="334" spans="1:12" x14ac:dyDescent="0.25">
      <c r="A334" t="s">
        <v>290</v>
      </c>
      <c r="B334" t="s">
        <v>291</v>
      </c>
      <c r="C334" t="s">
        <v>481</v>
      </c>
      <c r="D334" s="36" t="str">
        <f t="shared" si="30"/>
        <v>CP224-Vaccinia AP - 1st Donation</v>
      </c>
      <c r="E334" s="36">
        <f t="shared" si="31"/>
        <v>0</v>
      </c>
      <c r="F334" s="36" t="str">
        <f t="shared" si="32"/>
        <v>CP224-0</v>
      </c>
      <c r="G334" s="155">
        <f>IFERROR(VLOOKUP(F334,SpecialtyBaseLU,11,FALSE),0)</f>
        <v>0</v>
      </c>
      <c r="I334" s="5">
        <v>150</v>
      </c>
      <c r="J334" s="5">
        <f t="shared" si="33"/>
        <v>150</v>
      </c>
      <c r="K334" s="148">
        <f t="shared" si="34"/>
        <v>150</v>
      </c>
      <c r="L334" s="5">
        <f t="shared" si="35"/>
        <v>0</v>
      </c>
    </row>
    <row r="335" spans="1:12" x14ac:dyDescent="0.25">
      <c r="A335" t="s">
        <v>290</v>
      </c>
      <c r="B335" t="s">
        <v>291</v>
      </c>
      <c r="C335" t="s">
        <v>482</v>
      </c>
      <c r="D335" s="36" t="str">
        <f t="shared" si="30"/>
        <v>CP224-Vaccinia AP - 2nd Donation</v>
      </c>
      <c r="E335" s="36">
        <f t="shared" si="31"/>
        <v>0</v>
      </c>
      <c r="F335" s="36" t="str">
        <f t="shared" si="32"/>
        <v>CP224-0</v>
      </c>
      <c r="G335" s="155">
        <f>IFERROR(VLOOKUP(F335,SpecialtyBaseLU,11,FALSE),0)</f>
        <v>0</v>
      </c>
      <c r="I335" s="5">
        <v>250</v>
      </c>
      <c r="J335" s="5">
        <f t="shared" si="33"/>
        <v>250</v>
      </c>
      <c r="K335" s="148">
        <f t="shared" si="34"/>
        <v>250</v>
      </c>
      <c r="L335" s="5">
        <f t="shared" si="35"/>
        <v>0</v>
      </c>
    </row>
    <row r="336" spans="1:12" x14ac:dyDescent="0.25">
      <c r="A336" t="s">
        <v>290</v>
      </c>
      <c r="B336" t="s">
        <v>291</v>
      </c>
      <c r="C336" t="s">
        <v>483</v>
      </c>
      <c r="D336" s="36" t="str">
        <f t="shared" si="30"/>
        <v>CP224-Vaccinia AP - 3rd Donation</v>
      </c>
      <c r="E336" s="36">
        <f t="shared" si="31"/>
        <v>0</v>
      </c>
      <c r="F336" s="36" t="str">
        <f t="shared" si="32"/>
        <v>CP224-0</v>
      </c>
      <c r="G336" s="155">
        <f>IFERROR(VLOOKUP(F336,SpecialtyBaseLU,11,FALSE),0)</f>
        <v>0</v>
      </c>
      <c r="I336" s="5">
        <v>300</v>
      </c>
      <c r="J336" s="5">
        <f t="shared" si="33"/>
        <v>300</v>
      </c>
      <c r="K336" s="148">
        <f t="shared" si="34"/>
        <v>300</v>
      </c>
      <c r="L336" s="5">
        <f t="shared" si="35"/>
        <v>0</v>
      </c>
    </row>
    <row r="337" spans="1:12" x14ac:dyDescent="0.25">
      <c r="A337" t="s">
        <v>290</v>
      </c>
      <c r="B337" t="s">
        <v>291</v>
      </c>
      <c r="C337" t="s">
        <v>484</v>
      </c>
      <c r="D337" s="36" t="str">
        <f t="shared" si="30"/>
        <v>CP224-Vaccinia AP - 4th Donation</v>
      </c>
      <c r="E337" s="36">
        <f t="shared" si="31"/>
        <v>0</v>
      </c>
      <c r="F337" s="36" t="str">
        <f t="shared" si="32"/>
        <v>CP224-0</v>
      </c>
      <c r="G337" s="155">
        <f>IFERROR(VLOOKUP(F337,SpecialtyBaseLU,11,FALSE),0)</f>
        <v>0</v>
      </c>
      <c r="I337" s="5">
        <v>300</v>
      </c>
      <c r="J337" s="5">
        <f t="shared" si="33"/>
        <v>300</v>
      </c>
      <c r="K337" s="148">
        <f t="shared" si="34"/>
        <v>300</v>
      </c>
      <c r="L337" s="5">
        <f t="shared" si="35"/>
        <v>0</v>
      </c>
    </row>
    <row r="338" spans="1:12" x14ac:dyDescent="0.25">
      <c r="A338" t="s">
        <v>519</v>
      </c>
      <c r="B338" t="s">
        <v>89</v>
      </c>
      <c r="C338" t="s">
        <v>490</v>
      </c>
      <c r="D338" s="36" t="str">
        <f t="shared" si="30"/>
        <v>CP225-2X Week P VZV Pre-Existing</v>
      </c>
      <c r="E338" s="36" t="str">
        <f t="shared" si="31"/>
        <v>RETURN - 2nd don of the week -BONUS</v>
      </c>
      <c r="F338" s="36" t="str">
        <f t="shared" si="32"/>
        <v>CP225-RETURN - 2nd don of the week -BONUS</v>
      </c>
      <c r="G338" s="155">
        <f>IFERROR(VLOOKUP(F338,SpecialtyBaseLU,11,FALSE),0)</f>
        <v>10</v>
      </c>
      <c r="H338" s="5">
        <v>0</v>
      </c>
      <c r="J338" s="5">
        <f t="shared" si="33"/>
        <v>10</v>
      </c>
      <c r="K338" s="148">
        <f t="shared" si="34"/>
        <v>10</v>
      </c>
      <c r="L338" s="5">
        <f t="shared" si="35"/>
        <v>0</v>
      </c>
    </row>
    <row r="339" spans="1:12" x14ac:dyDescent="0.25">
      <c r="A339" t="s">
        <v>519</v>
      </c>
      <c r="B339" t="s">
        <v>89</v>
      </c>
      <c r="C339" t="s">
        <v>491</v>
      </c>
      <c r="D339" s="36" t="str">
        <f t="shared" si="30"/>
        <v>CP225-2X Week P VZV Pre-Existing AP</v>
      </c>
      <c r="E339" s="36" t="str">
        <f t="shared" si="31"/>
        <v>RETURN - 2nd don of the week -BONUS</v>
      </c>
      <c r="F339" s="36" t="str">
        <f t="shared" si="32"/>
        <v>CP225-RETURN - 2nd don of the week -BONUS</v>
      </c>
      <c r="G339" s="155">
        <f>IFERROR(VLOOKUP(F339,SpecialtyBaseLU,11,FALSE),0)</f>
        <v>10</v>
      </c>
      <c r="H339" s="5">
        <v>0</v>
      </c>
      <c r="J339" s="5">
        <f t="shared" si="33"/>
        <v>10</v>
      </c>
      <c r="K339" s="148">
        <f t="shared" si="34"/>
        <v>10</v>
      </c>
      <c r="L339" s="5">
        <f t="shared" si="35"/>
        <v>0</v>
      </c>
    </row>
    <row r="340" spans="1:12" x14ac:dyDescent="0.25">
      <c r="A340" t="s">
        <v>519</v>
      </c>
      <c r="B340" t="s">
        <v>89</v>
      </c>
      <c r="C340" t="s">
        <v>469</v>
      </c>
      <c r="D340" s="36" t="str">
        <f t="shared" si="30"/>
        <v>CP225-P Anti-D Pre-Existing Standard</v>
      </c>
      <c r="E340" s="36" t="str">
        <f t="shared" si="31"/>
        <v>RETURN - 1st don of the week -STD</v>
      </c>
      <c r="F340" s="36" t="str">
        <f t="shared" si="32"/>
        <v>CP225-RETURN - 1st don of the week -STD</v>
      </c>
      <c r="G340" s="155">
        <f>IFERROR(VLOOKUP(F340,SpecialtyBaseLU,11,FALSE),0)</f>
        <v>60</v>
      </c>
      <c r="H340" s="5">
        <v>-10</v>
      </c>
      <c r="J340" s="5">
        <f t="shared" si="33"/>
        <v>50</v>
      </c>
      <c r="K340" s="148">
        <f t="shared" si="34"/>
        <v>50</v>
      </c>
      <c r="L340" s="5">
        <f t="shared" si="35"/>
        <v>0</v>
      </c>
    </row>
    <row r="341" spans="1:12" x14ac:dyDescent="0.25">
      <c r="A341" t="s">
        <v>519</v>
      </c>
      <c r="B341" t="s">
        <v>89</v>
      </c>
      <c r="C341" t="s">
        <v>475</v>
      </c>
      <c r="D341" s="36" t="str">
        <f t="shared" si="30"/>
        <v>CP225-P Vaccinia AP Standard</v>
      </c>
      <c r="E341" s="36">
        <f t="shared" si="31"/>
        <v>0</v>
      </c>
      <c r="F341" s="36" t="str">
        <f t="shared" si="32"/>
        <v>CP225-0</v>
      </c>
      <c r="G341" s="155">
        <f>IFERROR(VLOOKUP(F341,SpecialtyBaseLU,11,FALSE),0)</f>
        <v>0</v>
      </c>
      <c r="I341" s="5">
        <v>100</v>
      </c>
      <c r="J341" s="5">
        <f t="shared" si="33"/>
        <v>100</v>
      </c>
      <c r="K341" s="148">
        <f t="shared" si="34"/>
        <v>100</v>
      </c>
      <c r="L341" s="5">
        <f t="shared" si="35"/>
        <v>0</v>
      </c>
    </row>
    <row r="342" spans="1:12" x14ac:dyDescent="0.25">
      <c r="A342" t="s">
        <v>519</v>
      </c>
      <c r="B342" t="s">
        <v>89</v>
      </c>
      <c r="C342" t="s">
        <v>476</v>
      </c>
      <c r="D342" s="36" t="str">
        <f t="shared" si="30"/>
        <v>CP225-P Vaccinia Standard</v>
      </c>
      <c r="E342" s="36">
        <f t="shared" si="31"/>
        <v>0</v>
      </c>
      <c r="F342" s="36" t="str">
        <f t="shared" si="32"/>
        <v>CP225-0</v>
      </c>
      <c r="G342" s="155">
        <f>IFERROR(VLOOKUP(F342,SpecialtyBaseLU,11,FALSE),0)</f>
        <v>0</v>
      </c>
      <c r="I342" s="5">
        <v>100</v>
      </c>
      <c r="J342" s="5">
        <f t="shared" si="33"/>
        <v>100</v>
      </c>
      <c r="K342" s="148">
        <f t="shared" si="34"/>
        <v>100</v>
      </c>
      <c r="L342" s="5">
        <f t="shared" si="35"/>
        <v>0</v>
      </c>
    </row>
    <row r="343" spans="1:12" x14ac:dyDescent="0.25">
      <c r="A343" t="s">
        <v>519</v>
      </c>
      <c r="B343" t="s">
        <v>89</v>
      </c>
      <c r="C343" t="s">
        <v>495</v>
      </c>
      <c r="D343" s="36" t="str">
        <f t="shared" si="30"/>
        <v>CP225-P VZV Pre-Existing AP</v>
      </c>
      <c r="E343" s="36" t="str">
        <f t="shared" si="31"/>
        <v>RETURN - 1st don of the week -STD</v>
      </c>
      <c r="F343" s="36" t="str">
        <f t="shared" si="32"/>
        <v>CP225-RETURN - 1st don of the week -STD</v>
      </c>
      <c r="G343" s="155">
        <f>IFERROR(VLOOKUP(F343,SpecialtyBaseLU,11,FALSE),0)</f>
        <v>60</v>
      </c>
      <c r="H343" s="5">
        <v>10</v>
      </c>
      <c r="I343" s="5">
        <v>0</v>
      </c>
      <c r="J343" s="5">
        <f t="shared" si="33"/>
        <v>70</v>
      </c>
      <c r="K343" s="148">
        <f t="shared" si="34"/>
        <v>70</v>
      </c>
      <c r="L343" s="5">
        <f t="shared" si="35"/>
        <v>0</v>
      </c>
    </row>
    <row r="344" spans="1:12" x14ac:dyDescent="0.25">
      <c r="A344" t="s">
        <v>519</v>
      </c>
      <c r="B344" t="s">
        <v>89</v>
      </c>
      <c r="C344" t="s">
        <v>497</v>
      </c>
      <c r="D344" s="36" t="str">
        <f t="shared" si="30"/>
        <v>CP225-PVZV Pre-Existing Standard</v>
      </c>
      <c r="E344" s="36" t="str">
        <f t="shared" si="31"/>
        <v>RETURN - 1st don of the week -STD</v>
      </c>
      <c r="F344" s="36" t="str">
        <f t="shared" si="32"/>
        <v>CP225-RETURN - 1st don of the week -STD</v>
      </c>
      <c r="G344" s="155">
        <f>IFERROR(VLOOKUP(F344,SpecialtyBaseLU,11,FALSE),0)</f>
        <v>60</v>
      </c>
      <c r="H344" s="5">
        <f>K344-G344</f>
        <v>10</v>
      </c>
      <c r="J344" s="5">
        <f t="shared" si="33"/>
        <v>70</v>
      </c>
      <c r="K344" s="148">
        <f t="shared" si="34"/>
        <v>70</v>
      </c>
      <c r="L344" s="5">
        <f t="shared" si="35"/>
        <v>0</v>
      </c>
    </row>
    <row r="345" spans="1:12" x14ac:dyDescent="0.25">
      <c r="A345" t="s">
        <v>519</v>
      </c>
      <c r="B345" t="s">
        <v>89</v>
      </c>
      <c r="C345" t="s">
        <v>477</v>
      </c>
      <c r="D345" s="36" t="str">
        <f t="shared" si="30"/>
        <v>CP225-Vaccinia - 1st Donation</v>
      </c>
      <c r="E345" s="36">
        <f t="shared" si="31"/>
        <v>0</v>
      </c>
      <c r="F345" s="36" t="str">
        <f t="shared" si="32"/>
        <v>CP225-0</v>
      </c>
      <c r="G345" s="155">
        <f>IFERROR(VLOOKUP(F345,SpecialtyBaseLU,11,FALSE),0)</f>
        <v>0</v>
      </c>
      <c r="I345" s="5">
        <v>150</v>
      </c>
      <c r="J345" s="5">
        <f t="shared" si="33"/>
        <v>150</v>
      </c>
      <c r="K345" s="148">
        <f t="shared" si="34"/>
        <v>150</v>
      </c>
      <c r="L345" s="5">
        <f t="shared" si="35"/>
        <v>0</v>
      </c>
    </row>
    <row r="346" spans="1:12" x14ac:dyDescent="0.25">
      <c r="A346" t="s">
        <v>519</v>
      </c>
      <c r="B346" t="s">
        <v>89</v>
      </c>
      <c r="C346" t="s">
        <v>478</v>
      </c>
      <c r="D346" s="36" t="str">
        <f t="shared" si="30"/>
        <v>CP225-Vaccinia - 2nd Donation</v>
      </c>
      <c r="E346" s="36">
        <f t="shared" si="31"/>
        <v>0</v>
      </c>
      <c r="F346" s="36" t="str">
        <f t="shared" si="32"/>
        <v>CP225-0</v>
      </c>
      <c r="G346" s="155">
        <f>IFERROR(VLOOKUP(F346,SpecialtyBaseLU,11,FALSE),0)</f>
        <v>0</v>
      </c>
      <c r="I346" s="5">
        <v>250</v>
      </c>
      <c r="J346" s="5">
        <f t="shared" si="33"/>
        <v>250</v>
      </c>
      <c r="K346" s="148">
        <f t="shared" si="34"/>
        <v>250</v>
      </c>
      <c r="L346" s="5">
        <f t="shared" si="35"/>
        <v>0</v>
      </c>
    </row>
    <row r="347" spans="1:12" x14ac:dyDescent="0.25">
      <c r="A347" t="s">
        <v>519</v>
      </c>
      <c r="B347" t="s">
        <v>89</v>
      </c>
      <c r="C347" t="s">
        <v>479</v>
      </c>
      <c r="D347" s="36" t="str">
        <f t="shared" si="30"/>
        <v>CP225-Vaccinia - 3rd Donation</v>
      </c>
      <c r="E347" s="36">
        <f t="shared" si="31"/>
        <v>0</v>
      </c>
      <c r="F347" s="36" t="str">
        <f t="shared" si="32"/>
        <v>CP225-0</v>
      </c>
      <c r="G347" s="155">
        <f>IFERROR(VLOOKUP(F347,SpecialtyBaseLU,11,FALSE),0)</f>
        <v>0</v>
      </c>
      <c r="I347" s="5">
        <v>300</v>
      </c>
      <c r="J347" s="5">
        <f t="shared" si="33"/>
        <v>300</v>
      </c>
      <c r="K347" s="148">
        <f t="shared" si="34"/>
        <v>300</v>
      </c>
      <c r="L347" s="5">
        <f t="shared" si="35"/>
        <v>0</v>
      </c>
    </row>
    <row r="348" spans="1:12" x14ac:dyDescent="0.25">
      <c r="A348" t="s">
        <v>519</v>
      </c>
      <c r="B348" t="s">
        <v>89</v>
      </c>
      <c r="C348" t="s">
        <v>480</v>
      </c>
      <c r="D348" s="36" t="str">
        <f t="shared" si="30"/>
        <v>CP225-Vaccinia - 4th Donation</v>
      </c>
      <c r="E348" s="36">
        <f t="shared" si="31"/>
        <v>0</v>
      </c>
      <c r="F348" s="36" t="str">
        <f t="shared" si="32"/>
        <v>CP225-0</v>
      </c>
      <c r="G348" s="155">
        <f>IFERROR(VLOOKUP(F348,SpecialtyBaseLU,11,FALSE),0)</f>
        <v>0</v>
      </c>
      <c r="I348" s="5">
        <v>300</v>
      </c>
      <c r="J348" s="5">
        <f t="shared" si="33"/>
        <v>300</v>
      </c>
      <c r="K348" s="148">
        <f t="shared" si="34"/>
        <v>300</v>
      </c>
      <c r="L348" s="5">
        <f t="shared" si="35"/>
        <v>0</v>
      </c>
    </row>
    <row r="349" spans="1:12" x14ac:dyDescent="0.25">
      <c r="A349" t="s">
        <v>519</v>
      </c>
      <c r="B349" t="s">
        <v>89</v>
      </c>
      <c r="C349" t="s">
        <v>481</v>
      </c>
      <c r="D349" s="36" t="str">
        <f t="shared" si="30"/>
        <v>CP225-Vaccinia AP - 1st Donation</v>
      </c>
      <c r="E349" s="36">
        <f t="shared" si="31"/>
        <v>0</v>
      </c>
      <c r="F349" s="36" t="str">
        <f t="shared" si="32"/>
        <v>CP225-0</v>
      </c>
      <c r="G349" s="155">
        <f>IFERROR(VLOOKUP(F349,SpecialtyBaseLU,11,FALSE),0)</f>
        <v>0</v>
      </c>
      <c r="I349" s="5">
        <v>150</v>
      </c>
      <c r="J349" s="5">
        <f t="shared" si="33"/>
        <v>150</v>
      </c>
      <c r="K349" s="148">
        <f t="shared" si="34"/>
        <v>150</v>
      </c>
      <c r="L349" s="5">
        <f t="shared" si="35"/>
        <v>0</v>
      </c>
    </row>
    <row r="350" spans="1:12" x14ac:dyDescent="0.25">
      <c r="A350" t="s">
        <v>519</v>
      </c>
      <c r="B350" t="s">
        <v>89</v>
      </c>
      <c r="C350" t="s">
        <v>482</v>
      </c>
      <c r="D350" s="36" t="str">
        <f t="shared" si="30"/>
        <v>CP225-Vaccinia AP - 2nd Donation</v>
      </c>
      <c r="E350" s="36">
        <f t="shared" si="31"/>
        <v>0</v>
      </c>
      <c r="F350" s="36" t="str">
        <f t="shared" si="32"/>
        <v>CP225-0</v>
      </c>
      <c r="G350" s="155">
        <f>IFERROR(VLOOKUP(F350,SpecialtyBaseLU,11,FALSE),0)</f>
        <v>0</v>
      </c>
      <c r="I350" s="5">
        <v>250</v>
      </c>
      <c r="J350" s="5">
        <f t="shared" si="33"/>
        <v>250</v>
      </c>
      <c r="K350" s="148">
        <f t="shared" si="34"/>
        <v>250</v>
      </c>
      <c r="L350" s="5">
        <f t="shared" si="35"/>
        <v>0</v>
      </c>
    </row>
    <row r="351" spans="1:12" x14ac:dyDescent="0.25">
      <c r="A351" t="s">
        <v>519</v>
      </c>
      <c r="B351" t="s">
        <v>89</v>
      </c>
      <c r="C351" t="s">
        <v>483</v>
      </c>
      <c r="D351" s="36" t="str">
        <f t="shared" si="30"/>
        <v>CP225-Vaccinia AP - 3rd Donation</v>
      </c>
      <c r="E351" s="36">
        <f t="shared" si="31"/>
        <v>0</v>
      </c>
      <c r="F351" s="36" t="str">
        <f t="shared" si="32"/>
        <v>CP225-0</v>
      </c>
      <c r="G351" s="155">
        <f>IFERROR(VLOOKUP(F351,SpecialtyBaseLU,11,FALSE),0)</f>
        <v>0</v>
      </c>
      <c r="I351" s="5">
        <v>300</v>
      </c>
      <c r="J351" s="5">
        <f t="shared" si="33"/>
        <v>300</v>
      </c>
      <c r="K351" s="148">
        <f t="shared" si="34"/>
        <v>300</v>
      </c>
      <c r="L351" s="5">
        <f t="shared" si="35"/>
        <v>0</v>
      </c>
    </row>
    <row r="352" spans="1:12" x14ac:dyDescent="0.25">
      <c r="A352" t="s">
        <v>519</v>
      </c>
      <c r="B352" t="s">
        <v>89</v>
      </c>
      <c r="C352" t="s">
        <v>484</v>
      </c>
      <c r="D352" s="36" t="str">
        <f t="shared" si="30"/>
        <v>CP225-Vaccinia AP - 4th Donation</v>
      </c>
      <c r="E352" s="36">
        <f t="shared" si="31"/>
        <v>0</v>
      </c>
      <c r="F352" s="36" t="str">
        <f t="shared" si="32"/>
        <v>CP225-0</v>
      </c>
      <c r="G352" s="155">
        <f>IFERROR(VLOOKUP(F352,SpecialtyBaseLU,11,FALSE),0)</f>
        <v>0</v>
      </c>
      <c r="I352" s="5">
        <v>300</v>
      </c>
      <c r="J352" s="5">
        <f t="shared" si="33"/>
        <v>300</v>
      </c>
      <c r="K352" s="148">
        <f t="shared" si="34"/>
        <v>300</v>
      </c>
      <c r="L352" s="5">
        <f t="shared" si="35"/>
        <v>0</v>
      </c>
    </row>
    <row r="353" spans="1:12" x14ac:dyDescent="0.25">
      <c r="A353" t="s">
        <v>207</v>
      </c>
      <c r="B353" t="s">
        <v>208</v>
      </c>
      <c r="C353" t="s">
        <v>471</v>
      </c>
      <c r="D353" s="36" t="str">
        <f t="shared" si="30"/>
        <v>CP869-2X Week P HBS Pre-Existing</v>
      </c>
      <c r="E353" s="36" t="str">
        <f t="shared" si="31"/>
        <v>RETURN - 2nd don of the week -BONUS</v>
      </c>
      <c r="F353" s="36" t="str">
        <f t="shared" si="32"/>
        <v>CP869-RETURN - 2nd don of the week -BONUS</v>
      </c>
      <c r="G353" s="155">
        <f>IFERROR(VLOOKUP(F353,SpecialtyBaseLU,11,FALSE),0)</f>
        <v>20</v>
      </c>
      <c r="H353" s="5">
        <v>10</v>
      </c>
      <c r="J353" s="5">
        <f t="shared" si="33"/>
        <v>30</v>
      </c>
      <c r="K353" s="148">
        <f t="shared" si="34"/>
        <v>30</v>
      </c>
      <c r="L353" s="5">
        <f t="shared" si="35"/>
        <v>0</v>
      </c>
    </row>
    <row r="354" spans="1:12" x14ac:dyDescent="0.25">
      <c r="A354" t="s">
        <v>207</v>
      </c>
      <c r="B354" t="s">
        <v>208</v>
      </c>
      <c r="C354" t="s">
        <v>504</v>
      </c>
      <c r="D354" s="36" t="str">
        <f t="shared" si="30"/>
        <v>CP869-2X Week P HBS TWINRX</v>
      </c>
      <c r="E354" s="36" t="str">
        <f t="shared" si="31"/>
        <v>RETURN - 2nd don of the week -BONUS</v>
      </c>
      <c r="F354" s="36" t="str">
        <f t="shared" si="32"/>
        <v>CP869-RETURN - 2nd don of the week -BONUS</v>
      </c>
      <c r="G354" s="155">
        <f>IFERROR(VLOOKUP(F354,SpecialtyBaseLU,11,FALSE),0)</f>
        <v>20</v>
      </c>
      <c r="H354" s="5">
        <v>10</v>
      </c>
      <c r="J354" s="5">
        <f t="shared" si="33"/>
        <v>30</v>
      </c>
      <c r="K354" s="148">
        <f t="shared" si="34"/>
        <v>30</v>
      </c>
      <c r="L354" s="5">
        <f t="shared" si="35"/>
        <v>0</v>
      </c>
    </row>
    <row r="355" spans="1:12" x14ac:dyDescent="0.25">
      <c r="A355" t="s">
        <v>207</v>
      </c>
      <c r="B355" t="s">
        <v>208</v>
      </c>
      <c r="C355" t="s">
        <v>505</v>
      </c>
      <c r="D355" s="36" t="str">
        <f t="shared" si="30"/>
        <v>CP869-2X Week P HBS TWINRX-AP</v>
      </c>
      <c r="E355" s="36" t="str">
        <f t="shared" si="31"/>
        <v>RETURN - 2nd don of the week -BONUS</v>
      </c>
      <c r="F355" s="36" t="str">
        <f t="shared" si="32"/>
        <v>CP869-RETURN - 2nd don of the week -BONUS</v>
      </c>
      <c r="G355" s="155">
        <f>IFERROR(VLOOKUP(F355,SpecialtyBaseLU,11,FALSE),0)</f>
        <v>20</v>
      </c>
      <c r="H355" s="5">
        <v>10</v>
      </c>
      <c r="J355" s="5">
        <f t="shared" si="33"/>
        <v>30</v>
      </c>
      <c r="K355" s="148">
        <f t="shared" si="34"/>
        <v>30</v>
      </c>
      <c r="L355" s="5">
        <f t="shared" si="35"/>
        <v>0</v>
      </c>
    </row>
    <row r="356" spans="1:12" x14ac:dyDescent="0.25">
      <c r="A356" t="s">
        <v>207</v>
      </c>
      <c r="B356" t="s">
        <v>208</v>
      </c>
      <c r="C356" t="s">
        <v>469</v>
      </c>
      <c r="D356" s="36" t="str">
        <f t="shared" si="30"/>
        <v>CP869-P Anti-D Pre-Existing Standard</v>
      </c>
      <c r="E356" s="36" t="str">
        <f t="shared" si="31"/>
        <v>RETURN - 1st don of the week -STD</v>
      </c>
      <c r="F356" s="36" t="str">
        <f t="shared" si="32"/>
        <v>CP869-RETURN - 1st don of the week -STD</v>
      </c>
      <c r="G356" s="155">
        <f>IFERROR(VLOOKUP(F356,SpecialtyBaseLU,11,FALSE),0)</f>
        <v>50</v>
      </c>
      <c r="H356" s="5">
        <v>0</v>
      </c>
      <c r="J356" s="5">
        <f t="shared" si="33"/>
        <v>50</v>
      </c>
      <c r="K356" s="148">
        <f t="shared" si="34"/>
        <v>50</v>
      </c>
      <c r="L356" s="5">
        <f t="shared" si="35"/>
        <v>0</v>
      </c>
    </row>
    <row r="357" spans="1:12" x14ac:dyDescent="0.25">
      <c r="A357" t="s">
        <v>207</v>
      </c>
      <c r="B357" t="s">
        <v>208</v>
      </c>
      <c r="C357" t="s">
        <v>472</v>
      </c>
      <c r="D357" s="36" t="str">
        <f t="shared" si="30"/>
        <v>CP869-P HBS Pre-Existing Standard</v>
      </c>
      <c r="E357" s="36" t="str">
        <f t="shared" si="31"/>
        <v>RETURN - 1st don of the week -STD</v>
      </c>
      <c r="F357" s="36" t="str">
        <f t="shared" si="32"/>
        <v>CP869-RETURN - 1st don of the week -STD</v>
      </c>
      <c r="G357" s="155">
        <f>IFERROR(VLOOKUP(F357,SpecialtyBaseLU,11,FALSE),0)</f>
        <v>50</v>
      </c>
      <c r="H357" s="5">
        <v>5</v>
      </c>
      <c r="J357" s="5">
        <f t="shared" si="33"/>
        <v>55</v>
      </c>
      <c r="K357" s="148">
        <f t="shared" si="34"/>
        <v>55</v>
      </c>
      <c r="L357" s="5">
        <f t="shared" si="35"/>
        <v>0</v>
      </c>
    </row>
    <row r="358" spans="1:12" x14ac:dyDescent="0.25">
      <c r="A358" t="s">
        <v>207</v>
      </c>
      <c r="B358" t="s">
        <v>208</v>
      </c>
      <c r="C358" t="s">
        <v>473</v>
      </c>
      <c r="D358" s="36" t="str">
        <f t="shared" si="30"/>
        <v>CP869-P HBS Standard</v>
      </c>
      <c r="E358" s="36" t="str">
        <f t="shared" si="31"/>
        <v>RETURN - 1st don of the week -STD</v>
      </c>
      <c r="F358" s="36" t="str">
        <f t="shared" si="32"/>
        <v>CP869-RETURN - 1st don of the week -STD</v>
      </c>
      <c r="G358" s="155">
        <f>IFERROR(VLOOKUP(F358,SpecialtyBaseLU,11,FALSE),0)</f>
        <v>50</v>
      </c>
      <c r="H358" s="5">
        <v>5</v>
      </c>
      <c r="J358" s="5">
        <f t="shared" si="33"/>
        <v>55</v>
      </c>
      <c r="K358" s="148">
        <f t="shared" si="34"/>
        <v>55</v>
      </c>
      <c r="L358" s="5">
        <f t="shared" si="35"/>
        <v>0</v>
      </c>
    </row>
    <row r="359" spans="1:12" x14ac:dyDescent="0.25">
      <c r="A359" t="s">
        <v>207</v>
      </c>
      <c r="B359" t="s">
        <v>208</v>
      </c>
      <c r="C359" t="s">
        <v>506</v>
      </c>
      <c r="D359" s="36" t="str">
        <f t="shared" si="30"/>
        <v>CP869-P HBS TWINRIX Standard</v>
      </c>
      <c r="E359" s="36" t="str">
        <f t="shared" si="31"/>
        <v>RETURN - 1st don of the week -STD</v>
      </c>
      <c r="F359" s="36" t="str">
        <f t="shared" si="32"/>
        <v>CP869-RETURN - 1st don of the week -STD</v>
      </c>
      <c r="G359" s="155">
        <f>IFERROR(VLOOKUP(F359,SpecialtyBaseLU,11,FALSE),0)</f>
        <v>50</v>
      </c>
      <c r="H359" s="5">
        <v>5</v>
      </c>
      <c r="J359" s="5">
        <f t="shared" si="33"/>
        <v>55</v>
      </c>
      <c r="K359" s="148">
        <f t="shared" si="34"/>
        <v>55</v>
      </c>
      <c r="L359" s="5">
        <f t="shared" si="35"/>
        <v>0</v>
      </c>
    </row>
    <row r="360" spans="1:12" x14ac:dyDescent="0.25">
      <c r="A360" t="s">
        <v>207</v>
      </c>
      <c r="B360" t="s">
        <v>208</v>
      </c>
      <c r="C360" t="s">
        <v>507</v>
      </c>
      <c r="D360" s="36" t="str">
        <f t="shared" si="30"/>
        <v>CP869-P HBS TWINRIX-AP Standard</v>
      </c>
      <c r="E360" s="36" t="str">
        <f t="shared" si="31"/>
        <v>RETURN - 1st don of the week -STD</v>
      </c>
      <c r="F360" s="36" t="str">
        <f t="shared" si="32"/>
        <v>CP869-RETURN - 1st don of the week -STD</v>
      </c>
      <c r="G360" s="155">
        <f>IFERROR(VLOOKUP(F360,SpecialtyBaseLU,11,FALSE),0)</f>
        <v>50</v>
      </c>
      <c r="H360" s="5">
        <f>K360-G360</f>
        <v>5</v>
      </c>
      <c r="J360" s="5">
        <f t="shared" si="33"/>
        <v>55</v>
      </c>
      <c r="K360" s="148">
        <f t="shared" si="34"/>
        <v>55</v>
      </c>
      <c r="L360" s="5">
        <f t="shared" si="35"/>
        <v>0</v>
      </c>
    </row>
    <row r="361" spans="1:12" x14ac:dyDescent="0.25">
      <c r="A361" t="s">
        <v>295</v>
      </c>
      <c r="B361" t="s">
        <v>296</v>
      </c>
      <c r="C361" t="s">
        <v>469</v>
      </c>
      <c r="D361" s="36" t="str">
        <f t="shared" si="30"/>
        <v>CP226-P Anti-D Pre-Existing Standard</v>
      </c>
      <c r="E361" s="36" t="str">
        <f t="shared" si="31"/>
        <v>RETURN - 1st don of the week -STD</v>
      </c>
      <c r="F361" s="36" t="str">
        <f t="shared" si="32"/>
        <v>CP226-RETURN - 1st don of the week -STD</v>
      </c>
      <c r="G361" s="155">
        <f>IFERROR(VLOOKUP(F361,SpecialtyBaseLU,11,FALSE),0)</f>
        <v>50</v>
      </c>
      <c r="H361" s="5">
        <v>0</v>
      </c>
      <c r="J361" s="5">
        <f t="shared" si="33"/>
        <v>50</v>
      </c>
      <c r="K361" s="148">
        <f t="shared" si="34"/>
        <v>50</v>
      </c>
      <c r="L361" s="5">
        <f t="shared" si="35"/>
        <v>0</v>
      </c>
    </row>
    <row r="362" spans="1:12" x14ac:dyDescent="0.25">
      <c r="A362" t="s">
        <v>295</v>
      </c>
      <c r="B362" t="s">
        <v>296</v>
      </c>
      <c r="C362" t="s">
        <v>474</v>
      </c>
      <c r="D362" s="36" t="str">
        <f t="shared" si="30"/>
        <v>CP226-P Anti-D Standard</v>
      </c>
      <c r="E362" s="36" t="str">
        <f t="shared" si="31"/>
        <v>RETURN - 1st don of the week -STD</v>
      </c>
      <c r="F362" s="36" t="str">
        <f t="shared" si="32"/>
        <v>CP226-RETURN - 1st don of the week -STD</v>
      </c>
      <c r="G362" s="155">
        <f>IFERROR(VLOOKUP(F362,SpecialtyBaseLU,11,FALSE),0)</f>
        <v>50</v>
      </c>
      <c r="H362" s="5">
        <v>25</v>
      </c>
      <c r="J362" s="5">
        <f t="shared" si="33"/>
        <v>75</v>
      </c>
      <c r="K362" s="148">
        <f t="shared" si="34"/>
        <v>75</v>
      </c>
      <c r="L362" s="5">
        <f t="shared" si="35"/>
        <v>0</v>
      </c>
    </row>
    <row r="363" spans="1:12" x14ac:dyDescent="0.25">
      <c r="A363" t="s">
        <v>295</v>
      </c>
      <c r="B363" t="s">
        <v>296</v>
      </c>
      <c r="C363" t="s">
        <v>472</v>
      </c>
      <c r="D363" s="36" t="str">
        <f t="shared" si="30"/>
        <v>CP226-P HBS Pre-Existing Standard</v>
      </c>
      <c r="E363" s="36" t="str">
        <f t="shared" si="31"/>
        <v>RETURN - 1st don of the week -STD</v>
      </c>
      <c r="F363" s="36" t="str">
        <f t="shared" si="32"/>
        <v>CP226-RETURN - 1st don of the week -STD</v>
      </c>
      <c r="G363" s="155">
        <f>IFERROR(VLOOKUP(F363,SpecialtyBaseLU,11,FALSE),0)</f>
        <v>50</v>
      </c>
      <c r="H363" s="5">
        <v>20</v>
      </c>
      <c r="J363" s="5">
        <f t="shared" si="33"/>
        <v>70</v>
      </c>
      <c r="K363" s="148">
        <f t="shared" si="34"/>
        <v>70</v>
      </c>
      <c r="L363" s="5">
        <f t="shared" si="35"/>
        <v>0</v>
      </c>
    </row>
    <row r="364" spans="1:12" x14ac:dyDescent="0.25">
      <c r="A364" t="s">
        <v>295</v>
      </c>
      <c r="B364" t="s">
        <v>296</v>
      </c>
      <c r="C364" t="s">
        <v>506</v>
      </c>
      <c r="D364" s="36" t="str">
        <f t="shared" si="30"/>
        <v>CP226-P HBS TWINRIX Standard</v>
      </c>
      <c r="E364" s="36" t="str">
        <f t="shared" si="31"/>
        <v>RETURN - 1st don of the week -STD</v>
      </c>
      <c r="F364" s="36" t="str">
        <f t="shared" si="32"/>
        <v>CP226-RETURN - 1st don of the week -STD</v>
      </c>
      <c r="G364" s="155">
        <f>IFERROR(VLOOKUP(F364,SpecialtyBaseLU,11,FALSE),0)</f>
        <v>50</v>
      </c>
      <c r="H364" s="5">
        <v>20</v>
      </c>
      <c r="J364" s="5">
        <f t="shared" si="33"/>
        <v>70</v>
      </c>
      <c r="K364" s="148">
        <f t="shared" si="34"/>
        <v>70</v>
      </c>
      <c r="L364" s="5">
        <f t="shared" si="35"/>
        <v>0</v>
      </c>
    </row>
    <row r="365" spans="1:12" x14ac:dyDescent="0.25">
      <c r="A365" t="s">
        <v>295</v>
      </c>
      <c r="B365" t="s">
        <v>296</v>
      </c>
      <c r="C365" t="s">
        <v>507</v>
      </c>
      <c r="D365" s="36" t="str">
        <f t="shared" si="30"/>
        <v>CP226-P HBS TWINRIX-AP Standard</v>
      </c>
      <c r="E365" s="36" t="str">
        <f t="shared" si="31"/>
        <v>RETURN - 1st don of the week -STD</v>
      </c>
      <c r="F365" s="36" t="str">
        <f t="shared" si="32"/>
        <v>CP226-RETURN - 1st don of the week -STD</v>
      </c>
      <c r="G365" s="155">
        <f>IFERROR(VLOOKUP(F365,SpecialtyBaseLU,11,FALSE),0)</f>
        <v>50</v>
      </c>
      <c r="H365" s="5">
        <f>K365-G365</f>
        <v>20</v>
      </c>
      <c r="J365" s="5">
        <f t="shared" si="33"/>
        <v>70</v>
      </c>
      <c r="K365" s="148">
        <f t="shared" si="34"/>
        <v>70</v>
      </c>
      <c r="L365" s="5">
        <f t="shared" si="35"/>
        <v>0</v>
      </c>
    </row>
    <row r="366" spans="1:12" x14ac:dyDescent="0.25">
      <c r="A366" t="s">
        <v>295</v>
      </c>
      <c r="B366" t="s">
        <v>296</v>
      </c>
      <c r="C366" t="s">
        <v>475</v>
      </c>
      <c r="D366" s="36" t="str">
        <f t="shared" si="30"/>
        <v>CP226-P Vaccinia AP Standard</v>
      </c>
      <c r="E366" s="36">
        <f t="shared" si="31"/>
        <v>0</v>
      </c>
      <c r="F366" s="36" t="str">
        <f t="shared" si="32"/>
        <v>CP226-0</v>
      </c>
      <c r="G366" s="155">
        <f>IFERROR(VLOOKUP(F366,SpecialtyBaseLU,11,FALSE),0)</f>
        <v>0</v>
      </c>
      <c r="I366" s="5">
        <v>100</v>
      </c>
      <c r="J366" s="5">
        <f t="shared" si="33"/>
        <v>100</v>
      </c>
      <c r="K366" s="148">
        <f t="shared" si="34"/>
        <v>100</v>
      </c>
      <c r="L366" s="5">
        <f t="shared" si="35"/>
        <v>0</v>
      </c>
    </row>
    <row r="367" spans="1:12" x14ac:dyDescent="0.25">
      <c r="A367" t="s">
        <v>295</v>
      </c>
      <c r="B367" t="s">
        <v>296</v>
      </c>
      <c r="C367" t="s">
        <v>476</v>
      </c>
      <c r="D367" s="36" t="str">
        <f t="shared" si="30"/>
        <v>CP226-P Vaccinia Standard</v>
      </c>
      <c r="E367" s="36">
        <f t="shared" si="31"/>
        <v>0</v>
      </c>
      <c r="F367" s="36" t="str">
        <f t="shared" si="32"/>
        <v>CP226-0</v>
      </c>
      <c r="G367" s="155">
        <f>IFERROR(VLOOKUP(F367,SpecialtyBaseLU,11,FALSE),0)</f>
        <v>0</v>
      </c>
      <c r="I367" s="5">
        <v>100</v>
      </c>
      <c r="J367" s="5">
        <f t="shared" si="33"/>
        <v>100</v>
      </c>
      <c r="K367" s="148">
        <f t="shared" si="34"/>
        <v>100</v>
      </c>
      <c r="L367" s="5">
        <f t="shared" si="35"/>
        <v>0</v>
      </c>
    </row>
    <row r="368" spans="1:12" x14ac:dyDescent="0.25">
      <c r="A368" t="s">
        <v>295</v>
      </c>
      <c r="B368" t="s">
        <v>296</v>
      </c>
      <c r="C368" t="s">
        <v>495</v>
      </c>
      <c r="D368" s="36" t="str">
        <f t="shared" si="30"/>
        <v>CP226-P VZV Pre-Existing AP</v>
      </c>
      <c r="E368" s="36" t="str">
        <f t="shared" si="31"/>
        <v>RETURN - 1st don of the week -STD</v>
      </c>
      <c r="F368" s="36" t="str">
        <f t="shared" si="32"/>
        <v>CP226-RETURN - 1st don of the week -STD</v>
      </c>
      <c r="G368" s="155">
        <f>IFERROR(VLOOKUP(F368,SpecialtyBaseLU,11,FALSE),0)</f>
        <v>50</v>
      </c>
      <c r="H368" s="5">
        <v>10</v>
      </c>
      <c r="I368" s="5">
        <v>0</v>
      </c>
      <c r="J368" s="5">
        <f t="shared" si="33"/>
        <v>60</v>
      </c>
      <c r="K368" s="148">
        <f t="shared" si="34"/>
        <v>60</v>
      </c>
      <c r="L368" s="5">
        <f t="shared" si="35"/>
        <v>0</v>
      </c>
    </row>
    <row r="369" spans="1:12" x14ac:dyDescent="0.25">
      <c r="A369" t="s">
        <v>295</v>
      </c>
      <c r="B369" t="s">
        <v>296</v>
      </c>
      <c r="C369" t="s">
        <v>497</v>
      </c>
      <c r="D369" s="36" t="str">
        <f t="shared" si="30"/>
        <v>CP226-PVZV Pre-Existing Standard</v>
      </c>
      <c r="E369" s="36" t="str">
        <f t="shared" si="31"/>
        <v>RETURN - 1st don of the week -STD</v>
      </c>
      <c r="F369" s="36" t="str">
        <f t="shared" si="32"/>
        <v>CP226-RETURN - 1st don of the week -STD</v>
      </c>
      <c r="G369" s="155">
        <f>IFERROR(VLOOKUP(F369,SpecialtyBaseLU,11,FALSE),0)</f>
        <v>50</v>
      </c>
      <c r="H369" s="5">
        <f>K369-G369</f>
        <v>10</v>
      </c>
      <c r="J369" s="5">
        <f t="shared" si="33"/>
        <v>60</v>
      </c>
      <c r="K369" s="148">
        <f t="shared" si="34"/>
        <v>60</v>
      </c>
      <c r="L369" s="5">
        <f t="shared" si="35"/>
        <v>0</v>
      </c>
    </row>
    <row r="370" spans="1:12" x14ac:dyDescent="0.25">
      <c r="A370" t="s">
        <v>295</v>
      </c>
      <c r="B370" t="s">
        <v>296</v>
      </c>
      <c r="C370" t="s">
        <v>477</v>
      </c>
      <c r="D370" s="36" t="str">
        <f t="shared" si="30"/>
        <v>CP226-Vaccinia - 1st Donation</v>
      </c>
      <c r="E370" s="36">
        <f t="shared" si="31"/>
        <v>0</v>
      </c>
      <c r="F370" s="36" t="str">
        <f t="shared" si="32"/>
        <v>CP226-0</v>
      </c>
      <c r="G370" s="155">
        <f>IFERROR(VLOOKUP(F370,SpecialtyBaseLU,11,FALSE),0)</f>
        <v>0</v>
      </c>
      <c r="I370" s="5">
        <v>150</v>
      </c>
      <c r="J370" s="5">
        <f t="shared" si="33"/>
        <v>150</v>
      </c>
      <c r="K370" s="148">
        <f t="shared" si="34"/>
        <v>150</v>
      </c>
      <c r="L370" s="5">
        <f t="shared" si="35"/>
        <v>0</v>
      </c>
    </row>
    <row r="371" spans="1:12" x14ac:dyDescent="0.25">
      <c r="A371" t="s">
        <v>295</v>
      </c>
      <c r="B371" t="s">
        <v>296</v>
      </c>
      <c r="C371" t="s">
        <v>478</v>
      </c>
      <c r="D371" s="36" t="str">
        <f t="shared" si="30"/>
        <v>CP226-Vaccinia - 2nd Donation</v>
      </c>
      <c r="E371" s="36">
        <f t="shared" si="31"/>
        <v>0</v>
      </c>
      <c r="F371" s="36" t="str">
        <f t="shared" si="32"/>
        <v>CP226-0</v>
      </c>
      <c r="G371" s="155">
        <f>IFERROR(VLOOKUP(F371,SpecialtyBaseLU,11,FALSE),0)</f>
        <v>0</v>
      </c>
      <c r="I371" s="5">
        <v>250</v>
      </c>
      <c r="J371" s="5">
        <f t="shared" si="33"/>
        <v>250</v>
      </c>
      <c r="K371" s="148">
        <f t="shared" si="34"/>
        <v>250</v>
      </c>
      <c r="L371" s="5">
        <f t="shared" si="35"/>
        <v>0</v>
      </c>
    </row>
    <row r="372" spans="1:12" x14ac:dyDescent="0.25">
      <c r="A372" t="s">
        <v>295</v>
      </c>
      <c r="B372" t="s">
        <v>296</v>
      </c>
      <c r="C372" t="s">
        <v>479</v>
      </c>
      <c r="D372" s="36" t="str">
        <f t="shared" si="30"/>
        <v>CP226-Vaccinia - 3rd Donation</v>
      </c>
      <c r="E372" s="36">
        <f t="shared" si="31"/>
        <v>0</v>
      </c>
      <c r="F372" s="36" t="str">
        <f t="shared" si="32"/>
        <v>CP226-0</v>
      </c>
      <c r="G372" s="155">
        <f>IFERROR(VLOOKUP(F372,SpecialtyBaseLU,11,FALSE),0)</f>
        <v>0</v>
      </c>
      <c r="I372" s="5">
        <v>300</v>
      </c>
      <c r="J372" s="5">
        <f t="shared" si="33"/>
        <v>300</v>
      </c>
      <c r="K372" s="148">
        <f t="shared" si="34"/>
        <v>300</v>
      </c>
      <c r="L372" s="5">
        <f t="shared" si="35"/>
        <v>0</v>
      </c>
    </row>
    <row r="373" spans="1:12" x14ac:dyDescent="0.25">
      <c r="A373" t="s">
        <v>295</v>
      </c>
      <c r="B373" t="s">
        <v>296</v>
      </c>
      <c r="C373" t="s">
        <v>480</v>
      </c>
      <c r="D373" s="36" t="str">
        <f t="shared" si="30"/>
        <v>CP226-Vaccinia - 4th Donation</v>
      </c>
      <c r="E373" s="36">
        <f t="shared" si="31"/>
        <v>0</v>
      </c>
      <c r="F373" s="36" t="str">
        <f t="shared" si="32"/>
        <v>CP226-0</v>
      </c>
      <c r="G373" s="155">
        <f>IFERROR(VLOOKUP(F373,SpecialtyBaseLU,11,FALSE),0)</f>
        <v>0</v>
      </c>
      <c r="I373" s="5">
        <v>300</v>
      </c>
      <c r="J373" s="5">
        <f t="shared" si="33"/>
        <v>300</v>
      </c>
      <c r="K373" s="148">
        <f t="shared" si="34"/>
        <v>300</v>
      </c>
      <c r="L373" s="5">
        <f t="shared" si="35"/>
        <v>0</v>
      </c>
    </row>
    <row r="374" spans="1:12" x14ac:dyDescent="0.25">
      <c r="A374" t="s">
        <v>295</v>
      </c>
      <c r="B374" t="s">
        <v>296</v>
      </c>
      <c r="C374" t="s">
        <v>481</v>
      </c>
      <c r="D374" s="36" t="str">
        <f t="shared" si="30"/>
        <v>CP226-Vaccinia AP - 1st Donation</v>
      </c>
      <c r="E374" s="36">
        <f t="shared" si="31"/>
        <v>0</v>
      </c>
      <c r="F374" s="36" t="str">
        <f t="shared" si="32"/>
        <v>CP226-0</v>
      </c>
      <c r="G374" s="155">
        <f>IFERROR(VLOOKUP(F374,SpecialtyBaseLU,11,FALSE),0)</f>
        <v>0</v>
      </c>
      <c r="I374" s="5">
        <v>150</v>
      </c>
      <c r="J374" s="5">
        <f t="shared" si="33"/>
        <v>150</v>
      </c>
      <c r="K374" s="148">
        <f t="shared" si="34"/>
        <v>150</v>
      </c>
      <c r="L374" s="5">
        <f t="shared" si="35"/>
        <v>0</v>
      </c>
    </row>
    <row r="375" spans="1:12" x14ac:dyDescent="0.25">
      <c r="A375" t="s">
        <v>295</v>
      </c>
      <c r="B375" t="s">
        <v>296</v>
      </c>
      <c r="C375" t="s">
        <v>482</v>
      </c>
      <c r="D375" s="36" t="str">
        <f t="shared" si="30"/>
        <v>CP226-Vaccinia AP - 2nd Donation</v>
      </c>
      <c r="E375" s="36">
        <f t="shared" si="31"/>
        <v>0</v>
      </c>
      <c r="F375" s="36" t="str">
        <f t="shared" si="32"/>
        <v>CP226-0</v>
      </c>
      <c r="G375" s="155">
        <f>IFERROR(VLOOKUP(F375,SpecialtyBaseLU,11,FALSE),0)</f>
        <v>0</v>
      </c>
      <c r="I375" s="5">
        <v>250</v>
      </c>
      <c r="J375" s="5">
        <f t="shared" si="33"/>
        <v>250</v>
      </c>
      <c r="K375" s="148">
        <f t="shared" si="34"/>
        <v>250</v>
      </c>
      <c r="L375" s="5">
        <f t="shared" si="35"/>
        <v>0</v>
      </c>
    </row>
    <row r="376" spans="1:12" x14ac:dyDescent="0.25">
      <c r="A376" t="s">
        <v>295</v>
      </c>
      <c r="B376" t="s">
        <v>296</v>
      </c>
      <c r="C376" t="s">
        <v>483</v>
      </c>
      <c r="D376" s="36" t="str">
        <f t="shared" si="30"/>
        <v>CP226-Vaccinia AP - 3rd Donation</v>
      </c>
      <c r="E376" s="36">
        <f t="shared" si="31"/>
        <v>0</v>
      </c>
      <c r="F376" s="36" t="str">
        <f t="shared" si="32"/>
        <v>CP226-0</v>
      </c>
      <c r="G376" s="155">
        <f>IFERROR(VLOOKUP(F376,SpecialtyBaseLU,11,FALSE),0)</f>
        <v>0</v>
      </c>
      <c r="I376" s="5">
        <v>300</v>
      </c>
      <c r="J376" s="5">
        <f t="shared" si="33"/>
        <v>300</v>
      </c>
      <c r="K376" s="148">
        <f t="shared" si="34"/>
        <v>300</v>
      </c>
      <c r="L376" s="5">
        <f t="shared" si="35"/>
        <v>0</v>
      </c>
    </row>
    <row r="377" spans="1:12" x14ac:dyDescent="0.25">
      <c r="A377" t="s">
        <v>295</v>
      </c>
      <c r="B377" t="s">
        <v>296</v>
      </c>
      <c r="C377" t="s">
        <v>484</v>
      </c>
      <c r="D377" s="36" t="str">
        <f t="shared" si="30"/>
        <v>CP226-Vaccinia AP - 4th Donation</v>
      </c>
      <c r="E377" s="36">
        <f t="shared" si="31"/>
        <v>0</v>
      </c>
      <c r="F377" s="36" t="str">
        <f t="shared" si="32"/>
        <v>CP226-0</v>
      </c>
      <c r="G377" s="155">
        <f>IFERROR(VLOOKUP(F377,SpecialtyBaseLU,11,FALSE),0)</f>
        <v>0</v>
      </c>
      <c r="I377" s="5">
        <v>300</v>
      </c>
      <c r="J377" s="5">
        <f t="shared" si="33"/>
        <v>300</v>
      </c>
      <c r="K377" s="148">
        <f t="shared" si="34"/>
        <v>300</v>
      </c>
      <c r="L377" s="5">
        <f t="shared" si="35"/>
        <v>0</v>
      </c>
    </row>
    <row r="378" spans="1:12" x14ac:dyDescent="0.25">
      <c r="A378" t="s">
        <v>431</v>
      </c>
      <c r="B378" t="s">
        <v>432</v>
      </c>
      <c r="C378" t="s">
        <v>469</v>
      </c>
      <c r="D378" s="36" t="str">
        <f t="shared" si="30"/>
        <v>CP574-P Anti-D Pre-Existing Standard</v>
      </c>
      <c r="E378" s="36" t="str">
        <f t="shared" si="31"/>
        <v>RETURN - 1st don of the week -STD</v>
      </c>
      <c r="F378" s="36" t="str">
        <f t="shared" si="32"/>
        <v>CP574-RETURN - 1st don of the week -STD</v>
      </c>
      <c r="G378" s="155">
        <f>IFERROR(VLOOKUP(F378,SpecialtyBaseLU,11,FALSE),0)</f>
        <v>50</v>
      </c>
      <c r="H378" s="5">
        <v>-15</v>
      </c>
      <c r="J378" s="5">
        <f t="shared" si="33"/>
        <v>35</v>
      </c>
      <c r="K378" s="148">
        <f t="shared" si="34"/>
        <v>50</v>
      </c>
      <c r="L378" s="5">
        <f t="shared" si="35"/>
        <v>-15</v>
      </c>
    </row>
    <row r="379" spans="1:12" s="147" customFormat="1" x14ac:dyDescent="0.25">
      <c r="A379" s="147" t="s">
        <v>103</v>
      </c>
      <c r="B379" s="147" t="s">
        <v>104</v>
      </c>
      <c r="C379" s="147" t="s">
        <v>488</v>
      </c>
      <c r="D379" s="149" t="str">
        <f t="shared" si="30"/>
        <v>CP227-2X Week P VZV</v>
      </c>
      <c r="E379" s="149" t="str">
        <f t="shared" si="31"/>
        <v>RETURN - 2nd don of the week -BONUS</v>
      </c>
      <c r="F379" s="149" t="str">
        <f t="shared" si="32"/>
        <v>CP227-RETURN - 2nd don of the week -BONUS</v>
      </c>
      <c r="G379" s="155">
        <f>IFERROR(VLOOKUP(F379,SpecialtyBaseLU,11,FALSE),0)</f>
        <v>0</v>
      </c>
      <c r="H379" s="150">
        <v>0</v>
      </c>
      <c r="I379" s="150"/>
      <c r="J379" s="150">
        <f t="shared" si="33"/>
        <v>0</v>
      </c>
      <c r="K379" s="151">
        <f t="shared" si="34"/>
        <v>10</v>
      </c>
      <c r="L379" s="150">
        <f t="shared" si="35"/>
        <v>-10</v>
      </c>
    </row>
    <row r="380" spans="1:12" s="147" customFormat="1" x14ac:dyDescent="0.25">
      <c r="A380" s="147" t="s">
        <v>103</v>
      </c>
      <c r="B380" s="147" t="s">
        <v>104</v>
      </c>
      <c r="C380" s="147" t="s">
        <v>489</v>
      </c>
      <c r="D380" s="149" t="str">
        <f t="shared" si="30"/>
        <v>CP227-2X Week P VZV AP</v>
      </c>
      <c r="E380" s="149" t="str">
        <f t="shared" si="31"/>
        <v>RETURN - 2nd don of the week -BONUS</v>
      </c>
      <c r="F380" s="149" t="str">
        <f t="shared" si="32"/>
        <v>CP227-RETURN - 2nd don of the week -BONUS</v>
      </c>
      <c r="G380" s="155">
        <f>IFERROR(VLOOKUP(F380,SpecialtyBaseLU,11,FALSE),0)</f>
        <v>0</v>
      </c>
      <c r="H380" s="150">
        <v>0</v>
      </c>
      <c r="I380" s="150"/>
      <c r="J380" s="150">
        <f t="shared" si="33"/>
        <v>0</v>
      </c>
      <c r="K380" s="151">
        <f t="shared" si="34"/>
        <v>10</v>
      </c>
      <c r="L380" s="150">
        <f t="shared" si="35"/>
        <v>-10</v>
      </c>
    </row>
    <row r="381" spans="1:12" s="147" customFormat="1" x14ac:dyDescent="0.25">
      <c r="A381" s="147" t="s">
        <v>103</v>
      </c>
      <c r="B381" s="147" t="s">
        <v>104</v>
      </c>
      <c r="C381" s="147" t="s">
        <v>490</v>
      </c>
      <c r="D381" s="149" t="str">
        <f t="shared" si="30"/>
        <v>CP227-2X Week P VZV Pre-Existing</v>
      </c>
      <c r="E381" s="149" t="str">
        <f t="shared" si="31"/>
        <v>RETURN - 2nd don of the week -BONUS</v>
      </c>
      <c r="F381" s="149" t="str">
        <f t="shared" si="32"/>
        <v>CP227-RETURN - 2nd don of the week -BONUS</v>
      </c>
      <c r="G381" s="155">
        <f>IFERROR(VLOOKUP(F381,SpecialtyBaseLU,11,FALSE),0)</f>
        <v>0</v>
      </c>
      <c r="H381" s="150">
        <v>0</v>
      </c>
      <c r="I381" s="150"/>
      <c r="J381" s="150">
        <f t="shared" si="33"/>
        <v>0</v>
      </c>
      <c r="K381" s="151">
        <f t="shared" si="34"/>
        <v>10</v>
      </c>
      <c r="L381" s="150">
        <f t="shared" si="35"/>
        <v>-10</v>
      </c>
    </row>
    <row r="382" spans="1:12" s="147" customFormat="1" x14ac:dyDescent="0.25">
      <c r="A382" s="147" t="s">
        <v>103</v>
      </c>
      <c r="B382" s="147" t="s">
        <v>104</v>
      </c>
      <c r="C382" s="147" t="s">
        <v>491</v>
      </c>
      <c r="D382" s="149" t="str">
        <f t="shared" si="30"/>
        <v>CP227-2X Week P VZV Pre-Existing AP</v>
      </c>
      <c r="E382" s="149" t="str">
        <f t="shared" si="31"/>
        <v>RETURN - 2nd don of the week -BONUS</v>
      </c>
      <c r="F382" s="149" t="str">
        <f t="shared" si="32"/>
        <v>CP227-RETURN - 2nd don of the week -BONUS</v>
      </c>
      <c r="G382" s="155">
        <f>IFERROR(VLOOKUP(F382,SpecialtyBaseLU,11,FALSE),0)</f>
        <v>0</v>
      </c>
      <c r="H382" s="150">
        <v>0</v>
      </c>
      <c r="I382" s="150"/>
      <c r="J382" s="150">
        <f t="shared" si="33"/>
        <v>0</v>
      </c>
      <c r="K382" s="151">
        <f t="shared" si="34"/>
        <v>10</v>
      </c>
      <c r="L382" s="150">
        <f t="shared" si="35"/>
        <v>-10</v>
      </c>
    </row>
    <row r="383" spans="1:12" s="147" customFormat="1" x14ac:dyDescent="0.25">
      <c r="A383" s="147" t="s">
        <v>103</v>
      </c>
      <c r="B383" s="147" t="s">
        <v>104</v>
      </c>
      <c r="C383" s="147" t="s">
        <v>469</v>
      </c>
      <c r="D383" s="149" t="str">
        <f t="shared" si="30"/>
        <v>CP227-P Anti-D Pre-Existing Standard</v>
      </c>
      <c r="E383" s="149" t="str">
        <f t="shared" si="31"/>
        <v>RETURN - 1st don of the week -STD</v>
      </c>
      <c r="F383" s="149" t="str">
        <f t="shared" si="32"/>
        <v>CP227-RETURN - 1st don of the week -STD</v>
      </c>
      <c r="G383" s="155">
        <f>IFERROR(VLOOKUP(F383,SpecialtyBaseLU,11,FALSE),0)</f>
        <v>0</v>
      </c>
      <c r="H383" s="150">
        <v>-5</v>
      </c>
      <c r="I383" s="150"/>
      <c r="J383" s="150">
        <f t="shared" si="33"/>
        <v>-5</v>
      </c>
      <c r="K383" s="151">
        <f t="shared" si="34"/>
        <v>50</v>
      </c>
      <c r="L383" s="150">
        <f t="shared" si="35"/>
        <v>-55</v>
      </c>
    </row>
    <row r="384" spans="1:12" s="147" customFormat="1" x14ac:dyDescent="0.25">
      <c r="A384" s="147" t="s">
        <v>103</v>
      </c>
      <c r="B384" s="147" t="s">
        <v>104</v>
      </c>
      <c r="C384" s="147" t="s">
        <v>475</v>
      </c>
      <c r="D384" s="149" t="str">
        <f t="shared" si="30"/>
        <v>CP227-P Vaccinia AP Standard</v>
      </c>
      <c r="E384" s="149">
        <f t="shared" si="31"/>
        <v>0</v>
      </c>
      <c r="F384" s="149" t="str">
        <f t="shared" si="32"/>
        <v>CP227-0</v>
      </c>
      <c r="G384" s="155">
        <f>IFERROR(VLOOKUP(F384,SpecialtyBaseLU,11,FALSE),0)</f>
        <v>0</v>
      </c>
      <c r="H384" s="150"/>
      <c r="I384" s="150">
        <v>100</v>
      </c>
      <c r="J384" s="150">
        <f t="shared" si="33"/>
        <v>100</v>
      </c>
      <c r="K384" s="151">
        <f t="shared" si="34"/>
        <v>100</v>
      </c>
      <c r="L384" s="150">
        <f t="shared" si="35"/>
        <v>0</v>
      </c>
    </row>
    <row r="385" spans="1:12" s="147" customFormat="1" x14ac:dyDescent="0.25">
      <c r="A385" s="147" t="s">
        <v>103</v>
      </c>
      <c r="B385" s="147" t="s">
        <v>104</v>
      </c>
      <c r="C385" s="147" t="s">
        <v>476</v>
      </c>
      <c r="D385" s="149" t="str">
        <f t="shared" si="30"/>
        <v>CP227-P Vaccinia Standard</v>
      </c>
      <c r="E385" s="149">
        <f t="shared" si="31"/>
        <v>0</v>
      </c>
      <c r="F385" s="149" t="str">
        <f t="shared" si="32"/>
        <v>CP227-0</v>
      </c>
      <c r="G385" s="155">
        <f>IFERROR(VLOOKUP(F385,SpecialtyBaseLU,11,FALSE),0)</f>
        <v>0</v>
      </c>
      <c r="H385" s="150"/>
      <c r="I385" s="150">
        <v>100</v>
      </c>
      <c r="J385" s="150">
        <f t="shared" si="33"/>
        <v>100</v>
      </c>
      <c r="K385" s="151">
        <f t="shared" si="34"/>
        <v>100</v>
      </c>
      <c r="L385" s="150">
        <f t="shared" si="35"/>
        <v>0</v>
      </c>
    </row>
    <row r="386" spans="1:12" s="147" customFormat="1" x14ac:dyDescent="0.25">
      <c r="A386" s="147" t="s">
        <v>103</v>
      </c>
      <c r="B386" s="147" t="s">
        <v>104</v>
      </c>
      <c r="C386" s="147" t="s">
        <v>495</v>
      </c>
      <c r="D386" s="149" t="str">
        <f t="shared" si="30"/>
        <v>CP227-P VZV Pre-Existing AP</v>
      </c>
      <c r="E386" s="149" t="str">
        <f t="shared" si="31"/>
        <v>RETURN - 1st don of the week -STD</v>
      </c>
      <c r="F386" s="149" t="str">
        <f t="shared" si="32"/>
        <v>CP227-RETURN - 1st don of the week -STD</v>
      </c>
      <c r="G386" s="155">
        <f>IFERROR(VLOOKUP(F386,SpecialtyBaseLU,11,FALSE),0)</f>
        <v>0</v>
      </c>
      <c r="H386" s="150">
        <v>10</v>
      </c>
      <c r="I386" s="150">
        <v>0</v>
      </c>
      <c r="J386" s="150">
        <f t="shared" si="33"/>
        <v>10</v>
      </c>
      <c r="K386" s="151">
        <f t="shared" si="34"/>
        <v>65</v>
      </c>
      <c r="L386" s="150">
        <f t="shared" si="35"/>
        <v>-55</v>
      </c>
    </row>
    <row r="387" spans="1:12" s="147" customFormat="1" x14ac:dyDescent="0.25">
      <c r="A387" s="147" t="s">
        <v>103</v>
      </c>
      <c r="B387" s="147" t="s">
        <v>104</v>
      </c>
      <c r="C387" s="147" t="s">
        <v>496</v>
      </c>
      <c r="D387" s="149" t="str">
        <f t="shared" si="30"/>
        <v>CP227-P VZV Standard</v>
      </c>
      <c r="E387" s="149" t="str">
        <f t="shared" si="31"/>
        <v>RETURN - 1st don of the week -STD</v>
      </c>
      <c r="F387" s="149" t="str">
        <f t="shared" si="32"/>
        <v>CP227-RETURN - 1st don of the week -STD</v>
      </c>
      <c r="G387" s="155">
        <f>IFERROR(VLOOKUP(F387,SpecialtyBaseLU,11,FALSE),0)</f>
        <v>0</v>
      </c>
      <c r="H387" s="150">
        <v>10</v>
      </c>
      <c r="I387" s="150">
        <v>0</v>
      </c>
      <c r="J387" s="150">
        <f t="shared" si="33"/>
        <v>10</v>
      </c>
      <c r="K387" s="151">
        <f t="shared" si="34"/>
        <v>65</v>
      </c>
      <c r="L387" s="150">
        <f t="shared" si="35"/>
        <v>-55</v>
      </c>
    </row>
    <row r="388" spans="1:12" s="147" customFormat="1" x14ac:dyDescent="0.25">
      <c r="A388" s="147" t="s">
        <v>103</v>
      </c>
      <c r="B388" s="147" t="s">
        <v>104</v>
      </c>
      <c r="C388" s="147" t="s">
        <v>497</v>
      </c>
      <c r="D388" s="149" t="str">
        <f t="shared" ref="D388:D451" si="36">B388&amp;"-"&amp;C388</f>
        <v>CP227-PVZV Pre-Existing Standard</v>
      </c>
      <c r="E388" s="149" t="str">
        <f t="shared" ref="E388:E451" si="37">VLOOKUP(C388,RULENAMELU,5,FALSE)</f>
        <v>RETURN - 1st don of the week -STD</v>
      </c>
      <c r="F388" s="149" t="str">
        <f t="shared" ref="F388:F451" si="38">B388&amp;"-"&amp;E388</f>
        <v>CP227-RETURN - 1st don of the week -STD</v>
      </c>
      <c r="G388" s="155">
        <f>IFERROR(VLOOKUP(F388,SpecialtyBaseLU,11,FALSE),0)</f>
        <v>0</v>
      </c>
      <c r="H388" s="150">
        <f>K388-G388</f>
        <v>65</v>
      </c>
      <c r="I388" s="150"/>
      <c r="J388" s="150">
        <f t="shared" ref="J388:J451" si="39">G388+H388+I388</f>
        <v>65</v>
      </c>
      <c r="K388" s="151">
        <f t="shared" ref="K388:K451" si="40">VLOOKUP(D388,CurrentNLDataLU,11,FALSE)</f>
        <v>65</v>
      </c>
      <c r="L388" s="150">
        <f t="shared" ref="L388:L451" si="41">J388-K388</f>
        <v>0</v>
      </c>
    </row>
    <row r="389" spans="1:12" s="147" customFormat="1" x14ac:dyDescent="0.25">
      <c r="A389" s="147" t="s">
        <v>103</v>
      </c>
      <c r="B389" s="147" t="s">
        <v>104</v>
      </c>
      <c r="C389" s="147" t="s">
        <v>477</v>
      </c>
      <c r="D389" s="149" t="str">
        <f t="shared" si="36"/>
        <v>CP227-Vaccinia - 1st Donation</v>
      </c>
      <c r="E389" s="149">
        <f t="shared" si="37"/>
        <v>0</v>
      </c>
      <c r="F389" s="149" t="str">
        <f t="shared" si="38"/>
        <v>CP227-0</v>
      </c>
      <c r="G389" s="155">
        <f>IFERROR(VLOOKUP(F389,SpecialtyBaseLU,11,FALSE),0)</f>
        <v>0</v>
      </c>
      <c r="H389" s="150"/>
      <c r="I389" s="150">
        <v>150</v>
      </c>
      <c r="J389" s="150">
        <f t="shared" si="39"/>
        <v>150</v>
      </c>
      <c r="K389" s="151">
        <f t="shared" si="40"/>
        <v>150</v>
      </c>
      <c r="L389" s="150">
        <f t="shared" si="41"/>
        <v>0</v>
      </c>
    </row>
    <row r="390" spans="1:12" s="147" customFormat="1" x14ac:dyDescent="0.25">
      <c r="A390" s="147" t="s">
        <v>103</v>
      </c>
      <c r="B390" s="147" t="s">
        <v>104</v>
      </c>
      <c r="C390" s="147" t="s">
        <v>478</v>
      </c>
      <c r="D390" s="149" t="str">
        <f t="shared" si="36"/>
        <v>CP227-Vaccinia - 2nd Donation</v>
      </c>
      <c r="E390" s="149">
        <f t="shared" si="37"/>
        <v>0</v>
      </c>
      <c r="F390" s="149" t="str">
        <f t="shared" si="38"/>
        <v>CP227-0</v>
      </c>
      <c r="G390" s="155">
        <f>IFERROR(VLOOKUP(F390,SpecialtyBaseLU,11,FALSE),0)</f>
        <v>0</v>
      </c>
      <c r="H390" s="150"/>
      <c r="I390" s="150">
        <v>250</v>
      </c>
      <c r="J390" s="150">
        <f t="shared" si="39"/>
        <v>250</v>
      </c>
      <c r="K390" s="151">
        <f t="shared" si="40"/>
        <v>250</v>
      </c>
      <c r="L390" s="150">
        <f t="shared" si="41"/>
        <v>0</v>
      </c>
    </row>
    <row r="391" spans="1:12" s="147" customFormat="1" x14ac:dyDescent="0.25">
      <c r="A391" s="147" t="s">
        <v>103</v>
      </c>
      <c r="B391" s="147" t="s">
        <v>104</v>
      </c>
      <c r="C391" s="147" t="s">
        <v>479</v>
      </c>
      <c r="D391" s="149" t="str">
        <f t="shared" si="36"/>
        <v>CP227-Vaccinia - 3rd Donation</v>
      </c>
      <c r="E391" s="149">
        <f t="shared" si="37"/>
        <v>0</v>
      </c>
      <c r="F391" s="149" t="str">
        <f t="shared" si="38"/>
        <v>CP227-0</v>
      </c>
      <c r="G391" s="155">
        <f>IFERROR(VLOOKUP(F391,SpecialtyBaseLU,11,FALSE),0)</f>
        <v>0</v>
      </c>
      <c r="H391" s="150"/>
      <c r="I391" s="150">
        <v>300</v>
      </c>
      <c r="J391" s="150">
        <f t="shared" si="39"/>
        <v>300</v>
      </c>
      <c r="K391" s="151">
        <f t="shared" si="40"/>
        <v>300</v>
      </c>
      <c r="L391" s="150">
        <f t="shared" si="41"/>
        <v>0</v>
      </c>
    </row>
    <row r="392" spans="1:12" s="147" customFormat="1" x14ac:dyDescent="0.25">
      <c r="A392" s="147" t="s">
        <v>103</v>
      </c>
      <c r="B392" s="147" t="s">
        <v>104</v>
      </c>
      <c r="C392" s="147" t="s">
        <v>480</v>
      </c>
      <c r="D392" s="149" t="str">
        <f t="shared" si="36"/>
        <v>CP227-Vaccinia - 4th Donation</v>
      </c>
      <c r="E392" s="149">
        <f t="shared" si="37"/>
        <v>0</v>
      </c>
      <c r="F392" s="149" t="str">
        <f t="shared" si="38"/>
        <v>CP227-0</v>
      </c>
      <c r="G392" s="155">
        <f>IFERROR(VLOOKUP(F392,SpecialtyBaseLU,11,FALSE),0)</f>
        <v>0</v>
      </c>
      <c r="H392" s="150"/>
      <c r="I392" s="150">
        <v>300</v>
      </c>
      <c r="J392" s="150">
        <f t="shared" si="39"/>
        <v>300</v>
      </c>
      <c r="K392" s="151">
        <f t="shared" si="40"/>
        <v>300</v>
      </c>
      <c r="L392" s="150">
        <f t="shared" si="41"/>
        <v>0</v>
      </c>
    </row>
    <row r="393" spans="1:12" s="147" customFormat="1" x14ac:dyDescent="0.25">
      <c r="A393" s="147" t="s">
        <v>103</v>
      </c>
      <c r="B393" s="147" t="s">
        <v>104</v>
      </c>
      <c r="C393" s="147" t="s">
        <v>481</v>
      </c>
      <c r="D393" s="149" t="str">
        <f t="shared" si="36"/>
        <v>CP227-Vaccinia AP - 1st Donation</v>
      </c>
      <c r="E393" s="149">
        <f t="shared" si="37"/>
        <v>0</v>
      </c>
      <c r="F393" s="149" t="str">
        <f t="shared" si="38"/>
        <v>CP227-0</v>
      </c>
      <c r="G393" s="155">
        <f>IFERROR(VLOOKUP(F393,SpecialtyBaseLU,11,FALSE),0)</f>
        <v>0</v>
      </c>
      <c r="H393" s="150"/>
      <c r="I393" s="150">
        <v>150</v>
      </c>
      <c r="J393" s="150">
        <f t="shared" si="39"/>
        <v>150</v>
      </c>
      <c r="K393" s="151">
        <f t="shared" si="40"/>
        <v>150</v>
      </c>
      <c r="L393" s="150">
        <f t="shared" si="41"/>
        <v>0</v>
      </c>
    </row>
    <row r="394" spans="1:12" s="147" customFormat="1" x14ac:dyDescent="0.25">
      <c r="A394" s="147" t="s">
        <v>103</v>
      </c>
      <c r="B394" s="147" t="s">
        <v>104</v>
      </c>
      <c r="C394" s="147" t="s">
        <v>482</v>
      </c>
      <c r="D394" s="149" t="str">
        <f t="shared" si="36"/>
        <v>CP227-Vaccinia AP - 2nd Donation</v>
      </c>
      <c r="E394" s="149">
        <f t="shared" si="37"/>
        <v>0</v>
      </c>
      <c r="F394" s="149" t="str">
        <f t="shared" si="38"/>
        <v>CP227-0</v>
      </c>
      <c r="G394" s="155">
        <f>IFERROR(VLOOKUP(F394,SpecialtyBaseLU,11,FALSE),0)</f>
        <v>0</v>
      </c>
      <c r="H394" s="150"/>
      <c r="I394" s="150">
        <v>250</v>
      </c>
      <c r="J394" s="150">
        <f t="shared" si="39"/>
        <v>250</v>
      </c>
      <c r="K394" s="151">
        <f t="shared" si="40"/>
        <v>250</v>
      </c>
      <c r="L394" s="150">
        <f t="shared" si="41"/>
        <v>0</v>
      </c>
    </row>
    <row r="395" spans="1:12" s="147" customFormat="1" x14ac:dyDescent="0.25">
      <c r="A395" s="147" t="s">
        <v>103</v>
      </c>
      <c r="B395" s="147" t="s">
        <v>104</v>
      </c>
      <c r="C395" s="147" t="s">
        <v>483</v>
      </c>
      <c r="D395" s="149" t="str">
        <f t="shared" si="36"/>
        <v>CP227-Vaccinia AP - 3rd Donation</v>
      </c>
      <c r="E395" s="149">
        <f t="shared" si="37"/>
        <v>0</v>
      </c>
      <c r="F395" s="149" t="str">
        <f t="shared" si="38"/>
        <v>CP227-0</v>
      </c>
      <c r="G395" s="155">
        <f>IFERROR(VLOOKUP(F395,SpecialtyBaseLU,11,FALSE),0)</f>
        <v>0</v>
      </c>
      <c r="H395" s="150"/>
      <c r="I395" s="150">
        <v>300</v>
      </c>
      <c r="J395" s="150">
        <f t="shared" si="39"/>
        <v>300</v>
      </c>
      <c r="K395" s="151">
        <f t="shared" si="40"/>
        <v>300</v>
      </c>
      <c r="L395" s="150">
        <f t="shared" si="41"/>
        <v>0</v>
      </c>
    </row>
    <row r="396" spans="1:12" s="147" customFormat="1" x14ac:dyDescent="0.25">
      <c r="A396" s="147" t="s">
        <v>103</v>
      </c>
      <c r="B396" s="147" t="s">
        <v>104</v>
      </c>
      <c r="C396" s="147" t="s">
        <v>484</v>
      </c>
      <c r="D396" s="149" t="str">
        <f t="shared" si="36"/>
        <v>CP227-Vaccinia AP - 4th Donation</v>
      </c>
      <c r="E396" s="149">
        <f t="shared" si="37"/>
        <v>0</v>
      </c>
      <c r="F396" s="149" t="str">
        <f t="shared" si="38"/>
        <v>CP227-0</v>
      </c>
      <c r="G396" s="155">
        <f>IFERROR(VLOOKUP(F396,SpecialtyBaseLU,11,FALSE),0)</f>
        <v>0</v>
      </c>
      <c r="H396" s="150"/>
      <c r="I396" s="150">
        <v>300</v>
      </c>
      <c r="J396" s="150">
        <f t="shared" si="39"/>
        <v>300</v>
      </c>
      <c r="K396" s="151">
        <f t="shared" si="40"/>
        <v>300</v>
      </c>
      <c r="L396" s="150">
        <f t="shared" si="41"/>
        <v>0</v>
      </c>
    </row>
    <row r="397" spans="1:12" x14ac:dyDescent="0.25">
      <c r="A397" t="s">
        <v>56</v>
      </c>
      <c r="B397" t="s">
        <v>58</v>
      </c>
      <c r="C397" t="s">
        <v>488</v>
      </c>
      <c r="D397" s="36" t="str">
        <f t="shared" si="36"/>
        <v>CP228-2X Week P VZV</v>
      </c>
      <c r="E397" s="36" t="str">
        <f t="shared" si="37"/>
        <v>RETURN - 2nd don of the week -BONUS</v>
      </c>
      <c r="F397" s="36" t="str">
        <f t="shared" si="38"/>
        <v>CP228-RETURN - 2nd don of the week -BONUS</v>
      </c>
      <c r="G397" s="155">
        <f>IFERROR(VLOOKUP(F397,SpecialtyBaseLU,11,FALSE),0)</f>
        <v>15</v>
      </c>
      <c r="H397" s="5">
        <v>0</v>
      </c>
      <c r="J397" s="5">
        <f t="shared" si="39"/>
        <v>15</v>
      </c>
      <c r="K397" s="148">
        <f t="shared" si="40"/>
        <v>10</v>
      </c>
      <c r="L397" s="5">
        <f t="shared" si="41"/>
        <v>5</v>
      </c>
    </row>
    <row r="398" spans="1:12" x14ac:dyDescent="0.25">
      <c r="A398" t="s">
        <v>56</v>
      </c>
      <c r="B398" t="s">
        <v>58</v>
      </c>
      <c r="C398" t="s">
        <v>489</v>
      </c>
      <c r="D398" s="36" t="str">
        <f t="shared" si="36"/>
        <v>CP228-2X Week P VZV AP</v>
      </c>
      <c r="E398" s="36" t="str">
        <f t="shared" si="37"/>
        <v>RETURN - 2nd don of the week -BONUS</v>
      </c>
      <c r="F398" s="36" t="str">
        <f t="shared" si="38"/>
        <v>CP228-RETURN - 2nd don of the week -BONUS</v>
      </c>
      <c r="G398" s="155">
        <f>IFERROR(VLOOKUP(F398,SpecialtyBaseLU,11,FALSE),0)</f>
        <v>15</v>
      </c>
      <c r="H398" s="5">
        <v>0</v>
      </c>
      <c r="J398" s="5">
        <f t="shared" si="39"/>
        <v>15</v>
      </c>
      <c r="K398" s="148">
        <f t="shared" si="40"/>
        <v>10</v>
      </c>
      <c r="L398" s="5">
        <f t="shared" si="41"/>
        <v>5</v>
      </c>
    </row>
    <row r="399" spans="1:12" x14ac:dyDescent="0.25">
      <c r="A399" t="s">
        <v>56</v>
      </c>
      <c r="B399" t="s">
        <v>58</v>
      </c>
      <c r="C399" t="s">
        <v>490</v>
      </c>
      <c r="D399" s="36" t="str">
        <f t="shared" si="36"/>
        <v>CP228-2X Week P VZV Pre-Existing</v>
      </c>
      <c r="E399" s="36" t="str">
        <f t="shared" si="37"/>
        <v>RETURN - 2nd don of the week -BONUS</v>
      </c>
      <c r="F399" s="36" t="str">
        <f t="shared" si="38"/>
        <v>CP228-RETURN - 2nd don of the week -BONUS</v>
      </c>
      <c r="G399" s="155">
        <f>IFERROR(VLOOKUP(F399,SpecialtyBaseLU,11,FALSE),0)</f>
        <v>15</v>
      </c>
      <c r="H399" s="5">
        <v>0</v>
      </c>
      <c r="J399" s="5">
        <f t="shared" si="39"/>
        <v>15</v>
      </c>
      <c r="K399" s="148">
        <f t="shared" si="40"/>
        <v>10</v>
      </c>
      <c r="L399" s="5">
        <f t="shared" si="41"/>
        <v>5</v>
      </c>
    </row>
    <row r="400" spans="1:12" x14ac:dyDescent="0.25">
      <c r="A400" t="s">
        <v>56</v>
      </c>
      <c r="B400" t="s">
        <v>58</v>
      </c>
      <c r="C400" t="s">
        <v>491</v>
      </c>
      <c r="D400" s="36" t="str">
        <f t="shared" si="36"/>
        <v>CP228-2X Week P VZV Pre-Existing AP</v>
      </c>
      <c r="E400" s="36" t="str">
        <f t="shared" si="37"/>
        <v>RETURN - 2nd don of the week -BONUS</v>
      </c>
      <c r="F400" s="36" t="str">
        <f t="shared" si="38"/>
        <v>CP228-RETURN - 2nd don of the week -BONUS</v>
      </c>
      <c r="G400" s="155">
        <f>IFERROR(VLOOKUP(F400,SpecialtyBaseLU,11,FALSE),0)</f>
        <v>15</v>
      </c>
      <c r="H400" s="5">
        <v>0</v>
      </c>
      <c r="J400" s="5">
        <f t="shared" si="39"/>
        <v>15</v>
      </c>
      <c r="K400" s="148">
        <f t="shared" si="40"/>
        <v>10</v>
      </c>
      <c r="L400" s="5">
        <f t="shared" si="41"/>
        <v>5</v>
      </c>
    </row>
    <row r="401" spans="1:12" x14ac:dyDescent="0.25">
      <c r="A401" t="s">
        <v>56</v>
      </c>
      <c r="B401" t="s">
        <v>58</v>
      </c>
      <c r="C401" t="s">
        <v>469</v>
      </c>
      <c r="D401" s="36" t="str">
        <f t="shared" si="36"/>
        <v>CP228-P Anti-D Pre-Existing Standard</v>
      </c>
      <c r="E401" s="36" t="str">
        <f t="shared" si="37"/>
        <v>RETURN - 1st don of the week -STD</v>
      </c>
      <c r="F401" s="36" t="str">
        <f t="shared" si="38"/>
        <v>CP228-RETURN - 1st don of the week -STD</v>
      </c>
      <c r="G401" s="155">
        <f>IFERROR(VLOOKUP(F401,SpecialtyBaseLU,11,FALSE),0)</f>
        <v>55</v>
      </c>
      <c r="H401" s="5">
        <v>-15</v>
      </c>
      <c r="J401" s="5">
        <f t="shared" si="39"/>
        <v>40</v>
      </c>
      <c r="K401" s="148">
        <f t="shared" si="40"/>
        <v>50</v>
      </c>
      <c r="L401" s="5">
        <f t="shared" si="41"/>
        <v>-10</v>
      </c>
    </row>
    <row r="402" spans="1:12" x14ac:dyDescent="0.25">
      <c r="A402" t="s">
        <v>56</v>
      </c>
      <c r="B402" t="s">
        <v>58</v>
      </c>
      <c r="C402" t="s">
        <v>475</v>
      </c>
      <c r="D402" s="36" t="str">
        <f t="shared" si="36"/>
        <v>CP228-P Vaccinia AP Standard</v>
      </c>
      <c r="E402" s="36">
        <f t="shared" si="37"/>
        <v>0</v>
      </c>
      <c r="F402" s="36" t="str">
        <f t="shared" si="38"/>
        <v>CP228-0</v>
      </c>
      <c r="G402" s="155">
        <f>IFERROR(VLOOKUP(F402,SpecialtyBaseLU,11,FALSE),0)</f>
        <v>0</v>
      </c>
      <c r="I402" s="5">
        <v>100</v>
      </c>
      <c r="J402" s="5">
        <f t="shared" si="39"/>
        <v>100</v>
      </c>
      <c r="K402" s="148">
        <f t="shared" si="40"/>
        <v>100</v>
      </c>
      <c r="L402" s="5">
        <f t="shared" si="41"/>
        <v>0</v>
      </c>
    </row>
    <row r="403" spans="1:12" x14ac:dyDescent="0.25">
      <c r="A403" t="s">
        <v>56</v>
      </c>
      <c r="B403" t="s">
        <v>58</v>
      </c>
      <c r="C403" t="s">
        <v>476</v>
      </c>
      <c r="D403" s="36" t="str">
        <f t="shared" si="36"/>
        <v>CP228-P Vaccinia Standard</v>
      </c>
      <c r="E403" s="36">
        <f t="shared" si="37"/>
        <v>0</v>
      </c>
      <c r="F403" s="36" t="str">
        <f t="shared" si="38"/>
        <v>CP228-0</v>
      </c>
      <c r="G403" s="155">
        <f>IFERROR(VLOOKUP(F403,SpecialtyBaseLU,11,FALSE),0)</f>
        <v>0</v>
      </c>
      <c r="I403" s="5">
        <v>100</v>
      </c>
      <c r="J403" s="5">
        <f t="shared" si="39"/>
        <v>100</v>
      </c>
      <c r="K403" s="148">
        <f t="shared" si="40"/>
        <v>100</v>
      </c>
      <c r="L403" s="5">
        <f t="shared" si="41"/>
        <v>0</v>
      </c>
    </row>
    <row r="404" spans="1:12" x14ac:dyDescent="0.25">
      <c r="A404" t="s">
        <v>56</v>
      </c>
      <c r="B404" t="s">
        <v>58</v>
      </c>
      <c r="C404" t="s">
        <v>495</v>
      </c>
      <c r="D404" s="36" t="str">
        <f t="shared" si="36"/>
        <v>CP228-P VZV Pre-Existing AP</v>
      </c>
      <c r="E404" s="36" t="str">
        <f t="shared" si="37"/>
        <v>RETURN - 1st don of the week -STD</v>
      </c>
      <c r="F404" s="36" t="str">
        <f t="shared" si="38"/>
        <v>CP228-RETURN - 1st don of the week -STD</v>
      </c>
      <c r="G404" s="155">
        <f>IFERROR(VLOOKUP(F404,SpecialtyBaseLU,11,FALSE),0)</f>
        <v>55</v>
      </c>
      <c r="H404" s="5">
        <v>10</v>
      </c>
      <c r="I404" s="5">
        <v>0</v>
      </c>
      <c r="J404" s="5">
        <f t="shared" si="39"/>
        <v>65</v>
      </c>
      <c r="K404" s="148">
        <f t="shared" si="40"/>
        <v>75</v>
      </c>
      <c r="L404" s="5">
        <f t="shared" si="41"/>
        <v>-10</v>
      </c>
    </row>
    <row r="405" spans="1:12" x14ac:dyDescent="0.25">
      <c r="A405" t="s">
        <v>56</v>
      </c>
      <c r="B405" t="s">
        <v>58</v>
      </c>
      <c r="C405" t="s">
        <v>496</v>
      </c>
      <c r="D405" s="36" t="str">
        <f t="shared" si="36"/>
        <v>CP228-P VZV Standard</v>
      </c>
      <c r="E405" s="36" t="str">
        <f t="shared" si="37"/>
        <v>RETURN - 1st don of the week -STD</v>
      </c>
      <c r="F405" s="36" t="str">
        <f t="shared" si="38"/>
        <v>CP228-RETURN - 1st don of the week -STD</v>
      </c>
      <c r="G405" s="155">
        <f>IFERROR(VLOOKUP(F405,SpecialtyBaseLU,11,FALSE),0)</f>
        <v>55</v>
      </c>
      <c r="H405" s="5">
        <v>10</v>
      </c>
      <c r="I405" s="5">
        <v>0</v>
      </c>
      <c r="J405" s="5">
        <f t="shared" si="39"/>
        <v>65</v>
      </c>
      <c r="K405" s="148">
        <f t="shared" si="40"/>
        <v>75</v>
      </c>
      <c r="L405" s="5">
        <f t="shared" si="41"/>
        <v>-10</v>
      </c>
    </row>
    <row r="406" spans="1:12" x14ac:dyDescent="0.25">
      <c r="A406" t="s">
        <v>56</v>
      </c>
      <c r="B406" t="s">
        <v>58</v>
      </c>
      <c r="C406" t="s">
        <v>497</v>
      </c>
      <c r="D406" s="36" t="str">
        <f t="shared" si="36"/>
        <v>CP228-PVZV Pre-Existing Standard</v>
      </c>
      <c r="E406" s="36" t="str">
        <f t="shared" si="37"/>
        <v>RETURN - 1st don of the week -STD</v>
      </c>
      <c r="F406" s="36" t="str">
        <f t="shared" si="38"/>
        <v>CP228-RETURN - 1st don of the week -STD</v>
      </c>
      <c r="G406" s="155">
        <f>IFERROR(VLOOKUP(F406,SpecialtyBaseLU,11,FALSE),0)</f>
        <v>55</v>
      </c>
      <c r="H406" s="5">
        <f>K406-G406</f>
        <v>20</v>
      </c>
      <c r="J406" s="5">
        <f t="shared" si="39"/>
        <v>75</v>
      </c>
      <c r="K406" s="148">
        <f t="shared" si="40"/>
        <v>75</v>
      </c>
      <c r="L406" s="5">
        <f t="shared" si="41"/>
        <v>0</v>
      </c>
    </row>
    <row r="407" spans="1:12" x14ac:dyDescent="0.25">
      <c r="A407" t="s">
        <v>56</v>
      </c>
      <c r="B407" t="s">
        <v>58</v>
      </c>
      <c r="C407" t="s">
        <v>477</v>
      </c>
      <c r="D407" s="36" t="str">
        <f t="shared" si="36"/>
        <v>CP228-Vaccinia - 1st Donation</v>
      </c>
      <c r="E407" s="36">
        <f t="shared" si="37"/>
        <v>0</v>
      </c>
      <c r="F407" s="36" t="str">
        <f t="shared" si="38"/>
        <v>CP228-0</v>
      </c>
      <c r="G407" s="155">
        <f>IFERROR(VLOOKUP(F407,SpecialtyBaseLU,11,FALSE),0)</f>
        <v>0</v>
      </c>
      <c r="I407" s="5">
        <v>150</v>
      </c>
      <c r="J407" s="5">
        <f t="shared" si="39"/>
        <v>150</v>
      </c>
      <c r="K407" s="148">
        <f t="shared" si="40"/>
        <v>150</v>
      </c>
      <c r="L407" s="5">
        <f t="shared" si="41"/>
        <v>0</v>
      </c>
    </row>
    <row r="408" spans="1:12" x14ac:dyDescent="0.25">
      <c r="A408" t="s">
        <v>56</v>
      </c>
      <c r="B408" t="s">
        <v>58</v>
      </c>
      <c r="C408" t="s">
        <v>478</v>
      </c>
      <c r="D408" s="36" t="str">
        <f t="shared" si="36"/>
        <v>CP228-Vaccinia - 2nd Donation</v>
      </c>
      <c r="E408" s="36">
        <f t="shared" si="37"/>
        <v>0</v>
      </c>
      <c r="F408" s="36" t="str">
        <f t="shared" si="38"/>
        <v>CP228-0</v>
      </c>
      <c r="G408" s="155">
        <f>IFERROR(VLOOKUP(F408,SpecialtyBaseLU,11,FALSE),0)</f>
        <v>0</v>
      </c>
      <c r="I408" s="5">
        <v>250</v>
      </c>
      <c r="J408" s="5">
        <f t="shared" si="39"/>
        <v>250</v>
      </c>
      <c r="K408" s="148">
        <f t="shared" si="40"/>
        <v>250</v>
      </c>
      <c r="L408" s="5">
        <f t="shared" si="41"/>
        <v>0</v>
      </c>
    </row>
    <row r="409" spans="1:12" x14ac:dyDescent="0.25">
      <c r="A409" t="s">
        <v>56</v>
      </c>
      <c r="B409" t="s">
        <v>58</v>
      </c>
      <c r="C409" t="s">
        <v>479</v>
      </c>
      <c r="D409" s="36" t="str">
        <f t="shared" si="36"/>
        <v>CP228-Vaccinia - 3rd Donation</v>
      </c>
      <c r="E409" s="36">
        <f t="shared" si="37"/>
        <v>0</v>
      </c>
      <c r="F409" s="36" t="str">
        <f t="shared" si="38"/>
        <v>CP228-0</v>
      </c>
      <c r="G409" s="155">
        <f>IFERROR(VLOOKUP(F409,SpecialtyBaseLU,11,FALSE),0)</f>
        <v>0</v>
      </c>
      <c r="I409" s="5">
        <v>300</v>
      </c>
      <c r="J409" s="5">
        <f t="shared" si="39"/>
        <v>300</v>
      </c>
      <c r="K409" s="148">
        <f t="shared" si="40"/>
        <v>300</v>
      </c>
      <c r="L409" s="5">
        <f t="shared" si="41"/>
        <v>0</v>
      </c>
    </row>
    <row r="410" spans="1:12" x14ac:dyDescent="0.25">
      <c r="A410" t="s">
        <v>56</v>
      </c>
      <c r="B410" t="s">
        <v>58</v>
      </c>
      <c r="C410" t="s">
        <v>480</v>
      </c>
      <c r="D410" s="36" t="str">
        <f t="shared" si="36"/>
        <v>CP228-Vaccinia - 4th Donation</v>
      </c>
      <c r="E410" s="36">
        <f t="shared" si="37"/>
        <v>0</v>
      </c>
      <c r="F410" s="36" t="str">
        <f t="shared" si="38"/>
        <v>CP228-0</v>
      </c>
      <c r="G410" s="155">
        <f>IFERROR(VLOOKUP(F410,SpecialtyBaseLU,11,FALSE),0)</f>
        <v>0</v>
      </c>
      <c r="I410" s="5">
        <v>300</v>
      </c>
      <c r="J410" s="5">
        <f t="shared" si="39"/>
        <v>300</v>
      </c>
      <c r="K410" s="148">
        <f t="shared" si="40"/>
        <v>300</v>
      </c>
      <c r="L410" s="5">
        <f t="shared" si="41"/>
        <v>0</v>
      </c>
    </row>
    <row r="411" spans="1:12" x14ac:dyDescent="0.25">
      <c r="A411" t="s">
        <v>56</v>
      </c>
      <c r="B411" t="s">
        <v>58</v>
      </c>
      <c r="C411" t="s">
        <v>481</v>
      </c>
      <c r="D411" s="36" t="str">
        <f t="shared" si="36"/>
        <v>CP228-Vaccinia AP - 1st Donation</v>
      </c>
      <c r="E411" s="36">
        <f t="shared" si="37"/>
        <v>0</v>
      </c>
      <c r="F411" s="36" t="str">
        <f t="shared" si="38"/>
        <v>CP228-0</v>
      </c>
      <c r="G411" s="155">
        <f>IFERROR(VLOOKUP(F411,SpecialtyBaseLU,11,FALSE),0)</f>
        <v>0</v>
      </c>
      <c r="I411" s="5">
        <v>150</v>
      </c>
      <c r="J411" s="5">
        <f t="shared" si="39"/>
        <v>150</v>
      </c>
      <c r="K411" s="148">
        <f t="shared" si="40"/>
        <v>150</v>
      </c>
      <c r="L411" s="5">
        <f t="shared" si="41"/>
        <v>0</v>
      </c>
    </row>
    <row r="412" spans="1:12" x14ac:dyDescent="0.25">
      <c r="A412" t="s">
        <v>56</v>
      </c>
      <c r="B412" t="s">
        <v>58</v>
      </c>
      <c r="C412" t="s">
        <v>482</v>
      </c>
      <c r="D412" s="36" t="str">
        <f t="shared" si="36"/>
        <v>CP228-Vaccinia AP - 2nd Donation</v>
      </c>
      <c r="E412" s="36">
        <f t="shared" si="37"/>
        <v>0</v>
      </c>
      <c r="F412" s="36" t="str">
        <f t="shared" si="38"/>
        <v>CP228-0</v>
      </c>
      <c r="G412" s="155">
        <f>IFERROR(VLOOKUP(F412,SpecialtyBaseLU,11,FALSE),0)</f>
        <v>0</v>
      </c>
      <c r="I412" s="5">
        <v>250</v>
      </c>
      <c r="J412" s="5">
        <f t="shared" si="39"/>
        <v>250</v>
      </c>
      <c r="K412" s="148">
        <f t="shared" si="40"/>
        <v>250</v>
      </c>
      <c r="L412" s="5">
        <f t="shared" si="41"/>
        <v>0</v>
      </c>
    </row>
    <row r="413" spans="1:12" x14ac:dyDescent="0.25">
      <c r="A413" t="s">
        <v>56</v>
      </c>
      <c r="B413" t="s">
        <v>58</v>
      </c>
      <c r="C413" t="s">
        <v>483</v>
      </c>
      <c r="D413" s="36" t="str">
        <f t="shared" si="36"/>
        <v>CP228-Vaccinia AP - 3rd Donation</v>
      </c>
      <c r="E413" s="36">
        <f t="shared" si="37"/>
        <v>0</v>
      </c>
      <c r="F413" s="36" t="str">
        <f t="shared" si="38"/>
        <v>CP228-0</v>
      </c>
      <c r="G413" s="155">
        <f>IFERROR(VLOOKUP(F413,SpecialtyBaseLU,11,FALSE),0)</f>
        <v>0</v>
      </c>
      <c r="I413" s="5">
        <v>300</v>
      </c>
      <c r="J413" s="5">
        <f t="shared" si="39"/>
        <v>300</v>
      </c>
      <c r="K413" s="148">
        <f t="shared" si="40"/>
        <v>300</v>
      </c>
      <c r="L413" s="5">
        <f t="shared" si="41"/>
        <v>0</v>
      </c>
    </row>
    <row r="414" spans="1:12" x14ac:dyDescent="0.25">
      <c r="A414" t="s">
        <v>56</v>
      </c>
      <c r="B414" t="s">
        <v>58</v>
      </c>
      <c r="C414" t="s">
        <v>484</v>
      </c>
      <c r="D414" s="36" t="str">
        <f t="shared" si="36"/>
        <v>CP228-Vaccinia AP - 4th Donation</v>
      </c>
      <c r="E414" s="36">
        <f t="shared" si="37"/>
        <v>0</v>
      </c>
      <c r="F414" s="36" t="str">
        <f t="shared" si="38"/>
        <v>CP228-0</v>
      </c>
      <c r="G414" s="155">
        <f>IFERROR(VLOOKUP(F414,SpecialtyBaseLU,11,FALSE),0)</f>
        <v>0</v>
      </c>
      <c r="I414" s="5">
        <v>300</v>
      </c>
      <c r="J414" s="5">
        <f t="shared" si="39"/>
        <v>300</v>
      </c>
      <c r="K414" s="148">
        <f t="shared" si="40"/>
        <v>300</v>
      </c>
      <c r="L414" s="5">
        <f t="shared" si="41"/>
        <v>0</v>
      </c>
    </row>
    <row r="415" spans="1:12" x14ac:dyDescent="0.25">
      <c r="A415" t="s">
        <v>520</v>
      </c>
      <c r="B415" t="s">
        <v>165</v>
      </c>
      <c r="C415" t="s">
        <v>469</v>
      </c>
      <c r="D415" s="36" t="str">
        <f t="shared" si="36"/>
        <v>CP570-P Anti-D Pre-Existing Standard</v>
      </c>
      <c r="E415" s="36" t="str">
        <f t="shared" si="37"/>
        <v>RETURN - 1st don of the week -STD</v>
      </c>
      <c r="F415" s="36" t="str">
        <f t="shared" si="38"/>
        <v>CP570-RETURN - 1st don of the week -STD</v>
      </c>
      <c r="G415" s="155">
        <f>IFERROR(VLOOKUP(F415,SpecialtyBaseLU,11,FALSE),0)</f>
        <v>50</v>
      </c>
      <c r="H415" s="5">
        <v>0</v>
      </c>
      <c r="J415" s="5">
        <f t="shared" si="39"/>
        <v>50</v>
      </c>
      <c r="K415" s="148">
        <f t="shared" si="40"/>
        <v>50</v>
      </c>
      <c r="L415" s="5">
        <f t="shared" si="41"/>
        <v>0</v>
      </c>
    </row>
    <row r="416" spans="1:12" x14ac:dyDescent="0.25">
      <c r="A416" t="s">
        <v>257</v>
      </c>
      <c r="B416" t="s">
        <v>258</v>
      </c>
      <c r="C416" t="s">
        <v>498</v>
      </c>
      <c r="D416" s="36" t="str">
        <f t="shared" si="36"/>
        <v>CP069-2X Week P CMV</v>
      </c>
      <c r="E416" s="36" t="str">
        <f t="shared" si="37"/>
        <v>RETURN - 2nd don of the week -BONUS</v>
      </c>
      <c r="F416" s="36" t="str">
        <f t="shared" si="38"/>
        <v>CP069-RETURN - 2nd don of the week -BONUS</v>
      </c>
      <c r="G416" s="155">
        <f>IFERROR(VLOOKUP(F416,SpecialtyBaseLU,11,FALSE),0)</f>
        <v>50</v>
      </c>
      <c r="H416" s="5">
        <v>0</v>
      </c>
      <c r="J416" s="5">
        <f t="shared" si="39"/>
        <v>50</v>
      </c>
      <c r="K416" s="148">
        <f t="shared" si="40"/>
        <v>50</v>
      </c>
      <c r="L416" s="5">
        <f t="shared" si="41"/>
        <v>0</v>
      </c>
    </row>
    <row r="417" spans="1:12" x14ac:dyDescent="0.25">
      <c r="A417" t="s">
        <v>257</v>
      </c>
      <c r="B417" t="s">
        <v>258</v>
      </c>
      <c r="C417" t="s">
        <v>471</v>
      </c>
      <c r="D417" s="36" t="str">
        <f t="shared" si="36"/>
        <v>CP069-2X Week P HBS Pre-Existing</v>
      </c>
      <c r="E417" s="36" t="str">
        <f t="shared" si="37"/>
        <v>RETURN - 2nd don of the week -BONUS</v>
      </c>
      <c r="F417" s="36" t="str">
        <f t="shared" si="38"/>
        <v>CP069-RETURN - 2nd don of the week -BONUS</v>
      </c>
      <c r="G417" s="155">
        <f>IFERROR(VLOOKUP(F417,SpecialtyBaseLU,11,FALSE),0)</f>
        <v>50</v>
      </c>
      <c r="H417" s="5">
        <v>20</v>
      </c>
      <c r="J417" s="5">
        <f t="shared" si="39"/>
        <v>70</v>
      </c>
      <c r="K417" s="148">
        <f t="shared" si="40"/>
        <v>70</v>
      </c>
      <c r="L417" s="5">
        <f t="shared" si="41"/>
        <v>0</v>
      </c>
    </row>
    <row r="418" spans="1:12" x14ac:dyDescent="0.25">
      <c r="A418" t="s">
        <v>257</v>
      </c>
      <c r="B418" t="s">
        <v>258</v>
      </c>
      <c r="C418" t="s">
        <v>504</v>
      </c>
      <c r="D418" s="36" t="str">
        <f t="shared" si="36"/>
        <v>CP069-2X Week P HBS TWINRX</v>
      </c>
      <c r="E418" s="36" t="str">
        <f t="shared" si="37"/>
        <v>RETURN - 2nd don of the week -BONUS</v>
      </c>
      <c r="F418" s="36" t="str">
        <f t="shared" si="38"/>
        <v>CP069-RETURN - 2nd don of the week -BONUS</v>
      </c>
      <c r="G418" s="155">
        <f>IFERROR(VLOOKUP(F418,SpecialtyBaseLU,11,FALSE),0)</f>
        <v>50</v>
      </c>
      <c r="H418" s="5">
        <v>20</v>
      </c>
      <c r="J418" s="5">
        <f t="shared" si="39"/>
        <v>70</v>
      </c>
      <c r="K418" s="148">
        <f t="shared" si="40"/>
        <v>70</v>
      </c>
      <c r="L418" s="5">
        <f t="shared" si="41"/>
        <v>0</v>
      </c>
    </row>
    <row r="419" spans="1:12" x14ac:dyDescent="0.25">
      <c r="A419" t="s">
        <v>257</v>
      </c>
      <c r="B419" t="s">
        <v>258</v>
      </c>
      <c r="C419" t="s">
        <v>505</v>
      </c>
      <c r="D419" s="36" t="str">
        <f t="shared" si="36"/>
        <v>CP069-2X Week P HBS TWINRX-AP</v>
      </c>
      <c r="E419" s="36" t="str">
        <f t="shared" si="37"/>
        <v>RETURN - 2nd don of the week -BONUS</v>
      </c>
      <c r="F419" s="36" t="str">
        <f t="shared" si="38"/>
        <v>CP069-RETURN - 2nd don of the week -BONUS</v>
      </c>
      <c r="G419" s="155">
        <f>IFERROR(VLOOKUP(F419,SpecialtyBaseLU,11,FALSE),0)</f>
        <v>50</v>
      </c>
      <c r="H419" s="5">
        <v>20</v>
      </c>
      <c r="J419" s="5">
        <f t="shared" si="39"/>
        <v>70</v>
      </c>
      <c r="K419" s="148">
        <f t="shared" si="40"/>
        <v>70</v>
      </c>
      <c r="L419" s="5">
        <f t="shared" si="41"/>
        <v>0</v>
      </c>
    </row>
    <row r="420" spans="1:12" x14ac:dyDescent="0.25">
      <c r="A420" t="s">
        <v>257</v>
      </c>
      <c r="B420" t="s">
        <v>258</v>
      </c>
      <c r="C420" t="s">
        <v>469</v>
      </c>
      <c r="D420" s="36" t="str">
        <f t="shared" si="36"/>
        <v>CP069-P Anti-D Pre-Existing Standard</v>
      </c>
      <c r="E420" s="36" t="str">
        <f t="shared" si="37"/>
        <v>RETURN - 1st don of the week -STD</v>
      </c>
      <c r="F420" s="36" t="str">
        <f t="shared" si="38"/>
        <v>CP069-RETURN - 1st don of the week -STD</v>
      </c>
      <c r="G420" s="155">
        <f>IFERROR(VLOOKUP(F420,SpecialtyBaseLU,11,FALSE),0)</f>
        <v>40</v>
      </c>
      <c r="H420" s="5">
        <v>60</v>
      </c>
      <c r="J420" s="5">
        <f t="shared" si="39"/>
        <v>100</v>
      </c>
      <c r="K420" s="148">
        <f t="shared" si="40"/>
        <v>100</v>
      </c>
      <c r="L420" s="5">
        <f t="shared" si="41"/>
        <v>0</v>
      </c>
    </row>
    <row r="421" spans="1:12" x14ac:dyDescent="0.25">
      <c r="A421" t="s">
        <v>257</v>
      </c>
      <c r="B421" t="s">
        <v>258</v>
      </c>
      <c r="C421" t="s">
        <v>474</v>
      </c>
      <c r="D421" s="36" t="str">
        <f t="shared" si="36"/>
        <v>CP069-P Anti-D Standard</v>
      </c>
      <c r="E421" s="36" t="str">
        <f t="shared" si="37"/>
        <v>RETURN - 1st don of the week -STD</v>
      </c>
      <c r="F421" s="36" t="str">
        <f t="shared" si="38"/>
        <v>CP069-RETURN - 1st don of the week -STD</v>
      </c>
      <c r="G421" s="155">
        <f>IFERROR(VLOOKUP(F421,SpecialtyBaseLU,11,FALSE),0)</f>
        <v>40</v>
      </c>
      <c r="H421" s="5">
        <v>60</v>
      </c>
      <c r="J421" s="5">
        <f t="shared" si="39"/>
        <v>100</v>
      </c>
      <c r="K421" s="148">
        <f t="shared" si="40"/>
        <v>100</v>
      </c>
      <c r="L421" s="5">
        <f t="shared" si="41"/>
        <v>0</v>
      </c>
    </row>
    <row r="422" spans="1:12" x14ac:dyDescent="0.25">
      <c r="A422" t="s">
        <v>257</v>
      </c>
      <c r="B422" t="s">
        <v>258</v>
      </c>
      <c r="C422" t="s">
        <v>501</v>
      </c>
      <c r="D422" s="36" t="str">
        <f t="shared" si="36"/>
        <v>CP069-P CMV Standard</v>
      </c>
      <c r="E422" s="36" t="str">
        <f t="shared" si="37"/>
        <v>RETURN - 1st don of the week -STD</v>
      </c>
      <c r="F422" s="36" t="str">
        <f t="shared" si="38"/>
        <v>CP069-RETURN - 1st don of the week -STD</v>
      </c>
      <c r="G422" s="155">
        <f>IFERROR(VLOOKUP(F422,SpecialtyBaseLU,11,FALSE),0)</f>
        <v>40</v>
      </c>
      <c r="H422" s="5">
        <v>5</v>
      </c>
      <c r="J422" s="5">
        <f t="shared" si="39"/>
        <v>45</v>
      </c>
      <c r="K422" s="148">
        <f t="shared" si="40"/>
        <v>45</v>
      </c>
      <c r="L422" s="5">
        <f t="shared" si="41"/>
        <v>0</v>
      </c>
    </row>
    <row r="423" spans="1:12" x14ac:dyDescent="0.25">
      <c r="A423" t="s">
        <v>257</v>
      </c>
      <c r="B423" t="s">
        <v>258</v>
      </c>
      <c r="C423" t="s">
        <v>472</v>
      </c>
      <c r="D423" s="36" t="str">
        <f t="shared" si="36"/>
        <v>CP069-P HBS Pre-Existing Standard</v>
      </c>
      <c r="E423" s="36" t="str">
        <f t="shared" si="37"/>
        <v>RETURN - 1st don of the week -STD</v>
      </c>
      <c r="F423" s="36" t="str">
        <f t="shared" si="38"/>
        <v>CP069-RETURN - 1st don of the week -STD</v>
      </c>
      <c r="G423" s="155">
        <f>IFERROR(VLOOKUP(F423,SpecialtyBaseLU,11,FALSE),0)</f>
        <v>40</v>
      </c>
      <c r="H423" s="5">
        <v>0</v>
      </c>
      <c r="J423" s="5">
        <f t="shared" si="39"/>
        <v>40</v>
      </c>
      <c r="K423" s="148">
        <f t="shared" si="40"/>
        <v>40</v>
      </c>
      <c r="L423" s="5">
        <f t="shared" si="41"/>
        <v>0</v>
      </c>
    </row>
    <row r="424" spans="1:12" x14ac:dyDescent="0.25">
      <c r="A424" t="s">
        <v>257</v>
      </c>
      <c r="B424" t="s">
        <v>258</v>
      </c>
      <c r="C424" t="s">
        <v>506</v>
      </c>
      <c r="D424" s="36" t="str">
        <f t="shared" si="36"/>
        <v>CP069-P HBS TWINRIX Standard</v>
      </c>
      <c r="E424" s="36" t="str">
        <f t="shared" si="37"/>
        <v>RETURN - 1st don of the week -STD</v>
      </c>
      <c r="F424" s="36" t="str">
        <f t="shared" si="38"/>
        <v>CP069-RETURN - 1st don of the week -STD</v>
      </c>
      <c r="G424" s="155">
        <f>IFERROR(VLOOKUP(F424,SpecialtyBaseLU,11,FALSE),0)</f>
        <v>40</v>
      </c>
      <c r="J424" s="5">
        <f t="shared" si="39"/>
        <v>40</v>
      </c>
      <c r="K424" s="148">
        <f t="shared" si="40"/>
        <v>40</v>
      </c>
      <c r="L424" s="5">
        <f t="shared" si="41"/>
        <v>0</v>
      </c>
    </row>
    <row r="425" spans="1:12" x14ac:dyDescent="0.25">
      <c r="A425" t="s">
        <v>257</v>
      </c>
      <c r="B425" t="s">
        <v>258</v>
      </c>
      <c r="C425" t="s">
        <v>507</v>
      </c>
      <c r="D425" s="36" t="str">
        <f t="shared" si="36"/>
        <v>CP069-P HBS TWINRIX-AP Standard</v>
      </c>
      <c r="E425" s="36" t="str">
        <f t="shared" si="37"/>
        <v>RETURN - 1st don of the week -STD</v>
      </c>
      <c r="F425" s="36" t="str">
        <f t="shared" si="38"/>
        <v>CP069-RETURN - 1st don of the week -STD</v>
      </c>
      <c r="G425" s="155">
        <f>IFERROR(VLOOKUP(F425,SpecialtyBaseLU,11,FALSE),0)</f>
        <v>40</v>
      </c>
      <c r="J425" s="5">
        <f t="shared" si="39"/>
        <v>40</v>
      </c>
      <c r="K425" s="148">
        <f t="shared" si="40"/>
        <v>40</v>
      </c>
      <c r="L425" s="5">
        <f t="shared" si="41"/>
        <v>0</v>
      </c>
    </row>
    <row r="426" spans="1:12" x14ac:dyDescent="0.25">
      <c r="A426" t="s">
        <v>257</v>
      </c>
      <c r="B426" t="s">
        <v>258</v>
      </c>
      <c r="C426" t="s">
        <v>492</v>
      </c>
      <c r="D426" s="36" t="str">
        <f t="shared" si="36"/>
        <v>CP069-P Tetanus AP Standard</v>
      </c>
      <c r="E426" s="36" t="str">
        <f t="shared" si="37"/>
        <v>RETURN - 1st don of the week -STD</v>
      </c>
      <c r="F426" s="36" t="str">
        <f t="shared" si="38"/>
        <v>CP069-RETURN - 1st don of the week -STD</v>
      </c>
      <c r="G426" s="155">
        <f>IFERROR(VLOOKUP(F426,SpecialtyBaseLU,11,FALSE),0)</f>
        <v>40</v>
      </c>
      <c r="H426" s="5">
        <f>K426-G426</f>
        <v>60</v>
      </c>
      <c r="J426" s="5">
        <f t="shared" si="39"/>
        <v>100</v>
      </c>
      <c r="K426" s="148">
        <f t="shared" si="40"/>
        <v>100</v>
      </c>
      <c r="L426" s="5">
        <f t="shared" si="41"/>
        <v>0</v>
      </c>
    </row>
    <row r="427" spans="1:12" x14ac:dyDescent="0.25">
      <c r="A427" t="s">
        <v>257</v>
      </c>
      <c r="B427" t="s">
        <v>258</v>
      </c>
      <c r="C427" t="s">
        <v>493</v>
      </c>
      <c r="D427" s="36" t="str">
        <f t="shared" si="36"/>
        <v>CP069-P Tetanus Pre-Existing Standard</v>
      </c>
      <c r="E427" s="36" t="str">
        <f t="shared" si="37"/>
        <v>RETURN - 1st don of the week -STD</v>
      </c>
      <c r="F427" s="36" t="str">
        <f t="shared" si="38"/>
        <v>CP069-RETURN - 1st don of the week -STD</v>
      </c>
      <c r="G427" s="155">
        <f>IFERROR(VLOOKUP(F427,SpecialtyBaseLU,11,FALSE),0)</f>
        <v>40</v>
      </c>
      <c r="H427" s="5">
        <f>K427-G427</f>
        <v>60</v>
      </c>
      <c r="J427" s="5">
        <f t="shared" si="39"/>
        <v>100</v>
      </c>
      <c r="K427" s="148">
        <f t="shared" si="40"/>
        <v>100</v>
      </c>
      <c r="L427" s="5">
        <f t="shared" si="41"/>
        <v>0</v>
      </c>
    </row>
    <row r="428" spans="1:12" x14ac:dyDescent="0.25">
      <c r="A428" t="s">
        <v>257</v>
      </c>
      <c r="B428" t="s">
        <v>258</v>
      </c>
      <c r="C428" t="s">
        <v>494</v>
      </c>
      <c r="D428" s="36" t="str">
        <f t="shared" si="36"/>
        <v>CP069-P Tetanus Standard</v>
      </c>
      <c r="E428" s="36" t="str">
        <f t="shared" si="37"/>
        <v>RETURN - 1st don of the week -STD</v>
      </c>
      <c r="F428" s="36" t="str">
        <f t="shared" si="38"/>
        <v>CP069-RETURN - 1st don of the week -STD</v>
      </c>
      <c r="G428" s="155">
        <f>IFERROR(VLOOKUP(F428,SpecialtyBaseLU,11,FALSE),0)</f>
        <v>40</v>
      </c>
      <c r="H428" s="5">
        <f>K428-G428</f>
        <v>60</v>
      </c>
      <c r="J428" s="5">
        <f t="shared" si="39"/>
        <v>100</v>
      </c>
      <c r="K428" s="148">
        <f t="shared" si="40"/>
        <v>100</v>
      </c>
      <c r="L428" s="5">
        <f t="shared" si="41"/>
        <v>0</v>
      </c>
    </row>
    <row r="429" spans="1:12" x14ac:dyDescent="0.25">
      <c r="A429" t="s">
        <v>257</v>
      </c>
      <c r="B429" t="s">
        <v>258</v>
      </c>
      <c r="C429" t="s">
        <v>508</v>
      </c>
      <c r="D429" s="36" t="str">
        <f t="shared" si="36"/>
        <v>CP069-P Tetanus Tox Standard</v>
      </c>
      <c r="E429" s="36" t="str">
        <f t="shared" si="37"/>
        <v>RETURN - 1st don of the week -STD</v>
      </c>
      <c r="F429" s="36" t="str">
        <f t="shared" si="38"/>
        <v>CP069-RETURN - 1st don of the week -STD</v>
      </c>
      <c r="G429" s="155">
        <f>IFERROR(VLOOKUP(F429,SpecialtyBaseLU,11,FALSE),0)</f>
        <v>40</v>
      </c>
      <c r="H429" s="5">
        <f>K429-G429</f>
        <v>60</v>
      </c>
      <c r="J429" s="5">
        <f t="shared" si="39"/>
        <v>100</v>
      </c>
      <c r="K429" s="148">
        <f t="shared" si="40"/>
        <v>100</v>
      </c>
      <c r="L429" s="5">
        <f t="shared" si="41"/>
        <v>0</v>
      </c>
    </row>
    <row r="430" spans="1:12" x14ac:dyDescent="0.25">
      <c r="A430" t="s">
        <v>521</v>
      </c>
      <c r="B430" t="s">
        <v>274</v>
      </c>
      <c r="C430" t="s">
        <v>469</v>
      </c>
      <c r="D430" s="36" t="str">
        <f t="shared" si="36"/>
        <v>CP137-P Anti-D Pre-Existing Standard</v>
      </c>
      <c r="E430" s="36" t="str">
        <f t="shared" si="37"/>
        <v>RETURN - 1st don of the week -STD</v>
      </c>
      <c r="F430" s="36" t="str">
        <f t="shared" si="38"/>
        <v>CP137-RETURN - 1st don of the week -STD</v>
      </c>
      <c r="G430" s="155">
        <f>IFERROR(VLOOKUP(F430,SpecialtyBaseLU,11,FALSE),0)</f>
        <v>40</v>
      </c>
      <c r="H430" s="5">
        <v>10</v>
      </c>
      <c r="J430" s="5">
        <f t="shared" si="39"/>
        <v>50</v>
      </c>
      <c r="K430" s="148">
        <f t="shared" si="40"/>
        <v>50</v>
      </c>
      <c r="L430" s="5">
        <f t="shared" si="41"/>
        <v>0</v>
      </c>
    </row>
    <row r="431" spans="1:12" x14ac:dyDescent="0.25">
      <c r="A431" t="s">
        <v>522</v>
      </c>
      <c r="B431" t="s">
        <v>225</v>
      </c>
      <c r="C431" t="s">
        <v>469</v>
      </c>
      <c r="D431" s="36" t="str">
        <f t="shared" si="36"/>
        <v>CP949-P Anti-D Pre-Existing Standard</v>
      </c>
      <c r="E431" s="36" t="str">
        <f t="shared" si="37"/>
        <v>RETURN - 1st don of the week -STD</v>
      </c>
      <c r="F431" s="36" t="str">
        <f t="shared" si="38"/>
        <v>CP949-RETURN - 1st don of the week -STD</v>
      </c>
      <c r="G431" s="155">
        <f>IFERROR(VLOOKUP(F431,SpecialtyBaseLU,11,FALSE),0)</f>
        <v>50</v>
      </c>
      <c r="H431" s="5">
        <v>0</v>
      </c>
      <c r="J431" s="5">
        <f t="shared" si="39"/>
        <v>50</v>
      </c>
      <c r="K431" s="148">
        <f t="shared" si="40"/>
        <v>50</v>
      </c>
      <c r="L431" s="5">
        <f t="shared" si="41"/>
        <v>0</v>
      </c>
    </row>
    <row r="432" spans="1:12" x14ac:dyDescent="0.25">
      <c r="A432" t="s">
        <v>122</v>
      </c>
      <c r="B432" t="s">
        <v>123</v>
      </c>
      <c r="C432" t="s">
        <v>488</v>
      </c>
      <c r="D432" s="36" t="str">
        <f t="shared" si="36"/>
        <v>CP283-2X Week P VZV</v>
      </c>
      <c r="E432" s="36" t="str">
        <f t="shared" si="37"/>
        <v>RETURN - 2nd don of the week -BONUS</v>
      </c>
      <c r="F432" s="36" t="str">
        <f t="shared" si="38"/>
        <v>CP283-RETURN - 2nd don of the week -BONUS</v>
      </c>
      <c r="G432" s="155">
        <f>IFERROR(VLOOKUP(F432,SpecialtyBaseLU,11,FALSE),0)</f>
        <v>5</v>
      </c>
      <c r="H432" s="5">
        <v>0</v>
      </c>
      <c r="J432" s="5">
        <f t="shared" si="39"/>
        <v>5</v>
      </c>
      <c r="K432" s="148">
        <f t="shared" si="40"/>
        <v>6</v>
      </c>
      <c r="L432" s="5">
        <f t="shared" si="41"/>
        <v>-1</v>
      </c>
    </row>
    <row r="433" spans="1:12" x14ac:dyDescent="0.25">
      <c r="A433" t="s">
        <v>122</v>
      </c>
      <c r="B433" t="s">
        <v>123</v>
      </c>
      <c r="C433" t="s">
        <v>489</v>
      </c>
      <c r="D433" s="36" t="str">
        <f t="shared" si="36"/>
        <v>CP283-2X Week P VZV AP</v>
      </c>
      <c r="E433" s="36" t="str">
        <f t="shared" si="37"/>
        <v>RETURN - 2nd don of the week -BONUS</v>
      </c>
      <c r="F433" s="36" t="str">
        <f t="shared" si="38"/>
        <v>CP283-RETURN - 2nd don of the week -BONUS</v>
      </c>
      <c r="G433" s="155">
        <f>IFERROR(VLOOKUP(F433,SpecialtyBaseLU,11,FALSE),0)</f>
        <v>5</v>
      </c>
      <c r="H433" s="5">
        <v>0</v>
      </c>
      <c r="J433" s="5">
        <f t="shared" si="39"/>
        <v>5</v>
      </c>
      <c r="K433" s="148">
        <f t="shared" si="40"/>
        <v>6</v>
      </c>
      <c r="L433" s="5">
        <f t="shared" si="41"/>
        <v>-1</v>
      </c>
    </row>
    <row r="434" spans="1:12" x14ac:dyDescent="0.25">
      <c r="A434" t="s">
        <v>122</v>
      </c>
      <c r="B434" t="s">
        <v>123</v>
      </c>
      <c r="C434" t="s">
        <v>490</v>
      </c>
      <c r="D434" s="36" t="str">
        <f t="shared" si="36"/>
        <v>CP283-2X Week P VZV Pre-Existing</v>
      </c>
      <c r="E434" s="36" t="str">
        <f t="shared" si="37"/>
        <v>RETURN - 2nd don of the week -BONUS</v>
      </c>
      <c r="F434" s="36" t="str">
        <f t="shared" si="38"/>
        <v>CP283-RETURN - 2nd don of the week -BONUS</v>
      </c>
      <c r="G434" s="155">
        <f>IFERROR(VLOOKUP(F434,SpecialtyBaseLU,11,FALSE),0)</f>
        <v>5</v>
      </c>
      <c r="H434" s="5">
        <v>0</v>
      </c>
      <c r="J434" s="5">
        <f t="shared" si="39"/>
        <v>5</v>
      </c>
      <c r="K434" s="148">
        <f t="shared" si="40"/>
        <v>6</v>
      </c>
      <c r="L434" s="5">
        <f t="shared" si="41"/>
        <v>-1</v>
      </c>
    </row>
    <row r="435" spans="1:12" x14ac:dyDescent="0.25">
      <c r="A435" t="s">
        <v>122</v>
      </c>
      <c r="B435" t="s">
        <v>123</v>
      </c>
      <c r="C435" t="s">
        <v>491</v>
      </c>
      <c r="D435" s="36" t="str">
        <f t="shared" si="36"/>
        <v>CP283-2X Week P VZV Pre-Existing AP</v>
      </c>
      <c r="E435" s="36" t="str">
        <f t="shared" si="37"/>
        <v>RETURN - 2nd don of the week -BONUS</v>
      </c>
      <c r="F435" s="36" t="str">
        <f t="shared" si="38"/>
        <v>CP283-RETURN - 2nd don of the week -BONUS</v>
      </c>
      <c r="G435" s="155">
        <f>IFERROR(VLOOKUP(F435,SpecialtyBaseLU,11,FALSE),0)</f>
        <v>5</v>
      </c>
      <c r="H435" s="5">
        <v>0</v>
      </c>
      <c r="J435" s="5">
        <f t="shared" si="39"/>
        <v>5</v>
      </c>
      <c r="K435" s="148">
        <f t="shared" si="40"/>
        <v>6</v>
      </c>
      <c r="L435" s="5">
        <f t="shared" si="41"/>
        <v>-1</v>
      </c>
    </row>
    <row r="436" spans="1:12" x14ac:dyDescent="0.25">
      <c r="A436" t="s">
        <v>122</v>
      </c>
      <c r="B436" t="s">
        <v>123</v>
      </c>
      <c r="C436" t="s">
        <v>469</v>
      </c>
      <c r="D436" s="36" t="str">
        <f t="shared" si="36"/>
        <v>CP283-P Anti-D Pre-Existing Standard</v>
      </c>
      <c r="E436" s="36" t="str">
        <f t="shared" si="37"/>
        <v>RETURN - 1st don of the week -STD</v>
      </c>
      <c r="F436" s="36" t="str">
        <f t="shared" si="38"/>
        <v>CP283-RETURN - 1st don of the week -STD</v>
      </c>
      <c r="G436" s="155">
        <f>IFERROR(VLOOKUP(F436,SpecialtyBaseLU,11,FALSE),0)</f>
        <v>60</v>
      </c>
      <c r="H436" s="5">
        <v>-10</v>
      </c>
      <c r="J436" s="5">
        <f t="shared" si="39"/>
        <v>50</v>
      </c>
      <c r="K436" s="148">
        <f t="shared" si="40"/>
        <v>50</v>
      </c>
      <c r="L436" s="5">
        <f t="shared" si="41"/>
        <v>0</v>
      </c>
    </row>
    <row r="437" spans="1:12" x14ac:dyDescent="0.25">
      <c r="A437" t="s">
        <v>122</v>
      </c>
      <c r="B437" t="s">
        <v>123</v>
      </c>
      <c r="C437" t="s">
        <v>475</v>
      </c>
      <c r="D437" s="36" t="str">
        <f t="shared" si="36"/>
        <v>CP283-P Vaccinia AP Standard</v>
      </c>
      <c r="E437" s="36">
        <f t="shared" si="37"/>
        <v>0</v>
      </c>
      <c r="F437" s="36" t="str">
        <f t="shared" si="38"/>
        <v>CP283-0</v>
      </c>
      <c r="G437" s="155">
        <f>IFERROR(VLOOKUP(F437,SpecialtyBaseLU,11,FALSE),0)</f>
        <v>0</v>
      </c>
      <c r="I437" s="5">
        <v>100</v>
      </c>
      <c r="J437" s="5">
        <f t="shared" si="39"/>
        <v>100</v>
      </c>
      <c r="K437" s="148">
        <f t="shared" si="40"/>
        <v>100</v>
      </c>
      <c r="L437" s="5">
        <f t="shared" si="41"/>
        <v>0</v>
      </c>
    </row>
    <row r="438" spans="1:12" x14ac:dyDescent="0.25">
      <c r="A438" t="s">
        <v>122</v>
      </c>
      <c r="B438" t="s">
        <v>123</v>
      </c>
      <c r="C438" t="s">
        <v>476</v>
      </c>
      <c r="D438" s="36" t="str">
        <f t="shared" si="36"/>
        <v>CP283-P Vaccinia Standard</v>
      </c>
      <c r="E438" s="36">
        <f t="shared" si="37"/>
        <v>0</v>
      </c>
      <c r="F438" s="36" t="str">
        <f t="shared" si="38"/>
        <v>CP283-0</v>
      </c>
      <c r="G438" s="155">
        <f>IFERROR(VLOOKUP(F438,SpecialtyBaseLU,11,FALSE),0)</f>
        <v>0</v>
      </c>
      <c r="I438" s="5">
        <v>100</v>
      </c>
      <c r="J438" s="5">
        <f t="shared" si="39"/>
        <v>100</v>
      </c>
      <c r="K438" s="148">
        <f t="shared" si="40"/>
        <v>100</v>
      </c>
      <c r="L438" s="5">
        <f t="shared" si="41"/>
        <v>0</v>
      </c>
    </row>
    <row r="439" spans="1:12" x14ac:dyDescent="0.25">
      <c r="A439" t="s">
        <v>122</v>
      </c>
      <c r="B439" t="s">
        <v>123</v>
      </c>
      <c r="C439" t="s">
        <v>495</v>
      </c>
      <c r="D439" s="36" t="str">
        <f t="shared" si="36"/>
        <v>CP283-P VZV Pre-Existing AP</v>
      </c>
      <c r="E439" s="36" t="str">
        <f t="shared" si="37"/>
        <v>RETURN - 1st don of the week -STD</v>
      </c>
      <c r="F439" s="36" t="str">
        <f t="shared" si="38"/>
        <v>CP283-RETURN - 1st don of the week -STD</v>
      </c>
      <c r="G439" s="155">
        <f>IFERROR(VLOOKUP(F439,SpecialtyBaseLU,11,FALSE),0)</f>
        <v>60</v>
      </c>
      <c r="H439" s="5">
        <v>10</v>
      </c>
      <c r="I439" s="5">
        <v>0</v>
      </c>
      <c r="J439" s="5">
        <f t="shared" si="39"/>
        <v>70</v>
      </c>
      <c r="K439" s="148">
        <f t="shared" si="40"/>
        <v>70</v>
      </c>
      <c r="L439" s="5">
        <f t="shared" si="41"/>
        <v>0</v>
      </c>
    </row>
    <row r="440" spans="1:12" x14ac:dyDescent="0.25">
      <c r="A440" t="s">
        <v>122</v>
      </c>
      <c r="B440" t="s">
        <v>123</v>
      </c>
      <c r="C440" t="s">
        <v>496</v>
      </c>
      <c r="D440" s="36" t="str">
        <f t="shared" si="36"/>
        <v>CP283-P VZV Standard</v>
      </c>
      <c r="E440" s="36" t="str">
        <f t="shared" si="37"/>
        <v>RETURN - 1st don of the week -STD</v>
      </c>
      <c r="F440" s="36" t="str">
        <f t="shared" si="38"/>
        <v>CP283-RETURN - 1st don of the week -STD</v>
      </c>
      <c r="G440" s="155">
        <f>IFERROR(VLOOKUP(F440,SpecialtyBaseLU,11,FALSE),0)</f>
        <v>60</v>
      </c>
      <c r="H440" s="5">
        <v>10</v>
      </c>
      <c r="I440" s="5">
        <v>0</v>
      </c>
      <c r="J440" s="5">
        <f t="shared" si="39"/>
        <v>70</v>
      </c>
      <c r="K440" s="148">
        <f t="shared" si="40"/>
        <v>70</v>
      </c>
      <c r="L440" s="5">
        <f t="shared" si="41"/>
        <v>0</v>
      </c>
    </row>
    <row r="441" spans="1:12" x14ac:dyDescent="0.25">
      <c r="A441" t="s">
        <v>122</v>
      </c>
      <c r="B441" t="s">
        <v>123</v>
      </c>
      <c r="C441" t="s">
        <v>497</v>
      </c>
      <c r="D441" s="36" t="str">
        <f t="shared" si="36"/>
        <v>CP283-PVZV Pre-Existing Standard</v>
      </c>
      <c r="E441" s="36" t="str">
        <f t="shared" si="37"/>
        <v>RETURN - 1st don of the week -STD</v>
      </c>
      <c r="F441" s="36" t="str">
        <f t="shared" si="38"/>
        <v>CP283-RETURN - 1st don of the week -STD</v>
      </c>
      <c r="G441" s="155">
        <f>IFERROR(VLOOKUP(F441,SpecialtyBaseLU,11,FALSE),0)</f>
        <v>60</v>
      </c>
      <c r="H441" s="5">
        <f>K441-G441</f>
        <v>10</v>
      </c>
      <c r="J441" s="5">
        <f t="shared" si="39"/>
        <v>70</v>
      </c>
      <c r="K441" s="148">
        <f t="shared" si="40"/>
        <v>70</v>
      </c>
      <c r="L441" s="5">
        <f t="shared" si="41"/>
        <v>0</v>
      </c>
    </row>
    <row r="442" spans="1:12" x14ac:dyDescent="0.25">
      <c r="A442" t="s">
        <v>122</v>
      </c>
      <c r="B442" t="s">
        <v>123</v>
      </c>
      <c r="C442" t="s">
        <v>477</v>
      </c>
      <c r="D442" s="36" t="str">
        <f t="shared" si="36"/>
        <v>CP283-Vaccinia - 1st Donation</v>
      </c>
      <c r="E442" s="36">
        <f t="shared" si="37"/>
        <v>0</v>
      </c>
      <c r="F442" s="36" t="str">
        <f t="shared" si="38"/>
        <v>CP283-0</v>
      </c>
      <c r="G442" s="155">
        <f>IFERROR(VLOOKUP(F442,SpecialtyBaseLU,11,FALSE),0)</f>
        <v>0</v>
      </c>
      <c r="I442" s="5">
        <v>150</v>
      </c>
      <c r="J442" s="5">
        <f t="shared" si="39"/>
        <v>150</v>
      </c>
      <c r="K442" s="148">
        <f t="shared" si="40"/>
        <v>150</v>
      </c>
      <c r="L442" s="5">
        <f t="shared" si="41"/>
        <v>0</v>
      </c>
    </row>
    <row r="443" spans="1:12" x14ac:dyDescent="0.25">
      <c r="A443" t="s">
        <v>122</v>
      </c>
      <c r="B443" t="s">
        <v>123</v>
      </c>
      <c r="C443" t="s">
        <v>478</v>
      </c>
      <c r="D443" s="36" t="str">
        <f t="shared" si="36"/>
        <v>CP283-Vaccinia - 2nd Donation</v>
      </c>
      <c r="E443" s="36">
        <f t="shared" si="37"/>
        <v>0</v>
      </c>
      <c r="F443" s="36" t="str">
        <f t="shared" si="38"/>
        <v>CP283-0</v>
      </c>
      <c r="G443" s="155">
        <f>IFERROR(VLOOKUP(F443,SpecialtyBaseLU,11,FALSE),0)</f>
        <v>0</v>
      </c>
      <c r="I443" s="5">
        <v>250</v>
      </c>
      <c r="J443" s="5">
        <f t="shared" si="39"/>
        <v>250</v>
      </c>
      <c r="K443" s="148">
        <f t="shared" si="40"/>
        <v>250</v>
      </c>
      <c r="L443" s="5">
        <f t="shared" si="41"/>
        <v>0</v>
      </c>
    </row>
    <row r="444" spans="1:12" x14ac:dyDescent="0.25">
      <c r="A444" t="s">
        <v>122</v>
      </c>
      <c r="B444" t="s">
        <v>123</v>
      </c>
      <c r="C444" t="s">
        <v>479</v>
      </c>
      <c r="D444" s="36" t="str">
        <f t="shared" si="36"/>
        <v>CP283-Vaccinia - 3rd Donation</v>
      </c>
      <c r="E444" s="36">
        <f t="shared" si="37"/>
        <v>0</v>
      </c>
      <c r="F444" s="36" t="str">
        <f t="shared" si="38"/>
        <v>CP283-0</v>
      </c>
      <c r="G444" s="155">
        <f>IFERROR(VLOOKUP(F444,SpecialtyBaseLU,11,FALSE),0)</f>
        <v>0</v>
      </c>
      <c r="I444" s="5">
        <v>300</v>
      </c>
      <c r="J444" s="5">
        <f t="shared" si="39"/>
        <v>300</v>
      </c>
      <c r="K444" s="148">
        <f t="shared" si="40"/>
        <v>300</v>
      </c>
      <c r="L444" s="5">
        <f t="shared" si="41"/>
        <v>0</v>
      </c>
    </row>
    <row r="445" spans="1:12" x14ac:dyDescent="0.25">
      <c r="A445" t="s">
        <v>122</v>
      </c>
      <c r="B445" t="s">
        <v>123</v>
      </c>
      <c r="C445" t="s">
        <v>480</v>
      </c>
      <c r="D445" s="36" t="str">
        <f t="shared" si="36"/>
        <v>CP283-Vaccinia - 4th Donation</v>
      </c>
      <c r="E445" s="36">
        <f t="shared" si="37"/>
        <v>0</v>
      </c>
      <c r="F445" s="36" t="str">
        <f t="shared" si="38"/>
        <v>CP283-0</v>
      </c>
      <c r="G445" s="155">
        <f>IFERROR(VLOOKUP(F445,SpecialtyBaseLU,11,FALSE),0)</f>
        <v>0</v>
      </c>
      <c r="I445" s="5">
        <v>300</v>
      </c>
      <c r="J445" s="5">
        <f t="shared" si="39"/>
        <v>300</v>
      </c>
      <c r="K445" s="148">
        <f t="shared" si="40"/>
        <v>300</v>
      </c>
      <c r="L445" s="5">
        <f t="shared" si="41"/>
        <v>0</v>
      </c>
    </row>
    <row r="446" spans="1:12" x14ac:dyDescent="0.25">
      <c r="A446" t="s">
        <v>122</v>
      </c>
      <c r="B446" t="s">
        <v>123</v>
      </c>
      <c r="C446" t="s">
        <v>481</v>
      </c>
      <c r="D446" s="36" t="str">
        <f t="shared" si="36"/>
        <v>CP283-Vaccinia AP - 1st Donation</v>
      </c>
      <c r="E446" s="36">
        <f t="shared" si="37"/>
        <v>0</v>
      </c>
      <c r="F446" s="36" t="str">
        <f t="shared" si="38"/>
        <v>CP283-0</v>
      </c>
      <c r="G446" s="155">
        <f>IFERROR(VLOOKUP(F446,SpecialtyBaseLU,11,FALSE),0)</f>
        <v>0</v>
      </c>
      <c r="I446" s="5">
        <v>150</v>
      </c>
      <c r="J446" s="5">
        <f t="shared" si="39"/>
        <v>150</v>
      </c>
      <c r="K446" s="148">
        <f t="shared" si="40"/>
        <v>150</v>
      </c>
      <c r="L446" s="5">
        <f t="shared" si="41"/>
        <v>0</v>
      </c>
    </row>
    <row r="447" spans="1:12" x14ac:dyDescent="0.25">
      <c r="A447" t="s">
        <v>122</v>
      </c>
      <c r="B447" t="s">
        <v>123</v>
      </c>
      <c r="C447" t="s">
        <v>482</v>
      </c>
      <c r="D447" s="36" t="str">
        <f t="shared" si="36"/>
        <v>CP283-Vaccinia AP - 2nd Donation</v>
      </c>
      <c r="E447" s="36">
        <f t="shared" si="37"/>
        <v>0</v>
      </c>
      <c r="F447" s="36" t="str">
        <f t="shared" si="38"/>
        <v>CP283-0</v>
      </c>
      <c r="G447" s="155">
        <f>IFERROR(VLOOKUP(F447,SpecialtyBaseLU,11,FALSE),0)</f>
        <v>0</v>
      </c>
      <c r="I447" s="5">
        <v>250</v>
      </c>
      <c r="J447" s="5">
        <f t="shared" si="39"/>
        <v>250</v>
      </c>
      <c r="K447" s="148">
        <f t="shared" si="40"/>
        <v>250</v>
      </c>
      <c r="L447" s="5">
        <f t="shared" si="41"/>
        <v>0</v>
      </c>
    </row>
    <row r="448" spans="1:12" x14ac:dyDescent="0.25">
      <c r="A448" t="s">
        <v>122</v>
      </c>
      <c r="B448" t="s">
        <v>123</v>
      </c>
      <c r="C448" t="s">
        <v>483</v>
      </c>
      <c r="D448" s="36" t="str">
        <f t="shared" si="36"/>
        <v>CP283-Vaccinia AP - 3rd Donation</v>
      </c>
      <c r="E448" s="36">
        <f t="shared" si="37"/>
        <v>0</v>
      </c>
      <c r="F448" s="36" t="str">
        <f t="shared" si="38"/>
        <v>CP283-0</v>
      </c>
      <c r="G448" s="155">
        <f>IFERROR(VLOOKUP(F448,SpecialtyBaseLU,11,FALSE),0)</f>
        <v>0</v>
      </c>
      <c r="I448" s="5">
        <v>300</v>
      </c>
      <c r="J448" s="5">
        <f t="shared" si="39"/>
        <v>300</v>
      </c>
      <c r="K448" s="148">
        <f t="shared" si="40"/>
        <v>300</v>
      </c>
      <c r="L448" s="5">
        <f t="shared" si="41"/>
        <v>0</v>
      </c>
    </row>
    <row r="449" spans="1:12" x14ac:dyDescent="0.25">
      <c r="A449" t="s">
        <v>122</v>
      </c>
      <c r="B449" t="s">
        <v>123</v>
      </c>
      <c r="C449" t="s">
        <v>484</v>
      </c>
      <c r="D449" s="36" t="str">
        <f t="shared" si="36"/>
        <v>CP283-Vaccinia AP - 4th Donation</v>
      </c>
      <c r="E449" s="36">
        <f t="shared" si="37"/>
        <v>0</v>
      </c>
      <c r="F449" s="36" t="str">
        <f t="shared" si="38"/>
        <v>CP283-0</v>
      </c>
      <c r="G449" s="155">
        <f>IFERROR(VLOOKUP(F449,SpecialtyBaseLU,11,FALSE),0)</f>
        <v>0</v>
      </c>
      <c r="I449" s="5">
        <v>300</v>
      </c>
      <c r="J449" s="5">
        <f t="shared" si="39"/>
        <v>300</v>
      </c>
      <c r="K449" s="148">
        <f t="shared" si="40"/>
        <v>300</v>
      </c>
      <c r="L449" s="5">
        <f t="shared" si="41"/>
        <v>0</v>
      </c>
    </row>
    <row r="450" spans="1:12" x14ac:dyDescent="0.25">
      <c r="A450" t="s">
        <v>523</v>
      </c>
      <c r="B450" t="s">
        <v>133</v>
      </c>
      <c r="C450" t="s">
        <v>488</v>
      </c>
      <c r="D450" s="36" t="str">
        <f t="shared" si="36"/>
        <v>CP284-2X Week P VZV</v>
      </c>
      <c r="E450" s="36" t="str">
        <f t="shared" si="37"/>
        <v>RETURN - 2nd don of the week -BONUS</v>
      </c>
      <c r="F450" s="36" t="str">
        <f t="shared" si="38"/>
        <v>CP284-RETURN - 2nd don of the week -BONUS</v>
      </c>
      <c r="G450" s="155">
        <f>IFERROR(VLOOKUP(F450,SpecialtyBaseLU,11,FALSE),0)</f>
        <v>6</v>
      </c>
      <c r="H450" s="5">
        <v>0</v>
      </c>
      <c r="J450" s="5">
        <f t="shared" si="39"/>
        <v>6</v>
      </c>
      <c r="K450" s="148">
        <f t="shared" si="40"/>
        <v>6</v>
      </c>
      <c r="L450" s="5">
        <f t="shared" si="41"/>
        <v>0</v>
      </c>
    </row>
    <row r="451" spans="1:12" x14ac:dyDescent="0.25">
      <c r="A451" t="s">
        <v>523</v>
      </c>
      <c r="B451" t="s">
        <v>133</v>
      </c>
      <c r="C451" t="s">
        <v>489</v>
      </c>
      <c r="D451" s="36" t="str">
        <f t="shared" si="36"/>
        <v>CP284-2X Week P VZV AP</v>
      </c>
      <c r="E451" s="36" t="str">
        <f t="shared" si="37"/>
        <v>RETURN - 2nd don of the week -BONUS</v>
      </c>
      <c r="F451" s="36" t="str">
        <f t="shared" si="38"/>
        <v>CP284-RETURN - 2nd don of the week -BONUS</v>
      </c>
      <c r="G451" s="155">
        <f>IFERROR(VLOOKUP(F451,SpecialtyBaseLU,11,FALSE),0)</f>
        <v>6</v>
      </c>
      <c r="H451" s="5">
        <v>0</v>
      </c>
      <c r="J451" s="5">
        <f t="shared" si="39"/>
        <v>6</v>
      </c>
      <c r="K451" s="148">
        <f t="shared" si="40"/>
        <v>6</v>
      </c>
      <c r="L451" s="5">
        <f t="shared" si="41"/>
        <v>0</v>
      </c>
    </row>
    <row r="452" spans="1:12" x14ac:dyDescent="0.25">
      <c r="A452" t="s">
        <v>523</v>
      </c>
      <c r="B452" t="s">
        <v>133</v>
      </c>
      <c r="C452" t="s">
        <v>490</v>
      </c>
      <c r="D452" s="36" t="str">
        <f t="shared" ref="D452:D515" si="42">B452&amp;"-"&amp;C452</f>
        <v>CP284-2X Week P VZV Pre-Existing</v>
      </c>
      <c r="E452" s="36" t="str">
        <f t="shared" ref="E452:E515" si="43">VLOOKUP(C452,RULENAMELU,5,FALSE)</f>
        <v>RETURN - 2nd don of the week -BONUS</v>
      </c>
      <c r="F452" s="36" t="str">
        <f t="shared" ref="F452:F515" si="44">B452&amp;"-"&amp;E452</f>
        <v>CP284-RETURN - 2nd don of the week -BONUS</v>
      </c>
      <c r="G452" s="155">
        <f>IFERROR(VLOOKUP(F452,SpecialtyBaseLU,11,FALSE),0)</f>
        <v>6</v>
      </c>
      <c r="H452" s="5">
        <v>0</v>
      </c>
      <c r="J452" s="5">
        <f t="shared" ref="J452:J515" si="45">G452+H452+I452</f>
        <v>6</v>
      </c>
      <c r="K452" s="148">
        <f t="shared" ref="K452:K515" si="46">VLOOKUP(D452,CurrentNLDataLU,11,FALSE)</f>
        <v>6</v>
      </c>
      <c r="L452" s="5">
        <f t="shared" ref="L452:L515" si="47">J452-K452</f>
        <v>0</v>
      </c>
    </row>
    <row r="453" spans="1:12" x14ac:dyDescent="0.25">
      <c r="A453" t="s">
        <v>523</v>
      </c>
      <c r="B453" t="s">
        <v>133</v>
      </c>
      <c r="C453" t="s">
        <v>491</v>
      </c>
      <c r="D453" s="36" t="str">
        <f t="shared" si="42"/>
        <v>CP284-2X Week P VZV Pre-Existing AP</v>
      </c>
      <c r="E453" s="36" t="str">
        <f t="shared" si="43"/>
        <v>RETURN - 2nd don of the week -BONUS</v>
      </c>
      <c r="F453" s="36" t="str">
        <f t="shared" si="44"/>
        <v>CP284-RETURN - 2nd don of the week -BONUS</v>
      </c>
      <c r="G453" s="155">
        <f>IFERROR(VLOOKUP(F453,SpecialtyBaseLU,11,FALSE),0)</f>
        <v>6</v>
      </c>
      <c r="H453" s="5">
        <v>0</v>
      </c>
      <c r="J453" s="5">
        <f t="shared" si="45"/>
        <v>6</v>
      </c>
      <c r="K453" s="148">
        <f t="shared" si="46"/>
        <v>6</v>
      </c>
      <c r="L453" s="5">
        <f t="shared" si="47"/>
        <v>0</v>
      </c>
    </row>
    <row r="454" spans="1:12" x14ac:dyDescent="0.25">
      <c r="A454" t="s">
        <v>523</v>
      </c>
      <c r="B454" t="s">
        <v>133</v>
      </c>
      <c r="C454" t="s">
        <v>469</v>
      </c>
      <c r="D454" s="36" t="str">
        <f t="shared" si="42"/>
        <v>CP284-P Anti-D Pre-Existing Standard</v>
      </c>
      <c r="E454" s="36" t="str">
        <f t="shared" si="43"/>
        <v>RETURN - 1st don of the week -STD</v>
      </c>
      <c r="F454" s="36" t="str">
        <f t="shared" si="44"/>
        <v>CP284-RETURN - 1st don of the week -STD</v>
      </c>
      <c r="G454" s="155">
        <f>IFERROR(VLOOKUP(F454,SpecialtyBaseLU,11,FALSE),0)</f>
        <v>64</v>
      </c>
      <c r="H454" s="5">
        <v>-14</v>
      </c>
      <c r="J454" s="5">
        <f t="shared" si="45"/>
        <v>50</v>
      </c>
      <c r="K454" s="148">
        <f t="shared" si="46"/>
        <v>50</v>
      </c>
      <c r="L454" s="5">
        <f t="shared" si="47"/>
        <v>0</v>
      </c>
    </row>
    <row r="455" spans="1:12" x14ac:dyDescent="0.25">
      <c r="A455" t="s">
        <v>523</v>
      </c>
      <c r="B455" t="s">
        <v>133</v>
      </c>
      <c r="C455" t="s">
        <v>475</v>
      </c>
      <c r="D455" s="36" t="str">
        <f t="shared" si="42"/>
        <v>CP284-P Vaccinia AP Standard</v>
      </c>
      <c r="E455" s="36">
        <f t="shared" si="43"/>
        <v>0</v>
      </c>
      <c r="F455" s="36" t="str">
        <f t="shared" si="44"/>
        <v>CP284-0</v>
      </c>
      <c r="G455" s="155">
        <f>IFERROR(VLOOKUP(F455,SpecialtyBaseLU,11,FALSE),0)</f>
        <v>0</v>
      </c>
      <c r="I455" s="5">
        <v>100</v>
      </c>
      <c r="J455" s="5">
        <f t="shared" si="45"/>
        <v>100</v>
      </c>
      <c r="K455" s="148">
        <f t="shared" si="46"/>
        <v>100</v>
      </c>
      <c r="L455" s="5">
        <f t="shared" si="47"/>
        <v>0</v>
      </c>
    </row>
    <row r="456" spans="1:12" x14ac:dyDescent="0.25">
      <c r="A456" t="s">
        <v>523</v>
      </c>
      <c r="B456" t="s">
        <v>133</v>
      </c>
      <c r="C456" t="s">
        <v>476</v>
      </c>
      <c r="D456" s="36" t="str">
        <f t="shared" si="42"/>
        <v>CP284-P Vaccinia Standard</v>
      </c>
      <c r="E456" s="36">
        <f t="shared" si="43"/>
        <v>0</v>
      </c>
      <c r="F456" s="36" t="str">
        <f t="shared" si="44"/>
        <v>CP284-0</v>
      </c>
      <c r="G456" s="155">
        <f>IFERROR(VLOOKUP(F456,SpecialtyBaseLU,11,FALSE),0)</f>
        <v>0</v>
      </c>
      <c r="I456" s="5">
        <v>100</v>
      </c>
      <c r="J456" s="5">
        <f t="shared" si="45"/>
        <v>100</v>
      </c>
      <c r="K456" s="148">
        <f t="shared" si="46"/>
        <v>100</v>
      </c>
      <c r="L456" s="5">
        <f t="shared" si="47"/>
        <v>0</v>
      </c>
    </row>
    <row r="457" spans="1:12" x14ac:dyDescent="0.25">
      <c r="A457" t="s">
        <v>523</v>
      </c>
      <c r="B457" t="s">
        <v>133</v>
      </c>
      <c r="C457" t="s">
        <v>495</v>
      </c>
      <c r="D457" s="36" t="str">
        <f t="shared" si="42"/>
        <v>CP284-P VZV Pre-Existing AP</v>
      </c>
      <c r="E457" s="36" t="str">
        <f t="shared" si="43"/>
        <v>RETURN - 1st don of the week -STD</v>
      </c>
      <c r="F457" s="36" t="str">
        <f t="shared" si="44"/>
        <v>CP284-RETURN - 1st don of the week -STD</v>
      </c>
      <c r="G457" s="155">
        <f>IFERROR(VLOOKUP(F457,SpecialtyBaseLU,11,FALSE),0)</f>
        <v>64</v>
      </c>
      <c r="H457" s="5">
        <v>10</v>
      </c>
      <c r="I457" s="5">
        <v>0</v>
      </c>
      <c r="J457" s="5">
        <f t="shared" si="45"/>
        <v>74</v>
      </c>
      <c r="K457" s="148">
        <f t="shared" si="46"/>
        <v>74</v>
      </c>
      <c r="L457" s="5">
        <f t="shared" si="47"/>
        <v>0</v>
      </c>
    </row>
    <row r="458" spans="1:12" x14ac:dyDescent="0.25">
      <c r="A458" t="s">
        <v>523</v>
      </c>
      <c r="B458" t="s">
        <v>133</v>
      </c>
      <c r="C458" t="s">
        <v>496</v>
      </c>
      <c r="D458" s="36" t="str">
        <f t="shared" si="42"/>
        <v>CP284-P VZV Standard</v>
      </c>
      <c r="E458" s="36" t="str">
        <f t="shared" si="43"/>
        <v>RETURN - 1st don of the week -STD</v>
      </c>
      <c r="F458" s="36" t="str">
        <f t="shared" si="44"/>
        <v>CP284-RETURN - 1st don of the week -STD</v>
      </c>
      <c r="G458" s="155">
        <f>IFERROR(VLOOKUP(F458,SpecialtyBaseLU,11,FALSE),0)</f>
        <v>64</v>
      </c>
      <c r="H458" s="5">
        <v>10</v>
      </c>
      <c r="I458" s="5">
        <v>0</v>
      </c>
      <c r="J458" s="5">
        <f t="shared" si="45"/>
        <v>74</v>
      </c>
      <c r="K458" s="148">
        <f t="shared" si="46"/>
        <v>74</v>
      </c>
      <c r="L458" s="5">
        <f t="shared" si="47"/>
        <v>0</v>
      </c>
    </row>
    <row r="459" spans="1:12" x14ac:dyDescent="0.25">
      <c r="A459" t="s">
        <v>523</v>
      </c>
      <c r="B459" t="s">
        <v>133</v>
      </c>
      <c r="C459" t="s">
        <v>497</v>
      </c>
      <c r="D459" s="36" t="str">
        <f t="shared" si="42"/>
        <v>CP284-PVZV Pre-Existing Standard</v>
      </c>
      <c r="E459" s="36" t="str">
        <f t="shared" si="43"/>
        <v>RETURN - 1st don of the week -STD</v>
      </c>
      <c r="F459" s="36" t="str">
        <f t="shared" si="44"/>
        <v>CP284-RETURN - 1st don of the week -STD</v>
      </c>
      <c r="G459" s="155">
        <f>IFERROR(VLOOKUP(F459,SpecialtyBaseLU,11,FALSE),0)</f>
        <v>64</v>
      </c>
      <c r="H459" s="5">
        <f>K459-G459</f>
        <v>10</v>
      </c>
      <c r="J459" s="5">
        <f t="shared" si="45"/>
        <v>74</v>
      </c>
      <c r="K459" s="148">
        <f t="shared" si="46"/>
        <v>74</v>
      </c>
      <c r="L459" s="5">
        <f t="shared" si="47"/>
        <v>0</v>
      </c>
    </row>
    <row r="460" spans="1:12" x14ac:dyDescent="0.25">
      <c r="A460" t="s">
        <v>523</v>
      </c>
      <c r="B460" t="s">
        <v>133</v>
      </c>
      <c r="C460" t="s">
        <v>477</v>
      </c>
      <c r="D460" s="36" t="str">
        <f t="shared" si="42"/>
        <v>CP284-Vaccinia - 1st Donation</v>
      </c>
      <c r="E460" s="36">
        <f t="shared" si="43"/>
        <v>0</v>
      </c>
      <c r="F460" s="36" t="str">
        <f t="shared" si="44"/>
        <v>CP284-0</v>
      </c>
      <c r="G460" s="155">
        <f>IFERROR(VLOOKUP(F460,SpecialtyBaseLU,11,FALSE),0)</f>
        <v>0</v>
      </c>
      <c r="I460" s="5">
        <v>150</v>
      </c>
      <c r="J460" s="5">
        <f t="shared" si="45"/>
        <v>150</v>
      </c>
      <c r="K460" s="148">
        <f t="shared" si="46"/>
        <v>150</v>
      </c>
      <c r="L460" s="5">
        <f t="shared" si="47"/>
        <v>0</v>
      </c>
    </row>
    <row r="461" spans="1:12" x14ac:dyDescent="0.25">
      <c r="A461" t="s">
        <v>523</v>
      </c>
      <c r="B461" t="s">
        <v>133</v>
      </c>
      <c r="C461" t="s">
        <v>478</v>
      </c>
      <c r="D461" s="36" t="str">
        <f t="shared" si="42"/>
        <v>CP284-Vaccinia - 2nd Donation</v>
      </c>
      <c r="E461" s="36">
        <f t="shared" si="43"/>
        <v>0</v>
      </c>
      <c r="F461" s="36" t="str">
        <f t="shared" si="44"/>
        <v>CP284-0</v>
      </c>
      <c r="G461" s="155">
        <f>IFERROR(VLOOKUP(F461,SpecialtyBaseLU,11,FALSE),0)</f>
        <v>0</v>
      </c>
      <c r="I461" s="5">
        <v>250</v>
      </c>
      <c r="J461" s="5">
        <f t="shared" si="45"/>
        <v>250</v>
      </c>
      <c r="K461" s="148">
        <f t="shared" si="46"/>
        <v>250</v>
      </c>
      <c r="L461" s="5">
        <f t="shared" si="47"/>
        <v>0</v>
      </c>
    </row>
    <row r="462" spans="1:12" x14ac:dyDescent="0.25">
      <c r="A462" t="s">
        <v>523</v>
      </c>
      <c r="B462" t="s">
        <v>133</v>
      </c>
      <c r="C462" t="s">
        <v>479</v>
      </c>
      <c r="D462" s="36" t="str">
        <f t="shared" si="42"/>
        <v>CP284-Vaccinia - 3rd Donation</v>
      </c>
      <c r="E462" s="36">
        <f t="shared" si="43"/>
        <v>0</v>
      </c>
      <c r="F462" s="36" t="str">
        <f t="shared" si="44"/>
        <v>CP284-0</v>
      </c>
      <c r="G462" s="155">
        <f>IFERROR(VLOOKUP(F462,SpecialtyBaseLU,11,FALSE),0)</f>
        <v>0</v>
      </c>
      <c r="I462" s="5">
        <v>300</v>
      </c>
      <c r="J462" s="5">
        <f t="shared" si="45"/>
        <v>300</v>
      </c>
      <c r="K462" s="148">
        <f t="shared" si="46"/>
        <v>300</v>
      </c>
      <c r="L462" s="5">
        <f t="shared" si="47"/>
        <v>0</v>
      </c>
    </row>
    <row r="463" spans="1:12" x14ac:dyDescent="0.25">
      <c r="A463" t="s">
        <v>523</v>
      </c>
      <c r="B463" t="s">
        <v>133</v>
      </c>
      <c r="C463" t="s">
        <v>480</v>
      </c>
      <c r="D463" s="36" t="str">
        <f t="shared" si="42"/>
        <v>CP284-Vaccinia - 4th Donation</v>
      </c>
      <c r="E463" s="36">
        <f t="shared" si="43"/>
        <v>0</v>
      </c>
      <c r="F463" s="36" t="str">
        <f t="shared" si="44"/>
        <v>CP284-0</v>
      </c>
      <c r="G463" s="155">
        <f>IFERROR(VLOOKUP(F463,SpecialtyBaseLU,11,FALSE),0)</f>
        <v>0</v>
      </c>
      <c r="I463" s="5">
        <v>300</v>
      </c>
      <c r="J463" s="5">
        <f t="shared" si="45"/>
        <v>300</v>
      </c>
      <c r="K463" s="148">
        <f t="shared" si="46"/>
        <v>300</v>
      </c>
      <c r="L463" s="5">
        <f t="shared" si="47"/>
        <v>0</v>
      </c>
    </row>
    <row r="464" spans="1:12" x14ac:dyDescent="0.25">
      <c r="A464" t="s">
        <v>523</v>
      </c>
      <c r="B464" t="s">
        <v>133</v>
      </c>
      <c r="C464" t="s">
        <v>481</v>
      </c>
      <c r="D464" s="36" t="str">
        <f t="shared" si="42"/>
        <v>CP284-Vaccinia AP - 1st Donation</v>
      </c>
      <c r="E464" s="36">
        <f t="shared" si="43"/>
        <v>0</v>
      </c>
      <c r="F464" s="36" t="str">
        <f t="shared" si="44"/>
        <v>CP284-0</v>
      </c>
      <c r="G464" s="155">
        <f>IFERROR(VLOOKUP(F464,SpecialtyBaseLU,11,FALSE),0)</f>
        <v>0</v>
      </c>
      <c r="I464" s="5">
        <v>150</v>
      </c>
      <c r="J464" s="5">
        <f t="shared" si="45"/>
        <v>150</v>
      </c>
      <c r="K464" s="148">
        <f t="shared" si="46"/>
        <v>150</v>
      </c>
      <c r="L464" s="5">
        <f t="shared" si="47"/>
        <v>0</v>
      </c>
    </row>
    <row r="465" spans="1:12" x14ac:dyDescent="0.25">
      <c r="A465" t="s">
        <v>523</v>
      </c>
      <c r="B465" t="s">
        <v>133</v>
      </c>
      <c r="C465" t="s">
        <v>482</v>
      </c>
      <c r="D465" s="36" t="str">
        <f t="shared" si="42"/>
        <v>CP284-Vaccinia AP - 2nd Donation</v>
      </c>
      <c r="E465" s="36">
        <f t="shared" si="43"/>
        <v>0</v>
      </c>
      <c r="F465" s="36" t="str">
        <f t="shared" si="44"/>
        <v>CP284-0</v>
      </c>
      <c r="G465" s="155">
        <f>IFERROR(VLOOKUP(F465,SpecialtyBaseLU,11,FALSE),0)</f>
        <v>0</v>
      </c>
      <c r="I465" s="5">
        <v>250</v>
      </c>
      <c r="J465" s="5">
        <f t="shared" si="45"/>
        <v>250</v>
      </c>
      <c r="K465" s="148">
        <f t="shared" si="46"/>
        <v>250</v>
      </c>
      <c r="L465" s="5">
        <f t="shared" si="47"/>
        <v>0</v>
      </c>
    </row>
    <row r="466" spans="1:12" x14ac:dyDescent="0.25">
      <c r="A466" t="s">
        <v>523</v>
      </c>
      <c r="B466" t="s">
        <v>133</v>
      </c>
      <c r="C466" t="s">
        <v>483</v>
      </c>
      <c r="D466" s="36" t="str">
        <f t="shared" si="42"/>
        <v>CP284-Vaccinia AP - 3rd Donation</v>
      </c>
      <c r="E466" s="36">
        <f t="shared" si="43"/>
        <v>0</v>
      </c>
      <c r="F466" s="36" t="str">
        <f t="shared" si="44"/>
        <v>CP284-0</v>
      </c>
      <c r="G466" s="155">
        <f>IFERROR(VLOOKUP(F466,SpecialtyBaseLU,11,FALSE),0)</f>
        <v>0</v>
      </c>
      <c r="I466" s="5">
        <v>300</v>
      </c>
      <c r="J466" s="5">
        <f t="shared" si="45"/>
        <v>300</v>
      </c>
      <c r="K466" s="148">
        <f t="shared" si="46"/>
        <v>300</v>
      </c>
      <c r="L466" s="5">
        <f t="shared" si="47"/>
        <v>0</v>
      </c>
    </row>
    <row r="467" spans="1:12" x14ac:dyDescent="0.25">
      <c r="A467" t="s">
        <v>523</v>
      </c>
      <c r="B467" t="s">
        <v>133</v>
      </c>
      <c r="C467" t="s">
        <v>484</v>
      </c>
      <c r="D467" s="36" t="str">
        <f t="shared" si="42"/>
        <v>CP284-Vaccinia AP - 4th Donation</v>
      </c>
      <c r="E467" s="36">
        <f t="shared" si="43"/>
        <v>0</v>
      </c>
      <c r="F467" s="36" t="str">
        <f t="shared" si="44"/>
        <v>CP284-0</v>
      </c>
      <c r="G467" s="155">
        <f>IFERROR(VLOOKUP(F467,SpecialtyBaseLU,11,FALSE),0)</f>
        <v>0</v>
      </c>
      <c r="I467" s="5">
        <v>300</v>
      </c>
      <c r="J467" s="5">
        <f t="shared" si="45"/>
        <v>300</v>
      </c>
      <c r="K467" s="148">
        <f t="shared" si="46"/>
        <v>300</v>
      </c>
      <c r="L467" s="5">
        <f t="shared" si="47"/>
        <v>0</v>
      </c>
    </row>
    <row r="468" spans="1:12" x14ac:dyDescent="0.25">
      <c r="A468" t="s">
        <v>524</v>
      </c>
      <c r="B468" t="s">
        <v>129</v>
      </c>
      <c r="C468" t="s">
        <v>471</v>
      </c>
      <c r="D468" s="36" t="str">
        <f t="shared" si="42"/>
        <v>CP285-2X Week P HBS Pre-Existing</v>
      </c>
      <c r="E468" s="36" t="str">
        <f t="shared" si="43"/>
        <v>RETURN - 2nd don of the week -BONUS</v>
      </c>
      <c r="F468" s="36" t="str">
        <f t="shared" si="44"/>
        <v>CP285-RETURN - 2nd don of the week -BONUS</v>
      </c>
      <c r="G468" s="155">
        <f>IFERROR(VLOOKUP(F468,SpecialtyBaseLU,11,FALSE),0)</f>
        <v>10</v>
      </c>
      <c r="H468" s="5">
        <v>0</v>
      </c>
      <c r="J468" s="5">
        <f t="shared" si="45"/>
        <v>10</v>
      </c>
      <c r="K468" s="148">
        <f t="shared" si="46"/>
        <v>10</v>
      </c>
      <c r="L468" s="5">
        <f t="shared" si="47"/>
        <v>0</v>
      </c>
    </row>
    <row r="469" spans="1:12" x14ac:dyDescent="0.25">
      <c r="A469" t="s">
        <v>524</v>
      </c>
      <c r="B469" t="s">
        <v>129</v>
      </c>
      <c r="C469" t="s">
        <v>504</v>
      </c>
      <c r="D469" s="36" t="str">
        <f t="shared" si="42"/>
        <v>CP285-2X Week P HBS TWINRX</v>
      </c>
      <c r="E469" s="36" t="str">
        <f t="shared" si="43"/>
        <v>RETURN - 2nd don of the week -BONUS</v>
      </c>
      <c r="F469" s="36" t="str">
        <f t="shared" si="44"/>
        <v>CP285-RETURN - 2nd don of the week -BONUS</v>
      </c>
      <c r="G469" s="155">
        <f>IFERROR(VLOOKUP(F469,SpecialtyBaseLU,11,FALSE),0)</f>
        <v>10</v>
      </c>
      <c r="H469" s="5">
        <v>0</v>
      </c>
      <c r="J469" s="5">
        <f t="shared" si="45"/>
        <v>10</v>
      </c>
      <c r="K469" s="148">
        <f t="shared" si="46"/>
        <v>10</v>
      </c>
      <c r="L469" s="5">
        <f t="shared" si="47"/>
        <v>0</v>
      </c>
    </row>
    <row r="470" spans="1:12" x14ac:dyDescent="0.25">
      <c r="A470" t="s">
        <v>524</v>
      </c>
      <c r="B470" t="s">
        <v>129</v>
      </c>
      <c r="C470" t="s">
        <v>505</v>
      </c>
      <c r="D470" s="36" t="str">
        <f t="shared" si="42"/>
        <v>CP285-2X Week P HBS TWINRX-AP</v>
      </c>
      <c r="E470" s="36" t="str">
        <f t="shared" si="43"/>
        <v>RETURN - 2nd don of the week -BONUS</v>
      </c>
      <c r="F470" s="36" t="str">
        <f t="shared" si="44"/>
        <v>CP285-RETURN - 2nd don of the week -BONUS</v>
      </c>
      <c r="G470" s="155">
        <f>IFERROR(VLOOKUP(F470,SpecialtyBaseLU,11,FALSE),0)</f>
        <v>10</v>
      </c>
      <c r="H470" s="5">
        <v>0</v>
      </c>
      <c r="J470" s="5">
        <f t="shared" si="45"/>
        <v>10</v>
      </c>
      <c r="K470" s="148">
        <f t="shared" si="46"/>
        <v>10</v>
      </c>
      <c r="L470" s="5">
        <f t="shared" si="47"/>
        <v>0</v>
      </c>
    </row>
    <row r="471" spans="1:12" x14ac:dyDescent="0.25">
      <c r="A471" t="s">
        <v>524</v>
      </c>
      <c r="B471" t="s">
        <v>129</v>
      </c>
      <c r="C471" t="s">
        <v>490</v>
      </c>
      <c r="D471" s="36" t="str">
        <f t="shared" si="42"/>
        <v>CP285-2X Week P VZV Pre-Existing</v>
      </c>
      <c r="E471" s="36" t="str">
        <f t="shared" si="43"/>
        <v>RETURN - 2nd don of the week -BONUS</v>
      </c>
      <c r="F471" s="36" t="str">
        <f t="shared" si="44"/>
        <v>CP285-RETURN - 2nd don of the week -BONUS</v>
      </c>
      <c r="G471" s="155">
        <f>IFERROR(VLOOKUP(F471,SpecialtyBaseLU,11,FALSE),0)</f>
        <v>10</v>
      </c>
      <c r="H471" s="5">
        <v>0</v>
      </c>
      <c r="J471" s="5">
        <f t="shared" si="45"/>
        <v>10</v>
      </c>
      <c r="K471" s="148">
        <f t="shared" si="46"/>
        <v>10</v>
      </c>
      <c r="L471" s="5">
        <f t="shared" si="47"/>
        <v>0</v>
      </c>
    </row>
    <row r="472" spans="1:12" x14ac:dyDescent="0.25">
      <c r="A472" t="s">
        <v>524</v>
      </c>
      <c r="B472" t="s">
        <v>129</v>
      </c>
      <c r="C472" t="s">
        <v>491</v>
      </c>
      <c r="D472" s="36" t="str">
        <f t="shared" si="42"/>
        <v>CP285-2X Week P VZV Pre-Existing AP</v>
      </c>
      <c r="E472" s="36" t="str">
        <f t="shared" si="43"/>
        <v>RETURN - 2nd don of the week -BONUS</v>
      </c>
      <c r="F472" s="36" t="str">
        <f t="shared" si="44"/>
        <v>CP285-RETURN - 2nd don of the week -BONUS</v>
      </c>
      <c r="G472" s="155">
        <f>IFERROR(VLOOKUP(F472,SpecialtyBaseLU,11,FALSE),0)</f>
        <v>10</v>
      </c>
      <c r="H472" s="5">
        <v>0</v>
      </c>
      <c r="J472" s="5">
        <f t="shared" si="45"/>
        <v>10</v>
      </c>
      <c r="K472" s="148">
        <f t="shared" si="46"/>
        <v>10</v>
      </c>
      <c r="L472" s="5">
        <f t="shared" si="47"/>
        <v>0</v>
      </c>
    </row>
    <row r="473" spans="1:12" x14ac:dyDescent="0.25">
      <c r="A473" t="s">
        <v>524</v>
      </c>
      <c r="B473" t="s">
        <v>129</v>
      </c>
      <c r="C473" t="s">
        <v>469</v>
      </c>
      <c r="D473" s="36" t="str">
        <f t="shared" si="42"/>
        <v>CP285-P Anti-D Pre-Existing Standard</v>
      </c>
      <c r="E473" s="36" t="str">
        <f t="shared" si="43"/>
        <v>RETURN - 1st don of the week -STD</v>
      </c>
      <c r="F473" s="36" t="str">
        <f t="shared" si="44"/>
        <v>CP285-RETURN - 1st don of the week -STD</v>
      </c>
      <c r="G473" s="155">
        <f>IFERROR(VLOOKUP(F473,SpecialtyBaseLU,11,FALSE),0)</f>
        <v>60</v>
      </c>
      <c r="H473" s="5">
        <v>-10</v>
      </c>
      <c r="J473" s="5">
        <f t="shared" si="45"/>
        <v>50</v>
      </c>
      <c r="K473" s="148">
        <f t="shared" si="46"/>
        <v>50</v>
      </c>
      <c r="L473" s="5">
        <f t="shared" si="47"/>
        <v>0</v>
      </c>
    </row>
    <row r="474" spans="1:12" x14ac:dyDescent="0.25">
      <c r="A474" t="s">
        <v>524</v>
      </c>
      <c r="B474" t="s">
        <v>129</v>
      </c>
      <c r="C474" t="s">
        <v>472</v>
      </c>
      <c r="D474" s="36" t="str">
        <f t="shared" si="42"/>
        <v>CP285-P HBS Pre-Existing Standard</v>
      </c>
      <c r="E474" s="36" t="str">
        <f t="shared" si="43"/>
        <v>RETURN - 1st don of the week -STD</v>
      </c>
      <c r="F474" s="36" t="str">
        <f t="shared" si="44"/>
        <v>CP285-RETURN - 1st don of the week -STD</v>
      </c>
      <c r="G474" s="155">
        <f>IFERROR(VLOOKUP(F474,SpecialtyBaseLU,11,FALSE),0)</f>
        <v>60</v>
      </c>
      <c r="H474" s="5">
        <v>20</v>
      </c>
      <c r="J474" s="5">
        <f t="shared" si="45"/>
        <v>80</v>
      </c>
      <c r="K474" s="148">
        <f t="shared" si="46"/>
        <v>80</v>
      </c>
      <c r="L474" s="5">
        <f t="shared" si="47"/>
        <v>0</v>
      </c>
    </row>
    <row r="475" spans="1:12" x14ac:dyDescent="0.25">
      <c r="A475" t="s">
        <v>524</v>
      </c>
      <c r="B475" t="s">
        <v>129</v>
      </c>
      <c r="C475" t="s">
        <v>506</v>
      </c>
      <c r="D475" s="36" t="str">
        <f t="shared" si="42"/>
        <v>CP285-P HBS TWINRIX Standard</v>
      </c>
      <c r="E475" s="36" t="str">
        <f t="shared" si="43"/>
        <v>RETURN - 1st don of the week -STD</v>
      </c>
      <c r="F475" s="36" t="str">
        <f t="shared" si="44"/>
        <v>CP285-RETURN - 1st don of the week -STD</v>
      </c>
      <c r="G475" s="155">
        <f>IFERROR(VLOOKUP(F475,SpecialtyBaseLU,11,FALSE),0)</f>
        <v>60</v>
      </c>
      <c r="H475" s="5">
        <v>20</v>
      </c>
      <c r="J475" s="5">
        <f t="shared" si="45"/>
        <v>80</v>
      </c>
      <c r="K475" s="148">
        <f t="shared" si="46"/>
        <v>80</v>
      </c>
      <c r="L475" s="5">
        <f t="shared" si="47"/>
        <v>0</v>
      </c>
    </row>
    <row r="476" spans="1:12" x14ac:dyDescent="0.25">
      <c r="A476" t="s">
        <v>524</v>
      </c>
      <c r="B476" t="s">
        <v>129</v>
      </c>
      <c r="C476" t="s">
        <v>507</v>
      </c>
      <c r="D476" s="36" t="str">
        <f t="shared" si="42"/>
        <v>CP285-P HBS TWINRIX-AP Standard</v>
      </c>
      <c r="E476" s="36" t="str">
        <f t="shared" si="43"/>
        <v>RETURN - 1st don of the week -STD</v>
      </c>
      <c r="F476" s="36" t="str">
        <f t="shared" si="44"/>
        <v>CP285-RETURN - 1st don of the week -STD</v>
      </c>
      <c r="G476" s="155">
        <f>IFERROR(VLOOKUP(F476,SpecialtyBaseLU,11,FALSE),0)</f>
        <v>60</v>
      </c>
      <c r="H476" s="5">
        <f>K476-G476</f>
        <v>20</v>
      </c>
      <c r="J476" s="5">
        <f t="shared" si="45"/>
        <v>80</v>
      </c>
      <c r="K476" s="148">
        <f t="shared" si="46"/>
        <v>80</v>
      </c>
      <c r="L476" s="5">
        <f t="shared" si="47"/>
        <v>0</v>
      </c>
    </row>
    <row r="477" spans="1:12" x14ac:dyDescent="0.25">
      <c r="A477" t="s">
        <v>524</v>
      </c>
      <c r="B477" t="s">
        <v>129</v>
      </c>
      <c r="C477" t="s">
        <v>495</v>
      </c>
      <c r="D477" s="36" t="str">
        <f t="shared" si="42"/>
        <v>CP285-P VZV Pre-Existing AP</v>
      </c>
      <c r="E477" s="36" t="str">
        <f t="shared" si="43"/>
        <v>RETURN - 1st don of the week -STD</v>
      </c>
      <c r="F477" s="36" t="str">
        <f t="shared" si="44"/>
        <v>CP285-RETURN - 1st don of the week -STD</v>
      </c>
      <c r="G477" s="155">
        <f>IFERROR(VLOOKUP(F477,SpecialtyBaseLU,11,FALSE),0)</f>
        <v>60</v>
      </c>
      <c r="H477" s="5">
        <v>10</v>
      </c>
      <c r="I477" s="5">
        <v>0</v>
      </c>
      <c r="J477" s="5">
        <f t="shared" si="45"/>
        <v>70</v>
      </c>
      <c r="K477" s="148">
        <f t="shared" si="46"/>
        <v>70</v>
      </c>
      <c r="L477" s="5">
        <f t="shared" si="47"/>
        <v>0</v>
      </c>
    </row>
    <row r="478" spans="1:12" x14ac:dyDescent="0.25">
      <c r="A478" t="s">
        <v>524</v>
      </c>
      <c r="B478" t="s">
        <v>129</v>
      </c>
      <c r="C478" t="s">
        <v>497</v>
      </c>
      <c r="D478" s="36" t="str">
        <f t="shared" si="42"/>
        <v>CP285-PVZV Pre-Existing Standard</v>
      </c>
      <c r="E478" s="36" t="str">
        <f t="shared" si="43"/>
        <v>RETURN - 1st don of the week -STD</v>
      </c>
      <c r="F478" s="36" t="str">
        <f t="shared" si="44"/>
        <v>CP285-RETURN - 1st don of the week -STD</v>
      </c>
      <c r="G478" s="155">
        <f>IFERROR(VLOOKUP(F478,SpecialtyBaseLU,11,FALSE),0)</f>
        <v>60</v>
      </c>
      <c r="H478" s="5">
        <f>K478-G478</f>
        <v>10</v>
      </c>
      <c r="J478" s="5">
        <f t="shared" si="45"/>
        <v>70</v>
      </c>
      <c r="K478" s="148">
        <f t="shared" si="46"/>
        <v>70</v>
      </c>
      <c r="L478" s="5">
        <f t="shared" si="47"/>
        <v>0</v>
      </c>
    </row>
    <row r="479" spans="1:12" x14ac:dyDescent="0.25">
      <c r="A479" t="s">
        <v>254</v>
      </c>
      <c r="B479" t="s">
        <v>255</v>
      </c>
      <c r="C479" t="s">
        <v>498</v>
      </c>
      <c r="D479" s="36" t="str">
        <f t="shared" si="42"/>
        <v>CP328-2X Week P CMV</v>
      </c>
      <c r="E479" s="36" t="str">
        <f t="shared" si="43"/>
        <v>RETURN - 2nd don of the week -BONUS</v>
      </c>
      <c r="F479" s="36" t="str">
        <f t="shared" si="44"/>
        <v>CP328-RETURN - 2nd don of the week -BONUS</v>
      </c>
      <c r="G479" s="155">
        <f>IFERROR(VLOOKUP(F479,SpecialtyBaseLU,11,FALSE),0)</f>
        <v>50</v>
      </c>
      <c r="H479" s="5">
        <v>0</v>
      </c>
      <c r="J479" s="5">
        <f t="shared" si="45"/>
        <v>50</v>
      </c>
      <c r="K479" s="148">
        <f t="shared" si="46"/>
        <v>50</v>
      </c>
      <c r="L479" s="5">
        <f t="shared" si="47"/>
        <v>0</v>
      </c>
    </row>
    <row r="480" spans="1:12" x14ac:dyDescent="0.25">
      <c r="A480" t="s">
        <v>254</v>
      </c>
      <c r="B480" t="s">
        <v>255</v>
      </c>
      <c r="C480" t="s">
        <v>470</v>
      </c>
      <c r="D480" s="36" t="str">
        <f t="shared" si="42"/>
        <v>CP328-2X Week P HBS</v>
      </c>
      <c r="E480" s="36" t="str">
        <f t="shared" si="43"/>
        <v>RETURN - 2nd don of the week -BONUS</v>
      </c>
      <c r="F480" s="36" t="str">
        <f t="shared" si="44"/>
        <v>CP328-RETURN - 2nd don of the week -BONUS</v>
      </c>
      <c r="G480" s="155">
        <f>IFERROR(VLOOKUP(F480,SpecialtyBaseLU,11,FALSE),0)</f>
        <v>50</v>
      </c>
      <c r="H480" s="5">
        <v>50</v>
      </c>
      <c r="J480" s="5">
        <f t="shared" si="45"/>
        <v>100</v>
      </c>
      <c r="K480" s="148">
        <f t="shared" si="46"/>
        <v>100</v>
      </c>
      <c r="L480" s="5">
        <f t="shared" si="47"/>
        <v>0</v>
      </c>
    </row>
    <row r="481" spans="1:12" x14ac:dyDescent="0.25">
      <c r="A481" t="s">
        <v>254</v>
      </c>
      <c r="B481" t="s">
        <v>255</v>
      </c>
      <c r="C481" t="s">
        <v>471</v>
      </c>
      <c r="D481" s="36" t="str">
        <f t="shared" si="42"/>
        <v>CP328-2X Week P HBS Pre-Existing</v>
      </c>
      <c r="E481" s="36" t="str">
        <f t="shared" si="43"/>
        <v>RETURN - 2nd don of the week -BONUS</v>
      </c>
      <c r="F481" s="36" t="str">
        <f t="shared" si="44"/>
        <v>CP328-RETURN - 2nd don of the week -BONUS</v>
      </c>
      <c r="G481" s="155">
        <f>IFERROR(VLOOKUP(F481,SpecialtyBaseLU,11,FALSE),0)</f>
        <v>50</v>
      </c>
      <c r="H481" s="5">
        <v>50</v>
      </c>
      <c r="J481" s="5">
        <f t="shared" si="45"/>
        <v>100</v>
      </c>
      <c r="K481" s="148">
        <f t="shared" si="46"/>
        <v>100</v>
      </c>
      <c r="L481" s="5">
        <f t="shared" si="47"/>
        <v>0</v>
      </c>
    </row>
    <row r="482" spans="1:12" x14ac:dyDescent="0.25">
      <c r="A482" t="s">
        <v>254</v>
      </c>
      <c r="B482" t="s">
        <v>255</v>
      </c>
      <c r="C482" t="s">
        <v>499</v>
      </c>
      <c r="D482" s="36" t="str">
        <f t="shared" si="42"/>
        <v>CP328-2X Week P Rabies</v>
      </c>
      <c r="E482" s="36" t="str">
        <f t="shared" si="43"/>
        <v>RETURN - 2nd don of the week -BONUS</v>
      </c>
      <c r="F482" s="36" t="str">
        <f t="shared" si="44"/>
        <v>CP328-RETURN - 2nd don of the week -BONUS</v>
      </c>
      <c r="G482" s="155">
        <f>IFERROR(VLOOKUP(F482,SpecialtyBaseLU,11,FALSE),0)</f>
        <v>50</v>
      </c>
      <c r="H482" s="5">
        <v>50</v>
      </c>
      <c r="J482" s="5">
        <f t="shared" si="45"/>
        <v>100</v>
      </c>
      <c r="K482" s="148">
        <f t="shared" si="46"/>
        <v>100</v>
      </c>
      <c r="L482" s="5">
        <f t="shared" si="47"/>
        <v>0</v>
      </c>
    </row>
    <row r="483" spans="1:12" x14ac:dyDescent="0.25">
      <c r="A483" t="s">
        <v>254</v>
      </c>
      <c r="B483" t="s">
        <v>255</v>
      </c>
      <c r="C483" t="s">
        <v>500</v>
      </c>
      <c r="D483" s="36" t="str">
        <f t="shared" si="42"/>
        <v>CP328-2X Week P Rabies HT</v>
      </c>
      <c r="E483" s="36" t="str">
        <f t="shared" si="43"/>
        <v>RETURN - 2nd don of the week -BONUS</v>
      </c>
      <c r="F483" s="36" t="str">
        <f t="shared" si="44"/>
        <v>CP328-RETURN - 2nd don of the week -BONUS</v>
      </c>
      <c r="G483" s="155">
        <f>IFERROR(VLOOKUP(F483,SpecialtyBaseLU,11,FALSE),0)</f>
        <v>50</v>
      </c>
      <c r="H483" s="5">
        <v>50</v>
      </c>
      <c r="J483" s="5">
        <f t="shared" si="45"/>
        <v>100</v>
      </c>
      <c r="K483" s="148">
        <f t="shared" si="46"/>
        <v>100</v>
      </c>
      <c r="L483" s="5">
        <f t="shared" si="47"/>
        <v>0</v>
      </c>
    </row>
    <row r="484" spans="1:12" x14ac:dyDescent="0.25">
      <c r="A484" t="s">
        <v>254</v>
      </c>
      <c r="B484" t="s">
        <v>255</v>
      </c>
      <c r="C484" t="s">
        <v>485</v>
      </c>
      <c r="D484" s="36" t="str">
        <f t="shared" si="42"/>
        <v>CP328-2X Week P Tetanus</v>
      </c>
      <c r="E484" s="36" t="str">
        <f t="shared" si="43"/>
        <v>RETURN - 2nd don of the week -BONUS</v>
      </c>
      <c r="F484" s="36" t="str">
        <f t="shared" si="44"/>
        <v>CP328-RETURN - 2nd don of the week -BONUS</v>
      </c>
      <c r="G484" s="155">
        <f>IFERROR(VLOOKUP(F484,SpecialtyBaseLU,11,FALSE),0)</f>
        <v>50</v>
      </c>
      <c r="H484" s="5">
        <v>50</v>
      </c>
      <c r="J484" s="5">
        <f t="shared" si="45"/>
        <v>100</v>
      </c>
      <c r="K484" s="148">
        <f t="shared" si="46"/>
        <v>100</v>
      </c>
      <c r="L484" s="5">
        <f t="shared" si="47"/>
        <v>0</v>
      </c>
    </row>
    <row r="485" spans="1:12" x14ac:dyDescent="0.25">
      <c r="A485" t="s">
        <v>254</v>
      </c>
      <c r="B485" t="s">
        <v>255</v>
      </c>
      <c r="C485" t="s">
        <v>486</v>
      </c>
      <c r="D485" s="36" t="str">
        <f t="shared" si="42"/>
        <v>CP328-2X Week P Tetanus AP</v>
      </c>
      <c r="E485" s="36" t="str">
        <f t="shared" si="43"/>
        <v>RETURN - 2nd don of the week -BONUS</v>
      </c>
      <c r="F485" s="36" t="str">
        <f t="shared" si="44"/>
        <v>CP328-RETURN - 2nd don of the week -BONUS</v>
      </c>
      <c r="G485" s="155">
        <f>IFERROR(VLOOKUP(F485,SpecialtyBaseLU,11,FALSE),0)</f>
        <v>50</v>
      </c>
      <c r="H485" s="5">
        <v>50</v>
      </c>
      <c r="J485" s="5">
        <f t="shared" si="45"/>
        <v>100</v>
      </c>
      <c r="K485" s="148">
        <f t="shared" si="46"/>
        <v>100</v>
      </c>
      <c r="L485" s="5">
        <f t="shared" si="47"/>
        <v>0</v>
      </c>
    </row>
    <row r="486" spans="1:12" x14ac:dyDescent="0.25">
      <c r="A486" t="s">
        <v>254</v>
      </c>
      <c r="B486" t="s">
        <v>255</v>
      </c>
      <c r="C486" t="s">
        <v>487</v>
      </c>
      <c r="D486" s="36" t="str">
        <f t="shared" si="42"/>
        <v>CP328-2X Week P Tetanus PE</v>
      </c>
      <c r="E486" s="36" t="str">
        <f t="shared" si="43"/>
        <v>RETURN - 2nd don of the week -BONUS</v>
      </c>
      <c r="F486" s="36" t="str">
        <f t="shared" si="44"/>
        <v>CP328-RETURN - 2nd don of the week -BONUS</v>
      </c>
      <c r="G486" s="155">
        <f>IFERROR(VLOOKUP(F486,SpecialtyBaseLU,11,FALSE),0)</f>
        <v>50</v>
      </c>
      <c r="H486" s="5">
        <v>50</v>
      </c>
      <c r="J486" s="5">
        <f t="shared" si="45"/>
        <v>100</v>
      </c>
      <c r="K486" s="148">
        <f t="shared" si="46"/>
        <v>100</v>
      </c>
      <c r="L486" s="5">
        <f t="shared" si="47"/>
        <v>0</v>
      </c>
    </row>
    <row r="487" spans="1:12" x14ac:dyDescent="0.25">
      <c r="A487" t="s">
        <v>254</v>
      </c>
      <c r="B487" t="s">
        <v>255</v>
      </c>
      <c r="C487" t="s">
        <v>469</v>
      </c>
      <c r="D487" s="36" t="str">
        <f t="shared" si="42"/>
        <v>CP328-P Anti-D Pre-Existing Standard</v>
      </c>
      <c r="E487" s="36" t="str">
        <f t="shared" si="43"/>
        <v>RETURN - 1st don of the week -STD</v>
      </c>
      <c r="F487" s="36" t="str">
        <f t="shared" si="44"/>
        <v>CP328-RETURN - 1st don of the week -STD</v>
      </c>
      <c r="G487" s="155">
        <f>IFERROR(VLOOKUP(F487,SpecialtyBaseLU,11,FALSE),0)</f>
        <v>40</v>
      </c>
      <c r="H487" s="5">
        <v>20</v>
      </c>
      <c r="J487" s="5">
        <f t="shared" si="45"/>
        <v>60</v>
      </c>
      <c r="K487" s="148">
        <f t="shared" si="46"/>
        <v>60</v>
      </c>
      <c r="L487" s="5">
        <f t="shared" si="47"/>
        <v>0</v>
      </c>
    </row>
    <row r="488" spans="1:12" x14ac:dyDescent="0.25">
      <c r="A488" t="s">
        <v>254</v>
      </c>
      <c r="B488" t="s">
        <v>255</v>
      </c>
      <c r="C488" t="s">
        <v>474</v>
      </c>
      <c r="D488" s="36" t="str">
        <f t="shared" si="42"/>
        <v>CP328-P Anti-D Standard</v>
      </c>
      <c r="E488" s="36" t="str">
        <f t="shared" si="43"/>
        <v>RETURN - 1st don of the week -STD</v>
      </c>
      <c r="F488" s="36" t="str">
        <f t="shared" si="44"/>
        <v>CP328-RETURN - 1st don of the week -STD</v>
      </c>
      <c r="G488" s="155">
        <f>IFERROR(VLOOKUP(F488,SpecialtyBaseLU,11,FALSE),0)</f>
        <v>40</v>
      </c>
      <c r="H488" s="5">
        <v>20</v>
      </c>
      <c r="J488" s="5">
        <f t="shared" si="45"/>
        <v>60</v>
      </c>
      <c r="K488" s="148">
        <f t="shared" si="46"/>
        <v>60</v>
      </c>
      <c r="L488" s="5">
        <f t="shared" si="47"/>
        <v>0</v>
      </c>
    </row>
    <row r="489" spans="1:12" x14ac:dyDescent="0.25">
      <c r="A489" t="s">
        <v>254</v>
      </c>
      <c r="B489" t="s">
        <v>255</v>
      </c>
      <c r="C489" t="s">
        <v>501</v>
      </c>
      <c r="D489" s="36" t="str">
        <f t="shared" si="42"/>
        <v>CP328-P CMV Standard</v>
      </c>
      <c r="E489" s="36" t="str">
        <f t="shared" si="43"/>
        <v>RETURN - 1st don of the week -STD</v>
      </c>
      <c r="F489" s="36" t="str">
        <f t="shared" si="44"/>
        <v>CP328-RETURN - 1st don of the week -STD</v>
      </c>
      <c r="G489" s="155">
        <f>IFERROR(VLOOKUP(F489,SpecialtyBaseLU,11,FALSE),0)</f>
        <v>40</v>
      </c>
      <c r="H489" s="5">
        <v>0</v>
      </c>
      <c r="J489" s="5">
        <f t="shared" si="45"/>
        <v>40</v>
      </c>
      <c r="K489" s="148">
        <f t="shared" si="46"/>
        <v>40</v>
      </c>
      <c r="L489" s="5">
        <f t="shared" si="47"/>
        <v>0</v>
      </c>
    </row>
    <row r="490" spans="1:12" x14ac:dyDescent="0.25">
      <c r="A490" t="s">
        <v>254</v>
      </c>
      <c r="B490" t="s">
        <v>255</v>
      </c>
      <c r="C490" t="s">
        <v>472</v>
      </c>
      <c r="D490" s="36" t="str">
        <f t="shared" si="42"/>
        <v>CP328-P HBS Pre-Existing Standard</v>
      </c>
      <c r="E490" s="36" t="str">
        <f t="shared" si="43"/>
        <v>RETURN - 1st don of the week -STD</v>
      </c>
      <c r="F490" s="36" t="str">
        <f t="shared" si="44"/>
        <v>CP328-RETURN - 1st don of the week -STD</v>
      </c>
      <c r="G490" s="155">
        <f>IFERROR(VLOOKUP(F490,SpecialtyBaseLU,11,FALSE),0)</f>
        <v>40</v>
      </c>
      <c r="H490" s="5">
        <v>0</v>
      </c>
      <c r="J490" s="5">
        <f t="shared" si="45"/>
        <v>40</v>
      </c>
      <c r="K490" s="148">
        <f t="shared" si="46"/>
        <v>40</v>
      </c>
      <c r="L490" s="5">
        <f t="shared" si="47"/>
        <v>0</v>
      </c>
    </row>
    <row r="491" spans="1:12" x14ac:dyDescent="0.25">
      <c r="A491" t="s">
        <v>254</v>
      </c>
      <c r="B491" t="s">
        <v>255</v>
      </c>
      <c r="C491" t="s">
        <v>473</v>
      </c>
      <c r="D491" s="36" t="str">
        <f t="shared" si="42"/>
        <v>CP328-P HBS Standard</v>
      </c>
      <c r="E491" s="36" t="str">
        <f t="shared" si="43"/>
        <v>RETURN - 1st don of the week -STD</v>
      </c>
      <c r="F491" s="36" t="str">
        <f t="shared" si="44"/>
        <v>CP328-RETURN - 1st don of the week -STD</v>
      </c>
      <c r="G491" s="155">
        <f>IFERROR(VLOOKUP(F491,SpecialtyBaseLU,11,FALSE),0)</f>
        <v>40</v>
      </c>
      <c r="H491" s="5">
        <v>0</v>
      </c>
      <c r="J491" s="5">
        <f t="shared" si="45"/>
        <v>40</v>
      </c>
      <c r="K491" s="148">
        <f t="shared" si="46"/>
        <v>40</v>
      </c>
      <c r="L491" s="5">
        <f t="shared" si="47"/>
        <v>0</v>
      </c>
    </row>
    <row r="492" spans="1:12" x14ac:dyDescent="0.25">
      <c r="A492" t="s">
        <v>254</v>
      </c>
      <c r="B492" t="s">
        <v>255</v>
      </c>
      <c r="C492" t="s">
        <v>502</v>
      </c>
      <c r="D492" s="36" t="str">
        <f t="shared" si="42"/>
        <v>CP328-P Rabies HT Standard</v>
      </c>
      <c r="E492" s="36" t="str">
        <f t="shared" si="43"/>
        <v>RETURN - 1st don of the week -STD</v>
      </c>
      <c r="F492" s="36" t="str">
        <f t="shared" si="44"/>
        <v>CP328-RETURN - 1st don of the week -STD</v>
      </c>
      <c r="G492" s="155">
        <f>IFERROR(VLOOKUP(F492,SpecialtyBaseLU,11,FALSE),0)</f>
        <v>40</v>
      </c>
      <c r="H492" s="5">
        <f t="shared" ref="H492:H497" si="48">K492-G492</f>
        <v>0</v>
      </c>
      <c r="J492" s="5">
        <f t="shared" si="45"/>
        <v>40</v>
      </c>
      <c r="K492" s="148">
        <f t="shared" si="46"/>
        <v>40</v>
      </c>
      <c r="L492" s="5">
        <f t="shared" si="47"/>
        <v>0</v>
      </c>
    </row>
    <row r="493" spans="1:12" x14ac:dyDescent="0.25">
      <c r="A493" t="s">
        <v>254</v>
      </c>
      <c r="B493" t="s">
        <v>255</v>
      </c>
      <c r="C493" t="s">
        <v>503</v>
      </c>
      <c r="D493" s="36" t="str">
        <f t="shared" si="42"/>
        <v>CP328-P Rabies Standard</v>
      </c>
      <c r="E493" s="36" t="str">
        <f t="shared" si="43"/>
        <v>RETURN - 1st don of the week -STD</v>
      </c>
      <c r="F493" s="36" t="str">
        <f t="shared" si="44"/>
        <v>CP328-RETURN - 1st don of the week -STD</v>
      </c>
      <c r="G493" s="155">
        <f>IFERROR(VLOOKUP(F493,SpecialtyBaseLU,11,FALSE),0)</f>
        <v>40</v>
      </c>
      <c r="H493" s="5">
        <f t="shared" si="48"/>
        <v>0</v>
      </c>
      <c r="J493" s="5">
        <f t="shared" si="45"/>
        <v>40</v>
      </c>
      <c r="K493" s="148">
        <f t="shared" si="46"/>
        <v>40</v>
      </c>
      <c r="L493" s="5">
        <f t="shared" si="47"/>
        <v>0</v>
      </c>
    </row>
    <row r="494" spans="1:12" x14ac:dyDescent="0.25">
      <c r="A494" t="s">
        <v>254</v>
      </c>
      <c r="B494" t="s">
        <v>255</v>
      </c>
      <c r="C494" t="s">
        <v>492</v>
      </c>
      <c r="D494" s="36" t="str">
        <f t="shared" si="42"/>
        <v>CP328-P Tetanus AP Standard</v>
      </c>
      <c r="E494" s="36" t="str">
        <f t="shared" si="43"/>
        <v>RETURN - 1st don of the week -STD</v>
      </c>
      <c r="F494" s="36" t="str">
        <f t="shared" si="44"/>
        <v>CP328-RETURN - 1st don of the week -STD</v>
      </c>
      <c r="G494" s="155">
        <f>IFERROR(VLOOKUP(F494,SpecialtyBaseLU,11,FALSE),0)</f>
        <v>40</v>
      </c>
      <c r="H494" s="5">
        <f t="shared" si="48"/>
        <v>0</v>
      </c>
      <c r="J494" s="5">
        <f t="shared" si="45"/>
        <v>40</v>
      </c>
      <c r="K494" s="148">
        <f t="shared" si="46"/>
        <v>40</v>
      </c>
      <c r="L494" s="5">
        <f t="shared" si="47"/>
        <v>0</v>
      </c>
    </row>
    <row r="495" spans="1:12" x14ac:dyDescent="0.25">
      <c r="A495" t="s">
        <v>254</v>
      </c>
      <c r="B495" t="s">
        <v>255</v>
      </c>
      <c r="C495" t="s">
        <v>493</v>
      </c>
      <c r="D495" s="36" t="str">
        <f t="shared" si="42"/>
        <v>CP328-P Tetanus Pre-Existing Standard</v>
      </c>
      <c r="E495" s="36" t="str">
        <f t="shared" si="43"/>
        <v>RETURN - 1st don of the week -STD</v>
      </c>
      <c r="F495" s="36" t="str">
        <f t="shared" si="44"/>
        <v>CP328-RETURN - 1st don of the week -STD</v>
      </c>
      <c r="G495" s="155">
        <f>IFERROR(VLOOKUP(F495,SpecialtyBaseLU,11,FALSE),0)</f>
        <v>40</v>
      </c>
      <c r="H495" s="5">
        <f t="shared" si="48"/>
        <v>0</v>
      </c>
      <c r="J495" s="5">
        <f t="shared" si="45"/>
        <v>40</v>
      </c>
      <c r="K495" s="148">
        <f t="shared" si="46"/>
        <v>40</v>
      </c>
      <c r="L495" s="5">
        <f t="shared" si="47"/>
        <v>0</v>
      </c>
    </row>
    <row r="496" spans="1:12" x14ac:dyDescent="0.25">
      <c r="A496" t="s">
        <v>254</v>
      </c>
      <c r="B496" t="s">
        <v>255</v>
      </c>
      <c r="C496" t="s">
        <v>494</v>
      </c>
      <c r="D496" s="36" t="str">
        <f t="shared" si="42"/>
        <v>CP328-P Tetanus Standard</v>
      </c>
      <c r="E496" s="36" t="str">
        <f t="shared" si="43"/>
        <v>RETURN - 1st don of the week -STD</v>
      </c>
      <c r="F496" s="36" t="str">
        <f t="shared" si="44"/>
        <v>CP328-RETURN - 1st don of the week -STD</v>
      </c>
      <c r="G496" s="155">
        <f>IFERROR(VLOOKUP(F496,SpecialtyBaseLU,11,FALSE),0)</f>
        <v>40</v>
      </c>
      <c r="H496" s="5">
        <f t="shared" si="48"/>
        <v>0</v>
      </c>
      <c r="J496" s="5">
        <f t="shared" si="45"/>
        <v>40</v>
      </c>
      <c r="K496" s="148">
        <f t="shared" si="46"/>
        <v>40</v>
      </c>
      <c r="L496" s="5">
        <f t="shared" si="47"/>
        <v>0</v>
      </c>
    </row>
    <row r="497" spans="1:12" x14ac:dyDescent="0.25">
      <c r="A497" t="s">
        <v>254</v>
      </c>
      <c r="B497" t="s">
        <v>255</v>
      </c>
      <c r="C497" t="s">
        <v>508</v>
      </c>
      <c r="D497" s="36" t="str">
        <f t="shared" si="42"/>
        <v>CP328-P Tetanus Tox Standard</v>
      </c>
      <c r="E497" s="36" t="str">
        <f t="shared" si="43"/>
        <v>RETURN - 1st don of the week -STD</v>
      </c>
      <c r="F497" s="36" t="str">
        <f t="shared" si="44"/>
        <v>CP328-RETURN - 1st don of the week -STD</v>
      </c>
      <c r="G497" s="155">
        <f>IFERROR(VLOOKUP(F497,SpecialtyBaseLU,11,FALSE),0)</f>
        <v>40</v>
      </c>
      <c r="H497" s="5">
        <f t="shared" si="48"/>
        <v>0</v>
      </c>
      <c r="J497" s="5">
        <f t="shared" si="45"/>
        <v>40</v>
      </c>
      <c r="K497" s="148">
        <f t="shared" si="46"/>
        <v>40</v>
      </c>
      <c r="L497" s="5">
        <f t="shared" si="47"/>
        <v>0</v>
      </c>
    </row>
    <row r="498" spans="1:12" x14ac:dyDescent="0.25">
      <c r="A498" t="s">
        <v>254</v>
      </c>
      <c r="B498" t="s">
        <v>255</v>
      </c>
      <c r="C498" t="s">
        <v>475</v>
      </c>
      <c r="D498" s="36" t="str">
        <f t="shared" si="42"/>
        <v>CP328-P Vaccinia AP Standard</v>
      </c>
      <c r="E498" s="36">
        <f t="shared" si="43"/>
        <v>0</v>
      </c>
      <c r="F498" s="36" t="str">
        <f t="shared" si="44"/>
        <v>CP328-0</v>
      </c>
      <c r="G498" s="155">
        <f>IFERROR(VLOOKUP(F498,SpecialtyBaseLU,11,FALSE),0)</f>
        <v>0</v>
      </c>
      <c r="I498" s="5">
        <v>100</v>
      </c>
      <c r="J498" s="5">
        <f t="shared" si="45"/>
        <v>100</v>
      </c>
      <c r="K498" s="148">
        <f t="shared" si="46"/>
        <v>100</v>
      </c>
      <c r="L498" s="5">
        <f t="shared" si="47"/>
        <v>0</v>
      </c>
    </row>
    <row r="499" spans="1:12" x14ac:dyDescent="0.25">
      <c r="A499" t="s">
        <v>254</v>
      </c>
      <c r="B499" t="s">
        <v>255</v>
      </c>
      <c r="C499" t="s">
        <v>476</v>
      </c>
      <c r="D499" s="36" t="str">
        <f t="shared" si="42"/>
        <v>CP328-P Vaccinia Standard</v>
      </c>
      <c r="E499" s="36">
        <f t="shared" si="43"/>
        <v>0</v>
      </c>
      <c r="F499" s="36" t="str">
        <f t="shared" si="44"/>
        <v>CP328-0</v>
      </c>
      <c r="G499" s="155">
        <f>IFERROR(VLOOKUP(F499,SpecialtyBaseLU,11,FALSE),0)</f>
        <v>0</v>
      </c>
      <c r="I499" s="5">
        <v>100</v>
      </c>
      <c r="J499" s="5">
        <f t="shared" si="45"/>
        <v>100</v>
      </c>
      <c r="K499" s="148">
        <f t="shared" si="46"/>
        <v>100</v>
      </c>
      <c r="L499" s="5">
        <f t="shared" si="47"/>
        <v>0</v>
      </c>
    </row>
    <row r="500" spans="1:12" x14ac:dyDescent="0.25">
      <c r="A500" t="s">
        <v>254</v>
      </c>
      <c r="B500" t="s">
        <v>255</v>
      </c>
      <c r="C500" t="s">
        <v>477</v>
      </c>
      <c r="D500" s="36" t="str">
        <f t="shared" si="42"/>
        <v>CP328-Vaccinia - 1st Donation</v>
      </c>
      <c r="E500" s="36">
        <f t="shared" si="43"/>
        <v>0</v>
      </c>
      <c r="F500" s="36" t="str">
        <f t="shared" si="44"/>
        <v>CP328-0</v>
      </c>
      <c r="G500" s="155">
        <f>IFERROR(VLOOKUP(F500,SpecialtyBaseLU,11,FALSE),0)</f>
        <v>0</v>
      </c>
      <c r="I500" s="5">
        <v>150</v>
      </c>
      <c r="J500" s="5">
        <f t="shared" si="45"/>
        <v>150</v>
      </c>
      <c r="K500" s="148">
        <f t="shared" si="46"/>
        <v>150</v>
      </c>
      <c r="L500" s="5">
        <f t="shared" si="47"/>
        <v>0</v>
      </c>
    </row>
    <row r="501" spans="1:12" x14ac:dyDescent="0.25">
      <c r="A501" t="s">
        <v>254</v>
      </c>
      <c r="B501" t="s">
        <v>255</v>
      </c>
      <c r="C501" t="s">
        <v>478</v>
      </c>
      <c r="D501" s="36" t="str">
        <f t="shared" si="42"/>
        <v>CP328-Vaccinia - 2nd Donation</v>
      </c>
      <c r="E501" s="36">
        <f t="shared" si="43"/>
        <v>0</v>
      </c>
      <c r="F501" s="36" t="str">
        <f t="shared" si="44"/>
        <v>CP328-0</v>
      </c>
      <c r="G501" s="155">
        <f>IFERROR(VLOOKUP(F501,SpecialtyBaseLU,11,FALSE),0)</f>
        <v>0</v>
      </c>
      <c r="I501" s="5">
        <v>250</v>
      </c>
      <c r="J501" s="5">
        <f t="shared" si="45"/>
        <v>250</v>
      </c>
      <c r="K501" s="148">
        <f t="shared" si="46"/>
        <v>250</v>
      </c>
      <c r="L501" s="5">
        <f t="shared" si="47"/>
        <v>0</v>
      </c>
    </row>
    <row r="502" spans="1:12" x14ac:dyDescent="0.25">
      <c r="A502" t="s">
        <v>254</v>
      </c>
      <c r="B502" t="s">
        <v>255</v>
      </c>
      <c r="C502" t="s">
        <v>479</v>
      </c>
      <c r="D502" s="36" t="str">
        <f t="shared" si="42"/>
        <v>CP328-Vaccinia - 3rd Donation</v>
      </c>
      <c r="E502" s="36">
        <f t="shared" si="43"/>
        <v>0</v>
      </c>
      <c r="F502" s="36" t="str">
        <f t="shared" si="44"/>
        <v>CP328-0</v>
      </c>
      <c r="G502" s="155">
        <f>IFERROR(VLOOKUP(F502,SpecialtyBaseLU,11,FALSE),0)</f>
        <v>0</v>
      </c>
      <c r="I502" s="5">
        <v>300</v>
      </c>
      <c r="J502" s="5">
        <f t="shared" si="45"/>
        <v>300</v>
      </c>
      <c r="K502" s="148">
        <f t="shared" si="46"/>
        <v>300</v>
      </c>
      <c r="L502" s="5">
        <f t="shared" si="47"/>
        <v>0</v>
      </c>
    </row>
    <row r="503" spans="1:12" x14ac:dyDescent="0.25">
      <c r="A503" t="s">
        <v>254</v>
      </c>
      <c r="B503" t="s">
        <v>255</v>
      </c>
      <c r="C503" t="s">
        <v>480</v>
      </c>
      <c r="D503" s="36" t="str">
        <f t="shared" si="42"/>
        <v>CP328-Vaccinia - 4th Donation</v>
      </c>
      <c r="E503" s="36">
        <f t="shared" si="43"/>
        <v>0</v>
      </c>
      <c r="F503" s="36" t="str">
        <f t="shared" si="44"/>
        <v>CP328-0</v>
      </c>
      <c r="G503" s="155">
        <f>IFERROR(VLOOKUP(F503,SpecialtyBaseLU,11,FALSE),0)</f>
        <v>0</v>
      </c>
      <c r="I503" s="5">
        <v>300</v>
      </c>
      <c r="J503" s="5">
        <f t="shared" si="45"/>
        <v>300</v>
      </c>
      <c r="K503" s="148">
        <f t="shared" si="46"/>
        <v>300</v>
      </c>
      <c r="L503" s="5">
        <f t="shared" si="47"/>
        <v>0</v>
      </c>
    </row>
    <row r="504" spans="1:12" x14ac:dyDescent="0.25">
      <c r="A504" t="s">
        <v>254</v>
      </c>
      <c r="B504" t="s">
        <v>255</v>
      </c>
      <c r="C504" t="s">
        <v>481</v>
      </c>
      <c r="D504" s="36" t="str">
        <f t="shared" si="42"/>
        <v>CP328-Vaccinia AP - 1st Donation</v>
      </c>
      <c r="E504" s="36">
        <f t="shared" si="43"/>
        <v>0</v>
      </c>
      <c r="F504" s="36" t="str">
        <f t="shared" si="44"/>
        <v>CP328-0</v>
      </c>
      <c r="G504" s="155">
        <f>IFERROR(VLOOKUP(F504,SpecialtyBaseLU,11,FALSE),0)</f>
        <v>0</v>
      </c>
      <c r="I504" s="5">
        <v>150</v>
      </c>
      <c r="J504" s="5">
        <f t="shared" si="45"/>
        <v>150</v>
      </c>
      <c r="K504" s="148">
        <f t="shared" si="46"/>
        <v>150</v>
      </c>
      <c r="L504" s="5">
        <f t="shared" si="47"/>
        <v>0</v>
      </c>
    </row>
    <row r="505" spans="1:12" x14ac:dyDescent="0.25">
      <c r="A505" t="s">
        <v>254</v>
      </c>
      <c r="B505" t="s">
        <v>255</v>
      </c>
      <c r="C505" t="s">
        <v>482</v>
      </c>
      <c r="D505" s="36" t="str">
        <f t="shared" si="42"/>
        <v>CP328-Vaccinia AP - 2nd Donation</v>
      </c>
      <c r="E505" s="36">
        <f t="shared" si="43"/>
        <v>0</v>
      </c>
      <c r="F505" s="36" t="str">
        <f t="shared" si="44"/>
        <v>CP328-0</v>
      </c>
      <c r="G505" s="155">
        <f>IFERROR(VLOOKUP(F505,SpecialtyBaseLU,11,FALSE),0)</f>
        <v>0</v>
      </c>
      <c r="I505" s="5">
        <v>250</v>
      </c>
      <c r="J505" s="5">
        <f t="shared" si="45"/>
        <v>250</v>
      </c>
      <c r="K505" s="148">
        <f t="shared" si="46"/>
        <v>250</v>
      </c>
      <c r="L505" s="5">
        <f t="shared" si="47"/>
        <v>0</v>
      </c>
    </row>
    <row r="506" spans="1:12" x14ac:dyDescent="0.25">
      <c r="A506" t="s">
        <v>254</v>
      </c>
      <c r="B506" t="s">
        <v>255</v>
      </c>
      <c r="C506" t="s">
        <v>483</v>
      </c>
      <c r="D506" s="36" t="str">
        <f t="shared" si="42"/>
        <v>CP328-Vaccinia AP - 3rd Donation</v>
      </c>
      <c r="E506" s="36">
        <f t="shared" si="43"/>
        <v>0</v>
      </c>
      <c r="F506" s="36" t="str">
        <f t="shared" si="44"/>
        <v>CP328-0</v>
      </c>
      <c r="G506" s="155">
        <f>IFERROR(VLOOKUP(F506,SpecialtyBaseLU,11,FALSE),0)</f>
        <v>0</v>
      </c>
      <c r="I506" s="5">
        <v>300</v>
      </c>
      <c r="J506" s="5">
        <f t="shared" si="45"/>
        <v>300</v>
      </c>
      <c r="K506" s="148">
        <f t="shared" si="46"/>
        <v>300</v>
      </c>
      <c r="L506" s="5">
        <f t="shared" si="47"/>
        <v>0</v>
      </c>
    </row>
    <row r="507" spans="1:12" x14ac:dyDescent="0.25">
      <c r="A507" t="s">
        <v>254</v>
      </c>
      <c r="B507" t="s">
        <v>255</v>
      </c>
      <c r="C507" t="s">
        <v>484</v>
      </c>
      <c r="D507" s="36" t="str">
        <f t="shared" si="42"/>
        <v>CP328-Vaccinia AP - 4th Donation</v>
      </c>
      <c r="E507" s="36">
        <f t="shared" si="43"/>
        <v>0</v>
      </c>
      <c r="F507" s="36" t="str">
        <f t="shared" si="44"/>
        <v>CP328-0</v>
      </c>
      <c r="G507" s="155">
        <f>IFERROR(VLOOKUP(F507,SpecialtyBaseLU,11,FALSE),0)</f>
        <v>0</v>
      </c>
      <c r="I507" s="5">
        <v>300</v>
      </c>
      <c r="J507" s="5">
        <f t="shared" si="45"/>
        <v>300</v>
      </c>
      <c r="K507" s="148">
        <f t="shared" si="46"/>
        <v>300</v>
      </c>
      <c r="L507" s="5">
        <f t="shared" si="47"/>
        <v>0</v>
      </c>
    </row>
    <row r="508" spans="1:12" x14ac:dyDescent="0.25">
      <c r="A508" t="s">
        <v>525</v>
      </c>
      <c r="B508" t="s">
        <v>249</v>
      </c>
      <c r="C508" t="s">
        <v>518</v>
      </c>
      <c r="D508" s="36" t="str">
        <f t="shared" si="42"/>
        <v>CP133-2X Week P Anti-D</v>
      </c>
      <c r="E508" s="36" t="str">
        <f t="shared" si="43"/>
        <v>RETURN - 2nd don of the week -BONUS</v>
      </c>
      <c r="F508" s="36" t="str">
        <f t="shared" si="44"/>
        <v>CP133-RETURN - 2nd don of the week -BONUS</v>
      </c>
      <c r="G508" s="155">
        <f>IFERROR(VLOOKUP(F508,SpecialtyBaseLU,11,FALSE),0)</f>
        <v>50</v>
      </c>
      <c r="H508" s="5">
        <v>30</v>
      </c>
      <c r="J508" s="5">
        <f t="shared" si="45"/>
        <v>80</v>
      </c>
      <c r="K508" s="148">
        <f t="shared" si="46"/>
        <v>80</v>
      </c>
      <c r="L508" s="5">
        <f t="shared" si="47"/>
        <v>0</v>
      </c>
    </row>
    <row r="509" spans="1:12" s="152" customFormat="1" x14ac:dyDescent="0.25">
      <c r="A509" s="152" t="s">
        <v>525</v>
      </c>
      <c r="B509" s="152" t="s">
        <v>249</v>
      </c>
      <c r="C509" s="152" t="s">
        <v>498</v>
      </c>
      <c r="D509" s="152" t="str">
        <f t="shared" si="42"/>
        <v>CP133-2X Week P CMV</v>
      </c>
      <c r="E509" s="152" t="str">
        <f t="shared" si="43"/>
        <v>RETURN - 2nd don of the week -BONUS</v>
      </c>
      <c r="F509" s="152" t="str">
        <f t="shared" si="44"/>
        <v>CP133-RETURN - 2nd don of the week -BONUS</v>
      </c>
      <c r="G509" s="155">
        <f>IFERROR(VLOOKUP(F509,SpecialtyBaseLU,11,FALSE),0)</f>
        <v>50</v>
      </c>
      <c r="H509" s="153">
        <v>0</v>
      </c>
      <c r="I509" s="153"/>
      <c r="J509" s="153">
        <f t="shared" si="45"/>
        <v>50</v>
      </c>
      <c r="K509" s="154">
        <f t="shared" si="46"/>
        <v>50</v>
      </c>
      <c r="L509" s="153">
        <f t="shared" si="47"/>
        <v>0</v>
      </c>
    </row>
    <row r="510" spans="1:12" x14ac:dyDescent="0.25">
      <c r="A510" t="s">
        <v>525</v>
      </c>
      <c r="B510" t="s">
        <v>249</v>
      </c>
      <c r="C510" t="s">
        <v>470</v>
      </c>
      <c r="D510" s="36" t="str">
        <f t="shared" si="42"/>
        <v>CP133-2X Week P HBS</v>
      </c>
      <c r="E510" s="36" t="str">
        <f t="shared" si="43"/>
        <v>RETURN - 2nd don of the week -BONUS</v>
      </c>
      <c r="F510" s="36" t="str">
        <f t="shared" si="44"/>
        <v>CP133-RETURN - 2nd don of the week -BONUS</v>
      </c>
      <c r="G510" s="155">
        <f>IFERROR(VLOOKUP(F510,SpecialtyBaseLU,11,FALSE),0)</f>
        <v>50</v>
      </c>
      <c r="H510" s="5">
        <v>50</v>
      </c>
      <c r="J510" s="5">
        <f t="shared" si="45"/>
        <v>100</v>
      </c>
      <c r="K510" s="148">
        <f t="shared" si="46"/>
        <v>100</v>
      </c>
      <c r="L510" s="5">
        <f t="shared" si="47"/>
        <v>0</v>
      </c>
    </row>
    <row r="511" spans="1:12" x14ac:dyDescent="0.25">
      <c r="A511" t="s">
        <v>525</v>
      </c>
      <c r="B511" t="s">
        <v>249</v>
      </c>
      <c r="C511" t="s">
        <v>471</v>
      </c>
      <c r="D511" s="36" t="str">
        <f t="shared" si="42"/>
        <v>CP133-2X Week P HBS Pre-Existing</v>
      </c>
      <c r="E511" s="36" t="str">
        <f t="shared" si="43"/>
        <v>RETURN - 2nd don of the week -BONUS</v>
      </c>
      <c r="F511" s="36" t="str">
        <f t="shared" si="44"/>
        <v>CP133-RETURN - 2nd don of the week -BONUS</v>
      </c>
      <c r="G511" s="155">
        <f>IFERROR(VLOOKUP(F511,SpecialtyBaseLU,11,FALSE),0)</f>
        <v>50</v>
      </c>
      <c r="H511" s="5">
        <v>50</v>
      </c>
      <c r="J511" s="5">
        <f t="shared" si="45"/>
        <v>100</v>
      </c>
      <c r="K511" s="148">
        <f t="shared" si="46"/>
        <v>100</v>
      </c>
      <c r="L511" s="5">
        <f t="shared" si="47"/>
        <v>0</v>
      </c>
    </row>
    <row r="512" spans="1:12" x14ac:dyDescent="0.25">
      <c r="A512" t="s">
        <v>525</v>
      </c>
      <c r="B512" t="s">
        <v>249</v>
      </c>
      <c r="C512" t="s">
        <v>499</v>
      </c>
      <c r="D512" s="36" t="str">
        <f t="shared" si="42"/>
        <v>CP133-2X Week P Rabies</v>
      </c>
      <c r="E512" s="36" t="str">
        <f t="shared" si="43"/>
        <v>RETURN - 2nd don of the week -BONUS</v>
      </c>
      <c r="F512" s="36" t="str">
        <f t="shared" si="44"/>
        <v>CP133-RETURN - 2nd don of the week -BONUS</v>
      </c>
      <c r="G512" s="155">
        <f>IFERROR(VLOOKUP(F512,SpecialtyBaseLU,11,FALSE),0)</f>
        <v>50</v>
      </c>
      <c r="H512" s="5">
        <v>50</v>
      </c>
      <c r="J512" s="5">
        <f t="shared" si="45"/>
        <v>100</v>
      </c>
      <c r="K512" s="148">
        <f t="shared" si="46"/>
        <v>100</v>
      </c>
      <c r="L512" s="5">
        <f t="shared" si="47"/>
        <v>0</v>
      </c>
    </row>
    <row r="513" spans="1:12" x14ac:dyDescent="0.25">
      <c r="A513" t="s">
        <v>525</v>
      </c>
      <c r="B513" t="s">
        <v>249</v>
      </c>
      <c r="C513" t="s">
        <v>500</v>
      </c>
      <c r="D513" s="36" t="str">
        <f t="shared" si="42"/>
        <v>CP133-2X Week P Rabies HT</v>
      </c>
      <c r="E513" s="36" t="str">
        <f t="shared" si="43"/>
        <v>RETURN - 2nd don of the week -BONUS</v>
      </c>
      <c r="F513" s="36" t="str">
        <f t="shared" si="44"/>
        <v>CP133-RETURN - 2nd don of the week -BONUS</v>
      </c>
      <c r="G513" s="155">
        <f>IFERROR(VLOOKUP(F513,SpecialtyBaseLU,11,FALSE),0)</f>
        <v>50</v>
      </c>
      <c r="H513" s="5">
        <v>50</v>
      </c>
      <c r="J513" s="5">
        <f t="shared" si="45"/>
        <v>100</v>
      </c>
      <c r="K513" s="148">
        <f t="shared" si="46"/>
        <v>100</v>
      </c>
      <c r="L513" s="5">
        <f t="shared" si="47"/>
        <v>0</v>
      </c>
    </row>
    <row r="514" spans="1:12" x14ac:dyDescent="0.25">
      <c r="A514" t="s">
        <v>525</v>
      </c>
      <c r="B514" t="s">
        <v>249</v>
      </c>
      <c r="C514" t="s">
        <v>485</v>
      </c>
      <c r="D514" s="36" t="str">
        <f t="shared" si="42"/>
        <v>CP133-2X Week P Tetanus</v>
      </c>
      <c r="E514" s="36" t="str">
        <f t="shared" si="43"/>
        <v>RETURN - 2nd don of the week -BONUS</v>
      </c>
      <c r="F514" s="36" t="str">
        <f t="shared" si="44"/>
        <v>CP133-RETURN - 2nd don of the week -BONUS</v>
      </c>
      <c r="G514" s="155">
        <f>IFERROR(VLOOKUP(F514,SpecialtyBaseLU,11,FALSE),0)</f>
        <v>50</v>
      </c>
      <c r="H514" s="5">
        <v>50</v>
      </c>
      <c r="J514" s="5">
        <f t="shared" si="45"/>
        <v>100</v>
      </c>
      <c r="K514" s="148">
        <f t="shared" si="46"/>
        <v>100</v>
      </c>
      <c r="L514" s="5">
        <f t="shared" si="47"/>
        <v>0</v>
      </c>
    </row>
    <row r="515" spans="1:12" x14ac:dyDescent="0.25">
      <c r="A515" t="s">
        <v>525</v>
      </c>
      <c r="B515" t="s">
        <v>249</v>
      </c>
      <c r="C515" t="s">
        <v>486</v>
      </c>
      <c r="D515" s="36" t="str">
        <f t="shared" si="42"/>
        <v>CP133-2X Week P Tetanus AP</v>
      </c>
      <c r="E515" s="36" t="str">
        <f t="shared" si="43"/>
        <v>RETURN - 2nd don of the week -BONUS</v>
      </c>
      <c r="F515" s="36" t="str">
        <f t="shared" si="44"/>
        <v>CP133-RETURN - 2nd don of the week -BONUS</v>
      </c>
      <c r="G515" s="155">
        <f>IFERROR(VLOOKUP(F515,SpecialtyBaseLU,11,FALSE),0)</f>
        <v>50</v>
      </c>
      <c r="H515" s="5">
        <v>50</v>
      </c>
      <c r="J515" s="5">
        <f t="shared" si="45"/>
        <v>100</v>
      </c>
      <c r="K515" s="148">
        <f t="shared" si="46"/>
        <v>100</v>
      </c>
      <c r="L515" s="5">
        <f t="shared" si="47"/>
        <v>0</v>
      </c>
    </row>
    <row r="516" spans="1:12" x14ac:dyDescent="0.25">
      <c r="A516" t="s">
        <v>525</v>
      </c>
      <c r="B516" t="s">
        <v>249</v>
      </c>
      <c r="C516" t="s">
        <v>487</v>
      </c>
      <c r="D516" s="36" t="str">
        <f t="shared" ref="D516:D579" si="49">B516&amp;"-"&amp;C516</f>
        <v>CP133-2X Week P Tetanus PE</v>
      </c>
      <c r="E516" s="36" t="str">
        <f t="shared" ref="E516:E579" si="50">VLOOKUP(C516,RULENAMELU,5,FALSE)</f>
        <v>RETURN - 2nd don of the week -BONUS</v>
      </c>
      <c r="F516" s="36" t="str">
        <f t="shared" ref="F516:F579" si="51">B516&amp;"-"&amp;E516</f>
        <v>CP133-RETURN - 2nd don of the week -BONUS</v>
      </c>
      <c r="G516" s="155">
        <f>IFERROR(VLOOKUP(F516,SpecialtyBaseLU,11,FALSE),0)</f>
        <v>50</v>
      </c>
      <c r="H516" s="5">
        <v>50</v>
      </c>
      <c r="J516" s="5">
        <f t="shared" ref="J516:J579" si="52">G516+H516+I516</f>
        <v>100</v>
      </c>
      <c r="K516" s="148">
        <f t="shared" ref="K516:K579" si="53">VLOOKUP(D516,CurrentNLDataLU,11,FALSE)</f>
        <v>100</v>
      </c>
      <c r="L516" s="5">
        <f t="shared" ref="L516:L579" si="54">J516-K516</f>
        <v>0</v>
      </c>
    </row>
    <row r="517" spans="1:12" x14ac:dyDescent="0.25">
      <c r="A517" t="s">
        <v>525</v>
      </c>
      <c r="B517" t="s">
        <v>249</v>
      </c>
      <c r="C517" t="s">
        <v>510</v>
      </c>
      <c r="D517" s="36" t="str">
        <f t="shared" si="49"/>
        <v>CP133-2X Week P VIP A</v>
      </c>
      <c r="E517" s="36" t="str">
        <f t="shared" si="50"/>
        <v>RETURN - 2nd don of the week -BONUS</v>
      </c>
      <c r="F517" s="36" t="str">
        <f t="shared" si="51"/>
        <v>CP133-RETURN - 2nd don of the week -BONUS</v>
      </c>
      <c r="G517" s="155">
        <f>IFERROR(VLOOKUP(F517,SpecialtyBaseLU,11,FALSE),0)</f>
        <v>50</v>
      </c>
      <c r="H517" s="5">
        <v>50</v>
      </c>
      <c r="J517" s="5">
        <f t="shared" si="52"/>
        <v>100</v>
      </c>
      <c r="K517" s="148">
        <f t="shared" si="53"/>
        <v>100</v>
      </c>
      <c r="L517" s="5">
        <f t="shared" si="54"/>
        <v>0</v>
      </c>
    </row>
    <row r="518" spans="1:12" x14ac:dyDescent="0.25">
      <c r="A518" t="s">
        <v>525</v>
      </c>
      <c r="B518" t="s">
        <v>249</v>
      </c>
      <c r="C518" t="s">
        <v>511</v>
      </c>
      <c r="D518" s="36" t="str">
        <f t="shared" si="49"/>
        <v>CP133-2X Week P VIP AB</v>
      </c>
      <c r="E518" s="36" t="str">
        <f t="shared" si="50"/>
        <v>RETURN - 2nd don of the week -BONUS</v>
      </c>
      <c r="F518" s="36" t="str">
        <f t="shared" si="51"/>
        <v>CP133-RETURN - 2nd don of the week -BONUS</v>
      </c>
      <c r="G518" s="155">
        <f>IFERROR(VLOOKUP(F518,SpecialtyBaseLU,11,FALSE),0)</f>
        <v>50</v>
      </c>
      <c r="H518" s="5">
        <v>50</v>
      </c>
      <c r="J518" s="5">
        <f t="shared" si="52"/>
        <v>100</v>
      </c>
      <c r="K518" s="148">
        <f t="shared" si="53"/>
        <v>100</v>
      </c>
      <c r="L518" s="5">
        <f t="shared" si="54"/>
        <v>0</v>
      </c>
    </row>
    <row r="519" spans="1:12" x14ac:dyDescent="0.25">
      <c r="A519" t="s">
        <v>525</v>
      </c>
      <c r="B519" t="s">
        <v>249</v>
      </c>
      <c r="C519" t="s">
        <v>469</v>
      </c>
      <c r="D519" s="36" t="str">
        <f t="shared" si="49"/>
        <v>CP133-P Anti-D Pre-Existing Standard</v>
      </c>
      <c r="E519" s="36" t="str">
        <f t="shared" si="50"/>
        <v>RETURN - 1st don of the week -STD</v>
      </c>
      <c r="F519" s="36" t="str">
        <f t="shared" si="51"/>
        <v>CP133-RETURN - 1st don of the week -STD</v>
      </c>
      <c r="G519" s="155">
        <f>IFERROR(VLOOKUP(F519,SpecialtyBaseLU,11,FALSE),0)</f>
        <v>40</v>
      </c>
      <c r="H519" s="5">
        <v>20</v>
      </c>
      <c r="J519" s="5">
        <f t="shared" si="52"/>
        <v>60</v>
      </c>
      <c r="K519" s="148">
        <f t="shared" si="53"/>
        <v>60</v>
      </c>
      <c r="L519" s="5">
        <f t="shared" si="54"/>
        <v>0</v>
      </c>
    </row>
    <row r="520" spans="1:12" x14ac:dyDescent="0.25">
      <c r="A520" t="s">
        <v>525</v>
      </c>
      <c r="B520" t="s">
        <v>249</v>
      </c>
      <c r="C520" t="s">
        <v>474</v>
      </c>
      <c r="D520" s="36" t="str">
        <f t="shared" si="49"/>
        <v>CP133-P Anti-D Standard</v>
      </c>
      <c r="E520" s="36" t="str">
        <f t="shared" si="50"/>
        <v>RETURN - 1st don of the week -STD</v>
      </c>
      <c r="F520" s="36" t="str">
        <f t="shared" si="51"/>
        <v>CP133-RETURN - 1st don of the week -STD</v>
      </c>
      <c r="G520" s="155">
        <f>IFERROR(VLOOKUP(F520,SpecialtyBaseLU,11,FALSE),0)</f>
        <v>40</v>
      </c>
      <c r="H520" s="5">
        <v>20</v>
      </c>
      <c r="J520" s="5">
        <f t="shared" si="52"/>
        <v>60</v>
      </c>
      <c r="K520" s="148">
        <f t="shared" si="53"/>
        <v>60</v>
      </c>
      <c r="L520" s="5">
        <f t="shared" si="54"/>
        <v>0</v>
      </c>
    </row>
    <row r="521" spans="1:12" x14ac:dyDescent="0.25">
      <c r="A521" t="s">
        <v>525</v>
      </c>
      <c r="B521" t="s">
        <v>249</v>
      </c>
      <c r="C521" t="s">
        <v>501</v>
      </c>
      <c r="D521" s="36" t="str">
        <f t="shared" si="49"/>
        <v>CP133-P CMV Standard</v>
      </c>
      <c r="E521" s="36" t="str">
        <f t="shared" si="50"/>
        <v>RETURN - 1st don of the week -STD</v>
      </c>
      <c r="F521" s="36" t="str">
        <f t="shared" si="51"/>
        <v>CP133-RETURN - 1st don of the week -STD</v>
      </c>
      <c r="G521" s="155">
        <f>IFERROR(VLOOKUP(F521,SpecialtyBaseLU,11,FALSE),0)</f>
        <v>40</v>
      </c>
      <c r="H521" s="5">
        <v>0</v>
      </c>
      <c r="J521" s="5">
        <f t="shared" si="52"/>
        <v>40</v>
      </c>
      <c r="K521" s="148">
        <f t="shared" si="53"/>
        <v>40</v>
      </c>
      <c r="L521" s="5">
        <f t="shared" si="54"/>
        <v>0</v>
      </c>
    </row>
    <row r="522" spans="1:12" x14ac:dyDescent="0.25">
      <c r="A522" t="s">
        <v>525</v>
      </c>
      <c r="B522" t="s">
        <v>249</v>
      </c>
      <c r="C522" t="s">
        <v>472</v>
      </c>
      <c r="D522" s="36" t="str">
        <f t="shared" si="49"/>
        <v>CP133-P HBS Pre-Existing Standard</v>
      </c>
      <c r="E522" s="36" t="str">
        <f t="shared" si="50"/>
        <v>RETURN - 1st don of the week -STD</v>
      </c>
      <c r="F522" s="36" t="str">
        <f t="shared" si="51"/>
        <v>CP133-RETURN - 1st don of the week -STD</v>
      </c>
      <c r="G522" s="155">
        <f>IFERROR(VLOOKUP(F522,SpecialtyBaseLU,11,FALSE),0)</f>
        <v>40</v>
      </c>
      <c r="H522" s="5">
        <v>0</v>
      </c>
      <c r="J522" s="5">
        <f t="shared" si="52"/>
        <v>40</v>
      </c>
      <c r="K522" s="148">
        <f t="shared" si="53"/>
        <v>40</v>
      </c>
      <c r="L522" s="5">
        <f t="shared" si="54"/>
        <v>0</v>
      </c>
    </row>
    <row r="523" spans="1:12" x14ac:dyDescent="0.25">
      <c r="A523" t="s">
        <v>525</v>
      </c>
      <c r="B523" t="s">
        <v>249</v>
      </c>
      <c r="C523" t="s">
        <v>473</v>
      </c>
      <c r="D523" s="36" t="str">
        <f t="shared" si="49"/>
        <v>CP133-P HBS Standard</v>
      </c>
      <c r="E523" s="36" t="str">
        <f t="shared" si="50"/>
        <v>RETURN - 1st don of the week -STD</v>
      </c>
      <c r="F523" s="36" t="str">
        <f t="shared" si="51"/>
        <v>CP133-RETURN - 1st don of the week -STD</v>
      </c>
      <c r="G523" s="155">
        <f>IFERROR(VLOOKUP(F523,SpecialtyBaseLU,11,FALSE),0)</f>
        <v>40</v>
      </c>
      <c r="H523" s="5">
        <v>0</v>
      </c>
      <c r="J523" s="5">
        <f t="shared" si="52"/>
        <v>40</v>
      </c>
      <c r="K523" s="148">
        <f t="shared" si="53"/>
        <v>40</v>
      </c>
      <c r="L523" s="5">
        <f t="shared" si="54"/>
        <v>0</v>
      </c>
    </row>
    <row r="524" spans="1:12" x14ac:dyDescent="0.25">
      <c r="A524" t="s">
        <v>525</v>
      </c>
      <c r="B524" t="s">
        <v>249</v>
      </c>
      <c r="C524" t="s">
        <v>502</v>
      </c>
      <c r="D524" s="36" t="str">
        <f t="shared" si="49"/>
        <v>CP133-P Rabies HT Standard</v>
      </c>
      <c r="E524" s="36" t="str">
        <f t="shared" si="50"/>
        <v>RETURN - 1st don of the week -STD</v>
      </c>
      <c r="F524" s="36" t="str">
        <f t="shared" si="51"/>
        <v>CP133-RETURN - 1st don of the week -STD</v>
      </c>
      <c r="G524" s="155">
        <f>IFERROR(VLOOKUP(F524,SpecialtyBaseLU,11,FALSE),0)</f>
        <v>40</v>
      </c>
      <c r="H524" s="5">
        <f t="shared" ref="H524:H529" si="55">K524-G524</f>
        <v>0</v>
      </c>
      <c r="J524" s="5">
        <f t="shared" si="52"/>
        <v>40</v>
      </c>
      <c r="K524" s="148">
        <f t="shared" si="53"/>
        <v>40</v>
      </c>
      <c r="L524" s="5">
        <f t="shared" si="54"/>
        <v>0</v>
      </c>
    </row>
    <row r="525" spans="1:12" x14ac:dyDescent="0.25">
      <c r="A525" t="s">
        <v>525</v>
      </c>
      <c r="B525" t="s">
        <v>249</v>
      </c>
      <c r="C525" t="s">
        <v>503</v>
      </c>
      <c r="D525" s="36" t="str">
        <f t="shared" si="49"/>
        <v>CP133-P Rabies Standard</v>
      </c>
      <c r="E525" s="36" t="str">
        <f t="shared" si="50"/>
        <v>RETURN - 1st don of the week -STD</v>
      </c>
      <c r="F525" s="36" t="str">
        <f t="shared" si="51"/>
        <v>CP133-RETURN - 1st don of the week -STD</v>
      </c>
      <c r="G525" s="155">
        <f>IFERROR(VLOOKUP(F525,SpecialtyBaseLU,11,FALSE),0)</f>
        <v>40</v>
      </c>
      <c r="H525" s="5">
        <f t="shared" si="55"/>
        <v>0</v>
      </c>
      <c r="J525" s="5">
        <f t="shared" si="52"/>
        <v>40</v>
      </c>
      <c r="K525" s="148">
        <f t="shared" si="53"/>
        <v>40</v>
      </c>
      <c r="L525" s="5">
        <f t="shared" si="54"/>
        <v>0</v>
      </c>
    </row>
    <row r="526" spans="1:12" x14ac:dyDescent="0.25">
      <c r="A526" t="s">
        <v>525</v>
      </c>
      <c r="B526" t="s">
        <v>249</v>
      </c>
      <c r="C526" t="s">
        <v>492</v>
      </c>
      <c r="D526" s="36" t="str">
        <f t="shared" si="49"/>
        <v>CP133-P Tetanus AP Standard</v>
      </c>
      <c r="E526" s="36" t="str">
        <f t="shared" si="50"/>
        <v>RETURN - 1st don of the week -STD</v>
      </c>
      <c r="F526" s="36" t="str">
        <f t="shared" si="51"/>
        <v>CP133-RETURN - 1st don of the week -STD</v>
      </c>
      <c r="G526" s="155">
        <f>IFERROR(VLOOKUP(F526,SpecialtyBaseLU,11,FALSE),0)</f>
        <v>40</v>
      </c>
      <c r="H526" s="5">
        <f t="shared" si="55"/>
        <v>0</v>
      </c>
      <c r="J526" s="5">
        <f t="shared" si="52"/>
        <v>40</v>
      </c>
      <c r="K526" s="148">
        <f t="shared" si="53"/>
        <v>40</v>
      </c>
      <c r="L526" s="5">
        <f t="shared" si="54"/>
        <v>0</v>
      </c>
    </row>
    <row r="527" spans="1:12" x14ac:dyDescent="0.25">
      <c r="A527" t="s">
        <v>525</v>
      </c>
      <c r="B527" t="s">
        <v>249</v>
      </c>
      <c r="C527" t="s">
        <v>493</v>
      </c>
      <c r="D527" s="36" t="str">
        <f t="shared" si="49"/>
        <v>CP133-P Tetanus Pre-Existing Standard</v>
      </c>
      <c r="E527" s="36" t="str">
        <f t="shared" si="50"/>
        <v>RETURN - 1st don of the week -STD</v>
      </c>
      <c r="F527" s="36" t="str">
        <f t="shared" si="51"/>
        <v>CP133-RETURN - 1st don of the week -STD</v>
      </c>
      <c r="G527" s="155">
        <f>IFERROR(VLOOKUP(F527,SpecialtyBaseLU,11,FALSE),0)</f>
        <v>40</v>
      </c>
      <c r="H527" s="5">
        <f t="shared" si="55"/>
        <v>0</v>
      </c>
      <c r="J527" s="5">
        <f t="shared" si="52"/>
        <v>40</v>
      </c>
      <c r="K527" s="148">
        <f t="shared" si="53"/>
        <v>40</v>
      </c>
      <c r="L527" s="5">
        <f t="shared" si="54"/>
        <v>0</v>
      </c>
    </row>
    <row r="528" spans="1:12" x14ac:dyDescent="0.25">
      <c r="A528" t="s">
        <v>525</v>
      </c>
      <c r="B528" t="s">
        <v>249</v>
      </c>
      <c r="C528" t="s">
        <v>494</v>
      </c>
      <c r="D528" s="36" t="str">
        <f t="shared" si="49"/>
        <v>CP133-P Tetanus Standard</v>
      </c>
      <c r="E528" s="36" t="str">
        <f t="shared" si="50"/>
        <v>RETURN - 1st don of the week -STD</v>
      </c>
      <c r="F528" s="36" t="str">
        <f t="shared" si="51"/>
        <v>CP133-RETURN - 1st don of the week -STD</v>
      </c>
      <c r="G528" s="155">
        <f>IFERROR(VLOOKUP(F528,SpecialtyBaseLU,11,FALSE),0)</f>
        <v>40</v>
      </c>
      <c r="H528" s="5">
        <f t="shared" si="55"/>
        <v>0</v>
      </c>
      <c r="J528" s="5">
        <f t="shared" si="52"/>
        <v>40</v>
      </c>
      <c r="K528" s="148">
        <f t="shared" si="53"/>
        <v>40</v>
      </c>
      <c r="L528" s="5">
        <f t="shared" si="54"/>
        <v>0</v>
      </c>
    </row>
    <row r="529" spans="1:12" x14ac:dyDescent="0.25">
      <c r="A529" t="s">
        <v>525</v>
      </c>
      <c r="B529" t="s">
        <v>249</v>
      </c>
      <c r="C529" t="s">
        <v>508</v>
      </c>
      <c r="D529" s="36" t="str">
        <f t="shared" si="49"/>
        <v>CP133-P Tetanus Tox Standard</v>
      </c>
      <c r="E529" s="36" t="str">
        <f t="shared" si="50"/>
        <v>RETURN - 1st don of the week -STD</v>
      </c>
      <c r="F529" s="36" t="str">
        <f t="shared" si="51"/>
        <v>CP133-RETURN - 1st don of the week -STD</v>
      </c>
      <c r="G529" s="155">
        <f>IFERROR(VLOOKUP(F529,SpecialtyBaseLU,11,FALSE),0)</f>
        <v>40</v>
      </c>
      <c r="H529" s="5">
        <f t="shared" si="55"/>
        <v>0</v>
      </c>
      <c r="J529" s="5">
        <f t="shared" si="52"/>
        <v>40</v>
      </c>
      <c r="K529" s="148">
        <f t="shared" si="53"/>
        <v>40</v>
      </c>
      <c r="L529" s="5">
        <f t="shared" si="54"/>
        <v>0</v>
      </c>
    </row>
    <row r="530" spans="1:12" x14ac:dyDescent="0.25">
      <c r="A530" t="s">
        <v>525</v>
      </c>
      <c r="B530" t="s">
        <v>249</v>
      </c>
      <c r="C530" t="s">
        <v>475</v>
      </c>
      <c r="D530" s="36" t="str">
        <f t="shared" si="49"/>
        <v>CP133-P Vaccinia AP Standard</v>
      </c>
      <c r="E530" s="36">
        <f t="shared" si="50"/>
        <v>0</v>
      </c>
      <c r="F530" s="36" t="str">
        <f t="shared" si="51"/>
        <v>CP133-0</v>
      </c>
      <c r="G530" s="155">
        <f>IFERROR(VLOOKUP(F530,SpecialtyBaseLU,11,FALSE),0)</f>
        <v>0</v>
      </c>
      <c r="I530" s="5">
        <v>100</v>
      </c>
      <c r="J530" s="5">
        <f t="shared" si="52"/>
        <v>100</v>
      </c>
      <c r="K530" s="148">
        <f t="shared" si="53"/>
        <v>100</v>
      </c>
      <c r="L530" s="5">
        <f t="shared" si="54"/>
        <v>0</v>
      </c>
    </row>
    <row r="531" spans="1:12" x14ac:dyDescent="0.25">
      <c r="A531" t="s">
        <v>525</v>
      </c>
      <c r="B531" t="s">
        <v>249</v>
      </c>
      <c r="C531" t="s">
        <v>476</v>
      </c>
      <c r="D531" s="36" t="str">
        <f t="shared" si="49"/>
        <v>CP133-P Vaccinia Standard</v>
      </c>
      <c r="E531" s="36">
        <f t="shared" si="50"/>
        <v>0</v>
      </c>
      <c r="F531" s="36" t="str">
        <f t="shared" si="51"/>
        <v>CP133-0</v>
      </c>
      <c r="G531" s="155">
        <f>IFERROR(VLOOKUP(F531,SpecialtyBaseLU,11,FALSE),0)</f>
        <v>0</v>
      </c>
      <c r="I531" s="5">
        <v>100</v>
      </c>
      <c r="J531" s="5">
        <f t="shared" si="52"/>
        <v>100</v>
      </c>
      <c r="K531" s="148">
        <f t="shared" si="53"/>
        <v>100</v>
      </c>
      <c r="L531" s="5">
        <f t="shared" si="54"/>
        <v>0</v>
      </c>
    </row>
    <row r="532" spans="1:12" x14ac:dyDescent="0.25">
      <c r="A532" t="s">
        <v>525</v>
      </c>
      <c r="B532" t="s">
        <v>249</v>
      </c>
      <c r="C532" t="s">
        <v>512</v>
      </c>
      <c r="D532" s="36" t="str">
        <f t="shared" si="49"/>
        <v>CP133-P VIP A Standard</v>
      </c>
      <c r="E532" s="36" t="str">
        <f t="shared" si="50"/>
        <v>RETURN - 1st don of the week -STD</v>
      </c>
      <c r="F532" s="36" t="str">
        <f t="shared" si="51"/>
        <v>CP133-RETURN - 1st don of the week -STD</v>
      </c>
      <c r="G532" s="155">
        <f>IFERROR(VLOOKUP(F532,SpecialtyBaseLU,11,FALSE),0)</f>
        <v>40</v>
      </c>
      <c r="H532" s="5">
        <f>K532-G532</f>
        <v>0</v>
      </c>
      <c r="J532" s="5">
        <f t="shared" si="52"/>
        <v>40</v>
      </c>
      <c r="K532" s="148">
        <f t="shared" si="53"/>
        <v>40</v>
      </c>
      <c r="L532" s="5">
        <f t="shared" si="54"/>
        <v>0</v>
      </c>
    </row>
    <row r="533" spans="1:12" x14ac:dyDescent="0.25">
      <c r="A533" t="s">
        <v>525</v>
      </c>
      <c r="B533" t="s">
        <v>249</v>
      </c>
      <c r="C533" t="s">
        <v>513</v>
      </c>
      <c r="D533" s="36" t="str">
        <f t="shared" si="49"/>
        <v>CP133-P VIP AB Standard</v>
      </c>
      <c r="E533" s="36" t="str">
        <f t="shared" si="50"/>
        <v>RETURN - 1st don of the week -STD</v>
      </c>
      <c r="F533" s="36" t="str">
        <f t="shared" si="51"/>
        <v>CP133-RETURN - 1st don of the week -STD</v>
      </c>
      <c r="G533" s="155">
        <f>IFERROR(VLOOKUP(F533,SpecialtyBaseLU,11,FALSE),0)</f>
        <v>40</v>
      </c>
      <c r="H533" s="5">
        <f>K533-G533</f>
        <v>0</v>
      </c>
      <c r="J533" s="5">
        <f t="shared" si="52"/>
        <v>40</v>
      </c>
      <c r="K533" s="148">
        <f t="shared" si="53"/>
        <v>40</v>
      </c>
      <c r="L533" s="5">
        <f t="shared" si="54"/>
        <v>0</v>
      </c>
    </row>
    <row r="534" spans="1:12" x14ac:dyDescent="0.25">
      <c r="A534" t="s">
        <v>525</v>
      </c>
      <c r="B534" t="s">
        <v>249</v>
      </c>
      <c r="C534" t="s">
        <v>477</v>
      </c>
      <c r="D534" s="36" t="str">
        <f t="shared" si="49"/>
        <v>CP133-Vaccinia - 1st Donation</v>
      </c>
      <c r="E534" s="36">
        <f t="shared" si="50"/>
        <v>0</v>
      </c>
      <c r="F534" s="36" t="str">
        <f t="shared" si="51"/>
        <v>CP133-0</v>
      </c>
      <c r="G534" s="155">
        <f>IFERROR(VLOOKUP(F534,SpecialtyBaseLU,11,FALSE),0)</f>
        <v>0</v>
      </c>
      <c r="I534" s="5">
        <v>150</v>
      </c>
      <c r="J534" s="5">
        <f t="shared" si="52"/>
        <v>150</v>
      </c>
      <c r="K534" s="148">
        <f t="shared" si="53"/>
        <v>150</v>
      </c>
      <c r="L534" s="5">
        <f t="shared" si="54"/>
        <v>0</v>
      </c>
    </row>
    <row r="535" spans="1:12" x14ac:dyDescent="0.25">
      <c r="A535" t="s">
        <v>525</v>
      </c>
      <c r="B535" t="s">
        <v>249</v>
      </c>
      <c r="C535" t="s">
        <v>478</v>
      </c>
      <c r="D535" s="36" t="str">
        <f t="shared" si="49"/>
        <v>CP133-Vaccinia - 2nd Donation</v>
      </c>
      <c r="E535" s="36">
        <f t="shared" si="50"/>
        <v>0</v>
      </c>
      <c r="F535" s="36" t="str">
        <f t="shared" si="51"/>
        <v>CP133-0</v>
      </c>
      <c r="G535" s="155">
        <f>IFERROR(VLOOKUP(F535,SpecialtyBaseLU,11,FALSE),0)</f>
        <v>0</v>
      </c>
      <c r="I535" s="5">
        <v>250</v>
      </c>
      <c r="J535" s="5">
        <f t="shared" si="52"/>
        <v>250</v>
      </c>
      <c r="K535" s="148">
        <f t="shared" si="53"/>
        <v>250</v>
      </c>
      <c r="L535" s="5">
        <f t="shared" si="54"/>
        <v>0</v>
      </c>
    </row>
    <row r="536" spans="1:12" x14ac:dyDescent="0.25">
      <c r="A536" t="s">
        <v>525</v>
      </c>
      <c r="B536" t="s">
        <v>249</v>
      </c>
      <c r="C536" t="s">
        <v>479</v>
      </c>
      <c r="D536" s="36" t="str">
        <f t="shared" si="49"/>
        <v>CP133-Vaccinia - 3rd Donation</v>
      </c>
      <c r="E536" s="36">
        <f t="shared" si="50"/>
        <v>0</v>
      </c>
      <c r="F536" s="36" t="str">
        <f t="shared" si="51"/>
        <v>CP133-0</v>
      </c>
      <c r="G536" s="155">
        <f>IFERROR(VLOOKUP(F536,SpecialtyBaseLU,11,FALSE),0)</f>
        <v>0</v>
      </c>
      <c r="I536" s="5">
        <v>300</v>
      </c>
      <c r="J536" s="5">
        <f t="shared" si="52"/>
        <v>300</v>
      </c>
      <c r="K536" s="148">
        <f t="shared" si="53"/>
        <v>300</v>
      </c>
      <c r="L536" s="5">
        <f t="shared" si="54"/>
        <v>0</v>
      </c>
    </row>
    <row r="537" spans="1:12" x14ac:dyDescent="0.25">
      <c r="A537" t="s">
        <v>525</v>
      </c>
      <c r="B537" t="s">
        <v>249</v>
      </c>
      <c r="C537" t="s">
        <v>480</v>
      </c>
      <c r="D537" s="36" t="str">
        <f t="shared" si="49"/>
        <v>CP133-Vaccinia - 4th Donation</v>
      </c>
      <c r="E537" s="36">
        <f t="shared" si="50"/>
        <v>0</v>
      </c>
      <c r="F537" s="36" t="str">
        <f t="shared" si="51"/>
        <v>CP133-0</v>
      </c>
      <c r="G537" s="155">
        <f>IFERROR(VLOOKUP(F537,SpecialtyBaseLU,11,FALSE),0)</f>
        <v>0</v>
      </c>
      <c r="I537" s="5">
        <v>300</v>
      </c>
      <c r="J537" s="5">
        <f t="shared" si="52"/>
        <v>300</v>
      </c>
      <c r="K537" s="148">
        <f t="shared" si="53"/>
        <v>300</v>
      </c>
      <c r="L537" s="5">
        <f t="shared" si="54"/>
        <v>0</v>
      </c>
    </row>
    <row r="538" spans="1:12" x14ac:dyDescent="0.25">
      <c r="A538" t="s">
        <v>525</v>
      </c>
      <c r="B538" t="s">
        <v>249</v>
      </c>
      <c r="C538" t="s">
        <v>481</v>
      </c>
      <c r="D538" s="36" t="str">
        <f t="shared" si="49"/>
        <v>CP133-Vaccinia AP - 1st Donation</v>
      </c>
      <c r="E538" s="36">
        <f t="shared" si="50"/>
        <v>0</v>
      </c>
      <c r="F538" s="36" t="str">
        <f t="shared" si="51"/>
        <v>CP133-0</v>
      </c>
      <c r="G538" s="155">
        <f>IFERROR(VLOOKUP(F538,SpecialtyBaseLU,11,FALSE),0)</f>
        <v>0</v>
      </c>
      <c r="I538" s="5">
        <v>150</v>
      </c>
      <c r="J538" s="5">
        <f t="shared" si="52"/>
        <v>150</v>
      </c>
      <c r="K538" s="148">
        <f t="shared" si="53"/>
        <v>150</v>
      </c>
      <c r="L538" s="5">
        <f t="shared" si="54"/>
        <v>0</v>
      </c>
    </row>
    <row r="539" spans="1:12" x14ac:dyDescent="0.25">
      <c r="A539" t="s">
        <v>525</v>
      </c>
      <c r="B539" t="s">
        <v>249</v>
      </c>
      <c r="C539" t="s">
        <v>482</v>
      </c>
      <c r="D539" s="36" t="str">
        <f t="shared" si="49"/>
        <v>CP133-Vaccinia AP - 2nd Donation</v>
      </c>
      <c r="E539" s="36">
        <f t="shared" si="50"/>
        <v>0</v>
      </c>
      <c r="F539" s="36" t="str">
        <f t="shared" si="51"/>
        <v>CP133-0</v>
      </c>
      <c r="G539" s="155">
        <f>IFERROR(VLOOKUP(F539,SpecialtyBaseLU,11,FALSE),0)</f>
        <v>0</v>
      </c>
      <c r="I539" s="5">
        <v>250</v>
      </c>
      <c r="J539" s="5">
        <f t="shared" si="52"/>
        <v>250</v>
      </c>
      <c r="K539" s="148">
        <f t="shared" si="53"/>
        <v>250</v>
      </c>
      <c r="L539" s="5">
        <f t="shared" si="54"/>
        <v>0</v>
      </c>
    </row>
    <row r="540" spans="1:12" x14ac:dyDescent="0.25">
      <c r="A540" t="s">
        <v>525</v>
      </c>
      <c r="B540" t="s">
        <v>249</v>
      </c>
      <c r="C540" t="s">
        <v>483</v>
      </c>
      <c r="D540" s="36" t="str">
        <f t="shared" si="49"/>
        <v>CP133-Vaccinia AP - 3rd Donation</v>
      </c>
      <c r="E540" s="36">
        <f t="shared" si="50"/>
        <v>0</v>
      </c>
      <c r="F540" s="36" t="str">
        <f t="shared" si="51"/>
        <v>CP133-0</v>
      </c>
      <c r="G540" s="155">
        <f>IFERROR(VLOOKUP(F540,SpecialtyBaseLU,11,FALSE),0)</f>
        <v>0</v>
      </c>
      <c r="I540" s="5">
        <v>300</v>
      </c>
      <c r="J540" s="5">
        <f t="shared" si="52"/>
        <v>300</v>
      </c>
      <c r="K540" s="148">
        <f t="shared" si="53"/>
        <v>300</v>
      </c>
      <c r="L540" s="5">
        <f t="shared" si="54"/>
        <v>0</v>
      </c>
    </row>
    <row r="541" spans="1:12" x14ac:dyDescent="0.25">
      <c r="A541" t="s">
        <v>525</v>
      </c>
      <c r="B541" t="s">
        <v>249</v>
      </c>
      <c r="C541" t="s">
        <v>484</v>
      </c>
      <c r="D541" s="36" t="str">
        <f t="shared" si="49"/>
        <v>CP133-Vaccinia AP - 4th Donation</v>
      </c>
      <c r="E541" s="36">
        <f t="shared" si="50"/>
        <v>0</v>
      </c>
      <c r="F541" s="36" t="str">
        <f t="shared" si="51"/>
        <v>CP133-0</v>
      </c>
      <c r="G541" s="155">
        <f>IFERROR(VLOOKUP(F541,SpecialtyBaseLU,11,FALSE),0)</f>
        <v>0</v>
      </c>
      <c r="I541" s="5">
        <v>300</v>
      </c>
      <c r="J541" s="5">
        <f t="shared" si="52"/>
        <v>300</v>
      </c>
      <c r="K541" s="148">
        <f t="shared" si="53"/>
        <v>300</v>
      </c>
      <c r="L541" s="5">
        <f t="shared" si="54"/>
        <v>0</v>
      </c>
    </row>
    <row r="542" spans="1:12" x14ac:dyDescent="0.25">
      <c r="A542" t="s">
        <v>525</v>
      </c>
      <c r="B542" t="s">
        <v>249</v>
      </c>
      <c r="C542" t="s">
        <v>526</v>
      </c>
      <c r="D542" s="36" t="str">
        <f t="shared" si="49"/>
        <v>CP133-Whole Blood INJ</v>
      </c>
      <c r="E542" s="36">
        <f t="shared" si="50"/>
        <v>0</v>
      </c>
      <c r="F542" s="36" t="str">
        <f t="shared" si="51"/>
        <v>CP133-0</v>
      </c>
      <c r="G542" s="155">
        <f>IFERROR(VLOOKUP(F542,SpecialtyBaseLU,11,FALSE),0)</f>
        <v>0</v>
      </c>
      <c r="I542" s="5">
        <v>200</v>
      </c>
      <c r="J542" s="5">
        <f t="shared" si="52"/>
        <v>200</v>
      </c>
      <c r="K542" s="148">
        <f t="shared" si="53"/>
        <v>200</v>
      </c>
      <c r="L542" s="5">
        <f t="shared" si="54"/>
        <v>0</v>
      </c>
    </row>
    <row r="543" spans="1:12" x14ac:dyDescent="0.25">
      <c r="A543" t="s">
        <v>198</v>
      </c>
      <c r="B543" t="s">
        <v>199</v>
      </c>
      <c r="C543" t="s">
        <v>518</v>
      </c>
      <c r="D543" s="36" t="str">
        <f t="shared" si="49"/>
        <v>CP139-2X Week P Anti-D</v>
      </c>
      <c r="E543" s="36" t="str">
        <f t="shared" si="50"/>
        <v>RETURN - 2nd don of the week -BONUS</v>
      </c>
      <c r="F543" s="36" t="str">
        <f t="shared" si="51"/>
        <v>CP139-RETURN - 2nd don of the week -BONUS</v>
      </c>
      <c r="G543" s="155">
        <f>IFERROR(VLOOKUP(F543,SpecialtyBaseLU,11,FALSE),0)</f>
        <v>20</v>
      </c>
      <c r="H543" s="5">
        <v>-5</v>
      </c>
      <c r="J543" s="5">
        <f t="shared" si="52"/>
        <v>15</v>
      </c>
      <c r="K543" s="148">
        <f t="shared" si="53"/>
        <v>15</v>
      </c>
      <c r="L543" s="5">
        <f t="shared" si="54"/>
        <v>0</v>
      </c>
    </row>
    <row r="544" spans="1:12" x14ac:dyDescent="0.25">
      <c r="A544" t="s">
        <v>198</v>
      </c>
      <c r="B544" t="s">
        <v>199</v>
      </c>
      <c r="C544" t="s">
        <v>469</v>
      </c>
      <c r="D544" s="36" t="str">
        <f t="shared" si="49"/>
        <v>CP139-P Anti-D Pre-Existing Standard</v>
      </c>
      <c r="E544" s="36" t="str">
        <f t="shared" si="50"/>
        <v>RETURN - 1st don of the week -STD</v>
      </c>
      <c r="F544" s="36" t="str">
        <f t="shared" si="51"/>
        <v>CP139-RETURN - 1st don of the week -STD</v>
      </c>
      <c r="G544" s="155">
        <f>IFERROR(VLOOKUP(F544,SpecialtyBaseLU,11,FALSE),0)</f>
        <v>45</v>
      </c>
      <c r="H544" s="5">
        <v>5</v>
      </c>
      <c r="J544" s="5">
        <f t="shared" si="52"/>
        <v>50</v>
      </c>
      <c r="K544" s="148">
        <f t="shared" si="53"/>
        <v>50</v>
      </c>
      <c r="L544" s="5">
        <f t="shared" si="54"/>
        <v>0</v>
      </c>
    </row>
    <row r="545" spans="1:12" x14ac:dyDescent="0.25">
      <c r="A545" t="s">
        <v>198</v>
      </c>
      <c r="B545" t="s">
        <v>199</v>
      </c>
      <c r="C545" t="s">
        <v>474</v>
      </c>
      <c r="D545" s="36" t="str">
        <f t="shared" si="49"/>
        <v>CP139-P Anti-D Standard</v>
      </c>
      <c r="E545" s="36" t="str">
        <f t="shared" si="50"/>
        <v>RETURN - 1st don of the week -STD</v>
      </c>
      <c r="F545" s="36" t="str">
        <f t="shared" si="51"/>
        <v>CP139-RETURN - 1st don of the week -STD</v>
      </c>
      <c r="G545" s="155">
        <f>IFERROR(VLOOKUP(F545,SpecialtyBaseLU,11,FALSE),0)</f>
        <v>45</v>
      </c>
      <c r="H545" s="5">
        <v>5</v>
      </c>
      <c r="J545" s="5">
        <f t="shared" si="52"/>
        <v>50</v>
      </c>
      <c r="K545" s="148">
        <f t="shared" si="53"/>
        <v>50</v>
      </c>
      <c r="L545" s="5">
        <f t="shared" si="54"/>
        <v>0</v>
      </c>
    </row>
    <row r="546" spans="1:12" x14ac:dyDescent="0.25">
      <c r="A546" t="s">
        <v>92</v>
      </c>
      <c r="B546" t="s">
        <v>93</v>
      </c>
      <c r="C546" t="s">
        <v>518</v>
      </c>
      <c r="D546" s="36" t="str">
        <f t="shared" si="49"/>
        <v>CP961-2X Week P Anti-D</v>
      </c>
      <c r="E546" s="36" t="str">
        <f t="shared" si="50"/>
        <v>RETURN - 2nd don of the week -BONUS</v>
      </c>
      <c r="F546" s="36" t="str">
        <f t="shared" si="51"/>
        <v>CP961-RETURN - 2nd don of the week -BONUS</v>
      </c>
      <c r="G546" s="155">
        <f>IFERROR(VLOOKUP(F546,SpecialtyBaseLU,11,FALSE),0)</f>
        <v>10</v>
      </c>
      <c r="H546" s="5">
        <v>70</v>
      </c>
      <c r="J546" s="5">
        <f t="shared" si="52"/>
        <v>80</v>
      </c>
      <c r="K546" s="148">
        <f t="shared" si="53"/>
        <v>80</v>
      </c>
      <c r="L546" s="5">
        <f t="shared" si="54"/>
        <v>0</v>
      </c>
    </row>
    <row r="547" spans="1:12" x14ac:dyDescent="0.25">
      <c r="A547" t="s">
        <v>92</v>
      </c>
      <c r="B547" t="s">
        <v>93</v>
      </c>
      <c r="C547" t="s">
        <v>490</v>
      </c>
      <c r="D547" s="36" t="str">
        <f t="shared" si="49"/>
        <v>CP961-2X Week P VZV Pre-Existing</v>
      </c>
      <c r="E547" s="36" t="str">
        <f t="shared" si="50"/>
        <v>RETURN - 2nd don of the week -BONUS</v>
      </c>
      <c r="F547" s="36" t="str">
        <f t="shared" si="51"/>
        <v>CP961-RETURN - 2nd don of the week -BONUS</v>
      </c>
      <c r="G547" s="155">
        <f>IFERROR(VLOOKUP(F547,SpecialtyBaseLU,11,FALSE),0)</f>
        <v>10</v>
      </c>
      <c r="H547" s="5">
        <v>0</v>
      </c>
      <c r="J547" s="5">
        <f t="shared" si="52"/>
        <v>10</v>
      </c>
      <c r="K547" s="148">
        <f t="shared" si="53"/>
        <v>10</v>
      </c>
      <c r="L547" s="5">
        <f t="shared" si="54"/>
        <v>0</v>
      </c>
    </row>
    <row r="548" spans="1:12" x14ac:dyDescent="0.25">
      <c r="A548" t="s">
        <v>92</v>
      </c>
      <c r="B548" t="s">
        <v>93</v>
      </c>
      <c r="C548" t="s">
        <v>491</v>
      </c>
      <c r="D548" s="36" t="str">
        <f t="shared" si="49"/>
        <v>CP961-2X Week P VZV Pre-Existing AP</v>
      </c>
      <c r="E548" s="36" t="str">
        <f t="shared" si="50"/>
        <v>RETURN - 2nd don of the week -BONUS</v>
      </c>
      <c r="F548" s="36" t="str">
        <f t="shared" si="51"/>
        <v>CP961-RETURN - 2nd don of the week -BONUS</v>
      </c>
      <c r="G548" s="155">
        <f>IFERROR(VLOOKUP(F548,SpecialtyBaseLU,11,FALSE),0)</f>
        <v>10</v>
      </c>
      <c r="H548" s="5">
        <v>0</v>
      </c>
      <c r="J548" s="5">
        <f t="shared" si="52"/>
        <v>10</v>
      </c>
      <c r="K548" s="148">
        <f t="shared" si="53"/>
        <v>10</v>
      </c>
      <c r="L548" s="5">
        <f t="shared" si="54"/>
        <v>0</v>
      </c>
    </row>
    <row r="549" spans="1:12" x14ac:dyDescent="0.25">
      <c r="A549" t="s">
        <v>92</v>
      </c>
      <c r="B549" t="s">
        <v>93</v>
      </c>
      <c r="C549" t="s">
        <v>469</v>
      </c>
      <c r="D549" s="36" t="str">
        <f t="shared" si="49"/>
        <v>CP961-P Anti-D Pre-Existing Standard</v>
      </c>
      <c r="E549" s="36" t="str">
        <f t="shared" si="50"/>
        <v>RETURN - 1st don of the week -STD</v>
      </c>
      <c r="F549" s="36" t="str">
        <f t="shared" si="51"/>
        <v>CP961-RETURN - 1st don of the week -STD</v>
      </c>
      <c r="G549" s="155">
        <f>IFERROR(VLOOKUP(F549,SpecialtyBaseLU,11,FALSE),0)</f>
        <v>60</v>
      </c>
      <c r="H549" s="5">
        <v>-10</v>
      </c>
      <c r="J549" s="5">
        <f t="shared" si="52"/>
        <v>50</v>
      </c>
      <c r="K549" s="148">
        <f t="shared" si="53"/>
        <v>50</v>
      </c>
      <c r="L549" s="5">
        <f t="shared" si="54"/>
        <v>0</v>
      </c>
    </row>
    <row r="550" spans="1:12" x14ac:dyDescent="0.25">
      <c r="A550" t="s">
        <v>92</v>
      </c>
      <c r="B550" t="s">
        <v>93</v>
      </c>
      <c r="C550" t="s">
        <v>474</v>
      </c>
      <c r="D550" s="36" t="str">
        <f t="shared" si="49"/>
        <v>CP961-P Anti-D Standard</v>
      </c>
      <c r="E550" s="36" t="str">
        <f t="shared" si="50"/>
        <v>RETURN - 1st don of the week -STD</v>
      </c>
      <c r="F550" s="36" t="str">
        <f t="shared" si="51"/>
        <v>CP961-RETURN - 1st don of the week -STD</v>
      </c>
      <c r="G550" s="155">
        <f>IFERROR(VLOOKUP(F550,SpecialtyBaseLU,11,FALSE),0)</f>
        <v>60</v>
      </c>
      <c r="H550" s="5">
        <v>0</v>
      </c>
      <c r="J550" s="5">
        <f t="shared" si="52"/>
        <v>60</v>
      </c>
      <c r="K550" s="148">
        <f t="shared" si="53"/>
        <v>60</v>
      </c>
      <c r="L550" s="5">
        <f t="shared" si="54"/>
        <v>0</v>
      </c>
    </row>
    <row r="551" spans="1:12" x14ac:dyDescent="0.25">
      <c r="A551" t="s">
        <v>92</v>
      </c>
      <c r="B551" t="s">
        <v>93</v>
      </c>
      <c r="C551" t="s">
        <v>475</v>
      </c>
      <c r="D551" s="36" t="str">
        <f t="shared" si="49"/>
        <v>CP961-P Vaccinia AP Standard</v>
      </c>
      <c r="E551" s="36">
        <f t="shared" si="50"/>
        <v>0</v>
      </c>
      <c r="F551" s="36" t="str">
        <f t="shared" si="51"/>
        <v>CP961-0</v>
      </c>
      <c r="G551" s="155">
        <f>IFERROR(VLOOKUP(F551,SpecialtyBaseLU,11,FALSE),0)</f>
        <v>0</v>
      </c>
      <c r="I551" s="5">
        <v>100</v>
      </c>
      <c r="J551" s="5">
        <f t="shared" si="52"/>
        <v>100</v>
      </c>
      <c r="K551" s="148">
        <f t="shared" si="53"/>
        <v>100</v>
      </c>
      <c r="L551" s="5">
        <f t="shared" si="54"/>
        <v>0</v>
      </c>
    </row>
    <row r="552" spans="1:12" x14ac:dyDescent="0.25">
      <c r="A552" t="s">
        <v>92</v>
      </c>
      <c r="B552" t="s">
        <v>93</v>
      </c>
      <c r="C552" t="s">
        <v>476</v>
      </c>
      <c r="D552" s="36" t="str">
        <f t="shared" si="49"/>
        <v>CP961-P Vaccinia Standard</v>
      </c>
      <c r="E552" s="36">
        <f t="shared" si="50"/>
        <v>0</v>
      </c>
      <c r="F552" s="36" t="str">
        <f t="shared" si="51"/>
        <v>CP961-0</v>
      </c>
      <c r="G552" s="155">
        <f>IFERROR(VLOOKUP(F552,SpecialtyBaseLU,11,FALSE),0)</f>
        <v>0</v>
      </c>
      <c r="I552" s="5">
        <v>100</v>
      </c>
      <c r="J552" s="5">
        <f t="shared" si="52"/>
        <v>100</v>
      </c>
      <c r="K552" s="148">
        <f t="shared" si="53"/>
        <v>100</v>
      </c>
      <c r="L552" s="5">
        <f t="shared" si="54"/>
        <v>0</v>
      </c>
    </row>
    <row r="553" spans="1:12" x14ac:dyDescent="0.25">
      <c r="A553" t="s">
        <v>92</v>
      </c>
      <c r="B553" t="s">
        <v>93</v>
      </c>
      <c r="C553" t="s">
        <v>495</v>
      </c>
      <c r="D553" s="36" t="str">
        <f t="shared" si="49"/>
        <v>CP961-P VZV Pre-Existing AP</v>
      </c>
      <c r="E553" s="36" t="str">
        <f t="shared" si="50"/>
        <v>RETURN - 1st don of the week -STD</v>
      </c>
      <c r="F553" s="36" t="str">
        <f t="shared" si="51"/>
        <v>CP961-RETURN - 1st don of the week -STD</v>
      </c>
      <c r="G553" s="155">
        <f>IFERROR(VLOOKUP(F553,SpecialtyBaseLU,11,FALSE),0)</f>
        <v>60</v>
      </c>
      <c r="H553" s="5">
        <v>10</v>
      </c>
      <c r="I553" s="5">
        <v>0</v>
      </c>
      <c r="J553" s="5">
        <f t="shared" si="52"/>
        <v>70</v>
      </c>
      <c r="K553" s="148">
        <f t="shared" si="53"/>
        <v>70</v>
      </c>
      <c r="L553" s="5">
        <f t="shared" si="54"/>
        <v>0</v>
      </c>
    </row>
    <row r="554" spans="1:12" x14ac:dyDescent="0.25">
      <c r="A554" t="s">
        <v>92</v>
      </c>
      <c r="B554" t="s">
        <v>93</v>
      </c>
      <c r="C554" t="s">
        <v>497</v>
      </c>
      <c r="D554" s="36" t="str">
        <f t="shared" si="49"/>
        <v>CP961-PVZV Pre-Existing Standard</v>
      </c>
      <c r="E554" s="36" t="str">
        <f t="shared" si="50"/>
        <v>RETURN - 1st don of the week -STD</v>
      </c>
      <c r="F554" s="36" t="str">
        <f t="shared" si="51"/>
        <v>CP961-RETURN - 1st don of the week -STD</v>
      </c>
      <c r="G554" s="155">
        <f>IFERROR(VLOOKUP(F554,SpecialtyBaseLU,11,FALSE),0)</f>
        <v>60</v>
      </c>
      <c r="H554" s="5">
        <f>K554-G554</f>
        <v>10</v>
      </c>
      <c r="J554" s="5">
        <f t="shared" si="52"/>
        <v>70</v>
      </c>
      <c r="K554" s="148">
        <f t="shared" si="53"/>
        <v>70</v>
      </c>
      <c r="L554" s="5">
        <f t="shared" si="54"/>
        <v>0</v>
      </c>
    </row>
    <row r="555" spans="1:12" x14ac:dyDescent="0.25">
      <c r="A555" t="s">
        <v>92</v>
      </c>
      <c r="B555" t="s">
        <v>93</v>
      </c>
      <c r="C555" t="s">
        <v>477</v>
      </c>
      <c r="D555" s="36" t="str">
        <f t="shared" si="49"/>
        <v>CP961-Vaccinia - 1st Donation</v>
      </c>
      <c r="E555" s="36">
        <f t="shared" si="50"/>
        <v>0</v>
      </c>
      <c r="F555" s="36" t="str">
        <f t="shared" si="51"/>
        <v>CP961-0</v>
      </c>
      <c r="G555" s="155">
        <f>IFERROR(VLOOKUP(F555,SpecialtyBaseLU,11,FALSE),0)</f>
        <v>0</v>
      </c>
      <c r="I555" s="5">
        <v>150</v>
      </c>
      <c r="J555" s="5">
        <f t="shared" si="52"/>
        <v>150</v>
      </c>
      <c r="K555" s="148">
        <f t="shared" si="53"/>
        <v>150</v>
      </c>
      <c r="L555" s="5">
        <f t="shared" si="54"/>
        <v>0</v>
      </c>
    </row>
    <row r="556" spans="1:12" x14ac:dyDescent="0.25">
      <c r="A556" t="s">
        <v>92</v>
      </c>
      <c r="B556" t="s">
        <v>93</v>
      </c>
      <c r="C556" t="s">
        <v>478</v>
      </c>
      <c r="D556" s="36" t="str">
        <f t="shared" si="49"/>
        <v>CP961-Vaccinia - 2nd Donation</v>
      </c>
      <c r="E556" s="36">
        <f t="shared" si="50"/>
        <v>0</v>
      </c>
      <c r="F556" s="36" t="str">
        <f t="shared" si="51"/>
        <v>CP961-0</v>
      </c>
      <c r="G556" s="155">
        <f>IFERROR(VLOOKUP(F556,SpecialtyBaseLU,11,FALSE),0)</f>
        <v>0</v>
      </c>
      <c r="I556" s="5">
        <v>250</v>
      </c>
      <c r="J556" s="5">
        <f t="shared" si="52"/>
        <v>250</v>
      </c>
      <c r="K556" s="148">
        <f t="shared" si="53"/>
        <v>250</v>
      </c>
      <c r="L556" s="5">
        <f t="shared" si="54"/>
        <v>0</v>
      </c>
    </row>
    <row r="557" spans="1:12" x14ac:dyDescent="0.25">
      <c r="A557" t="s">
        <v>92</v>
      </c>
      <c r="B557" t="s">
        <v>93</v>
      </c>
      <c r="C557" t="s">
        <v>479</v>
      </c>
      <c r="D557" s="36" t="str">
        <f t="shared" si="49"/>
        <v>CP961-Vaccinia - 3rd Donation</v>
      </c>
      <c r="E557" s="36">
        <f t="shared" si="50"/>
        <v>0</v>
      </c>
      <c r="F557" s="36" t="str">
        <f t="shared" si="51"/>
        <v>CP961-0</v>
      </c>
      <c r="G557" s="155">
        <f>IFERROR(VLOOKUP(F557,SpecialtyBaseLU,11,FALSE),0)</f>
        <v>0</v>
      </c>
      <c r="I557" s="5">
        <v>300</v>
      </c>
      <c r="J557" s="5">
        <f t="shared" si="52"/>
        <v>300</v>
      </c>
      <c r="K557" s="148">
        <f t="shared" si="53"/>
        <v>300</v>
      </c>
      <c r="L557" s="5">
        <f t="shared" si="54"/>
        <v>0</v>
      </c>
    </row>
    <row r="558" spans="1:12" x14ac:dyDescent="0.25">
      <c r="A558" t="s">
        <v>92</v>
      </c>
      <c r="B558" t="s">
        <v>93</v>
      </c>
      <c r="C558" t="s">
        <v>480</v>
      </c>
      <c r="D558" s="36" t="str">
        <f t="shared" si="49"/>
        <v>CP961-Vaccinia - 4th Donation</v>
      </c>
      <c r="E558" s="36">
        <f t="shared" si="50"/>
        <v>0</v>
      </c>
      <c r="F558" s="36" t="str">
        <f t="shared" si="51"/>
        <v>CP961-0</v>
      </c>
      <c r="G558" s="155">
        <f>IFERROR(VLOOKUP(F558,SpecialtyBaseLU,11,FALSE),0)</f>
        <v>0</v>
      </c>
      <c r="I558" s="5">
        <v>300</v>
      </c>
      <c r="J558" s="5">
        <f t="shared" si="52"/>
        <v>300</v>
      </c>
      <c r="K558" s="148">
        <f t="shared" si="53"/>
        <v>300</v>
      </c>
      <c r="L558" s="5">
        <f t="shared" si="54"/>
        <v>0</v>
      </c>
    </row>
    <row r="559" spans="1:12" x14ac:dyDescent="0.25">
      <c r="A559" t="s">
        <v>92</v>
      </c>
      <c r="B559" t="s">
        <v>93</v>
      </c>
      <c r="C559" t="s">
        <v>481</v>
      </c>
      <c r="D559" s="36" t="str">
        <f t="shared" si="49"/>
        <v>CP961-Vaccinia AP - 1st Donation</v>
      </c>
      <c r="E559" s="36">
        <f t="shared" si="50"/>
        <v>0</v>
      </c>
      <c r="F559" s="36" t="str">
        <f t="shared" si="51"/>
        <v>CP961-0</v>
      </c>
      <c r="G559" s="155">
        <f>IFERROR(VLOOKUP(F559,SpecialtyBaseLU,11,FALSE),0)</f>
        <v>0</v>
      </c>
      <c r="I559" s="5">
        <v>150</v>
      </c>
      <c r="J559" s="5">
        <f t="shared" si="52"/>
        <v>150</v>
      </c>
      <c r="K559" s="148">
        <f t="shared" si="53"/>
        <v>150</v>
      </c>
      <c r="L559" s="5">
        <f t="shared" si="54"/>
        <v>0</v>
      </c>
    </row>
    <row r="560" spans="1:12" x14ac:dyDescent="0.25">
      <c r="A560" t="s">
        <v>92</v>
      </c>
      <c r="B560" t="s">
        <v>93</v>
      </c>
      <c r="C560" t="s">
        <v>482</v>
      </c>
      <c r="D560" s="36" t="str">
        <f t="shared" si="49"/>
        <v>CP961-Vaccinia AP - 2nd Donation</v>
      </c>
      <c r="E560" s="36">
        <f t="shared" si="50"/>
        <v>0</v>
      </c>
      <c r="F560" s="36" t="str">
        <f t="shared" si="51"/>
        <v>CP961-0</v>
      </c>
      <c r="G560" s="155">
        <f>IFERROR(VLOOKUP(F560,SpecialtyBaseLU,11,FALSE),0)</f>
        <v>0</v>
      </c>
      <c r="I560" s="5">
        <v>250</v>
      </c>
      <c r="J560" s="5">
        <f t="shared" si="52"/>
        <v>250</v>
      </c>
      <c r="K560" s="148">
        <f t="shared" si="53"/>
        <v>250</v>
      </c>
      <c r="L560" s="5">
        <f t="shared" si="54"/>
        <v>0</v>
      </c>
    </row>
    <row r="561" spans="1:12" x14ac:dyDescent="0.25">
      <c r="A561" t="s">
        <v>92</v>
      </c>
      <c r="B561" t="s">
        <v>93</v>
      </c>
      <c r="C561" t="s">
        <v>483</v>
      </c>
      <c r="D561" s="36" t="str">
        <f t="shared" si="49"/>
        <v>CP961-Vaccinia AP - 3rd Donation</v>
      </c>
      <c r="E561" s="36">
        <f t="shared" si="50"/>
        <v>0</v>
      </c>
      <c r="F561" s="36" t="str">
        <f t="shared" si="51"/>
        <v>CP961-0</v>
      </c>
      <c r="G561" s="155">
        <f>IFERROR(VLOOKUP(F561,SpecialtyBaseLU,11,FALSE),0)</f>
        <v>0</v>
      </c>
      <c r="I561" s="5">
        <v>300</v>
      </c>
      <c r="J561" s="5">
        <f t="shared" si="52"/>
        <v>300</v>
      </c>
      <c r="K561" s="148">
        <f t="shared" si="53"/>
        <v>300</v>
      </c>
      <c r="L561" s="5">
        <f t="shared" si="54"/>
        <v>0</v>
      </c>
    </row>
    <row r="562" spans="1:12" x14ac:dyDescent="0.25">
      <c r="A562" t="s">
        <v>92</v>
      </c>
      <c r="B562" t="s">
        <v>93</v>
      </c>
      <c r="C562" t="s">
        <v>484</v>
      </c>
      <c r="D562" s="36" t="str">
        <f t="shared" si="49"/>
        <v>CP961-Vaccinia AP - 4th Donation</v>
      </c>
      <c r="E562" s="36">
        <f t="shared" si="50"/>
        <v>0</v>
      </c>
      <c r="F562" s="36" t="str">
        <f t="shared" si="51"/>
        <v>CP961-0</v>
      </c>
      <c r="G562" s="155">
        <f>IFERROR(VLOOKUP(F562,SpecialtyBaseLU,11,FALSE),0)</f>
        <v>0</v>
      </c>
      <c r="I562" s="5">
        <v>300</v>
      </c>
      <c r="J562" s="5">
        <f t="shared" si="52"/>
        <v>300</v>
      </c>
      <c r="K562" s="148">
        <f t="shared" si="53"/>
        <v>300</v>
      </c>
      <c r="L562" s="5">
        <f t="shared" si="54"/>
        <v>0</v>
      </c>
    </row>
    <row r="563" spans="1:12" x14ac:dyDescent="0.25">
      <c r="A563" t="s">
        <v>65</v>
      </c>
      <c r="B563" t="s">
        <v>66</v>
      </c>
      <c r="C563" t="s">
        <v>490</v>
      </c>
      <c r="D563" s="36" t="str">
        <f t="shared" si="49"/>
        <v>CP962-2X Week P VZV Pre-Existing</v>
      </c>
      <c r="E563" s="36" t="str">
        <f t="shared" si="50"/>
        <v>RETURN - 2nd don of the week -BONUS</v>
      </c>
      <c r="F563" s="36" t="str">
        <f t="shared" si="51"/>
        <v>CP962-RETURN - 2nd don of the week -BONUS</v>
      </c>
      <c r="G563" s="155">
        <f>IFERROR(VLOOKUP(F563,SpecialtyBaseLU,11,FALSE),0)</f>
        <v>20</v>
      </c>
      <c r="J563" s="5">
        <f t="shared" si="52"/>
        <v>20</v>
      </c>
      <c r="K563" s="148">
        <f t="shared" si="53"/>
        <v>20</v>
      </c>
      <c r="L563" s="5">
        <f t="shared" si="54"/>
        <v>0</v>
      </c>
    </row>
    <row r="564" spans="1:12" x14ac:dyDescent="0.25">
      <c r="A564" t="s">
        <v>65</v>
      </c>
      <c r="B564" t="s">
        <v>66</v>
      </c>
      <c r="C564" t="s">
        <v>491</v>
      </c>
      <c r="D564" s="36" t="str">
        <f t="shared" si="49"/>
        <v>CP962-2X Week P VZV Pre-Existing AP</v>
      </c>
      <c r="E564" s="36" t="str">
        <f t="shared" si="50"/>
        <v>RETURN - 2nd don of the week -BONUS</v>
      </c>
      <c r="F564" s="36" t="str">
        <f t="shared" si="51"/>
        <v>CP962-RETURN - 2nd don of the week -BONUS</v>
      </c>
      <c r="G564" s="155">
        <f>IFERROR(VLOOKUP(F564,SpecialtyBaseLU,11,FALSE),0)</f>
        <v>20</v>
      </c>
      <c r="J564" s="5">
        <f t="shared" si="52"/>
        <v>20</v>
      </c>
      <c r="K564" s="148">
        <f t="shared" si="53"/>
        <v>20</v>
      </c>
      <c r="L564" s="5">
        <f t="shared" si="54"/>
        <v>0</v>
      </c>
    </row>
    <row r="565" spans="1:12" x14ac:dyDescent="0.25">
      <c r="A565" t="s">
        <v>65</v>
      </c>
      <c r="B565" t="s">
        <v>66</v>
      </c>
      <c r="C565" t="s">
        <v>469</v>
      </c>
      <c r="D565" s="36" t="str">
        <f t="shared" si="49"/>
        <v>CP962-P Anti-D Pre-Existing Standard</v>
      </c>
      <c r="E565" s="36" t="str">
        <f t="shared" si="50"/>
        <v>RETURN - 1st don of the week -STD</v>
      </c>
      <c r="F565" s="36" t="str">
        <f t="shared" si="51"/>
        <v>CP962-RETURN - 1st don of the week -STD</v>
      </c>
      <c r="G565" s="155">
        <f>IFERROR(VLOOKUP(F565,SpecialtyBaseLU,11,FALSE),0)</f>
        <v>60</v>
      </c>
      <c r="H565" s="5">
        <v>-10</v>
      </c>
      <c r="J565" s="5">
        <f t="shared" si="52"/>
        <v>50</v>
      </c>
      <c r="K565" s="148">
        <f t="shared" si="53"/>
        <v>50</v>
      </c>
      <c r="L565" s="5">
        <f t="shared" si="54"/>
        <v>0</v>
      </c>
    </row>
    <row r="566" spans="1:12" x14ac:dyDescent="0.25">
      <c r="A566" t="s">
        <v>65</v>
      </c>
      <c r="B566" t="s">
        <v>66</v>
      </c>
      <c r="C566" t="s">
        <v>475</v>
      </c>
      <c r="D566" s="36" t="str">
        <f t="shared" si="49"/>
        <v>CP962-P Vaccinia AP Standard</v>
      </c>
      <c r="E566" s="36">
        <f t="shared" si="50"/>
        <v>0</v>
      </c>
      <c r="F566" s="36" t="str">
        <f t="shared" si="51"/>
        <v>CP962-0</v>
      </c>
      <c r="G566" s="155">
        <f>IFERROR(VLOOKUP(F566,SpecialtyBaseLU,11,FALSE),0)</f>
        <v>0</v>
      </c>
      <c r="I566" s="5">
        <v>100</v>
      </c>
      <c r="J566" s="5">
        <f t="shared" si="52"/>
        <v>100</v>
      </c>
      <c r="K566" s="148">
        <f t="shared" si="53"/>
        <v>100</v>
      </c>
      <c r="L566" s="5">
        <f t="shared" si="54"/>
        <v>0</v>
      </c>
    </row>
    <row r="567" spans="1:12" x14ac:dyDescent="0.25">
      <c r="A567" t="s">
        <v>65</v>
      </c>
      <c r="B567" t="s">
        <v>66</v>
      </c>
      <c r="C567" t="s">
        <v>476</v>
      </c>
      <c r="D567" s="36" t="str">
        <f t="shared" si="49"/>
        <v>CP962-P Vaccinia Standard</v>
      </c>
      <c r="E567" s="36">
        <f t="shared" si="50"/>
        <v>0</v>
      </c>
      <c r="F567" s="36" t="str">
        <f t="shared" si="51"/>
        <v>CP962-0</v>
      </c>
      <c r="G567" s="155">
        <f>IFERROR(VLOOKUP(F567,SpecialtyBaseLU,11,FALSE),0)</f>
        <v>0</v>
      </c>
      <c r="I567" s="5">
        <v>100</v>
      </c>
      <c r="J567" s="5">
        <f t="shared" si="52"/>
        <v>100</v>
      </c>
      <c r="K567" s="148">
        <f t="shared" si="53"/>
        <v>100</v>
      </c>
      <c r="L567" s="5">
        <f t="shared" si="54"/>
        <v>0</v>
      </c>
    </row>
    <row r="568" spans="1:12" x14ac:dyDescent="0.25">
      <c r="A568" t="s">
        <v>65</v>
      </c>
      <c r="B568" t="s">
        <v>66</v>
      </c>
      <c r="C568" t="s">
        <v>495</v>
      </c>
      <c r="D568" s="36" t="str">
        <f t="shared" si="49"/>
        <v>CP962-P VZV Pre-Existing AP</v>
      </c>
      <c r="E568" s="36" t="str">
        <f t="shared" si="50"/>
        <v>RETURN - 1st don of the week -STD</v>
      </c>
      <c r="F568" s="36" t="str">
        <f t="shared" si="51"/>
        <v>CP962-RETURN - 1st don of the week -STD</v>
      </c>
      <c r="G568" s="155">
        <f>IFERROR(VLOOKUP(F568,SpecialtyBaseLU,11,FALSE),0)</f>
        <v>60</v>
      </c>
      <c r="H568" s="5">
        <v>10</v>
      </c>
      <c r="I568" s="5">
        <v>0</v>
      </c>
      <c r="J568" s="5">
        <f t="shared" si="52"/>
        <v>70</v>
      </c>
      <c r="K568" s="148">
        <f t="shared" si="53"/>
        <v>70</v>
      </c>
      <c r="L568" s="5">
        <f t="shared" si="54"/>
        <v>0</v>
      </c>
    </row>
    <row r="569" spans="1:12" x14ac:dyDescent="0.25">
      <c r="A569" t="s">
        <v>65</v>
      </c>
      <c r="B569" t="s">
        <v>66</v>
      </c>
      <c r="C569" t="s">
        <v>497</v>
      </c>
      <c r="D569" s="36" t="str">
        <f t="shared" si="49"/>
        <v>CP962-PVZV Pre-Existing Standard</v>
      </c>
      <c r="E569" s="36" t="str">
        <f t="shared" si="50"/>
        <v>RETURN - 1st don of the week -STD</v>
      </c>
      <c r="F569" s="36" t="str">
        <f t="shared" si="51"/>
        <v>CP962-RETURN - 1st don of the week -STD</v>
      </c>
      <c r="G569" s="155">
        <f>IFERROR(VLOOKUP(F569,SpecialtyBaseLU,11,FALSE),0)</f>
        <v>60</v>
      </c>
      <c r="H569" s="5">
        <f>K569-G569</f>
        <v>10</v>
      </c>
      <c r="J569" s="5">
        <f t="shared" si="52"/>
        <v>70</v>
      </c>
      <c r="K569" s="148">
        <f t="shared" si="53"/>
        <v>70</v>
      </c>
      <c r="L569" s="5">
        <f t="shared" si="54"/>
        <v>0</v>
      </c>
    </row>
    <row r="570" spans="1:12" x14ac:dyDescent="0.25">
      <c r="A570" t="s">
        <v>65</v>
      </c>
      <c r="B570" t="s">
        <v>66</v>
      </c>
      <c r="C570" t="s">
        <v>477</v>
      </c>
      <c r="D570" s="36" t="str">
        <f t="shared" si="49"/>
        <v>CP962-Vaccinia - 1st Donation</v>
      </c>
      <c r="E570" s="36">
        <f t="shared" si="50"/>
        <v>0</v>
      </c>
      <c r="F570" s="36" t="str">
        <f t="shared" si="51"/>
        <v>CP962-0</v>
      </c>
      <c r="G570" s="155">
        <f>IFERROR(VLOOKUP(F570,SpecialtyBaseLU,11,FALSE),0)</f>
        <v>0</v>
      </c>
      <c r="I570" s="5">
        <v>150</v>
      </c>
      <c r="J570" s="5">
        <f t="shared" si="52"/>
        <v>150</v>
      </c>
      <c r="K570" s="148">
        <f t="shared" si="53"/>
        <v>150</v>
      </c>
      <c r="L570" s="5">
        <f t="shared" si="54"/>
        <v>0</v>
      </c>
    </row>
    <row r="571" spans="1:12" x14ac:dyDescent="0.25">
      <c r="A571" t="s">
        <v>65</v>
      </c>
      <c r="B571" t="s">
        <v>66</v>
      </c>
      <c r="C571" t="s">
        <v>478</v>
      </c>
      <c r="D571" s="36" t="str">
        <f t="shared" si="49"/>
        <v>CP962-Vaccinia - 2nd Donation</v>
      </c>
      <c r="E571" s="36">
        <f t="shared" si="50"/>
        <v>0</v>
      </c>
      <c r="F571" s="36" t="str">
        <f t="shared" si="51"/>
        <v>CP962-0</v>
      </c>
      <c r="G571" s="155">
        <f>IFERROR(VLOOKUP(F571,SpecialtyBaseLU,11,FALSE),0)</f>
        <v>0</v>
      </c>
      <c r="I571" s="5">
        <v>250</v>
      </c>
      <c r="J571" s="5">
        <f t="shared" si="52"/>
        <v>250</v>
      </c>
      <c r="K571" s="148">
        <f t="shared" si="53"/>
        <v>250</v>
      </c>
      <c r="L571" s="5">
        <f t="shared" si="54"/>
        <v>0</v>
      </c>
    </row>
    <row r="572" spans="1:12" x14ac:dyDescent="0.25">
      <c r="A572" t="s">
        <v>65</v>
      </c>
      <c r="B572" t="s">
        <v>66</v>
      </c>
      <c r="C572" t="s">
        <v>479</v>
      </c>
      <c r="D572" s="36" t="str">
        <f t="shared" si="49"/>
        <v>CP962-Vaccinia - 3rd Donation</v>
      </c>
      <c r="E572" s="36">
        <f t="shared" si="50"/>
        <v>0</v>
      </c>
      <c r="F572" s="36" t="str">
        <f t="shared" si="51"/>
        <v>CP962-0</v>
      </c>
      <c r="G572" s="155">
        <f>IFERROR(VLOOKUP(F572,SpecialtyBaseLU,11,FALSE),0)</f>
        <v>0</v>
      </c>
      <c r="I572" s="5">
        <v>300</v>
      </c>
      <c r="J572" s="5">
        <f t="shared" si="52"/>
        <v>300</v>
      </c>
      <c r="K572" s="148">
        <f t="shared" si="53"/>
        <v>300</v>
      </c>
      <c r="L572" s="5">
        <f t="shared" si="54"/>
        <v>0</v>
      </c>
    </row>
    <row r="573" spans="1:12" x14ac:dyDescent="0.25">
      <c r="A573" t="s">
        <v>65</v>
      </c>
      <c r="B573" t="s">
        <v>66</v>
      </c>
      <c r="C573" t="s">
        <v>480</v>
      </c>
      <c r="D573" s="36" t="str">
        <f t="shared" si="49"/>
        <v>CP962-Vaccinia - 4th Donation</v>
      </c>
      <c r="E573" s="36">
        <f t="shared" si="50"/>
        <v>0</v>
      </c>
      <c r="F573" s="36" t="str">
        <f t="shared" si="51"/>
        <v>CP962-0</v>
      </c>
      <c r="G573" s="155">
        <f>IFERROR(VLOOKUP(F573,SpecialtyBaseLU,11,FALSE),0)</f>
        <v>0</v>
      </c>
      <c r="I573" s="5">
        <v>300</v>
      </c>
      <c r="J573" s="5">
        <f t="shared" si="52"/>
        <v>300</v>
      </c>
      <c r="K573" s="148">
        <f t="shared" si="53"/>
        <v>300</v>
      </c>
      <c r="L573" s="5">
        <f t="shared" si="54"/>
        <v>0</v>
      </c>
    </row>
    <row r="574" spans="1:12" x14ac:dyDescent="0.25">
      <c r="A574" t="s">
        <v>65</v>
      </c>
      <c r="B574" t="s">
        <v>66</v>
      </c>
      <c r="C574" t="s">
        <v>481</v>
      </c>
      <c r="D574" s="36" t="str">
        <f t="shared" si="49"/>
        <v>CP962-Vaccinia AP - 1st Donation</v>
      </c>
      <c r="E574" s="36">
        <f t="shared" si="50"/>
        <v>0</v>
      </c>
      <c r="F574" s="36" t="str">
        <f t="shared" si="51"/>
        <v>CP962-0</v>
      </c>
      <c r="G574" s="155">
        <f>IFERROR(VLOOKUP(F574,SpecialtyBaseLU,11,FALSE),0)</f>
        <v>0</v>
      </c>
      <c r="I574" s="5">
        <v>150</v>
      </c>
      <c r="J574" s="5">
        <f t="shared" si="52"/>
        <v>150</v>
      </c>
      <c r="K574" s="148">
        <f t="shared" si="53"/>
        <v>150</v>
      </c>
      <c r="L574" s="5">
        <f t="shared" si="54"/>
        <v>0</v>
      </c>
    </row>
    <row r="575" spans="1:12" x14ac:dyDescent="0.25">
      <c r="A575" t="s">
        <v>65</v>
      </c>
      <c r="B575" t="s">
        <v>66</v>
      </c>
      <c r="C575" t="s">
        <v>482</v>
      </c>
      <c r="D575" s="36" t="str">
        <f t="shared" si="49"/>
        <v>CP962-Vaccinia AP - 2nd Donation</v>
      </c>
      <c r="E575" s="36">
        <f t="shared" si="50"/>
        <v>0</v>
      </c>
      <c r="F575" s="36" t="str">
        <f t="shared" si="51"/>
        <v>CP962-0</v>
      </c>
      <c r="G575" s="155">
        <f>IFERROR(VLOOKUP(F575,SpecialtyBaseLU,11,FALSE),0)</f>
        <v>0</v>
      </c>
      <c r="I575" s="5">
        <v>250</v>
      </c>
      <c r="J575" s="5">
        <f t="shared" si="52"/>
        <v>250</v>
      </c>
      <c r="K575" s="148">
        <f t="shared" si="53"/>
        <v>250</v>
      </c>
      <c r="L575" s="5">
        <f t="shared" si="54"/>
        <v>0</v>
      </c>
    </row>
    <row r="576" spans="1:12" x14ac:dyDescent="0.25">
      <c r="A576" t="s">
        <v>65</v>
      </c>
      <c r="B576" t="s">
        <v>66</v>
      </c>
      <c r="C576" t="s">
        <v>483</v>
      </c>
      <c r="D576" s="36" t="str">
        <f t="shared" si="49"/>
        <v>CP962-Vaccinia AP - 3rd Donation</v>
      </c>
      <c r="E576" s="36">
        <f t="shared" si="50"/>
        <v>0</v>
      </c>
      <c r="F576" s="36" t="str">
        <f t="shared" si="51"/>
        <v>CP962-0</v>
      </c>
      <c r="G576" s="155">
        <f>IFERROR(VLOOKUP(F576,SpecialtyBaseLU,11,FALSE),0)</f>
        <v>0</v>
      </c>
      <c r="I576" s="5">
        <v>300</v>
      </c>
      <c r="J576" s="5">
        <f t="shared" si="52"/>
        <v>300</v>
      </c>
      <c r="K576" s="148">
        <f t="shared" si="53"/>
        <v>300</v>
      </c>
      <c r="L576" s="5">
        <f t="shared" si="54"/>
        <v>0</v>
      </c>
    </row>
    <row r="577" spans="1:12" x14ac:dyDescent="0.25">
      <c r="A577" t="s">
        <v>65</v>
      </c>
      <c r="B577" t="s">
        <v>66</v>
      </c>
      <c r="C577" t="s">
        <v>484</v>
      </c>
      <c r="D577" s="36" t="str">
        <f t="shared" si="49"/>
        <v>CP962-Vaccinia AP - 4th Donation</v>
      </c>
      <c r="E577" s="36">
        <f t="shared" si="50"/>
        <v>0</v>
      </c>
      <c r="F577" s="36" t="str">
        <f t="shared" si="51"/>
        <v>CP962-0</v>
      </c>
      <c r="G577" s="155">
        <f>IFERROR(VLOOKUP(F577,SpecialtyBaseLU,11,FALSE),0)</f>
        <v>0</v>
      </c>
      <c r="I577" s="5">
        <v>300</v>
      </c>
      <c r="J577" s="5">
        <f t="shared" si="52"/>
        <v>300</v>
      </c>
      <c r="K577" s="148">
        <f t="shared" si="53"/>
        <v>300</v>
      </c>
      <c r="L577" s="5">
        <f t="shared" si="54"/>
        <v>0</v>
      </c>
    </row>
    <row r="578" spans="1:12" x14ac:dyDescent="0.25">
      <c r="A578" t="s">
        <v>307</v>
      </c>
      <c r="B578" t="s">
        <v>308</v>
      </c>
      <c r="C578" t="s">
        <v>469</v>
      </c>
      <c r="D578" s="36" t="str">
        <f t="shared" si="49"/>
        <v>CP534-P Anti-D Pre-Existing Standard</v>
      </c>
      <c r="E578" s="36" t="str">
        <f t="shared" si="50"/>
        <v>RETURN - 1st don of the week -STD</v>
      </c>
      <c r="F578" s="36" t="str">
        <f t="shared" si="51"/>
        <v>CP534-RETURN - 1st don of the week -STD</v>
      </c>
      <c r="G578" s="155">
        <f>IFERROR(VLOOKUP(F578,SpecialtyBaseLU,11,FALSE),0)</f>
        <v>45</v>
      </c>
      <c r="H578" s="5">
        <v>5</v>
      </c>
      <c r="J578" s="5">
        <f t="shared" si="52"/>
        <v>50</v>
      </c>
      <c r="K578" s="148">
        <f t="shared" si="53"/>
        <v>50</v>
      </c>
      <c r="L578" s="5">
        <f t="shared" si="54"/>
        <v>0</v>
      </c>
    </row>
    <row r="579" spans="1:12" x14ac:dyDescent="0.25">
      <c r="A579" t="s">
        <v>388</v>
      </c>
      <c r="B579" t="s">
        <v>389</v>
      </c>
      <c r="C579" t="s">
        <v>518</v>
      </c>
      <c r="D579" s="36" t="str">
        <f t="shared" si="49"/>
        <v>CP150-2X Week P Anti-D</v>
      </c>
      <c r="E579" s="36" t="str">
        <f t="shared" si="50"/>
        <v>RETURN - 2nd don of the week -BONUS</v>
      </c>
      <c r="F579" s="36" t="str">
        <f t="shared" si="51"/>
        <v>CP150-RETURN - 2nd don of the week -BONUS</v>
      </c>
      <c r="G579" s="155">
        <f>IFERROR(VLOOKUP(F579,SpecialtyBaseLU,11,FALSE),0)</f>
        <v>35</v>
      </c>
      <c r="H579" s="5">
        <f t="shared" ref="H579:H586" si="56">K579-G579</f>
        <v>45</v>
      </c>
      <c r="J579" s="5">
        <f t="shared" si="52"/>
        <v>80</v>
      </c>
      <c r="K579" s="148">
        <f t="shared" si="53"/>
        <v>80</v>
      </c>
      <c r="L579" s="5">
        <f t="shared" si="54"/>
        <v>0</v>
      </c>
    </row>
    <row r="580" spans="1:12" x14ac:dyDescent="0.25">
      <c r="A580" t="s">
        <v>388</v>
      </c>
      <c r="B580" t="s">
        <v>389</v>
      </c>
      <c r="C580" t="s">
        <v>470</v>
      </c>
      <c r="D580" s="36" t="str">
        <f t="shared" ref="D580:D643" si="57">B580&amp;"-"&amp;C580</f>
        <v>CP150-2X Week P HBS</v>
      </c>
      <c r="E580" s="36" t="str">
        <f t="shared" ref="E580:E643" si="58">VLOOKUP(C580,RULENAMELU,5,FALSE)</f>
        <v>RETURN - 2nd don of the week -BONUS</v>
      </c>
      <c r="F580" s="36" t="str">
        <f t="shared" ref="F580:F643" si="59">B580&amp;"-"&amp;E580</f>
        <v>CP150-RETURN - 2nd don of the week -BONUS</v>
      </c>
      <c r="G580" s="155">
        <f>IFERROR(VLOOKUP(F580,SpecialtyBaseLU,11,FALSE),0)</f>
        <v>35</v>
      </c>
      <c r="H580" s="5">
        <f t="shared" si="56"/>
        <v>65</v>
      </c>
      <c r="J580" s="5">
        <f t="shared" ref="J580:J643" si="60">G580+H580+I580</f>
        <v>100</v>
      </c>
      <c r="K580" s="148">
        <f t="shared" ref="K580:K643" si="61">VLOOKUP(D580,CurrentNLDataLU,11,FALSE)</f>
        <v>100</v>
      </c>
      <c r="L580" s="5">
        <f t="shared" ref="L580:L643" si="62">J580-K580</f>
        <v>0</v>
      </c>
    </row>
    <row r="581" spans="1:12" x14ac:dyDescent="0.25">
      <c r="A581" t="s">
        <v>388</v>
      </c>
      <c r="B581" t="s">
        <v>389</v>
      </c>
      <c r="C581" t="s">
        <v>471</v>
      </c>
      <c r="D581" s="36" t="str">
        <f t="shared" si="57"/>
        <v>CP150-2X Week P HBS Pre-Existing</v>
      </c>
      <c r="E581" s="36" t="str">
        <f t="shared" si="58"/>
        <v>RETURN - 2nd don of the week -BONUS</v>
      </c>
      <c r="F581" s="36" t="str">
        <f t="shared" si="59"/>
        <v>CP150-RETURN - 2nd don of the week -BONUS</v>
      </c>
      <c r="G581" s="155">
        <f>IFERROR(VLOOKUP(F581,SpecialtyBaseLU,11,FALSE),0)</f>
        <v>35</v>
      </c>
      <c r="H581" s="5">
        <f t="shared" si="56"/>
        <v>65</v>
      </c>
      <c r="J581" s="5">
        <f t="shared" si="60"/>
        <v>100</v>
      </c>
      <c r="K581" s="148">
        <f t="shared" si="61"/>
        <v>100</v>
      </c>
      <c r="L581" s="5">
        <f t="shared" si="62"/>
        <v>0</v>
      </c>
    </row>
    <row r="582" spans="1:12" x14ac:dyDescent="0.25">
      <c r="A582" t="s">
        <v>388</v>
      </c>
      <c r="B582" t="s">
        <v>389</v>
      </c>
      <c r="C582" t="s">
        <v>499</v>
      </c>
      <c r="D582" s="36" t="str">
        <f t="shared" si="57"/>
        <v>CP150-2X Week P Rabies</v>
      </c>
      <c r="E582" s="36" t="str">
        <f t="shared" si="58"/>
        <v>RETURN - 2nd don of the week -BONUS</v>
      </c>
      <c r="F582" s="36" t="str">
        <f t="shared" si="59"/>
        <v>CP150-RETURN - 2nd don of the week -BONUS</v>
      </c>
      <c r="G582" s="155">
        <f>IFERROR(VLOOKUP(F582,SpecialtyBaseLU,11,FALSE),0)</f>
        <v>35</v>
      </c>
      <c r="H582" s="5">
        <f t="shared" si="56"/>
        <v>65</v>
      </c>
      <c r="J582" s="5">
        <f t="shared" si="60"/>
        <v>100</v>
      </c>
      <c r="K582" s="148">
        <f t="shared" si="61"/>
        <v>100</v>
      </c>
      <c r="L582" s="5">
        <f t="shared" si="62"/>
        <v>0</v>
      </c>
    </row>
    <row r="583" spans="1:12" x14ac:dyDescent="0.25">
      <c r="A583" t="s">
        <v>388</v>
      </c>
      <c r="B583" t="s">
        <v>389</v>
      </c>
      <c r="C583" t="s">
        <v>500</v>
      </c>
      <c r="D583" s="36" t="str">
        <f t="shared" si="57"/>
        <v>CP150-2X Week P Rabies HT</v>
      </c>
      <c r="E583" s="36" t="str">
        <f t="shared" si="58"/>
        <v>RETURN - 2nd don of the week -BONUS</v>
      </c>
      <c r="F583" s="36" t="str">
        <f t="shared" si="59"/>
        <v>CP150-RETURN - 2nd don of the week -BONUS</v>
      </c>
      <c r="G583" s="155">
        <f>IFERROR(VLOOKUP(F583,SpecialtyBaseLU,11,FALSE),0)</f>
        <v>35</v>
      </c>
      <c r="H583" s="5">
        <f t="shared" si="56"/>
        <v>65</v>
      </c>
      <c r="J583" s="5">
        <f t="shared" si="60"/>
        <v>100</v>
      </c>
      <c r="K583" s="148">
        <f t="shared" si="61"/>
        <v>100</v>
      </c>
      <c r="L583" s="5">
        <f t="shared" si="62"/>
        <v>0</v>
      </c>
    </row>
    <row r="584" spans="1:12" x14ac:dyDescent="0.25">
      <c r="A584" t="s">
        <v>388</v>
      </c>
      <c r="B584" t="s">
        <v>389</v>
      </c>
      <c r="C584" t="s">
        <v>485</v>
      </c>
      <c r="D584" s="36" t="str">
        <f t="shared" si="57"/>
        <v>CP150-2X Week P Tetanus</v>
      </c>
      <c r="E584" s="36" t="str">
        <f t="shared" si="58"/>
        <v>RETURN - 2nd don of the week -BONUS</v>
      </c>
      <c r="F584" s="36" t="str">
        <f t="shared" si="59"/>
        <v>CP150-RETURN - 2nd don of the week -BONUS</v>
      </c>
      <c r="G584" s="155">
        <f>IFERROR(VLOOKUP(F584,SpecialtyBaseLU,11,FALSE),0)</f>
        <v>35</v>
      </c>
      <c r="H584" s="5">
        <f t="shared" si="56"/>
        <v>65</v>
      </c>
      <c r="J584" s="5">
        <f t="shared" si="60"/>
        <v>100</v>
      </c>
      <c r="K584" s="148">
        <f t="shared" si="61"/>
        <v>100</v>
      </c>
      <c r="L584" s="5">
        <f t="shared" si="62"/>
        <v>0</v>
      </c>
    </row>
    <row r="585" spans="1:12" x14ac:dyDescent="0.25">
      <c r="A585" t="s">
        <v>388</v>
      </c>
      <c r="B585" t="s">
        <v>389</v>
      </c>
      <c r="C585" t="s">
        <v>486</v>
      </c>
      <c r="D585" s="36" t="str">
        <f t="shared" si="57"/>
        <v>CP150-2X Week P Tetanus AP</v>
      </c>
      <c r="E585" s="36" t="str">
        <f t="shared" si="58"/>
        <v>RETURN - 2nd don of the week -BONUS</v>
      </c>
      <c r="F585" s="36" t="str">
        <f t="shared" si="59"/>
        <v>CP150-RETURN - 2nd don of the week -BONUS</v>
      </c>
      <c r="G585" s="155">
        <f>IFERROR(VLOOKUP(F585,SpecialtyBaseLU,11,FALSE),0)</f>
        <v>35</v>
      </c>
      <c r="H585" s="5">
        <f t="shared" si="56"/>
        <v>65</v>
      </c>
      <c r="J585" s="5">
        <f t="shared" si="60"/>
        <v>100</v>
      </c>
      <c r="K585" s="148">
        <f t="shared" si="61"/>
        <v>100</v>
      </c>
      <c r="L585" s="5">
        <f t="shared" si="62"/>
        <v>0</v>
      </c>
    </row>
    <row r="586" spans="1:12" x14ac:dyDescent="0.25">
      <c r="A586" t="s">
        <v>388</v>
      </c>
      <c r="B586" t="s">
        <v>389</v>
      </c>
      <c r="C586" t="s">
        <v>487</v>
      </c>
      <c r="D586" s="36" t="str">
        <f t="shared" si="57"/>
        <v>CP150-2X Week P Tetanus PE</v>
      </c>
      <c r="E586" s="36" t="str">
        <f t="shared" si="58"/>
        <v>RETURN - 2nd don of the week -BONUS</v>
      </c>
      <c r="F586" s="36" t="str">
        <f t="shared" si="59"/>
        <v>CP150-RETURN - 2nd don of the week -BONUS</v>
      </c>
      <c r="G586" s="155">
        <f>IFERROR(VLOOKUP(F586,SpecialtyBaseLU,11,FALSE),0)</f>
        <v>35</v>
      </c>
      <c r="H586" s="5">
        <f t="shared" si="56"/>
        <v>65</v>
      </c>
      <c r="J586" s="5">
        <f t="shared" si="60"/>
        <v>100</v>
      </c>
      <c r="K586" s="148">
        <f t="shared" si="61"/>
        <v>100</v>
      </c>
      <c r="L586" s="5">
        <f t="shared" si="62"/>
        <v>0</v>
      </c>
    </row>
    <row r="587" spans="1:12" x14ac:dyDescent="0.25">
      <c r="A587" t="s">
        <v>388</v>
      </c>
      <c r="B587" t="s">
        <v>389</v>
      </c>
      <c r="C587" t="s">
        <v>469</v>
      </c>
      <c r="D587" s="36" t="str">
        <f t="shared" si="57"/>
        <v>CP150-P Anti-D Pre-Existing Standard</v>
      </c>
      <c r="E587" s="36" t="str">
        <f t="shared" si="58"/>
        <v>RETURN - 1st don of the week -STD</v>
      </c>
      <c r="F587" s="36" t="str">
        <f t="shared" si="59"/>
        <v>CP150-RETURN - 1st don of the week -STD</v>
      </c>
      <c r="G587" s="155">
        <f>IFERROR(VLOOKUP(F587,SpecialtyBaseLU,11,FALSE),0)</f>
        <v>45</v>
      </c>
      <c r="H587" s="5">
        <v>20</v>
      </c>
      <c r="J587" s="5">
        <f t="shared" si="60"/>
        <v>65</v>
      </c>
      <c r="K587" s="148">
        <f t="shared" si="61"/>
        <v>60</v>
      </c>
      <c r="L587" s="5">
        <f t="shared" si="62"/>
        <v>5</v>
      </c>
    </row>
    <row r="588" spans="1:12" x14ac:dyDescent="0.25">
      <c r="A588" t="s">
        <v>388</v>
      </c>
      <c r="B588" t="s">
        <v>389</v>
      </c>
      <c r="C588" t="s">
        <v>474</v>
      </c>
      <c r="D588" s="36" t="str">
        <f t="shared" si="57"/>
        <v>CP150-P Anti-D Standard</v>
      </c>
      <c r="E588" s="36" t="str">
        <f t="shared" si="58"/>
        <v>RETURN - 1st don of the week -STD</v>
      </c>
      <c r="F588" s="36" t="str">
        <f t="shared" si="59"/>
        <v>CP150-RETURN - 1st don of the week -STD</v>
      </c>
      <c r="G588" s="155">
        <f>IFERROR(VLOOKUP(F588,SpecialtyBaseLU,11,FALSE),0)</f>
        <v>45</v>
      </c>
      <c r="H588" s="5">
        <v>20</v>
      </c>
      <c r="J588" s="5">
        <f t="shared" si="60"/>
        <v>65</v>
      </c>
      <c r="K588" s="148">
        <f t="shared" si="61"/>
        <v>60</v>
      </c>
      <c r="L588" s="5">
        <f t="shared" si="62"/>
        <v>5</v>
      </c>
    </row>
    <row r="589" spans="1:12" x14ac:dyDescent="0.25">
      <c r="A589" t="s">
        <v>388</v>
      </c>
      <c r="B589" t="s">
        <v>389</v>
      </c>
      <c r="C589" t="s">
        <v>472</v>
      </c>
      <c r="D589" s="36" t="str">
        <f t="shared" si="57"/>
        <v>CP150-P HBS Pre-Existing Standard</v>
      </c>
      <c r="E589" s="36" t="str">
        <f t="shared" si="58"/>
        <v>RETURN - 1st don of the week -STD</v>
      </c>
      <c r="F589" s="36" t="str">
        <f t="shared" si="59"/>
        <v>CP150-RETURN - 1st don of the week -STD</v>
      </c>
      <c r="G589" s="155">
        <f>IFERROR(VLOOKUP(F589,SpecialtyBaseLU,11,FALSE),0)</f>
        <v>45</v>
      </c>
      <c r="H589" s="5">
        <v>0</v>
      </c>
      <c r="J589" s="5">
        <f t="shared" si="60"/>
        <v>45</v>
      </c>
      <c r="K589" s="148">
        <f t="shared" si="61"/>
        <v>40</v>
      </c>
      <c r="L589" s="5">
        <f t="shared" si="62"/>
        <v>5</v>
      </c>
    </row>
    <row r="590" spans="1:12" x14ac:dyDescent="0.25">
      <c r="A590" t="s">
        <v>388</v>
      </c>
      <c r="B590" t="s">
        <v>389</v>
      </c>
      <c r="C590" t="s">
        <v>473</v>
      </c>
      <c r="D590" s="36" t="str">
        <f t="shared" si="57"/>
        <v>CP150-P HBS Standard</v>
      </c>
      <c r="E590" s="36" t="str">
        <f t="shared" si="58"/>
        <v>RETURN - 1st don of the week -STD</v>
      </c>
      <c r="F590" s="36" t="str">
        <f t="shared" si="59"/>
        <v>CP150-RETURN - 1st don of the week -STD</v>
      </c>
      <c r="G590" s="155">
        <f>IFERROR(VLOOKUP(F590,SpecialtyBaseLU,11,FALSE),0)</f>
        <v>45</v>
      </c>
      <c r="H590" s="5">
        <v>0</v>
      </c>
      <c r="J590" s="5">
        <f t="shared" si="60"/>
        <v>45</v>
      </c>
      <c r="K590" s="148">
        <f t="shared" si="61"/>
        <v>40</v>
      </c>
      <c r="L590" s="5">
        <f t="shared" si="62"/>
        <v>5</v>
      </c>
    </row>
    <row r="591" spans="1:12" x14ac:dyDescent="0.25">
      <c r="A591" t="s">
        <v>388</v>
      </c>
      <c r="B591" t="s">
        <v>389</v>
      </c>
      <c r="C591" t="s">
        <v>502</v>
      </c>
      <c r="D591" s="36" t="str">
        <f t="shared" si="57"/>
        <v>CP150-P Rabies HT Standard</v>
      </c>
      <c r="E591" s="36" t="str">
        <f t="shared" si="58"/>
        <v>RETURN - 1st don of the week -STD</v>
      </c>
      <c r="F591" s="36" t="str">
        <f t="shared" si="59"/>
        <v>CP150-RETURN - 1st don of the week -STD</v>
      </c>
      <c r="G591" s="155">
        <f>IFERROR(VLOOKUP(F591,SpecialtyBaseLU,11,FALSE),0)</f>
        <v>45</v>
      </c>
      <c r="H591" s="5">
        <f t="shared" ref="H591:H596" si="63">K591-G591</f>
        <v>-5</v>
      </c>
      <c r="J591" s="5">
        <f t="shared" si="60"/>
        <v>40</v>
      </c>
      <c r="K591" s="148">
        <f t="shared" si="61"/>
        <v>40</v>
      </c>
      <c r="L591" s="5">
        <f t="shared" si="62"/>
        <v>0</v>
      </c>
    </row>
    <row r="592" spans="1:12" x14ac:dyDescent="0.25">
      <c r="A592" t="s">
        <v>388</v>
      </c>
      <c r="B592" t="s">
        <v>389</v>
      </c>
      <c r="C592" t="s">
        <v>503</v>
      </c>
      <c r="D592" s="36" t="str">
        <f t="shared" si="57"/>
        <v>CP150-P Rabies Standard</v>
      </c>
      <c r="E592" s="36" t="str">
        <f t="shared" si="58"/>
        <v>RETURN - 1st don of the week -STD</v>
      </c>
      <c r="F592" s="36" t="str">
        <f t="shared" si="59"/>
        <v>CP150-RETURN - 1st don of the week -STD</v>
      </c>
      <c r="G592" s="155">
        <f>IFERROR(VLOOKUP(F592,SpecialtyBaseLU,11,FALSE),0)</f>
        <v>45</v>
      </c>
      <c r="H592" s="5">
        <f t="shared" si="63"/>
        <v>-5</v>
      </c>
      <c r="J592" s="5">
        <f t="shared" si="60"/>
        <v>40</v>
      </c>
      <c r="K592" s="148">
        <f t="shared" si="61"/>
        <v>40</v>
      </c>
      <c r="L592" s="5">
        <f t="shared" si="62"/>
        <v>0</v>
      </c>
    </row>
    <row r="593" spans="1:12" x14ac:dyDescent="0.25">
      <c r="A593" t="s">
        <v>388</v>
      </c>
      <c r="B593" t="s">
        <v>389</v>
      </c>
      <c r="C593" t="s">
        <v>492</v>
      </c>
      <c r="D593" s="36" t="str">
        <f t="shared" si="57"/>
        <v>CP150-P Tetanus AP Standard</v>
      </c>
      <c r="E593" s="36" t="str">
        <f t="shared" si="58"/>
        <v>RETURN - 1st don of the week -STD</v>
      </c>
      <c r="F593" s="36" t="str">
        <f t="shared" si="59"/>
        <v>CP150-RETURN - 1st don of the week -STD</v>
      </c>
      <c r="G593" s="155">
        <f>IFERROR(VLOOKUP(F593,SpecialtyBaseLU,11,FALSE),0)</f>
        <v>45</v>
      </c>
      <c r="H593" s="5">
        <f t="shared" si="63"/>
        <v>-5</v>
      </c>
      <c r="J593" s="5">
        <f t="shared" si="60"/>
        <v>40</v>
      </c>
      <c r="K593" s="148">
        <f t="shared" si="61"/>
        <v>40</v>
      </c>
      <c r="L593" s="5">
        <f t="shared" si="62"/>
        <v>0</v>
      </c>
    </row>
    <row r="594" spans="1:12" x14ac:dyDescent="0.25">
      <c r="A594" t="s">
        <v>388</v>
      </c>
      <c r="B594" t="s">
        <v>389</v>
      </c>
      <c r="C594" t="s">
        <v>493</v>
      </c>
      <c r="D594" s="36" t="str">
        <f t="shared" si="57"/>
        <v>CP150-P Tetanus Pre-Existing Standard</v>
      </c>
      <c r="E594" s="36" t="str">
        <f t="shared" si="58"/>
        <v>RETURN - 1st don of the week -STD</v>
      </c>
      <c r="F594" s="36" t="str">
        <f t="shared" si="59"/>
        <v>CP150-RETURN - 1st don of the week -STD</v>
      </c>
      <c r="G594" s="155">
        <f>IFERROR(VLOOKUP(F594,SpecialtyBaseLU,11,FALSE),0)</f>
        <v>45</v>
      </c>
      <c r="H594" s="5">
        <f t="shared" si="63"/>
        <v>-5</v>
      </c>
      <c r="J594" s="5">
        <f t="shared" si="60"/>
        <v>40</v>
      </c>
      <c r="K594" s="148">
        <f t="shared" si="61"/>
        <v>40</v>
      </c>
      <c r="L594" s="5">
        <f t="shared" si="62"/>
        <v>0</v>
      </c>
    </row>
    <row r="595" spans="1:12" x14ac:dyDescent="0.25">
      <c r="A595" t="s">
        <v>388</v>
      </c>
      <c r="B595" t="s">
        <v>389</v>
      </c>
      <c r="C595" t="s">
        <v>494</v>
      </c>
      <c r="D595" s="36" t="str">
        <f t="shared" si="57"/>
        <v>CP150-P Tetanus Standard</v>
      </c>
      <c r="E595" s="36" t="str">
        <f t="shared" si="58"/>
        <v>RETURN - 1st don of the week -STD</v>
      </c>
      <c r="F595" s="36" t="str">
        <f t="shared" si="59"/>
        <v>CP150-RETURN - 1st don of the week -STD</v>
      </c>
      <c r="G595" s="155">
        <f>IFERROR(VLOOKUP(F595,SpecialtyBaseLU,11,FALSE),0)</f>
        <v>45</v>
      </c>
      <c r="H595" s="5">
        <f t="shared" si="63"/>
        <v>-5</v>
      </c>
      <c r="J595" s="5">
        <f t="shared" si="60"/>
        <v>40</v>
      </c>
      <c r="K595" s="148">
        <f t="shared" si="61"/>
        <v>40</v>
      </c>
      <c r="L595" s="5">
        <f t="shared" si="62"/>
        <v>0</v>
      </c>
    </row>
    <row r="596" spans="1:12" x14ac:dyDescent="0.25">
      <c r="A596" t="s">
        <v>388</v>
      </c>
      <c r="B596" t="s">
        <v>389</v>
      </c>
      <c r="C596" t="s">
        <v>508</v>
      </c>
      <c r="D596" s="36" t="str">
        <f t="shared" si="57"/>
        <v>CP150-P Tetanus Tox Standard</v>
      </c>
      <c r="E596" s="36" t="str">
        <f t="shared" si="58"/>
        <v>RETURN - 1st don of the week -STD</v>
      </c>
      <c r="F596" s="36" t="str">
        <f t="shared" si="59"/>
        <v>CP150-RETURN - 1st don of the week -STD</v>
      </c>
      <c r="G596" s="155">
        <f>IFERROR(VLOOKUP(F596,SpecialtyBaseLU,11,FALSE),0)</f>
        <v>45</v>
      </c>
      <c r="H596" s="5">
        <f t="shared" si="63"/>
        <v>-5</v>
      </c>
      <c r="J596" s="5">
        <f t="shared" si="60"/>
        <v>40</v>
      </c>
      <c r="K596" s="148">
        <f t="shared" si="61"/>
        <v>40</v>
      </c>
      <c r="L596" s="5">
        <f t="shared" si="62"/>
        <v>0</v>
      </c>
    </row>
    <row r="597" spans="1:12" x14ac:dyDescent="0.25">
      <c r="A597" t="s">
        <v>388</v>
      </c>
      <c r="B597" t="s">
        <v>389</v>
      </c>
      <c r="C597" t="s">
        <v>475</v>
      </c>
      <c r="D597" s="36" t="str">
        <f t="shared" si="57"/>
        <v>CP150-P Vaccinia AP Standard</v>
      </c>
      <c r="E597" s="36">
        <f t="shared" si="58"/>
        <v>0</v>
      </c>
      <c r="F597" s="36" t="str">
        <f t="shared" si="59"/>
        <v>CP150-0</v>
      </c>
      <c r="G597" s="155">
        <f>IFERROR(VLOOKUP(F597,SpecialtyBaseLU,11,FALSE),0)</f>
        <v>0</v>
      </c>
      <c r="I597" s="5">
        <v>100</v>
      </c>
      <c r="J597" s="5">
        <f t="shared" si="60"/>
        <v>100</v>
      </c>
      <c r="K597" s="148">
        <f t="shared" si="61"/>
        <v>100</v>
      </c>
      <c r="L597" s="5">
        <f t="shared" si="62"/>
        <v>0</v>
      </c>
    </row>
    <row r="598" spans="1:12" x14ac:dyDescent="0.25">
      <c r="A598" t="s">
        <v>388</v>
      </c>
      <c r="B598" t="s">
        <v>389</v>
      </c>
      <c r="C598" t="s">
        <v>476</v>
      </c>
      <c r="D598" s="36" t="str">
        <f t="shared" si="57"/>
        <v>CP150-P Vaccinia Standard</v>
      </c>
      <c r="E598" s="36">
        <f t="shared" si="58"/>
        <v>0</v>
      </c>
      <c r="F598" s="36" t="str">
        <f t="shared" si="59"/>
        <v>CP150-0</v>
      </c>
      <c r="G598" s="155">
        <f>IFERROR(VLOOKUP(F598,SpecialtyBaseLU,11,FALSE),0)</f>
        <v>0</v>
      </c>
      <c r="I598" s="5">
        <v>100</v>
      </c>
      <c r="J598" s="5">
        <f t="shared" si="60"/>
        <v>100</v>
      </c>
      <c r="K598" s="148">
        <f t="shared" si="61"/>
        <v>100</v>
      </c>
      <c r="L598" s="5">
        <f t="shared" si="62"/>
        <v>0</v>
      </c>
    </row>
    <row r="599" spans="1:12" x14ac:dyDescent="0.25">
      <c r="A599" t="s">
        <v>388</v>
      </c>
      <c r="B599" t="s">
        <v>389</v>
      </c>
      <c r="C599" t="s">
        <v>477</v>
      </c>
      <c r="D599" s="36" t="str">
        <f t="shared" si="57"/>
        <v>CP150-Vaccinia - 1st Donation</v>
      </c>
      <c r="E599" s="36">
        <f t="shared" si="58"/>
        <v>0</v>
      </c>
      <c r="F599" s="36" t="str">
        <f t="shared" si="59"/>
        <v>CP150-0</v>
      </c>
      <c r="G599" s="155">
        <f>IFERROR(VLOOKUP(F599,SpecialtyBaseLU,11,FALSE),0)</f>
        <v>0</v>
      </c>
      <c r="I599" s="5">
        <v>150</v>
      </c>
      <c r="J599" s="5">
        <f t="shared" si="60"/>
        <v>150</v>
      </c>
      <c r="K599" s="148">
        <f t="shared" si="61"/>
        <v>150</v>
      </c>
      <c r="L599" s="5">
        <f t="shared" si="62"/>
        <v>0</v>
      </c>
    </row>
    <row r="600" spans="1:12" x14ac:dyDescent="0.25">
      <c r="A600" t="s">
        <v>388</v>
      </c>
      <c r="B600" t="s">
        <v>389</v>
      </c>
      <c r="C600" t="s">
        <v>478</v>
      </c>
      <c r="D600" s="36" t="str">
        <f t="shared" si="57"/>
        <v>CP150-Vaccinia - 2nd Donation</v>
      </c>
      <c r="E600" s="36">
        <f t="shared" si="58"/>
        <v>0</v>
      </c>
      <c r="F600" s="36" t="str">
        <f t="shared" si="59"/>
        <v>CP150-0</v>
      </c>
      <c r="G600" s="155">
        <f>IFERROR(VLOOKUP(F600,SpecialtyBaseLU,11,FALSE),0)</f>
        <v>0</v>
      </c>
      <c r="I600" s="5">
        <v>250</v>
      </c>
      <c r="J600" s="5">
        <f t="shared" si="60"/>
        <v>250</v>
      </c>
      <c r="K600" s="148">
        <f t="shared" si="61"/>
        <v>250</v>
      </c>
      <c r="L600" s="5">
        <f t="shared" si="62"/>
        <v>0</v>
      </c>
    </row>
    <row r="601" spans="1:12" x14ac:dyDescent="0.25">
      <c r="A601" t="s">
        <v>388</v>
      </c>
      <c r="B601" t="s">
        <v>389</v>
      </c>
      <c r="C601" t="s">
        <v>479</v>
      </c>
      <c r="D601" s="36" t="str">
        <f t="shared" si="57"/>
        <v>CP150-Vaccinia - 3rd Donation</v>
      </c>
      <c r="E601" s="36">
        <f t="shared" si="58"/>
        <v>0</v>
      </c>
      <c r="F601" s="36" t="str">
        <f t="shared" si="59"/>
        <v>CP150-0</v>
      </c>
      <c r="G601" s="155">
        <f>IFERROR(VLOOKUP(F601,SpecialtyBaseLU,11,FALSE),0)</f>
        <v>0</v>
      </c>
      <c r="I601" s="5">
        <v>300</v>
      </c>
      <c r="J601" s="5">
        <f t="shared" si="60"/>
        <v>300</v>
      </c>
      <c r="K601" s="148">
        <f t="shared" si="61"/>
        <v>300</v>
      </c>
      <c r="L601" s="5">
        <f t="shared" si="62"/>
        <v>0</v>
      </c>
    </row>
    <row r="602" spans="1:12" x14ac:dyDescent="0.25">
      <c r="A602" t="s">
        <v>388</v>
      </c>
      <c r="B602" t="s">
        <v>389</v>
      </c>
      <c r="C602" t="s">
        <v>480</v>
      </c>
      <c r="D602" s="36" t="str">
        <f t="shared" si="57"/>
        <v>CP150-Vaccinia - 4th Donation</v>
      </c>
      <c r="E602" s="36">
        <f t="shared" si="58"/>
        <v>0</v>
      </c>
      <c r="F602" s="36" t="str">
        <f t="shared" si="59"/>
        <v>CP150-0</v>
      </c>
      <c r="G602" s="155">
        <f>IFERROR(VLOOKUP(F602,SpecialtyBaseLU,11,FALSE),0)</f>
        <v>0</v>
      </c>
      <c r="I602" s="5">
        <v>300</v>
      </c>
      <c r="J602" s="5">
        <f t="shared" si="60"/>
        <v>300</v>
      </c>
      <c r="K602" s="148">
        <f t="shared" si="61"/>
        <v>300</v>
      </c>
      <c r="L602" s="5">
        <f t="shared" si="62"/>
        <v>0</v>
      </c>
    </row>
    <row r="603" spans="1:12" x14ac:dyDescent="0.25">
      <c r="A603" t="s">
        <v>388</v>
      </c>
      <c r="B603" t="s">
        <v>389</v>
      </c>
      <c r="C603" t="s">
        <v>481</v>
      </c>
      <c r="D603" s="36" t="str">
        <f t="shared" si="57"/>
        <v>CP150-Vaccinia AP - 1st Donation</v>
      </c>
      <c r="E603" s="36">
        <f t="shared" si="58"/>
        <v>0</v>
      </c>
      <c r="F603" s="36" t="str">
        <f t="shared" si="59"/>
        <v>CP150-0</v>
      </c>
      <c r="G603" s="155">
        <f>IFERROR(VLOOKUP(F603,SpecialtyBaseLU,11,FALSE),0)</f>
        <v>0</v>
      </c>
      <c r="I603" s="5">
        <v>150</v>
      </c>
      <c r="J603" s="5">
        <f t="shared" si="60"/>
        <v>150</v>
      </c>
      <c r="K603" s="148">
        <f t="shared" si="61"/>
        <v>150</v>
      </c>
      <c r="L603" s="5">
        <f t="shared" si="62"/>
        <v>0</v>
      </c>
    </row>
    <row r="604" spans="1:12" x14ac:dyDescent="0.25">
      <c r="A604" t="s">
        <v>388</v>
      </c>
      <c r="B604" t="s">
        <v>389</v>
      </c>
      <c r="C604" t="s">
        <v>482</v>
      </c>
      <c r="D604" s="36" t="str">
        <f t="shared" si="57"/>
        <v>CP150-Vaccinia AP - 2nd Donation</v>
      </c>
      <c r="E604" s="36">
        <f t="shared" si="58"/>
        <v>0</v>
      </c>
      <c r="F604" s="36" t="str">
        <f t="shared" si="59"/>
        <v>CP150-0</v>
      </c>
      <c r="G604" s="155">
        <f>IFERROR(VLOOKUP(F604,SpecialtyBaseLU,11,FALSE),0)</f>
        <v>0</v>
      </c>
      <c r="I604" s="5">
        <v>250</v>
      </c>
      <c r="J604" s="5">
        <f t="shared" si="60"/>
        <v>250</v>
      </c>
      <c r="K604" s="148">
        <f t="shared" si="61"/>
        <v>250</v>
      </c>
      <c r="L604" s="5">
        <f t="shared" si="62"/>
        <v>0</v>
      </c>
    </row>
    <row r="605" spans="1:12" x14ac:dyDescent="0.25">
      <c r="A605" t="s">
        <v>388</v>
      </c>
      <c r="B605" t="s">
        <v>389</v>
      </c>
      <c r="C605" t="s">
        <v>483</v>
      </c>
      <c r="D605" s="36" t="str">
        <f t="shared" si="57"/>
        <v>CP150-Vaccinia AP - 3rd Donation</v>
      </c>
      <c r="E605" s="36">
        <f t="shared" si="58"/>
        <v>0</v>
      </c>
      <c r="F605" s="36" t="str">
        <f t="shared" si="59"/>
        <v>CP150-0</v>
      </c>
      <c r="G605" s="155">
        <f>IFERROR(VLOOKUP(F605,SpecialtyBaseLU,11,FALSE),0)</f>
        <v>0</v>
      </c>
      <c r="I605" s="5">
        <v>300</v>
      </c>
      <c r="J605" s="5">
        <f t="shared" si="60"/>
        <v>300</v>
      </c>
      <c r="K605" s="148">
        <f t="shared" si="61"/>
        <v>300</v>
      </c>
      <c r="L605" s="5">
        <f t="shared" si="62"/>
        <v>0</v>
      </c>
    </row>
    <row r="606" spans="1:12" x14ac:dyDescent="0.25">
      <c r="A606" t="s">
        <v>388</v>
      </c>
      <c r="B606" t="s">
        <v>389</v>
      </c>
      <c r="C606" t="s">
        <v>484</v>
      </c>
      <c r="D606" s="36" t="str">
        <f t="shared" si="57"/>
        <v>CP150-Vaccinia AP - 4th Donation</v>
      </c>
      <c r="E606" s="36">
        <f t="shared" si="58"/>
        <v>0</v>
      </c>
      <c r="F606" s="36" t="str">
        <f t="shared" si="59"/>
        <v>CP150-0</v>
      </c>
      <c r="G606" s="155">
        <f>IFERROR(VLOOKUP(F606,SpecialtyBaseLU,11,FALSE),0)</f>
        <v>0</v>
      </c>
      <c r="I606" s="5">
        <v>300</v>
      </c>
      <c r="J606" s="5">
        <f t="shared" si="60"/>
        <v>300</v>
      </c>
      <c r="K606" s="148">
        <f t="shared" si="61"/>
        <v>300</v>
      </c>
      <c r="L606" s="5">
        <f t="shared" si="62"/>
        <v>0</v>
      </c>
    </row>
    <row r="607" spans="1:12" x14ac:dyDescent="0.25">
      <c r="A607" t="s">
        <v>388</v>
      </c>
      <c r="B607" t="s">
        <v>389</v>
      </c>
      <c r="C607" t="s">
        <v>526</v>
      </c>
      <c r="D607" s="36" t="str">
        <f t="shared" si="57"/>
        <v>CP150-Whole Blood INJ</v>
      </c>
      <c r="E607" s="36">
        <f t="shared" si="58"/>
        <v>0</v>
      </c>
      <c r="F607" s="36" t="str">
        <f t="shared" si="59"/>
        <v>CP150-0</v>
      </c>
      <c r="G607" s="155">
        <f>IFERROR(VLOOKUP(F607,SpecialtyBaseLU,11,FALSE),0)</f>
        <v>0</v>
      </c>
      <c r="I607" s="5">
        <v>200</v>
      </c>
      <c r="J607" s="5">
        <f t="shared" si="60"/>
        <v>200</v>
      </c>
      <c r="K607" s="148">
        <f t="shared" si="61"/>
        <v>200</v>
      </c>
      <c r="L607" s="5">
        <f t="shared" si="62"/>
        <v>0</v>
      </c>
    </row>
    <row r="608" spans="1:12" x14ac:dyDescent="0.25">
      <c r="A608" t="s">
        <v>71</v>
      </c>
      <c r="B608" t="s">
        <v>72</v>
      </c>
      <c r="C608" t="s">
        <v>471</v>
      </c>
      <c r="D608" s="36" t="str">
        <f t="shared" si="57"/>
        <v>CP523-2X Week P HBS Pre-Existing</v>
      </c>
      <c r="E608" s="36" t="str">
        <f t="shared" si="58"/>
        <v>RETURN - 2nd don of the week -BONUS</v>
      </c>
      <c r="F608" s="36" t="str">
        <f t="shared" si="59"/>
        <v>CP523-RETURN - 2nd don of the week -BONUS</v>
      </c>
      <c r="G608" s="155">
        <f>IFERROR(VLOOKUP(F608,SpecialtyBaseLU,11,FALSE),0)</f>
        <v>20</v>
      </c>
      <c r="H608" s="5">
        <f>K608-G608</f>
        <v>0</v>
      </c>
      <c r="J608" s="5">
        <f t="shared" si="60"/>
        <v>20</v>
      </c>
      <c r="K608" s="148">
        <f t="shared" si="61"/>
        <v>20</v>
      </c>
      <c r="L608" s="5">
        <f t="shared" si="62"/>
        <v>0</v>
      </c>
    </row>
    <row r="609" spans="1:12" x14ac:dyDescent="0.25">
      <c r="A609" t="s">
        <v>71</v>
      </c>
      <c r="B609" t="s">
        <v>72</v>
      </c>
      <c r="C609" t="s">
        <v>504</v>
      </c>
      <c r="D609" s="36" t="str">
        <f t="shared" si="57"/>
        <v>CP523-2X Week P HBS TWINRX</v>
      </c>
      <c r="E609" s="36" t="str">
        <f t="shared" si="58"/>
        <v>RETURN - 2nd don of the week -BONUS</v>
      </c>
      <c r="F609" s="36" t="str">
        <f t="shared" si="59"/>
        <v>CP523-RETURN - 2nd don of the week -BONUS</v>
      </c>
      <c r="G609" s="155">
        <f>IFERROR(VLOOKUP(F609,SpecialtyBaseLU,11,FALSE),0)</f>
        <v>20</v>
      </c>
      <c r="H609" s="5">
        <f>K609-G609</f>
        <v>0</v>
      </c>
      <c r="J609" s="5">
        <f t="shared" si="60"/>
        <v>20</v>
      </c>
      <c r="K609" s="148">
        <f t="shared" si="61"/>
        <v>20</v>
      </c>
      <c r="L609" s="5">
        <f t="shared" si="62"/>
        <v>0</v>
      </c>
    </row>
    <row r="610" spans="1:12" x14ac:dyDescent="0.25">
      <c r="A610" t="s">
        <v>71</v>
      </c>
      <c r="B610" t="s">
        <v>72</v>
      </c>
      <c r="C610" t="s">
        <v>505</v>
      </c>
      <c r="D610" s="36" t="str">
        <f t="shared" si="57"/>
        <v>CP523-2X Week P HBS TWINRX-AP</v>
      </c>
      <c r="E610" s="36" t="str">
        <f t="shared" si="58"/>
        <v>RETURN - 2nd don of the week -BONUS</v>
      </c>
      <c r="F610" s="36" t="str">
        <f t="shared" si="59"/>
        <v>CP523-RETURN - 2nd don of the week -BONUS</v>
      </c>
      <c r="G610" s="155">
        <f>IFERROR(VLOOKUP(F610,SpecialtyBaseLU,11,FALSE),0)</f>
        <v>20</v>
      </c>
      <c r="H610" s="5">
        <f>K610-G610</f>
        <v>0</v>
      </c>
      <c r="J610" s="5">
        <f t="shared" si="60"/>
        <v>20</v>
      </c>
      <c r="K610" s="148">
        <f t="shared" si="61"/>
        <v>20</v>
      </c>
      <c r="L610" s="5">
        <f t="shared" si="62"/>
        <v>0</v>
      </c>
    </row>
    <row r="611" spans="1:12" x14ac:dyDescent="0.25">
      <c r="A611" t="s">
        <v>71</v>
      </c>
      <c r="B611" t="s">
        <v>72</v>
      </c>
      <c r="C611" t="s">
        <v>490</v>
      </c>
      <c r="D611" s="36" t="str">
        <f t="shared" si="57"/>
        <v>CP523-2X Week P VZV Pre-Existing</v>
      </c>
      <c r="E611" s="36" t="str">
        <f t="shared" si="58"/>
        <v>RETURN - 2nd don of the week -BONUS</v>
      </c>
      <c r="F611" s="36" t="str">
        <f t="shared" si="59"/>
        <v>CP523-RETURN - 2nd don of the week -BONUS</v>
      </c>
      <c r="G611" s="155">
        <f>IFERROR(VLOOKUP(F611,SpecialtyBaseLU,11,FALSE),0)</f>
        <v>20</v>
      </c>
      <c r="H611" s="5">
        <f>K611-G611</f>
        <v>0</v>
      </c>
      <c r="J611" s="5">
        <f t="shared" si="60"/>
        <v>20</v>
      </c>
      <c r="K611" s="148">
        <f t="shared" si="61"/>
        <v>20</v>
      </c>
      <c r="L611" s="5">
        <f t="shared" si="62"/>
        <v>0</v>
      </c>
    </row>
    <row r="612" spans="1:12" x14ac:dyDescent="0.25">
      <c r="A612" t="s">
        <v>71</v>
      </c>
      <c r="B612" t="s">
        <v>72</v>
      </c>
      <c r="C612" t="s">
        <v>491</v>
      </c>
      <c r="D612" s="36" t="str">
        <f t="shared" si="57"/>
        <v>CP523-2X Week P VZV Pre-Existing AP</v>
      </c>
      <c r="E612" s="36" t="str">
        <f t="shared" si="58"/>
        <v>RETURN - 2nd don of the week -BONUS</v>
      </c>
      <c r="F612" s="36" t="str">
        <f t="shared" si="59"/>
        <v>CP523-RETURN - 2nd don of the week -BONUS</v>
      </c>
      <c r="G612" s="155">
        <f>IFERROR(VLOOKUP(F612,SpecialtyBaseLU,11,FALSE),0)</f>
        <v>20</v>
      </c>
      <c r="H612" s="5">
        <f>K612-G612</f>
        <v>0</v>
      </c>
      <c r="J612" s="5">
        <f t="shared" si="60"/>
        <v>20</v>
      </c>
      <c r="K612" s="148">
        <f t="shared" si="61"/>
        <v>20</v>
      </c>
      <c r="L612" s="5">
        <f t="shared" si="62"/>
        <v>0</v>
      </c>
    </row>
    <row r="613" spans="1:12" x14ac:dyDescent="0.25">
      <c r="A613" t="s">
        <v>71</v>
      </c>
      <c r="B613" t="s">
        <v>72</v>
      </c>
      <c r="C613" t="s">
        <v>469</v>
      </c>
      <c r="D613" s="36" t="str">
        <f t="shared" si="57"/>
        <v>CP523-P Anti-D Pre-Existing Standard</v>
      </c>
      <c r="E613" s="36" t="str">
        <f t="shared" si="58"/>
        <v>RETURN - 1st don of the week -STD</v>
      </c>
      <c r="F613" s="36" t="str">
        <f t="shared" si="59"/>
        <v>CP523-RETURN - 1st don of the week -STD</v>
      </c>
      <c r="G613" s="155">
        <f>IFERROR(VLOOKUP(F613,SpecialtyBaseLU,11,FALSE),0)</f>
        <v>60</v>
      </c>
      <c r="H613" s="5">
        <v>-10</v>
      </c>
      <c r="J613" s="5">
        <f t="shared" si="60"/>
        <v>50</v>
      </c>
      <c r="K613" s="148">
        <f t="shared" si="61"/>
        <v>50</v>
      </c>
      <c r="L613" s="5">
        <f t="shared" si="62"/>
        <v>0</v>
      </c>
    </row>
    <row r="614" spans="1:12" x14ac:dyDescent="0.25">
      <c r="A614" t="s">
        <v>71</v>
      </c>
      <c r="B614" t="s">
        <v>72</v>
      </c>
      <c r="C614" t="s">
        <v>472</v>
      </c>
      <c r="D614" s="36" t="str">
        <f t="shared" si="57"/>
        <v>CP523-P HBS Pre-Existing Standard</v>
      </c>
      <c r="E614" s="36" t="str">
        <f t="shared" si="58"/>
        <v>RETURN - 1st don of the week -STD</v>
      </c>
      <c r="F614" s="36" t="str">
        <f t="shared" si="59"/>
        <v>CP523-RETURN - 1st don of the week -STD</v>
      </c>
      <c r="G614" s="155">
        <f>IFERROR(VLOOKUP(F614,SpecialtyBaseLU,11,FALSE),0)</f>
        <v>60</v>
      </c>
      <c r="H614" s="5">
        <v>20</v>
      </c>
      <c r="J614" s="5">
        <f t="shared" si="60"/>
        <v>80</v>
      </c>
      <c r="K614" s="148">
        <f t="shared" si="61"/>
        <v>80</v>
      </c>
      <c r="L614" s="5">
        <f t="shared" si="62"/>
        <v>0</v>
      </c>
    </row>
    <row r="615" spans="1:12" x14ac:dyDescent="0.25">
      <c r="A615" t="s">
        <v>71</v>
      </c>
      <c r="B615" t="s">
        <v>72</v>
      </c>
      <c r="C615" t="s">
        <v>506</v>
      </c>
      <c r="D615" s="36" t="str">
        <f t="shared" si="57"/>
        <v>CP523-P HBS TWINRIX Standard</v>
      </c>
      <c r="E615" s="36" t="str">
        <f t="shared" si="58"/>
        <v>RETURN - 1st don of the week -STD</v>
      </c>
      <c r="F615" s="36" t="str">
        <f t="shared" si="59"/>
        <v>CP523-RETURN - 1st don of the week -STD</v>
      </c>
      <c r="G615" s="155">
        <f>IFERROR(VLOOKUP(F615,SpecialtyBaseLU,11,FALSE),0)</f>
        <v>60</v>
      </c>
      <c r="H615" s="5">
        <v>20</v>
      </c>
      <c r="J615" s="5">
        <f t="shared" si="60"/>
        <v>80</v>
      </c>
      <c r="K615" s="148">
        <f t="shared" si="61"/>
        <v>80</v>
      </c>
      <c r="L615" s="5">
        <f t="shared" si="62"/>
        <v>0</v>
      </c>
    </row>
    <row r="616" spans="1:12" x14ac:dyDescent="0.25">
      <c r="A616" t="s">
        <v>71</v>
      </c>
      <c r="B616" t="s">
        <v>72</v>
      </c>
      <c r="C616" t="s">
        <v>507</v>
      </c>
      <c r="D616" s="36" t="str">
        <f t="shared" si="57"/>
        <v>CP523-P HBS TWINRIX-AP Standard</v>
      </c>
      <c r="E616" s="36" t="str">
        <f t="shared" si="58"/>
        <v>RETURN - 1st don of the week -STD</v>
      </c>
      <c r="F616" s="36" t="str">
        <f t="shared" si="59"/>
        <v>CP523-RETURN - 1st don of the week -STD</v>
      </c>
      <c r="G616" s="155">
        <f>IFERROR(VLOOKUP(F616,SpecialtyBaseLU,11,FALSE),0)</f>
        <v>60</v>
      </c>
      <c r="H616" s="5">
        <f>K616-G616</f>
        <v>20</v>
      </c>
      <c r="J616" s="5">
        <f t="shared" si="60"/>
        <v>80</v>
      </c>
      <c r="K616" s="148">
        <f t="shared" si="61"/>
        <v>80</v>
      </c>
      <c r="L616" s="5">
        <f t="shared" si="62"/>
        <v>0</v>
      </c>
    </row>
    <row r="617" spans="1:12" x14ac:dyDescent="0.25">
      <c r="A617" t="s">
        <v>71</v>
      </c>
      <c r="B617" t="s">
        <v>72</v>
      </c>
      <c r="C617" t="s">
        <v>475</v>
      </c>
      <c r="D617" s="36" t="str">
        <f t="shared" si="57"/>
        <v>CP523-P Vaccinia AP Standard</v>
      </c>
      <c r="E617" s="36">
        <f t="shared" si="58"/>
        <v>0</v>
      </c>
      <c r="F617" s="36" t="str">
        <f t="shared" si="59"/>
        <v>CP523-0</v>
      </c>
      <c r="G617" s="155">
        <f>IFERROR(VLOOKUP(F617,SpecialtyBaseLU,11,FALSE),0)</f>
        <v>0</v>
      </c>
      <c r="I617" s="5">
        <v>100</v>
      </c>
      <c r="J617" s="5">
        <f t="shared" si="60"/>
        <v>100</v>
      </c>
      <c r="K617" s="148">
        <f t="shared" si="61"/>
        <v>100</v>
      </c>
      <c r="L617" s="5">
        <f t="shared" si="62"/>
        <v>0</v>
      </c>
    </row>
    <row r="618" spans="1:12" x14ac:dyDescent="0.25">
      <c r="A618" t="s">
        <v>71</v>
      </c>
      <c r="B618" t="s">
        <v>72</v>
      </c>
      <c r="C618" t="s">
        <v>476</v>
      </c>
      <c r="D618" s="36" t="str">
        <f t="shared" si="57"/>
        <v>CP523-P Vaccinia Standard</v>
      </c>
      <c r="E618" s="36">
        <f t="shared" si="58"/>
        <v>0</v>
      </c>
      <c r="F618" s="36" t="str">
        <f t="shared" si="59"/>
        <v>CP523-0</v>
      </c>
      <c r="G618" s="155">
        <f>IFERROR(VLOOKUP(F618,SpecialtyBaseLU,11,FALSE),0)</f>
        <v>0</v>
      </c>
      <c r="I618" s="5">
        <v>100</v>
      </c>
      <c r="J618" s="5">
        <f t="shared" si="60"/>
        <v>100</v>
      </c>
      <c r="K618" s="148">
        <f t="shared" si="61"/>
        <v>100</v>
      </c>
      <c r="L618" s="5">
        <f t="shared" si="62"/>
        <v>0</v>
      </c>
    </row>
    <row r="619" spans="1:12" x14ac:dyDescent="0.25">
      <c r="A619" t="s">
        <v>71</v>
      </c>
      <c r="B619" t="s">
        <v>72</v>
      </c>
      <c r="C619" t="s">
        <v>495</v>
      </c>
      <c r="D619" s="36" t="str">
        <f t="shared" si="57"/>
        <v>CP523-P VZV Pre-Existing AP</v>
      </c>
      <c r="E619" s="36" t="str">
        <f t="shared" si="58"/>
        <v>RETURN - 1st don of the week -STD</v>
      </c>
      <c r="F619" s="36" t="str">
        <f t="shared" si="59"/>
        <v>CP523-RETURN - 1st don of the week -STD</v>
      </c>
      <c r="G619" s="155">
        <f>IFERROR(VLOOKUP(F619,SpecialtyBaseLU,11,FALSE),0)</f>
        <v>60</v>
      </c>
      <c r="H619" s="5">
        <v>10</v>
      </c>
      <c r="I619" s="5">
        <v>0</v>
      </c>
      <c r="J619" s="5">
        <f t="shared" si="60"/>
        <v>70</v>
      </c>
      <c r="K619" s="148">
        <f t="shared" si="61"/>
        <v>70</v>
      </c>
      <c r="L619" s="5">
        <f t="shared" si="62"/>
        <v>0</v>
      </c>
    </row>
    <row r="620" spans="1:12" x14ac:dyDescent="0.25">
      <c r="A620" t="s">
        <v>71</v>
      </c>
      <c r="B620" t="s">
        <v>72</v>
      </c>
      <c r="C620" t="s">
        <v>497</v>
      </c>
      <c r="D620" s="36" t="str">
        <f t="shared" si="57"/>
        <v>CP523-PVZV Pre-Existing Standard</v>
      </c>
      <c r="E620" s="36" t="str">
        <f t="shared" si="58"/>
        <v>RETURN - 1st don of the week -STD</v>
      </c>
      <c r="F620" s="36" t="str">
        <f t="shared" si="59"/>
        <v>CP523-RETURN - 1st don of the week -STD</v>
      </c>
      <c r="G620" s="155">
        <f>IFERROR(VLOOKUP(F620,SpecialtyBaseLU,11,FALSE),0)</f>
        <v>60</v>
      </c>
      <c r="H620" s="5">
        <f>K620-G620</f>
        <v>10</v>
      </c>
      <c r="J620" s="5">
        <f t="shared" si="60"/>
        <v>70</v>
      </c>
      <c r="K620" s="148">
        <f t="shared" si="61"/>
        <v>70</v>
      </c>
      <c r="L620" s="5">
        <f t="shared" si="62"/>
        <v>0</v>
      </c>
    </row>
    <row r="621" spans="1:12" x14ac:dyDescent="0.25">
      <c r="A621" t="s">
        <v>71</v>
      </c>
      <c r="B621" t="s">
        <v>72</v>
      </c>
      <c r="C621" t="s">
        <v>477</v>
      </c>
      <c r="D621" s="36" t="str">
        <f t="shared" si="57"/>
        <v>CP523-Vaccinia - 1st Donation</v>
      </c>
      <c r="E621" s="36">
        <f t="shared" si="58"/>
        <v>0</v>
      </c>
      <c r="F621" s="36" t="str">
        <f t="shared" si="59"/>
        <v>CP523-0</v>
      </c>
      <c r="G621" s="155">
        <f>IFERROR(VLOOKUP(F621,SpecialtyBaseLU,11,FALSE),0)</f>
        <v>0</v>
      </c>
      <c r="I621" s="5">
        <v>150</v>
      </c>
      <c r="J621" s="5">
        <f t="shared" si="60"/>
        <v>150</v>
      </c>
      <c r="K621" s="148">
        <f t="shared" si="61"/>
        <v>150</v>
      </c>
      <c r="L621" s="5">
        <f t="shared" si="62"/>
        <v>0</v>
      </c>
    </row>
    <row r="622" spans="1:12" x14ac:dyDescent="0.25">
      <c r="A622" t="s">
        <v>71</v>
      </c>
      <c r="B622" t="s">
        <v>72</v>
      </c>
      <c r="C622" t="s">
        <v>478</v>
      </c>
      <c r="D622" s="36" t="str">
        <f t="shared" si="57"/>
        <v>CP523-Vaccinia - 2nd Donation</v>
      </c>
      <c r="E622" s="36">
        <f t="shared" si="58"/>
        <v>0</v>
      </c>
      <c r="F622" s="36" t="str">
        <f t="shared" si="59"/>
        <v>CP523-0</v>
      </c>
      <c r="G622" s="155">
        <f>IFERROR(VLOOKUP(F622,SpecialtyBaseLU,11,FALSE),0)</f>
        <v>0</v>
      </c>
      <c r="I622" s="5">
        <v>250</v>
      </c>
      <c r="J622" s="5">
        <f t="shared" si="60"/>
        <v>250</v>
      </c>
      <c r="K622" s="148">
        <f t="shared" si="61"/>
        <v>250</v>
      </c>
      <c r="L622" s="5">
        <f t="shared" si="62"/>
        <v>0</v>
      </c>
    </row>
    <row r="623" spans="1:12" x14ac:dyDescent="0.25">
      <c r="A623" t="s">
        <v>71</v>
      </c>
      <c r="B623" t="s">
        <v>72</v>
      </c>
      <c r="C623" t="s">
        <v>479</v>
      </c>
      <c r="D623" s="36" t="str">
        <f t="shared" si="57"/>
        <v>CP523-Vaccinia - 3rd Donation</v>
      </c>
      <c r="E623" s="36">
        <f t="shared" si="58"/>
        <v>0</v>
      </c>
      <c r="F623" s="36" t="str">
        <f t="shared" si="59"/>
        <v>CP523-0</v>
      </c>
      <c r="G623" s="155">
        <f>IFERROR(VLOOKUP(F623,SpecialtyBaseLU,11,FALSE),0)</f>
        <v>0</v>
      </c>
      <c r="I623" s="5">
        <v>300</v>
      </c>
      <c r="J623" s="5">
        <f t="shared" si="60"/>
        <v>300</v>
      </c>
      <c r="K623" s="148">
        <f t="shared" si="61"/>
        <v>300</v>
      </c>
      <c r="L623" s="5">
        <f t="shared" si="62"/>
        <v>0</v>
      </c>
    </row>
    <row r="624" spans="1:12" x14ac:dyDescent="0.25">
      <c r="A624" t="s">
        <v>71</v>
      </c>
      <c r="B624" t="s">
        <v>72</v>
      </c>
      <c r="C624" t="s">
        <v>480</v>
      </c>
      <c r="D624" s="36" t="str">
        <f t="shared" si="57"/>
        <v>CP523-Vaccinia - 4th Donation</v>
      </c>
      <c r="E624" s="36">
        <f t="shared" si="58"/>
        <v>0</v>
      </c>
      <c r="F624" s="36" t="str">
        <f t="shared" si="59"/>
        <v>CP523-0</v>
      </c>
      <c r="G624" s="155">
        <f>IFERROR(VLOOKUP(F624,SpecialtyBaseLU,11,FALSE),0)</f>
        <v>0</v>
      </c>
      <c r="I624" s="5">
        <v>300</v>
      </c>
      <c r="J624" s="5">
        <f t="shared" si="60"/>
        <v>300</v>
      </c>
      <c r="K624" s="148">
        <f t="shared" si="61"/>
        <v>300</v>
      </c>
      <c r="L624" s="5">
        <f t="shared" si="62"/>
        <v>0</v>
      </c>
    </row>
    <row r="625" spans="1:12" x14ac:dyDescent="0.25">
      <c r="A625" t="s">
        <v>71</v>
      </c>
      <c r="B625" t="s">
        <v>72</v>
      </c>
      <c r="C625" t="s">
        <v>481</v>
      </c>
      <c r="D625" s="36" t="str">
        <f t="shared" si="57"/>
        <v>CP523-Vaccinia AP - 1st Donation</v>
      </c>
      <c r="E625" s="36">
        <f t="shared" si="58"/>
        <v>0</v>
      </c>
      <c r="F625" s="36" t="str">
        <f t="shared" si="59"/>
        <v>CP523-0</v>
      </c>
      <c r="G625" s="155">
        <f>IFERROR(VLOOKUP(F625,SpecialtyBaseLU,11,FALSE),0)</f>
        <v>0</v>
      </c>
      <c r="I625" s="5">
        <v>150</v>
      </c>
      <c r="J625" s="5">
        <f t="shared" si="60"/>
        <v>150</v>
      </c>
      <c r="K625" s="148">
        <f t="shared" si="61"/>
        <v>150</v>
      </c>
      <c r="L625" s="5">
        <f t="shared" si="62"/>
        <v>0</v>
      </c>
    </row>
    <row r="626" spans="1:12" x14ac:dyDescent="0.25">
      <c r="A626" t="s">
        <v>71</v>
      </c>
      <c r="B626" t="s">
        <v>72</v>
      </c>
      <c r="C626" t="s">
        <v>482</v>
      </c>
      <c r="D626" s="36" t="str">
        <f t="shared" si="57"/>
        <v>CP523-Vaccinia AP - 2nd Donation</v>
      </c>
      <c r="E626" s="36">
        <f t="shared" si="58"/>
        <v>0</v>
      </c>
      <c r="F626" s="36" t="str">
        <f t="shared" si="59"/>
        <v>CP523-0</v>
      </c>
      <c r="G626" s="155">
        <f>IFERROR(VLOOKUP(F626,SpecialtyBaseLU,11,FALSE),0)</f>
        <v>0</v>
      </c>
      <c r="I626" s="5">
        <v>250</v>
      </c>
      <c r="J626" s="5">
        <f t="shared" si="60"/>
        <v>250</v>
      </c>
      <c r="K626" s="148">
        <f t="shared" si="61"/>
        <v>250</v>
      </c>
      <c r="L626" s="5">
        <f t="shared" si="62"/>
        <v>0</v>
      </c>
    </row>
    <row r="627" spans="1:12" x14ac:dyDescent="0.25">
      <c r="A627" t="s">
        <v>71</v>
      </c>
      <c r="B627" t="s">
        <v>72</v>
      </c>
      <c r="C627" t="s">
        <v>483</v>
      </c>
      <c r="D627" s="36" t="str">
        <f t="shared" si="57"/>
        <v>CP523-Vaccinia AP - 3rd Donation</v>
      </c>
      <c r="E627" s="36">
        <f t="shared" si="58"/>
        <v>0</v>
      </c>
      <c r="F627" s="36" t="str">
        <f t="shared" si="59"/>
        <v>CP523-0</v>
      </c>
      <c r="G627" s="155">
        <f>IFERROR(VLOOKUP(F627,SpecialtyBaseLU,11,FALSE),0)</f>
        <v>0</v>
      </c>
      <c r="I627" s="5">
        <v>300</v>
      </c>
      <c r="J627" s="5">
        <f t="shared" si="60"/>
        <v>300</v>
      </c>
      <c r="K627" s="148">
        <f t="shared" si="61"/>
        <v>300</v>
      </c>
      <c r="L627" s="5">
        <f t="shared" si="62"/>
        <v>0</v>
      </c>
    </row>
    <row r="628" spans="1:12" x14ac:dyDescent="0.25">
      <c r="A628" t="s">
        <v>71</v>
      </c>
      <c r="B628" t="s">
        <v>72</v>
      </c>
      <c r="C628" t="s">
        <v>484</v>
      </c>
      <c r="D628" s="36" t="str">
        <f t="shared" si="57"/>
        <v>CP523-Vaccinia AP - 4th Donation</v>
      </c>
      <c r="E628" s="36">
        <f t="shared" si="58"/>
        <v>0</v>
      </c>
      <c r="F628" s="36" t="str">
        <f t="shared" si="59"/>
        <v>CP523-0</v>
      </c>
      <c r="G628" s="155">
        <f>IFERROR(VLOOKUP(F628,SpecialtyBaseLU,11,FALSE),0)</f>
        <v>0</v>
      </c>
      <c r="I628" s="5">
        <v>300</v>
      </c>
      <c r="J628" s="5">
        <f t="shared" si="60"/>
        <v>300</v>
      </c>
      <c r="K628" s="148">
        <f t="shared" si="61"/>
        <v>300</v>
      </c>
      <c r="L628" s="5">
        <f t="shared" si="62"/>
        <v>0</v>
      </c>
    </row>
    <row r="629" spans="1:12" x14ac:dyDescent="0.25">
      <c r="A629" t="s">
        <v>79</v>
      </c>
      <c r="B629" t="s">
        <v>80</v>
      </c>
      <c r="C629" t="s">
        <v>471</v>
      </c>
      <c r="D629" s="36" t="str">
        <f t="shared" si="57"/>
        <v>CP524-2X Week P HBS Pre-Existing</v>
      </c>
      <c r="E629" s="36" t="str">
        <f t="shared" si="58"/>
        <v>RETURN - 2nd don of the week -BONUS</v>
      </c>
      <c r="F629" s="36" t="str">
        <f t="shared" si="59"/>
        <v>CP524-RETURN - 2nd don of the week -BONUS</v>
      </c>
      <c r="G629" s="155">
        <f>IFERROR(VLOOKUP(F629,SpecialtyBaseLU,11,FALSE),0)</f>
        <v>20</v>
      </c>
      <c r="J629" s="5">
        <f t="shared" si="60"/>
        <v>20</v>
      </c>
      <c r="K629" s="148">
        <f t="shared" si="61"/>
        <v>4</v>
      </c>
      <c r="L629" s="5">
        <f t="shared" si="62"/>
        <v>16</v>
      </c>
    </row>
    <row r="630" spans="1:12" x14ac:dyDescent="0.25">
      <c r="A630" t="s">
        <v>79</v>
      </c>
      <c r="B630" t="s">
        <v>80</v>
      </c>
      <c r="C630" t="s">
        <v>504</v>
      </c>
      <c r="D630" s="36" t="str">
        <f t="shared" si="57"/>
        <v>CP524-2X Week P HBS TWINRX</v>
      </c>
      <c r="E630" s="36" t="str">
        <f t="shared" si="58"/>
        <v>RETURN - 2nd don of the week -BONUS</v>
      </c>
      <c r="F630" s="36" t="str">
        <f t="shared" si="59"/>
        <v>CP524-RETURN - 2nd don of the week -BONUS</v>
      </c>
      <c r="G630" s="155">
        <f>IFERROR(VLOOKUP(F630,SpecialtyBaseLU,11,FALSE),0)</f>
        <v>20</v>
      </c>
      <c r="J630" s="5">
        <f t="shared" si="60"/>
        <v>20</v>
      </c>
      <c r="K630" s="148">
        <f t="shared" si="61"/>
        <v>4</v>
      </c>
      <c r="L630" s="5">
        <f t="shared" si="62"/>
        <v>16</v>
      </c>
    </row>
    <row r="631" spans="1:12" x14ac:dyDescent="0.25">
      <c r="A631" t="s">
        <v>79</v>
      </c>
      <c r="B631" t="s">
        <v>80</v>
      </c>
      <c r="C631" t="s">
        <v>505</v>
      </c>
      <c r="D631" s="36" t="str">
        <f t="shared" si="57"/>
        <v>CP524-2X Week P HBS TWINRX-AP</v>
      </c>
      <c r="E631" s="36" t="str">
        <f t="shared" si="58"/>
        <v>RETURN - 2nd don of the week -BONUS</v>
      </c>
      <c r="F631" s="36" t="str">
        <f t="shared" si="59"/>
        <v>CP524-RETURN - 2nd don of the week -BONUS</v>
      </c>
      <c r="G631" s="155">
        <f>IFERROR(VLOOKUP(F631,SpecialtyBaseLU,11,FALSE),0)</f>
        <v>20</v>
      </c>
      <c r="J631" s="5">
        <f t="shared" si="60"/>
        <v>20</v>
      </c>
      <c r="K631" s="148">
        <f t="shared" si="61"/>
        <v>4</v>
      </c>
      <c r="L631" s="5">
        <f t="shared" si="62"/>
        <v>16</v>
      </c>
    </row>
    <row r="632" spans="1:12" x14ac:dyDescent="0.25">
      <c r="A632" t="s">
        <v>79</v>
      </c>
      <c r="B632" t="s">
        <v>80</v>
      </c>
      <c r="C632" t="s">
        <v>490</v>
      </c>
      <c r="D632" s="36" t="str">
        <f t="shared" si="57"/>
        <v>CP524-2X Week P VZV Pre-Existing</v>
      </c>
      <c r="E632" s="36" t="str">
        <f t="shared" si="58"/>
        <v>RETURN - 2nd don of the week -BONUS</v>
      </c>
      <c r="F632" s="36" t="str">
        <f t="shared" si="59"/>
        <v>CP524-RETURN - 2nd don of the week -BONUS</v>
      </c>
      <c r="G632" s="155">
        <f>IFERROR(VLOOKUP(F632,SpecialtyBaseLU,11,FALSE),0)</f>
        <v>20</v>
      </c>
      <c r="J632" s="5">
        <f t="shared" si="60"/>
        <v>20</v>
      </c>
      <c r="K632" s="148">
        <f t="shared" si="61"/>
        <v>4</v>
      </c>
      <c r="L632" s="5">
        <f t="shared" si="62"/>
        <v>16</v>
      </c>
    </row>
    <row r="633" spans="1:12" x14ac:dyDescent="0.25">
      <c r="A633" t="s">
        <v>79</v>
      </c>
      <c r="B633" t="s">
        <v>80</v>
      </c>
      <c r="C633" t="s">
        <v>491</v>
      </c>
      <c r="D633" s="36" t="str">
        <f t="shared" si="57"/>
        <v>CP524-2X Week P VZV Pre-Existing AP</v>
      </c>
      <c r="E633" s="36" t="str">
        <f t="shared" si="58"/>
        <v>RETURN - 2nd don of the week -BONUS</v>
      </c>
      <c r="F633" s="36" t="str">
        <f t="shared" si="59"/>
        <v>CP524-RETURN - 2nd don of the week -BONUS</v>
      </c>
      <c r="G633" s="155">
        <f>IFERROR(VLOOKUP(F633,SpecialtyBaseLU,11,FALSE),0)</f>
        <v>20</v>
      </c>
      <c r="J633" s="5">
        <f t="shared" si="60"/>
        <v>20</v>
      </c>
      <c r="K633" s="148">
        <f t="shared" si="61"/>
        <v>4</v>
      </c>
      <c r="L633" s="5">
        <f t="shared" si="62"/>
        <v>16</v>
      </c>
    </row>
    <row r="634" spans="1:12" x14ac:dyDescent="0.25">
      <c r="A634" t="s">
        <v>79</v>
      </c>
      <c r="B634" t="s">
        <v>80</v>
      </c>
      <c r="C634" t="s">
        <v>469</v>
      </c>
      <c r="D634" s="36" t="str">
        <f t="shared" si="57"/>
        <v>CP524-P Anti-D Pre-Existing Standard</v>
      </c>
      <c r="E634" s="36" t="str">
        <f t="shared" si="58"/>
        <v>RETURN - 1st don of the week -STD</v>
      </c>
      <c r="F634" s="36" t="str">
        <f t="shared" si="59"/>
        <v>CP524-RETURN - 1st don of the week -STD</v>
      </c>
      <c r="G634" s="155">
        <f>IFERROR(VLOOKUP(F634,SpecialtyBaseLU,11,FALSE),0)</f>
        <v>50</v>
      </c>
      <c r="H634" s="5">
        <v>-6</v>
      </c>
      <c r="J634" s="5">
        <f t="shared" si="60"/>
        <v>44</v>
      </c>
      <c r="K634" s="148">
        <f t="shared" si="61"/>
        <v>50</v>
      </c>
      <c r="L634" s="5">
        <f t="shared" si="62"/>
        <v>-6</v>
      </c>
    </row>
    <row r="635" spans="1:12" x14ac:dyDescent="0.25">
      <c r="A635" t="s">
        <v>79</v>
      </c>
      <c r="B635" t="s">
        <v>80</v>
      </c>
      <c r="C635" t="s">
        <v>472</v>
      </c>
      <c r="D635" s="36" t="str">
        <f t="shared" si="57"/>
        <v>CP524-P HBS Pre-Existing Standard</v>
      </c>
      <c r="E635" s="36" t="str">
        <f t="shared" si="58"/>
        <v>RETURN - 1st don of the week -STD</v>
      </c>
      <c r="F635" s="36" t="str">
        <f t="shared" si="59"/>
        <v>CP524-RETURN - 1st don of the week -STD</v>
      </c>
      <c r="G635" s="155">
        <f>IFERROR(VLOOKUP(F635,SpecialtyBaseLU,11,FALSE),0)</f>
        <v>50</v>
      </c>
      <c r="H635" s="5">
        <v>20</v>
      </c>
      <c r="J635" s="5">
        <f t="shared" si="60"/>
        <v>70</v>
      </c>
      <c r="K635" s="148">
        <f t="shared" si="61"/>
        <v>76</v>
      </c>
      <c r="L635" s="5">
        <f t="shared" si="62"/>
        <v>-6</v>
      </c>
    </row>
    <row r="636" spans="1:12" x14ac:dyDescent="0.25">
      <c r="A636" t="s">
        <v>79</v>
      </c>
      <c r="B636" t="s">
        <v>80</v>
      </c>
      <c r="C636" t="s">
        <v>506</v>
      </c>
      <c r="D636" s="36" t="str">
        <f t="shared" si="57"/>
        <v>CP524-P HBS TWINRIX Standard</v>
      </c>
      <c r="E636" s="36" t="str">
        <f t="shared" si="58"/>
        <v>RETURN - 1st don of the week -STD</v>
      </c>
      <c r="F636" s="36" t="str">
        <f t="shared" si="59"/>
        <v>CP524-RETURN - 1st don of the week -STD</v>
      </c>
      <c r="G636" s="155">
        <f>IFERROR(VLOOKUP(F636,SpecialtyBaseLU,11,FALSE),0)</f>
        <v>50</v>
      </c>
      <c r="H636" s="5">
        <v>20</v>
      </c>
      <c r="J636" s="5">
        <f t="shared" si="60"/>
        <v>70</v>
      </c>
      <c r="K636" s="148">
        <f t="shared" si="61"/>
        <v>76</v>
      </c>
      <c r="L636" s="5">
        <f t="shared" si="62"/>
        <v>-6</v>
      </c>
    </row>
    <row r="637" spans="1:12" x14ac:dyDescent="0.25">
      <c r="A637" t="s">
        <v>79</v>
      </c>
      <c r="B637" t="s">
        <v>80</v>
      </c>
      <c r="C637" t="s">
        <v>507</v>
      </c>
      <c r="D637" s="36" t="str">
        <f t="shared" si="57"/>
        <v>CP524-P HBS TWINRIX-AP Standard</v>
      </c>
      <c r="E637" s="36" t="str">
        <f t="shared" si="58"/>
        <v>RETURN - 1st don of the week -STD</v>
      </c>
      <c r="F637" s="36" t="str">
        <f t="shared" si="59"/>
        <v>CP524-RETURN - 1st don of the week -STD</v>
      </c>
      <c r="G637" s="155">
        <f>IFERROR(VLOOKUP(F637,SpecialtyBaseLU,11,FALSE),0)</f>
        <v>50</v>
      </c>
      <c r="H637" s="5">
        <f>K637-G637</f>
        <v>26</v>
      </c>
      <c r="J637" s="5">
        <f t="shared" si="60"/>
        <v>76</v>
      </c>
      <c r="K637" s="148">
        <f t="shared" si="61"/>
        <v>76</v>
      </c>
      <c r="L637" s="5">
        <f t="shared" si="62"/>
        <v>0</v>
      </c>
    </row>
    <row r="638" spans="1:12" x14ac:dyDescent="0.25">
      <c r="A638" t="s">
        <v>79</v>
      </c>
      <c r="B638" t="s">
        <v>80</v>
      </c>
      <c r="C638" t="s">
        <v>475</v>
      </c>
      <c r="D638" s="36" t="str">
        <f t="shared" si="57"/>
        <v>CP524-P Vaccinia AP Standard</v>
      </c>
      <c r="E638" s="36">
        <f t="shared" si="58"/>
        <v>0</v>
      </c>
      <c r="F638" s="36" t="str">
        <f t="shared" si="59"/>
        <v>CP524-0</v>
      </c>
      <c r="G638" s="155">
        <f>IFERROR(VLOOKUP(F638,SpecialtyBaseLU,11,FALSE),0)</f>
        <v>0</v>
      </c>
      <c r="I638" s="5">
        <v>100</v>
      </c>
      <c r="J638" s="5">
        <f t="shared" si="60"/>
        <v>100</v>
      </c>
      <c r="K638" s="148">
        <f t="shared" si="61"/>
        <v>100</v>
      </c>
      <c r="L638" s="5">
        <f t="shared" si="62"/>
        <v>0</v>
      </c>
    </row>
    <row r="639" spans="1:12" x14ac:dyDescent="0.25">
      <c r="A639" t="s">
        <v>79</v>
      </c>
      <c r="B639" t="s">
        <v>80</v>
      </c>
      <c r="C639" t="s">
        <v>476</v>
      </c>
      <c r="D639" s="36" t="str">
        <f t="shared" si="57"/>
        <v>CP524-P Vaccinia Standard</v>
      </c>
      <c r="E639" s="36">
        <f t="shared" si="58"/>
        <v>0</v>
      </c>
      <c r="F639" s="36" t="str">
        <f t="shared" si="59"/>
        <v>CP524-0</v>
      </c>
      <c r="G639" s="155">
        <f>IFERROR(VLOOKUP(F639,SpecialtyBaseLU,11,FALSE),0)</f>
        <v>0</v>
      </c>
      <c r="I639" s="5">
        <v>100</v>
      </c>
      <c r="J639" s="5">
        <f t="shared" si="60"/>
        <v>100</v>
      </c>
      <c r="K639" s="148">
        <f t="shared" si="61"/>
        <v>100</v>
      </c>
      <c r="L639" s="5">
        <f t="shared" si="62"/>
        <v>0</v>
      </c>
    </row>
    <row r="640" spans="1:12" x14ac:dyDescent="0.25">
      <c r="A640" t="s">
        <v>79</v>
      </c>
      <c r="B640" t="s">
        <v>80</v>
      </c>
      <c r="C640" t="s">
        <v>495</v>
      </c>
      <c r="D640" s="36" t="str">
        <f t="shared" si="57"/>
        <v>CP524-P VZV Pre-Existing AP</v>
      </c>
      <c r="E640" s="36" t="str">
        <f t="shared" si="58"/>
        <v>RETURN - 1st don of the week -STD</v>
      </c>
      <c r="F640" s="36" t="str">
        <f t="shared" si="59"/>
        <v>CP524-RETURN - 1st don of the week -STD</v>
      </c>
      <c r="G640" s="155">
        <f>IFERROR(VLOOKUP(F640,SpecialtyBaseLU,11,FALSE),0)</f>
        <v>50</v>
      </c>
      <c r="H640" s="5">
        <v>10</v>
      </c>
      <c r="I640" s="5">
        <v>0</v>
      </c>
      <c r="J640" s="5">
        <f t="shared" si="60"/>
        <v>60</v>
      </c>
      <c r="K640" s="148">
        <f t="shared" si="61"/>
        <v>66</v>
      </c>
      <c r="L640" s="5">
        <f t="shared" si="62"/>
        <v>-6</v>
      </c>
    </row>
    <row r="641" spans="1:12" x14ac:dyDescent="0.25">
      <c r="A641" t="s">
        <v>79</v>
      </c>
      <c r="B641" t="s">
        <v>80</v>
      </c>
      <c r="C641" t="s">
        <v>496</v>
      </c>
      <c r="D641" s="36" t="str">
        <f t="shared" si="57"/>
        <v>CP524-P VZV Standard</v>
      </c>
      <c r="E641" s="36" t="str">
        <f t="shared" si="58"/>
        <v>RETURN - 1st don of the week -STD</v>
      </c>
      <c r="F641" s="36" t="str">
        <f t="shared" si="59"/>
        <v>CP524-RETURN - 1st don of the week -STD</v>
      </c>
      <c r="G641" s="155">
        <f>IFERROR(VLOOKUP(F641,SpecialtyBaseLU,11,FALSE),0)</f>
        <v>50</v>
      </c>
      <c r="H641" s="5">
        <v>10</v>
      </c>
      <c r="I641" s="5">
        <v>0</v>
      </c>
      <c r="J641" s="5">
        <f t="shared" si="60"/>
        <v>60</v>
      </c>
      <c r="K641" s="148">
        <f t="shared" si="61"/>
        <v>66</v>
      </c>
      <c r="L641" s="5">
        <f t="shared" si="62"/>
        <v>-6</v>
      </c>
    </row>
    <row r="642" spans="1:12" x14ac:dyDescent="0.25">
      <c r="A642" t="s">
        <v>79</v>
      </c>
      <c r="B642" t="s">
        <v>80</v>
      </c>
      <c r="C642" t="s">
        <v>497</v>
      </c>
      <c r="D642" s="36" t="str">
        <f t="shared" si="57"/>
        <v>CP524-PVZV Pre-Existing Standard</v>
      </c>
      <c r="E642" s="36" t="str">
        <f t="shared" si="58"/>
        <v>RETURN - 1st don of the week -STD</v>
      </c>
      <c r="F642" s="36" t="str">
        <f t="shared" si="59"/>
        <v>CP524-RETURN - 1st don of the week -STD</v>
      </c>
      <c r="G642" s="155">
        <f>IFERROR(VLOOKUP(F642,SpecialtyBaseLU,11,FALSE),0)</f>
        <v>50</v>
      </c>
      <c r="H642" s="5">
        <f>K642-G642</f>
        <v>16</v>
      </c>
      <c r="J642" s="5">
        <f t="shared" si="60"/>
        <v>66</v>
      </c>
      <c r="K642" s="148">
        <f t="shared" si="61"/>
        <v>66</v>
      </c>
      <c r="L642" s="5">
        <f t="shared" si="62"/>
        <v>0</v>
      </c>
    </row>
    <row r="643" spans="1:12" x14ac:dyDescent="0.25">
      <c r="A643" t="s">
        <v>79</v>
      </c>
      <c r="B643" t="s">
        <v>80</v>
      </c>
      <c r="C643" t="s">
        <v>477</v>
      </c>
      <c r="D643" s="36" t="str">
        <f t="shared" si="57"/>
        <v>CP524-Vaccinia - 1st Donation</v>
      </c>
      <c r="E643" s="36">
        <f t="shared" si="58"/>
        <v>0</v>
      </c>
      <c r="F643" s="36" t="str">
        <f t="shared" si="59"/>
        <v>CP524-0</v>
      </c>
      <c r="G643" s="155">
        <f>IFERROR(VLOOKUP(F643,SpecialtyBaseLU,11,FALSE),0)</f>
        <v>0</v>
      </c>
      <c r="I643" s="5">
        <v>150</v>
      </c>
      <c r="J643" s="5">
        <f t="shared" si="60"/>
        <v>150</v>
      </c>
      <c r="K643" s="148">
        <f t="shared" si="61"/>
        <v>150</v>
      </c>
      <c r="L643" s="5">
        <f t="shared" si="62"/>
        <v>0</v>
      </c>
    </row>
    <row r="644" spans="1:12" x14ac:dyDescent="0.25">
      <c r="A644" t="s">
        <v>79</v>
      </c>
      <c r="B644" t="s">
        <v>80</v>
      </c>
      <c r="C644" t="s">
        <v>478</v>
      </c>
      <c r="D644" s="36" t="str">
        <f t="shared" ref="D644:D707" si="64">B644&amp;"-"&amp;C644</f>
        <v>CP524-Vaccinia - 2nd Donation</v>
      </c>
      <c r="E644" s="36">
        <f t="shared" ref="E644:E707" si="65">VLOOKUP(C644,RULENAMELU,5,FALSE)</f>
        <v>0</v>
      </c>
      <c r="F644" s="36" t="str">
        <f t="shared" ref="F644:F707" si="66">B644&amp;"-"&amp;E644</f>
        <v>CP524-0</v>
      </c>
      <c r="G644" s="155">
        <f>IFERROR(VLOOKUP(F644,SpecialtyBaseLU,11,FALSE),0)</f>
        <v>0</v>
      </c>
      <c r="I644" s="5">
        <v>250</v>
      </c>
      <c r="J644" s="5">
        <f t="shared" ref="J644:J707" si="67">G644+H644+I644</f>
        <v>250</v>
      </c>
      <c r="K644" s="148">
        <f t="shared" ref="K644:K707" si="68">VLOOKUP(D644,CurrentNLDataLU,11,FALSE)</f>
        <v>250</v>
      </c>
      <c r="L644" s="5">
        <f t="shared" ref="L644:L707" si="69">J644-K644</f>
        <v>0</v>
      </c>
    </row>
    <row r="645" spans="1:12" x14ac:dyDescent="0.25">
      <c r="A645" t="s">
        <v>79</v>
      </c>
      <c r="B645" t="s">
        <v>80</v>
      </c>
      <c r="C645" t="s">
        <v>479</v>
      </c>
      <c r="D645" s="36" t="str">
        <f t="shared" si="64"/>
        <v>CP524-Vaccinia - 3rd Donation</v>
      </c>
      <c r="E645" s="36">
        <f t="shared" si="65"/>
        <v>0</v>
      </c>
      <c r="F645" s="36" t="str">
        <f t="shared" si="66"/>
        <v>CP524-0</v>
      </c>
      <c r="G645" s="155">
        <f>IFERROR(VLOOKUP(F645,SpecialtyBaseLU,11,FALSE),0)</f>
        <v>0</v>
      </c>
      <c r="I645" s="5">
        <v>300</v>
      </c>
      <c r="J645" s="5">
        <f t="shared" si="67"/>
        <v>300</v>
      </c>
      <c r="K645" s="148">
        <f t="shared" si="68"/>
        <v>300</v>
      </c>
      <c r="L645" s="5">
        <f t="shared" si="69"/>
        <v>0</v>
      </c>
    </row>
    <row r="646" spans="1:12" x14ac:dyDescent="0.25">
      <c r="A646" t="s">
        <v>79</v>
      </c>
      <c r="B646" t="s">
        <v>80</v>
      </c>
      <c r="C646" t="s">
        <v>480</v>
      </c>
      <c r="D646" s="36" t="str">
        <f t="shared" si="64"/>
        <v>CP524-Vaccinia - 4th Donation</v>
      </c>
      <c r="E646" s="36">
        <f t="shared" si="65"/>
        <v>0</v>
      </c>
      <c r="F646" s="36" t="str">
        <f t="shared" si="66"/>
        <v>CP524-0</v>
      </c>
      <c r="G646" s="155">
        <f>IFERROR(VLOOKUP(F646,SpecialtyBaseLU,11,FALSE),0)</f>
        <v>0</v>
      </c>
      <c r="I646" s="5">
        <v>300</v>
      </c>
      <c r="J646" s="5">
        <f t="shared" si="67"/>
        <v>300</v>
      </c>
      <c r="K646" s="148">
        <f t="shared" si="68"/>
        <v>300</v>
      </c>
      <c r="L646" s="5">
        <f t="shared" si="69"/>
        <v>0</v>
      </c>
    </row>
    <row r="647" spans="1:12" x14ac:dyDescent="0.25">
      <c r="A647" t="s">
        <v>79</v>
      </c>
      <c r="B647" t="s">
        <v>80</v>
      </c>
      <c r="C647" t="s">
        <v>481</v>
      </c>
      <c r="D647" s="36" t="str">
        <f t="shared" si="64"/>
        <v>CP524-Vaccinia AP - 1st Donation</v>
      </c>
      <c r="E647" s="36">
        <f t="shared" si="65"/>
        <v>0</v>
      </c>
      <c r="F647" s="36" t="str">
        <f t="shared" si="66"/>
        <v>CP524-0</v>
      </c>
      <c r="G647" s="155">
        <f>IFERROR(VLOOKUP(F647,SpecialtyBaseLU,11,FALSE),0)</f>
        <v>0</v>
      </c>
      <c r="I647" s="5">
        <v>150</v>
      </c>
      <c r="J647" s="5">
        <f t="shared" si="67"/>
        <v>150</v>
      </c>
      <c r="K647" s="148">
        <f t="shared" si="68"/>
        <v>150</v>
      </c>
      <c r="L647" s="5">
        <f t="shared" si="69"/>
        <v>0</v>
      </c>
    </row>
    <row r="648" spans="1:12" x14ac:dyDescent="0.25">
      <c r="A648" t="s">
        <v>79</v>
      </c>
      <c r="B648" t="s">
        <v>80</v>
      </c>
      <c r="C648" t="s">
        <v>482</v>
      </c>
      <c r="D648" s="36" t="str">
        <f t="shared" si="64"/>
        <v>CP524-Vaccinia AP - 2nd Donation</v>
      </c>
      <c r="E648" s="36">
        <f t="shared" si="65"/>
        <v>0</v>
      </c>
      <c r="F648" s="36" t="str">
        <f t="shared" si="66"/>
        <v>CP524-0</v>
      </c>
      <c r="G648" s="155">
        <f>IFERROR(VLOOKUP(F648,SpecialtyBaseLU,11,FALSE),0)</f>
        <v>0</v>
      </c>
      <c r="I648" s="5">
        <v>250</v>
      </c>
      <c r="J648" s="5">
        <f t="shared" si="67"/>
        <v>250</v>
      </c>
      <c r="K648" s="148">
        <f t="shared" si="68"/>
        <v>250</v>
      </c>
      <c r="L648" s="5">
        <f t="shared" si="69"/>
        <v>0</v>
      </c>
    </row>
    <row r="649" spans="1:12" x14ac:dyDescent="0.25">
      <c r="A649" t="s">
        <v>79</v>
      </c>
      <c r="B649" t="s">
        <v>80</v>
      </c>
      <c r="C649" t="s">
        <v>483</v>
      </c>
      <c r="D649" s="36" t="str">
        <f t="shared" si="64"/>
        <v>CP524-Vaccinia AP - 3rd Donation</v>
      </c>
      <c r="E649" s="36">
        <f t="shared" si="65"/>
        <v>0</v>
      </c>
      <c r="F649" s="36" t="str">
        <f t="shared" si="66"/>
        <v>CP524-0</v>
      </c>
      <c r="G649" s="155">
        <f>IFERROR(VLOOKUP(F649,SpecialtyBaseLU,11,FALSE),0)</f>
        <v>0</v>
      </c>
      <c r="I649" s="5">
        <v>300</v>
      </c>
      <c r="J649" s="5">
        <f t="shared" si="67"/>
        <v>300</v>
      </c>
      <c r="K649" s="148">
        <f t="shared" si="68"/>
        <v>300</v>
      </c>
      <c r="L649" s="5">
        <f t="shared" si="69"/>
        <v>0</v>
      </c>
    </row>
    <row r="650" spans="1:12" x14ac:dyDescent="0.25">
      <c r="A650" t="s">
        <v>79</v>
      </c>
      <c r="B650" t="s">
        <v>80</v>
      </c>
      <c r="C650" t="s">
        <v>484</v>
      </c>
      <c r="D650" s="36" t="str">
        <f t="shared" si="64"/>
        <v>CP524-Vaccinia AP - 4th Donation</v>
      </c>
      <c r="E650" s="36">
        <f t="shared" si="65"/>
        <v>0</v>
      </c>
      <c r="F650" s="36" t="str">
        <f t="shared" si="66"/>
        <v>CP524-0</v>
      </c>
      <c r="G650" s="155">
        <f>IFERROR(VLOOKUP(F650,SpecialtyBaseLU,11,FALSE),0)</f>
        <v>0</v>
      </c>
      <c r="I650" s="5">
        <v>300</v>
      </c>
      <c r="J650" s="5">
        <f t="shared" si="67"/>
        <v>300</v>
      </c>
      <c r="K650" s="148">
        <f t="shared" si="68"/>
        <v>300</v>
      </c>
      <c r="L650" s="5">
        <f t="shared" si="69"/>
        <v>0</v>
      </c>
    </row>
    <row r="651" spans="1:12" x14ac:dyDescent="0.25">
      <c r="A651" t="s">
        <v>286</v>
      </c>
      <c r="B651" t="s">
        <v>287</v>
      </c>
      <c r="C651" t="s">
        <v>469</v>
      </c>
      <c r="D651" s="36" t="str">
        <f t="shared" si="64"/>
        <v>CP944-P Anti-D Pre-Existing Standard</v>
      </c>
      <c r="E651" s="36" t="str">
        <f t="shared" si="65"/>
        <v>RETURN - 1st don of the week -STD</v>
      </c>
      <c r="F651" s="36" t="str">
        <f t="shared" si="66"/>
        <v>CP944-RETURN - 1st don of the week -STD</v>
      </c>
      <c r="G651" s="155">
        <f>IFERROR(VLOOKUP(F651,SpecialtyBaseLU,11,FALSE),0)</f>
        <v>50</v>
      </c>
      <c r="H651" s="5">
        <v>0</v>
      </c>
      <c r="J651" s="5">
        <f t="shared" si="67"/>
        <v>50</v>
      </c>
      <c r="K651" s="148">
        <f t="shared" si="68"/>
        <v>50</v>
      </c>
      <c r="L651" s="5">
        <f t="shared" si="69"/>
        <v>0</v>
      </c>
    </row>
    <row r="652" spans="1:12" x14ac:dyDescent="0.25">
      <c r="A652" t="s">
        <v>405</v>
      </c>
      <c r="B652" t="s">
        <v>406</v>
      </c>
      <c r="C652" t="s">
        <v>499</v>
      </c>
      <c r="D652" s="36" t="str">
        <f t="shared" si="64"/>
        <v>CP943-2X Week P Rabies</v>
      </c>
      <c r="E652" s="36" t="str">
        <f t="shared" si="65"/>
        <v>RETURN - 2nd don of the week -BONUS</v>
      </c>
      <c r="F652" s="36" t="str">
        <f t="shared" si="66"/>
        <v>CP943-RETURN - 2nd don of the week -BONUS</v>
      </c>
      <c r="G652" s="155">
        <f>IFERROR(VLOOKUP(F652,SpecialtyBaseLU,11,FALSE),0)</f>
        <v>15</v>
      </c>
      <c r="H652" s="5">
        <v>20</v>
      </c>
      <c r="J652" s="5">
        <f t="shared" si="67"/>
        <v>35</v>
      </c>
      <c r="K652" s="148">
        <f t="shared" si="68"/>
        <v>35</v>
      </c>
      <c r="L652" s="5">
        <f t="shared" si="69"/>
        <v>0</v>
      </c>
    </row>
    <row r="653" spans="1:12" x14ac:dyDescent="0.25">
      <c r="A653" t="s">
        <v>405</v>
      </c>
      <c r="B653" t="s">
        <v>406</v>
      </c>
      <c r="C653" t="s">
        <v>500</v>
      </c>
      <c r="D653" s="36" t="str">
        <f t="shared" si="64"/>
        <v>CP943-2X Week P Rabies HT</v>
      </c>
      <c r="E653" s="36" t="str">
        <f t="shared" si="65"/>
        <v>RETURN - 2nd don of the week -BONUS</v>
      </c>
      <c r="F653" s="36" t="str">
        <f t="shared" si="66"/>
        <v>CP943-RETURN - 2nd don of the week -BONUS</v>
      </c>
      <c r="G653" s="155">
        <f>IFERROR(VLOOKUP(F653,SpecialtyBaseLU,11,FALSE),0)</f>
        <v>15</v>
      </c>
      <c r="H653" s="5">
        <v>20</v>
      </c>
      <c r="J653" s="5">
        <f t="shared" si="67"/>
        <v>35</v>
      </c>
      <c r="K653" s="148">
        <f t="shared" si="68"/>
        <v>35</v>
      </c>
      <c r="L653" s="5">
        <f t="shared" si="69"/>
        <v>0</v>
      </c>
    </row>
    <row r="654" spans="1:12" x14ac:dyDescent="0.25">
      <c r="A654" t="s">
        <v>405</v>
      </c>
      <c r="B654" t="s">
        <v>406</v>
      </c>
      <c r="C654" t="s">
        <v>488</v>
      </c>
      <c r="D654" s="36" t="str">
        <f t="shared" si="64"/>
        <v>CP943-2X Week P VZV</v>
      </c>
      <c r="E654" s="36" t="str">
        <f t="shared" si="65"/>
        <v>RETURN - 2nd don of the week -BONUS</v>
      </c>
      <c r="F654" s="36" t="str">
        <f t="shared" si="66"/>
        <v>CP943-RETURN - 2nd don of the week -BONUS</v>
      </c>
      <c r="G654" s="155">
        <f>IFERROR(VLOOKUP(F654,SpecialtyBaseLU,11,FALSE),0)</f>
        <v>15</v>
      </c>
      <c r="J654" s="5">
        <f t="shared" si="67"/>
        <v>15</v>
      </c>
      <c r="K654" s="148">
        <f t="shared" si="68"/>
        <v>15</v>
      </c>
      <c r="L654" s="5">
        <f t="shared" si="69"/>
        <v>0</v>
      </c>
    </row>
    <row r="655" spans="1:12" x14ac:dyDescent="0.25">
      <c r="A655" t="s">
        <v>405</v>
      </c>
      <c r="B655" t="s">
        <v>406</v>
      </c>
      <c r="C655" t="s">
        <v>489</v>
      </c>
      <c r="D655" s="36" t="str">
        <f t="shared" si="64"/>
        <v>CP943-2X Week P VZV AP</v>
      </c>
      <c r="E655" s="36" t="str">
        <f t="shared" si="65"/>
        <v>RETURN - 2nd don of the week -BONUS</v>
      </c>
      <c r="F655" s="36" t="str">
        <f t="shared" si="66"/>
        <v>CP943-RETURN - 2nd don of the week -BONUS</v>
      </c>
      <c r="G655" s="155">
        <f>IFERROR(VLOOKUP(F655,SpecialtyBaseLU,11,FALSE),0)</f>
        <v>15</v>
      </c>
      <c r="J655" s="5">
        <f t="shared" si="67"/>
        <v>15</v>
      </c>
      <c r="K655" s="148">
        <f t="shared" si="68"/>
        <v>15</v>
      </c>
      <c r="L655" s="5">
        <f t="shared" si="69"/>
        <v>0</v>
      </c>
    </row>
    <row r="656" spans="1:12" x14ac:dyDescent="0.25">
      <c r="A656" t="s">
        <v>405</v>
      </c>
      <c r="B656" t="s">
        <v>406</v>
      </c>
      <c r="C656" t="s">
        <v>490</v>
      </c>
      <c r="D656" s="36" t="str">
        <f t="shared" si="64"/>
        <v>CP943-2X Week P VZV Pre-Existing</v>
      </c>
      <c r="E656" s="36" t="str">
        <f t="shared" si="65"/>
        <v>RETURN - 2nd don of the week -BONUS</v>
      </c>
      <c r="F656" s="36" t="str">
        <f t="shared" si="66"/>
        <v>CP943-RETURN - 2nd don of the week -BONUS</v>
      </c>
      <c r="G656" s="155">
        <f>IFERROR(VLOOKUP(F656,SpecialtyBaseLU,11,FALSE),0)</f>
        <v>15</v>
      </c>
      <c r="J656" s="5">
        <f t="shared" si="67"/>
        <v>15</v>
      </c>
      <c r="K656" s="148">
        <f t="shared" si="68"/>
        <v>15</v>
      </c>
      <c r="L656" s="5">
        <f t="shared" si="69"/>
        <v>0</v>
      </c>
    </row>
    <row r="657" spans="1:12" x14ac:dyDescent="0.25">
      <c r="A657" t="s">
        <v>405</v>
      </c>
      <c r="B657" t="s">
        <v>406</v>
      </c>
      <c r="C657" t="s">
        <v>491</v>
      </c>
      <c r="D657" s="36" t="str">
        <f t="shared" si="64"/>
        <v>CP943-2X Week P VZV Pre-Existing AP</v>
      </c>
      <c r="E657" s="36" t="str">
        <f t="shared" si="65"/>
        <v>RETURN - 2nd don of the week -BONUS</v>
      </c>
      <c r="F657" s="36" t="str">
        <f t="shared" si="66"/>
        <v>CP943-RETURN - 2nd don of the week -BONUS</v>
      </c>
      <c r="G657" s="155">
        <f>IFERROR(VLOOKUP(F657,SpecialtyBaseLU,11,FALSE),0)</f>
        <v>15</v>
      </c>
      <c r="J657" s="5">
        <f t="shared" si="67"/>
        <v>15</v>
      </c>
      <c r="K657" s="148">
        <f t="shared" si="68"/>
        <v>15</v>
      </c>
      <c r="L657" s="5">
        <f t="shared" si="69"/>
        <v>0</v>
      </c>
    </row>
    <row r="658" spans="1:12" x14ac:dyDescent="0.25">
      <c r="A658" t="s">
        <v>405</v>
      </c>
      <c r="B658" t="s">
        <v>406</v>
      </c>
      <c r="C658" t="s">
        <v>469</v>
      </c>
      <c r="D658" s="36" t="str">
        <f t="shared" si="64"/>
        <v>CP943-P Anti-D Pre-Existing Standard</v>
      </c>
      <c r="E658" s="36" t="str">
        <f t="shared" si="65"/>
        <v>RETURN - 1st don of the week -STD</v>
      </c>
      <c r="F658" s="36" t="str">
        <f t="shared" si="66"/>
        <v>CP943-RETURN - 1st don of the week -STD</v>
      </c>
      <c r="G658" s="155">
        <f>IFERROR(VLOOKUP(F658,SpecialtyBaseLU,11,FALSE),0)</f>
        <v>55</v>
      </c>
      <c r="H658" s="5">
        <v>-5</v>
      </c>
      <c r="J658" s="5">
        <f t="shared" si="67"/>
        <v>50</v>
      </c>
      <c r="K658" s="148">
        <f t="shared" si="68"/>
        <v>50</v>
      </c>
      <c r="L658" s="5">
        <f t="shared" si="69"/>
        <v>0</v>
      </c>
    </row>
    <row r="659" spans="1:12" x14ac:dyDescent="0.25">
      <c r="A659" t="s">
        <v>405</v>
      </c>
      <c r="B659" t="s">
        <v>406</v>
      </c>
      <c r="C659" t="s">
        <v>502</v>
      </c>
      <c r="D659" s="36" t="str">
        <f t="shared" si="64"/>
        <v>CP943-P Rabies HT Standard</v>
      </c>
      <c r="E659" s="36" t="str">
        <f t="shared" si="65"/>
        <v>RETURN - 1st don of the week -STD</v>
      </c>
      <c r="F659" s="36" t="str">
        <f t="shared" si="66"/>
        <v>CP943-RETURN - 1st don of the week -STD</v>
      </c>
      <c r="G659" s="155">
        <f>IFERROR(VLOOKUP(F659,SpecialtyBaseLU,11,FALSE),0)</f>
        <v>55</v>
      </c>
      <c r="H659" s="5">
        <f>K659-G659</f>
        <v>5</v>
      </c>
      <c r="J659" s="5">
        <f t="shared" si="67"/>
        <v>60</v>
      </c>
      <c r="K659" s="148">
        <f t="shared" si="68"/>
        <v>60</v>
      </c>
      <c r="L659" s="5">
        <f t="shared" si="69"/>
        <v>0</v>
      </c>
    </row>
    <row r="660" spans="1:12" x14ac:dyDescent="0.25">
      <c r="A660" t="s">
        <v>405</v>
      </c>
      <c r="B660" t="s">
        <v>406</v>
      </c>
      <c r="C660" t="s">
        <v>503</v>
      </c>
      <c r="D660" s="36" t="str">
        <f t="shared" si="64"/>
        <v>CP943-P Rabies Standard</v>
      </c>
      <c r="E660" s="36" t="str">
        <f t="shared" si="65"/>
        <v>RETURN - 1st don of the week -STD</v>
      </c>
      <c r="F660" s="36" t="str">
        <f t="shared" si="66"/>
        <v>CP943-RETURN - 1st don of the week -STD</v>
      </c>
      <c r="G660" s="155">
        <f>IFERROR(VLOOKUP(F660,SpecialtyBaseLU,11,FALSE),0)</f>
        <v>55</v>
      </c>
      <c r="H660" s="5">
        <f>K660-G660</f>
        <v>5</v>
      </c>
      <c r="J660" s="5">
        <f t="shared" si="67"/>
        <v>60</v>
      </c>
      <c r="K660" s="148">
        <f t="shared" si="68"/>
        <v>60</v>
      </c>
      <c r="L660" s="5">
        <f t="shared" si="69"/>
        <v>0</v>
      </c>
    </row>
    <row r="661" spans="1:12" x14ac:dyDescent="0.25">
      <c r="A661" t="s">
        <v>405</v>
      </c>
      <c r="B661" t="s">
        <v>406</v>
      </c>
      <c r="C661" t="s">
        <v>475</v>
      </c>
      <c r="D661" s="36" t="str">
        <f t="shared" si="64"/>
        <v>CP943-P Vaccinia AP Standard</v>
      </c>
      <c r="E661" s="36">
        <f t="shared" si="65"/>
        <v>0</v>
      </c>
      <c r="F661" s="36" t="str">
        <f t="shared" si="66"/>
        <v>CP943-0</v>
      </c>
      <c r="G661" s="155">
        <f>IFERROR(VLOOKUP(F661,SpecialtyBaseLU,11,FALSE),0)</f>
        <v>0</v>
      </c>
      <c r="I661" s="5">
        <v>100</v>
      </c>
      <c r="J661" s="5">
        <f t="shared" si="67"/>
        <v>100</v>
      </c>
      <c r="K661" s="148">
        <f t="shared" si="68"/>
        <v>100</v>
      </c>
      <c r="L661" s="5">
        <f t="shared" si="69"/>
        <v>0</v>
      </c>
    </row>
    <row r="662" spans="1:12" x14ac:dyDescent="0.25">
      <c r="A662" t="s">
        <v>405</v>
      </c>
      <c r="B662" t="s">
        <v>406</v>
      </c>
      <c r="C662" t="s">
        <v>476</v>
      </c>
      <c r="D662" s="36" t="str">
        <f t="shared" si="64"/>
        <v>CP943-P Vaccinia Standard</v>
      </c>
      <c r="E662" s="36">
        <f t="shared" si="65"/>
        <v>0</v>
      </c>
      <c r="F662" s="36" t="str">
        <f t="shared" si="66"/>
        <v>CP943-0</v>
      </c>
      <c r="G662" s="155">
        <f>IFERROR(VLOOKUP(F662,SpecialtyBaseLU,11,FALSE),0)</f>
        <v>0</v>
      </c>
      <c r="I662" s="5">
        <v>100</v>
      </c>
      <c r="J662" s="5">
        <f t="shared" si="67"/>
        <v>100</v>
      </c>
      <c r="K662" s="148">
        <f t="shared" si="68"/>
        <v>100</v>
      </c>
      <c r="L662" s="5">
        <f t="shared" si="69"/>
        <v>0</v>
      </c>
    </row>
    <row r="663" spans="1:12" x14ac:dyDescent="0.25">
      <c r="A663" t="s">
        <v>405</v>
      </c>
      <c r="B663" t="s">
        <v>406</v>
      </c>
      <c r="C663" t="s">
        <v>495</v>
      </c>
      <c r="D663" s="36" t="str">
        <f t="shared" si="64"/>
        <v>CP943-P VZV Pre-Existing AP</v>
      </c>
      <c r="E663" s="36" t="str">
        <f t="shared" si="65"/>
        <v>RETURN - 1st don of the week -STD</v>
      </c>
      <c r="F663" s="36" t="str">
        <f t="shared" si="66"/>
        <v>CP943-RETURN - 1st don of the week -STD</v>
      </c>
      <c r="G663" s="155">
        <f>IFERROR(VLOOKUP(F663,SpecialtyBaseLU,11,FALSE),0)</f>
        <v>55</v>
      </c>
      <c r="H663" s="5">
        <v>10</v>
      </c>
      <c r="I663" s="5">
        <v>0</v>
      </c>
      <c r="J663" s="5">
        <f t="shared" si="67"/>
        <v>65</v>
      </c>
      <c r="K663" s="148">
        <f t="shared" si="68"/>
        <v>65</v>
      </c>
      <c r="L663" s="5">
        <f t="shared" si="69"/>
        <v>0</v>
      </c>
    </row>
    <row r="664" spans="1:12" x14ac:dyDescent="0.25">
      <c r="A664" t="s">
        <v>405</v>
      </c>
      <c r="B664" t="s">
        <v>406</v>
      </c>
      <c r="C664" t="s">
        <v>496</v>
      </c>
      <c r="D664" s="36" t="str">
        <f t="shared" si="64"/>
        <v>CP943-P VZV Standard</v>
      </c>
      <c r="E664" s="36" t="str">
        <f t="shared" si="65"/>
        <v>RETURN - 1st don of the week -STD</v>
      </c>
      <c r="F664" s="36" t="str">
        <f t="shared" si="66"/>
        <v>CP943-RETURN - 1st don of the week -STD</v>
      </c>
      <c r="G664" s="155">
        <f>IFERROR(VLOOKUP(F664,SpecialtyBaseLU,11,FALSE),0)</f>
        <v>55</v>
      </c>
      <c r="H664" s="5">
        <v>10</v>
      </c>
      <c r="I664" s="5">
        <v>0</v>
      </c>
      <c r="J664" s="5">
        <f t="shared" si="67"/>
        <v>65</v>
      </c>
      <c r="K664" s="148">
        <f t="shared" si="68"/>
        <v>65</v>
      </c>
      <c r="L664" s="5">
        <f t="shared" si="69"/>
        <v>0</v>
      </c>
    </row>
    <row r="665" spans="1:12" x14ac:dyDescent="0.25">
      <c r="A665" t="s">
        <v>405</v>
      </c>
      <c r="B665" t="s">
        <v>406</v>
      </c>
      <c r="C665" t="s">
        <v>497</v>
      </c>
      <c r="D665" s="36" t="str">
        <f t="shared" si="64"/>
        <v>CP943-PVZV Pre-Existing Standard</v>
      </c>
      <c r="E665" s="36" t="str">
        <f t="shared" si="65"/>
        <v>RETURN - 1st don of the week -STD</v>
      </c>
      <c r="F665" s="36" t="str">
        <f t="shared" si="66"/>
        <v>CP943-RETURN - 1st don of the week -STD</v>
      </c>
      <c r="G665" s="155">
        <f>IFERROR(VLOOKUP(F665,SpecialtyBaseLU,11,FALSE),0)</f>
        <v>55</v>
      </c>
      <c r="H665" s="5">
        <f>K665-G665</f>
        <v>10</v>
      </c>
      <c r="J665" s="5">
        <f t="shared" si="67"/>
        <v>65</v>
      </c>
      <c r="K665" s="148">
        <f t="shared" si="68"/>
        <v>65</v>
      </c>
      <c r="L665" s="5">
        <f t="shared" si="69"/>
        <v>0</v>
      </c>
    </row>
    <row r="666" spans="1:12" x14ac:dyDescent="0.25">
      <c r="A666" t="s">
        <v>405</v>
      </c>
      <c r="B666" t="s">
        <v>406</v>
      </c>
      <c r="C666" t="s">
        <v>477</v>
      </c>
      <c r="D666" s="36" t="str">
        <f t="shared" si="64"/>
        <v>CP943-Vaccinia - 1st Donation</v>
      </c>
      <c r="E666" s="36">
        <f t="shared" si="65"/>
        <v>0</v>
      </c>
      <c r="F666" s="36" t="str">
        <f t="shared" si="66"/>
        <v>CP943-0</v>
      </c>
      <c r="G666" s="155">
        <f>IFERROR(VLOOKUP(F666,SpecialtyBaseLU,11,FALSE),0)</f>
        <v>0</v>
      </c>
      <c r="I666" s="5">
        <v>150</v>
      </c>
      <c r="J666" s="5">
        <f t="shared" si="67"/>
        <v>150</v>
      </c>
      <c r="K666" s="148">
        <f t="shared" si="68"/>
        <v>150</v>
      </c>
      <c r="L666" s="5">
        <f t="shared" si="69"/>
        <v>0</v>
      </c>
    </row>
    <row r="667" spans="1:12" x14ac:dyDescent="0.25">
      <c r="A667" t="s">
        <v>405</v>
      </c>
      <c r="B667" t="s">
        <v>406</v>
      </c>
      <c r="C667" t="s">
        <v>478</v>
      </c>
      <c r="D667" s="36" t="str">
        <f t="shared" si="64"/>
        <v>CP943-Vaccinia - 2nd Donation</v>
      </c>
      <c r="E667" s="36">
        <f t="shared" si="65"/>
        <v>0</v>
      </c>
      <c r="F667" s="36" t="str">
        <f t="shared" si="66"/>
        <v>CP943-0</v>
      </c>
      <c r="G667" s="155">
        <f>IFERROR(VLOOKUP(F667,SpecialtyBaseLU,11,FALSE),0)</f>
        <v>0</v>
      </c>
      <c r="I667" s="5">
        <v>250</v>
      </c>
      <c r="J667" s="5">
        <f t="shared" si="67"/>
        <v>250</v>
      </c>
      <c r="K667" s="148">
        <f t="shared" si="68"/>
        <v>250</v>
      </c>
      <c r="L667" s="5">
        <f t="shared" si="69"/>
        <v>0</v>
      </c>
    </row>
    <row r="668" spans="1:12" x14ac:dyDescent="0.25">
      <c r="A668" t="s">
        <v>405</v>
      </c>
      <c r="B668" t="s">
        <v>406</v>
      </c>
      <c r="C668" t="s">
        <v>479</v>
      </c>
      <c r="D668" s="36" t="str">
        <f t="shared" si="64"/>
        <v>CP943-Vaccinia - 3rd Donation</v>
      </c>
      <c r="E668" s="36">
        <f t="shared" si="65"/>
        <v>0</v>
      </c>
      <c r="F668" s="36" t="str">
        <f t="shared" si="66"/>
        <v>CP943-0</v>
      </c>
      <c r="G668" s="155">
        <f>IFERROR(VLOOKUP(F668,SpecialtyBaseLU,11,FALSE),0)</f>
        <v>0</v>
      </c>
      <c r="I668" s="5">
        <v>300</v>
      </c>
      <c r="J668" s="5">
        <f t="shared" si="67"/>
        <v>300</v>
      </c>
      <c r="K668" s="148">
        <f t="shared" si="68"/>
        <v>300</v>
      </c>
      <c r="L668" s="5">
        <f t="shared" si="69"/>
        <v>0</v>
      </c>
    </row>
    <row r="669" spans="1:12" x14ac:dyDescent="0.25">
      <c r="A669" t="s">
        <v>405</v>
      </c>
      <c r="B669" t="s">
        <v>406</v>
      </c>
      <c r="C669" t="s">
        <v>480</v>
      </c>
      <c r="D669" s="36" t="str">
        <f t="shared" si="64"/>
        <v>CP943-Vaccinia - 4th Donation</v>
      </c>
      <c r="E669" s="36">
        <f t="shared" si="65"/>
        <v>0</v>
      </c>
      <c r="F669" s="36" t="str">
        <f t="shared" si="66"/>
        <v>CP943-0</v>
      </c>
      <c r="G669" s="155">
        <f>IFERROR(VLOOKUP(F669,SpecialtyBaseLU,11,FALSE),0)</f>
        <v>0</v>
      </c>
      <c r="I669" s="5">
        <v>300</v>
      </c>
      <c r="J669" s="5">
        <f t="shared" si="67"/>
        <v>300</v>
      </c>
      <c r="K669" s="148">
        <f t="shared" si="68"/>
        <v>300</v>
      </c>
      <c r="L669" s="5">
        <f t="shared" si="69"/>
        <v>0</v>
      </c>
    </row>
    <row r="670" spans="1:12" x14ac:dyDescent="0.25">
      <c r="A670" t="s">
        <v>405</v>
      </c>
      <c r="B670" t="s">
        <v>406</v>
      </c>
      <c r="C670" t="s">
        <v>481</v>
      </c>
      <c r="D670" s="36" t="str">
        <f t="shared" si="64"/>
        <v>CP943-Vaccinia AP - 1st Donation</v>
      </c>
      <c r="E670" s="36">
        <f t="shared" si="65"/>
        <v>0</v>
      </c>
      <c r="F670" s="36" t="str">
        <f t="shared" si="66"/>
        <v>CP943-0</v>
      </c>
      <c r="G670" s="155">
        <f>IFERROR(VLOOKUP(F670,SpecialtyBaseLU,11,FALSE),0)</f>
        <v>0</v>
      </c>
      <c r="I670" s="5">
        <v>150</v>
      </c>
      <c r="J670" s="5">
        <f t="shared" si="67"/>
        <v>150</v>
      </c>
      <c r="K670" s="148">
        <f t="shared" si="68"/>
        <v>150</v>
      </c>
      <c r="L670" s="5">
        <f t="shared" si="69"/>
        <v>0</v>
      </c>
    </row>
    <row r="671" spans="1:12" x14ac:dyDescent="0.25">
      <c r="A671" t="s">
        <v>405</v>
      </c>
      <c r="B671" t="s">
        <v>406</v>
      </c>
      <c r="C671" t="s">
        <v>482</v>
      </c>
      <c r="D671" s="36" t="str">
        <f t="shared" si="64"/>
        <v>CP943-Vaccinia AP - 2nd Donation</v>
      </c>
      <c r="E671" s="36">
        <f t="shared" si="65"/>
        <v>0</v>
      </c>
      <c r="F671" s="36" t="str">
        <f t="shared" si="66"/>
        <v>CP943-0</v>
      </c>
      <c r="G671" s="155">
        <f>IFERROR(VLOOKUP(F671,SpecialtyBaseLU,11,FALSE),0)</f>
        <v>0</v>
      </c>
      <c r="I671" s="5">
        <v>250</v>
      </c>
      <c r="J671" s="5">
        <f t="shared" si="67"/>
        <v>250</v>
      </c>
      <c r="K671" s="148">
        <f t="shared" si="68"/>
        <v>250</v>
      </c>
      <c r="L671" s="5">
        <f t="shared" si="69"/>
        <v>0</v>
      </c>
    </row>
    <row r="672" spans="1:12" x14ac:dyDescent="0.25">
      <c r="A672" t="s">
        <v>405</v>
      </c>
      <c r="B672" t="s">
        <v>406</v>
      </c>
      <c r="C672" t="s">
        <v>483</v>
      </c>
      <c r="D672" s="36" t="str">
        <f t="shared" si="64"/>
        <v>CP943-Vaccinia AP - 3rd Donation</v>
      </c>
      <c r="E672" s="36">
        <f t="shared" si="65"/>
        <v>0</v>
      </c>
      <c r="F672" s="36" t="str">
        <f t="shared" si="66"/>
        <v>CP943-0</v>
      </c>
      <c r="G672" s="155">
        <f>IFERROR(VLOOKUP(F672,SpecialtyBaseLU,11,FALSE),0)</f>
        <v>0</v>
      </c>
      <c r="I672" s="5">
        <v>300</v>
      </c>
      <c r="J672" s="5">
        <f t="shared" si="67"/>
        <v>300</v>
      </c>
      <c r="K672" s="148">
        <f t="shared" si="68"/>
        <v>300</v>
      </c>
      <c r="L672" s="5">
        <f t="shared" si="69"/>
        <v>0</v>
      </c>
    </row>
    <row r="673" spans="1:12" x14ac:dyDescent="0.25">
      <c r="A673" t="s">
        <v>405</v>
      </c>
      <c r="B673" t="s">
        <v>406</v>
      </c>
      <c r="C673" t="s">
        <v>484</v>
      </c>
      <c r="D673" s="36" t="str">
        <f t="shared" si="64"/>
        <v>CP943-Vaccinia AP - 4th Donation</v>
      </c>
      <c r="E673" s="36">
        <f t="shared" si="65"/>
        <v>0</v>
      </c>
      <c r="F673" s="36" t="str">
        <f t="shared" si="66"/>
        <v>CP943-0</v>
      </c>
      <c r="G673" s="155">
        <f>IFERROR(VLOOKUP(F673,SpecialtyBaseLU,11,FALSE),0)</f>
        <v>0</v>
      </c>
      <c r="I673" s="5">
        <v>300</v>
      </c>
      <c r="J673" s="5">
        <f t="shared" si="67"/>
        <v>300</v>
      </c>
      <c r="K673" s="148">
        <f t="shared" si="68"/>
        <v>300</v>
      </c>
      <c r="L673" s="5">
        <f t="shared" si="69"/>
        <v>0</v>
      </c>
    </row>
    <row r="674" spans="1:12" x14ac:dyDescent="0.25">
      <c r="A674" t="s">
        <v>339</v>
      </c>
      <c r="B674" t="s">
        <v>340</v>
      </c>
      <c r="C674" t="s">
        <v>469</v>
      </c>
      <c r="D674" s="36" t="str">
        <f t="shared" si="64"/>
        <v>CP957-P Anti-D Pre-Existing Standard</v>
      </c>
      <c r="E674" s="36" t="str">
        <f t="shared" si="65"/>
        <v>RETURN - 1st don of the week -STD</v>
      </c>
      <c r="F674" s="36" t="str">
        <f t="shared" si="66"/>
        <v>CP957-RETURN - 1st don of the week -STD</v>
      </c>
      <c r="G674" s="155">
        <f>IFERROR(VLOOKUP(F674,SpecialtyBaseLU,11,FALSE),0)</f>
        <v>40</v>
      </c>
      <c r="H674" s="5">
        <v>10</v>
      </c>
      <c r="J674" s="5">
        <f t="shared" si="67"/>
        <v>50</v>
      </c>
      <c r="K674" s="148">
        <f t="shared" si="68"/>
        <v>50</v>
      </c>
      <c r="L674" s="5">
        <f t="shared" si="69"/>
        <v>0</v>
      </c>
    </row>
    <row r="675" spans="1:12" x14ac:dyDescent="0.25">
      <c r="A675" t="s">
        <v>527</v>
      </c>
      <c r="B675" t="s">
        <v>54</v>
      </c>
      <c r="C675" t="s">
        <v>469</v>
      </c>
      <c r="D675" s="36" t="str">
        <f t="shared" si="64"/>
        <v>CP529-P Anti-D Pre-Existing Standard</v>
      </c>
      <c r="E675" s="36" t="str">
        <f t="shared" si="65"/>
        <v>RETURN - 1st don of the week -STD</v>
      </c>
      <c r="F675" s="36" t="str">
        <f t="shared" si="66"/>
        <v>CP529-RETURN - 1st don of the week -STD</v>
      </c>
      <c r="G675" s="155">
        <f>IFERROR(VLOOKUP(F675,SpecialtyBaseLU,11,FALSE),0)</f>
        <v>60</v>
      </c>
      <c r="H675" s="5">
        <v>-10</v>
      </c>
      <c r="J675" s="5">
        <f t="shared" si="67"/>
        <v>50</v>
      </c>
      <c r="K675" s="148">
        <f t="shared" si="68"/>
        <v>50</v>
      </c>
      <c r="L675" s="5">
        <f t="shared" si="69"/>
        <v>0</v>
      </c>
    </row>
    <row r="676" spans="1:12" x14ac:dyDescent="0.25">
      <c r="A676" t="s">
        <v>18</v>
      </c>
      <c r="B676" t="s">
        <v>21</v>
      </c>
      <c r="C676" t="s">
        <v>490</v>
      </c>
      <c r="D676" s="36" t="str">
        <f t="shared" si="64"/>
        <v>CP525-2X Week P VZV Pre-Existing</v>
      </c>
      <c r="E676" s="36" t="str">
        <f t="shared" si="65"/>
        <v>RETURN - 2nd don of the week -BONUS</v>
      </c>
      <c r="F676" s="36" t="str">
        <f t="shared" si="66"/>
        <v>CP525-RETURN - 2nd don of the week -BONUS</v>
      </c>
      <c r="G676" s="155">
        <f>IFERROR(VLOOKUP(F676,SpecialtyBaseLU,11,FALSE),0)</f>
        <v>20</v>
      </c>
      <c r="J676" s="5">
        <f t="shared" si="67"/>
        <v>20</v>
      </c>
      <c r="K676" s="148">
        <f t="shared" si="68"/>
        <v>20</v>
      </c>
      <c r="L676" s="5">
        <f t="shared" si="69"/>
        <v>0</v>
      </c>
    </row>
    <row r="677" spans="1:12" x14ac:dyDescent="0.25">
      <c r="A677" t="s">
        <v>18</v>
      </c>
      <c r="B677" t="s">
        <v>21</v>
      </c>
      <c r="C677" t="s">
        <v>491</v>
      </c>
      <c r="D677" s="36" t="str">
        <f t="shared" si="64"/>
        <v>CP525-2X Week P VZV Pre-Existing AP</v>
      </c>
      <c r="E677" s="36" t="str">
        <f t="shared" si="65"/>
        <v>RETURN - 2nd don of the week -BONUS</v>
      </c>
      <c r="F677" s="36" t="str">
        <f t="shared" si="66"/>
        <v>CP525-RETURN - 2nd don of the week -BONUS</v>
      </c>
      <c r="G677" s="155">
        <f>IFERROR(VLOOKUP(F677,SpecialtyBaseLU,11,FALSE),0)</f>
        <v>20</v>
      </c>
      <c r="J677" s="5">
        <f t="shared" si="67"/>
        <v>20</v>
      </c>
      <c r="K677" s="148">
        <f t="shared" si="68"/>
        <v>20</v>
      </c>
      <c r="L677" s="5">
        <f t="shared" si="69"/>
        <v>0</v>
      </c>
    </row>
    <row r="678" spans="1:12" x14ac:dyDescent="0.25">
      <c r="A678" t="s">
        <v>18</v>
      </c>
      <c r="B678" t="s">
        <v>21</v>
      </c>
      <c r="C678" t="s">
        <v>469</v>
      </c>
      <c r="D678" s="36" t="str">
        <f t="shared" si="64"/>
        <v>CP525-P Anti-D Pre-Existing Standard</v>
      </c>
      <c r="E678" s="36" t="str">
        <f t="shared" si="65"/>
        <v>RETURN - 1st don of the week -STD</v>
      </c>
      <c r="F678" s="36" t="str">
        <f t="shared" si="66"/>
        <v>CP525-RETURN - 1st don of the week -STD</v>
      </c>
      <c r="G678" s="155">
        <f>IFERROR(VLOOKUP(F678,SpecialtyBaseLU,11,FALSE),0)</f>
        <v>60</v>
      </c>
      <c r="H678" s="5">
        <v>-10</v>
      </c>
      <c r="J678" s="5">
        <f t="shared" si="67"/>
        <v>50</v>
      </c>
      <c r="K678" s="148">
        <f t="shared" si="68"/>
        <v>50</v>
      </c>
      <c r="L678" s="5">
        <f t="shared" si="69"/>
        <v>0</v>
      </c>
    </row>
    <row r="679" spans="1:12" x14ac:dyDescent="0.25">
      <c r="A679" t="s">
        <v>18</v>
      </c>
      <c r="B679" t="s">
        <v>21</v>
      </c>
      <c r="C679" t="s">
        <v>472</v>
      </c>
      <c r="D679" s="36" t="str">
        <f t="shared" si="64"/>
        <v>CP525-P HBS Pre-Existing Standard</v>
      </c>
      <c r="E679" s="36" t="str">
        <f t="shared" si="65"/>
        <v>RETURN - 1st don of the week -STD</v>
      </c>
      <c r="F679" s="36" t="str">
        <f t="shared" si="66"/>
        <v>CP525-RETURN - 1st don of the week -STD</v>
      </c>
      <c r="G679" s="155">
        <f>IFERROR(VLOOKUP(F679,SpecialtyBaseLU,11,FALSE),0)</f>
        <v>60</v>
      </c>
      <c r="H679" s="5">
        <v>30</v>
      </c>
      <c r="J679" s="5">
        <f t="shared" si="67"/>
        <v>90</v>
      </c>
      <c r="K679" s="148">
        <f t="shared" si="68"/>
        <v>90</v>
      </c>
      <c r="L679" s="5">
        <f t="shared" si="69"/>
        <v>0</v>
      </c>
    </row>
    <row r="680" spans="1:12" x14ac:dyDescent="0.25">
      <c r="A680" t="s">
        <v>18</v>
      </c>
      <c r="B680" t="s">
        <v>21</v>
      </c>
      <c r="C680" t="s">
        <v>506</v>
      </c>
      <c r="D680" s="36" t="str">
        <f t="shared" si="64"/>
        <v>CP525-P HBS TWINRIX Standard</v>
      </c>
      <c r="E680" s="36" t="str">
        <f t="shared" si="65"/>
        <v>RETURN - 1st don of the week -STD</v>
      </c>
      <c r="F680" s="36" t="str">
        <f t="shared" si="66"/>
        <v>CP525-RETURN - 1st don of the week -STD</v>
      </c>
      <c r="G680" s="155">
        <f>IFERROR(VLOOKUP(F680,SpecialtyBaseLU,11,FALSE),0)</f>
        <v>60</v>
      </c>
      <c r="H680" s="5">
        <v>30</v>
      </c>
      <c r="J680" s="5">
        <f t="shared" si="67"/>
        <v>90</v>
      </c>
      <c r="K680" s="148">
        <f t="shared" si="68"/>
        <v>90</v>
      </c>
      <c r="L680" s="5">
        <f t="shared" si="69"/>
        <v>0</v>
      </c>
    </row>
    <row r="681" spans="1:12" x14ac:dyDescent="0.25">
      <c r="A681" t="s">
        <v>18</v>
      </c>
      <c r="B681" t="s">
        <v>21</v>
      </c>
      <c r="C681" t="s">
        <v>507</v>
      </c>
      <c r="D681" s="36" t="str">
        <f t="shared" si="64"/>
        <v>CP525-P HBS TWINRIX-AP Standard</v>
      </c>
      <c r="E681" s="36" t="str">
        <f t="shared" si="65"/>
        <v>RETURN - 1st don of the week -STD</v>
      </c>
      <c r="F681" s="36" t="str">
        <f t="shared" si="66"/>
        <v>CP525-RETURN - 1st don of the week -STD</v>
      </c>
      <c r="G681" s="155">
        <f>IFERROR(VLOOKUP(F681,SpecialtyBaseLU,11,FALSE),0)</f>
        <v>60</v>
      </c>
      <c r="H681" s="5">
        <f>K681-G681</f>
        <v>30</v>
      </c>
      <c r="J681" s="5">
        <f t="shared" si="67"/>
        <v>90</v>
      </c>
      <c r="K681" s="148">
        <f t="shared" si="68"/>
        <v>90</v>
      </c>
      <c r="L681" s="5">
        <f t="shared" si="69"/>
        <v>0</v>
      </c>
    </row>
    <row r="682" spans="1:12" x14ac:dyDescent="0.25">
      <c r="A682" t="s">
        <v>18</v>
      </c>
      <c r="B682" t="s">
        <v>21</v>
      </c>
      <c r="C682" t="s">
        <v>475</v>
      </c>
      <c r="D682" s="36" t="str">
        <f t="shared" si="64"/>
        <v>CP525-P Vaccinia AP Standard</v>
      </c>
      <c r="E682" s="36">
        <f t="shared" si="65"/>
        <v>0</v>
      </c>
      <c r="F682" s="36" t="str">
        <f t="shared" si="66"/>
        <v>CP525-0</v>
      </c>
      <c r="G682" s="155">
        <f>IFERROR(VLOOKUP(F682,SpecialtyBaseLU,11,FALSE),0)</f>
        <v>0</v>
      </c>
      <c r="I682" s="5">
        <v>100</v>
      </c>
      <c r="J682" s="5">
        <f t="shared" si="67"/>
        <v>100</v>
      </c>
      <c r="K682" s="148">
        <f t="shared" si="68"/>
        <v>100</v>
      </c>
      <c r="L682" s="5">
        <f t="shared" si="69"/>
        <v>0</v>
      </c>
    </row>
    <row r="683" spans="1:12" x14ac:dyDescent="0.25">
      <c r="A683" t="s">
        <v>18</v>
      </c>
      <c r="B683" t="s">
        <v>21</v>
      </c>
      <c r="C683" t="s">
        <v>476</v>
      </c>
      <c r="D683" s="36" t="str">
        <f t="shared" si="64"/>
        <v>CP525-P Vaccinia Standard</v>
      </c>
      <c r="E683" s="36">
        <f t="shared" si="65"/>
        <v>0</v>
      </c>
      <c r="F683" s="36" t="str">
        <f t="shared" si="66"/>
        <v>CP525-0</v>
      </c>
      <c r="G683" s="155">
        <f>IFERROR(VLOOKUP(F683,SpecialtyBaseLU,11,FALSE),0)</f>
        <v>0</v>
      </c>
      <c r="I683" s="5">
        <v>100</v>
      </c>
      <c r="J683" s="5">
        <f t="shared" si="67"/>
        <v>100</v>
      </c>
      <c r="K683" s="148">
        <f t="shared" si="68"/>
        <v>100</v>
      </c>
      <c r="L683" s="5">
        <f t="shared" si="69"/>
        <v>0</v>
      </c>
    </row>
    <row r="684" spans="1:12" x14ac:dyDescent="0.25">
      <c r="A684" t="s">
        <v>18</v>
      </c>
      <c r="B684" t="s">
        <v>21</v>
      </c>
      <c r="C684" t="s">
        <v>495</v>
      </c>
      <c r="D684" s="36" t="str">
        <f t="shared" si="64"/>
        <v>CP525-P VZV Pre-Existing AP</v>
      </c>
      <c r="E684" s="36" t="str">
        <f t="shared" si="65"/>
        <v>RETURN - 1st don of the week -STD</v>
      </c>
      <c r="F684" s="36" t="str">
        <f t="shared" si="66"/>
        <v>CP525-RETURN - 1st don of the week -STD</v>
      </c>
      <c r="G684" s="155">
        <f>IFERROR(VLOOKUP(F684,SpecialtyBaseLU,11,FALSE),0)</f>
        <v>60</v>
      </c>
      <c r="H684" s="5">
        <v>10</v>
      </c>
      <c r="I684" s="5">
        <v>0</v>
      </c>
      <c r="J684" s="5">
        <f t="shared" si="67"/>
        <v>70</v>
      </c>
      <c r="K684" s="148">
        <f t="shared" si="68"/>
        <v>70</v>
      </c>
      <c r="L684" s="5">
        <f t="shared" si="69"/>
        <v>0</v>
      </c>
    </row>
    <row r="685" spans="1:12" x14ac:dyDescent="0.25">
      <c r="A685" t="s">
        <v>18</v>
      </c>
      <c r="B685" t="s">
        <v>21</v>
      </c>
      <c r="C685" t="s">
        <v>497</v>
      </c>
      <c r="D685" s="36" t="str">
        <f t="shared" si="64"/>
        <v>CP525-PVZV Pre-Existing Standard</v>
      </c>
      <c r="E685" s="36" t="str">
        <f t="shared" si="65"/>
        <v>RETURN - 1st don of the week -STD</v>
      </c>
      <c r="F685" s="36" t="str">
        <f t="shared" si="66"/>
        <v>CP525-RETURN - 1st don of the week -STD</v>
      </c>
      <c r="G685" s="155">
        <f>IFERROR(VLOOKUP(F685,SpecialtyBaseLU,11,FALSE),0)</f>
        <v>60</v>
      </c>
      <c r="H685" s="5">
        <f>K685-G685</f>
        <v>10</v>
      </c>
      <c r="J685" s="5">
        <f t="shared" si="67"/>
        <v>70</v>
      </c>
      <c r="K685" s="148">
        <f t="shared" si="68"/>
        <v>70</v>
      </c>
      <c r="L685" s="5">
        <f t="shared" si="69"/>
        <v>0</v>
      </c>
    </row>
    <row r="686" spans="1:12" x14ac:dyDescent="0.25">
      <c r="A686" t="s">
        <v>18</v>
      </c>
      <c r="B686" t="s">
        <v>21</v>
      </c>
      <c r="C686" t="s">
        <v>477</v>
      </c>
      <c r="D686" s="36" t="str">
        <f t="shared" si="64"/>
        <v>CP525-Vaccinia - 1st Donation</v>
      </c>
      <c r="E686" s="36">
        <f t="shared" si="65"/>
        <v>0</v>
      </c>
      <c r="F686" s="36" t="str">
        <f t="shared" si="66"/>
        <v>CP525-0</v>
      </c>
      <c r="G686" s="155">
        <f>IFERROR(VLOOKUP(F686,SpecialtyBaseLU,11,FALSE),0)</f>
        <v>0</v>
      </c>
      <c r="I686" s="5">
        <v>150</v>
      </c>
      <c r="J686" s="5">
        <f t="shared" si="67"/>
        <v>150</v>
      </c>
      <c r="K686" s="148">
        <f t="shared" si="68"/>
        <v>150</v>
      </c>
      <c r="L686" s="5">
        <f t="shared" si="69"/>
        <v>0</v>
      </c>
    </row>
    <row r="687" spans="1:12" x14ac:dyDescent="0.25">
      <c r="A687" t="s">
        <v>18</v>
      </c>
      <c r="B687" t="s">
        <v>21</v>
      </c>
      <c r="C687" t="s">
        <v>478</v>
      </c>
      <c r="D687" s="36" t="str">
        <f t="shared" si="64"/>
        <v>CP525-Vaccinia - 2nd Donation</v>
      </c>
      <c r="E687" s="36">
        <f t="shared" si="65"/>
        <v>0</v>
      </c>
      <c r="F687" s="36" t="str">
        <f t="shared" si="66"/>
        <v>CP525-0</v>
      </c>
      <c r="G687" s="155">
        <f>IFERROR(VLOOKUP(F687,SpecialtyBaseLU,11,FALSE),0)</f>
        <v>0</v>
      </c>
      <c r="I687" s="5">
        <v>250</v>
      </c>
      <c r="J687" s="5">
        <f t="shared" si="67"/>
        <v>250</v>
      </c>
      <c r="K687" s="148">
        <f t="shared" si="68"/>
        <v>250</v>
      </c>
      <c r="L687" s="5">
        <f t="shared" si="69"/>
        <v>0</v>
      </c>
    </row>
    <row r="688" spans="1:12" x14ac:dyDescent="0.25">
      <c r="A688" t="s">
        <v>18</v>
      </c>
      <c r="B688" t="s">
        <v>21</v>
      </c>
      <c r="C688" t="s">
        <v>479</v>
      </c>
      <c r="D688" s="36" t="str">
        <f t="shared" si="64"/>
        <v>CP525-Vaccinia - 3rd Donation</v>
      </c>
      <c r="E688" s="36">
        <f t="shared" si="65"/>
        <v>0</v>
      </c>
      <c r="F688" s="36" t="str">
        <f t="shared" si="66"/>
        <v>CP525-0</v>
      </c>
      <c r="G688" s="155">
        <f>IFERROR(VLOOKUP(F688,SpecialtyBaseLU,11,FALSE),0)</f>
        <v>0</v>
      </c>
      <c r="I688" s="5">
        <v>300</v>
      </c>
      <c r="J688" s="5">
        <f t="shared" si="67"/>
        <v>300</v>
      </c>
      <c r="K688" s="148">
        <f t="shared" si="68"/>
        <v>300</v>
      </c>
      <c r="L688" s="5">
        <f t="shared" si="69"/>
        <v>0</v>
      </c>
    </row>
    <row r="689" spans="1:12" x14ac:dyDescent="0.25">
      <c r="A689" t="s">
        <v>18</v>
      </c>
      <c r="B689" t="s">
        <v>21</v>
      </c>
      <c r="C689" t="s">
        <v>480</v>
      </c>
      <c r="D689" s="36" t="str">
        <f t="shared" si="64"/>
        <v>CP525-Vaccinia - 4th Donation</v>
      </c>
      <c r="E689" s="36">
        <f t="shared" si="65"/>
        <v>0</v>
      </c>
      <c r="F689" s="36" t="str">
        <f t="shared" si="66"/>
        <v>CP525-0</v>
      </c>
      <c r="G689" s="155">
        <f>IFERROR(VLOOKUP(F689,SpecialtyBaseLU,11,FALSE),0)</f>
        <v>0</v>
      </c>
      <c r="I689" s="5">
        <v>300</v>
      </c>
      <c r="J689" s="5">
        <f t="shared" si="67"/>
        <v>300</v>
      </c>
      <c r="K689" s="148">
        <f t="shared" si="68"/>
        <v>300</v>
      </c>
      <c r="L689" s="5">
        <f t="shared" si="69"/>
        <v>0</v>
      </c>
    </row>
    <row r="690" spans="1:12" x14ac:dyDescent="0.25">
      <c r="A690" t="s">
        <v>18</v>
      </c>
      <c r="B690" t="s">
        <v>21</v>
      </c>
      <c r="C690" t="s">
        <v>481</v>
      </c>
      <c r="D690" s="36" t="str">
        <f t="shared" si="64"/>
        <v>CP525-Vaccinia AP - 1st Donation</v>
      </c>
      <c r="E690" s="36">
        <f t="shared" si="65"/>
        <v>0</v>
      </c>
      <c r="F690" s="36" t="str">
        <f t="shared" si="66"/>
        <v>CP525-0</v>
      </c>
      <c r="G690" s="155">
        <f>IFERROR(VLOOKUP(F690,SpecialtyBaseLU,11,FALSE),0)</f>
        <v>0</v>
      </c>
      <c r="I690" s="5">
        <v>150</v>
      </c>
      <c r="J690" s="5">
        <f t="shared" si="67"/>
        <v>150</v>
      </c>
      <c r="K690" s="148">
        <f t="shared" si="68"/>
        <v>150</v>
      </c>
      <c r="L690" s="5">
        <f t="shared" si="69"/>
        <v>0</v>
      </c>
    </row>
    <row r="691" spans="1:12" x14ac:dyDescent="0.25">
      <c r="A691" t="s">
        <v>18</v>
      </c>
      <c r="B691" t="s">
        <v>21</v>
      </c>
      <c r="C691" t="s">
        <v>482</v>
      </c>
      <c r="D691" s="36" t="str">
        <f t="shared" si="64"/>
        <v>CP525-Vaccinia AP - 2nd Donation</v>
      </c>
      <c r="E691" s="36">
        <f t="shared" si="65"/>
        <v>0</v>
      </c>
      <c r="F691" s="36" t="str">
        <f t="shared" si="66"/>
        <v>CP525-0</v>
      </c>
      <c r="G691" s="155">
        <f>IFERROR(VLOOKUP(F691,SpecialtyBaseLU,11,FALSE),0)</f>
        <v>0</v>
      </c>
      <c r="I691" s="5">
        <v>250</v>
      </c>
      <c r="J691" s="5">
        <f t="shared" si="67"/>
        <v>250</v>
      </c>
      <c r="K691" s="148">
        <f t="shared" si="68"/>
        <v>250</v>
      </c>
      <c r="L691" s="5">
        <f t="shared" si="69"/>
        <v>0</v>
      </c>
    </row>
    <row r="692" spans="1:12" x14ac:dyDescent="0.25">
      <c r="A692" t="s">
        <v>18</v>
      </c>
      <c r="B692" t="s">
        <v>21</v>
      </c>
      <c r="C692" t="s">
        <v>483</v>
      </c>
      <c r="D692" s="36" t="str">
        <f t="shared" si="64"/>
        <v>CP525-Vaccinia AP - 3rd Donation</v>
      </c>
      <c r="E692" s="36">
        <f t="shared" si="65"/>
        <v>0</v>
      </c>
      <c r="F692" s="36" t="str">
        <f t="shared" si="66"/>
        <v>CP525-0</v>
      </c>
      <c r="G692" s="155">
        <f>IFERROR(VLOOKUP(F692,SpecialtyBaseLU,11,FALSE),0)</f>
        <v>0</v>
      </c>
      <c r="I692" s="5">
        <v>300</v>
      </c>
      <c r="J692" s="5">
        <f t="shared" si="67"/>
        <v>300</v>
      </c>
      <c r="K692" s="148">
        <f t="shared" si="68"/>
        <v>300</v>
      </c>
      <c r="L692" s="5">
        <f t="shared" si="69"/>
        <v>0</v>
      </c>
    </row>
    <row r="693" spans="1:12" x14ac:dyDescent="0.25">
      <c r="A693" t="s">
        <v>18</v>
      </c>
      <c r="B693" t="s">
        <v>21</v>
      </c>
      <c r="C693" t="s">
        <v>484</v>
      </c>
      <c r="D693" s="36" t="str">
        <f t="shared" si="64"/>
        <v>CP525-Vaccinia AP - 4th Donation</v>
      </c>
      <c r="E693" s="36">
        <f t="shared" si="65"/>
        <v>0</v>
      </c>
      <c r="F693" s="36" t="str">
        <f t="shared" si="66"/>
        <v>CP525-0</v>
      </c>
      <c r="G693" s="155">
        <f>IFERROR(VLOOKUP(F693,SpecialtyBaseLU,11,FALSE),0)</f>
        <v>0</v>
      </c>
      <c r="I693" s="5">
        <v>300</v>
      </c>
      <c r="J693" s="5">
        <f t="shared" si="67"/>
        <v>300</v>
      </c>
      <c r="K693" s="148">
        <f t="shared" si="68"/>
        <v>300</v>
      </c>
      <c r="L693" s="5">
        <f t="shared" si="69"/>
        <v>0</v>
      </c>
    </row>
    <row r="694" spans="1:12" x14ac:dyDescent="0.25">
      <c r="A694" t="s">
        <v>370</v>
      </c>
      <c r="B694" t="s">
        <v>371</v>
      </c>
      <c r="C694" t="s">
        <v>471</v>
      </c>
      <c r="D694" s="36" t="str">
        <f t="shared" si="64"/>
        <v>CP948-2X Week P HBS Pre-Existing</v>
      </c>
      <c r="E694" s="36" t="str">
        <f t="shared" si="65"/>
        <v>RETURN - 2nd don of the week -BONUS</v>
      </c>
      <c r="F694" s="36" t="str">
        <f t="shared" si="66"/>
        <v>CP948-RETURN - 2nd don of the week -BONUS</v>
      </c>
      <c r="G694" s="155">
        <f>IFERROR(VLOOKUP(F694,SpecialtyBaseLU,11,FALSE),0)</f>
        <v>20</v>
      </c>
      <c r="J694" s="5">
        <f t="shared" si="67"/>
        <v>20</v>
      </c>
      <c r="K694" s="148">
        <f t="shared" si="68"/>
        <v>20</v>
      </c>
      <c r="L694" s="5">
        <f t="shared" si="69"/>
        <v>0</v>
      </c>
    </row>
    <row r="695" spans="1:12" x14ac:dyDescent="0.25">
      <c r="A695" t="s">
        <v>370</v>
      </c>
      <c r="B695" t="s">
        <v>371</v>
      </c>
      <c r="C695" t="s">
        <v>504</v>
      </c>
      <c r="D695" s="36" t="str">
        <f t="shared" si="64"/>
        <v>CP948-2X Week P HBS TWINRX</v>
      </c>
      <c r="E695" s="36" t="str">
        <f t="shared" si="65"/>
        <v>RETURN - 2nd don of the week -BONUS</v>
      </c>
      <c r="F695" s="36" t="str">
        <f t="shared" si="66"/>
        <v>CP948-RETURN - 2nd don of the week -BONUS</v>
      </c>
      <c r="G695" s="155">
        <f>IFERROR(VLOOKUP(F695,SpecialtyBaseLU,11,FALSE),0)</f>
        <v>20</v>
      </c>
      <c r="J695" s="5">
        <f t="shared" si="67"/>
        <v>20</v>
      </c>
      <c r="K695" s="148">
        <f t="shared" si="68"/>
        <v>20</v>
      </c>
      <c r="L695" s="5">
        <f t="shared" si="69"/>
        <v>0</v>
      </c>
    </row>
    <row r="696" spans="1:12" x14ac:dyDescent="0.25">
      <c r="A696" t="s">
        <v>370</v>
      </c>
      <c r="B696" t="s">
        <v>371</v>
      </c>
      <c r="C696" t="s">
        <v>505</v>
      </c>
      <c r="D696" s="36" t="str">
        <f t="shared" si="64"/>
        <v>CP948-2X Week P HBS TWINRX-AP</v>
      </c>
      <c r="E696" s="36" t="str">
        <f t="shared" si="65"/>
        <v>RETURN - 2nd don of the week -BONUS</v>
      </c>
      <c r="F696" s="36" t="str">
        <f t="shared" si="66"/>
        <v>CP948-RETURN - 2nd don of the week -BONUS</v>
      </c>
      <c r="G696" s="155">
        <f>IFERROR(VLOOKUP(F696,SpecialtyBaseLU,11,FALSE),0)</f>
        <v>20</v>
      </c>
      <c r="J696" s="5">
        <f t="shared" si="67"/>
        <v>20</v>
      </c>
      <c r="K696" s="148">
        <f t="shared" si="68"/>
        <v>20</v>
      </c>
      <c r="L696" s="5">
        <f t="shared" si="69"/>
        <v>0</v>
      </c>
    </row>
    <row r="697" spans="1:12" x14ac:dyDescent="0.25">
      <c r="A697" t="s">
        <v>370</v>
      </c>
      <c r="B697" t="s">
        <v>371</v>
      </c>
      <c r="C697" t="s">
        <v>488</v>
      </c>
      <c r="D697" s="36" t="str">
        <f t="shared" si="64"/>
        <v>CP948-2X Week P VZV</v>
      </c>
      <c r="E697" s="36" t="str">
        <f t="shared" si="65"/>
        <v>RETURN - 2nd don of the week -BONUS</v>
      </c>
      <c r="F697" s="36" t="str">
        <f t="shared" si="66"/>
        <v>CP948-RETURN - 2nd don of the week -BONUS</v>
      </c>
      <c r="G697" s="155">
        <f>IFERROR(VLOOKUP(F697,SpecialtyBaseLU,11,FALSE),0)</f>
        <v>20</v>
      </c>
      <c r="J697" s="5">
        <f t="shared" si="67"/>
        <v>20</v>
      </c>
      <c r="K697" s="148">
        <f t="shared" si="68"/>
        <v>20</v>
      </c>
      <c r="L697" s="5">
        <f t="shared" si="69"/>
        <v>0</v>
      </c>
    </row>
    <row r="698" spans="1:12" x14ac:dyDescent="0.25">
      <c r="A698" t="s">
        <v>370</v>
      </c>
      <c r="B698" t="s">
        <v>371</v>
      </c>
      <c r="C698" t="s">
        <v>489</v>
      </c>
      <c r="D698" s="36" t="str">
        <f t="shared" si="64"/>
        <v>CP948-2X Week P VZV AP</v>
      </c>
      <c r="E698" s="36" t="str">
        <f t="shared" si="65"/>
        <v>RETURN - 2nd don of the week -BONUS</v>
      </c>
      <c r="F698" s="36" t="str">
        <f t="shared" si="66"/>
        <v>CP948-RETURN - 2nd don of the week -BONUS</v>
      </c>
      <c r="G698" s="155">
        <f>IFERROR(VLOOKUP(F698,SpecialtyBaseLU,11,FALSE),0)</f>
        <v>20</v>
      </c>
      <c r="J698" s="5">
        <f t="shared" si="67"/>
        <v>20</v>
      </c>
      <c r="K698" s="148">
        <f t="shared" si="68"/>
        <v>20</v>
      </c>
      <c r="L698" s="5">
        <f t="shared" si="69"/>
        <v>0</v>
      </c>
    </row>
    <row r="699" spans="1:12" x14ac:dyDescent="0.25">
      <c r="A699" t="s">
        <v>370</v>
      </c>
      <c r="B699" t="s">
        <v>371</v>
      </c>
      <c r="C699" t="s">
        <v>490</v>
      </c>
      <c r="D699" s="36" t="str">
        <f t="shared" si="64"/>
        <v>CP948-2X Week P VZV Pre-Existing</v>
      </c>
      <c r="E699" s="36" t="str">
        <f t="shared" si="65"/>
        <v>RETURN - 2nd don of the week -BONUS</v>
      </c>
      <c r="F699" s="36" t="str">
        <f t="shared" si="66"/>
        <v>CP948-RETURN - 2nd don of the week -BONUS</v>
      </c>
      <c r="G699" s="155">
        <f>IFERROR(VLOOKUP(F699,SpecialtyBaseLU,11,FALSE),0)</f>
        <v>20</v>
      </c>
      <c r="J699" s="5">
        <f t="shared" si="67"/>
        <v>20</v>
      </c>
      <c r="K699" s="148">
        <f t="shared" si="68"/>
        <v>20</v>
      </c>
      <c r="L699" s="5">
        <f t="shared" si="69"/>
        <v>0</v>
      </c>
    </row>
    <row r="700" spans="1:12" x14ac:dyDescent="0.25">
      <c r="A700" t="s">
        <v>370</v>
      </c>
      <c r="B700" t="s">
        <v>371</v>
      </c>
      <c r="C700" t="s">
        <v>491</v>
      </c>
      <c r="D700" s="36" t="str">
        <f t="shared" si="64"/>
        <v>CP948-2X Week P VZV Pre-Existing AP</v>
      </c>
      <c r="E700" s="36" t="str">
        <f t="shared" si="65"/>
        <v>RETURN - 2nd don of the week -BONUS</v>
      </c>
      <c r="F700" s="36" t="str">
        <f t="shared" si="66"/>
        <v>CP948-RETURN - 2nd don of the week -BONUS</v>
      </c>
      <c r="G700" s="155">
        <f>IFERROR(VLOOKUP(F700,SpecialtyBaseLU,11,FALSE),0)</f>
        <v>20</v>
      </c>
      <c r="J700" s="5">
        <f t="shared" si="67"/>
        <v>20</v>
      </c>
      <c r="K700" s="148">
        <f t="shared" si="68"/>
        <v>20</v>
      </c>
      <c r="L700" s="5">
        <f t="shared" si="69"/>
        <v>0</v>
      </c>
    </row>
    <row r="701" spans="1:12" x14ac:dyDescent="0.25">
      <c r="A701" t="s">
        <v>370</v>
      </c>
      <c r="B701" t="s">
        <v>371</v>
      </c>
      <c r="C701" t="s">
        <v>469</v>
      </c>
      <c r="D701" s="36" t="str">
        <f t="shared" si="64"/>
        <v>CP948-P Anti-D Pre-Existing Standard</v>
      </c>
      <c r="E701" s="36" t="str">
        <f t="shared" si="65"/>
        <v>RETURN - 1st don of the week -STD</v>
      </c>
      <c r="F701" s="36" t="str">
        <f t="shared" si="66"/>
        <v>CP948-RETURN - 1st don of the week -STD</v>
      </c>
      <c r="G701" s="155">
        <f>IFERROR(VLOOKUP(F701,SpecialtyBaseLU,11,FALSE),0)</f>
        <v>50</v>
      </c>
      <c r="H701" s="5">
        <v>0</v>
      </c>
      <c r="J701" s="5">
        <f t="shared" si="67"/>
        <v>50</v>
      </c>
      <c r="K701" s="148">
        <f t="shared" si="68"/>
        <v>50</v>
      </c>
      <c r="L701" s="5">
        <f t="shared" si="69"/>
        <v>0</v>
      </c>
    </row>
    <row r="702" spans="1:12" x14ac:dyDescent="0.25">
      <c r="A702" t="s">
        <v>370</v>
      </c>
      <c r="B702" t="s">
        <v>371</v>
      </c>
      <c r="C702" t="s">
        <v>472</v>
      </c>
      <c r="D702" s="36" t="str">
        <f t="shared" si="64"/>
        <v>CP948-P HBS Pre-Existing Standard</v>
      </c>
      <c r="E702" s="36" t="str">
        <f t="shared" si="65"/>
        <v>RETURN - 1st don of the week -STD</v>
      </c>
      <c r="F702" s="36" t="str">
        <f t="shared" si="66"/>
        <v>CP948-RETURN - 1st don of the week -STD</v>
      </c>
      <c r="G702" s="155">
        <f>IFERROR(VLOOKUP(F702,SpecialtyBaseLU,11,FALSE),0)</f>
        <v>50</v>
      </c>
      <c r="H702" s="5">
        <v>0</v>
      </c>
      <c r="J702" s="5">
        <f t="shared" si="67"/>
        <v>50</v>
      </c>
      <c r="K702" s="148">
        <f t="shared" si="68"/>
        <v>50</v>
      </c>
      <c r="L702" s="5">
        <f t="shared" si="69"/>
        <v>0</v>
      </c>
    </row>
    <row r="703" spans="1:12" x14ac:dyDescent="0.25">
      <c r="A703" t="s">
        <v>370</v>
      </c>
      <c r="B703" t="s">
        <v>371</v>
      </c>
      <c r="C703" t="s">
        <v>506</v>
      </c>
      <c r="D703" s="36" t="str">
        <f t="shared" si="64"/>
        <v>CP948-P HBS TWINRIX Standard</v>
      </c>
      <c r="E703" s="36" t="str">
        <f t="shared" si="65"/>
        <v>RETURN - 1st don of the week -STD</v>
      </c>
      <c r="F703" s="36" t="str">
        <f t="shared" si="66"/>
        <v>CP948-RETURN - 1st don of the week -STD</v>
      </c>
      <c r="G703" s="155">
        <f>IFERROR(VLOOKUP(F703,SpecialtyBaseLU,11,FALSE),0)</f>
        <v>50</v>
      </c>
      <c r="J703" s="5">
        <f t="shared" si="67"/>
        <v>50</v>
      </c>
      <c r="K703" s="148">
        <f t="shared" si="68"/>
        <v>50</v>
      </c>
      <c r="L703" s="5">
        <f t="shared" si="69"/>
        <v>0</v>
      </c>
    </row>
    <row r="704" spans="1:12" x14ac:dyDescent="0.25">
      <c r="A704" t="s">
        <v>370</v>
      </c>
      <c r="B704" t="s">
        <v>371</v>
      </c>
      <c r="C704" t="s">
        <v>507</v>
      </c>
      <c r="D704" s="36" t="str">
        <f t="shared" si="64"/>
        <v>CP948-P HBS TWINRIX-AP Standard</v>
      </c>
      <c r="E704" s="36" t="str">
        <f t="shared" si="65"/>
        <v>RETURN - 1st don of the week -STD</v>
      </c>
      <c r="F704" s="36" t="str">
        <f t="shared" si="66"/>
        <v>CP948-RETURN - 1st don of the week -STD</v>
      </c>
      <c r="G704" s="155">
        <f>IFERROR(VLOOKUP(F704,SpecialtyBaseLU,11,FALSE),0)</f>
        <v>50</v>
      </c>
      <c r="H704" s="5">
        <f>K704-G704</f>
        <v>0</v>
      </c>
      <c r="J704" s="5">
        <f t="shared" si="67"/>
        <v>50</v>
      </c>
      <c r="K704" s="148">
        <f t="shared" si="68"/>
        <v>50</v>
      </c>
      <c r="L704" s="5">
        <f t="shared" si="69"/>
        <v>0</v>
      </c>
    </row>
    <row r="705" spans="1:12" x14ac:dyDescent="0.25">
      <c r="A705" t="s">
        <v>370</v>
      </c>
      <c r="B705" t="s">
        <v>371</v>
      </c>
      <c r="C705" t="s">
        <v>475</v>
      </c>
      <c r="D705" s="36" t="str">
        <f t="shared" si="64"/>
        <v>CP948-P Vaccinia AP Standard</v>
      </c>
      <c r="E705" s="36">
        <f t="shared" si="65"/>
        <v>0</v>
      </c>
      <c r="F705" s="36" t="str">
        <f t="shared" si="66"/>
        <v>CP948-0</v>
      </c>
      <c r="G705" s="155">
        <f>IFERROR(VLOOKUP(F705,SpecialtyBaseLU,11,FALSE),0)</f>
        <v>0</v>
      </c>
      <c r="I705" s="5">
        <v>100</v>
      </c>
      <c r="J705" s="5">
        <f t="shared" si="67"/>
        <v>100</v>
      </c>
      <c r="K705" s="148">
        <f t="shared" si="68"/>
        <v>100</v>
      </c>
      <c r="L705" s="5">
        <f t="shared" si="69"/>
        <v>0</v>
      </c>
    </row>
    <row r="706" spans="1:12" x14ac:dyDescent="0.25">
      <c r="A706" t="s">
        <v>370</v>
      </c>
      <c r="B706" t="s">
        <v>371</v>
      </c>
      <c r="C706" t="s">
        <v>476</v>
      </c>
      <c r="D706" s="36" t="str">
        <f t="shared" si="64"/>
        <v>CP948-P Vaccinia Standard</v>
      </c>
      <c r="E706" s="36">
        <f t="shared" si="65"/>
        <v>0</v>
      </c>
      <c r="F706" s="36" t="str">
        <f t="shared" si="66"/>
        <v>CP948-0</v>
      </c>
      <c r="G706" s="155">
        <f>IFERROR(VLOOKUP(F706,SpecialtyBaseLU,11,FALSE),0)</f>
        <v>0</v>
      </c>
      <c r="I706" s="5">
        <v>100</v>
      </c>
      <c r="J706" s="5">
        <f t="shared" si="67"/>
        <v>100</v>
      </c>
      <c r="K706" s="148">
        <f t="shared" si="68"/>
        <v>100</v>
      </c>
      <c r="L706" s="5">
        <f t="shared" si="69"/>
        <v>0</v>
      </c>
    </row>
    <row r="707" spans="1:12" x14ac:dyDescent="0.25">
      <c r="A707" t="s">
        <v>370</v>
      </c>
      <c r="B707" t="s">
        <v>371</v>
      </c>
      <c r="C707" t="s">
        <v>495</v>
      </c>
      <c r="D707" s="36" t="str">
        <f t="shared" si="64"/>
        <v>CP948-P VZV Pre-Existing AP</v>
      </c>
      <c r="E707" s="36" t="str">
        <f t="shared" si="65"/>
        <v>RETURN - 1st don of the week -STD</v>
      </c>
      <c r="F707" s="36" t="str">
        <f t="shared" si="66"/>
        <v>CP948-RETURN - 1st don of the week -STD</v>
      </c>
      <c r="G707" s="155">
        <f>IFERROR(VLOOKUP(F707,SpecialtyBaseLU,11,FALSE),0)</f>
        <v>50</v>
      </c>
      <c r="H707" s="5">
        <v>10</v>
      </c>
      <c r="I707" s="5">
        <v>0</v>
      </c>
      <c r="J707" s="5">
        <f t="shared" si="67"/>
        <v>60</v>
      </c>
      <c r="K707" s="148">
        <f t="shared" si="68"/>
        <v>60</v>
      </c>
      <c r="L707" s="5">
        <f t="shared" si="69"/>
        <v>0</v>
      </c>
    </row>
    <row r="708" spans="1:12" x14ac:dyDescent="0.25">
      <c r="A708" t="s">
        <v>370</v>
      </c>
      <c r="B708" t="s">
        <v>371</v>
      </c>
      <c r="C708" t="s">
        <v>496</v>
      </c>
      <c r="D708" s="36" t="str">
        <f t="shared" ref="D708:D771" si="70">B708&amp;"-"&amp;C708</f>
        <v>CP948-P VZV Standard</v>
      </c>
      <c r="E708" s="36" t="str">
        <f t="shared" ref="E708:E771" si="71">VLOOKUP(C708,RULENAMELU,5,FALSE)</f>
        <v>RETURN - 1st don of the week -STD</v>
      </c>
      <c r="F708" s="36" t="str">
        <f t="shared" ref="F708:F771" si="72">B708&amp;"-"&amp;E708</f>
        <v>CP948-RETURN - 1st don of the week -STD</v>
      </c>
      <c r="G708" s="155">
        <f>IFERROR(VLOOKUP(F708,SpecialtyBaseLU,11,FALSE),0)</f>
        <v>50</v>
      </c>
      <c r="H708" s="5">
        <v>10</v>
      </c>
      <c r="I708" s="5">
        <v>0</v>
      </c>
      <c r="J708" s="5">
        <f t="shared" ref="J708:J771" si="73">G708+H708+I708</f>
        <v>60</v>
      </c>
      <c r="K708" s="148">
        <f t="shared" ref="K708:K771" si="74">VLOOKUP(D708,CurrentNLDataLU,11,FALSE)</f>
        <v>60</v>
      </c>
      <c r="L708" s="5">
        <f t="shared" ref="L708:L771" si="75">J708-K708</f>
        <v>0</v>
      </c>
    </row>
    <row r="709" spans="1:12" x14ac:dyDescent="0.25">
      <c r="A709" t="s">
        <v>370</v>
      </c>
      <c r="B709" t="s">
        <v>371</v>
      </c>
      <c r="C709" t="s">
        <v>497</v>
      </c>
      <c r="D709" s="36" t="str">
        <f t="shared" si="70"/>
        <v>CP948-PVZV Pre-Existing Standard</v>
      </c>
      <c r="E709" s="36" t="str">
        <f t="shared" si="71"/>
        <v>RETURN - 1st don of the week -STD</v>
      </c>
      <c r="F709" s="36" t="str">
        <f t="shared" si="72"/>
        <v>CP948-RETURN - 1st don of the week -STD</v>
      </c>
      <c r="G709" s="155">
        <f>IFERROR(VLOOKUP(F709,SpecialtyBaseLU,11,FALSE),0)</f>
        <v>50</v>
      </c>
      <c r="H709" s="5">
        <f>K709-G709</f>
        <v>10</v>
      </c>
      <c r="J709" s="5">
        <f t="shared" si="73"/>
        <v>60</v>
      </c>
      <c r="K709" s="148">
        <f t="shared" si="74"/>
        <v>60</v>
      </c>
      <c r="L709" s="5">
        <f t="shared" si="75"/>
        <v>0</v>
      </c>
    </row>
    <row r="710" spans="1:12" x14ac:dyDescent="0.25">
      <c r="A710" t="s">
        <v>370</v>
      </c>
      <c r="B710" t="s">
        <v>371</v>
      </c>
      <c r="C710" t="s">
        <v>477</v>
      </c>
      <c r="D710" s="36" t="str">
        <f t="shared" si="70"/>
        <v>CP948-Vaccinia - 1st Donation</v>
      </c>
      <c r="E710" s="36">
        <f t="shared" si="71"/>
        <v>0</v>
      </c>
      <c r="F710" s="36" t="str">
        <f t="shared" si="72"/>
        <v>CP948-0</v>
      </c>
      <c r="G710" s="155">
        <f>IFERROR(VLOOKUP(F710,SpecialtyBaseLU,11,FALSE),0)</f>
        <v>0</v>
      </c>
      <c r="I710" s="5">
        <v>150</v>
      </c>
      <c r="J710" s="5">
        <f t="shared" si="73"/>
        <v>150</v>
      </c>
      <c r="K710" s="148">
        <f t="shared" si="74"/>
        <v>150</v>
      </c>
      <c r="L710" s="5">
        <f t="shared" si="75"/>
        <v>0</v>
      </c>
    </row>
    <row r="711" spans="1:12" x14ac:dyDescent="0.25">
      <c r="A711" t="s">
        <v>370</v>
      </c>
      <c r="B711" t="s">
        <v>371</v>
      </c>
      <c r="C711" t="s">
        <v>478</v>
      </c>
      <c r="D711" s="36" t="str">
        <f t="shared" si="70"/>
        <v>CP948-Vaccinia - 2nd Donation</v>
      </c>
      <c r="E711" s="36">
        <f t="shared" si="71"/>
        <v>0</v>
      </c>
      <c r="F711" s="36" t="str">
        <f t="shared" si="72"/>
        <v>CP948-0</v>
      </c>
      <c r="G711" s="155">
        <f>IFERROR(VLOOKUP(F711,SpecialtyBaseLU,11,FALSE),0)</f>
        <v>0</v>
      </c>
      <c r="I711" s="5">
        <v>250</v>
      </c>
      <c r="J711" s="5">
        <f t="shared" si="73"/>
        <v>250</v>
      </c>
      <c r="K711" s="148">
        <f t="shared" si="74"/>
        <v>250</v>
      </c>
      <c r="L711" s="5">
        <f t="shared" si="75"/>
        <v>0</v>
      </c>
    </row>
    <row r="712" spans="1:12" x14ac:dyDescent="0.25">
      <c r="A712" t="s">
        <v>370</v>
      </c>
      <c r="B712" t="s">
        <v>371</v>
      </c>
      <c r="C712" t="s">
        <v>479</v>
      </c>
      <c r="D712" s="36" t="str">
        <f t="shared" si="70"/>
        <v>CP948-Vaccinia - 3rd Donation</v>
      </c>
      <c r="E712" s="36">
        <f t="shared" si="71"/>
        <v>0</v>
      </c>
      <c r="F712" s="36" t="str">
        <f t="shared" si="72"/>
        <v>CP948-0</v>
      </c>
      <c r="G712" s="155">
        <f>IFERROR(VLOOKUP(F712,SpecialtyBaseLU,11,FALSE),0)</f>
        <v>0</v>
      </c>
      <c r="I712" s="5">
        <v>300</v>
      </c>
      <c r="J712" s="5">
        <f t="shared" si="73"/>
        <v>300</v>
      </c>
      <c r="K712" s="148">
        <f t="shared" si="74"/>
        <v>300</v>
      </c>
      <c r="L712" s="5">
        <f t="shared" si="75"/>
        <v>0</v>
      </c>
    </row>
    <row r="713" spans="1:12" x14ac:dyDescent="0.25">
      <c r="A713" t="s">
        <v>370</v>
      </c>
      <c r="B713" t="s">
        <v>371</v>
      </c>
      <c r="C713" t="s">
        <v>480</v>
      </c>
      <c r="D713" s="36" t="str">
        <f t="shared" si="70"/>
        <v>CP948-Vaccinia - 4th Donation</v>
      </c>
      <c r="E713" s="36">
        <f t="shared" si="71"/>
        <v>0</v>
      </c>
      <c r="F713" s="36" t="str">
        <f t="shared" si="72"/>
        <v>CP948-0</v>
      </c>
      <c r="G713" s="155">
        <f>IFERROR(VLOOKUP(F713,SpecialtyBaseLU,11,FALSE),0)</f>
        <v>0</v>
      </c>
      <c r="I713" s="5">
        <v>300</v>
      </c>
      <c r="J713" s="5">
        <f t="shared" si="73"/>
        <v>300</v>
      </c>
      <c r="K713" s="148">
        <f t="shared" si="74"/>
        <v>300</v>
      </c>
      <c r="L713" s="5">
        <f t="shared" si="75"/>
        <v>0</v>
      </c>
    </row>
    <row r="714" spans="1:12" x14ac:dyDescent="0.25">
      <c r="A714" t="s">
        <v>370</v>
      </c>
      <c r="B714" t="s">
        <v>371</v>
      </c>
      <c r="C714" t="s">
        <v>481</v>
      </c>
      <c r="D714" s="36" t="str">
        <f t="shared" si="70"/>
        <v>CP948-Vaccinia AP - 1st Donation</v>
      </c>
      <c r="E714" s="36">
        <f t="shared" si="71"/>
        <v>0</v>
      </c>
      <c r="F714" s="36" t="str">
        <f t="shared" si="72"/>
        <v>CP948-0</v>
      </c>
      <c r="G714" s="155">
        <f>IFERROR(VLOOKUP(F714,SpecialtyBaseLU,11,FALSE),0)</f>
        <v>0</v>
      </c>
      <c r="I714" s="5">
        <v>150</v>
      </c>
      <c r="J714" s="5">
        <f t="shared" si="73"/>
        <v>150</v>
      </c>
      <c r="K714" s="148">
        <f t="shared" si="74"/>
        <v>150</v>
      </c>
      <c r="L714" s="5">
        <f t="shared" si="75"/>
        <v>0</v>
      </c>
    </row>
    <row r="715" spans="1:12" x14ac:dyDescent="0.25">
      <c r="A715" t="s">
        <v>370</v>
      </c>
      <c r="B715" t="s">
        <v>371</v>
      </c>
      <c r="C715" t="s">
        <v>482</v>
      </c>
      <c r="D715" s="36" t="str">
        <f t="shared" si="70"/>
        <v>CP948-Vaccinia AP - 2nd Donation</v>
      </c>
      <c r="E715" s="36">
        <f t="shared" si="71"/>
        <v>0</v>
      </c>
      <c r="F715" s="36" t="str">
        <f t="shared" si="72"/>
        <v>CP948-0</v>
      </c>
      <c r="G715" s="155">
        <f>IFERROR(VLOOKUP(F715,SpecialtyBaseLU,11,FALSE),0)</f>
        <v>0</v>
      </c>
      <c r="I715" s="5">
        <v>250</v>
      </c>
      <c r="J715" s="5">
        <f t="shared" si="73"/>
        <v>250</v>
      </c>
      <c r="K715" s="148">
        <f t="shared" si="74"/>
        <v>250</v>
      </c>
      <c r="L715" s="5">
        <f t="shared" si="75"/>
        <v>0</v>
      </c>
    </row>
    <row r="716" spans="1:12" x14ac:dyDescent="0.25">
      <c r="A716" t="s">
        <v>370</v>
      </c>
      <c r="B716" t="s">
        <v>371</v>
      </c>
      <c r="C716" t="s">
        <v>483</v>
      </c>
      <c r="D716" s="36" t="str">
        <f t="shared" si="70"/>
        <v>CP948-Vaccinia AP - 3rd Donation</v>
      </c>
      <c r="E716" s="36">
        <f t="shared" si="71"/>
        <v>0</v>
      </c>
      <c r="F716" s="36" t="str">
        <f t="shared" si="72"/>
        <v>CP948-0</v>
      </c>
      <c r="G716" s="155">
        <f>IFERROR(VLOOKUP(F716,SpecialtyBaseLU,11,FALSE),0)</f>
        <v>0</v>
      </c>
      <c r="I716" s="5">
        <v>300</v>
      </c>
      <c r="J716" s="5">
        <f t="shared" si="73"/>
        <v>300</v>
      </c>
      <c r="K716" s="148">
        <f t="shared" si="74"/>
        <v>300</v>
      </c>
      <c r="L716" s="5">
        <f t="shared" si="75"/>
        <v>0</v>
      </c>
    </row>
    <row r="717" spans="1:12" x14ac:dyDescent="0.25">
      <c r="A717" t="s">
        <v>370</v>
      </c>
      <c r="B717" t="s">
        <v>371</v>
      </c>
      <c r="C717" t="s">
        <v>484</v>
      </c>
      <c r="D717" s="36" t="str">
        <f t="shared" si="70"/>
        <v>CP948-Vaccinia AP - 4th Donation</v>
      </c>
      <c r="E717" s="36">
        <f t="shared" si="71"/>
        <v>0</v>
      </c>
      <c r="F717" s="36" t="str">
        <f t="shared" si="72"/>
        <v>CP948-0</v>
      </c>
      <c r="G717" s="155">
        <f>IFERROR(VLOOKUP(F717,SpecialtyBaseLU,11,FALSE),0)</f>
        <v>0</v>
      </c>
      <c r="I717" s="5">
        <v>300</v>
      </c>
      <c r="J717" s="5">
        <f t="shared" si="73"/>
        <v>300</v>
      </c>
      <c r="K717" s="148">
        <f t="shared" si="74"/>
        <v>300</v>
      </c>
      <c r="L717" s="5">
        <f t="shared" si="75"/>
        <v>0</v>
      </c>
    </row>
    <row r="718" spans="1:12" x14ac:dyDescent="0.25">
      <c r="A718" t="s">
        <v>381</v>
      </c>
      <c r="B718" t="s">
        <v>382</v>
      </c>
      <c r="C718" t="s">
        <v>498</v>
      </c>
      <c r="D718" s="36" t="str">
        <f t="shared" si="70"/>
        <v>CP147-2X Week P CMV</v>
      </c>
      <c r="E718" s="36" t="str">
        <f t="shared" si="71"/>
        <v>RETURN - 2nd don of the week -BONUS</v>
      </c>
      <c r="F718" s="36" t="str">
        <f t="shared" si="72"/>
        <v>CP147-RETURN - 2nd don of the week -BONUS</v>
      </c>
      <c r="G718" s="155">
        <f>IFERROR(VLOOKUP(F718,SpecialtyBaseLU,11,FALSE),0)</f>
        <v>35</v>
      </c>
      <c r="J718" s="5">
        <f t="shared" si="73"/>
        <v>35</v>
      </c>
      <c r="K718" s="148">
        <f t="shared" si="74"/>
        <v>35</v>
      </c>
      <c r="L718" s="5">
        <f t="shared" si="75"/>
        <v>0</v>
      </c>
    </row>
    <row r="719" spans="1:12" x14ac:dyDescent="0.25">
      <c r="A719" t="s">
        <v>381</v>
      </c>
      <c r="B719" t="s">
        <v>382</v>
      </c>
      <c r="C719" t="s">
        <v>469</v>
      </c>
      <c r="D719" s="36" t="str">
        <f t="shared" si="70"/>
        <v>CP147-P Anti-D Pre-Existing Standard</v>
      </c>
      <c r="E719" s="36" t="str">
        <f t="shared" si="71"/>
        <v>RETURN - 1st don of the week -STD</v>
      </c>
      <c r="F719" s="36" t="str">
        <f t="shared" si="72"/>
        <v>CP147-RETURN - 1st don of the week -STD</v>
      </c>
      <c r="G719" s="155">
        <f>IFERROR(VLOOKUP(F719,SpecialtyBaseLU,11,FALSE),0)</f>
        <v>50</v>
      </c>
      <c r="H719" s="5">
        <v>0</v>
      </c>
      <c r="J719" s="5">
        <f t="shared" si="73"/>
        <v>50</v>
      </c>
      <c r="K719" s="148">
        <f t="shared" si="74"/>
        <v>50</v>
      </c>
      <c r="L719" s="5">
        <f t="shared" si="75"/>
        <v>0</v>
      </c>
    </row>
    <row r="720" spans="1:12" x14ac:dyDescent="0.25">
      <c r="A720" t="s">
        <v>381</v>
      </c>
      <c r="B720" t="s">
        <v>382</v>
      </c>
      <c r="C720" t="s">
        <v>501</v>
      </c>
      <c r="D720" s="36" t="str">
        <f t="shared" si="70"/>
        <v>CP147-P CMV Standard</v>
      </c>
      <c r="E720" s="36" t="str">
        <f t="shared" si="71"/>
        <v>RETURN - 1st don of the week -STD</v>
      </c>
      <c r="F720" s="36" t="str">
        <f t="shared" si="72"/>
        <v>CP147-RETURN - 1st don of the week -STD</v>
      </c>
      <c r="G720" s="155">
        <f>IFERROR(VLOOKUP(F720,SpecialtyBaseLU,11,FALSE),0)</f>
        <v>50</v>
      </c>
      <c r="H720" s="5">
        <v>5</v>
      </c>
      <c r="J720" s="5">
        <f t="shared" si="73"/>
        <v>55</v>
      </c>
      <c r="K720" s="148">
        <f t="shared" si="74"/>
        <v>55</v>
      </c>
      <c r="L720" s="5">
        <f t="shared" si="75"/>
        <v>0</v>
      </c>
    </row>
    <row r="721" spans="1:12" x14ac:dyDescent="0.25">
      <c r="A721" t="s">
        <v>312</v>
      </c>
      <c r="B721" t="s">
        <v>313</v>
      </c>
      <c r="C721" t="s">
        <v>469</v>
      </c>
      <c r="D721" s="36" t="str">
        <f t="shared" si="70"/>
        <v>CP953-P Anti-D Pre-Existing Standard</v>
      </c>
      <c r="E721" s="36" t="str">
        <f t="shared" si="71"/>
        <v>RETURN - 1st don of the week -STD</v>
      </c>
      <c r="F721" s="36" t="str">
        <f t="shared" si="72"/>
        <v>CP953-RETURN - 1st don of the week -STD</v>
      </c>
      <c r="G721" s="155">
        <f>IFERROR(VLOOKUP(F721,SpecialtyBaseLU,11,FALSE),0)</f>
        <v>45</v>
      </c>
      <c r="H721" s="5">
        <v>5</v>
      </c>
      <c r="J721" s="5">
        <f t="shared" si="73"/>
        <v>50</v>
      </c>
      <c r="K721" s="148">
        <f t="shared" si="74"/>
        <v>50</v>
      </c>
      <c r="L721" s="5">
        <f t="shared" si="75"/>
        <v>0</v>
      </c>
    </row>
    <row r="722" spans="1:12" x14ac:dyDescent="0.25">
      <c r="A722" t="s">
        <v>375</v>
      </c>
      <c r="B722" t="s">
        <v>376</v>
      </c>
      <c r="C722" t="s">
        <v>528</v>
      </c>
      <c r="D722" s="36" t="str">
        <f t="shared" si="70"/>
        <v>CP125-125 Anti - D PreExisting</v>
      </c>
      <c r="E722" s="36">
        <f t="shared" si="71"/>
        <v>0</v>
      </c>
      <c r="F722" s="36" t="str">
        <f t="shared" si="72"/>
        <v>CP125-0</v>
      </c>
      <c r="G722" s="155">
        <f>IFERROR(VLOOKUP(F722,SpecialtyBaseLU,11,FALSE),0)</f>
        <v>0</v>
      </c>
      <c r="I722" s="5">
        <v>100</v>
      </c>
      <c r="J722" s="5">
        <f t="shared" si="73"/>
        <v>100</v>
      </c>
      <c r="K722" s="148">
        <f t="shared" si="74"/>
        <v>100</v>
      </c>
      <c r="L722" s="5">
        <f t="shared" si="75"/>
        <v>0</v>
      </c>
    </row>
    <row r="723" spans="1:12" x14ac:dyDescent="0.25">
      <c r="A723" t="s">
        <v>375</v>
      </c>
      <c r="B723" t="s">
        <v>376</v>
      </c>
      <c r="C723" t="s">
        <v>529</v>
      </c>
      <c r="D723" s="36" t="str">
        <f t="shared" si="70"/>
        <v>CP125-125 Anti-D Somerset AP</v>
      </c>
      <c r="E723" s="36">
        <f t="shared" si="71"/>
        <v>0</v>
      </c>
      <c r="F723" s="36" t="str">
        <f t="shared" si="72"/>
        <v>CP125-0</v>
      </c>
      <c r="G723" s="155">
        <f>IFERROR(VLOOKUP(F723,SpecialtyBaseLU,11,FALSE),0)</f>
        <v>0</v>
      </c>
      <c r="I723" s="5">
        <v>100</v>
      </c>
      <c r="J723" s="5">
        <f t="shared" si="73"/>
        <v>100</v>
      </c>
      <c r="K723" s="148">
        <f t="shared" si="74"/>
        <v>100</v>
      </c>
      <c r="L723" s="5">
        <f t="shared" si="75"/>
        <v>0</v>
      </c>
    </row>
    <row r="724" spans="1:12" x14ac:dyDescent="0.25">
      <c r="A724" t="s">
        <v>375</v>
      </c>
      <c r="B724" t="s">
        <v>376</v>
      </c>
      <c r="C724" t="s">
        <v>530</v>
      </c>
      <c r="D724" s="36" t="str">
        <f t="shared" si="70"/>
        <v>CP125-125 D Non EU Standard</v>
      </c>
      <c r="E724" s="36">
        <f t="shared" si="71"/>
        <v>0</v>
      </c>
      <c r="F724" s="36" t="str">
        <f t="shared" si="72"/>
        <v>CP125-0</v>
      </c>
      <c r="G724" s="155">
        <f>IFERROR(VLOOKUP(F724,SpecialtyBaseLU,11,FALSE),0)</f>
        <v>0</v>
      </c>
      <c r="I724" s="5">
        <v>100</v>
      </c>
      <c r="J724" s="5">
        <f t="shared" si="73"/>
        <v>100</v>
      </c>
      <c r="K724" s="148">
        <f t="shared" si="74"/>
        <v>100</v>
      </c>
      <c r="L724" s="5">
        <f t="shared" si="75"/>
        <v>0</v>
      </c>
    </row>
    <row r="725" spans="1:12" x14ac:dyDescent="0.25">
      <c r="A725" t="s">
        <v>375</v>
      </c>
      <c r="B725" t="s">
        <v>376</v>
      </c>
      <c r="C725" t="s">
        <v>531</v>
      </c>
      <c r="D725" s="36" t="str">
        <f t="shared" si="70"/>
        <v>CP125-125 D Standard</v>
      </c>
      <c r="E725" s="36">
        <f t="shared" si="71"/>
        <v>0</v>
      </c>
      <c r="F725" s="36" t="str">
        <f t="shared" si="72"/>
        <v>CP125-0</v>
      </c>
      <c r="G725" s="155">
        <f>IFERROR(VLOOKUP(F725,SpecialtyBaseLU,11,FALSE),0)</f>
        <v>0</v>
      </c>
      <c r="I725" s="5">
        <v>100</v>
      </c>
      <c r="J725" s="5">
        <f t="shared" si="73"/>
        <v>100</v>
      </c>
      <c r="K725" s="148">
        <f t="shared" si="74"/>
        <v>100</v>
      </c>
      <c r="L725" s="5">
        <f t="shared" si="75"/>
        <v>0</v>
      </c>
    </row>
    <row r="726" spans="1:12" x14ac:dyDescent="0.25">
      <c r="A726" t="s">
        <v>375</v>
      </c>
      <c r="B726" t="s">
        <v>376</v>
      </c>
      <c r="C726" t="s">
        <v>532</v>
      </c>
      <c r="D726" s="36" t="str">
        <f t="shared" si="70"/>
        <v>CP125-125 Normal Source Standard</v>
      </c>
      <c r="E726" s="36">
        <f t="shared" si="71"/>
        <v>0</v>
      </c>
      <c r="F726" s="36" t="str">
        <f t="shared" si="72"/>
        <v>CP125-0</v>
      </c>
      <c r="G726" s="155">
        <f>IFERROR(VLOOKUP(F726,SpecialtyBaseLU,11,FALSE),0)</f>
        <v>0</v>
      </c>
      <c r="I726" s="5">
        <v>100</v>
      </c>
      <c r="J726" s="5">
        <f t="shared" si="73"/>
        <v>100</v>
      </c>
      <c r="K726" s="148">
        <f t="shared" si="74"/>
        <v>100</v>
      </c>
      <c r="L726" s="5">
        <f t="shared" si="75"/>
        <v>0</v>
      </c>
    </row>
    <row r="727" spans="1:12" x14ac:dyDescent="0.25">
      <c r="A727" t="s">
        <v>375</v>
      </c>
      <c r="B727" t="s">
        <v>376</v>
      </c>
      <c r="C727" t="s">
        <v>533</v>
      </c>
      <c r="D727" s="36" t="str">
        <f t="shared" si="70"/>
        <v>CP125-Anti - D NEU AP SS Standard</v>
      </c>
      <c r="E727" s="36">
        <f t="shared" si="71"/>
        <v>0</v>
      </c>
      <c r="F727" s="36" t="str">
        <f t="shared" si="72"/>
        <v>CP125-0</v>
      </c>
      <c r="G727" s="155">
        <f>IFERROR(VLOOKUP(F727,SpecialtyBaseLU,11,FALSE),0)</f>
        <v>0</v>
      </c>
      <c r="I727" s="5">
        <v>100</v>
      </c>
      <c r="J727" s="5">
        <f t="shared" si="73"/>
        <v>100</v>
      </c>
      <c r="K727" s="148">
        <f t="shared" si="74"/>
        <v>100</v>
      </c>
      <c r="L727" s="5">
        <f t="shared" si="75"/>
        <v>0</v>
      </c>
    </row>
    <row r="728" spans="1:12" x14ac:dyDescent="0.25">
      <c r="A728" t="s">
        <v>375</v>
      </c>
      <c r="B728" t="s">
        <v>376</v>
      </c>
      <c r="C728" t="s">
        <v>534</v>
      </c>
      <c r="D728" s="36" t="str">
        <f t="shared" si="70"/>
        <v>CP125-Test Cells</v>
      </c>
      <c r="E728" s="36">
        <f t="shared" si="71"/>
        <v>0</v>
      </c>
      <c r="F728" s="36" t="str">
        <f t="shared" si="72"/>
        <v>CP125-0</v>
      </c>
      <c r="G728" s="155">
        <f>IFERROR(VLOOKUP(F728,SpecialtyBaseLU,11,FALSE),0)</f>
        <v>0</v>
      </c>
      <c r="I728" s="5">
        <v>35</v>
      </c>
      <c r="J728" s="5">
        <f t="shared" si="73"/>
        <v>35</v>
      </c>
      <c r="K728" s="148">
        <f t="shared" si="74"/>
        <v>35</v>
      </c>
      <c r="L728" s="5">
        <f t="shared" si="75"/>
        <v>0</v>
      </c>
    </row>
    <row r="729" spans="1:12" x14ac:dyDescent="0.25">
      <c r="A729" t="s">
        <v>375</v>
      </c>
      <c r="B729" t="s">
        <v>376</v>
      </c>
      <c r="C729" t="s">
        <v>526</v>
      </c>
      <c r="D729" s="36" t="str">
        <f t="shared" si="70"/>
        <v>CP125-Whole Blood INJ</v>
      </c>
      <c r="E729" s="36">
        <f t="shared" si="71"/>
        <v>0</v>
      </c>
      <c r="F729" s="36" t="str">
        <f t="shared" si="72"/>
        <v>CP125-0</v>
      </c>
      <c r="G729" s="155">
        <f>IFERROR(VLOOKUP(F729,SpecialtyBaseLU,11,FALSE),0)</f>
        <v>0</v>
      </c>
      <c r="I729" s="5">
        <v>375</v>
      </c>
      <c r="J729" s="5">
        <f t="shared" si="73"/>
        <v>375</v>
      </c>
      <c r="K729" s="148">
        <f t="shared" si="74"/>
        <v>375</v>
      </c>
      <c r="L729" s="5">
        <f t="shared" si="75"/>
        <v>0</v>
      </c>
    </row>
    <row r="730" spans="1:12" x14ac:dyDescent="0.25">
      <c r="A730" t="s">
        <v>350</v>
      </c>
      <c r="B730" t="s">
        <v>351</v>
      </c>
      <c r="C730" t="s">
        <v>469</v>
      </c>
      <c r="D730" s="36" t="str">
        <f t="shared" si="70"/>
        <v>CP135-P Anti-D Pre-Existing Standard</v>
      </c>
      <c r="E730" s="36" t="str">
        <f t="shared" si="71"/>
        <v>RETURN - 1st don of the week -STD</v>
      </c>
      <c r="F730" s="36" t="str">
        <f t="shared" si="72"/>
        <v>CP135-RETURN - 1st don of the week -STD</v>
      </c>
      <c r="G730" s="155">
        <f>IFERROR(VLOOKUP(F730,SpecialtyBaseLU,11,FALSE),0)</f>
        <v>40</v>
      </c>
      <c r="H730" s="5">
        <v>10</v>
      </c>
      <c r="J730" s="5">
        <f t="shared" si="73"/>
        <v>50</v>
      </c>
      <c r="K730" s="148">
        <f t="shared" si="74"/>
        <v>50</v>
      </c>
      <c r="L730" s="5">
        <f t="shared" si="75"/>
        <v>0</v>
      </c>
    </row>
    <row r="731" spans="1:12" x14ac:dyDescent="0.25">
      <c r="A731" t="s">
        <v>350</v>
      </c>
      <c r="B731" t="s">
        <v>351</v>
      </c>
      <c r="C731" t="s">
        <v>475</v>
      </c>
      <c r="D731" s="36" t="str">
        <f t="shared" si="70"/>
        <v>CP135-P Vaccinia AP Standard</v>
      </c>
      <c r="E731" s="36">
        <f t="shared" si="71"/>
        <v>0</v>
      </c>
      <c r="F731" s="36" t="str">
        <f t="shared" si="72"/>
        <v>CP135-0</v>
      </c>
      <c r="G731" s="155">
        <f>IFERROR(VLOOKUP(F731,SpecialtyBaseLU,11,FALSE),0)</f>
        <v>0</v>
      </c>
      <c r="I731" s="5">
        <v>100</v>
      </c>
      <c r="J731" s="5">
        <f t="shared" si="73"/>
        <v>100</v>
      </c>
      <c r="K731" s="148">
        <f t="shared" si="74"/>
        <v>100</v>
      </c>
      <c r="L731" s="5">
        <f t="shared" si="75"/>
        <v>0</v>
      </c>
    </row>
    <row r="732" spans="1:12" x14ac:dyDescent="0.25">
      <c r="A732" t="s">
        <v>350</v>
      </c>
      <c r="B732" t="s">
        <v>351</v>
      </c>
      <c r="C732" t="s">
        <v>476</v>
      </c>
      <c r="D732" s="36" t="str">
        <f t="shared" si="70"/>
        <v>CP135-P Vaccinia Standard</v>
      </c>
      <c r="E732" s="36">
        <f t="shared" si="71"/>
        <v>0</v>
      </c>
      <c r="F732" s="36" t="str">
        <f t="shared" si="72"/>
        <v>CP135-0</v>
      </c>
      <c r="G732" s="155">
        <f>IFERROR(VLOOKUP(F732,SpecialtyBaseLU,11,FALSE),0)</f>
        <v>0</v>
      </c>
      <c r="I732" s="5">
        <v>100</v>
      </c>
      <c r="J732" s="5">
        <f t="shared" si="73"/>
        <v>100</v>
      </c>
      <c r="K732" s="148">
        <f t="shared" si="74"/>
        <v>100</v>
      </c>
      <c r="L732" s="5">
        <f t="shared" si="75"/>
        <v>0</v>
      </c>
    </row>
    <row r="733" spans="1:12" x14ac:dyDescent="0.25">
      <c r="A733" t="s">
        <v>350</v>
      </c>
      <c r="B733" t="s">
        <v>351</v>
      </c>
      <c r="C733" t="s">
        <v>477</v>
      </c>
      <c r="D733" s="36" t="str">
        <f t="shared" si="70"/>
        <v>CP135-Vaccinia - 1st Donation</v>
      </c>
      <c r="E733" s="36">
        <f t="shared" si="71"/>
        <v>0</v>
      </c>
      <c r="F733" s="36" t="str">
        <f t="shared" si="72"/>
        <v>CP135-0</v>
      </c>
      <c r="G733" s="155">
        <f>IFERROR(VLOOKUP(F733,SpecialtyBaseLU,11,FALSE),0)</f>
        <v>0</v>
      </c>
      <c r="I733" s="5">
        <v>150</v>
      </c>
      <c r="J733" s="5">
        <f t="shared" si="73"/>
        <v>150</v>
      </c>
      <c r="K733" s="148">
        <f t="shared" si="74"/>
        <v>150</v>
      </c>
      <c r="L733" s="5">
        <f t="shared" si="75"/>
        <v>0</v>
      </c>
    </row>
    <row r="734" spans="1:12" x14ac:dyDescent="0.25">
      <c r="A734" t="s">
        <v>350</v>
      </c>
      <c r="B734" t="s">
        <v>351</v>
      </c>
      <c r="C734" t="s">
        <v>478</v>
      </c>
      <c r="D734" s="36" t="str">
        <f t="shared" si="70"/>
        <v>CP135-Vaccinia - 2nd Donation</v>
      </c>
      <c r="E734" s="36">
        <f t="shared" si="71"/>
        <v>0</v>
      </c>
      <c r="F734" s="36" t="str">
        <f t="shared" si="72"/>
        <v>CP135-0</v>
      </c>
      <c r="G734" s="155">
        <f>IFERROR(VLOOKUP(F734,SpecialtyBaseLU,11,FALSE),0)</f>
        <v>0</v>
      </c>
      <c r="I734" s="5">
        <v>250</v>
      </c>
      <c r="J734" s="5">
        <f t="shared" si="73"/>
        <v>250</v>
      </c>
      <c r="K734" s="148">
        <f t="shared" si="74"/>
        <v>250</v>
      </c>
      <c r="L734" s="5">
        <f t="shared" si="75"/>
        <v>0</v>
      </c>
    </row>
    <row r="735" spans="1:12" x14ac:dyDescent="0.25">
      <c r="A735" t="s">
        <v>350</v>
      </c>
      <c r="B735" t="s">
        <v>351</v>
      </c>
      <c r="C735" t="s">
        <v>479</v>
      </c>
      <c r="D735" s="36" t="str">
        <f t="shared" si="70"/>
        <v>CP135-Vaccinia - 3rd Donation</v>
      </c>
      <c r="E735" s="36">
        <f t="shared" si="71"/>
        <v>0</v>
      </c>
      <c r="F735" s="36" t="str">
        <f t="shared" si="72"/>
        <v>CP135-0</v>
      </c>
      <c r="G735" s="155">
        <f>IFERROR(VLOOKUP(F735,SpecialtyBaseLU,11,FALSE),0)</f>
        <v>0</v>
      </c>
      <c r="I735" s="5">
        <v>300</v>
      </c>
      <c r="J735" s="5">
        <f t="shared" si="73"/>
        <v>300</v>
      </c>
      <c r="K735" s="148">
        <f t="shared" si="74"/>
        <v>300</v>
      </c>
      <c r="L735" s="5">
        <f t="shared" si="75"/>
        <v>0</v>
      </c>
    </row>
    <row r="736" spans="1:12" x14ac:dyDescent="0.25">
      <c r="A736" t="s">
        <v>350</v>
      </c>
      <c r="B736" t="s">
        <v>351</v>
      </c>
      <c r="C736" t="s">
        <v>480</v>
      </c>
      <c r="D736" s="36" t="str">
        <f t="shared" si="70"/>
        <v>CP135-Vaccinia - 4th Donation</v>
      </c>
      <c r="E736" s="36">
        <f t="shared" si="71"/>
        <v>0</v>
      </c>
      <c r="F736" s="36" t="str">
        <f t="shared" si="72"/>
        <v>CP135-0</v>
      </c>
      <c r="G736" s="155">
        <f>IFERROR(VLOOKUP(F736,SpecialtyBaseLU,11,FALSE),0)</f>
        <v>0</v>
      </c>
      <c r="I736" s="5">
        <v>300</v>
      </c>
      <c r="J736" s="5">
        <f t="shared" si="73"/>
        <v>300</v>
      </c>
      <c r="K736" s="148">
        <f t="shared" si="74"/>
        <v>300</v>
      </c>
      <c r="L736" s="5">
        <f t="shared" si="75"/>
        <v>0</v>
      </c>
    </row>
    <row r="737" spans="1:12" x14ac:dyDescent="0.25">
      <c r="A737" t="s">
        <v>350</v>
      </c>
      <c r="B737" t="s">
        <v>351</v>
      </c>
      <c r="C737" t="s">
        <v>481</v>
      </c>
      <c r="D737" s="36" t="str">
        <f t="shared" si="70"/>
        <v>CP135-Vaccinia AP - 1st Donation</v>
      </c>
      <c r="E737" s="36">
        <f t="shared" si="71"/>
        <v>0</v>
      </c>
      <c r="F737" s="36" t="str">
        <f t="shared" si="72"/>
        <v>CP135-0</v>
      </c>
      <c r="G737" s="155">
        <f>IFERROR(VLOOKUP(F737,SpecialtyBaseLU,11,FALSE),0)</f>
        <v>0</v>
      </c>
      <c r="I737" s="5">
        <v>150</v>
      </c>
      <c r="J737" s="5">
        <f t="shared" si="73"/>
        <v>150</v>
      </c>
      <c r="K737" s="148">
        <f t="shared" si="74"/>
        <v>150</v>
      </c>
      <c r="L737" s="5">
        <f t="shared" si="75"/>
        <v>0</v>
      </c>
    </row>
    <row r="738" spans="1:12" x14ac:dyDescent="0.25">
      <c r="A738" t="s">
        <v>350</v>
      </c>
      <c r="B738" t="s">
        <v>351</v>
      </c>
      <c r="C738" t="s">
        <v>482</v>
      </c>
      <c r="D738" s="36" t="str">
        <f t="shared" si="70"/>
        <v>CP135-Vaccinia AP - 2nd Donation</v>
      </c>
      <c r="E738" s="36">
        <f t="shared" si="71"/>
        <v>0</v>
      </c>
      <c r="F738" s="36" t="str">
        <f t="shared" si="72"/>
        <v>CP135-0</v>
      </c>
      <c r="G738" s="155">
        <f>IFERROR(VLOOKUP(F738,SpecialtyBaseLU,11,FALSE),0)</f>
        <v>0</v>
      </c>
      <c r="I738" s="5">
        <v>250</v>
      </c>
      <c r="J738" s="5">
        <f t="shared" si="73"/>
        <v>250</v>
      </c>
      <c r="K738" s="148">
        <f t="shared" si="74"/>
        <v>250</v>
      </c>
      <c r="L738" s="5">
        <f t="shared" si="75"/>
        <v>0</v>
      </c>
    </row>
    <row r="739" spans="1:12" x14ac:dyDescent="0.25">
      <c r="A739" t="s">
        <v>350</v>
      </c>
      <c r="B739" t="s">
        <v>351</v>
      </c>
      <c r="C739" t="s">
        <v>483</v>
      </c>
      <c r="D739" s="36" t="str">
        <f t="shared" si="70"/>
        <v>CP135-Vaccinia AP - 3rd Donation</v>
      </c>
      <c r="E739" s="36">
        <f t="shared" si="71"/>
        <v>0</v>
      </c>
      <c r="F739" s="36" t="str">
        <f t="shared" si="72"/>
        <v>CP135-0</v>
      </c>
      <c r="G739" s="155">
        <f>IFERROR(VLOOKUP(F739,SpecialtyBaseLU,11,FALSE),0)</f>
        <v>0</v>
      </c>
      <c r="I739" s="5">
        <v>300</v>
      </c>
      <c r="J739" s="5">
        <f t="shared" si="73"/>
        <v>300</v>
      </c>
      <c r="K739" s="148">
        <f t="shared" si="74"/>
        <v>300</v>
      </c>
      <c r="L739" s="5">
        <f t="shared" si="75"/>
        <v>0</v>
      </c>
    </row>
    <row r="740" spans="1:12" x14ac:dyDescent="0.25">
      <c r="A740" t="s">
        <v>350</v>
      </c>
      <c r="B740" t="s">
        <v>351</v>
      </c>
      <c r="C740" t="s">
        <v>484</v>
      </c>
      <c r="D740" s="36" t="str">
        <f t="shared" si="70"/>
        <v>CP135-Vaccinia AP - 4th Donation</v>
      </c>
      <c r="E740" s="36">
        <f t="shared" si="71"/>
        <v>0</v>
      </c>
      <c r="F740" s="36" t="str">
        <f t="shared" si="72"/>
        <v>CP135-0</v>
      </c>
      <c r="G740" s="155">
        <f>IFERROR(VLOOKUP(F740,SpecialtyBaseLU,11,FALSE),0)</f>
        <v>0</v>
      </c>
      <c r="I740" s="5">
        <v>300</v>
      </c>
      <c r="J740" s="5">
        <f t="shared" si="73"/>
        <v>300</v>
      </c>
      <c r="K740" s="148">
        <f t="shared" si="74"/>
        <v>300</v>
      </c>
      <c r="L740" s="5">
        <f t="shared" si="75"/>
        <v>0</v>
      </c>
    </row>
    <row r="741" spans="1:12" x14ac:dyDescent="0.25">
      <c r="A741" t="s">
        <v>138</v>
      </c>
      <c r="B741" t="s">
        <v>139</v>
      </c>
      <c r="C741" t="s">
        <v>490</v>
      </c>
      <c r="D741" s="36" t="str">
        <f t="shared" si="70"/>
        <v>CP526-2X Week P VZV Pre-Existing</v>
      </c>
      <c r="E741" s="36" t="str">
        <f t="shared" si="71"/>
        <v>RETURN - 2nd don of the week -BONUS</v>
      </c>
      <c r="F741" s="36" t="str">
        <f t="shared" si="72"/>
        <v>CP526-RETURN - 2nd don of the week -BONUS</v>
      </c>
      <c r="G741" s="155">
        <f>IFERROR(VLOOKUP(F741,SpecialtyBaseLU,11,FALSE),0)</f>
        <v>10</v>
      </c>
      <c r="J741" s="5">
        <f t="shared" si="73"/>
        <v>10</v>
      </c>
      <c r="K741" s="148">
        <f t="shared" si="74"/>
        <v>10</v>
      </c>
      <c r="L741" s="5">
        <f t="shared" si="75"/>
        <v>0</v>
      </c>
    </row>
    <row r="742" spans="1:12" x14ac:dyDescent="0.25">
      <c r="A742" t="s">
        <v>138</v>
      </c>
      <c r="B742" t="s">
        <v>139</v>
      </c>
      <c r="C742" t="s">
        <v>491</v>
      </c>
      <c r="D742" s="36" t="str">
        <f t="shared" si="70"/>
        <v>CP526-2X Week P VZV Pre-Existing AP</v>
      </c>
      <c r="E742" s="36" t="str">
        <f t="shared" si="71"/>
        <v>RETURN - 2nd don of the week -BONUS</v>
      </c>
      <c r="F742" s="36" t="str">
        <f t="shared" si="72"/>
        <v>CP526-RETURN - 2nd don of the week -BONUS</v>
      </c>
      <c r="G742" s="155">
        <f>IFERROR(VLOOKUP(F742,SpecialtyBaseLU,11,FALSE),0)</f>
        <v>10</v>
      </c>
      <c r="J742" s="5">
        <f t="shared" si="73"/>
        <v>10</v>
      </c>
      <c r="K742" s="148">
        <f t="shared" si="74"/>
        <v>10</v>
      </c>
      <c r="L742" s="5">
        <f t="shared" si="75"/>
        <v>0</v>
      </c>
    </row>
    <row r="743" spans="1:12" x14ac:dyDescent="0.25">
      <c r="A743" t="s">
        <v>138</v>
      </c>
      <c r="B743" t="s">
        <v>139</v>
      </c>
      <c r="C743" t="s">
        <v>469</v>
      </c>
      <c r="D743" s="36" t="str">
        <f t="shared" si="70"/>
        <v>CP526-P Anti-D Pre-Existing Standard</v>
      </c>
      <c r="E743" s="36" t="str">
        <f t="shared" si="71"/>
        <v>RETURN - 1st don of the week -STD</v>
      </c>
      <c r="F743" s="36" t="str">
        <f t="shared" si="72"/>
        <v>CP526-RETURN - 1st don of the week -STD</v>
      </c>
      <c r="G743" s="155">
        <f>IFERROR(VLOOKUP(F743,SpecialtyBaseLU,11,FALSE),0)</f>
        <v>60</v>
      </c>
      <c r="H743" s="5">
        <v>-10</v>
      </c>
      <c r="J743" s="5">
        <f t="shared" si="73"/>
        <v>50</v>
      </c>
      <c r="K743" s="148">
        <f t="shared" si="74"/>
        <v>50</v>
      </c>
      <c r="L743" s="5">
        <f t="shared" si="75"/>
        <v>0</v>
      </c>
    </row>
    <row r="744" spans="1:12" x14ac:dyDescent="0.25">
      <c r="A744" t="s">
        <v>138</v>
      </c>
      <c r="B744" t="s">
        <v>139</v>
      </c>
      <c r="C744" t="s">
        <v>475</v>
      </c>
      <c r="D744" s="36" t="str">
        <f t="shared" si="70"/>
        <v>CP526-P Vaccinia AP Standard</v>
      </c>
      <c r="E744" s="36">
        <f t="shared" si="71"/>
        <v>0</v>
      </c>
      <c r="F744" s="36" t="str">
        <f t="shared" si="72"/>
        <v>CP526-0</v>
      </c>
      <c r="G744" s="155">
        <f>IFERROR(VLOOKUP(F744,SpecialtyBaseLU,11,FALSE),0)</f>
        <v>0</v>
      </c>
      <c r="I744" s="5">
        <v>100</v>
      </c>
      <c r="J744" s="5">
        <f t="shared" si="73"/>
        <v>100</v>
      </c>
      <c r="K744" s="148">
        <f t="shared" si="74"/>
        <v>100</v>
      </c>
      <c r="L744" s="5">
        <f t="shared" si="75"/>
        <v>0</v>
      </c>
    </row>
    <row r="745" spans="1:12" x14ac:dyDescent="0.25">
      <c r="A745" t="s">
        <v>138</v>
      </c>
      <c r="B745" t="s">
        <v>139</v>
      </c>
      <c r="C745" t="s">
        <v>476</v>
      </c>
      <c r="D745" s="36" t="str">
        <f t="shared" si="70"/>
        <v>CP526-P Vaccinia Standard</v>
      </c>
      <c r="E745" s="36">
        <f t="shared" si="71"/>
        <v>0</v>
      </c>
      <c r="F745" s="36" t="str">
        <f t="shared" si="72"/>
        <v>CP526-0</v>
      </c>
      <c r="G745" s="155">
        <f>IFERROR(VLOOKUP(F745,SpecialtyBaseLU,11,FALSE),0)</f>
        <v>0</v>
      </c>
      <c r="I745" s="5">
        <v>100</v>
      </c>
      <c r="J745" s="5">
        <f t="shared" si="73"/>
        <v>100</v>
      </c>
      <c r="K745" s="148">
        <f t="shared" si="74"/>
        <v>100</v>
      </c>
      <c r="L745" s="5">
        <f t="shared" si="75"/>
        <v>0</v>
      </c>
    </row>
    <row r="746" spans="1:12" x14ac:dyDescent="0.25">
      <c r="A746" t="s">
        <v>138</v>
      </c>
      <c r="B746" t="s">
        <v>139</v>
      </c>
      <c r="C746" t="s">
        <v>495</v>
      </c>
      <c r="D746" s="36" t="str">
        <f t="shared" si="70"/>
        <v>CP526-P VZV Pre-Existing AP</v>
      </c>
      <c r="E746" s="36" t="str">
        <f t="shared" si="71"/>
        <v>RETURN - 1st don of the week -STD</v>
      </c>
      <c r="F746" s="36" t="str">
        <f t="shared" si="72"/>
        <v>CP526-RETURN - 1st don of the week -STD</v>
      </c>
      <c r="G746" s="155">
        <f>IFERROR(VLOOKUP(F746,SpecialtyBaseLU,11,FALSE),0)</f>
        <v>60</v>
      </c>
      <c r="H746" s="5">
        <v>10</v>
      </c>
      <c r="I746" s="5">
        <v>0</v>
      </c>
      <c r="J746" s="5">
        <f t="shared" si="73"/>
        <v>70</v>
      </c>
      <c r="K746" s="148">
        <f t="shared" si="74"/>
        <v>70</v>
      </c>
      <c r="L746" s="5">
        <f t="shared" si="75"/>
        <v>0</v>
      </c>
    </row>
    <row r="747" spans="1:12" x14ac:dyDescent="0.25">
      <c r="A747" t="s">
        <v>138</v>
      </c>
      <c r="B747" t="s">
        <v>139</v>
      </c>
      <c r="C747" t="s">
        <v>497</v>
      </c>
      <c r="D747" s="36" t="str">
        <f t="shared" si="70"/>
        <v>CP526-PVZV Pre-Existing Standard</v>
      </c>
      <c r="E747" s="36" t="str">
        <f t="shared" si="71"/>
        <v>RETURN - 1st don of the week -STD</v>
      </c>
      <c r="F747" s="36" t="str">
        <f t="shared" si="72"/>
        <v>CP526-RETURN - 1st don of the week -STD</v>
      </c>
      <c r="G747" s="155">
        <f>IFERROR(VLOOKUP(F747,SpecialtyBaseLU,11,FALSE),0)</f>
        <v>60</v>
      </c>
      <c r="H747" s="5">
        <f>K747-G747</f>
        <v>10</v>
      </c>
      <c r="J747" s="5">
        <f t="shared" si="73"/>
        <v>70</v>
      </c>
      <c r="K747" s="148">
        <f t="shared" si="74"/>
        <v>70</v>
      </c>
      <c r="L747" s="5">
        <f t="shared" si="75"/>
        <v>0</v>
      </c>
    </row>
    <row r="748" spans="1:12" x14ac:dyDescent="0.25">
      <c r="A748" t="s">
        <v>138</v>
      </c>
      <c r="B748" t="s">
        <v>139</v>
      </c>
      <c r="C748" t="s">
        <v>477</v>
      </c>
      <c r="D748" s="36" t="str">
        <f t="shared" si="70"/>
        <v>CP526-Vaccinia - 1st Donation</v>
      </c>
      <c r="E748" s="36">
        <f t="shared" si="71"/>
        <v>0</v>
      </c>
      <c r="F748" s="36" t="str">
        <f t="shared" si="72"/>
        <v>CP526-0</v>
      </c>
      <c r="G748" s="155">
        <f>IFERROR(VLOOKUP(F748,SpecialtyBaseLU,11,FALSE),0)</f>
        <v>0</v>
      </c>
      <c r="I748" s="5">
        <v>150</v>
      </c>
      <c r="J748" s="5">
        <f t="shared" si="73"/>
        <v>150</v>
      </c>
      <c r="K748" s="148">
        <f t="shared" si="74"/>
        <v>150</v>
      </c>
      <c r="L748" s="5">
        <f t="shared" si="75"/>
        <v>0</v>
      </c>
    </row>
    <row r="749" spans="1:12" x14ac:dyDescent="0.25">
      <c r="A749" t="s">
        <v>138</v>
      </c>
      <c r="B749" t="s">
        <v>139</v>
      </c>
      <c r="C749" t="s">
        <v>478</v>
      </c>
      <c r="D749" s="36" t="str">
        <f t="shared" si="70"/>
        <v>CP526-Vaccinia - 2nd Donation</v>
      </c>
      <c r="E749" s="36">
        <f t="shared" si="71"/>
        <v>0</v>
      </c>
      <c r="F749" s="36" t="str">
        <f t="shared" si="72"/>
        <v>CP526-0</v>
      </c>
      <c r="G749" s="155">
        <f>IFERROR(VLOOKUP(F749,SpecialtyBaseLU,11,FALSE),0)</f>
        <v>0</v>
      </c>
      <c r="I749" s="5">
        <v>250</v>
      </c>
      <c r="J749" s="5">
        <f t="shared" si="73"/>
        <v>250</v>
      </c>
      <c r="K749" s="148">
        <f t="shared" si="74"/>
        <v>250</v>
      </c>
      <c r="L749" s="5">
        <f t="shared" si="75"/>
        <v>0</v>
      </c>
    </row>
    <row r="750" spans="1:12" x14ac:dyDescent="0.25">
      <c r="A750" t="s">
        <v>138</v>
      </c>
      <c r="B750" t="s">
        <v>139</v>
      </c>
      <c r="C750" t="s">
        <v>479</v>
      </c>
      <c r="D750" s="36" t="str">
        <f t="shared" si="70"/>
        <v>CP526-Vaccinia - 3rd Donation</v>
      </c>
      <c r="E750" s="36">
        <f t="shared" si="71"/>
        <v>0</v>
      </c>
      <c r="F750" s="36" t="str">
        <f t="shared" si="72"/>
        <v>CP526-0</v>
      </c>
      <c r="G750" s="155">
        <f>IFERROR(VLOOKUP(F750,SpecialtyBaseLU,11,FALSE),0)</f>
        <v>0</v>
      </c>
      <c r="I750" s="5">
        <v>300</v>
      </c>
      <c r="J750" s="5">
        <f t="shared" si="73"/>
        <v>300</v>
      </c>
      <c r="K750" s="148">
        <f t="shared" si="74"/>
        <v>300</v>
      </c>
      <c r="L750" s="5">
        <f t="shared" si="75"/>
        <v>0</v>
      </c>
    </row>
    <row r="751" spans="1:12" x14ac:dyDescent="0.25">
      <c r="A751" t="s">
        <v>138</v>
      </c>
      <c r="B751" t="s">
        <v>139</v>
      </c>
      <c r="C751" t="s">
        <v>480</v>
      </c>
      <c r="D751" s="36" t="str">
        <f t="shared" si="70"/>
        <v>CP526-Vaccinia - 4th Donation</v>
      </c>
      <c r="E751" s="36">
        <f t="shared" si="71"/>
        <v>0</v>
      </c>
      <c r="F751" s="36" t="str">
        <f t="shared" si="72"/>
        <v>CP526-0</v>
      </c>
      <c r="G751" s="155">
        <f>IFERROR(VLOOKUP(F751,SpecialtyBaseLU,11,FALSE),0)</f>
        <v>0</v>
      </c>
      <c r="I751" s="5">
        <v>300</v>
      </c>
      <c r="J751" s="5">
        <f t="shared" si="73"/>
        <v>300</v>
      </c>
      <c r="K751" s="148">
        <f t="shared" si="74"/>
        <v>300</v>
      </c>
      <c r="L751" s="5">
        <f t="shared" si="75"/>
        <v>0</v>
      </c>
    </row>
    <row r="752" spans="1:12" x14ac:dyDescent="0.25">
      <c r="A752" t="s">
        <v>138</v>
      </c>
      <c r="B752" t="s">
        <v>139</v>
      </c>
      <c r="C752" t="s">
        <v>481</v>
      </c>
      <c r="D752" s="36" t="str">
        <f t="shared" si="70"/>
        <v>CP526-Vaccinia AP - 1st Donation</v>
      </c>
      <c r="E752" s="36">
        <f t="shared" si="71"/>
        <v>0</v>
      </c>
      <c r="F752" s="36" t="str">
        <f t="shared" si="72"/>
        <v>CP526-0</v>
      </c>
      <c r="G752" s="155">
        <f>IFERROR(VLOOKUP(F752,SpecialtyBaseLU,11,FALSE),0)</f>
        <v>0</v>
      </c>
      <c r="I752" s="5">
        <v>150</v>
      </c>
      <c r="J752" s="5">
        <f t="shared" si="73"/>
        <v>150</v>
      </c>
      <c r="K752" s="148">
        <f t="shared" si="74"/>
        <v>150</v>
      </c>
      <c r="L752" s="5">
        <f t="shared" si="75"/>
        <v>0</v>
      </c>
    </row>
    <row r="753" spans="1:12" x14ac:dyDescent="0.25">
      <c r="A753" t="s">
        <v>138</v>
      </c>
      <c r="B753" t="s">
        <v>139</v>
      </c>
      <c r="C753" t="s">
        <v>482</v>
      </c>
      <c r="D753" s="36" t="str">
        <f t="shared" si="70"/>
        <v>CP526-Vaccinia AP - 2nd Donation</v>
      </c>
      <c r="E753" s="36">
        <f t="shared" si="71"/>
        <v>0</v>
      </c>
      <c r="F753" s="36" t="str">
        <f t="shared" si="72"/>
        <v>CP526-0</v>
      </c>
      <c r="G753" s="155">
        <f>IFERROR(VLOOKUP(F753,SpecialtyBaseLU,11,FALSE),0)</f>
        <v>0</v>
      </c>
      <c r="I753" s="5">
        <v>250</v>
      </c>
      <c r="J753" s="5">
        <f t="shared" si="73"/>
        <v>250</v>
      </c>
      <c r="K753" s="148">
        <f t="shared" si="74"/>
        <v>250</v>
      </c>
      <c r="L753" s="5">
        <f t="shared" si="75"/>
        <v>0</v>
      </c>
    </row>
    <row r="754" spans="1:12" x14ac:dyDescent="0.25">
      <c r="A754" t="s">
        <v>138</v>
      </c>
      <c r="B754" t="s">
        <v>139</v>
      </c>
      <c r="C754" t="s">
        <v>483</v>
      </c>
      <c r="D754" s="36" t="str">
        <f t="shared" si="70"/>
        <v>CP526-Vaccinia AP - 3rd Donation</v>
      </c>
      <c r="E754" s="36">
        <f t="shared" si="71"/>
        <v>0</v>
      </c>
      <c r="F754" s="36" t="str">
        <f t="shared" si="72"/>
        <v>CP526-0</v>
      </c>
      <c r="G754" s="155">
        <f>IFERROR(VLOOKUP(F754,SpecialtyBaseLU,11,FALSE),0)</f>
        <v>0</v>
      </c>
      <c r="I754" s="5">
        <v>300</v>
      </c>
      <c r="J754" s="5">
        <f t="shared" si="73"/>
        <v>300</v>
      </c>
      <c r="K754" s="148">
        <f t="shared" si="74"/>
        <v>300</v>
      </c>
      <c r="L754" s="5">
        <f t="shared" si="75"/>
        <v>0</v>
      </c>
    </row>
    <row r="755" spans="1:12" x14ac:dyDescent="0.25">
      <c r="A755" t="s">
        <v>138</v>
      </c>
      <c r="B755" t="s">
        <v>139</v>
      </c>
      <c r="C755" t="s">
        <v>484</v>
      </c>
      <c r="D755" s="36" t="str">
        <f t="shared" si="70"/>
        <v>CP526-Vaccinia AP - 4th Donation</v>
      </c>
      <c r="E755" s="36">
        <f t="shared" si="71"/>
        <v>0</v>
      </c>
      <c r="F755" s="36" t="str">
        <f t="shared" si="72"/>
        <v>CP526-0</v>
      </c>
      <c r="G755" s="155">
        <f>IFERROR(VLOOKUP(F755,SpecialtyBaseLU,11,FALSE),0)</f>
        <v>0</v>
      </c>
      <c r="I755" s="5">
        <v>300</v>
      </c>
      <c r="J755" s="5">
        <f t="shared" si="73"/>
        <v>300</v>
      </c>
      <c r="K755" s="148">
        <f t="shared" si="74"/>
        <v>300</v>
      </c>
      <c r="L755" s="5">
        <f t="shared" si="75"/>
        <v>0</v>
      </c>
    </row>
    <row r="756" spans="1:12" x14ac:dyDescent="0.25">
      <c r="A756" t="s">
        <v>170</v>
      </c>
      <c r="B756" t="s">
        <v>171</v>
      </c>
      <c r="C756" t="s">
        <v>498</v>
      </c>
      <c r="D756" s="36" t="str">
        <f t="shared" si="70"/>
        <v>CP128-2X Week P CMV</v>
      </c>
      <c r="E756" s="36" t="str">
        <f t="shared" si="71"/>
        <v>RETURN - 2nd don of the week -BONUS</v>
      </c>
      <c r="F756" s="36" t="str">
        <f t="shared" si="72"/>
        <v>CP128-RETURN - 2nd don of the week -BONUS</v>
      </c>
      <c r="G756" s="155">
        <f>IFERROR(VLOOKUP(F756,SpecialtyBaseLU,11,FALSE),0)</f>
        <v>40</v>
      </c>
      <c r="J756" s="5">
        <f t="shared" si="73"/>
        <v>40</v>
      </c>
      <c r="K756" s="148">
        <f t="shared" si="74"/>
        <v>35</v>
      </c>
      <c r="L756" s="5">
        <f t="shared" si="75"/>
        <v>5</v>
      </c>
    </row>
    <row r="757" spans="1:12" x14ac:dyDescent="0.25">
      <c r="A757" t="s">
        <v>170</v>
      </c>
      <c r="B757" t="s">
        <v>171</v>
      </c>
      <c r="C757" t="s">
        <v>510</v>
      </c>
      <c r="D757" s="36" t="str">
        <f t="shared" si="70"/>
        <v>CP128-2X Week P VIP A</v>
      </c>
      <c r="E757" s="36" t="str">
        <f t="shared" si="71"/>
        <v>RETURN - 2nd don of the week -BONUS</v>
      </c>
      <c r="F757" s="36" t="str">
        <f t="shared" si="72"/>
        <v>CP128-RETURN - 2nd don of the week -BONUS</v>
      </c>
      <c r="G757" s="155">
        <f>IFERROR(VLOOKUP(F757,SpecialtyBaseLU,11,FALSE),0)</f>
        <v>40</v>
      </c>
      <c r="J757" s="5">
        <f t="shared" si="73"/>
        <v>40</v>
      </c>
      <c r="K757" s="148">
        <f t="shared" si="74"/>
        <v>35</v>
      </c>
      <c r="L757" s="5">
        <f t="shared" si="75"/>
        <v>5</v>
      </c>
    </row>
    <row r="758" spans="1:12" x14ac:dyDescent="0.25">
      <c r="A758" t="s">
        <v>170</v>
      </c>
      <c r="B758" t="s">
        <v>171</v>
      </c>
      <c r="C758" t="s">
        <v>511</v>
      </c>
      <c r="D758" s="36" t="str">
        <f t="shared" si="70"/>
        <v>CP128-2X Week P VIP AB</v>
      </c>
      <c r="E758" s="36" t="str">
        <f t="shared" si="71"/>
        <v>RETURN - 2nd don of the week -BONUS</v>
      </c>
      <c r="F758" s="36" t="str">
        <f t="shared" si="72"/>
        <v>CP128-RETURN - 2nd don of the week -BONUS</v>
      </c>
      <c r="G758" s="155">
        <f>IFERROR(VLOOKUP(F758,SpecialtyBaseLU,11,FALSE),0)</f>
        <v>40</v>
      </c>
      <c r="J758" s="5">
        <f t="shared" si="73"/>
        <v>40</v>
      </c>
      <c r="K758" s="148">
        <f t="shared" si="74"/>
        <v>35</v>
      </c>
      <c r="L758" s="5">
        <f t="shared" si="75"/>
        <v>5</v>
      </c>
    </row>
    <row r="759" spans="1:12" x14ac:dyDescent="0.25">
      <c r="A759" t="s">
        <v>170</v>
      </c>
      <c r="B759" t="s">
        <v>171</v>
      </c>
      <c r="C759" t="s">
        <v>488</v>
      </c>
      <c r="D759" s="36" t="str">
        <f t="shared" si="70"/>
        <v>CP128-2X Week P VZV</v>
      </c>
      <c r="E759" s="36" t="str">
        <f t="shared" si="71"/>
        <v>RETURN - 2nd don of the week -BONUS</v>
      </c>
      <c r="F759" s="36" t="str">
        <f t="shared" si="72"/>
        <v>CP128-RETURN - 2nd don of the week -BONUS</v>
      </c>
      <c r="G759" s="155">
        <f>IFERROR(VLOOKUP(F759,SpecialtyBaseLU,11,FALSE),0)</f>
        <v>40</v>
      </c>
      <c r="J759" s="5">
        <f t="shared" si="73"/>
        <v>40</v>
      </c>
      <c r="K759" s="148">
        <f t="shared" si="74"/>
        <v>35</v>
      </c>
      <c r="L759" s="5">
        <f t="shared" si="75"/>
        <v>5</v>
      </c>
    </row>
    <row r="760" spans="1:12" x14ac:dyDescent="0.25">
      <c r="A760" t="s">
        <v>170</v>
      </c>
      <c r="B760" t="s">
        <v>171</v>
      </c>
      <c r="C760" t="s">
        <v>489</v>
      </c>
      <c r="D760" s="36" t="str">
        <f t="shared" si="70"/>
        <v>CP128-2X Week P VZV AP</v>
      </c>
      <c r="E760" s="36" t="str">
        <f t="shared" si="71"/>
        <v>RETURN - 2nd don of the week -BONUS</v>
      </c>
      <c r="F760" s="36" t="str">
        <f t="shared" si="72"/>
        <v>CP128-RETURN - 2nd don of the week -BONUS</v>
      </c>
      <c r="G760" s="155">
        <f>IFERROR(VLOOKUP(F760,SpecialtyBaseLU,11,FALSE),0)</f>
        <v>40</v>
      </c>
      <c r="J760" s="5">
        <f t="shared" si="73"/>
        <v>40</v>
      </c>
      <c r="K760" s="148">
        <f t="shared" si="74"/>
        <v>35</v>
      </c>
      <c r="L760" s="5">
        <f t="shared" si="75"/>
        <v>5</v>
      </c>
    </row>
    <row r="761" spans="1:12" x14ac:dyDescent="0.25">
      <c r="A761" t="s">
        <v>170</v>
      </c>
      <c r="B761" t="s">
        <v>171</v>
      </c>
      <c r="C761" t="s">
        <v>490</v>
      </c>
      <c r="D761" s="36" t="str">
        <f t="shared" si="70"/>
        <v>CP128-2X Week P VZV Pre-Existing</v>
      </c>
      <c r="E761" s="36" t="str">
        <f t="shared" si="71"/>
        <v>RETURN - 2nd don of the week -BONUS</v>
      </c>
      <c r="F761" s="36" t="str">
        <f t="shared" si="72"/>
        <v>CP128-RETURN - 2nd don of the week -BONUS</v>
      </c>
      <c r="G761" s="155">
        <f>IFERROR(VLOOKUP(F761,SpecialtyBaseLU,11,FALSE),0)</f>
        <v>40</v>
      </c>
      <c r="J761" s="5">
        <f t="shared" si="73"/>
        <v>40</v>
      </c>
      <c r="K761" s="148">
        <f t="shared" si="74"/>
        <v>35</v>
      </c>
      <c r="L761" s="5">
        <f t="shared" si="75"/>
        <v>5</v>
      </c>
    </row>
    <row r="762" spans="1:12" x14ac:dyDescent="0.25">
      <c r="A762" t="s">
        <v>170</v>
      </c>
      <c r="B762" t="s">
        <v>171</v>
      </c>
      <c r="C762" t="s">
        <v>491</v>
      </c>
      <c r="D762" s="36" t="str">
        <f t="shared" si="70"/>
        <v>CP128-2X Week P VZV Pre-Existing AP</v>
      </c>
      <c r="E762" s="36" t="str">
        <f t="shared" si="71"/>
        <v>RETURN - 2nd don of the week -BONUS</v>
      </c>
      <c r="F762" s="36" t="str">
        <f t="shared" si="72"/>
        <v>CP128-RETURN - 2nd don of the week -BONUS</v>
      </c>
      <c r="G762" s="155">
        <f>IFERROR(VLOOKUP(F762,SpecialtyBaseLU,11,FALSE),0)</f>
        <v>40</v>
      </c>
      <c r="J762" s="5">
        <f t="shared" si="73"/>
        <v>40</v>
      </c>
      <c r="K762" s="148">
        <f t="shared" si="74"/>
        <v>35</v>
      </c>
      <c r="L762" s="5">
        <f t="shared" si="75"/>
        <v>5</v>
      </c>
    </row>
    <row r="763" spans="1:12" x14ac:dyDescent="0.25">
      <c r="A763" t="s">
        <v>170</v>
      </c>
      <c r="B763" t="s">
        <v>171</v>
      </c>
      <c r="C763" t="s">
        <v>469</v>
      </c>
      <c r="D763" s="36" t="str">
        <f t="shared" si="70"/>
        <v>CP128-P Anti-D Pre-Existing Standard</v>
      </c>
      <c r="E763" s="36" t="str">
        <f t="shared" si="71"/>
        <v>RETURN - 1st don of the week -STD</v>
      </c>
      <c r="F763" s="36" t="str">
        <f t="shared" si="72"/>
        <v>CP128-RETURN - 1st don of the week -STD</v>
      </c>
      <c r="G763" s="155">
        <f>IFERROR(VLOOKUP(F763,SpecialtyBaseLU,11,FALSE),0)</f>
        <v>40</v>
      </c>
      <c r="H763" s="5">
        <v>10</v>
      </c>
      <c r="J763" s="5">
        <f t="shared" si="73"/>
        <v>50</v>
      </c>
      <c r="K763" s="148">
        <f t="shared" si="74"/>
        <v>50</v>
      </c>
      <c r="L763" s="5">
        <f t="shared" si="75"/>
        <v>0</v>
      </c>
    </row>
    <row r="764" spans="1:12" x14ac:dyDescent="0.25">
      <c r="A764" t="s">
        <v>170</v>
      </c>
      <c r="B764" t="s">
        <v>171</v>
      </c>
      <c r="C764" t="s">
        <v>501</v>
      </c>
      <c r="D764" s="36" t="str">
        <f t="shared" si="70"/>
        <v>CP128-P CMV Standard</v>
      </c>
      <c r="E764" s="36" t="str">
        <f t="shared" si="71"/>
        <v>RETURN - 1st don of the week -STD</v>
      </c>
      <c r="F764" s="36" t="str">
        <f t="shared" si="72"/>
        <v>CP128-RETURN - 1st don of the week -STD</v>
      </c>
      <c r="G764" s="155">
        <f>IFERROR(VLOOKUP(F764,SpecialtyBaseLU,11,FALSE),0)</f>
        <v>40</v>
      </c>
      <c r="H764" s="5">
        <v>0</v>
      </c>
      <c r="J764" s="5">
        <f t="shared" si="73"/>
        <v>40</v>
      </c>
      <c r="K764" s="148">
        <f t="shared" si="74"/>
        <v>40</v>
      </c>
      <c r="L764" s="5">
        <f t="shared" si="75"/>
        <v>0</v>
      </c>
    </row>
    <row r="765" spans="1:12" x14ac:dyDescent="0.25">
      <c r="A765" t="s">
        <v>170</v>
      </c>
      <c r="B765" t="s">
        <v>171</v>
      </c>
      <c r="C765" t="s">
        <v>512</v>
      </c>
      <c r="D765" s="36" t="str">
        <f t="shared" si="70"/>
        <v>CP128-P VIP A Standard</v>
      </c>
      <c r="E765" s="36" t="str">
        <f t="shared" si="71"/>
        <v>RETURN - 1st don of the week -STD</v>
      </c>
      <c r="F765" s="36" t="str">
        <f t="shared" si="72"/>
        <v>CP128-RETURN - 1st don of the week -STD</v>
      </c>
      <c r="G765" s="155">
        <f>IFERROR(VLOOKUP(F765,SpecialtyBaseLU,11,FALSE),0)</f>
        <v>40</v>
      </c>
      <c r="H765" s="5">
        <f>K765-G765</f>
        <v>5</v>
      </c>
      <c r="J765" s="5">
        <f t="shared" si="73"/>
        <v>45</v>
      </c>
      <c r="K765" s="148">
        <f t="shared" si="74"/>
        <v>45</v>
      </c>
      <c r="L765" s="5">
        <f t="shared" si="75"/>
        <v>0</v>
      </c>
    </row>
    <row r="766" spans="1:12" x14ac:dyDescent="0.25">
      <c r="A766" t="s">
        <v>170</v>
      </c>
      <c r="B766" t="s">
        <v>171</v>
      </c>
      <c r="C766" t="s">
        <v>513</v>
      </c>
      <c r="D766" s="36" t="str">
        <f t="shared" si="70"/>
        <v>CP128-P VIP AB Standard</v>
      </c>
      <c r="E766" s="36" t="str">
        <f t="shared" si="71"/>
        <v>RETURN - 1st don of the week -STD</v>
      </c>
      <c r="F766" s="36" t="str">
        <f t="shared" si="72"/>
        <v>CP128-RETURN - 1st don of the week -STD</v>
      </c>
      <c r="G766" s="155">
        <f>IFERROR(VLOOKUP(F766,SpecialtyBaseLU,11,FALSE),0)</f>
        <v>40</v>
      </c>
      <c r="H766" s="5">
        <f>K766-G766</f>
        <v>5</v>
      </c>
      <c r="J766" s="5">
        <f t="shared" si="73"/>
        <v>45</v>
      </c>
      <c r="K766" s="148">
        <f t="shared" si="74"/>
        <v>45</v>
      </c>
      <c r="L766" s="5">
        <f t="shared" si="75"/>
        <v>0</v>
      </c>
    </row>
    <row r="767" spans="1:12" x14ac:dyDescent="0.25">
      <c r="A767" t="s">
        <v>170</v>
      </c>
      <c r="B767" t="s">
        <v>171</v>
      </c>
      <c r="C767" t="s">
        <v>495</v>
      </c>
      <c r="D767" s="36" t="str">
        <f t="shared" si="70"/>
        <v>CP128-P VZV Pre-Existing AP</v>
      </c>
      <c r="E767" s="36" t="str">
        <f t="shared" si="71"/>
        <v>RETURN - 1st don of the week -STD</v>
      </c>
      <c r="F767" s="36" t="str">
        <f t="shared" si="72"/>
        <v>CP128-RETURN - 1st don of the week -STD</v>
      </c>
      <c r="G767" s="155">
        <f>IFERROR(VLOOKUP(F767,SpecialtyBaseLU,11,FALSE),0)</f>
        <v>40</v>
      </c>
      <c r="H767" s="5">
        <v>10</v>
      </c>
      <c r="I767" s="5">
        <v>0</v>
      </c>
      <c r="J767" s="5">
        <f t="shared" si="73"/>
        <v>50</v>
      </c>
      <c r="K767" s="148">
        <f t="shared" si="74"/>
        <v>50</v>
      </c>
      <c r="L767" s="5">
        <f t="shared" si="75"/>
        <v>0</v>
      </c>
    </row>
    <row r="768" spans="1:12" x14ac:dyDescent="0.25">
      <c r="A768" t="s">
        <v>170</v>
      </c>
      <c r="B768" t="s">
        <v>171</v>
      </c>
      <c r="C768" t="s">
        <v>496</v>
      </c>
      <c r="D768" s="36" t="str">
        <f t="shared" si="70"/>
        <v>CP128-P VZV Standard</v>
      </c>
      <c r="E768" s="36" t="str">
        <f t="shared" si="71"/>
        <v>RETURN - 1st don of the week -STD</v>
      </c>
      <c r="F768" s="36" t="str">
        <f t="shared" si="72"/>
        <v>CP128-RETURN - 1st don of the week -STD</v>
      </c>
      <c r="G768" s="155">
        <f>IFERROR(VLOOKUP(F768,SpecialtyBaseLU,11,FALSE),0)</f>
        <v>40</v>
      </c>
      <c r="H768" s="5">
        <v>10</v>
      </c>
      <c r="I768" s="5">
        <v>0</v>
      </c>
      <c r="J768" s="5">
        <f t="shared" si="73"/>
        <v>50</v>
      </c>
      <c r="K768" s="148">
        <f t="shared" si="74"/>
        <v>50</v>
      </c>
      <c r="L768" s="5">
        <f t="shared" si="75"/>
        <v>0</v>
      </c>
    </row>
    <row r="769" spans="1:12" x14ac:dyDescent="0.25">
      <c r="A769" t="s">
        <v>170</v>
      </c>
      <c r="B769" t="s">
        <v>171</v>
      </c>
      <c r="C769" t="s">
        <v>497</v>
      </c>
      <c r="D769" s="36" t="str">
        <f t="shared" si="70"/>
        <v>CP128-PVZV Pre-Existing Standard</v>
      </c>
      <c r="E769" s="36" t="str">
        <f t="shared" si="71"/>
        <v>RETURN - 1st don of the week -STD</v>
      </c>
      <c r="F769" s="36" t="str">
        <f t="shared" si="72"/>
        <v>CP128-RETURN - 1st don of the week -STD</v>
      </c>
      <c r="G769" s="155">
        <f>IFERROR(VLOOKUP(F769,SpecialtyBaseLU,11,FALSE),0)</f>
        <v>40</v>
      </c>
      <c r="H769" s="5">
        <f>K769-G769</f>
        <v>10</v>
      </c>
      <c r="J769" s="5">
        <f t="shared" si="73"/>
        <v>50</v>
      </c>
      <c r="K769" s="148">
        <f t="shared" si="74"/>
        <v>50</v>
      </c>
      <c r="L769" s="5">
        <f t="shared" si="75"/>
        <v>0</v>
      </c>
    </row>
    <row r="770" spans="1:12" x14ac:dyDescent="0.25">
      <c r="A770" t="s">
        <v>440</v>
      </c>
      <c r="B770" t="s">
        <v>441</v>
      </c>
      <c r="C770" t="s">
        <v>469</v>
      </c>
      <c r="D770" s="36" t="str">
        <f t="shared" si="70"/>
        <v>CP577-P Anti-D Pre-Existing Standard</v>
      </c>
      <c r="E770" s="36" t="str">
        <f t="shared" si="71"/>
        <v>RETURN - 1st don of the week -STD</v>
      </c>
      <c r="F770" s="36" t="str">
        <f t="shared" si="72"/>
        <v>CP577-RETURN - 1st don of the week -STD</v>
      </c>
      <c r="G770" s="155">
        <f>IFERROR(VLOOKUP(F770,SpecialtyBaseLU,11,FALSE),0)</f>
        <v>30</v>
      </c>
      <c r="H770" s="5">
        <v>20</v>
      </c>
      <c r="J770" s="5">
        <f t="shared" si="73"/>
        <v>50</v>
      </c>
      <c r="K770" s="148">
        <f t="shared" si="74"/>
        <v>50</v>
      </c>
      <c r="L770" s="5">
        <f t="shared" si="75"/>
        <v>0</v>
      </c>
    </row>
    <row r="771" spans="1:12" x14ac:dyDescent="0.25">
      <c r="A771" t="s">
        <v>360</v>
      </c>
      <c r="B771" t="s">
        <v>361</v>
      </c>
      <c r="C771" t="s">
        <v>469</v>
      </c>
      <c r="D771" s="36" t="str">
        <f t="shared" si="70"/>
        <v>CP136-P Anti-D Pre-Existing Standard</v>
      </c>
      <c r="E771" s="36" t="str">
        <f t="shared" si="71"/>
        <v>RETURN - 1st don of the week -STD</v>
      </c>
      <c r="F771" s="36" t="str">
        <f t="shared" si="72"/>
        <v>CP136-RETURN - 1st don of the week -STD</v>
      </c>
      <c r="G771" s="155">
        <f>IFERROR(VLOOKUP(F771,SpecialtyBaseLU,11,FALSE),0)</f>
        <v>45</v>
      </c>
      <c r="H771" s="5">
        <v>5</v>
      </c>
      <c r="J771" s="5">
        <f t="shared" si="73"/>
        <v>50</v>
      </c>
      <c r="K771" s="148">
        <f t="shared" si="74"/>
        <v>50</v>
      </c>
      <c r="L771" s="5">
        <f t="shared" si="75"/>
        <v>0</v>
      </c>
    </row>
    <row r="772" spans="1:12" x14ac:dyDescent="0.25">
      <c r="A772" t="s">
        <v>263</v>
      </c>
      <c r="B772" t="s">
        <v>264</v>
      </c>
      <c r="C772" t="s">
        <v>498</v>
      </c>
      <c r="D772" s="36" t="str">
        <f t="shared" ref="D772:D782" si="76">B772&amp;"-"&amp;C772</f>
        <v>CP082-2X Week P CMV</v>
      </c>
      <c r="E772" s="36" t="str">
        <f t="shared" ref="E772:E782" si="77">VLOOKUP(C772,RULENAMELU,5,FALSE)</f>
        <v>RETURN - 2nd don of the week -BONUS</v>
      </c>
      <c r="F772" s="36" t="str">
        <f t="shared" ref="F772:F782" si="78">B772&amp;"-"&amp;E772</f>
        <v>CP082-RETURN - 2nd don of the week -BONUS</v>
      </c>
      <c r="G772" s="155">
        <f>IFERROR(VLOOKUP(F772,SpecialtyBaseLU,11,FALSE),0)</f>
        <v>25</v>
      </c>
      <c r="J772" s="5">
        <f t="shared" ref="J772:J782" si="79">G772+H772+I772</f>
        <v>25</v>
      </c>
      <c r="K772" s="148">
        <f t="shared" ref="K772:K782" si="80">VLOOKUP(D772,CurrentNLDataLU,11,FALSE)</f>
        <v>25</v>
      </c>
      <c r="L772" s="5">
        <f t="shared" ref="L772:L782" si="81">J772-K772</f>
        <v>0</v>
      </c>
    </row>
    <row r="773" spans="1:12" x14ac:dyDescent="0.25">
      <c r="A773" t="s">
        <v>263</v>
      </c>
      <c r="B773" t="s">
        <v>264</v>
      </c>
      <c r="C773" t="s">
        <v>485</v>
      </c>
      <c r="D773" s="36" t="str">
        <f t="shared" si="76"/>
        <v>CP082-2X Week P Tetanus</v>
      </c>
      <c r="E773" s="36" t="str">
        <f t="shared" si="77"/>
        <v>RETURN - 2nd don of the week -BONUS</v>
      </c>
      <c r="F773" s="36" t="str">
        <f t="shared" si="78"/>
        <v>CP082-RETURN - 2nd don of the week -BONUS</v>
      </c>
      <c r="G773" s="155">
        <f>IFERROR(VLOOKUP(F773,SpecialtyBaseLU,11,FALSE),0)</f>
        <v>25</v>
      </c>
      <c r="J773" s="5">
        <f t="shared" si="79"/>
        <v>25</v>
      </c>
      <c r="K773" s="148">
        <f t="shared" si="80"/>
        <v>25</v>
      </c>
      <c r="L773" s="5">
        <f t="shared" si="81"/>
        <v>0</v>
      </c>
    </row>
    <row r="774" spans="1:12" x14ac:dyDescent="0.25">
      <c r="A774" t="s">
        <v>263</v>
      </c>
      <c r="B774" t="s">
        <v>264</v>
      </c>
      <c r="C774" t="s">
        <v>486</v>
      </c>
      <c r="D774" s="36" t="str">
        <f t="shared" si="76"/>
        <v>CP082-2X Week P Tetanus AP</v>
      </c>
      <c r="E774" s="36" t="str">
        <f t="shared" si="77"/>
        <v>RETURN - 2nd don of the week -BONUS</v>
      </c>
      <c r="F774" s="36" t="str">
        <f t="shared" si="78"/>
        <v>CP082-RETURN - 2nd don of the week -BONUS</v>
      </c>
      <c r="G774" s="155">
        <f>IFERROR(VLOOKUP(F774,SpecialtyBaseLU,11,FALSE),0)</f>
        <v>25</v>
      </c>
      <c r="J774" s="5">
        <f t="shared" si="79"/>
        <v>25</v>
      </c>
      <c r="K774" s="148">
        <f t="shared" si="80"/>
        <v>25</v>
      </c>
      <c r="L774" s="5">
        <f t="shared" si="81"/>
        <v>0</v>
      </c>
    </row>
    <row r="775" spans="1:12" x14ac:dyDescent="0.25">
      <c r="A775" t="s">
        <v>263</v>
      </c>
      <c r="B775" t="s">
        <v>264</v>
      </c>
      <c r="C775" t="s">
        <v>487</v>
      </c>
      <c r="D775" s="36" t="str">
        <f t="shared" si="76"/>
        <v>CP082-2X Week P Tetanus PE</v>
      </c>
      <c r="E775" s="36" t="str">
        <f t="shared" si="77"/>
        <v>RETURN - 2nd don of the week -BONUS</v>
      </c>
      <c r="F775" s="36" t="str">
        <f t="shared" si="78"/>
        <v>CP082-RETURN - 2nd don of the week -BONUS</v>
      </c>
      <c r="G775" s="155">
        <f>IFERROR(VLOOKUP(F775,SpecialtyBaseLU,11,FALSE),0)</f>
        <v>25</v>
      </c>
      <c r="J775" s="5">
        <f t="shared" si="79"/>
        <v>25</v>
      </c>
      <c r="K775" s="148">
        <f t="shared" si="80"/>
        <v>25</v>
      </c>
      <c r="L775" s="5">
        <f t="shared" si="81"/>
        <v>0</v>
      </c>
    </row>
    <row r="776" spans="1:12" x14ac:dyDescent="0.25">
      <c r="A776" t="s">
        <v>263</v>
      </c>
      <c r="B776" t="s">
        <v>264</v>
      </c>
      <c r="C776" t="s">
        <v>469</v>
      </c>
      <c r="D776" s="36" t="str">
        <f t="shared" si="76"/>
        <v>CP082-P Anti-D Pre-Existing Standard</v>
      </c>
      <c r="E776" s="36" t="str">
        <f t="shared" si="77"/>
        <v>RETURN - 1st don of the week -STD</v>
      </c>
      <c r="F776" s="36" t="str">
        <f t="shared" si="78"/>
        <v>CP082-RETURN - 1st don of the week -STD</v>
      </c>
      <c r="G776" s="155">
        <f>IFERROR(VLOOKUP(F776,SpecialtyBaseLU,11,FALSE),0)</f>
        <v>45</v>
      </c>
      <c r="H776" s="5">
        <v>5</v>
      </c>
      <c r="J776" s="5">
        <f t="shared" si="79"/>
        <v>50</v>
      </c>
      <c r="K776" s="148">
        <f t="shared" si="80"/>
        <v>50</v>
      </c>
      <c r="L776" s="5">
        <f t="shared" si="81"/>
        <v>0</v>
      </c>
    </row>
    <row r="777" spans="1:12" x14ac:dyDescent="0.25">
      <c r="A777" t="s">
        <v>263</v>
      </c>
      <c r="B777" t="s">
        <v>264</v>
      </c>
      <c r="C777" t="s">
        <v>474</v>
      </c>
      <c r="D777" s="36" t="str">
        <f t="shared" si="76"/>
        <v>CP082-P Anti-D Standard</v>
      </c>
      <c r="E777" s="36" t="str">
        <f t="shared" si="77"/>
        <v>RETURN - 1st don of the week -STD</v>
      </c>
      <c r="F777" s="36" t="str">
        <f t="shared" si="78"/>
        <v>CP082-RETURN - 1st don of the week -STD</v>
      </c>
      <c r="G777" s="155">
        <f>IFERROR(VLOOKUP(F777,SpecialtyBaseLU,11,FALSE),0)</f>
        <v>45</v>
      </c>
      <c r="H777" s="5">
        <v>30</v>
      </c>
      <c r="J777" s="5">
        <f t="shared" si="79"/>
        <v>75</v>
      </c>
      <c r="K777" s="148">
        <f t="shared" si="80"/>
        <v>75</v>
      </c>
      <c r="L777" s="5">
        <f t="shared" si="81"/>
        <v>0</v>
      </c>
    </row>
    <row r="778" spans="1:12" x14ac:dyDescent="0.25">
      <c r="A778" t="s">
        <v>263</v>
      </c>
      <c r="B778" t="s">
        <v>264</v>
      </c>
      <c r="C778" t="s">
        <v>501</v>
      </c>
      <c r="D778" s="36" t="str">
        <f t="shared" si="76"/>
        <v>CP082-P CMV Standard</v>
      </c>
      <c r="E778" s="36" t="str">
        <f t="shared" si="77"/>
        <v>RETURN - 1st don of the week -STD</v>
      </c>
      <c r="F778" s="36" t="str">
        <f t="shared" si="78"/>
        <v>CP082-RETURN - 1st don of the week -STD</v>
      </c>
      <c r="G778" s="155">
        <f>IFERROR(VLOOKUP(F778,SpecialtyBaseLU,11,FALSE),0)</f>
        <v>45</v>
      </c>
      <c r="H778" s="5">
        <v>5</v>
      </c>
      <c r="J778" s="5">
        <f t="shared" si="79"/>
        <v>50</v>
      </c>
      <c r="K778" s="148">
        <f t="shared" si="80"/>
        <v>50</v>
      </c>
      <c r="L778" s="5">
        <f t="shared" si="81"/>
        <v>0</v>
      </c>
    </row>
    <row r="779" spans="1:12" x14ac:dyDescent="0.25">
      <c r="A779" t="s">
        <v>263</v>
      </c>
      <c r="B779" t="s">
        <v>264</v>
      </c>
      <c r="C779" t="s">
        <v>492</v>
      </c>
      <c r="D779" s="36" t="str">
        <f t="shared" si="76"/>
        <v>CP082-P Tetanus AP Standard</v>
      </c>
      <c r="E779" s="36" t="str">
        <f t="shared" si="77"/>
        <v>RETURN - 1st don of the week -STD</v>
      </c>
      <c r="F779" s="36" t="str">
        <f t="shared" si="78"/>
        <v>CP082-RETURN - 1st don of the week -STD</v>
      </c>
      <c r="G779" s="155">
        <f>IFERROR(VLOOKUP(F779,SpecialtyBaseLU,11,FALSE),0)</f>
        <v>45</v>
      </c>
      <c r="H779" s="5">
        <f>K779-G779</f>
        <v>5</v>
      </c>
      <c r="J779" s="5">
        <f t="shared" si="79"/>
        <v>50</v>
      </c>
      <c r="K779" s="148">
        <f t="shared" si="80"/>
        <v>50</v>
      </c>
      <c r="L779" s="5">
        <f t="shared" si="81"/>
        <v>0</v>
      </c>
    </row>
    <row r="780" spans="1:12" x14ac:dyDescent="0.25">
      <c r="A780" t="s">
        <v>263</v>
      </c>
      <c r="B780" t="s">
        <v>264</v>
      </c>
      <c r="C780" t="s">
        <v>493</v>
      </c>
      <c r="D780" s="36" t="str">
        <f t="shared" si="76"/>
        <v>CP082-P Tetanus Pre-Existing Standard</v>
      </c>
      <c r="E780" s="36" t="str">
        <f t="shared" si="77"/>
        <v>RETURN - 1st don of the week -STD</v>
      </c>
      <c r="F780" s="36" t="str">
        <f t="shared" si="78"/>
        <v>CP082-RETURN - 1st don of the week -STD</v>
      </c>
      <c r="G780" s="155">
        <f>IFERROR(VLOOKUP(F780,SpecialtyBaseLU,11,FALSE),0)</f>
        <v>45</v>
      </c>
      <c r="H780" s="5">
        <f>K780-G780</f>
        <v>5</v>
      </c>
      <c r="J780" s="5">
        <f t="shared" si="79"/>
        <v>50</v>
      </c>
      <c r="K780" s="148">
        <f t="shared" si="80"/>
        <v>50</v>
      </c>
      <c r="L780" s="5">
        <f t="shared" si="81"/>
        <v>0</v>
      </c>
    </row>
    <row r="781" spans="1:12" x14ac:dyDescent="0.25">
      <c r="A781" t="s">
        <v>263</v>
      </c>
      <c r="B781" t="s">
        <v>264</v>
      </c>
      <c r="C781" t="s">
        <v>494</v>
      </c>
      <c r="D781" s="36" t="str">
        <f t="shared" si="76"/>
        <v>CP082-P Tetanus Standard</v>
      </c>
      <c r="E781" s="36" t="str">
        <f t="shared" si="77"/>
        <v>RETURN - 1st don of the week -STD</v>
      </c>
      <c r="F781" s="36" t="str">
        <f t="shared" si="78"/>
        <v>CP082-RETURN - 1st don of the week -STD</v>
      </c>
      <c r="G781" s="155">
        <f>IFERROR(VLOOKUP(F781,SpecialtyBaseLU,11,FALSE),0)</f>
        <v>45</v>
      </c>
      <c r="H781" s="5">
        <f>K781-G781</f>
        <v>5</v>
      </c>
      <c r="J781" s="5">
        <f t="shared" si="79"/>
        <v>50</v>
      </c>
      <c r="K781" s="148">
        <f t="shared" si="80"/>
        <v>50</v>
      </c>
      <c r="L781" s="5">
        <f t="shared" si="81"/>
        <v>0</v>
      </c>
    </row>
    <row r="782" spans="1:12" x14ac:dyDescent="0.25">
      <c r="A782" t="s">
        <v>263</v>
      </c>
      <c r="B782" t="s">
        <v>264</v>
      </c>
      <c r="C782" t="s">
        <v>508</v>
      </c>
      <c r="D782" s="36" t="str">
        <f t="shared" si="76"/>
        <v>CP082-P Tetanus Tox Standard</v>
      </c>
      <c r="E782" s="36" t="str">
        <f t="shared" si="77"/>
        <v>RETURN - 1st don of the week -STD</v>
      </c>
      <c r="F782" s="36" t="str">
        <f t="shared" si="78"/>
        <v>CP082-RETURN - 1st don of the week -STD</v>
      </c>
      <c r="G782" s="155">
        <f>IFERROR(VLOOKUP(F782,SpecialtyBaseLU,11,FALSE),0)</f>
        <v>45</v>
      </c>
      <c r="H782" s="5">
        <f>K782-G782</f>
        <v>5</v>
      </c>
      <c r="J782" s="5">
        <f t="shared" si="79"/>
        <v>50</v>
      </c>
      <c r="K782" s="148">
        <f t="shared" si="80"/>
        <v>50</v>
      </c>
      <c r="L782" s="5">
        <f t="shared" si="81"/>
        <v>0</v>
      </c>
    </row>
  </sheetData>
  <autoFilter ref="A3:L782" xr:uid="{C29DC175-553F-4928-9874-D487C562AA14}">
    <sortState xmlns:xlrd2="http://schemas.microsoft.com/office/spreadsheetml/2017/richdata2" ref="A4:L782">
      <sortCondition ref="A3:A782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B91D9-0EA3-4290-B79A-EAE48118FA3D}">
  <sheetPr codeName="Sheet2"/>
  <dimension ref="A1:M3245"/>
  <sheetViews>
    <sheetView topLeftCell="A3206" zoomScale="90" zoomScaleNormal="90" workbookViewId="0">
      <selection activeCell="H3029" sqref="H3029"/>
    </sheetView>
  </sheetViews>
  <sheetFormatPr defaultRowHeight="15" x14ac:dyDescent="0.25"/>
  <cols>
    <col min="1" max="1" width="40.42578125" customWidth="1"/>
    <col min="2" max="2" width="15.42578125" bestFit="1" customWidth="1"/>
    <col min="3" max="3" width="26.28515625" bestFit="1" customWidth="1"/>
    <col min="4" max="4" width="26.5703125" bestFit="1" customWidth="1"/>
    <col min="5" max="5" width="27" bestFit="1" customWidth="1"/>
    <col min="6" max="6" width="38.28515625" bestFit="1" customWidth="1"/>
    <col min="7" max="7" width="32.5703125" bestFit="1" customWidth="1"/>
    <col min="8" max="8" width="38.28515625" bestFit="1" customWidth="1"/>
    <col min="9" max="9" width="36" bestFit="1" customWidth="1"/>
    <col min="10" max="10" width="20.5703125" bestFit="1" customWidth="1"/>
    <col min="11" max="11" width="13.140625" bestFit="1" customWidth="1"/>
    <col min="12" max="12" width="44.42578125" bestFit="1" customWidth="1"/>
    <col min="13" max="13" width="48.5703125" bestFit="1" customWidth="1"/>
  </cols>
  <sheetData>
    <row r="1" spans="1:13" x14ac:dyDescent="0.25">
      <c r="B1" t="s">
        <v>460</v>
      </c>
      <c r="C1" t="s">
        <v>459</v>
      </c>
      <c r="D1" t="s">
        <v>535</v>
      </c>
      <c r="E1" t="s">
        <v>536</v>
      </c>
      <c r="F1" t="s">
        <v>461</v>
      </c>
      <c r="G1" t="s">
        <v>537</v>
      </c>
      <c r="H1" t="s">
        <v>538</v>
      </c>
      <c r="I1" t="s">
        <v>539</v>
      </c>
      <c r="J1" t="s">
        <v>540</v>
      </c>
      <c r="K1" s="5" t="s">
        <v>541</v>
      </c>
      <c r="L1" t="s">
        <v>542</v>
      </c>
      <c r="M1" s="29" t="s">
        <v>543</v>
      </c>
    </row>
    <row r="2" spans="1:13" x14ac:dyDescent="0.25">
      <c r="A2" t="str">
        <f>B2&amp;"-"&amp;F2</f>
        <v>CP941-1st Responder-Medical</v>
      </c>
      <c r="B2" t="s">
        <v>427</v>
      </c>
      <c r="C2" t="str">
        <f t="shared" ref="C2:C65" si="0">VLOOKUP(B2,CenterLU,2,FALSE)</f>
        <v>Altoona</v>
      </c>
      <c r="D2" t="str">
        <f t="shared" ref="D2:D65" si="1">VLOOKUP(B2,CenterLU,3,FALSE)</f>
        <v>Y</v>
      </c>
      <c r="E2" t="s">
        <v>544</v>
      </c>
      <c r="F2" t="str">
        <f t="shared" ref="F2:F65" si="2">IF(VLOOKUP(H2,RULENAMELU,3,FALSE)=0,H2,VLOOKUP(H2,RULENAMELU,3,FALSE))</f>
        <v>1st Responder-Medical</v>
      </c>
      <c r="G2">
        <f t="shared" ref="G2:G65" si="3">VLOOKUP(H2,RULENAMELU,4,FALSE)</f>
        <v>0</v>
      </c>
      <c r="H2" t="s">
        <v>545</v>
      </c>
      <c r="I2">
        <f t="shared" ref="I2:I65" si="4">VLOOKUP(H2,RULENAMELU,5,FALSE)</f>
        <v>0</v>
      </c>
      <c r="J2" t="s">
        <v>546</v>
      </c>
      <c r="K2" s="5">
        <v>5</v>
      </c>
      <c r="L2" t="str">
        <f>Table_DataFromNL[[#This Row],[PROFILECODE]]&amp;"-"&amp;Table_DataFromNL[[#This Row],[RULENAME]]</f>
        <v>CP941-1st Responder-Medical</v>
      </c>
      <c r="M2" t="e">
        <f t="shared" ref="M2:M65" si="5">IFERROR(VLOOKUP(A2,PaychangesLU,1,FALSE),VLOOKUP(A2,SpecialtyCheckLU,1,FALSE))</f>
        <v>#N/A</v>
      </c>
    </row>
    <row r="3" spans="1:13" x14ac:dyDescent="0.25">
      <c r="A3" t="str">
        <f t="shared" ref="A3:A66" si="6">B3&amp;"-"&amp;F3</f>
        <v>CP941-2X Week P NORM KIG10</v>
      </c>
      <c r="B3" t="s">
        <v>427</v>
      </c>
      <c r="C3" t="str">
        <f t="shared" si="0"/>
        <v>Altoona</v>
      </c>
      <c r="D3" t="str">
        <f t="shared" si="1"/>
        <v>Y</v>
      </c>
      <c r="E3" t="s">
        <v>544</v>
      </c>
      <c r="F3" t="str">
        <f t="shared" si="2"/>
        <v>2X Week P NORM KIG10</v>
      </c>
      <c r="G3" t="str">
        <f t="shared" si="3"/>
        <v>?</v>
      </c>
      <c r="H3" t="s">
        <v>547</v>
      </c>
      <c r="I3" t="str">
        <f t="shared" si="4"/>
        <v>RETURN - 2nd don of the week -BONUS</v>
      </c>
      <c r="J3" t="s">
        <v>546</v>
      </c>
      <c r="K3" s="5">
        <v>50</v>
      </c>
      <c r="L3" t="str">
        <f>Table_DataFromNL[[#This Row],[PROFILECODE]]&amp;"-"&amp;Table_DataFromNL[[#This Row],[RULENAME]]</f>
        <v>CP941-2X Week P NORM KIG10</v>
      </c>
      <c r="M3" t="e">
        <f t="shared" si="5"/>
        <v>#N/A</v>
      </c>
    </row>
    <row r="4" spans="1:13" x14ac:dyDescent="0.25">
      <c r="A4" t="str">
        <f t="shared" si="6"/>
        <v>CP941-2X Week P NORM KIG10-1</v>
      </c>
      <c r="B4" t="s">
        <v>427</v>
      </c>
      <c r="C4" t="str">
        <f t="shared" si="0"/>
        <v>Altoona</v>
      </c>
      <c r="D4" t="str">
        <f t="shared" si="1"/>
        <v>Y</v>
      </c>
      <c r="E4" t="s">
        <v>544</v>
      </c>
      <c r="F4" t="str">
        <f t="shared" si="2"/>
        <v>2X Week P NORM KIG10-1</v>
      </c>
      <c r="G4" t="str">
        <f t="shared" si="3"/>
        <v>?</v>
      </c>
      <c r="H4" t="s">
        <v>548</v>
      </c>
      <c r="I4" t="str">
        <f t="shared" si="4"/>
        <v>RETURN - 2nd don of the week -BONUS</v>
      </c>
      <c r="J4" t="s">
        <v>546</v>
      </c>
      <c r="K4" s="5">
        <v>50</v>
      </c>
      <c r="L4" t="str">
        <f>Table_DataFromNL[[#This Row],[PROFILECODE]]&amp;"-"&amp;Table_DataFromNL[[#This Row],[RULENAME]]</f>
        <v>CP941-2X Week P NORM KIG10-1</v>
      </c>
      <c r="M4" t="e">
        <f t="shared" si="5"/>
        <v>#N/A</v>
      </c>
    </row>
    <row r="5" spans="1:13" x14ac:dyDescent="0.25">
      <c r="A5" t="str">
        <f t="shared" si="6"/>
        <v>CP941-2X Week P NORM KIG10-2</v>
      </c>
      <c r="B5" t="s">
        <v>427</v>
      </c>
      <c r="C5" t="str">
        <f t="shared" si="0"/>
        <v>Altoona</v>
      </c>
      <c r="D5" t="str">
        <f t="shared" si="1"/>
        <v>Y</v>
      </c>
      <c r="E5" t="s">
        <v>544</v>
      </c>
      <c r="F5" t="str">
        <f t="shared" si="2"/>
        <v>2X Week P NORM KIG10-2</v>
      </c>
      <c r="G5" t="str">
        <f t="shared" si="3"/>
        <v>?</v>
      </c>
      <c r="H5" t="s">
        <v>549</v>
      </c>
      <c r="I5" t="str">
        <f t="shared" si="4"/>
        <v>RETURN - 2nd don of the week -BONUS</v>
      </c>
      <c r="J5" t="s">
        <v>546</v>
      </c>
      <c r="K5" s="5">
        <v>50</v>
      </c>
      <c r="L5" t="str">
        <f>Table_DataFromNL[[#This Row],[PROFILECODE]]&amp;"-"&amp;Table_DataFromNL[[#This Row],[RULENAME]]</f>
        <v>CP941-2X Week P NORM KIG10-2</v>
      </c>
      <c r="M5" t="e">
        <f t="shared" si="5"/>
        <v>#N/A</v>
      </c>
    </row>
    <row r="6" spans="1:13" x14ac:dyDescent="0.25">
      <c r="A6" t="str">
        <f t="shared" si="6"/>
        <v>CP941-RETURN - 2nd don of the week -BONUS</v>
      </c>
      <c r="B6" t="s">
        <v>427</v>
      </c>
      <c r="C6" t="str">
        <f t="shared" si="0"/>
        <v>Altoona</v>
      </c>
      <c r="D6" t="str">
        <f t="shared" si="1"/>
        <v>Y</v>
      </c>
      <c r="E6" t="s">
        <v>544</v>
      </c>
      <c r="F6" t="str">
        <f t="shared" si="2"/>
        <v>RETURN - 2nd don of the week -BONUS</v>
      </c>
      <c r="G6" t="str">
        <f t="shared" si="3"/>
        <v>Marketing</v>
      </c>
      <c r="H6" t="s">
        <v>550</v>
      </c>
      <c r="I6">
        <f t="shared" si="4"/>
        <v>26</v>
      </c>
      <c r="J6" t="s">
        <v>546</v>
      </c>
      <c r="K6" s="5">
        <v>50</v>
      </c>
      <c r="L6" t="str">
        <f>Table_DataFromNL[[#This Row],[PROFILECODE]]&amp;"-"&amp;Table_DataFromNL[[#This Row],[RULENAME]]</f>
        <v>CP941-2X Week P NSP NS</v>
      </c>
      <c r="M6" t="str">
        <f t="shared" si="5"/>
        <v>CP941-RETURN - 2nd don of the week -BONUS</v>
      </c>
    </row>
    <row r="7" spans="1:13" x14ac:dyDescent="0.25">
      <c r="A7" t="str">
        <f t="shared" si="6"/>
        <v>CP941-RETURN - 2nd don of the week -BONUS</v>
      </c>
      <c r="B7" t="s">
        <v>427</v>
      </c>
      <c r="C7" t="str">
        <f t="shared" si="0"/>
        <v>Altoona</v>
      </c>
      <c r="D7" t="str">
        <f t="shared" si="1"/>
        <v>Y</v>
      </c>
      <c r="E7" t="s">
        <v>544</v>
      </c>
      <c r="F7" t="str">
        <f t="shared" si="2"/>
        <v>RETURN - 2nd don of the week -BONUS</v>
      </c>
      <c r="G7" t="str">
        <f t="shared" si="3"/>
        <v>Marketing</v>
      </c>
      <c r="H7" t="s">
        <v>551</v>
      </c>
      <c r="I7" t="str">
        <f t="shared" si="4"/>
        <v>RETURN - 2nd don of the week -BONUS</v>
      </c>
      <c r="J7" t="s">
        <v>546</v>
      </c>
      <c r="K7" s="5">
        <v>50</v>
      </c>
      <c r="L7" t="str">
        <f>Table_DataFromNL[[#This Row],[PROFILECODE]]&amp;"-"&amp;Table_DataFromNL[[#This Row],[RULENAME]]</f>
        <v>CP941-2X Week P NSP NS AP</v>
      </c>
      <c r="M7" t="str">
        <f t="shared" si="5"/>
        <v>CP941-RETURN - 2nd don of the week -BONUS</v>
      </c>
    </row>
    <row r="8" spans="1:13" x14ac:dyDescent="0.25">
      <c r="A8" t="str">
        <f t="shared" si="6"/>
        <v>CP941-RETURN - 6th don of the month -BONUS</v>
      </c>
      <c r="B8" t="s">
        <v>427</v>
      </c>
      <c r="C8" t="str">
        <f t="shared" si="0"/>
        <v>Altoona</v>
      </c>
      <c r="D8" t="str">
        <f t="shared" si="1"/>
        <v>Y</v>
      </c>
      <c r="E8" t="s">
        <v>544</v>
      </c>
      <c r="F8" t="str">
        <f t="shared" si="2"/>
        <v>RETURN - 6th don of the month -BONUS</v>
      </c>
      <c r="G8" t="str">
        <f t="shared" si="3"/>
        <v>Marketing</v>
      </c>
      <c r="H8" t="s">
        <v>552</v>
      </c>
      <c r="I8">
        <f t="shared" si="4"/>
        <v>28</v>
      </c>
      <c r="J8" t="s">
        <v>546</v>
      </c>
      <c r="K8" s="5">
        <v>30</v>
      </c>
      <c r="L8" t="str">
        <f>Table_DataFromNL[[#This Row],[PROFILECODE]]&amp;"-"&amp;Table_DataFromNL[[#This Row],[RULENAME]]</f>
        <v>CP941-6X Month</v>
      </c>
      <c r="M8" t="str">
        <f t="shared" si="5"/>
        <v>CP941-RETURN - 6th don of the month -BONUS</v>
      </c>
    </row>
    <row r="9" spans="1:13" x14ac:dyDescent="0.25">
      <c r="A9" t="str">
        <f t="shared" si="6"/>
        <v>CP941-College ID Standard Bonus</v>
      </c>
      <c r="B9" t="s">
        <v>427</v>
      </c>
      <c r="C9" t="str">
        <f t="shared" si="0"/>
        <v>Altoona</v>
      </c>
      <c r="D9" t="str">
        <f t="shared" si="1"/>
        <v>Y</v>
      </c>
      <c r="E9" t="s">
        <v>544</v>
      </c>
      <c r="F9" t="str">
        <f t="shared" si="2"/>
        <v>College ID Standard Bonus</v>
      </c>
      <c r="G9">
        <f t="shared" si="3"/>
        <v>0</v>
      </c>
      <c r="H9" t="s">
        <v>553</v>
      </c>
      <c r="I9">
        <f t="shared" si="4"/>
        <v>0</v>
      </c>
      <c r="J9" t="s">
        <v>546</v>
      </c>
      <c r="K9" s="5">
        <v>5</v>
      </c>
      <c r="L9" t="str">
        <f>Table_DataFromNL[[#This Row],[PROFILECODE]]&amp;"-"&amp;Table_DataFromNL[[#This Row],[RULENAME]]</f>
        <v>CP941-College ID Standard Bonus</v>
      </c>
      <c r="M9" t="e">
        <f t="shared" si="5"/>
        <v>#N/A</v>
      </c>
    </row>
    <row r="10" spans="1:13" x14ac:dyDescent="0.25">
      <c r="A10" t="str">
        <f t="shared" si="6"/>
        <v>CP941-Military ID</v>
      </c>
      <c r="B10" t="s">
        <v>427</v>
      </c>
      <c r="C10" t="str">
        <f t="shared" si="0"/>
        <v>Altoona</v>
      </c>
      <c r="D10" t="str">
        <f t="shared" si="1"/>
        <v>Y</v>
      </c>
      <c r="E10" t="s">
        <v>544</v>
      </c>
      <c r="F10" t="str">
        <f t="shared" si="2"/>
        <v>Military ID</v>
      </c>
      <c r="G10">
        <f t="shared" si="3"/>
        <v>0</v>
      </c>
      <c r="H10" t="s">
        <v>554</v>
      </c>
      <c r="I10">
        <f t="shared" si="4"/>
        <v>0</v>
      </c>
      <c r="J10" t="s">
        <v>546</v>
      </c>
      <c r="K10" s="5">
        <v>5</v>
      </c>
      <c r="L10" t="str">
        <f>Table_DataFromNL[[#This Row],[PROFILECODE]]&amp;"-"&amp;Table_DataFromNL[[#This Row],[RULENAME]]</f>
        <v>CP941-Military ID</v>
      </c>
      <c r="M10" t="e">
        <f t="shared" si="5"/>
        <v>#N/A</v>
      </c>
    </row>
    <row r="11" spans="1:13" x14ac:dyDescent="0.25">
      <c r="A11" t="str">
        <f t="shared" si="6"/>
        <v>CP941-NEW DONOR -1st</v>
      </c>
      <c r="B11" t="s">
        <v>427</v>
      </c>
      <c r="C11" t="str">
        <f t="shared" si="0"/>
        <v>Altoona</v>
      </c>
      <c r="D11" t="str">
        <f t="shared" si="1"/>
        <v>Y</v>
      </c>
      <c r="E11" t="s">
        <v>544</v>
      </c>
      <c r="F11" t="str">
        <f t="shared" si="2"/>
        <v>NEW DONOR -1st</v>
      </c>
      <c r="G11" t="str">
        <f t="shared" si="3"/>
        <v>Marketing</v>
      </c>
      <c r="H11" t="s">
        <v>555</v>
      </c>
      <c r="I11">
        <f t="shared" si="4"/>
        <v>1</v>
      </c>
      <c r="J11" t="s">
        <v>546</v>
      </c>
      <c r="K11" s="5">
        <v>100</v>
      </c>
      <c r="L11" t="str">
        <f>Table_DataFromNL[[#This Row],[PROFILECODE]]&amp;"-"&amp;Table_DataFromNL[[#This Row],[RULENAME]]</f>
        <v>CP941-New Donor 1st Visit-Bonus</v>
      </c>
      <c r="M11" t="str">
        <f t="shared" si="5"/>
        <v>CP941-NEW DONOR -1st</v>
      </c>
    </row>
    <row r="12" spans="1:13" x14ac:dyDescent="0.25">
      <c r="A12" t="str">
        <f t="shared" si="6"/>
        <v>CP941-NEW DONOR -2nd</v>
      </c>
      <c r="B12" t="s">
        <v>427</v>
      </c>
      <c r="C12" t="str">
        <f t="shared" si="0"/>
        <v>Altoona</v>
      </c>
      <c r="D12" t="str">
        <f t="shared" si="1"/>
        <v>Y</v>
      </c>
      <c r="E12" t="s">
        <v>544</v>
      </c>
      <c r="F12" t="str">
        <f t="shared" si="2"/>
        <v>NEW DONOR -2nd</v>
      </c>
      <c r="G12" t="str">
        <f t="shared" si="3"/>
        <v>Marketing</v>
      </c>
      <c r="H12" t="s">
        <v>556</v>
      </c>
      <c r="I12">
        <f t="shared" si="4"/>
        <v>2</v>
      </c>
      <c r="J12" t="s">
        <v>546</v>
      </c>
      <c r="K12" s="5">
        <v>100</v>
      </c>
      <c r="L12" t="str">
        <f>Table_DataFromNL[[#This Row],[PROFILECODE]]&amp;"-"&amp;Table_DataFromNL[[#This Row],[RULENAME]]</f>
        <v>CP941-New Donor 2nd Visit-Bonus</v>
      </c>
      <c r="M12" t="str">
        <f t="shared" si="5"/>
        <v>CP941-NEW DONOR -2nd</v>
      </c>
    </row>
    <row r="13" spans="1:13" x14ac:dyDescent="0.25">
      <c r="A13" t="str">
        <f t="shared" si="6"/>
        <v>CP941-NEW DONOR -3rd</v>
      </c>
      <c r="B13" t="s">
        <v>427</v>
      </c>
      <c r="C13" t="str">
        <f t="shared" si="0"/>
        <v>Altoona</v>
      </c>
      <c r="D13" t="str">
        <f t="shared" si="1"/>
        <v>Y</v>
      </c>
      <c r="E13" t="s">
        <v>544</v>
      </c>
      <c r="F13" t="str">
        <f t="shared" si="2"/>
        <v>NEW DONOR -3rd</v>
      </c>
      <c r="G13" t="str">
        <f t="shared" si="3"/>
        <v>Marketing</v>
      </c>
      <c r="H13" t="s">
        <v>557</v>
      </c>
      <c r="I13">
        <f t="shared" si="4"/>
        <v>3</v>
      </c>
      <c r="J13" t="s">
        <v>546</v>
      </c>
      <c r="K13" s="5">
        <v>100</v>
      </c>
      <c r="L13" t="str">
        <f>Table_DataFromNL[[#This Row],[PROFILECODE]]&amp;"-"&amp;Table_DataFromNL[[#This Row],[RULENAME]]</f>
        <v>CP941-New Donor 3rd Visit-Bonus</v>
      </c>
      <c r="M13" t="str">
        <f t="shared" si="5"/>
        <v>CP941-NEW DONOR -3rd</v>
      </c>
    </row>
    <row r="14" spans="1:13" x14ac:dyDescent="0.25">
      <c r="A14" t="str">
        <f t="shared" si="6"/>
        <v>CP941-NEW DONOR -4th</v>
      </c>
      <c r="B14" t="s">
        <v>427</v>
      </c>
      <c r="C14" t="str">
        <f t="shared" si="0"/>
        <v>Altoona</v>
      </c>
      <c r="D14" t="str">
        <f t="shared" si="1"/>
        <v>Y</v>
      </c>
      <c r="E14" t="s">
        <v>544</v>
      </c>
      <c r="F14" t="str">
        <f t="shared" si="2"/>
        <v>NEW DONOR -4th</v>
      </c>
      <c r="G14" t="str">
        <f t="shared" si="3"/>
        <v>Marketing</v>
      </c>
      <c r="H14" t="s">
        <v>558</v>
      </c>
      <c r="I14">
        <f t="shared" si="4"/>
        <v>4</v>
      </c>
      <c r="J14" t="s">
        <v>546</v>
      </c>
      <c r="K14" s="5">
        <v>100</v>
      </c>
      <c r="L14" t="str">
        <f>Table_DataFromNL[[#This Row],[PROFILECODE]]&amp;"-"&amp;Table_DataFromNL[[#This Row],[RULENAME]]</f>
        <v>CP941-New Donor 4th Visit-Bonus</v>
      </c>
      <c r="M14" t="str">
        <f t="shared" si="5"/>
        <v>CP941-NEW DONOR -4th</v>
      </c>
    </row>
    <row r="15" spans="1:13" x14ac:dyDescent="0.25">
      <c r="A15" t="str">
        <f t="shared" si="6"/>
        <v>CP941-NEW DONOR -5th</v>
      </c>
      <c r="B15" t="s">
        <v>427</v>
      </c>
      <c r="C15" t="str">
        <f t="shared" si="0"/>
        <v>Altoona</v>
      </c>
      <c r="D15" t="str">
        <f t="shared" si="1"/>
        <v>Y</v>
      </c>
      <c r="E15" t="s">
        <v>544</v>
      </c>
      <c r="F15" t="str">
        <f t="shared" si="2"/>
        <v>NEW DONOR -5th</v>
      </c>
      <c r="G15" t="str">
        <f t="shared" si="3"/>
        <v>Marketing</v>
      </c>
      <c r="H15" t="s">
        <v>559</v>
      </c>
      <c r="I15">
        <f t="shared" si="4"/>
        <v>5</v>
      </c>
      <c r="J15" t="s">
        <v>546</v>
      </c>
      <c r="K15" s="5">
        <v>100</v>
      </c>
      <c r="L15" t="str">
        <f>Table_DataFromNL[[#This Row],[PROFILECODE]]&amp;"-"&amp;Table_DataFromNL[[#This Row],[RULENAME]]</f>
        <v>CP941-New Donor 5th Visit-Bonus</v>
      </c>
      <c r="M15" t="str">
        <f t="shared" si="5"/>
        <v>CP941-NEW DONOR -5th</v>
      </c>
    </row>
    <row r="16" spans="1:13" x14ac:dyDescent="0.25">
      <c r="A16" t="str">
        <f t="shared" si="6"/>
        <v>CP941-NEW DONOR -6th</v>
      </c>
      <c r="B16" t="s">
        <v>427</v>
      </c>
      <c r="C16" t="str">
        <f t="shared" si="0"/>
        <v>Altoona</v>
      </c>
      <c r="D16" t="str">
        <f t="shared" si="1"/>
        <v>Y</v>
      </c>
      <c r="E16" t="s">
        <v>544</v>
      </c>
      <c r="F16" t="str">
        <f t="shared" si="2"/>
        <v>NEW DONOR -6th</v>
      </c>
      <c r="G16" t="str">
        <f t="shared" si="3"/>
        <v>Marketing</v>
      </c>
      <c r="H16" t="s">
        <v>560</v>
      </c>
      <c r="I16">
        <f t="shared" si="4"/>
        <v>6</v>
      </c>
      <c r="J16" t="s">
        <v>546</v>
      </c>
      <c r="K16" s="5">
        <v>30</v>
      </c>
      <c r="L16" t="str">
        <f>Table_DataFromNL[[#This Row],[PROFILECODE]]&amp;"-"&amp;Table_DataFromNL[[#This Row],[RULENAME]]</f>
        <v>CP941-New Donor 6th Visit-Bonus</v>
      </c>
      <c r="M16" t="str">
        <f t="shared" si="5"/>
        <v>CP941-NEW DONOR -6th</v>
      </c>
    </row>
    <row r="17" spans="1:13" x14ac:dyDescent="0.25">
      <c r="A17" t="str">
        <f t="shared" si="6"/>
        <v>CP941-NEW DONOR -7th</v>
      </c>
      <c r="B17" t="s">
        <v>427</v>
      </c>
      <c r="C17" t="str">
        <f t="shared" si="0"/>
        <v>Altoona</v>
      </c>
      <c r="D17" t="str">
        <f t="shared" si="1"/>
        <v>Y</v>
      </c>
      <c r="E17" t="s">
        <v>544</v>
      </c>
      <c r="F17" t="str">
        <f t="shared" si="2"/>
        <v>NEW DONOR -7th</v>
      </c>
      <c r="G17" t="str">
        <f t="shared" si="3"/>
        <v>Marketing</v>
      </c>
      <c r="H17" t="s">
        <v>561</v>
      </c>
      <c r="I17">
        <f t="shared" si="4"/>
        <v>7</v>
      </c>
      <c r="J17" t="s">
        <v>546</v>
      </c>
      <c r="K17" s="5">
        <v>30</v>
      </c>
      <c r="L17" t="str">
        <f>Table_DataFromNL[[#This Row],[PROFILECODE]]&amp;"-"&amp;Table_DataFromNL[[#This Row],[RULENAME]]</f>
        <v>CP941-New Donor 7th Visit-Bonus</v>
      </c>
      <c r="M17" t="str">
        <f t="shared" si="5"/>
        <v>CP941-NEW DONOR -7th</v>
      </c>
    </row>
    <row r="18" spans="1:13" x14ac:dyDescent="0.25">
      <c r="A18" t="str">
        <f t="shared" si="6"/>
        <v>CP941-NEW DONOR -8th</v>
      </c>
      <c r="B18" t="s">
        <v>427</v>
      </c>
      <c r="C18" t="str">
        <f t="shared" si="0"/>
        <v>Altoona</v>
      </c>
      <c r="D18" t="str">
        <f t="shared" si="1"/>
        <v>Y</v>
      </c>
      <c r="E18" t="s">
        <v>544</v>
      </c>
      <c r="F18" t="str">
        <f t="shared" si="2"/>
        <v>NEW DONOR -8th</v>
      </c>
      <c r="G18" t="str">
        <f t="shared" si="3"/>
        <v>Marketing</v>
      </c>
      <c r="H18" t="s">
        <v>562</v>
      </c>
      <c r="I18">
        <f t="shared" si="4"/>
        <v>8</v>
      </c>
      <c r="J18" t="s">
        <v>546</v>
      </c>
      <c r="K18" s="5">
        <v>30</v>
      </c>
      <c r="L18" t="str">
        <f>Table_DataFromNL[[#This Row],[PROFILECODE]]&amp;"-"&amp;Table_DataFromNL[[#This Row],[RULENAME]]</f>
        <v>CP941-New Donor 8th Visit-Bonus</v>
      </c>
      <c r="M18" t="str">
        <f t="shared" si="5"/>
        <v>CP941-NEW DONOR -8th</v>
      </c>
    </row>
    <row r="19" spans="1:13" x14ac:dyDescent="0.25">
      <c r="A19" t="str">
        <f t="shared" si="6"/>
        <v>CP941-Community</v>
      </c>
      <c r="B19" t="s">
        <v>427</v>
      </c>
      <c r="C19" t="str">
        <f t="shared" si="0"/>
        <v>Altoona</v>
      </c>
      <c r="D19" t="str">
        <f t="shared" si="1"/>
        <v>Y</v>
      </c>
      <c r="E19" t="s">
        <v>544</v>
      </c>
      <c r="F19" t="str">
        <f t="shared" si="2"/>
        <v>Community</v>
      </c>
      <c r="G19">
        <f t="shared" si="3"/>
        <v>0</v>
      </c>
      <c r="H19" t="s">
        <v>563</v>
      </c>
      <c r="I19">
        <f t="shared" si="4"/>
        <v>0</v>
      </c>
      <c r="J19" t="s">
        <v>564</v>
      </c>
      <c r="K19" s="5">
        <v>5</v>
      </c>
      <c r="L19" t="str">
        <f>Table_DataFromNL[[#This Row],[PROFILECODE]]&amp;"-"&amp;Table_DataFromNL[[#This Row],[RULENAME]]</f>
        <v>CP941-Community</v>
      </c>
      <c r="M19" t="e">
        <f t="shared" si="5"/>
        <v>#N/A</v>
      </c>
    </row>
    <row r="20" spans="1:13" x14ac:dyDescent="0.25">
      <c r="A20" t="str">
        <f t="shared" si="6"/>
        <v>CP941-HANGER_RECRUIT_5USD_once</v>
      </c>
      <c r="B20" t="s">
        <v>427</v>
      </c>
      <c r="C20" t="str">
        <f t="shared" si="0"/>
        <v>Altoona</v>
      </c>
      <c r="D20" t="str">
        <f t="shared" si="1"/>
        <v>Y</v>
      </c>
      <c r="E20" t="s">
        <v>544</v>
      </c>
      <c r="F20" t="str">
        <f t="shared" si="2"/>
        <v>HANGER_RECRUIT_5USD_once</v>
      </c>
      <c r="G20">
        <f t="shared" si="3"/>
        <v>0</v>
      </c>
      <c r="H20" t="s">
        <v>565</v>
      </c>
      <c r="I20">
        <f t="shared" si="4"/>
        <v>0</v>
      </c>
      <c r="J20" t="s">
        <v>564</v>
      </c>
      <c r="K20" s="5">
        <v>5</v>
      </c>
      <c r="L20" t="str">
        <f>Table_DataFromNL[[#This Row],[PROFILECODE]]&amp;"-"&amp;Table_DataFromNL[[#This Row],[RULENAME]]</f>
        <v>CP941-HANGER_RECRUIT_5USD_once</v>
      </c>
      <c r="M20" t="e">
        <f t="shared" si="5"/>
        <v>#N/A</v>
      </c>
    </row>
    <row r="21" spans="1:13" x14ac:dyDescent="0.25">
      <c r="A21" t="str">
        <f t="shared" si="6"/>
        <v>CP941-Inconv Fee $20-$50-Comment Req'd</v>
      </c>
      <c r="B21" t="s">
        <v>427</v>
      </c>
      <c r="C21" t="str">
        <f t="shared" si="0"/>
        <v>Altoona</v>
      </c>
      <c r="D21" t="str">
        <f t="shared" si="1"/>
        <v>Y</v>
      </c>
      <c r="E21" t="s">
        <v>544</v>
      </c>
      <c r="F21" t="str">
        <f t="shared" si="2"/>
        <v>Inconv Fee $20-$50-Comment Req'd</v>
      </c>
      <c r="G21">
        <f t="shared" si="3"/>
        <v>0</v>
      </c>
      <c r="H21" t="s">
        <v>566</v>
      </c>
      <c r="I21">
        <f t="shared" si="4"/>
        <v>0</v>
      </c>
      <c r="J21" t="s">
        <v>564</v>
      </c>
      <c r="K21" s="5">
        <v>50</v>
      </c>
      <c r="L21" t="str">
        <f>Table_DataFromNL[[#This Row],[PROFILECODE]]&amp;"-"&amp;Table_DataFromNL[[#This Row],[RULENAME]]</f>
        <v>CP941-Inconv Fee $20-$50-Comment Req'd</v>
      </c>
      <c r="M21" t="e">
        <f t="shared" si="5"/>
        <v>#N/A</v>
      </c>
    </row>
    <row r="22" spans="1:13" x14ac:dyDescent="0.25">
      <c r="A22" t="str">
        <f t="shared" si="6"/>
        <v>CP941-Inconv Fee $5-$20-Comment Req'd</v>
      </c>
      <c r="B22" t="s">
        <v>427</v>
      </c>
      <c r="C22" t="str">
        <f t="shared" si="0"/>
        <v>Altoona</v>
      </c>
      <c r="D22" t="str">
        <f t="shared" si="1"/>
        <v>Y</v>
      </c>
      <c r="E22" t="s">
        <v>544</v>
      </c>
      <c r="F22" t="str">
        <f t="shared" si="2"/>
        <v>Inconv Fee $5-$20-Comment Req'd</v>
      </c>
      <c r="G22">
        <f t="shared" si="3"/>
        <v>0</v>
      </c>
      <c r="H22" t="s">
        <v>567</v>
      </c>
      <c r="I22">
        <f t="shared" si="4"/>
        <v>0</v>
      </c>
      <c r="J22" t="s">
        <v>564</v>
      </c>
      <c r="K22" s="5">
        <v>20</v>
      </c>
      <c r="L22" t="str">
        <f>Table_DataFromNL[[#This Row],[PROFILECODE]]&amp;"-"&amp;Table_DataFromNL[[#This Row],[RULENAME]]</f>
        <v>CP941-Inconv Fee $5-$20-Comment Req'd</v>
      </c>
      <c r="M22" t="e">
        <f t="shared" si="5"/>
        <v>#N/A</v>
      </c>
    </row>
    <row r="23" spans="1:13" x14ac:dyDescent="0.25">
      <c r="A23" t="str">
        <f t="shared" si="6"/>
        <v>CP941-Inconv Fee$50-$100-Comment Req'd</v>
      </c>
      <c r="B23" t="s">
        <v>427</v>
      </c>
      <c r="C23" t="str">
        <f t="shared" si="0"/>
        <v>Altoona</v>
      </c>
      <c r="D23" t="str">
        <f t="shared" si="1"/>
        <v>Y</v>
      </c>
      <c r="E23" t="s">
        <v>544</v>
      </c>
      <c r="F23" t="str">
        <f t="shared" si="2"/>
        <v>Inconv Fee$50-$100-Comment Req'd</v>
      </c>
      <c r="G23">
        <f t="shared" si="3"/>
        <v>0</v>
      </c>
      <c r="H23" t="s">
        <v>568</v>
      </c>
      <c r="I23">
        <f t="shared" si="4"/>
        <v>0</v>
      </c>
      <c r="J23" t="s">
        <v>564</v>
      </c>
      <c r="K23" s="5">
        <v>100</v>
      </c>
      <c r="L23" t="str">
        <f>Table_DataFromNL[[#This Row],[PROFILECODE]]&amp;"-"&amp;Table_DataFromNL[[#This Row],[RULENAME]]</f>
        <v>CP941-Inconv Fee$50-$100-Comment Req'd</v>
      </c>
      <c r="M23" t="e">
        <f t="shared" si="5"/>
        <v>#N/A</v>
      </c>
    </row>
    <row r="24" spans="1:13" x14ac:dyDescent="0.25">
      <c r="A24" t="str">
        <f t="shared" si="6"/>
        <v>CP941-NSP_ LAPSEDONOR_50_Twice</v>
      </c>
      <c r="B24" t="s">
        <v>427</v>
      </c>
      <c r="C24" t="str">
        <f t="shared" si="0"/>
        <v>Altoona</v>
      </c>
      <c r="D24" t="str">
        <f t="shared" si="1"/>
        <v>Y</v>
      </c>
      <c r="E24" t="s">
        <v>544</v>
      </c>
      <c r="F24" t="str">
        <f t="shared" si="2"/>
        <v>NSP_ LAPSEDONOR_50_Twice</v>
      </c>
      <c r="G24">
        <f t="shared" si="3"/>
        <v>0</v>
      </c>
      <c r="H24" t="s">
        <v>569</v>
      </c>
      <c r="I24">
        <f t="shared" si="4"/>
        <v>0</v>
      </c>
      <c r="J24" t="s">
        <v>564</v>
      </c>
      <c r="K24" s="5">
        <v>50</v>
      </c>
      <c r="L24" t="str">
        <f>Table_DataFromNL[[#This Row],[PROFILECODE]]&amp;"-"&amp;Table_DataFromNL[[#This Row],[RULENAME]]</f>
        <v>CP941-NSP_ LAPSEDONOR_50_Twice</v>
      </c>
      <c r="M24" t="e">
        <f t="shared" si="5"/>
        <v>#N/A</v>
      </c>
    </row>
    <row r="25" spans="1:13" x14ac:dyDescent="0.25">
      <c r="A25" t="str">
        <f t="shared" si="6"/>
        <v>CP941-NSP_LD_25_2X</v>
      </c>
      <c r="B25" t="s">
        <v>427</v>
      </c>
      <c r="C25" t="str">
        <f t="shared" si="0"/>
        <v>Altoona</v>
      </c>
      <c r="D25" t="str">
        <f t="shared" si="1"/>
        <v>Y</v>
      </c>
      <c r="E25" t="s">
        <v>544</v>
      </c>
      <c r="F25" t="str">
        <f t="shared" si="2"/>
        <v>NSP_LD_25_2X</v>
      </c>
      <c r="G25">
        <f t="shared" si="3"/>
        <v>0</v>
      </c>
      <c r="H25" t="s">
        <v>570</v>
      </c>
      <c r="I25">
        <f t="shared" si="4"/>
        <v>0</v>
      </c>
      <c r="J25" t="s">
        <v>564</v>
      </c>
      <c r="K25" s="5">
        <v>25</v>
      </c>
      <c r="L25" t="str">
        <f>Table_DataFromNL[[#This Row],[PROFILECODE]]&amp;"-"&amp;Table_DataFromNL[[#This Row],[RULENAME]]</f>
        <v>CP941-NSP_LD_25_2X</v>
      </c>
      <c r="M25" t="e">
        <f t="shared" si="5"/>
        <v>#N/A</v>
      </c>
    </row>
    <row r="26" spans="1:13" x14ac:dyDescent="0.25">
      <c r="A26" t="str">
        <f t="shared" si="6"/>
        <v>CP941-NSP_LD_50_1X</v>
      </c>
      <c r="B26" t="s">
        <v>427</v>
      </c>
      <c r="C26" t="str">
        <f t="shared" si="0"/>
        <v>Altoona</v>
      </c>
      <c r="D26" t="str">
        <f t="shared" si="1"/>
        <v>Y</v>
      </c>
      <c r="E26" t="s">
        <v>544</v>
      </c>
      <c r="F26" t="str">
        <f t="shared" si="2"/>
        <v>NSP_LD_50_1X</v>
      </c>
      <c r="G26">
        <f t="shared" si="3"/>
        <v>0</v>
      </c>
      <c r="H26" t="s">
        <v>571</v>
      </c>
      <c r="I26">
        <f t="shared" si="4"/>
        <v>0</v>
      </c>
      <c r="J26" t="s">
        <v>564</v>
      </c>
      <c r="K26" s="5">
        <v>50</v>
      </c>
      <c r="L26" t="str">
        <f>Table_DataFromNL[[#This Row],[PROFILECODE]]&amp;"-"&amp;Table_DataFromNL[[#This Row],[RULENAME]]</f>
        <v>CP941-NSP_LD_50_1X</v>
      </c>
      <c r="M26" t="e">
        <f t="shared" si="5"/>
        <v>#N/A</v>
      </c>
    </row>
    <row r="27" spans="1:13" x14ac:dyDescent="0.25">
      <c r="A27" t="str">
        <f t="shared" si="6"/>
        <v>CP941-NSP_ORPHAN_100_once</v>
      </c>
      <c r="B27" t="s">
        <v>427</v>
      </c>
      <c r="C27" t="str">
        <f t="shared" si="0"/>
        <v>Altoona</v>
      </c>
      <c r="D27" t="str">
        <f t="shared" si="1"/>
        <v>Y</v>
      </c>
      <c r="E27" t="s">
        <v>544</v>
      </c>
      <c r="F27" t="str">
        <f t="shared" si="2"/>
        <v>NSP_ORPHAN_100_once</v>
      </c>
      <c r="G27">
        <f t="shared" si="3"/>
        <v>0</v>
      </c>
      <c r="H27" t="s">
        <v>572</v>
      </c>
      <c r="I27">
        <f t="shared" si="4"/>
        <v>0</v>
      </c>
      <c r="J27" t="s">
        <v>564</v>
      </c>
      <c r="K27" s="5">
        <v>100</v>
      </c>
      <c r="L27" t="str">
        <f>Table_DataFromNL[[#This Row],[PROFILECODE]]&amp;"-"&amp;Table_DataFromNL[[#This Row],[RULENAME]]</f>
        <v>CP941-NSP_ORPHAN_100_once</v>
      </c>
      <c r="M27" t="e">
        <f t="shared" si="5"/>
        <v>#N/A</v>
      </c>
    </row>
    <row r="28" spans="1:13" x14ac:dyDescent="0.25">
      <c r="A28" t="str">
        <f t="shared" si="6"/>
        <v>CP941-Restick</v>
      </c>
      <c r="B28" t="s">
        <v>427</v>
      </c>
      <c r="C28" t="str">
        <f t="shared" si="0"/>
        <v>Altoona</v>
      </c>
      <c r="D28" t="str">
        <f t="shared" si="1"/>
        <v>Y</v>
      </c>
      <c r="E28" t="s">
        <v>544</v>
      </c>
      <c r="F28" t="str">
        <f t="shared" si="2"/>
        <v>Restick</v>
      </c>
      <c r="G28">
        <f t="shared" si="3"/>
        <v>0</v>
      </c>
      <c r="H28" t="s">
        <v>573</v>
      </c>
      <c r="I28">
        <f t="shared" si="4"/>
        <v>0</v>
      </c>
      <c r="J28" t="s">
        <v>564</v>
      </c>
      <c r="K28" s="5">
        <v>5</v>
      </c>
      <c r="L28" t="str">
        <f>Table_DataFromNL[[#This Row],[PROFILECODE]]&amp;"-"&amp;Table_DataFromNL[[#This Row],[RULENAME]]</f>
        <v>CP941-Restick</v>
      </c>
      <c r="M28" t="e">
        <f t="shared" si="5"/>
        <v>#N/A</v>
      </c>
    </row>
    <row r="29" spans="1:13" x14ac:dyDescent="0.25">
      <c r="A29" t="str">
        <f t="shared" si="6"/>
        <v>CP941-SLOW_TEXT_5</v>
      </c>
      <c r="B29" t="s">
        <v>427</v>
      </c>
      <c r="C29" t="str">
        <f t="shared" si="0"/>
        <v>Altoona</v>
      </c>
      <c r="D29" t="str">
        <f t="shared" si="1"/>
        <v>Y</v>
      </c>
      <c r="E29" t="s">
        <v>544</v>
      </c>
      <c r="F29" t="str">
        <f t="shared" si="2"/>
        <v>SLOW_TEXT_5</v>
      </c>
      <c r="G29">
        <f t="shared" si="3"/>
        <v>0</v>
      </c>
      <c r="H29" t="s">
        <v>574</v>
      </c>
      <c r="I29">
        <f t="shared" si="4"/>
        <v>0</v>
      </c>
      <c r="J29" t="s">
        <v>564</v>
      </c>
      <c r="K29" s="5">
        <v>5</v>
      </c>
      <c r="L29" t="str">
        <f>Table_DataFromNL[[#This Row],[PROFILECODE]]&amp;"-"&amp;Table_DataFromNL[[#This Row],[RULENAME]]</f>
        <v>CP941-SLOW_TEXT_5</v>
      </c>
      <c r="M29" t="e">
        <f t="shared" si="5"/>
        <v>#N/A</v>
      </c>
    </row>
    <row r="30" spans="1:13" x14ac:dyDescent="0.25">
      <c r="A30" t="str">
        <f t="shared" si="6"/>
        <v>CP941-Sample Only</v>
      </c>
      <c r="B30" t="s">
        <v>427</v>
      </c>
      <c r="C30" t="str">
        <f t="shared" si="0"/>
        <v>Altoona</v>
      </c>
      <c r="D30" t="str">
        <f t="shared" si="1"/>
        <v>Y</v>
      </c>
      <c r="E30" t="s">
        <v>544</v>
      </c>
      <c r="F30" t="str">
        <f t="shared" si="2"/>
        <v>Sample Only</v>
      </c>
      <c r="G30">
        <f t="shared" si="3"/>
        <v>0</v>
      </c>
      <c r="H30" t="s">
        <v>575</v>
      </c>
      <c r="I30">
        <f t="shared" si="4"/>
        <v>0</v>
      </c>
      <c r="J30" t="s">
        <v>564</v>
      </c>
      <c r="K30" s="5">
        <v>5</v>
      </c>
      <c r="L30" t="str">
        <f>Table_DataFromNL[[#This Row],[PROFILECODE]]&amp;"-"&amp;Table_DataFromNL[[#This Row],[RULENAME]]</f>
        <v>CP941-Sample Only</v>
      </c>
      <c r="M30" t="e">
        <f t="shared" si="5"/>
        <v>#N/A</v>
      </c>
    </row>
    <row r="31" spans="1:13" x14ac:dyDescent="0.25">
      <c r="A31" t="str">
        <f t="shared" si="6"/>
        <v>CP941-Unit Below 250 mL</v>
      </c>
      <c r="B31" t="s">
        <v>427</v>
      </c>
      <c r="C31" t="str">
        <f t="shared" si="0"/>
        <v>Altoona</v>
      </c>
      <c r="D31" t="str">
        <f t="shared" si="1"/>
        <v>Y</v>
      </c>
      <c r="E31" t="s">
        <v>544</v>
      </c>
      <c r="F31" t="str">
        <f t="shared" si="2"/>
        <v>Unit Below 250 mL</v>
      </c>
      <c r="G31">
        <f t="shared" si="3"/>
        <v>0</v>
      </c>
      <c r="H31" t="s">
        <v>576</v>
      </c>
      <c r="I31">
        <f t="shared" si="4"/>
        <v>0</v>
      </c>
      <c r="J31" t="s">
        <v>564</v>
      </c>
      <c r="K31" s="5">
        <v>5</v>
      </c>
      <c r="L31" t="str">
        <f>Table_DataFromNL[[#This Row],[PROFILECODE]]&amp;"-"&amp;Table_DataFromNL[[#This Row],[RULENAME]]</f>
        <v>CP941-Unit Below 250 mL</v>
      </c>
      <c r="M31" t="e">
        <f t="shared" si="5"/>
        <v>#N/A</v>
      </c>
    </row>
    <row r="32" spans="1:13" x14ac:dyDescent="0.25">
      <c r="A32" t="str">
        <f t="shared" si="6"/>
        <v>CP941-Unit above 250 mL/underdraw</v>
      </c>
      <c r="B32" t="s">
        <v>427</v>
      </c>
      <c r="C32" t="str">
        <f t="shared" si="0"/>
        <v>Altoona</v>
      </c>
      <c r="D32" t="str">
        <f t="shared" si="1"/>
        <v>Y</v>
      </c>
      <c r="E32" t="s">
        <v>544</v>
      </c>
      <c r="F32" t="str">
        <f t="shared" si="2"/>
        <v>Unit above 250 mL/underdraw</v>
      </c>
      <c r="G32">
        <f t="shared" si="3"/>
        <v>0</v>
      </c>
      <c r="H32" t="s">
        <v>577</v>
      </c>
      <c r="I32">
        <f t="shared" si="4"/>
        <v>0</v>
      </c>
      <c r="J32" t="s">
        <v>564</v>
      </c>
      <c r="K32" s="5">
        <v>10</v>
      </c>
      <c r="L32" t="str">
        <f>Table_DataFromNL[[#This Row],[PROFILECODE]]&amp;"-"&amp;Table_DataFromNL[[#This Row],[RULENAME]]</f>
        <v>CP941-Unit above 250 mL/underdraw</v>
      </c>
      <c r="M32" t="e">
        <f t="shared" si="5"/>
        <v>#N/A</v>
      </c>
    </row>
    <row r="33" spans="1:13" x14ac:dyDescent="0.25">
      <c r="A33" t="str">
        <f t="shared" si="6"/>
        <v>CP941-RETURN - Buddy referral  -BONUS</v>
      </c>
      <c r="B33" t="s">
        <v>427</v>
      </c>
      <c r="C33" t="str">
        <f t="shared" si="0"/>
        <v>Altoona</v>
      </c>
      <c r="D33" t="str">
        <f t="shared" si="1"/>
        <v>Y</v>
      </c>
      <c r="E33" t="s">
        <v>544</v>
      </c>
      <c r="F33" t="str">
        <f t="shared" si="2"/>
        <v>RETURN - Buddy referral  -BONUS</v>
      </c>
      <c r="G33" t="str">
        <f t="shared" si="3"/>
        <v>Marketing</v>
      </c>
      <c r="H33" t="s">
        <v>34</v>
      </c>
      <c r="I33">
        <f t="shared" si="4"/>
        <v>50</v>
      </c>
      <c r="J33" t="s">
        <v>578</v>
      </c>
      <c r="K33" s="5">
        <v>50</v>
      </c>
      <c r="L33" t="str">
        <f>Table_DataFromNL[[#This Row],[PROFILECODE]]&amp;"-"&amp;Table_DataFromNL[[#This Row],[RULENAME]]</f>
        <v>CP941-Referral</v>
      </c>
      <c r="M33" t="str">
        <f t="shared" si="5"/>
        <v>CP941-RETURN - Buddy referral  -BONUS</v>
      </c>
    </row>
    <row r="34" spans="1:13" x14ac:dyDescent="0.25">
      <c r="A34" t="str">
        <f t="shared" si="6"/>
        <v>CP941-P Anti-D Pre-Existing Standard</v>
      </c>
      <c r="B34" t="s">
        <v>427</v>
      </c>
      <c r="C34" t="str">
        <f t="shared" si="0"/>
        <v>Altoona</v>
      </c>
      <c r="D34" t="str">
        <f t="shared" si="1"/>
        <v>Y</v>
      </c>
      <c r="E34" t="s">
        <v>544</v>
      </c>
      <c r="F34" t="str">
        <f t="shared" si="2"/>
        <v>P Anti-D Pre-Existing Standard</v>
      </c>
      <c r="G34" t="str">
        <f t="shared" si="3"/>
        <v>Specialty</v>
      </c>
      <c r="H34" t="s">
        <v>469</v>
      </c>
      <c r="I34" t="str">
        <f t="shared" si="4"/>
        <v>RETURN - 1st don of the week -STD</v>
      </c>
      <c r="J34" t="s">
        <v>579</v>
      </c>
      <c r="K34" s="5">
        <v>50</v>
      </c>
      <c r="L34" t="str">
        <f>Table_DataFromNL[[#This Row],[PROFILECODE]]&amp;"-"&amp;Table_DataFromNL[[#This Row],[RULENAME]]</f>
        <v>CP941-P Anti-D Pre-Existing Standard</v>
      </c>
      <c r="M34" t="str">
        <f t="shared" si="5"/>
        <v>CP941-P Anti-D Pre-Existing Standard</v>
      </c>
    </row>
    <row r="35" spans="1:13" x14ac:dyDescent="0.25">
      <c r="A35" t="str">
        <f t="shared" si="6"/>
        <v>CP941-P NORM KIG 10 Standard</v>
      </c>
      <c r="B35" t="s">
        <v>427</v>
      </c>
      <c r="C35" t="str">
        <f t="shared" si="0"/>
        <v>Altoona</v>
      </c>
      <c r="D35" t="str">
        <f t="shared" si="1"/>
        <v>Y</v>
      </c>
      <c r="E35" t="s">
        <v>544</v>
      </c>
      <c r="F35" t="str">
        <f t="shared" si="2"/>
        <v>P NORM KIG 10 Standard</v>
      </c>
      <c r="G35" t="str">
        <f t="shared" si="3"/>
        <v>?</v>
      </c>
      <c r="H35" t="s">
        <v>580</v>
      </c>
      <c r="I35">
        <f t="shared" si="4"/>
        <v>0</v>
      </c>
      <c r="J35" t="s">
        <v>579</v>
      </c>
      <c r="K35" s="5">
        <v>30</v>
      </c>
      <c r="L35" t="str">
        <f>Table_DataFromNL[[#This Row],[PROFILECODE]]&amp;"-"&amp;Table_DataFromNL[[#This Row],[RULENAME]]</f>
        <v>CP941-P NORM KIG 10 Standard</v>
      </c>
      <c r="M35" t="e">
        <f t="shared" si="5"/>
        <v>#N/A</v>
      </c>
    </row>
    <row r="36" spans="1:13" x14ac:dyDescent="0.25">
      <c r="A36" t="str">
        <f t="shared" si="6"/>
        <v>CP941-P NORM KIG 10-1 Standard</v>
      </c>
      <c r="B36" t="s">
        <v>427</v>
      </c>
      <c r="C36" t="str">
        <f t="shared" si="0"/>
        <v>Altoona</v>
      </c>
      <c r="D36" t="str">
        <f t="shared" si="1"/>
        <v>Y</v>
      </c>
      <c r="E36" t="s">
        <v>544</v>
      </c>
      <c r="F36" t="str">
        <f t="shared" si="2"/>
        <v>P NORM KIG 10-1 Standard</v>
      </c>
      <c r="G36" t="str">
        <f t="shared" si="3"/>
        <v>?</v>
      </c>
      <c r="H36" t="s">
        <v>581</v>
      </c>
      <c r="I36">
        <f t="shared" si="4"/>
        <v>0</v>
      </c>
      <c r="J36" t="s">
        <v>579</v>
      </c>
      <c r="K36" s="5">
        <v>30</v>
      </c>
      <c r="L36" t="str">
        <f>Table_DataFromNL[[#This Row],[PROFILECODE]]&amp;"-"&amp;Table_DataFromNL[[#This Row],[RULENAME]]</f>
        <v>CP941-P NORM KIG 10-1 Standard</v>
      </c>
      <c r="M36" t="e">
        <f t="shared" si="5"/>
        <v>#N/A</v>
      </c>
    </row>
    <row r="37" spans="1:13" x14ac:dyDescent="0.25">
      <c r="A37" t="str">
        <f t="shared" si="6"/>
        <v>CP941-P NORM KIG 10-2 Standard</v>
      </c>
      <c r="B37" t="s">
        <v>427</v>
      </c>
      <c r="C37" t="str">
        <f t="shared" si="0"/>
        <v>Altoona</v>
      </c>
      <c r="D37" t="str">
        <f t="shared" si="1"/>
        <v>Y</v>
      </c>
      <c r="E37" t="s">
        <v>544</v>
      </c>
      <c r="F37" t="str">
        <f t="shared" si="2"/>
        <v>P NORM KIG 10-2 Standard</v>
      </c>
      <c r="G37" t="str">
        <f t="shared" si="3"/>
        <v>?</v>
      </c>
      <c r="H37" t="s">
        <v>582</v>
      </c>
      <c r="I37">
        <f t="shared" si="4"/>
        <v>0</v>
      </c>
      <c r="J37" t="s">
        <v>579</v>
      </c>
      <c r="K37" s="5">
        <v>30</v>
      </c>
      <c r="L37" t="str">
        <f>Table_DataFromNL[[#This Row],[PROFILECODE]]&amp;"-"&amp;Table_DataFromNL[[#This Row],[RULENAME]]</f>
        <v>CP941-P NORM KIG 10-2 Standard</v>
      </c>
      <c r="M37" t="e">
        <f t="shared" si="5"/>
        <v>#N/A</v>
      </c>
    </row>
    <row r="38" spans="1:13" x14ac:dyDescent="0.25">
      <c r="A38" t="str">
        <f t="shared" si="6"/>
        <v>CP941-RETURN - 1st don of the week -STD</v>
      </c>
      <c r="B38" t="s">
        <v>427</v>
      </c>
      <c r="C38" t="str">
        <f t="shared" si="0"/>
        <v>Altoona</v>
      </c>
      <c r="D38" t="str">
        <f t="shared" si="1"/>
        <v>Y</v>
      </c>
      <c r="E38" t="s">
        <v>544</v>
      </c>
      <c r="F38" t="str">
        <f t="shared" si="2"/>
        <v>RETURN - 1st don of the week -STD</v>
      </c>
      <c r="G38" t="str">
        <f t="shared" si="3"/>
        <v>Marketing</v>
      </c>
      <c r="H38" t="s">
        <v>583</v>
      </c>
      <c r="I38">
        <f t="shared" si="4"/>
        <v>22</v>
      </c>
      <c r="J38" t="s">
        <v>579</v>
      </c>
      <c r="K38" s="5">
        <v>30</v>
      </c>
      <c r="L38" t="str">
        <f>Table_DataFromNL[[#This Row],[PROFILECODE]]&amp;"-"&amp;Table_DataFromNL[[#This Row],[RULENAME]]</f>
        <v>CP941-P NSP NS AP Standard</v>
      </c>
      <c r="M38" t="str">
        <f t="shared" si="5"/>
        <v>CP941-RETURN - 1st don of the week -STD</v>
      </c>
    </row>
    <row r="39" spans="1:13" x14ac:dyDescent="0.25">
      <c r="A39" t="str">
        <f t="shared" si="6"/>
        <v>CP941-RETURN - 1st don of the week -STD</v>
      </c>
      <c r="B39" t="s">
        <v>427</v>
      </c>
      <c r="C39" t="str">
        <f t="shared" si="0"/>
        <v>Altoona</v>
      </c>
      <c r="D39" t="str">
        <f t="shared" si="1"/>
        <v>Y</v>
      </c>
      <c r="E39" t="s">
        <v>544</v>
      </c>
      <c r="F39" t="str">
        <f t="shared" si="2"/>
        <v>RETURN - 1st don of the week -STD</v>
      </c>
      <c r="G39" t="str">
        <f t="shared" si="3"/>
        <v>Marketing</v>
      </c>
      <c r="H39" t="s">
        <v>584</v>
      </c>
      <c r="I39">
        <f t="shared" si="4"/>
        <v>23</v>
      </c>
      <c r="J39" t="s">
        <v>579</v>
      </c>
      <c r="K39" s="5">
        <v>30</v>
      </c>
      <c r="L39" t="str">
        <f>Table_DataFromNL[[#This Row],[PROFILECODE]]&amp;"-"&amp;Table_DataFromNL[[#This Row],[RULENAME]]</f>
        <v>CP941-P NSP NS Standard</v>
      </c>
      <c r="M39" t="str">
        <f t="shared" si="5"/>
        <v>CP941-RETURN - 1st don of the week -STD</v>
      </c>
    </row>
    <row r="40" spans="1:13" x14ac:dyDescent="0.25">
      <c r="A40" t="str">
        <f t="shared" si="6"/>
        <v>CP893-1st Responder-Medical</v>
      </c>
      <c r="B40" t="s">
        <v>270</v>
      </c>
      <c r="C40" t="str">
        <f t="shared" si="0"/>
        <v>Amarillo</v>
      </c>
      <c r="D40" t="str">
        <f t="shared" si="1"/>
        <v>Y</v>
      </c>
      <c r="E40" t="s">
        <v>585</v>
      </c>
      <c r="F40" t="str">
        <f t="shared" si="2"/>
        <v>1st Responder-Medical</v>
      </c>
      <c r="G40">
        <f t="shared" si="3"/>
        <v>0</v>
      </c>
      <c r="H40" t="s">
        <v>545</v>
      </c>
      <c r="I40">
        <f t="shared" si="4"/>
        <v>0</v>
      </c>
      <c r="J40" t="s">
        <v>546</v>
      </c>
      <c r="K40" s="5">
        <v>5</v>
      </c>
      <c r="L40" t="str">
        <f>Table_DataFromNL[[#This Row],[PROFILECODE]]&amp;"-"&amp;Table_DataFromNL[[#This Row],[RULENAME]]</f>
        <v>CP893-1st Responder-Medical</v>
      </c>
      <c r="M40" t="e">
        <f t="shared" si="5"/>
        <v>#N/A</v>
      </c>
    </row>
    <row r="41" spans="1:13" x14ac:dyDescent="0.25">
      <c r="A41" t="str">
        <f t="shared" si="6"/>
        <v>CP893-2X Week P HBS</v>
      </c>
      <c r="B41" t="s">
        <v>270</v>
      </c>
      <c r="C41" t="str">
        <f t="shared" si="0"/>
        <v>Amarillo</v>
      </c>
      <c r="D41" t="str">
        <f t="shared" si="1"/>
        <v>Y</v>
      </c>
      <c r="E41" t="s">
        <v>585</v>
      </c>
      <c r="F41" t="str">
        <f t="shared" si="2"/>
        <v>2X Week P HBS</v>
      </c>
      <c r="G41" t="str">
        <f t="shared" si="3"/>
        <v>Specialty</v>
      </c>
      <c r="H41" t="s">
        <v>470</v>
      </c>
      <c r="I41" t="str">
        <f t="shared" si="4"/>
        <v>RETURN - 2nd don of the week -BONUS</v>
      </c>
      <c r="J41" t="s">
        <v>546</v>
      </c>
      <c r="K41" s="5">
        <v>30</v>
      </c>
      <c r="L41" t="str">
        <f>Table_DataFromNL[[#This Row],[PROFILECODE]]&amp;"-"&amp;Table_DataFromNL[[#This Row],[RULENAME]]</f>
        <v>CP893-2X Week P HBS</v>
      </c>
      <c r="M41" t="str">
        <f t="shared" si="5"/>
        <v>CP893-2X Week P HBS</v>
      </c>
    </row>
    <row r="42" spans="1:13" x14ac:dyDescent="0.25">
      <c r="A42" t="str">
        <f t="shared" si="6"/>
        <v>CP893-2X Week P HBS Pre-Existing</v>
      </c>
      <c r="B42" t="s">
        <v>270</v>
      </c>
      <c r="C42" t="str">
        <f t="shared" si="0"/>
        <v>Amarillo</v>
      </c>
      <c r="D42" t="str">
        <f t="shared" si="1"/>
        <v>Y</v>
      </c>
      <c r="E42" t="s">
        <v>585</v>
      </c>
      <c r="F42" t="str">
        <f t="shared" si="2"/>
        <v>2X Week P HBS Pre-Existing</v>
      </c>
      <c r="G42" t="str">
        <f t="shared" si="3"/>
        <v>Specialty</v>
      </c>
      <c r="H42" t="s">
        <v>471</v>
      </c>
      <c r="I42" t="str">
        <f t="shared" si="4"/>
        <v>RETURN - 2nd don of the week -BONUS</v>
      </c>
      <c r="J42" t="s">
        <v>546</v>
      </c>
      <c r="K42" s="5">
        <v>30</v>
      </c>
      <c r="L42" t="str">
        <f>Table_DataFromNL[[#This Row],[PROFILECODE]]&amp;"-"&amp;Table_DataFromNL[[#This Row],[RULENAME]]</f>
        <v>CP893-2X Week P HBS Pre-Existing</v>
      </c>
      <c r="M42" t="str">
        <f t="shared" si="5"/>
        <v>CP893-2X Week P HBS Pre-Existing</v>
      </c>
    </row>
    <row r="43" spans="1:13" x14ac:dyDescent="0.25">
      <c r="A43" t="str">
        <f t="shared" si="6"/>
        <v>CP893-RETURN - 2nd don of the week -BONUS</v>
      </c>
      <c r="B43" t="s">
        <v>270</v>
      </c>
      <c r="C43" t="str">
        <f t="shared" si="0"/>
        <v>Amarillo</v>
      </c>
      <c r="D43" t="str">
        <f t="shared" si="1"/>
        <v>Y</v>
      </c>
      <c r="E43" t="s">
        <v>585</v>
      </c>
      <c r="F43" t="str">
        <f t="shared" si="2"/>
        <v>RETURN - 2nd don of the week -BONUS</v>
      </c>
      <c r="G43" t="str">
        <f t="shared" si="3"/>
        <v>Marketing</v>
      </c>
      <c r="H43" t="s">
        <v>550</v>
      </c>
      <c r="I43">
        <f t="shared" si="4"/>
        <v>26</v>
      </c>
      <c r="J43" t="s">
        <v>546</v>
      </c>
      <c r="K43" s="5">
        <v>20</v>
      </c>
      <c r="L43" t="str">
        <f>Table_DataFromNL[[#This Row],[PROFILECODE]]&amp;"-"&amp;Table_DataFromNL[[#This Row],[RULENAME]]</f>
        <v>CP893-2X Week P NSP NS</v>
      </c>
      <c r="M43" t="str">
        <f t="shared" si="5"/>
        <v>CP893-RETURN - 2nd don of the week -BONUS</v>
      </c>
    </row>
    <row r="44" spans="1:13" x14ac:dyDescent="0.25">
      <c r="A44" t="str">
        <f t="shared" si="6"/>
        <v>CP893-RETURN - 2nd don of the week -BONUS</v>
      </c>
      <c r="B44" t="s">
        <v>270</v>
      </c>
      <c r="C44" t="str">
        <f t="shared" si="0"/>
        <v>Amarillo</v>
      </c>
      <c r="D44" t="str">
        <f t="shared" si="1"/>
        <v>Y</v>
      </c>
      <c r="E44" t="s">
        <v>585</v>
      </c>
      <c r="F44" t="str">
        <f t="shared" si="2"/>
        <v>RETURN - 2nd don of the week -BONUS</v>
      </c>
      <c r="G44" t="str">
        <f t="shared" si="3"/>
        <v>Marketing</v>
      </c>
      <c r="H44" t="s">
        <v>551</v>
      </c>
      <c r="I44" t="str">
        <f t="shared" si="4"/>
        <v>RETURN - 2nd don of the week -BONUS</v>
      </c>
      <c r="J44" t="s">
        <v>546</v>
      </c>
      <c r="K44" s="5">
        <v>20</v>
      </c>
      <c r="L44" t="str">
        <f>Table_DataFromNL[[#This Row],[PROFILECODE]]&amp;"-"&amp;Table_DataFromNL[[#This Row],[RULENAME]]</f>
        <v>CP893-2X Week P NSP NS AP</v>
      </c>
      <c r="M44" t="str">
        <f t="shared" si="5"/>
        <v>CP893-RETURN - 2nd don of the week -BONUS</v>
      </c>
    </row>
    <row r="45" spans="1:13" x14ac:dyDescent="0.25">
      <c r="A45" t="str">
        <f t="shared" si="6"/>
        <v>CP893-RETURN - 6th don of the month -BONUS</v>
      </c>
      <c r="B45" t="s">
        <v>270</v>
      </c>
      <c r="C45" t="str">
        <f t="shared" si="0"/>
        <v>Amarillo</v>
      </c>
      <c r="D45" t="str">
        <f t="shared" si="1"/>
        <v>Y</v>
      </c>
      <c r="E45" t="s">
        <v>585</v>
      </c>
      <c r="F45" t="str">
        <f t="shared" si="2"/>
        <v>RETURN - 6th don of the month -BONUS</v>
      </c>
      <c r="G45" t="str">
        <f t="shared" si="3"/>
        <v>Marketing</v>
      </c>
      <c r="H45" t="s">
        <v>552</v>
      </c>
      <c r="I45">
        <f t="shared" si="4"/>
        <v>28</v>
      </c>
      <c r="J45" t="s">
        <v>546</v>
      </c>
      <c r="K45" s="5">
        <v>30</v>
      </c>
      <c r="L45" t="str">
        <f>Table_DataFromNL[[#This Row],[PROFILECODE]]&amp;"-"&amp;Table_DataFromNL[[#This Row],[RULENAME]]</f>
        <v>CP893-6X Month</v>
      </c>
      <c r="M45" t="str">
        <f t="shared" si="5"/>
        <v>CP893-RETURN - 6th don of the month -BONUS</v>
      </c>
    </row>
    <row r="46" spans="1:13" x14ac:dyDescent="0.25">
      <c r="A46" t="str">
        <f t="shared" si="6"/>
        <v>CP893-College ID Standard Bonus</v>
      </c>
      <c r="B46" t="s">
        <v>270</v>
      </c>
      <c r="C46" t="str">
        <f t="shared" si="0"/>
        <v>Amarillo</v>
      </c>
      <c r="D46" t="str">
        <f t="shared" si="1"/>
        <v>Y</v>
      </c>
      <c r="E46" t="s">
        <v>585</v>
      </c>
      <c r="F46" t="str">
        <f t="shared" si="2"/>
        <v>College ID Standard Bonus</v>
      </c>
      <c r="G46">
        <f t="shared" si="3"/>
        <v>0</v>
      </c>
      <c r="H46" t="s">
        <v>553</v>
      </c>
      <c r="I46">
        <f t="shared" si="4"/>
        <v>0</v>
      </c>
      <c r="J46" t="s">
        <v>546</v>
      </c>
      <c r="K46" s="5">
        <v>5</v>
      </c>
      <c r="L46" t="str">
        <f>Table_DataFromNL[[#This Row],[PROFILECODE]]&amp;"-"&amp;Table_DataFromNL[[#This Row],[RULENAME]]</f>
        <v>CP893-College ID Standard Bonus</v>
      </c>
      <c r="M46" t="e">
        <f t="shared" si="5"/>
        <v>#N/A</v>
      </c>
    </row>
    <row r="47" spans="1:13" x14ac:dyDescent="0.25">
      <c r="A47" t="str">
        <f t="shared" si="6"/>
        <v>CP893-Military ID</v>
      </c>
      <c r="B47" t="s">
        <v>270</v>
      </c>
      <c r="C47" t="str">
        <f t="shared" si="0"/>
        <v>Amarillo</v>
      </c>
      <c r="D47" t="str">
        <f t="shared" si="1"/>
        <v>Y</v>
      </c>
      <c r="E47" t="s">
        <v>585</v>
      </c>
      <c r="F47" t="str">
        <f t="shared" si="2"/>
        <v>Military ID</v>
      </c>
      <c r="G47">
        <f t="shared" si="3"/>
        <v>0</v>
      </c>
      <c r="H47" t="s">
        <v>554</v>
      </c>
      <c r="I47">
        <f t="shared" si="4"/>
        <v>0</v>
      </c>
      <c r="J47" t="s">
        <v>546</v>
      </c>
      <c r="K47" s="5">
        <v>5</v>
      </c>
      <c r="L47" t="str">
        <f>Table_DataFromNL[[#This Row],[PROFILECODE]]&amp;"-"&amp;Table_DataFromNL[[#This Row],[RULENAME]]</f>
        <v>CP893-Military ID</v>
      </c>
      <c r="M47" t="e">
        <f t="shared" si="5"/>
        <v>#N/A</v>
      </c>
    </row>
    <row r="48" spans="1:13" x14ac:dyDescent="0.25">
      <c r="A48" t="str">
        <f t="shared" si="6"/>
        <v>CP893-NEW DONOR -1st</v>
      </c>
      <c r="B48" t="s">
        <v>270</v>
      </c>
      <c r="C48" t="str">
        <f t="shared" si="0"/>
        <v>Amarillo</v>
      </c>
      <c r="D48" t="str">
        <f t="shared" si="1"/>
        <v>Y</v>
      </c>
      <c r="E48" t="s">
        <v>585</v>
      </c>
      <c r="F48" t="str">
        <f t="shared" si="2"/>
        <v>NEW DONOR -1st</v>
      </c>
      <c r="G48" t="str">
        <f t="shared" si="3"/>
        <v>Marketing</v>
      </c>
      <c r="H48" t="s">
        <v>555</v>
      </c>
      <c r="I48">
        <f t="shared" si="4"/>
        <v>1</v>
      </c>
      <c r="J48" t="s">
        <v>546</v>
      </c>
      <c r="K48" s="5">
        <v>100</v>
      </c>
      <c r="L48" t="str">
        <f>Table_DataFromNL[[#This Row],[PROFILECODE]]&amp;"-"&amp;Table_DataFromNL[[#This Row],[RULENAME]]</f>
        <v>CP893-New Donor 1st Visit-Bonus</v>
      </c>
      <c r="M48" t="str">
        <f t="shared" si="5"/>
        <v>CP893-NEW DONOR -1st</v>
      </c>
    </row>
    <row r="49" spans="1:13" x14ac:dyDescent="0.25">
      <c r="A49" t="str">
        <f t="shared" si="6"/>
        <v>CP893-NEW DONOR -2nd</v>
      </c>
      <c r="B49" t="s">
        <v>270</v>
      </c>
      <c r="C49" t="str">
        <f t="shared" si="0"/>
        <v>Amarillo</v>
      </c>
      <c r="D49" t="str">
        <f t="shared" si="1"/>
        <v>Y</v>
      </c>
      <c r="E49" t="s">
        <v>585</v>
      </c>
      <c r="F49" t="str">
        <f t="shared" si="2"/>
        <v>NEW DONOR -2nd</v>
      </c>
      <c r="G49" t="str">
        <f t="shared" si="3"/>
        <v>Marketing</v>
      </c>
      <c r="H49" t="s">
        <v>556</v>
      </c>
      <c r="I49">
        <f t="shared" si="4"/>
        <v>2</v>
      </c>
      <c r="J49" t="s">
        <v>546</v>
      </c>
      <c r="K49" s="5">
        <v>100</v>
      </c>
      <c r="L49" t="str">
        <f>Table_DataFromNL[[#This Row],[PROFILECODE]]&amp;"-"&amp;Table_DataFromNL[[#This Row],[RULENAME]]</f>
        <v>CP893-New Donor 2nd Visit-Bonus</v>
      </c>
      <c r="M49" t="str">
        <f t="shared" si="5"/>
        <v>CP893-NEW DONOR -2nd</v>
      </c>
    </row>
    <row r="50" spans="1:13" x14ac:dyDescent="0.25">
      <c r="A50" t="str">
        <f t="shared" si="6"/>
        <v>CP893-NEW DONOR -3rd</v>
      </c>
      <c r="B50" t="s">
        <v>270</v>
      </c>
      <c r="C50" t="str">
        <f t="shared" si="0"/>
        <v>Amarillo</v>
      </c>
      <c r="D50" t="str">
        <f t="shared" si="1"/>
        <v>Y</v>
      </c>
      <c r="E50" t="s">
        <v>585</v>
      </c>
      <c r="F50" t="str">
        <f t="shared" si="2"/>
        <v>NEW DONOR -3rd</v>
      </c>
      <c r="G50" t="str">
        <f t="shared" si="3"/>
        <v>Marketing</v>
      </c>
      <c r="H50" t="s">
        <v>557</v>
      </c>
      <c r="I50">
        <f t="shared" si="4"/>
        <v>3</v>
      </c>
      <c r="J50" t="s">
        <v>546</v>
      </c>
      <c r="K50" s="5">
        <v>100</v>
      </c>
      <c r="L50" t="str">
        <f>Table_DataFromNL[[#This Row],[PROFILECODE]]&amp;"-"&amp;Table_DataFromNL[[#This Row],[RULENAME]]</f>
        <v>CP893-New Donor 3rd Visit-Bonus</v>
      </c>
      <c r="M50" t="str">
        <f t="shared" si="5"/>
        <v>CP893-NEW DONOR -3rd</v>
      </c>
    </row>
    <row r="51" spans="1:13" x14ac:dyDescent="0.25">
      <c r="A51" t="str">
        <f t="shared" si="6"/>
        <v>CP893-NEW DONOR -4th</v>
      </c>
      <c r="B51" t="s">
        <v>270</v>
      </c>
      <c r="C51" t="str">
        <f t="shared" si="0"/>
        <v>Amarillo</v>
      </c>
      <c r="D51" t="str">
        <f t="shared" si="1"/>
        <v>Y</v>
      </c>
      <c r="E51" t="s">
        <v>585</v>
      </c>
      <c r="F51" t="str">
        <f t="shared" si="2"/>
        <v>NEW DONOR -4th</v>
      </c>
      <c r="G51" t="str">
        <f t="shared" si="3"/>
        <v>Marketing</v>
      </c>
      <c r="H51" t="s">
        <v>558</v>
      </c>
      <c r="I51">
        <f t="shared" si="4"/>
        <v>4</v>
      </c>
      <c r="J51" t="s">
        <v>546</v>
      </c>
      <c r="K51" s="5">
        <v>100</v>
      </c>
      <c r="L51" t="str">
        <f>Table_DataFromNL[[#This Row],[PROFILECODE]]&amp;"-"&amp;Table_DataFromNL[[#This Row],[RULENAME]]</f>
        <v>CP893-New Donor 4th Visit-Bonus</v>
      </c>
      <c r="M51" t="str">
        <f t="shared" si="5"/>
        <v>CP893-NEW DONOR -4th</v>
      </c>
    </row>
    <row r="52" spans="1:13" x14ac:dyDescent="0.25">
      <c r="A52" t="str">
        <f t="shared" si="6"/>
        <v>CP893-NEW DONOR -5th</v>
      </c>
      <c r="B52" t="s">
        <v>270</v>
      </c>
      <c r="C52" t="str">
        <f t="shared" si="0"/>
        <v>Amarillo</v>
      </c>
      <c r="D52" t="str">
        <f t="shared" si="1"/>
        <v>Y</v>
      </c>
      <c r="E52" t="s">
        <v>585</v>
      </c>
      <c r="F52" t="str">
        <f t="shared" si="2"/>
        <v>NEW DONOR -5th</v>
      </c>
      <c r="G52" t="str">
        <f t="shared" si="3"/>
        <v>Marketing</v>
      </c>
      <c r="H52" t="s">
        <v>559</v>
      </c>
      <c r="I52">
        <f t="shared" si="4"/>
        <v>5</v>
      </c>
      <c r="J52" t="s">
        <v>546</v>
      </c>
      <c r="K52" s="5">
        <v>100</v>
      </c>
      <c r="L52" t="str">
        <f>Table_DataFromNL[[#This Row],[PROFILECODE]]&amp;"-"&amp;Table_DataFromNL[[#This Row],[RULENAME]]</f>
        <v>CP893-New Donor 5th Visit-Bonus</v>
      </c>
      <c r="M52" t="str">
        <f t="shared" si="5"/>
        <v>CP893-NEW DONOR -5th</v>
      </c>
    </row>
    <row r="53" spans="1:13" x14ac:dyDescent="0.25">
      <c r="A53" t="str">
        <f t="shared" si="6"/>
        <v>CP893-NEW DONOR -6th</v>
      </c>
      <c r="B53" t="s">
        <v>270</v>
      </c>
      <c r="C53" t="str">
        <f t="shared" si="0"/>
        <v>Amarillo</v>
      </c>
      <c r="D53" t="str">
        <f t="shared" si="1"/>
        <v>Y</v>
      </c>
      <c r="E53" t="s">
        <v>585</v>
      </c>
      <c r="F53" t="str">
        <f t="shared" si="2"/>
        <v>NEW DONOR -6th</v>
      </c>
      <c r="G53" t="str">
        <f t="shared" si="3"/>
        <v>Marketing</v>
      </c>
      <c r="H53" t="s">
        <v>560</v>
      </c>
      <c r="I53">
        <f t="shared" si="4"/>
        <v>6</v>
      </c>
      <c r="J53" t="s">
        <v>546</v>
      </c>
      <c r="K53" s="5">
        <v>50</v>
      </c>
      <c r="L53" t="str">
        <f>Table_DataFromNL[[#This Row],[PROFILECODE]]&amp;"-"&amp;Table_DataFromNL[[#This Row],[RULENAME]]</f>
        <v>CP893-New Donor 6th Visit-Bonus</v>
      </c>
      <c r="M53" t="str">
        <f t="shared" si="5"/>
        <v>CP893-NEW DONOR -6th</v>
      </c>
    </row>
    <row r="54" spans="1:13" x14ac:dyDescent="0.25">
      <c r="A54" t="str">
        <f t="shared" si="6"/>
        <v>CP893-NEW DONOR -7th</v>
      </c>
      <c r="B54" t="s">
        <v>270</v>
      </c>
      <c r="C54" t="str">
        <f t="shared" si="0"/>
        <v>Amarillo</v>
      </c>
      <c r="D54" t="str">
        <f t="shared" si="1"/>
        <v>Y</v>
      </c>
      <c r="E54" t="s">
        <v>585</v>
      </c>
      <c r="F54" t="str">
        <f t="shared" si="2"/>
        <v>NEW DONOR -7th</v>
      </c>
      <c r="G54" t="str">
        <f t="shared" si="3"/>
        <v>Marketing</v>
      </c>
      <c r="H54" t="s">
        <v>561</v>
      </c>
      <c r="I54">
        <f t="shared" si="4"/>
        <v>7</v>
      </c>
      <c r="J54" t="s">
        <v>546</v>
      </c>
      <c r="K54" s="5">
        <v>50</v>
      </c>
      <c r="L54" t="str">
        <f>Table_DataFromNL[[#This Row],[PROFILECODE]]&amp;"-"&amp;Table_DataFromNL[[#This Row],[RULENAME]]</f>
        <v>CP893-New Donor 7th Visit-Bonus</v>
      </c>
      <c r="M54" t="str">
        <f t="shared" si="5"/>
        <v>CP893-NEW DONOR -7th</v>
      </c>
    </row>
    <row r="55" spans="1:13" x14ac:dyDescent="0.25">
      <c r="A55" t="str">
        <f t="shared" si="6"/>
        <v>CP893-NEW DONOR -8th</v>
      </c>
      <c r="B55" t="s">
        <v>270</v>
      </c>
      <c r="C55" t="str">
        <f t="shared" si="0"/>
        <v>Amarillo</v>
      </c>
      <c r="D55" t="str">
        <f t="shared" si="1"/>
        <v>Y</v>
      </c>
      <c r="E55" t="s">
        <v>585</v>
      </c>
      <c r="F55" t="str">
        <f t="shared" si="2"/>
        <v>NEW DONOR -8th</v>
      </c>
      <c r="G55" t="str">
        <f t="shared" si="3"/>
        <v>Marketing</v>
      </c>
      <c r="H55" t="s">
        <v>562</v>
      </c>
      <c r="I55">
        <f t="shared" si="4"/>
        <v>8</v>
      </c>
      <c r="J55" t="s">
        <v>546</v>
      </c>
      <c r="K55" s="5">
        <v>50</v>
      </c>
      <c r="L55" t="str">
        <f>Table_DataFromNL[[#This Row],[PROFILECODE]]&amp;"-"&amp;Table_DataFromNL[[#This Row],[RULENAME]]</f>
        <v>CP893-New Donor 8th Visit-Bonus</v>
      </c>
      <c r="M55" t="str">
        <f t="shared" si="5"/>
        <v>CP893-NEW DONOR -8th</v>
      </c>
    </row>
    <row r="56" spans="1:13" x14ac:dyDescent="0.25">
      <c r="A56" t="str">
        <f t="shared" si="6"/>
        <v>CP893-Community</v>
      </c>
      <c r="B56" t="s">
        <v>270</v>
      </c>
      <c r="C56" t="str">
        <f t="shared" si="0"/>
        <v>Amarillo</v>
      </c>
      <c r="D56" t="str">
        <f t="shared" si="1"/>
        <v>Y</v>
      </c>
      <c r="E56" t="s">
        <v>585</v>
      </c>
      <c r="F56" t="str">
        <f t="shared" si="2"/>
        <v>Community</v>
      </c>
      <c r="G56">
        <f t="shared" si="3"/>
        <v>0</v>
      </c>
      <c r="H56" t="s">
        <v>563</v>
      </c>
      <c r="I56">
        <f t="shared" si="4"/>
        <v>0</v>
      </c>
      <c r="J56" t="s">
        <v>564</v>
      </c>
      <c r="K56" s="5">
        <v>5</v>
      </c>
      <c r="L56" t="str">
        <f>Table_DataFromNL[[#This Row],[PROFILECODE]]&amp;"-"&amp;Table_DataFromNL[[#This Row],[RULENAME]]</f>
        <v>CP893-Community</v>
      </c>
      <c r="M56" t="e">
        <f t="shared" si="5"/>
        <v>#N/A</v>
      </c>
    </row>
    <row r="57" spans="1:13" x14ac:dyDescent="0.25">
      <c r="A57" t="str">
        <f t="shared" si="6"/>
        <v>CP893-HANGER_RECRUIT_5USD_once</v>
      </c>
      <c r="B57" t="s">
        <v>270</v>
      </c>
      <c r="C57" t="str">
        <f t="shared" si="0"/>
        <v>Amarillo</v>
      </c>
      <c r="D57" t="str">
        <f t="shared" si="1"/>
        <v>Y</v>
      </c>
      <c r="E57" t="s">
        <v>585</v>
      </c>
      <c r="F57" t="str">
        <f t="shared" si="2"/>
        <v>HANGER_RECRUIT_5USD_once</v>
      </c>
      <c r="G57">
        <f t="shared" si="3"/>
        <v>0</v>
      </c>
      <c r="H57" t="s">
        <v>565</v>
      </c>
      <c r="I57">
        <f t="shared" si="4"/>
        <v>0</v>
      </c>
      <c r="J57" t="s">
        <v>564</v>
      </c>
      <c r="K57" s="5">
        <v>5</v>
      </c>
      <c r="L57" t="str">
        <f>Table_DataFromNL[[#This Row],[PROFILECODE]]&amp;"-"&amp;Table_DataFromNL[[#This Row],[RULENAME]]</f>
        <v>CP893-HANGER_RECRUIT_5USD_once</v>
      </c>
      <c r="M57" t="e">
        <f t="shared" si="5"/>
        <v>#N/A</v>
      </c>
    </row>
    <row r="58" spans="1:13" x14ac:dyDescent="0.25">
      <c r="A58" t="str">
        <f t="shared" si="6"/>
        <v>CP893-Inconv Fee $20-$50-Comment Req'd</v>
      </c>
      <c r="B58" t="s">
        <v>270</v>
      </c>
      <c r="C58" t="str">
        <f t="shared" si="0"/>
        <v>Amarillo</v>
      </c>
      <c r="D58" t="str">
        <f t="shared" si="1"/>
        <v>Y</v>
      </c>
      <c r="E58" t="s">
        <v>585</v>
      </c>
      <c r="F58" t="str">
        <f t="shared" si="2"/>
        <v>Inconv Fee $20-$50-Comment Req'd</v>
      </c>
      <c r="G58">
        <f t="shared" si="3"/>
        <v>0</v>
      </c>
      <c r="H58" t="s">
        <v>566</v>
      </c>
      <c r="I58">
        <f t="shared" si="4"/>
        <v>0</v>
      </c>
      <c r="J58" t="s">
        <v>564</v>
      </c>
      <c r="K58" s="5">
        <v>50</v>
      </c>
      <c r="L58" t="str">
        <f>Table_DataFromNL[[#This Row],[PROFILECODE]]&amp;"-"&amp;Table_DataFromNL[[#This Row],[RULENAME]]</f>
        <v>CP893-Inconv Fee $20-$50-Comment Req'd</v>
      </c>
      <c r="M58" t="e">
        <f t="shared" si="5"/>
        <v>#N/A</v>
      </c>
    </row>
    <row r="59" spans="1:13" x14ac:dyDescent="0.25">
      <c r="A59" t="str">
        <f t="shared" si="6"/>
        <v>CP893-Inconv Fee $5-$20-Comment Req'd</v>
      </c>
      <c r="B59" t="s">
        <v>270</v>
      </c>
      <c r="C59" t="str">
        <f t="shared" si="0"/>
        <v>Amarillo</v>
      </c>
      <c r="D59" t="str">
        <f t="shared" si="1"/>
        <v>Y</v>
      </c>
      <c r="E59" t="s">
        <v>585</v>
      </c>
      <c r="F59" t="str">
        <f t="shared" si="2"/>
        <v>Inconv Fee $5-$20-Comment Req'd</v>
      </c>
      <c r="G59">
        <f t="shared" si="3"/>
        <v>0</v>
      </c>
      <c r="H59" t="s">
        <v>567</v>
      </c>
      <c r="I59">
        <f t="shared" si="4"/>
        <v>0</v>
      </c>
      <c r="J59" t="s">
        <v>564</v>
      </c>
      <c r="K59" s="5">
        <v>20</v>
      </c>
      <c r="L59" t="str">
        <f>Table_DataFromNL[[#This Row],[PROFILECODE]]&amp;"-"&amp;Table_DataFromNL[[#This Row],[RULENAME]]</f>
        <v>CP893-Inconv Fee $5-$20-Comment Req'd</v>
      </c>
      <c r="M59" t="e">
        <f t="shared" si="5"/>
        <v>#N/A</v>
      </c>
    </row>
    <row r="60" spans="1:13" x14ac:dyDescent="0.25">
      <c r="A60" t="str">
        <f t="shared" si="6"/>
        <v>CP893-Inconv Fee$50-$100-Comment Req'd</v>
      </c>
      <c r="B60" t="s">
        <v>270</v>
      </c>
      <c r="C60" t="str">
        <f t="shared" si="0"/>
        <v>Amarillo</v>
      </c>
      <c r="D60" t="str">
        <f t="shared" si="1"/>
        <v>Y</v>
      </c>
      <c r="E60" t="s">
        <v>585</v>
      </c>
      <c r="F60" t="str">
        <f t="shared" si="2"/>
        <v>Inconv Fee$50-$100-Comment Req'd</v>
      </c>
      <c r="G60">
        <f t="shared" si="3"/>
        <v>0</v>
      </c>
      <c r="H60" t="s">
        <v>568</v>
      </c>
      <c r="I60">
        <f t="shared" si="4"/>
        <v>0</v>
      </c>
      <c r="J60" t="s">
        <v>564</v>
      </c>
      <c r="K60" s="5">
        <v>100</v>
      </c>
      <c r="L60" t="str">
        <f>Table_DataFromNL[[#This Row],[PROFILECODE]]&amp;"-"&amp;Table_DataFromNL[[#This Row],[RULENAME]]</f>
        <v>CP893-Inconv Fee$50-$100-Comment Req'd</v>
      </c>
      <c r="M60" t="e">
        <f t="shared" si="5"/>
        <v>#N/A</v>
      </c>
    </row>
    <row r="61" spans="1:13" x14ac:dyDescent="0.25">
      <c r="A61" t="str">
        <f t="shared" si="6"/>
        <v>CP893-NSP_ LAPSEDONOR_50_Twice</v>
      </c>
      <c r="B61" t="s">
        <v>270</v>
      </c>
      <c r="C61" t="str">
        <f t="shared" si="0"/>
        <v>Amarillo</v>
      </c>
      <c r="D61" t="str">
        <f t="shared" si="1"/>
        <v>Y</v>
      </c>
      <c r="E61" t="s">
        <v>585</v>
      </c>
      <c r="F61" t="str">
        <f t="shared" si="2"/>
        <v>NSP_ LAPSEDONOR_50_Twice</v>
      </c>
      <c r="G61">
        <f t="shared" si="3"/>
        <v>0</v>
      </c>
      <c r="H61" t="s">
        <v>569</v>
      </c>
      <c r="I61">
        <f t="shared" si="4"/>
        <v>0</v>
      </c>
      <c r="J61" t="s">
        <v>564</v>
      </c>
      <c r="K61" s="5">
        <v>50</v>
      </c>
      <c r="L61" t="str">
        <f>Table_DataFromNL[[#This Row],[PROFILECODE]]&amp;"-"&amp;Table_DataFromNL[[#This Row],[RULENAME]]</f>
        <v>CP893-NSP_ LAPSEDONOR_50_Twice</v>
      </c>
      <c r="M61" t="e">
        <f t="shared" si="5"/>
        <v>#N/A</v>
      </c>
    </row>
    <row r="62" spans="1:13" x14ac:dyDescent="0.25">
      <c r="A62" t="str">
        <f t="shared" si="6"/>
        <v>CP893-NSP_LD_25_2X</v>
      </c>
      <c r="B62" t="s">
        <v>270</v>
      </c>
      <c r="C62" t="str">
        <f t="shared" si="0"/>
        <v>Amarillo</v>
      </c>
      <c r="D62" t="str">
        <f t="shared" si="1"/>
        <v>Y</v>
      </c>
      <c r="E62" t="s">
        <v>585</v>
      </c>
      <c r="F62" t="str">
        <f t="shared" si="2"/>
        <v>NSP_LD_25_2X</v>
      </c>
      <c r="G62">
        <f t="shared" si="3"/>
        <v>0</v>
      </c>
      <c r="H62" t="s">
        <v>570</v>
      </c>
      <c r="I62">
        <f t="shared" si="4"/>
        <v>0</v>
      </c>
      <c r="J62" t="s">
        <v>564</v>
      </c>
      <c r="K62" s="5">
        <v>25</v>
      </c>
      <c r="L62" t="str">
        <f>Table_DataFromNL[[#This Row],[PROFILECODE]]&amp;"-"&amp;Table_DataFromNL[[#This Row],[RULENAME]]</f>
        <v>CP893-NSP_LD_25_2X</v>
      </c>
      <c r="M62" t="e">
        <f t="shared" si="5"/>
        <v>#N/A</v>
      </c>
    </row>
    <row r="63" spans="1:13" x14ac:dyDescent="0.25">
      <c r="A63" t="str">
        <f t="shared" si="6"/>
        <v>CP893-NSP_LD_50_1X</v>
      </c>
      <c r="B63" t="s">
        <v>270</v>
      </c>
      <c r="C63" t="str">
        <f t="shared" si="0"/>
        <v>Amarillo</v>
      </c>
      <c r="D63" t="str">
        <f t="shared" si="1"/>
        <v>Y</v>
      </c>
      <c r="E63" t="s">
        <v>585</v>
      </c>
      <c r="F63" t="str">
        <f t="shared" si="2"/>
        <v>NSP_LD_50_1X</v>
      </c>
      <c r="G63">
        <f t="shared" si="3"/>
        <v>0</v>
      </c>
      <c r="H63" t="s">
        <v>571</v>
      </c>
      <c r="I63">
        <f t="shared" si="4"/>
        <v>0</v>
      </c>
      <c r="J63" t="s">
        <v>564</v>
      </c>
      <c r="K63" s="5">
        <v>50</v>
      </c>
      <c r="L63" t="str">
        <f>Table_DataFromNL[[#This Row],[PROFILECODE]]&amp;"-"&amp;Table_DataFromNL[[#This Row],[RULENAME]]</f>
        <v>CP893-NSP_LD_50_1X</v>
      </c>
      <c r="M63" t="e">
        <f t="shared" si="5"/>
        <v>#N/A</v>
      </c>
    </row>
    <row r="64" spans="1:13" x14ac:dyDescent="0.25">
      <c r="A64" t="str">
        <f t="shared" si="6"/>
        <v>CP893-NSP_ORPHAN_100_once</v>
      </c>
      <c r="B64" t="s">
        <v>270</v>
      </c>
      <c r="C64" t="str">
        <f t="shared" si="0"/>
        <v>Amarillo</v>
      </c>
      <c r="D64" t="str">
        <f t="shared" si="1"/>
        <v>Y</v>
      </c>
      <c r="E64" t="s">
        <v>585</v>
      </c>
      <c r="F64" t="str">
        <f t="shared" si="2"/>
        <v>NSP_ORPHAN_100_once</v>
      </c>
      <c r="G64">
        <f t="shared" si="3"/>
        <v>0</v>
      </c>
      <c r="H64" t="s">
        <v>572</v>
      </c>
      <c r="I64">
        <f t="shared" si="4"/>
        <v>0</v>
      </c>
      <c r="J64" t="s">
        <v>564</v>
      </c>
      <c r="K64" s="5">
        <v>100</v>
      </c>
      <c r="L64" t="str">
        <f>Table_DataFromNL[[#This Row],[PROFILECODE]]&amp;"-"&amp;Table_DataFromNL[[#This Row],[RULENAME]]</f>
        <v>CP893-NSP_ORPHAN_100_once</v>
      </c>
      <c r="M64" t="e">
        <f t="shared" si="5"/>
        <v>#N/A</v>
      </c>
    </row>
    <row r="65" spans="1:13" x14ac:dyDescent="0.25">
      <c r="A65" t="str">
        <f t="shared" si="6"/>
        <v>CP893-Restick</v>
      </c>
      <c r="B65" t="s">
        <v>270</v>
      </c>
      <c r="C65" t="str">
        <f t="shared" si="0"/>
        <v>Amarillo</v>
      </c>
      <c r="D65" t="str">
        <f t="shared" si="1"/>
        <v>Y</v>
      </c>
      <c r="E65" t="s">
        <v>585</v>
      </c>
      <c r="F65" t="str">
        <f t="shared" si="2"/>
        <v>Restick</v>
      </c>
      <c r="G65">
        <f t="shared" si="3"/>
        <v>0</v>
      </c>
      <c r="H65" t="s">
        <v>573</v>
      </c>
      <c r="I65">
        <f t="shared" si="4"/>
        <v>0</v>
      </c>
      <c r="J65" t="s">
        <v>564</v>
      </c>
      <c r="K65" s="5">
        <v>5</v>
      </c>
      <c r="L65" t="str">
        <f>Table_DataFromNL[[#This Row],[PROFILECODE]]&amp;"-"&amp;Table_DataFromNL[[#This Row],[RULENAME]]</f>
        <v>CP893-Restick</v>
      </c>
      <c r="M65" t="e">
        <f t="shared" si="5"/>
        <v>#N/A</v>
      </c>
    </row>
    <row r="66" spans="1:13" x14ac:dyDescent="0.25">
      <c r="A66" t="str">
        <f t="shared" si="6"/>
        <v>CP893-SCRATCH_100_USD</v>
      </c>
      <c r="B66" t="s">
        <v>270</v>
      </c>
      <c r="C66" t="str">
        <f t="shared" ref="C66:C129" si="7">VLOOKUP(B66,CenterLU,2,FALSE)</f>
        <v>Amarillo</v>
      </c>
      <c r="D66" t="str">
        <f t="shared" ref="D66:D129" si="8">VLOOKUP(B66,CenterLU,3,FALSE)</f>
        <v>Y</v>
      </c>
      <c r="E66" t="s">
        <v>585</v>
      </c>
      <c r="F66" t="str">
        <f t="shared" ref="F66:F129" si="9">IF(VLOOKUP(H66,RULENAMELU,3,FALSE)=0,H66,VLOOKUP(H66,RULENAMELU,3,FALSE))</f>
        <v>SCRATCH_100_USD</v>
      </c>
      <c r="G66">
        <f t="shared" ref="G66:G129" si="10">VLOOKUP(H66,RULENAMELU,4,FALSE)</f>
        <v>0</v>
      </c>
      <c r="H66" t="s">
        <v>586</v>
      </c>
      <c r="I66">
        <f t="shared" ref="I66:I129" si="11">VLOOKUP(H66,RULENAMELU,5,FALSE)</f>
        <v>0</v>
      </c>
      <c r="J66" t="s">
        <v>564</v>
      </c>
      <c r="K66" s="5">
        <v>100</v>
      </c>
      <c r="L66" t="str">
        <f>Table_DataFromNL[[#This Row],[PROFILECODE]]&amp;"-"&amp;Table_DataFromNL[[#This Row],[RULENAME]]</f>
        <v>CP893-SCRATCH_100_USD</v>
      </c>
      <c r="M66" t="e">
        <f t="shared" ref="M66:M129" si="12">IFERROR(VLOOKUP(A66,PaychangesLU,1,FALSE),VLOOKUP(A66,SpecialtyCheckLU,1,FALSE))</f>
        <v>#N/A</v>
      </c>
    </row>
    <row r="67" spans="1:13" x14ac:dyDescent="0.25">
      <c r="A67" t="str">
        <f t="shared" ref="A67:A130" si="13">B67&amp;"-"&amp;F67</f>
        <v>CP893-SCRATCH_10_USD</v>
      </c>
      <c r="B67" t="s">
        <v>270</v>
      </c>
      <c r="C67" t="str">
        <f t="shared" si="7"/>
        <v>Amarillo</v>
      </c>
      <c r="D67" t="str">
        <f t="shared" si="8"/>
        <v>Y</v>
      </c>
      <c r="E67" t="s">
        <v>585</v>
      </c>
      <c r="F67" t="str">
        <f t="shared" si="9"/>
        <v>SCRATCH_10_USD</v>
      </c>
      <c r="G67">
        <f t="shared" si="10"/>
        <v>0</v>
      </c>
      <c r="H67" t="s">
        <v>587</v>
      </c>
      <c r="I67">
        <f t="shared" si="11"/>
        <v>0</v>
      </c>
      <c r="J67" t="s">
        <v>564</v>
      </c>
      <c r="K67" s="5">
        <v>10</v>
      </c>
      <c r="L67" t="str">
        <f>Table_DataFromNL[[#This Row],[PROFILECODE]]&amp;"-"&amp;Table_DataFromNL[[#This Row],[RULENAME]]</f>
        <v>CP893-SCRATCH_10_USD</v>
      </c>
      <c r="M67" t="e">
        <f t="shared" si="12"/>
        <v>#N/A</v>
      </c>
    </row>
    <row r="68" spans="1:13" x14ac:dyDescent="0.25">
      <c r="A68" t="str">
        <f t="shared" si="13"/>
        <v>CP893-SCRATCH_20_USD</v>
      </c>
      <c r="B68" t="s">
        <v>270</v>
      </c>
      <c r="C68" t="str">
        <f t="shared" si="7"/>
        <v>Amarillo</v>
      </c>
      <c r="D68" t="str">
        <f t="shared" si="8"/>
        <v>Y</v>
      </c>
      <c r="E68" t="s">
        <v>585</v>
      </c>
      <c r="F68" t="str">
        <f t="shared" si="9"/>
        <v>SCRATCH_20_USD</v>
      </c>
      <c r="G68">
        <f t="shared" si="10"/>
        <v>0</v>
      </c>
      <c r="H68" t="s">
        <v>588</v>
      </c>
      <c r="I68">
        <f t="shared" si="11"/>
        <v>0</v>
      </c>
      <c r="J68" t="s">
        <v>564</v>
      </c>
      <c r="K68" s="5">
        <v>20</v>
      </c>
      <c r="L68" t="str">
        <f>Table_DataFromNL[[#This Row],[PROFILECODE]]&amp;"-"&amp;Table_DataFromNL[[#This Row],[RULENAME]]</f>
        <v>CP893-SCRATCH_20_USD</v>
      </c>
      <c r="M68" t="e">
        <f t="shared" si="12"/>
        <v>#N/A</v>
      </c>
    </row>
    <row r="69" spans="1:13" x14ac:dyDescent="0.25">
      <c r="A69" t="str">
        <f t="shared" si="13"/>
        <v>CP893-SCRATCH_25_USD</v>
      </c>
      <c r="B69" t="s">
        <v>270</v>
      </c>
      <c r="C69" t="str">
        <f t="shared" si="7"/>
        <v>Amarillo</v>
      </c>
      <c r="D69" t="str">
        <f t="shared" si="8"/>
        <v>Y</v>
      </c>
      <c r="E69" t="s">
        <v>585</v>
      </c>
      <c r="F69" t="str">
        <f t="shared" si="9"/>
        <v>SCRATCH_25_USD</v>
      </c>
      <c r="G69">
        <f t="shared" si="10"/>
        <v>0</v>
      </c>
      <c r="H69" t="s">
        <v>589</v>
      </c>
      <c r="I69">
        <f t="shared" si="11"/>
        <v>0</v>
      </c>
      <c r="J69" t="s">
        <v>564</v>
      </c>
      <c r="K69" s="5">
        <v>25</v>
      </c>
      <c r="L69" t="str">
        <f>Table_DataFromNL[[#This Row],[PROFILECODE]]&amp;"-"&amp;Table_DataFromNL[[#This Row],[RULENAME]]</f>
        <v>CP893-SCRATCH_25_USD</v>
      </c>
      <c r="M69" t="e">
        <f t="shared" si="12"/>
        <v>#N/A</v>
      </c>
    </row>
    <row r="70" spans="1:13" x14ac:dyDescent="0.25">
      <c r="A70" t="str">
        <f t="shared" si="13"/>
        <v>CP893-SCRATCH_50_USD</v>
      </c>
      <c r="B70" t="s">
        <v>270</v>
      </c>
      <c r="C70" t="str">
        <f t="shared" si="7"/>
        <v>Amarillo</v>
      </c>
      <c r="D70" t="str">
        <f t="shared" si="8"/>
        <v>Y</v>
      </c>
      <c r="E70" t="s">
        <v>585</v>
      </c>
      <c r="F70" t="str">
        <f t="shared" si="9"/>
        <v>SCRATCH_50_USD</v>
      </c>
      <c r="G70">
        <f t="shared" si="10"/>
        <v>0</v>
      </c>
      <c r="H70" t="s">
        <v>590</v>
      </c>
      <c r="I70">
        <f t="shared" si="11"/>
        <v>0</v>
      </c>
      <c r="J70" t="s">
        <v>564</v>
      </c>
      <c r="K70" s="5">
        <v>50</v>
      </c>
      <c r="L70" t="str">
        <f>Table_DataFromNL[[#This Row],[PROFILECODE]]&amp;"-"&amp;Table_DataFromNL[[#This Row],[RULENAME]]</f>
        <v>CP893-SCRATCH_50_USD</v>
      </c>
      <c r="M70" t="e">
        <f t="shared" si="12"/>
        <v>#N/A</v>
      </c>
    </row>
    <row r="71" spans="1:13" x14ac:dyDescent="0.25">
      <c r="A71" t="str">
        <f t="shared" si="13"/>
        <v>CP893-SCRATCH_5_USD</v>
      </c>
      <c r="B71" t="s">
        <v>270</v>
      </c>
      <c r="C71" t="str">
        <f t="shared" si="7"/>
        <v>Amarillo</v>
      </c>
      <c r="D71" t="str">
        <f t="shared" si="8"/>
        <v>Y</v>
      </c>
      <c r="E71" t="s">
        <v>585</v>
      </c>
      <c r="F71" t="str">
        <f t="shared" si="9"/>
        <v>SCRATCH_5_USD</v>
      </c>
      <c r="G71">
        <f t="shared" si="10"/>
        <v>0</v>
      </c>
      <c r="H71" t="s">
        <v>591</v>
      </c>
      <c r="I71">
        <f t="shared" si="11"/>
        <v>0</v>
      </c>
      <c r="J71" t="s">
        <v>564</v>
      </c>
      <c r="K71" s="5">
        <v>5</v>
      </c>
      <c r="L71" t="str">
        <f>Table_DataFromNL[[#This Row],[PROFILECODE]]&amp;"-"&amp;Table_DataFromNL[[#This Row],[RULENAME]]</f>
        <v>CP893-SCRATCH_5_USD</v>
      </c>
      <c r="M71" t="e">
        <f t="shared" si="12"/>
        <v>#N/A</v>
      </c>
    </row>
    <row r="72" spans="1:13" x14ac:dyDescent="0.25">
      <c r="A72" t="str">
        <f t="shared" si="13"/>
        <v>CP893-SLOW_TEXT_5</v>
      </c>
      <c r="B72" t="s">
        <v>270</v>
      </c>
      <c r="C72" t="str">
        <f t="shared" si="7"/>
        <v>Amarillo</v>
      </c>
      <c r="D72" t="str">
        <f t="shared" si="8"/>
        <v>Y</v>
      </c>
      <c r="E72" t="s">
        <v>585</v>
      </c>
      <c r="F72" t="str">
        <f t="shared" si="9"/>
        <v>SLOW_TEXT_5</v>
      </c>
      <c r="G72">
        <f t="shared" si="10"/>
        <v>0</v>
      </c>
      <c r="H72" t="s">
        <v>574</v>
      </c>
      <c r="I72">
        <f t="shared" si="11"/>
        <v>0</v>
      </c>
      <c r="J72" t="s">
        <v>564</v>
      </c>
      <c r="K72" s="5">
        <v>5</v>
      </c>
      <c r="L72" t="str">
        <f>Table_DataFromNL[[#This Row],[PROFILECODE]]&amp;"-"&amp;Table_DataFromNL[[#This Row],[RULENAME]]</f>
        <v>CP893-SLOW_TEXT_5</v>
      </c>
      <c r="M72" t="e">
        <f t="shared" si="12"/>
        <v>#N/A</v>
      </c>
    </row>
    <row r="73" spans="1:13" x14ac:dyDescent="0.25">
      <c r="A73" t="str">
        <f t="shared" si="13"/>
        <v>CP893-Sample Only</v>
      </c>
      <c r="B73" t="s">
        <v>270</v>
      </c>
      <c r="C73" t="str">
        <f t="shared" si="7"/>
        <v>Amarillo</v>
      </c>
      <c r="D73" t="str">
        <f t="shared" si="8"/>
        <v>Y</v>
      </c>
      <c r="E73" t="s">
        <v>585</v>
      </c>
      <c r="F73" t="str">
        <f t="shared" si="9"/>
        <v>Sample Only</v>
      </c>
      <c r="G73">
        <f t="shared" si="10"/>
        <v>0</v>
      </c>
      <c r="H73" t="s">
        <v>575</v>
      </c>
      <c r="I73">
        <f t="shared" si="11"/>
        <v>0</v>
      </c>
      <c r="J73" t="s">
        <v>564</v>
      </c>
      <c r="K73" s="5">
        <v>5</v>
      </c>
      <c r="L73" t="str">
        <f>Table_DataFromNL[[#This Row],[PROFILECODE]]&amp;"-"&amp;Table_DataFromNL[[#This Row],[RULENAME]]</f>
        <v>CP893-Sample Only</v>
      </c>
      <c r="M73" t="e">
        <f t="shared" si="12"/>
        <v>#N/A</v>
      </c>
    </row>
    <row r="74" spans="1:13" x14ac:dyDescent="0.25">
      <c r="A74" t="str">
        <f t="shared" si="13"/>
        <v>CP893-Unit Below 250 mL</v>
      </c>
      <c r="B74" t="s">
        <v>270</v>
      </c>
      <c r="C74" t="str">
        <f t="shared" si="7"/>
        <v>Amarillo</v>
      </c>
      <c r="D74" t="str">
        <f t="shared" si="8"/>
        <v>Y</v>
      </c>
      <c r="E74" t="s">
        <v>585</v>
      </c>
      <c r="F74" t="str">
        <f t="shared" si="9"/>
        <v>Unit Below 250 mL</v>
      </c>
      <c r="G74">
        <f t="shared" si="10"/>
        <v>0</v>
      </c>
      <c r="H74" t="s">
        <v>576</v>
      </c>
      <c r="I74">
        <f t="shared" si="11"/>
        <v>0</v>
      </c>
      <c r="J74" t="s">
        <v>564</v>
      </c>
      <c r="K74" s="5">
        <v>5</v>
      </c>
      <c r="L74" t="str">
        <f>Table_DataFromNL[[#This Row],[PROFILECODE]]&amp;"-"&amp;Table_DataFromNL[[#This Row],[RULENAME]]</f>
        <v>CP893-Unit Below 250 mL</v>
      </c>
      <c r="M74" t="e">
        <f t="shared" si="12"/>
        <v>#N/A</v>
      </c>
    </row>
    <row r="75" spans="1:13" x14ac:dyDescent="0.25">
      <c r="A75" t="str">
        <f t="shared" si="13"/>
        <v>CP893-Unit above 250 mL/underdraw</v>
      </c>
      <c r="B75" t="s">
        <v>270</v>
      </c>
      <c r="C75" t="str">
        <f t="shared" si="7"/>
        <v>Amarillo</v>
      </c>
      <c r="D75" t="str">
        <f t="shared" si="8"/>
        <v>Y</v>
      </c>
      <c r="E75" t="s">
        <v>585</v>
      </c>
      <c r="F75" t="str">
        <f t="shared" si="9"/>
        <v>Unit above 250 mL/underdraw</v>
      </c>
      <c r="G75">
        <f t="shared" si="10"/>
        <v>0</v>
      </c>
      <c r="H75" t="s">
        <v>577</v>
      </c>
      <c r="I75">
        <f t="shared" si="11"/>
        <v>0</v>
      </c>
      <c r="J75" t="s">
        <v>564</v>
      </c>
      <c r="K75" s="5">
        <v>10</v>
      </c>
      <c r="L75" t="str">
        <f>Table_DataFromNL[[#This Row],[PROFILECODE]]&amp;"-"&amp;Table_DataFromNL[[#This Row],[RULENAME]]</f>
        <v>CP893-Unit above 250 mL/underdraw</v>
      </c>
      <c r="M75" t="e">
        <f t="shared" si="12"/>
        <v>#N/A</v>
      </c>
    </row>
    <row r="76" spans="1:13" x14ac:dyDescent="0.25">
      <c r="A76" t="str">
        <f t="shared" si="13"/>
        <v>CP893-RETURN - Buddy referral  -BONUS</v>
      </c>
      <c r="B76" t="s">
        <v>270</v>
      </c>
      <c r="C76" t="str">
        <f t="shared" si="7"/>
        <v>Amarillo</v>
      </c>
      <c r="D76" t="str">
        <f t="shared" si="8"/>
        <v>Y</v>
      </c>
      <c r="E76" t="s">
        <v>585</v>
      </c>
      <c r="F76" t="str">
        <f t="shared" si="9"/>
        <v>RETURN - Buddy referral  -BONUS</v>
      </c>
      <c r="G76" t="str">
        <f t="shared" si="10"/>
        <v>Marketing</v>
      </c>
      <c r="H76" t="s">
        <v>34</v>
      </c>
      <c r="I76">
        <f t="shared" si="11"/>
        <v>50</v>
      </c>
      <c r="J76" t="s">
        <v>578</v>
      </c>
      <c r="K76" s="5">
        <v>50</v>
      </c>
      <c r="L76" t="str">
        <f>Table_DataFromNL[[#This Row],[PROFILECODE]]&amp;"-"&amp;Table_DataFromNL[[#This Row],[RULENAME]]</f>
        <v>CP893-Referral</v>
      </c>
      <c r="M76" t="str">
        <f t="shared" si="12"/>
        <v>CP893-RETURN - Buddy referral  -BONUS</v>
      </c>
    </row>
    <row r="77" spans="1:13" x14ac:dyDescent="0.25">
      <c r="A77" t="str">
        <f t="shared" si="13"/>
        <v>CP893-P Anti-D Pre-Existing Standard</v>
      </c>
      <c r="B77" t="s">
        <v>270</v>
      </c>
      <c r="C77" t="str">
        <f t="shared" si="7"/>
        <v>Amarillo</v>
      </c>
      <c r="D77" t="str">
        <f t="shared" si="8"/>
        <v>Y</v>
      </c>
      <c r="E77" t="s">
        <v>585</v>
      </c>
      <c r="F77" t="str">
        <f t="shared" si="9"/>
        <v>P Anti-D Pre-Existing Standard</v>
      </c>
      <c r="G77" t="str">
        <f t="shared" si="10"/>
        <v>Specialty</v>
      </c>
      <c r="H77" t="s">
        <v>469</v>
      </c>
      <c r="I77" t="str">
        <f t="shared" si="11"/>
        <v>RETURN - 1st don of the week -STD</v>
      </c>
      <c r="J77" t="s">
        <v>579</v>
      </c>
      <c r="K77" s="5">
        <v>50</v>
      </c>
      <c r="L77" t="str">
        <f>Table_DataFromNL[[#This Row],[PROFILECODE]]&amp;"-"&amp;Table_DataFromNL[[#This Row],[RULENAME]]</f>
        <v>CP893-P Anti-D Pre-Existing Standard</v>
      </c>
      <c r="M77" t="str">
        <f t="shared" si="12"/>
        <v>CP893-P Anti-D Pre-Existing Standard</v>
      </c>
    </row>
    <row r="78" spans="1:13" x14ac:dyDescent="0.25">
      <c r="A78" t="str">
        <f t="shared" si="13"/>
        <v>CP893-P HBS Pre-Existing Standard</v>
      </c>
      <c r="B78" t="s">
        <v>270</v>
      </c>
      <c r="C78" t="str">
        <f t="shared" si="7"/>
        <v>Amarillo</v>
      </c>
      <c r="D78" t="str">
        <f t="shared" si="8"/>
        <v>Y</v>
      </c>
      <c r="E78" t="s">
        <v>585</v>
      </c>
      <c r="F78" t="str">
        <f t="shared" si="9"/>
        <v>P HBS Pre-Existing Standard</v>
      </c>
      <c r="G78" t="str">
        <f t="shared" si="10"/>
        <v>Specialty</v>
      </c>
      <c r="H78" t="s">
        <v>472</v>
      </c>
      <c r="I78" t="str">
        <f t="shared" si="11"/>
        <v>RETURN - 1st don of the week -STD</v>
      </c>
      <c r="J78" t="s">
        <v>579</v>
      </c>
      <c r="K78" s="5">
        <v>55</v>
      </c>
      <c r="L78" t="str">
        <f>Table_DataFromNL[[#This Row],[PROFILECODE]]&amp;"-"&amp;Table_DataFromNL[[#This Row],[RULENAME]]</f>
        <v>CP893-P HBS Pre-Existing Standard</v>
      </c>
      <c r="M78" t="str">
        <f t="shared" si="12"/>
        <v>CP893-P HBS Pre-Existing Standard</v>
      </c>
    </row>
    <row r="79" spans="1:13" x14ac:dyDescent="0.25">
      <c r="A79" t="str">
        <f t="shared" si="13"/>
        <v>CP893-P HBS Standard</v>
      </c>
      <c r="B79" t="s">
        <v>270</v>
      </c>
      <c r="C79" t="str">
        <f t="shared" si="7"/>
        <v>Amarillo</v>
      </c>
      <c r="D79" t="str">
        <f t="shared" si="8"/>
        <v>Y</v>
      </c>
      <c r="E79" t="s">
        <v>585</v>
      </c>
      <c r="F79" t="str">
        <f t="shared" si="9"/>
        <v>P HBS Standard</v>
      </c>
      <c r="G79" t="str">
        <f t="shared" si="10"/>
        <v>Specialty</v>
      </c>
      <c r="H79" t="s">
        <v>473</v>
      </c>
      <c r="I79" t="str">
        <f t="shared" si="11"/>
        <v>RETURN - 1st don of the week -STD</v>
      </c>
      <c r="J79" t="s">
        <v>579</v>
      </c>
      <c r="K79" s="5">
        <v>55</v>
      </c>
      <c r="L79" t="str">
        <f>Table_DataFromNL[[#This Row],[PROFILECODE]]&amp;"-"&amp;Table_DataFromNL[[#This Row],[RULENAME]]</f>
        <v>CP893-P HBS Standard</v>
      </c>
      <c r="M79" t="str">
        <f t="shared" si="12"/>
        <v>CP893-P HBS Standard</v>
      </c>
    </row>
    <row r="80" spans="1:13" x14ac:dyDescent="0.25">
      <c r="A80" t="str">
        <f t="shared" si="13"/>
        <v>CP893-RETURN - 1st don of the week -STD</v>
      </c>
      <c r="B80" t="s">
        <v>270</v>
      </c>
      <c r="C80" t="str">
        <f t="shared" si="7"/>
        <v>Amarillo</v>
      </c>
      <c r="D80" t="str">
        <f t="shared" si="8"/>
        <v>Y</v>
      </c>
      <c r="E80" t="s">
        <v>585</v>
      </c>
      <c r="F80" t="str">
        <f t="shared" si="9"/>
        <v>RETURN - 1st don of the week -STD</v>
      </c>
      <c r="G80" t="str">
        <f t="shared" si="10"/>
        <v>Marketing</v>
      </c>
      <c r="H80" t="s">
        <v>583</v>
      </c>
      <c r="I80">
        <f t="shared" si="11"/>
        <v>22</v>
      </c>
      <c r="J80" t="s">
        <v>579</v>
      </c>
      <c r="K80" s="5">
        <v>50</v>
      </c>
      <c r="L80" t="str">
        <f>Table_DataFromNL[[#This Row],[PROFILECODE]]&amp;"-"&amp;Table_DataFromNL[[#This Row],[RULENAME]]</f>
        <v>CP893-P NSP NS AP Standard</v>
      </c>
      <c r="M80" t="str">
        <f t="shared" si="12"/>
        <v>CP893-RETURN - 1st don of the week -STD</v>
      </c>
    </row>
    <row r="81" spans="1:13" x14ac:dyDescent="0.25">
      <c r="A81" t="str">
        <f t="shared" si="13"/>
        <v>CP893-RETURN - 1st don of the week -STD</v>
      </c>
      <c r="B81" t="s">
        <v>270</v>
      </c>
      <c r="C81" t="str">
        <f t="shared" si="7"/>
        <v>Amarillo</v>
      </c>
      <c r="D81" t="str">
        <f t="shared" si="8"/>
        <v>Y</v>
      </c>
      <c r="E81" t="s">
        <v>585</v>
      </c>
      <c r="F81" t="str">
        <f t="shared" si="9"/>
        <v>RETURN - 1st don of the week -STD</v>
      </c>
      <c r="G81" t="str">
        <f t="shared" si="10"/>
        <v>Marketing</v>
      </c>
      <c r="H81" t="s">
        <v>584</v>
      </c>
      <c r="I81">
        <f t="shared" si="11"/>
        <v>23</v>
      </c>
      <c r="J81" t="s">
        <v>579</v>
      </c>
      <c r="K81" s="5">
        <v>50</v>
      </c>
      <c r="L81" t="str">
        <f>Table_DataFromNL[[#This Row],[PROFILECODE]]&amp;"-"&amp;Table_DataFromNL[[#This Row],[RULENAME]]</f>
        <v>CP893-P NSP NS Standard</v>
      </c>
      <c r="M81" t="str">
        <f t="shared" si="12"/>
        <v>CP893-RETURN - 1st don of the week -STD</v>
      </c>
    </row>
    <row r="82" spans="1:13" x14ac:dyDescent="0.25">
      <c r="A82" t="str">
        <f t="shared" si="13"/>
        <v>CP917-1st Responder-Medical</v>
      </c>
      <c r="B82" t="s">
        <v>280</v>
      </c>
      <c r="C82" t="str">
        <f t="shared" si="7"/>
        <v>Amherst</v>
      </c>
      <c r="D82" t="str">
        <f t="shared" si="8"/>
        <v>Y</v>
      </c>
      <c r="E82" t="s">
        <v>592</v>
      </c>
      <c r="F82" t="str">
        <f t="shared" si="9"/>
        <v>1st Responder-Medical</v>
      </c>
      <c r="G82">
        <f t="shared" si="10"/>
        <v>0</v>
      </c>
      <c r="H82" t="s">
        <v>545</v>
      </c>
      <c r="I82">
        <f t="shared" si="11"/>
        <v>0</v>
      </c>
      <c r="J82" t="s">
        <v>546</v>
      </c>
      <c r="K82" s="5">
        <v>5</v>
      </c>
      <c r="L82" t="str">
        <f>Table_DataFromNL[[#This Row],[PROFILECODE]]&amp;"-"&amp;Table_DataFromNL[[#This Row],[RULENAME]]</f>
        <v>CP917-1st Responder-Medical</v>
      </c>
      <c r="M82" t="e">
        <f t="shared" si="12"/>
        <v>#N/A</v>
      </c>
    </row>
    <row r="83" spans="1:13" x14ac:dyDescent="0.25">
      <c r="A83" t="str">
        <f t="shared" si="13"/>
        <v>CP917-RETURN - 2nd don of the week -BONUS</v>
      </c>
      <c r="B83" t="s">
        <v>280</v>
      </c>
      <c r="C83" t="str">
        <f t="shared" si="7"/>
        <v>Amherst</v>
      </c>
      <c r="D83" t="str">
        <f t="shared" si="8"/>
        <v>Y</v>
      </c>
      <c r="E83" t="s">
        <v>592</v>
      </c>
      <c r="F83" t="str">
        <f t="shared" si="9"/>
        <v>RETURN - 2nd don of the week -BONUS</v>
      </c>
      <c r="G83" t="str">
        <f t="shared" si="10"/>
        <v>Marketing</v>
      </c>
      <c r="H83" t="s">
        <v>550</v>
      </c>
      <c r="I83">
        <f t="shared" si="11"/>
        <v>26</v>
      </c>
      <c r="J83" t="s">
        <v>546</v>
      </c>
      <c r="K83" s="5">
        <v>25</v>
      </c>
      <c r="L83" t="str">
        <f>Table_DataFromNL[[#This Row],[PROFILECODE]]&amp;"-"&amp;Table_DataFromNL[[#This Row],[RULENAME]]</f>
        <v>CP917-2X Week P NSP NS</v>
      </c>
      <c r="M83" t="str">
        <f t="shared" si="12"/>
        <v>CP917-RETURN - 2nd don of the week -BONUS</v>
      </c>
    </row>
    <row r="84" spans="1:13" x14ac:dyDescent="0.25">
      <c r="A84" t="str">
        <f t="shared" si="13"/>
        <v>CP917-RETURN - 2nd don of the week -BONUS</v>
      </c>
      <c r="B84" t="s">
        <v>280</v>
      </c>
      <c r="C84" t="str">
        <f t="shared" si="7"/>
        <v>Amherst</v>
      </c>
      <c r="D84" t="str">
        <f t="shared" si="8"/>
        <v>Y</v>
      </c>
      <c r="E84" t="s">
        <v>592</v>
      </c>
      <c r="F84" t="str">
        <f t="shared" si="9"/>
        <v>RETURN - 2nd don of the week -BONUS</v>
      </c>
      <c r="G84" t="str">
        <f t="shared" si="10"/>
        <v>Marketing</v>
      </c>
      <c r="H84" t="s">
        <v>551</v>
      </c>
      <c r="I84" t="str">
        <f t="shared" si="11"/>
        <v>RETURN - 2nd don of the week -BONUS</v>
      </c>
      <c r="J84" t="s">
        <v>546</v>
      </c>
      <c r="K84" s="5">
        <v>25</v>
      </c>
      <c r="L84" t="str">
        <f>Table_DataFromNL[[#This Row],[PROFILECODE]]&amp;"-"&amp;Table_DataFromNL[[#This Row],[RULENAME]]</f>
        <v>CP917-2X Week P NSP NS AP</v>
      </c>
      <c r="M84" t="str">
        <f t="shared" si="12"/>
        <v>CP917-RETURN - 2nd don of the week -BONUS</v>
      </c>
    </row>
    <row r="85" spans="1:13" x14ac:dyDescent="0.25">
      <c r="A85" t="str">
        <f t="shared" si="13"/>
        <v>CP917-RETURN - 6th don of the month -BONUS</v>
      </c>
      <c r="B85" t="s">
        <v>280</v>
      </c>
      <c r="C85" t="str">
        <f t="shared" si="7"/>
        <v>Amherst</v>
      </c>
      <c r="D85" t="str">
        <f t="shared" si="8"/>
        <v>Y</v>
      </c>
      <c r="E85" t="s">
        <v>592</v>
      </c>
      <c r="F85" t="str">
        <f t="shared" si="9"/>
        <v>RETURN - 6th don of the month -BONUS</v>
      </c>
      <c r="G85" t="str">
        <f t="shared" si="10"/>
        <v>Marketing</v>
      </c>
      <c r="H85" t="s">
        <v>552</v>
      </c>
      <c r="I85">
        <f t="shared" si="11"/>
        <v>28</v>
      </c>
      <c r="J85" t="s">
        <v>546</v>
      </c>
      <c r="K85" s="5">
        <v>30</v>
      </c>
      <c r="L85" t="str">
        <f>Table_DataFromNL[[#This Row],[PROFILECODE]]&amp;"-"&amp;Table_DataFromNL[[#This Row],[RULENAME]]</f>
        <v>CP917-6X Month</v>
      </c>
      <c r="M85" t="str">
        <f t="shared" si="12"/>
        <v>CP917-RETURN - 6th don of the month -BONUS</v>
      </c>
    </row>
    <row r="86" spans="1:13" x14ac:dyDescent="0.25">
      <c r="A86" t="str">
        <f t="shared" si="13"/>
        <v>CP917-Loyalty</v>
      </c>
      <c r="B86" t="s">
        <v>280</v>
      </c>
      <c r="C86" t="str">
        <f t="shared" si="7"/>
        <v>Amherst</v>
      </c>
      <c r="D86" t="str">
        <f t="shared" si="8"/>
        <v>Y</v>
      </c>
      <c r="E86" t="s">
        <v>592</v>
      </c>
      <c r="F86" t="str">
        <f t="shared" si="9"/>
        <v>Loyalty</v>
      </c>
      <c r="G86">
        <f t="shared" si="10"/>
        <v>0</v>
      </c>
      <c r="H86" t="s">
        <v>593</v>
      </c>
      <c r="I86">
        <f t="shared" si="11"/>
        <v>0</v>
      </c>
      <c r="J86" t="s">
        <v>546</v>
      </c>
      <c r="K86" s="5">
        <v>25</v>
      </c>
      <c r="L86" t="str">
        <f>Table_DataFromNL[[#This Row],[PROFILECODE]]&amp;"-"&amp;Table_DataFromNL[[#This Row],[RULENAME]]</f>
        <v>CP917-Loyalty</v>
      </c>
      <c r="M86" t="e">
        <f t="shared" si="12"/>
        <v>#N/A</v>
      </c>
    </row>
    <row r="87" spans="1:13" x14ac:dyDescent="0.25">
      <c r="A87" t="str">
        <f t="shared" si="13"/>
        <v>CP917-Military ID</v>
      </c>
      <c r="B87" t="s">
        <v>280</v>
      </c>
      <c r="C87" t="str">
        <f t="shared" si="7"/>
        <v>Amherst</v>
      </c>
      <c r="D87" t="str">
        <f t="shared" si="8"/>
        <v>Y</v>
      </c>
      <c r="E87" t="s">
        <v>592</v>
      </c>
      <c r="F87" t="str">
        <f t="shared" si="9"/>
        <v>Military ID</v>
      </c>
      <c r="G87">
        <f t="shared" si="10"/>
        <v>0</v>
      </c>
      <c r="H87" t="s">
        <v>554</v>
      </c>
      <c r="I87">
        <f t="shared" si="11"/>
        <v>0</v>
      </c>
      <c r="J87" t="s">
        <v>546</v>
      </c>
      <c r="K87" s="5">
        <v>10</v>
      </c>
      <c r="L87" t="str">
        <f>Table_DataFromNL[[#This Row],[PROFILECODE]]&amp;"-"&amp;Table_DataFromNL[[#This Row],[RULENAME]]</f>
        <v>CP917-Military ID</v>
      </c>
      <c r="M87" t="e">
        <f t="shared" si="12"/>
        <v>#N/A</v>
      </c>
    </row>
    <row r="88" spans="1:13" x14ac:dyDescent="0.25">
      <c r="A88" t="str">
        <f t="shared" si="13"/>
        <v>CP917-NEW DONOR -1st</v>
      </c>
      <c r="B88" t="s">
        <v>280</v>
      </c>
      <c r="C88" t="str">
        <f t="shared" si="7"/>
        <v>Amherst</v>
      </c>
      <c r="D88" t="str">
        <f t="shared" si="8"/>
        <v>Y</v>
      </c>
      <c r="E88" t="s">
        <v>592</v>
      </c>
      <c r="F88" t="str">
        <f t="shared" si="9"/>
        <v>NEW DONOR -1st</v>
      </c>
      <c r="G88" t="str">
        <f t="shared" si="10"/>
        <v>Marketing</v>
      </c>
      <c r="H88" t="s">
        <v>555</v>
      </c>
      <c r="I88">
        <f t="shared" si="11"/>
        <v>1</v>
      </c>
      <c r="J88" t="s">
        <v>546</v>
      </c>
      <c r="K88" s="5">
        <v>100</v>
      </c>
      <c r="L88" t="str">
        <f>Table_DataFromNL[[#This Row],[PROFILECODE]]&amp;"-"&amp;Table_DataFromNL[[#This Row],[RULENAME]]</f>
        <v>CP917-New Donor 1st Visit-Bonus</v>
      </c>
      <c r="M88" t="str">
        <f t="shared" si="12"/>
        <v>CP917-NEW DONOR -1st</v>
      </c>
    </row>
    <row r="89" spans="1:13" x14ac:dyDescent="0.25">
      <c r="A89" t="str">
        <f t="shared" si="13"/>
        <v>CP917-NEW DONOR -2nd</v>
      </c>
      <c r="B89" t="s">
        <v>280</v>
      </c>
      <c r="C89" t="str">
        <f t="shared" si="7"/>
        <v>Amherst</v>
      </c>
      <c r="D89" t="str">
        <f t="shared" si="8"/>
        <v>Y</v>
      </c>
      <c r="E89" t="s">
        <v>592</v>
      </c>
      <c r="F89" t="str">
        <f t="shared" si="9"/>
        <v>NEW DONOR -2nd</v>
      </c>
      <c r="G89" t="str">
        <f t="shared" si="10"/>
        <v>Marketing</v>
      </c>
      <c r="H89" t="s">
        <v>556</v>
      </c>
      <c r="I89">
        <f t="shared" si="11"/>
        <v>2</v>
      </c>
      <c r="J89" t="s">
        <v>546</v>
      </c>
      <c r="K89" s="5">
        <v>100</v>
      </c>
      <c r="L89" t="str">
        <f>Table_DataFromNL[[#This Row],[PROFILECODE]]&amp;"-"&amp;Table_DataFromNL[[#This Row],[RULENAME]]</f>
        <v>CP917-New Donor 2nd Visit-Bonus</v>
      </c>
      <c r="M89" t="str">
        <f t="shared" si="12"/>
        <v>CP917-NEW DONOR -2nd</v>
      </c>
    </row>
    <row r="90" spans="1:13" x14ac:dyDescent="0.25">
      <c r="A90" t="str">
        <f t="shared" si="13"/>
        <v>CP917-NEW DONOR -3rd</v>
      </c>
      <c r="B90" t="s">
        <v>280</v>
      </c>
      <c r="C90" t="str">
        <f t="shared" si="7"/>
        <v>Amherst</v>
      </c>
      <c r="D90" t="str">
        <f t="shared" si="8"/>
        <v>Y</v>
      </c>
      <c r="E90" t="s">
        <v>592</v>
      </c>
      <c r="F90" t="str">
        <f t="shared" si="9"/>
        <v>NEW DONOR -3rd</v>
      </c>
      <c r="G90" t="str">
        <f t="shared" si="10"/>
        <v>Marketing</v>
      </c>
      <c r="H90" t="s">
        <v>557</v>
      </c>
      <c r="I90">
        <f t="shared" si="11"/>
        <v>3</v>
      </c>
      <c r="J90" t="s">
        <v>546</v>
      </c>
      <c r="K90" s="5">
        <v>100</v>
      </c>
      <c r="L90" t="str">
        <f>Table_DataFromNL[[#This Row],[PROFILECODE]]&amp;"-"&amp;Table_DataFromNL[[#This Row],[RULENAME]]</f>
        <v>CP917-New Donor 3rd Visit-Bonus</v>
      </c>
      <c r="M90" t="str">
        <f t="shared" si="12"/>
        <v>CP917-NEW DONOR -3rd</v>
      </c>
    </row>
    <row r="91" spans="1:13" x14ac:dyDescent="0.25">
      <c r="A91" t="str">
        <f t="shared" si="13"/>
        <v>CP917-NEW DONOR -4th</v>
      </c>
      <c r="B91" t="s">
        <v>280</v>
      </c>
      <c r="C91" t="str">
        <f t="shared" si="7"/>
        <v>Amherst</v>
      </c>
      <c r="D91" t="str">
        <f t="shared" si="8"/>
        <v>Y</v>
      </c>
      <c r="E91" t="s">
        <v>592</v>
      </c>
      <c r="F91" t="str">
        <f t="shared" si="9"/>
        <v>NEW DONOR -4th</v>
      </c>
      <c r="G91" t="str">
        <f t="shared" si="10"/>
        <v>Marketing</v>
      </c>
      <c r="H91" t="s">
        <v>558</v>
      </c>
      <c r="I91">
        <f t="shared" si="11"/>
        <v>4</v>
      </c>
      <c r="J91" t="s">
        <v>546</v>
      </c>
      <c r="K91" s="5">
        <v>100</v>
      </c>
      <c r="L91" t="str">
        <f>Table_DataFromNL[[#This Row],[PROFILECODE]]&amp;"-"&amp;Table_DataFromNL[[#This Row],[RULENAME]]</f>
        <v>CP917-New Donor 4th Visit-Bonus</v>
      </c>
      <c r="M91" t="str">
        <f t="shared" si="12"/>
        <v>CP917-NEW DONOR -4th</v>
      </c>
    </row>
    <row r="92" spans="1:13" x14ac:dyDescent="0.25">
      <c r="A92" t="str">
        <f t="shared" si="13"/>
        <v>CP917-NEW DONOR -5th</v>
      </c>
      <c r="B92" t="s">
        <v>280</v>
      </c>
      <c r="C92" t="str">
        <f t="shared" si="7"/>
        <v>Amherst</v>
      </c>
      <c r="D92" t="str">
        <f t="shared" si="8"/>
        <v>Y</v>
      </c>
      <c r="E92" t="s">
        <v>592</v>
      </c>
      <c r="F92" t="str">
        <f t="shared" si="9"/>
        <v>NEW DONOR -5th</v>
      </c>
      <c r="G92" t="str">
        <f t="shared" si="10"/>
        <v>Marketing</v>
      </c>
      <c r="H92" t="s">
        <v>559</v>
      </c>
      <c r="I92">
        <f t="shared" si="11"/>
        <v>5</v>
      </c>
      <c r="J92" t="s">
        <v>546</v>
      </c>
      <c r="K92" s="5">
        <v>100</v>
      </c>
      <c r="L92" t="str">
        <f>Table_DataFromNL[[#This Row],[PROFILECODE]]&amp;"-"&amp;Table_DataFromNL[[#This Row],[RULENAME]]</f>
        <v>CP917-New Donor 5th Visit-Bonus</v>
      </c>
      <c r="M92" t="str">
        <f t="shared" si="12"/>
        <v>CP917-NEW DONOR -5th</v>
      </c>
    </row>
    <row r="93" spans="1:13" x14ac:dyDescent="0.25">
      <c r="A93" t="str">
        <f t="shared" si="13"/>
        <v>CP917-NEW DONOR -6th</v>
      </c>
      <c r="B93" t="s">
        <v>280</v>
      </c>
      <c r="C93" t="str">
        <f t="shared" si="7"/>
        <v>Amherst</v>
      </c>
      <c r="D93" t="str">
        <f t="shared" si="8"/>
        <v>Y</v>
      </c>
      <c r="E93" t="s">
        <v>592</v>
      </c>
      <c r="F93" t="str">
        <f t="shared" si="9"/>
        <v>NEW DONOR -6th</v>
      </c>
      <c r="G93" t="str">
        <f t="shared" si="10"/>
        <v>Marketing</v>
      </c>
      <c r="H93" t="s">
        <v>560</v>
      </c>
      <c r="I93">
        <f t="shared" si="11"/>
        <v>6</v>
      </c>
      <c r="J93" t="s">
        <v>546</v>
      </c>
      <c r="K93" s="5">
        <v>100</v>
      </c>
      <c r="L93" t="str">
        <f>Table_DataFromNL[[#This Row],[PROFILECODE]]&amp;"-"&amp;Table_DataFromNL[[#This Row],[RULENAME]]</f>
        <v>CP917-New Donor 6th Visit-Bonus</v>
      </c>
      <c r="M93" t="str">
        <f t="shared" si="12"/>
        <v>CP917-NEW DONOR -6th</v>
      </c>
    </row>
    <row r="94" spans="1:13" x14ac:dyDescent="0.25">
      <c r="A94" t="str">
        <f t="shared" si="13"/>
        <v>CP917-NEW DONOR -7th</v>
      </c>
      <c r="B94" t="s">
        <v>280</v>
      </c>
      <c r="C94" t="str">
        <f t="shared" si="7"/>
        <v>Amherst</v>
      </c>
      <c r="D94" t="str">
        <f t="shared" si="8"/>
        <v>Y</v>
      </c>
      <c r="E94" t="s">
        <v>592</v>
      </c>
      <c r="F94" t="str">
        <f t="shared" si="9"/>
        <v>NEW DONOR -7th</v>
      </c>
      <c r="G94" t="str">
        <f t="shared" si="10"/>
        <v>Marketing</v>
      </c>
      <c r="H94" t="s">
        <v>561</v>
      </c>
      <c r="I94">
        <f t="shared" si="11"/>
        <v>7</v>
      </c>
      <c r="J94" t="s">
        <v>546</v>
      </c>
      <c r="K94" s="5">
        <v>100</v>
      </c>
      <c r="L94" t="str">
        <f>Table_DataFromNL[[#This Row],[PROFILECODE]]&amp;"-"&amp;Table_DataFromNL[[#This Row],[RULENAME]]</f>
        <v>CP917-New Donor 7th Visit-Bonus</v>
      </c>
      <c r="M94" t="str">
        <f t="shared" si="12"/>
        <v>CP917-NEW DONOR -7th</v>
      </c>
    </row>
    <row r="95" spans="1:13" x14ac:dyDescent="0.25">
      <c r="A95" t="str">
        <f t="shared" si="13"/>
        <v>CP917-NEW DONOR -8th</v>
      </c>
      <c r="B95" t="s">
        <v>280</v>
      </c>
      <c r="C95" t="str">
        <f t="shared" si="7"/>
        <v>Amherst</v>
      </c>
      <c r="D95" t="str">
        <f t="shared" si="8"/>
        <v>Y</v>
      </c>
      <c r="E95" t="s">
        <v>592</v>
      </c>
      <c r="F95" t="str">
        <f t="shared" si="9"/>
        <v>NEW DONOR -8th</v>
      </c>
      <c r="G95" t="str">
        <f t="shared" si="10"/>
        <v>Marketing</v>
      </c>
      <c r="H95" t="s">
        <v>562</v>
      </c>
      <c r="I95">
        <f t="shared" si="11"/>
        <v>8</v>
      </c>
      <c r="J95" t="s">
        <v>546</v>
      </c>
      <c r="K95" s="5">
        <v>30</v>
      </c>
      <c r="L95" t="str">
        <f>Table_DataFromNL[[#This Row],[PROFILECODE]]&amp;"-"&amp;Table_DataFromNL[[#This Row],[RULENAME]]</f>
        <v>CP917-New Donor 8th Visit-Bonus</v>
      </c>
      <c r="M95" t="str">
        <f t="shared" si="12"/>
        <v>CP917-NEW DONOR -8th</v>
      </c>
    </row>
    <row r="96" spans="1:13" x14ac:dyDescent="0.25">
      <c r="A96" t="str">
        <f t="shared" si="13"/>
        <v>CP917-Vaccinia - 1st Donation</v>
      </c>
      <c r="B96" t="s">
        <v>280</v>
      </c>
      <c r="C96" t="str">
        <f t="shared" si="7"/>
        <v>Amherst</v>
      </c>
      <c r="D96" t="str">
        <f t="shared" si="8"/>
        <v>Y</v>
      </c>
      <c r="E96" t="s">
        <v>592</v>
      </c>
      <c r="F96" t="str">
        <f t="shared" si="9"/>
        <v>Vaccinia - 1st Donation</v>
      </c>
      <c r="G96" t="str">
        <f t="shared" si="10"/>
        <v>Specialty</v>
      </c>
      <c r="H96" t="s">
        <v>477</v>
      </c>
      <c r="I96">
        <f t="shared" si="11"/>
        <v>0</v>
      </c>
      <c r="J96" t="s">
        <v>546</v>
      </c>
      <c r="K96" s="5">
        <v>150</v>
      </c>
      <c r="L96" t="str">
        <f>Table_DataFromNL[[#This Row],[PROFILECODE]]&amp;"-"&amp;Table_DataFromNL[[#This Row],[RULENAME]]</f>
        <v>CP917-Vaccinia - 1st Donation</v>
      </c>
      <c r="M96" t="str">
        <f t="shared" si="12"/>
        <v>CP917-Vaccinia - 1st Donation</v>
      </c>
    </row>
    <row r="97" spans="1:13" x14ac:dyDescent="0.25">
      <c r="A97" t="str">
        <f t="shared" si="13"/>
        <v>CP917-Vaccinia - 2nd Donation</v>
      </c>
      <c r="B97" t="s">
        <v>280</v>
      </c>
      <c r="C97" t="str">
        <f t="shared" si="7"/>
        <v>Amherst</v>
      </c>
      <c r="D97" t="str">
        <f t="shared" si="8"/>
        <v>Y</v>
      </c>
      <c r="E97" t="s">
        <v>592</v>
      </c>
      <c r="F97" t="str">
        <f t="shared" si="9"/>
        <v>Vaccinia - 2nd Donation</v>
      </c>
      <c r="G97" t="str">
        <f t="shared" si="10"/>
        <v>Specialty</v>
      </c>
      <c r="H97" t="s">
        <v>478</v>
      </c>
      <c r="I97">
        <f t="shared" si="11"/>
        <v>0</v>
      </c>
      <c r="J97" t="s">
        <v>546</v>
      </c>
      <c r="K97" s="5">
        <v>250</v>
      </c>
      <c r="L97" t="str">
        <f>Table_DataFromNL[[#This Row],[PROFILECODE]]&amp;"-"&amp;Table_DataFromNL[[#This Row],[RULENAME]]</f>
        <v>CP917-Vaccinia - 2nd Donation</v>
      </c>
      <c r="M97" t="str">
        <f t="shared" si="12"/>
        <v>CP917-Vaccinia - 2nd Donation</v>
      </c>
    </row>
    <row r="98" spans="1:13" x14ac:dyDescent="0.25">
      <c r="A98" t="str">
        <f t="shared" si="13"/>
        <v>CP917-Vaccinia - 3rd Donation</v>
      </c>
      <c r="B98" t="s">
        <v>280</v>
      </c>
      <c r="C98" t="str">
        <f t="shared" si="7"/>
        <v>Amherst</v>
      </c>
      <c r="D98" t="str">
        <f t="shared" si="8"/>
        <v>Y</v>
      </c>
      <c r="E98" t="s">
        <v>592</v>
      </c>
      <c r="F98" t="str">
        <f t="shared" si="9"/>
        <v>Vaccinia - 3rd Donation</v>
      </c>
      <c r="G98" t="str">
        <f t="shared" si="10"/>
        <v>Specialty</v>
      </c>
      <c r="H98" t="s">
        <v>479</v>
      </c>
      <c r="I98">
        <f t="shared" si="11"/>
        <v>0</v>
      </c>
      <c r="J98" t="s">
        <v>546</v>
      </c>
      <c r="K98" s="5">
        <v>300</v>
      </c>
      <c r="L98" t="str">
        <f>Table_DataFromNL[[#This Row],[PROFILECODE]]&amp;"-"&amp;Table_DataFromNL[[#This Row],[RULENAME]]</f>
        <v>CP917-Vaccinia - 3rd Donation</v>
      </c>
      <c r="M98" t="str">
        <f t="shared" si="12"/>
        <v>CP917-Vaccinia - 3rd Donation</v>
      </c>
    </row>
    <row r="99" spans="1:13" x14ac:dyDescent="0.25">
      <c r="A99" t="str">
        <f t="shared" si="13"/>
        <v>CP917-Vaccinia - 4th Donation</v>
      </c>
      <c r="B99" t="s">
        <v>280</v>
      </c>
      <c r="C99" t="str">
        <f t="shared" si="7"/>
        <v>Amherst</v>
      </c>
      <c r="D99" t="str">
        <f t="shared" si="8"/>
        <v>Y</v>
      </c>
      <c r="E99" t="s">
        <v>592</v>
      </c>
      <c r="F99" t="str">
        <f t="shared" si="9"/>
        <v>Vaccinia - 4th Donation</v>
      </c>
      <c r="G99" t="str">
        <f t="shared" si="10"/>
        <v>Specialty</v>
      </c>
      <c r="H99" t="s">
        <v>480</v>
      </c>
      <c r="I99">
        <f t="shared" si="11"/>
        <v>0</v>
      </c>
      <c r="J99" t="s">
        <v>546</v>
      </c>
      <c r="K99" s="5">
        <v>300</v>
      </c>
      <c r="L99" t="str">
        <f>Table_DataFromNL[[#This Row],[PROFILECODE]]&amp;"-"&amp;Table_DataFromNL[[#This Row],[RULENAME]]</f>
        <v>CP917-Vaccinia - 4th Donation</v>
      </c>
      <c r="M99" t="str">
        <f t="shared" si="12"/>
        <v>CP917-Vaccinia - 4th Donation</v>
      </c>
    </row>
    <row r="100" spans="1:13" x14ac:dyDescent="0.25">
      <c r="A100" t="str">
        <f t="shared" si="13"/>
        <v>CP917-Vaccinia AP - 1st Donation</v>
      </c>
      <c r="B100" t="s">
        <v>280</v>
      </c>
      <c r="C100" t="str">
        <f t="shared" si="7"/>
        <v>Amherst</v>
      </c>
      <c r="D100" t="str">
        <f t="shared" si="8"/>
        <v>Y</v>
      </c>
      <c r="E100" t="s">
        <v>592</v>
      </c>
      <c r="F100" t="str">
        <f t="shared" si="9"/>
        <v>Vaccinia AP - 1st Donation</v>
      </c>
      <c r="G100" t="str">
        <f t="shared" si="10"/>
        <v>Specialty</v>
      </c>
      <c r="H100" t="s">
        <v>481</v>
      </c>
      <c r="I100">
        <f t="shared" si="11"/>
        <v>0</v>
      </c>
      <c r="J100" t="s">
        <v>546</v>
      </c>
      <c r="K100" s="5">
        <v>150</v>
      </c>
      <c r="L100" t="str">
        <f>Table_DataFromNL[[#This Row],[PROFILECODE]]&amp;"-"&amp;Table_DataFromNL[[#This Row],[RULENAME]]</f>
        <v>CP917-Vaccinia AP - 1st Donation</v>
      </c>
      <c r="M100" t="str">
        <f t="shared" si="12"/>
        <v>CP917-Vaccinia AP - 1st Donation</v>
      </c>
    </row>
    <row r="101" spans="1:13" x14ac:dyDescent="0.25">
      <c r="A101" t="str">
        <f t="shared" si="13"/>
        <v>CP917-Vaccinia AP - 2nd Donation</v>
      </c>
      <c r="B101" t="s">
        <v>280</v>
      </c>
      <c r="C101" t="str">
        <f t="shared" si="7"/>
        <v>Amherst</v>
      </c>
      <c r="D101" t="str">
        <f t="shared" si="8"/>
        <v>Y</v>
      </c>
      <c r="E101" t="s">
        <v>592</v>
      </c>
      <c r="F101" t="str">
        <f t="shared" si="9"/>
        <v>Vaccinia AP - 2nd Donation</v>
      </c>
      <c r="G101" t="str">
        <f t="shared" si="10"/>
        <v>Specialty</v>
      </c>
      <c r="H101" t="s">
        <v>482</v>
      </c>
      <c r="I101">
        <f t="shared" si="11"/>
        <v>0</v>
      </c>
      <c r="J101" t="s">
        <v>546</v>
      </c>
      <c r="K101" s="5">
        <v>250</v>
      </c>
      <c r="L101" t="str">
        <f>Table_DataFromNL[[#This Row],[PROFILECODE]]&amp;"-"&amp;Table_DataFromNL[[#This Row],[RULENAME]]</f>
        <v>CP917-Vaccinia AP - 2nd Donation</v>
      </c>
      <c r="M101" t="str">
        <f t="shared" si="12"/>
        <v>CP917-Vaccinia AP - 2nd Donation</v>
      </c>
    </row>
    <row r="102" spans="1:13" x14ac:dyDescent="0.25">
      <c r="A102" t="str">
        <f t="shared" si="13"/>
        <v>CP917-Vaccinia AP - 3rd Donation</v>
      </c>
      <c r="B102" t="s">
        <v>280</v>
      </c>
      <c r="C102" t="str">
        <f t="shared" si="7"/>
        <v>Amherst</v>
      </c>
      <c r="D102" t="str">
        <f t="shared" si="8"/>
        <v>Y</v>
      </c>
      <c r="E102" t="s">
        <v>592</v>
      </c>
      <c r="F102" t="str">
        <f t="shared" si="9"/>
        <v>Vaccinia AP - 3rd Donation</v>
      </c>
      <c r="G102" t="str">
        <f t="shared" si="10"/>
        <v>Specialty</v>
      </c>
      <c r="H102" t="s">
        <v>483</v>
      </c>
      <c r="I102">
        <f t="shared" si="11"/>
        <v>0</v>
      </c>
      <c r="J102" t="s">
        <v>546</v>
      </c>
      <c r="K102" s="5">
        <v>300</v>
      </c>
      <c r="L102" t="str">
        <f>Table_DataFromNL[[#This Row],[PROFILECODE]]&amp;"-"&amp;Table_DataFromNL[[#This Row],[RULENAME]]</f>
        <v>CP917-Vaccinia AP - 3rd Donation</v>
      </c>
      <c r="M102" t="str">
        <f t="shared" si="12"/>
        <v>CP917-Vaccinia AP - 3rd Donation</v>
      </c>
    </row>
    <row r="103" spans="1:13" x14ac:dyDescent="0.25">
      <c r="A103" t="str">
        <f t="shared" si="13"/>
        <v>CP917-Vaccinia AP - 4th Donation</v>
      </c>
      <c r="B103" t="s">
        <v>280</v>
      </c>
      <c r="C103" t="str">
        <f t="shared" si="7"/>
        <v>Amherst</v>
      </c>
      <c r="D103" t="str">
        <f t="shared" si="8"/>
        <v>Y</v>
      </c>
      <c r="E103" t="s">
        <v>592</v>
      </c>
      <c r="F103" t="str">
        <f t="shared" si="9"/>
        <v>Vaccinia AP - 4th Donation</v>
      </c>
      <c r="G103" t="str">
        <f t="shared" si="10"/>
        <v>Specialty</v>
      </c>
      <c r="H103" t="s">
        <v>484</v>
      </c>
      <c r="I103">
        <f t="shared" si="11"/>
        <v>0</v>
      </c>
      <c r="J103" t="s">
        <v>546</v>
      </c>
      <c r="K103" s="5">
        <v>300</v>
      </c>
      <c r="L103" t="str">
        <f>Table_DataFromNL[[#This Row],[PROFILECODE]]&amp;"-"&amp;Table_DataFromNL[[#This Row],[RULENAME]]</f>
        <v>CP917-Vaccinia AP - 4th Donation</v>
      </c>
      <c r="M103" t="str">
        <f t="shared" si="12"/>
        <v>CP917-Vaccinia AP - 4th Donation</v>
      </c>
    </row>
    <row r="104" spans="1:13" x14ac:dyDescent="0.25">
      <c r="A104" t="str">
        <f t="shared" si="13"/>
        <v>CP917-HANGER_RECRUIT_5USD_once</v>
      </c>
      <c r="B104" t="s">
        <v>280</v>
      </c>
      <c r="C104" t="str">
        <f t="shared" si="7"/>
        <v>Amherst</v>
      </c>
      <c r="D104" t="str">
        <f t="shared" si="8"/>
        <v>Y</v>
      </c>
      <c r="E104" t="s">
        <v>592</v>
      </c>
      <c r="F104" t="str">
        <f t="shared" si="9"/>
        <v>HANGER_RECRUIT_5USD_once</v>
      </c>
      <c r="G104">
        <f t="shared" si="10"/>
        <v>0</v>
      </c>
      <c r="H104" t="s">
        <v>565</v>
      </c>
      <c r="I104">
        <f t="shared" si="11"/>
        <v>0</v>
      </c>
      <c r="J104" t="s">
        <v>564</v>
      </c>
      <c r="K104" s="5">
        <v>5</v>
      </c>
      <c r="L104" t="str">
        <f>Table_DataFromNL[[#This Row],[PROFILECODE]]&amp;"-"&amp;Table_DataFromNL[[#This Row],[RULENAME]]</f>
        <v>CP917-HANGER_RECRUIT_5USD_once</v>
      </c>
      <c r="M104" t="e">
        <f t="shared" si="12"/>
        <v>#N/A</v>
      </c>
    </row>
    <row r="105" spans="1:13" x14ac:dyDescent="0.25">
      <c r="A105" t="str">
        <f t="shared" si="13"/>
        <v>CP917-Inconv Fee $20-$50-Comment Req'd</v>
      </c>
      <c r="B105" t="s">
        <v>280</v>
      </c>
      <c r="C105" t="str">
        <f t="shared" si="7"/>
        <v>Amherst</v>
      </c>
      <c r="D105" t="str">
        <f t="shared" si="8"/>
        <v>Y</v>
      </c>
      <c r="E105" t="s">
        <v>592</v>
      </c>
      <c r="F105" t="str">
        <f t="shared" si="9"/>
        <v>Inconv Fee $20-$50-Comment Req'd</v>
      </c>
      <c r="G105">
        <f t="shared" si="10"/>
        <v>0</v>
      </c>
      <c r="H105" t="s">
        <v>566</v>
      </c>
      <c r="I105">
        <f t="shared" si="11"/>
        <v>0</v>
      </c>
      <c r="J105" t="s">
        <v>564</v>
      </c>
      <c r="K105" s="5">
        <v>50</v>
      </c>
      <c r="L105" t="str">
        <f>Table_DataFromNL[[#This Row],[PROFILECODE]]&amp;"-"&amp;Table_DataFromNL[[#This Row],[RULENAME]]</f>
        <v>CP917-Inconv Fee $20-$50-Comment Req'd</v>
      </c>
      <c r="M105" t="e">
        <f t="shared" si="12"/>
        <v>#N/A</v>
      </c>
    </row>
    <row r="106" spans="1:13" x14ac:dyDescent="0.25">
      <c r="A106" t="str">
        <f t="shared" si="13"/>
        <v>CP917-Inconv Fee $5-$20-Comment Req'd</v>
      </c>
      <c r="B106" t="s">
        <v>280</v>
      </c>
      <c r="C106" t="str">
        <f t="shared" si="7"/>
        <v>Amherst</v>
      </c>
      <c r="D106" t="str">
        <f t="shared" si="8"/>
        <v>Y</v>
      </c>
      <c r="E106" t="s">
        <v>592</v>
      </c>
      <c r="F106" t="str">
        <f t="shared" si="9"/>
        <v>Inconv Fee $5-$20-Comment Req'd</v>
      </c>
      <c r="G106">
        <f t="shared" si="10"/>
        <v>0</v>
      </c>
      <c r="H106" t="s">
        <v>567</v>
      </c>
      <c r="I106">
        <f t="shared" si="11"/>
        <v>0</v>
      </c>
      <c r="J106" t="s">
        <v>564</v>
      </c>
      <c r="K106" s="5">
        <v>20</v>
      </c>
      <c r="L106" t="str">
        <f>Table_DataFromNL[[#This Row],[PROFILECODE]]&amp;"-"&amp;Table_DataFromNL[[#This Row],[RULENAME]]</f>
        <v>CP917-Inconv Fee $5-$20-Comment Req'd</v>
      </c>
      <c r="M106" t="e">
        <f t="shared" si="12"/>
        <v>#N/A</v>
      </c>
    </row>
    <row r="107" spans="1:13" x14ac:dyDescent="0.25">
      <c r="A107" t="str">
        <f t="shared" si="13"/>
        <v>CP917-Inconv Fee$50-$100-Comment Req'd</v>
      </c>
      <c r="B107" t="s">
        <v>280</v>
      </c>
      <c r="C107" t="str">
        <f t="shared" si="7"/>
        <v>Amherst</v>
      </c>
      <c r="D107" t="str">
        <f t="shared" si="8"/>
        <v>Y</v>
      </c>
      <c r="E107" t="s">
        <v>592</v>
      </c>
      <c r="F107" t="str">
        <f t="shared" si="9"/>
        <v>Inconv Fee$50-$100-Comment Req'd</v>
      </c>
      <c r="G107">
        <f t="shared" si="10"/>
        <v>0</v>
      </c>
      <c r="H107" t="s">
        <v>568</v>
      </c>
      <c r="I107">
        <f t="shared" si="11"/>
        <v>0</v>
      </c>
      <c r="J107" t="s">
        <v>564</v>
      </c>
      <c r="K107" s="5">
        <v>100</v>
      </c>
      <c r="L107" t="str">
        <f>Table_DataFromNL[[#This Row],[PROFILECODE]]&amp;"-"&amp;Table_DataFromNL[[#This Row],[RULENAME]]</f>
        <v>CP917-Inconv Fee$50-$100-Comment Req'd</v>
      </c>
      <c r="M107" t="e">
        <f t="shared" si="12"/>
        <v>#N/A</v>
      </c>
    </row>
    <row r="108" spans="1:13" x14ac:dyDescent="0.25">
      <c r="A108" t="str">
        <f t="shared" si="13"/>
        <v>CP917-MONDAY_COUPON_RETENTION_10_once</v>
      </c>
      <c r="B108" t="s">
        <v>280</v>
      </c>
      <c r="C108" t="str">
        <f t="shared" si="7"/>
        <v>Amherst</v>
      </c>
      <c r="D108" t="str">
        <f t="shared" si="8"/>
        <v>Y</v>
      </c>
      <c r="E108" t="s">
        <v>592</v>
      </c>
      <c r="F108" t="str">
        <f t="shared" si="9"/>
        <v>MONDAY_COUPON_RETENTION_10_once</v>
      </c>
      <c r="G108">
        <f t="shared" si="10"/>
        <v>0</v>
      </c>
      <c r="H108" t="s">
        <v>594</v>
      </c>
      <c r="I108">
        <f t="shared" si="11"/>
        <v>0</v>
      </c>
      <c r="J108" t="s">
        <v>564</v>
      </c>
      <c r="K108" s="5">
        <v>10</v>
      </c>
      <c r="L108" t="str">
        <f>Table_DataFromNL[[#This Row],[PROFILECODE]]&amp;"-"&amp;Table_DataFromNL[[#This Row],[RULENAME]]</f>
        <v>CP917-MONDAY_COUPON_RETENTION_10_once</v>
      </c>
      <c r="M108" t="e">
        <f t="shared" si="12"/>
        <v>#N/A</v>
      </c>
    </row>
    <row r="109" spans="1:13" x14ac:dyDescent="0.25">
      <c r="A109" t="str">
        <f t="shared" si="13"/>
        <v>CP917-NSP_ LAPSEDONOR_50_Twice</v>
      </c>
      <c r="B109" t="s">
        <v>280</v>
      </c>
      <c r="C109" t="str">
        <f t="shared" si="7"/>
        <v>Amherst</v>
      </c>
      <c r="D109" t="str">
        <f t="shared" si="8"/>
        <v>Y</v>
      </c>
      <c r="E109" t="s">
        <v>592</v>
      </c>
      <c r="F109" t="str">
        <f t="shared" si="9"/>
        <v>NSP_ LAPSEDONOR_50_Twice</v>
      </c>
      <c r="G109">
        <f t="shared" si="10"/>
        <v>0</v>
      </c>
      <c r="H109" t="s">
        <v>569</v>
      </c>
      <c r="I109">
        <f t="shared" si="11"/>
        <v>0</v>
      </c>
      <c r="J109" t="s">
        <v>564</v>
      </c>
      <c r="K109" s="5">
        <v>50</v>
      </c>
      <c r="L109" t="str">
        <f>Table_DataFromNL[[#This Row],[PROFILECODE]]&amp;"-"&amp;Table_DataFromNL[[#This Row],[RULENAME]]</f>
        <v>CP917-NSP_ LAPSEDONOR_50_Twice</v>
      </c>
      <c r="M109" t="e">
        <f t="shared" si="12"/>
        <v>#N/A</v>
      </c>
    </row>
    <row r="110" spans="1:13" x14ac:dyDescent="0.25">
      <c r="A110" t="str">
        <f t="shared" si="13"/>
        <v>CP917-NSP_LD_25_2X</v>
      </c>
      <c r="B110" t="s">
        <v>280</v>
      </c>
      <c r="C110" t="str">
        <f t="shared" si="7"/>
        <v>Amherst</v>
      </c>
      <c r="D110" t="str">
        <f t="shared" si="8"/>
        <v>Y</v>
      </c>
      <c r="E110" t="s">
        <v>592</v>
      </c>
      <c r="F110" t="str">
        <f t="shared" si="9"/>
        <v>NSP_LD_25_2X</v>
      </c>
      <c r="G110">
        <f t="shared" si="10"/>
        <v>0</v>
      </c>
      <c r="H110" t="s">
        <v>570</v>
      </c>
      <c r="I110">
        <f t="shared" si="11"/>
        <v>0</v>
      </c>
      <c r="J110" t="s">
        <v>564</v>
      </c>
      <c r="K110" s="5">
        <v>25</v>
      </c>
      <c r="L110" t="str">
        <f>Table_DataFromNL[[#This Row],[PROFILECODE]]&amp;"-"&amp;Table_DataFromNL[[#This Row],[RULENAME]]</f>
        <v>CP917-NSP_LD_25_2X</v>
      </c>
      <c r="M110" t="e">
        <f t="shared" si="12"/>
        <v>#N/A</v>
      </c>
    </row>
    <row r="111" spans="1:13" x14ac:dyDescent="0.25">
      <c r="A111" t="str">
        <f t="shared" si="13"/>
        <v>CP917-NSP_LD_50_1X</v>
      </c>
      <c r="B111" t="s">
        <v>280</v>
      </c>
      <c r="C111" t="str">
        <f t="shared" si="7"/>
        <v>Amherst</v>
      </c>
      <c r="D111" t="str">
        <f t="shared" si="8"/>
        <v>Y</v>
      </c>
      <c r="E111" t="s">
        <v>592</v>
      </c>
      <c r="F111" t="str">
        <f t="shared" si="9"/>
        <v>NSP_LD_50_1X</v>
      </c>
      <c r="G111">
        <f t="shared" si="10"/>
        <v>0</v>
      </c>
      <c r="H111" t="s">
        <v>571</v>
      </c>
      <c r="I111">
        <f t="shared" si="11"/>
        <v>0</v>
      </c>
      <c r="J111" t="s">
        <v>564</v>
      </c>
      <c r="K111" s="5">
        <v>50</v>
      </c>
      <c r="L111" t="str">
        <f>Table_DataFromNL[[#This Row],[PROFILECODE]]&amp;"-"&amp;Table_DataFromNL[[#This Row],[RULENAME]]</f>
        <v>CP917-NSP_LD_50_1X</v>
      </c>
      <c r="M111" t="e">
        <f t="shared" si="12"/>
        <v>#N/A</v>
      </c>
    </row>
    <row r="112" spans="1:13" x14ac:dyDescent="0.25">
      <c r="A112" t="str">
        <f t="shared" si="13"/>
        <v>CP917-NSP_ORPHAN_100_once</v>
      </c>
      <c r="B112" t="s">
        <v>280</v>
      </c>
      <c r="C112" t="str">
        <f t="shared" si="7"/>
        <v>Amherst</v>
      </c>
      <c r="D112" t="str">
        <f t="shared" si="8"/>
        <v>Y</v>
      </c>
      <c r="E112" t="s">
        <v>592</v>
      </c>
      <c r="F112" t="str">
        <f t="shared" si="9"/>
        <v>NSP_ORPHAN_100_once</v>
      </c>
      <c r="G112">
        <f t="shared" si="10"/>
        <v>0</v>
      </c>
      <c r="H112" t="s">
        <v>572</v>
      </c>
      <c r="I112">
        <f t="shared" si="11"/>
        <v>0</v>
      </c>
      <c r="J112" t="s">
        <v>564</v>
      </c>
      <c r="K112" s="5">
        <v>100</v>
      </c>
      <c r="L112" t="str">
        <f>Table_DataFromNL[[#This Row],[PROFILECODE]]&amp;"-"&amp;Table_DataFromNL[[#This Row],[RULENAME]]</f>
        <v>CP917-NSP_ORPHAN_100_once</v>
      </c>
      <c r="M112" t="e">
        <f t="shared" si="12"/>
        <v>#N/A</v>
      </c>
    </row>
    <row r="113" spans="1:13" x14ac:dyDescent="0.25">
      <c r="A113" t="str">
        <f t="shared" si="13"/>
        <v>CP917-Referral - Vaccinia</v>
      </c>
      <c r="B113" t="s">
        <v>280</v>
      </c>
      <c r="C113" t="str">
        <f t="shared" si="7"/>
        <v>Amherst</v>
      </c>
      <c r="D113" t="str">
        <f t="shared" si="8"/>
        <v>Y</v>
      </c>
      <c r="E113" t="s">
        <v>592</v>
      </c>
      <c r="F113" t="str">
        <f t="shared" si="9"/>
        <v>Referral - Vaccinia</v>
      </c>
      <c r="G113">
        <f t="shared" si="10"/>
        <v>0</v>
      </c>
      <c r="H113" t="s">
        <v>595</v>
      </c>
      <c r="I113">
        <f t="shared" si="11"/>
        <v>0</v>
      </c>
      <c r="J113" t="s">
        <v>564</v>
      </c>
      <c r="K113" s="5">
        <v>200</v>
      </c>
      <c r="L113" t="str">
        <f>Table_DataFromNL[[#This Row],[PROFILECODE]]&amp;"-"&amp;Table_DataFromNL[[#This Row],[RULENAME]]</f>
        <v>CP917-Referral - Vaccinia</v>
      </c>
      <c r="M113" t="e">
        <f t="shared" si="12"/>
        <v>#N/A</v>
      </c>
    </row>
    <row r="114" spans="1:13" x14ac:dyDescent="0.25">
      <c r="A114" t="str">
        <f t="shared" si="13"/>
        <v>CP917-Restick</v>
      </c>
      <c r="B114" t="s">
        <v>280</v>
      </c>
      <c r="C114" t="str">
        <f t="shared" si="7"/>
        <v>Amherst</v>
      </c>
      <c r="D114" t="str">
        <f t="shared" si="8"/>
        <v>Y</v>
      </c>
      <c r="E114" t="s">
        <v>592</v>
      </c>
      <c r="F114" t="str">
        <f t="shared" si="9"/>
        <v>Restick</v>
      </c>
      <c r="G114">
        <f t="shared" si="10"/>
        <v>0</v>
      </c>
      <c r="H114" t="s">
        <v>573</v>
      </c>
      <c r="I114">
        <f t="shared" si="11"/>
        <v>0</v>
      </c>
      <c r="J114" t="s">
        <v>564</v>
      </c>
      <c r="K114" s="5">
        <v>5</v>
      </c>
      <c r="L114" t="str">
        <f>Table_DataFromNL[[#This Row],[PROFILECODE]]&amp;"-"&amp;Table_DataFromNL[[#This Row],[RULENAME]]</f>
        <v>CP917-Restick</v>
      </c>
      <c r="M114" t="e">
        <f t="shared" si="12"/>
        <v>#N/A</v>
      </c>
    </row>
    <row r="115" spans="1:13" x14ac:dyDescent="0.25">
      <c r="A115" t="str">
        <f t="shared" si="13"/>
        <v>CP917-SLOW_TEXT_5</v>
      </c>
      <c r="B115" t="s">
        <v>280</v>
      </c>
      <c r="C115" t="str">
        <f t="shared" si="7"/>
        <v>Amherst</v>
      </c>
      <c r="D115" t="str">
        <f t="shared" si="8"/>
        <v>Y</v>
      </c>
      <c r="E115" t="s">
        <v>592</v>
      </c>
      <c r="F115" t="str">
        <f t="shared" si="9"/>
        <v>SLOW_TEXT_5</v>
      </c>
      <c r="G115">
        <f t="shared" si="10"/>
        <v>0</v>
      </c>
      <c r="H115" t="s">
        <v>574</v>
      </c>
      <c r="I115">
        <f t="shared" si="11"/>
        <v>0</v>
      </c>
      <c r="J115" t="s">
        <v>564</v>
      </c>
      <c r="K115" s="5">
        <v>5</v>
      </c>
      <c r="L115" t="str">
        <f>Table_DataFromNL[[#This Row],[PROFILECODE]]&amp;"-"&amp;Table_DataFromNL[[#This Row],[RULENAME]]</f>
        <v>CP917-SLOW_TEXT_5</v>
      </c>
      <c r="M115" t="e">
        <f t="shared" si="12"/>
        <v>#N/A</v>
      </c>
    </row>
    <row r="116" spans="1:13" x14ac:dyDescent="0.25">
      <c r="A116" t="str">
        <f t="shared" si="13"/>
        <v>CP917-Sample Only</v>
      </c>
      <c r="B116" t="s">
        <v>280</v>
      </c>
      <c r="C116" t="str">
        <f t="shared" si="7"/>
        <v>Amherst</v>
      </c>
      <c r="D116" t="str">
        <f t="shared" si="8"/>
        <v>Y</v>
      </c>
      <c r="E116" t="s">
        <v>592</v>
      </c>
      <c r="F116" t="str">
        <f t="shared" si="9"/>
        <v>Sample Only</v>
      </c>
      <c r="G116">
        <f t="shared" si="10"/>
        <v>0</v>
      </c>
      <c r="H116" t="s">
        <v>575</v>
      </c>
      <c r="I116">
        <f t="shared" si="11"/>
        <v>0</v>
      </c>
      <c r="J116" t="s">
        <v>564</v>
      </c>
      <c r="K116" s="5">
        <v>5</v>
      </c>
      <c r="L116" t="str">
        <f>Table_DataFromNL[[#This Row],[PROFILECODE]]&amp;"-"&amp;Table_DataFromNL[[#This Row],[RULENAME]]</f>
        <v>CP917-Sample Only</v>
      </c>
      <c r="M116" t="e">
        <f t="shared" si="12"/>
        <v>#N/A</v>
      </c>
    </row>
    <row r="117" spans="1:13" x14ac:dyDescent="0.25">
      <c r="A117" t="str">
        <f t="shared" si="13"/>
        <v>CP917-Unit Below 250 mL</v>
      </c>
      <c r="B117" t="s">
        <v>280</v>
      </c>
      <c r="C117" t="str">
        <f t="shared" si="7"/>
        <v>Amherst</v>
      </c>
      <c r="D117" t="str">
        <f t="shared" si="8"/>
        <v>Y</v>
      </c>
      <c r="E117" t="s">
        <v>592</v>
      </c>
      <c r="F117" t="str">
        <f t="shared" si="9"/>
        <v>Unit Below 250 mL</v>
      </c>
      <c r="G117">
        <f t="shared" si="10"/>
        <v>0</v>
      </c>
      <c r="H117" t="s">
        <v>576</v>
      </c>
      <c r="I117">
        <f t="shared" si="11"/>
        <v>0</v>
      </c>
      <c r="J117" t="s">
        <v>564</v>
      </c>
      <c r="K117" s="5">
        <v>5</v>
      </c>
      <c r="L117" t="str">
        <f>Table_DataFromNL[[#This Row],[PROFILECODE]]&amp;"-"&amp;Table_DataFromNL[[#This Row],[RULENAME]]</f>
        <v>CP917-Unit Below 250 mL</v>
      </c>
      <c r="M117" t="e">
        <f t="shared" si="12"/>
        <v>#N/A</v>
      </c>
    </row>
    <row r="118" spans="1:13" x14ac:dyDescent="0.25">
      <c r="A118" t="str">
        <f t="shared" si="13"/>
        <v>CP917-Unit above 250 mL/underdraw</v>
      </c>
      <c r="B118" t="s">
        <v>280</v>
      </c>
      <c r="C118" t="str">
        <f t="shared" si="7"/>
        <v>Amherst</v>
      </c>
      <c r="D118" t="str">
        <f t="shared" si="8"/>
        <v>Y</v>
      </c>
      <c r="E118" t="s">
        <v>592</v>
      </c>
      <c r="F118" t="str">
        <f t="shared" si="9"/>
        <v>Unit above 250 mL/underdraw</v>
      </c>
      <c r="G118">
        <f t="shared" si="10"/>
        <v>0</v>
      </c>
      <c r="H118" t="s">
        <v>577</v>
      </c>
      <c r="I118">
        <f t="shared" si="11"/>
        <v>0</v>
      </c>
      <c r="J118" t="s">
        <v>564</v>
      </c>
      <c r="K118" s="5">
        <v>10</v>
      </c>
      <c r="L118" t="str">
        <f>Table_DataFromNL[[#This Row],[PROFILECODE]]&amp;"-"&amp;Table_DataFromNL[[#This Row],[RULENAME]]</f>
        <v>CP917-Unit above 250 mL/underdraw</v>
      </c>
      <c r="M118" t="e">
        <f t="shared" si="12"/>
        <v>#N/A</v>
      </c>
    </row>
    <row r="119" spans="1:13" x14ac:dyDescent="0.25">
      <c r="A119" t="str">
        <f t="shared" si="13"/>
        <v>CP917-Vaccinia Immunization</v>
      </c>
      <c r="B119" t="s">
        <v>280</v>
      </c>
      <c r="C119" t="str">
        <f t="shared" si="7"/>
        <v>Amherst</v>
      </c>
      <c r="D119" t="str">
        <f t="shared" si="8"/>
        <v>Y</v>
      </c>
      <c r="E119" t="s">
        <v>592</v>
      </c>
      <c r="F119" t="str">
        <f t="shared" si="9"/>
        <v>Vaccinia Immunization</v>
      </c>
      <c r="G119">
        <f t="shared" si="10"/>
        <v>0</v>
      </c>
      <c r="H119" t="s">
        <v>596</v>
      </c>
      <c r="I119">
        <f t="shared" si="11"/>
        <v>0</v>
      </c>
      <c r="J119" t="s">
        <v>564</v>
      </c>
      <c r="K119" s="5">
        <v>100</v>
      </c>
      <c r="L119" t="str">
        <f>Table_DataFromNL[[#This Row],[PROFILECODE]]&amp;"-"&amp;Table_DataFromNL[[#This Row],[RULENAME]]</f>
        <v>CP917-Vaccinia Immunization</v>
      </c>
      <c r="M119" t="e">
        <f t="shared" si="12"/>
        <v>#N/A</v>
      </c>
    </row>
    <row r="120" spans="1:13" x14ac:dyDescent="0.25">
      <c r="A120" t="str">
        <f t="shared" si="13"/>
        <v>CP917-RETURN - Buddy referral  -BONUS</v>
      </c>
      <c r="B120" t="s">
        <v>280</v>
      </c>
      <c r="C120" t="str">
        <f t="shared" si="7"/>
        <v>Amherst</v>
      </c>
      <c r="D120" t="str">
        <f t="shared" si="8"/>
        <v>Y</v>
      </c>
      <c r="E120" t="s">
        <v>592</v>
      </c>
      <c r="F120" t="str">
        <f t="shared" si="9"/>
        <v>RETURN - Buddy referral  -BONUS</v>
      </c>
      <c r="G120" t="str">
        <f t="shared" si="10"/>
        <v>Marketing</v>
      </c>
      <c r="H120" t="s">
        <v>34</v>
      </c>
      <c r="I120">
        <f t="shared" si="11"/>
        <v>50</v>
      </c>
      <c r="J120" t="s">
        <v>578</v>
      </c>
      <c r="K120" s="5">
        <v>50</v>
      </c>
      <c r="L120" t="str">
        <f>Table_DataFromNL[[#This Row],[PROFILECODE]]&amp;"-"&amp;Table_DataFromNL[[#This Row],[RULENAME]]</f>
        <v>CP917-Referral</v>
      </c>
      <c r="M120" t="str">
        <f t="shared" si="12"/>
        <v>CP917-RETURN - Buddy referral  -BONUS</v>
      </c>
    </row>
    <row r="121" spans="1:13" x14ac:dyDescent="0.25">
      <c r="A121" t="str">
        <f t="shared" si="13"/>
        <v>CP917-P Anti-D Pre-Existing Standard</v>
      </c>
      <c r="B121" t="s">
        <v>280</v>
      </c>
      <c r="C121" t="str">
        <f t="shared" si="7"/>
        <v>Amherst</v>
      </c>
      <c r="D121" t="str">
        <f t="shared" si="8"/>
        <v>Y</v>
      </c>
      <c r="E121" t="s">
        <v>592</v>
      </c>
      <c r="F121" t="str">
        <f t="shared" si="9"/>
        <v>P Anti-D Pre-Existing Standard</v>
      </c>
      <c r="G121" t="str">
        <f t="shared" si="10"/>
        <v>Specialty</v>
      </c>
      <c r="H121" t="s">
        <v>469</v>
      </c>
      <c r="I121" t="str">
        <f t="shared" si="11"/>
        <v>RETURN - 1st don of the week -STD</v>
      </c>
      <c r="J121" t="s">
        <v>579</v>
      </c>
      <c r="K121" s="5">
        <v>50</v>
      </c>
      <c r="L121" t="str">
        <f>Table_DataFromNL[[#This Row],[PROFILECODE]]&amp;"-"&amp;Table_DataFromNL[[#This Row],[RULENAME]]</f>
        <v>CP917-P Anti-D Pre-Existing Standard</v>
      </c>
      <c r="M121" t="str">
        <f t="shared" si="12"/>
        <v>CP917-P Anti-D Pre-Existing Standard</v>
      </c>
    </row>
    <row r="122" spans="1:13" x14ac:dyDescent="0.25">
      <c r="A122" t="str">
        <f t="shared" si="13"/>
        <v>CP917-P Anti-D Standard</v>
      </c>
      <c r="B122" t="s">
        <v>280</v>
      </c>
      <c r="C122" t="str">
        <f t="shared" si="7"/>
        <v>Amherst</v>
      </c>
      <c r="D122" t="str">
        <f t="shared" si="8"/>
        <v>Y</v>
      </c>
      <c r="E122" t="s">
        <v>592</v>
      </c>
      <c r="F122" t="str">
        <f t="shared" si="9"/>
        <v>P Anti-D Standard</v>
      </c>
      <c r="G122" t="str">
        <f t="shared" si="10"/>
        <v>Specialty</v>
      </c>
      <c r="H122" t="s">
        <v>474</v>
      </c>
      <c r="I122" t="str">
        <f t="shared" si="11"/>
        <v>RETURN - 1st don of the week -STD</v>
      </c>
      <c r="J122" t="s">
        <v>579</v>
      </c>
      <c r="K122" s="5">
        <v>100</v>
      </c>
      <c r="L122" t="str">
        <f>Table_DataFromNL[[#This Row],[PROFILECODE]]&amp;"-"&amp;Table_DataFromNL[[#This Row],[RULENAME]]</f>
        <v>CP917-P Anti-D Standard</v>
      </c>
      <c r="M122" t="str">
        <f t="shared" si="12"/>
        <v>CP917-P Anti-D Standard</v>
      </c>
    </row>
    <row r="123" spans="1:13" x14ac:dyDescent="0.25">
      <c r="A123" t="str">
        <f t="shared" si="13"/>
        <v>CP917-RETURN - 1st don of the week -STD</v>
      </c>
      <c r="B123" t="s">
        <v>280</v>
      </c>
      <c r="C123" t="str">
        <f t="shared" si="7"/>
        <v>Amherst</v>
      </c>
      <c r="D123" t="str">
        <f t="shared" si="8"/>
        <v>Y</v>
      </c>
      <c r="E123" t="s">
        <v>592</v>
      </c>
      <c r="F123" t="str">
        <f t="shared" si="9"/>
        <v>RETURN - 1st don of the week -STD</v>
      </c>
      <c r="G123" t="str">
        <f t="shared" si="10"/>
        <v>Marketing</v>
      </c>
      <c r="H123" t="s">
        <v>583</v>
      </c>
      <c r="I123">
        <f t="shared" si="11"/>
        <v>22</v>
      </c>
      <c r="J123" t="s">
        <v>579</v>
      </c>
      <c r="K123" s="5">
        <v>30</v>
      </c>
      <c r="L123" t="str">
        <f>Table_DataFromNL[[#This Row],[PROFILECODE]]&amp;"-"&amp;Table_DataFromNL[[#This Row],[RULENAME]]</f>
        <v>CP917-P NSP NS AP Standard</v>
      </c>
      <c r="M123" t="str">
        <f t="shared" si="12"/>
        <v>CP917-RETURN - 1st don of the week -STD</v>
      </c>
    </row>
    <row r="124" spans="1:13" x14ac:dyDescent="0.25">
      <c r="A124" t="str">
        <f t="shared" si="13"/>
        <v>CP917-RETURN - 1st don of the week -STD</v>
      </c>
      <c r="B124" t="s">
        <v>280</v>
      </c>
      <c r="C124" t="str">
        <f t="shared" si="7"/>
        <v>Amherst</v>
      </c>
      <c r="D124" t="str">
        <f t="shared" si="8"/>
        <v>Y</v>
      </c>
      <c r="E124" t="s">
        <v>592</v>
      </c>
      <c r="F124" t="str">
        <f t="shared" si="9"/>
        <v>RETURN - 1st don of the week -STD</v>
      </c>
      <c r="G124" t="str">
        <f t="shared" si="10"/>
        <v>Marketing</v>
      </c>
      <c r="H124" t="s">
        <v>584</v>
      </c>
      <c r="I124">
        <f t="shared" si="11"/>
        <v>23</v>
      </c>
      <c r="J124" t="s">
        <v>579</v>
      </c>
      <c r="K124" s="5">
        <v>30</v>
      </c>
      <c r="L124" t="str">
        <f>Table_DataFromNL[[#This Row],[PROFILECODE]]&amp;"-"&amp;Table_DataFromNL[[#This Row],[RULENAME]]</f>
        <v>CP917-P NSP NS Standard</v>
      </c>
      <c r="M124" t="str">
        <f t="shared" si="12"/>
        <v>CP917-RETURN - 1st don of the week -STD</v>
      </c>
    </row>
    <row r="125" spans="1:13" x14ac:dyDescent="0.25">
      <c r="A125" t="str">
        <f t="shared" si="13"/>
        <v>CP917-P Vaccinia AP Standard</v>
      </c>
      <c r="B125" t="s">
        <v>280</v>
      </c>
      <c r="C125" t="str">
        <f t="shared" si="7"/>
        <v>Amherst</v>
      </c>
      <c r="D125" t="str">
        <f t="shared" si="8"/>
        <v>Y</v>
      </c>
      <c r="E125" t="s">
        <v>592</v>
      </c>
      <c r="F125" t="str">
        <f t="shared" si="9"/>
        <v>P Vaccinia AP Standard</v>
      </c>
      <c r="G125" t="str">
        <f t="shared" si="10"/>
        <v>Specialty</v>
      </c>
      <c r="H125" t="s">
        <v>475</v>
      </c>
      <c r="I125">
        <f t="shared" si="11"/>
        <v>0</v>
      </c>
      <c r="J125" t="s">
        <v>579</v>
      </c>
      <c r="K125" s="5">
        <v>100</v>
      </c>
      <c r="L125" t="str">
        <f>Table_DataFromNL[[#This Row],[PROFILECODE]]&amp;"-"&amp;Table_DataFromNL[[#This Row],[RULENAME]]</f>
        <v>CP917-P Vaccinia AP Standard</v>
      </c>
      <c r="M125" t="str">
        <f t="shared" si="12"/>
        <v>CP917-P Vaccinia AP Standard</v>
      </c>
    </row>
    <row r="126" spans="1:13" x14ac:dyDescent="0.25">
      <c r="A126" t="str">
        <f t="shared" si="13"/>
        <v>CP917-P Vaccinia Standard</v>
      </c>
      <c r="B126" t="s">
        <v>280</v>
      </c>
      <c r="C126" t="str">
        <f t="shared" si="7"/>
        <v>Amherst</v>
      </c>
      <c r="D126" t="str">
        <f t="shared" si="8"/>
        <v>Y</v>
      </c>
      <c r="E126" t="s">
        <v>592</v>
      </c>
      <c r="F126" t="str">
        <f t="shared" si="9"/>
        <v>P Vaccinia Standard</v>
      </c>
      <c r="G126" t="str">
        <f t="shared" si="10"/>
        <v>Specialty</v>
      </c>
      <c r="H126" t="s">
        <v>476</v>
      </c>
      <c r="I126">
        <f t="shared" si="11"/>
        <v>0</v>
      </c>
      <c r="J126" t="s">
        <v>579</v>
      </c>
      <c r="K126" s="5">
        <v>100</v>
      </c>
      <c r="L126" t="str">
        <f>Table_DataFromNL[[#This Row],[PROFILECODE]]&amp;"-"&amp;Table_DataFromNL[[#This Row],[RULENAME]]</f>
        <v>CP917-P Vaccinia Standard</v>
      </c>
      <c r="M126" t="str">
        <f t="shared" si="12"/>
        <v>CP917-P Vaccinia Standard</v>
      </c>
    </row>
    <row r="127" spans="1:13" x14ac:dyDescent="0.25">
      <c r="A127" t="str">
        <f t="shared" si="13"/>
        <v>CP873-1st Responder-Medical</v>
      </c>
      <c r="B127" t="s">
        <v>421</v>
      </c>
      <c r="C127" t="str">
        <f t="shared" si="7"/>
        <v>Anderson</v>
      </c>
      <c r="D127" t="str">
        <f t="shared" si="8"/>
        <v>Y</v>
      </c>
      <c r="E127" t="s">
        <v>597</v>
      </c>
      <c r="F127" t="str">
        <f t="shared" si="9"/>
        <v>1st Responder-Medical</v>
      </c>
      <c r="G127">
        <f t="shared" si="10"/>
        <v>0</v>
      </c>
      <c r="H127" t="s">
        <v>545</v>
      </c>
      <c r="I127">
        <f t="shared" si="11"/>
        <v>0</v>
      </c>
      <c r="J127" t="s">
        <v>546</v>
      </c>
      <c r="K127" s="5">
        <v>5</v>
      </c>
      <c r="L127" t="str">
        <f>Table_DataFromNL[[#This Row],[PROFILECODE]]&amp;"-"&amp;Table_DataFromNL[[#This Row],[RULENAME]]</f>
        <v>CP873-1st Responder-Medical</v>
      </c>
      <c r="M127" t="e">
        <f t="shared" si="12"/>
        <v>#N/A</v>
      </c>
    </row>
    <row r="128" spans="1:13" x14ac:dyDescent="0.25">
      <c r="A128" t="str">
        <f t="shared" si="13"/>
        <v>CP873-RETURN - 2nd don of the week -BONUS</v>
      </c>
      <c r="B128" t="s">
        <v>421</v>
      </c>
      <c r="C128" t="str">
        <f t="shared" si="7"/>
        <v>Anderson</v>
      </c>
      <c r="D128" t="str">
        <f t="shared" si="8"/>
        <v>Y</v>
      </c>
      <c r="E128" t="s">
        <v>597</v>
      </c>
      <c r="F128" t="str">
        <f t="shared" si="9"/>
        <v>RETURN - 2nd don of the week -BONUS</v>
      </c>
      <c r="G128" t="str">
        <f t="shared" si="10"/>
        <v>Marketing</v>
      </c>
      <c r="H128" t="s">
        <v>550</v>
      </c>
      <c r="I128">
        <f t="shared" si="11"/>
        <v>26</v>
      </c>
      <c r="J128" t="s">
        <v>546</v>
      </c>
      <c r="K128" s="5">
        <v>25</v>
      </c>
      <c r="L128" t="str">
        <f>Table_DataFromNL[[#This Row],[PROFILECODE]]&amp;"-"&amp;Table_DataFromNL[[#This Row],[RULENAME]]</f>
        <v>CP873-2X Week P NSP NS</v>
      </c>
      <c r="M128" t="str">
        <f t="shared" si="12"/>
        <v>CP873-RETURN - 2nd don of the week -BONUS</v>
      </c>
    </row>
    <row r="129" spans="1:13" x14ac:dyDescent="0.25">
      <c r="A129" t="str">
        <f t="shared" si="13"/>
        <v>CP873-RETURN - 2nd don of the week -BONUS</v>
      </c>
      <c r="B129" t="s">
        <v>421</v>
      </c>
      <c r="C129" t="str">
        <f t="shared" si="7"/>
        <v>Anderson</v>
      </c>
      <c r="D129" t="str">
        <f t="shared" si="8"/>
        <v>Y</v>
      </c>
      <c r="E129" t="s">
        <v>597</v>
      </c>
      <c r="F129" t="str">
        <f t="shared" si="9"/>
        <v>RETURN - 2nd don of the week -BONUS</v>
      </c>
      <c r="G129" t="str">
        <f t="shared" si="10"/>
        <v>Marketing</v>
      </c>
      <c r="H129" t="s">
        <v>551</v>
      </c>
      <c r="I129" t="str">
        <f t="shared" si="11"/>
        <v>RETURN - 2nd don of the week -BONUS</v>
      </c>
      <c r="J129" t="s">
        <v>546</v>
      </c>
      <c r="K129" s="5">
        <v>25</v>
      </c>
      <c r="L129" t="str">
        <f>Table_DataFromNL[[#This Row],[PROFILECODE]]&amp;"-"&amp;Table_DataFromNL[[#This Row],[RULENAME]]</f>
        <v>CP873-2X Week P NSP NS AP</v>
      </c>
      <c r="M129" t="str">
        <f t="shared" si="12"/>
        <v>CP873-RETURN - 2nd don of the week -BONUS</v>
      </c>
    </row>
    <row r="130" spans="1:13" x14ac:dyDescent="0.25">
      <c r="A130" t="str">
        <f t="shared" si="13"/>
        <v>CP873-2X Week P Tetanus</v>
      </c>
      <c r="B130" t="s">
        <v>421</v>
      </c>
      <c r="C130" t="str">
        <f t="shared" ref="C130:C193" si="14">VLOOKUP(B130,CenterLU,2,FALSE)</f>
        <v>Anderson</v>
      </c>
      <c r="D130" t="str">
        <f t="shared" ref="D130:D193" si="15">VLOOKUP(B130,CenterLU,3,FALSE)</f>
        <v>Y</v>
      </c>
      <c r="E130" t="s">
        <v>597</v>
      </c>
      <c r="F130" t="str">
        <f t="shared" ref="F130:F193" si="16">IF(VLOOKUP(H130,RULENAMELU,3,FALSE)=0,H130,VLOOKUP(H130,RULENAMELU,3,FALSE))</f>
        <v>2X Week P Tetanus</v>
      </c>
      <c r="G130" t="str">
        <f t="shared" ref="G130:G193" si="17">VLOOKUP(H130,RULENAMELU,4,FALSE)</f>
        <v>Specialty</v>
      </c>
      <c r="H130" t="s">
        <v>485</v>
      </c>
      <c r="I130" t="str">
        <f t="shared" ref="I130:I193" si="18">VLOOKUP(H130,RULENAMELU,5,FALSE)</f>
        <v>RETURN - 2nd don of the week -BONUS</v>
      </c>
      <c r="J130" t="s">
        <v>546</v>
      </c>
      <c r="K130" s="5">
        <v>25</v>
      </c>
      <c r="L130" t="str">
        <f>Table_DataFromNL[[#This Row],[PROFILECODE]]&amp;"-"&amp;Table_DataFromNL[[#This Row],[RULENAME]]</f>
        <v>CP873-2X Week P Tetanus</v>
      </c>
      <c r="M130" t="str">
        <f t="shared" ref="M130:M193" si="19">IFERROR(VLOOKUP(A130,PaychangesLU,1,FALSE),VLOOKUP(A130,SpecialtyCheckLU,1,FALSE))</f>
        <v>CP873-2X Week P Tetanus</v>
      </c>
    </row>
    <row r="131" spans="1:13" x14ac:dyDescent="0.25">
      <c r="A131" t="str">
        <f t="shared" ref="A131:A194" si="20">B131&amp;"-"&amp;F131</f>
        <v>CP873-2X Week P Tetanus AP</v>
      </c>
      <c r="B131" t="s">
        <v>421</v>
      </c>
      <c r="C131" t="str">
        <f t="shared" si="14"/>
        <v>Anderson</v>
      </c>
      <c r="D131" t="str">
        <f t="shared" si="15"/>
        <v>Y</v>
      </c>
      <c r="E131" t="s">
        <v>597</v>
      </c>
      <c r="F131" t="str">
        <f t="shared" si="16"/>
        <v>2X Week P Tetanus AP</v>
      </c>
      <c r="G131" t="str">
        <f t="shared" si="17"/>
        <v>Specialty</v>
      </c>
      <c r="H131" t="s">
        <v>486</v>
      </c>
      <c r="I131" t="str">
        <f t="shared" si="18"/>
        <v>RETURN - 2nd don of the week -BONUS</v>
      </c>
      <c r="J131" t="s">
        <v>546</v>
      </c>
      <c r="K131" s="5">
        <v>25</v>
      </c>
      <c r="L131" t="str">
        <f>Table_DataFromNL[[#This Row],[PROFILECODE]]&amp;"-"&amp;Table_DataFromNL[[#This Row],[RULENAME]]</f>
        <v>CP873-2X Week P Tetanus AP</v>
      </c>
      <c r="M131" t="str">
        <f t="shared" si="19"/>
        <v>CP873-2X Week P Tetanus AP</v>
      </c>
    </row>
    <row r="132" spans="1:13" x14ac:dyDescent="0.25">
      <c r="A132" t="str">
        <f t="shared" si="20"/>
        <v>CP873-2X Week P Tetanus PE</v>
      </c>
      <c r="B132" t="s">
        <v>421</v>
      </c>
      <c r="C132" t="str">
        <f t="shared" si="14"/>
        <v>Anderson</v>
      </c>
      <c r="D132" t="str">
        <f t="shared" si="15"/>
        <v>Y</v>
      </c>
      <c r="E132" t="s">
        <v>597</v>
      </c>
      <c r="F132" t="str">
        <f t="shared" si="16"/>
        <v>2X Week P Tetanus PE</v>
      </c>
      <c r="G132" t="str">
        <f t="shared" si="17"/>
        <v>Specialty</v>
      </c>
      <c r="H132" t="s">
        <v>487</v>
      </c>
      <c r="I132" t="str">
        <f t="shared" si="18"/>
        <v>RETURN - 2nd don of the week -BONUS</v>
      </c>
      <c r="J132" t="s">
        <v>546</v>
      </c>
      <c r="K132" s="5">
        <v>25</v>
      </c>
      <c r="L132" t="str">
        <f>Table_DataFromNL[[#This Row],[PROFILECODE]]&amp;"-"&amp;Table_DataFromNL[[#This Row],[RULENAME]]</f>
        <v>CP873-2X Week P Tetanus PE</v>
      </c>
      <c r="M132" t="str">
        <f t="shared" si="19"/>
        <v>CP873-2X Week P Tetanus PE</v>
      </c>
    </row>
    <row r="133" spans="1:13" x14ac:dyDescent="0.25">
      <c r="A133" t="str">
        <f t="shared" si="20"/>
        <v>CP873-2X Week P VZV</v>
      </c>
      <c r="B133" t="s">
        <v>421</v>
      </c>
      <c r="C133" t="str">
        <f t="shared" si="14"/>
        <v>Anderson</v>
      </c>
      <c r="D133" t="str">
        <f t="shared" si="15"/>
        <v>Y</v>
      </c>
      <c r="E133" t="s">
        <v>597</v>
      </c>
      <c r="F133" t="str">
        <f t="shared" si="16"/>
        <v>2X Week P VZV</v>
      </c>
      <c r="G133" t="str">
        <f t="shared" si="17"/>
        <v>Specialty</v>
      </c>
      <c r="H133" t="s">
        <v>488</v>
      </c>
      <c r="I133" t="str">
        <f t="shared" si="18"/>
        <v>RETURN - 2nd don of the week -BONUS</v>
      </c>
      <c r="J133" t="s">
        <v>546</v>
      </c>
      <c r="K133" s="5">
        <v>25</v>
      </c>
      <c r="L133" t="str">
        <f>Table_DataFromNL[[#This Row],[PROFILECODE]]&amp;"-"&amp;Table_DataFromNL[[#This Row],[RULENAME]]</f>
        <v>CP873-2X Week P VZV</v>
      </c>
      <c r="M133" t="str">
        <f t="shared" si="19"/>
        <v>CP873-2X Week P VZV</v>
      </c>
    </row>
    <row r="134" spans="1:13" x14ac:dyDescent="0.25">
      <c r="A134" t="str">
        <f t="shared" si="20"/>
        <v>CP873-2X Week P VZV AP</v>
      </c>
      <c r="B134" t="s">
        <v>421</v>
      </c>
      <c r="C134" t="str">
        <f t="shared" si="14"/>
        <v>Anderson</v>
      </c>
      <c r="D134" t="str">
        <f t="shared" si="15"/>
        <v>Y</v>
      </c>
      <c r="E134" t="s">
        <v>597</v>
      </c>
      <c r="F134" t="str">
        <f t="shared" si="16"/>
        <v>2X Week P VZV AP</v>
      </c>
      <c r="G134" t="str">
        <f t="shared" si="17"/>
        <v>Specialty</v>
      </c>
      <c r="H134" t="s">
        <v>489</v>
      </c>
      <c r="I134" t="str">
        <f t="shared" si="18"/>
        <v>RETURN - 2nd don of the week -BONUS</v>
      </c>
      <c r="J134" t="s">
        <v>546</v>
      </c>
      <c r="K134" s="5">
        <v>25</v>
      </c>
      <c r="L134" t="str">
        <f>Table_DataFromNL[[#This Row],[PROFILECODE]]&amp;"-"&amp;Table_DataFromNL[[#This Row],[RULENAME]]</f>
        <v>CP873-2X Week P VZV AP</v>
      </c>
      <c r="M134" t="str">
        <f t="shared" si="19"/>
        <v>CP873-2X Week P VZV AP</v>
      </c>
    </row>
    <row r="135" spans="1:13" x14ac:dyDescent="0.25">
      <c r="A135" t="str">
        <f t="shared" si="20"/>
        <v>CP873-2X Week P VZV Pre-Existing</v>
      </c>
      <c r="B135" t="s">
        <v>421</v>
      </c>
      <c r="C135" t="str">
        <f t="shared" si="14"/>
        <v>Anderson</v>
      </c>
      <c r="D135" t="str">
        <f t="shared" si="15"/>
        <v>Y</v>
      </c>
      <c r="E135" t="s">
        <v>597</v>
      </c>
      <c r="F135" t="str">
        <f t="shared" si="16"/>
        <v>2X Week P VZV Pre-Existing</v>
      </c>
      <c r="G135" t="str">
        <f t="shared" si="17"/>
        <v>Specialty</v>
      </c>
      <c r="H135" t="s">
        <v>490</v>
      </c>
      <c r="I135" t="str">
        <f t="shared" si="18"/>
        <v>RETURN - 2nd don of the week -BONUS</v>
      </c>
      <c r="J135" t="s">
        <v>546</v>
      </c>
      <c r="K135" s="5">
        <v>25</v>
      </c>
      <c r="L135" t="str">
        <f>Table_DataFromNL[[#This Row],[PROFILECODE]]&amp;"-"&amp;Table_DataFromNL[[#This Row],[RULENAME]]</f>
        <v>CP873-2X Week P VZV Pre-Existing</v>
      </c>
      <c r="M135" t="str">
        <f t="shared" si="19"/>
        <v>CP873-2X Week P VZV Pre-Existing</v>
      </c>
    </row>
    <row r="136" spans="1:13" x14ac:dyDescent="0.25">
      <c r="A136" t="str">
        <f t="shared" si="20"/>
        <v>CP873-2X Week P VZV Pre-Existing AP</v>
      </c>
      <c r="B136" t="s">
        <v>421</v>
      </c>
      <c r="C136" t="str">
        <f t="shared" si="14"/>
        <v>Anderson</v>
      </c>
      <c r="D136" t="str">
        <f t="shared" si="15"/>
        <v>Y</v>
      </c>
      <c r="E136" t="s">
        <v>597</v>
      </c>
      <c r="F136" t="str">
        <f t="shared" si="16"/>
        <v>2X Week P VZV Pre-Existing AP</v>
      </c>
      <c r="G136" t="str">
        <f t="shared" si="17"/>
        <v>Specialty</v>
      </c>
      <c r="H136" t="s">
        <v>491</v>
      </c>
      <c r="I136" t="str">
        <f t="shared" si="18"/>
        <v>RETURN - 2nd don of the week -BONUS</v>
      </c>
      <c r="J136" t="s">
        <v>546</v>
      </c>
      <c r="K136" s="5">
        <v>25</v>
      </c>
      <c r="L136" t="str">
        <f>Table_DataFromNL[[#This Row],[PROFILECODE]]&amp;"-"&amp;Table_DataFromNL[[#This Row],[RULENAME]]</f>
        <v>CP873-2X Week P VZV Pre-Existing AP</v>
      </c>
      <c r="M136" t="str">
        <f t="shared" si="19"/>
        <v>CP873-2X Week P VZV Pre-Existing AP</v>
      </c>
    </row>
    <row r="137" spans="1:13" x14ac:dyDescent="0.25">
      <c r="A137" t="str">
        <f t="shared" si="20"/>
        <v>CP873-RETURN - 6th don of the month -BONUS</v>
      </c>
      <c r="B137" t="s">
        <v>421</v>
      </c>
      <c r="C137" t="str">
        <f t="shared" si="14"/>
        <v>Anderson</v>
      </c>
      <c r="D137" t="str">
        <f t="shared" si="15"/>
        <v>Y</v>
      </c>
      <c r="E137" t="s">
        <v>597</v>
      </c>
      <c r="F137" t="str">
        <f t="shared" si="16"/>
        <v>RETURN - 6th don of the month -BONUS</v>
      </c>
      <c r="G137" t="str">
        <f t="shared" si="17"/>
        <v>Marketing</v>
      </c>
      <c r="H137" t="s">
        <v>552</v>
      </c>
      <c r="I137">
        <f t="shared" si="18"/>
        <v>28</v>
      </c>
      <c r="J137" t="s">
        <v>546</v>
      </c>
      <c r="K137" s="5">
        <v>30</v>
      </c>
      <c r="L137" t="str">
        <f>Table_DataFromNL[[#This Row],[PROFILECODE]]&amp;"-"&amp;Table_DataFromNL[[#This Row],[RULENAME]]</f>
        <v>CP873-6X Month</v>
      </c>
      <c r="M137" t="str">
        <f t="shared" si="19"/>
        <v>CP873-RETURN - 6th don of the month -BONUS</v>
      </c>
    </row>
    <row r="138" spans="1:13" x14ac:dyDescent="0.25">
      <c r="A138" t="str">
        <f t="shared" si="20"/>
        <v>CP873-College ID Standard Bonus</v>
      </c>
      <c r="B138" t="s">
        <v>421</v>
      </c>
      <c r="C138" t="str">
        <f t="shared" si="14"/>
        <v>Anderson</v>
      </c>
      <c r="D138" t="str">
        <f t="shared" si="15"/>
        <v>Y</v>
      </c>
      <c r="E138" t="s">
        <v>597</v>
      </c>
      <c r="F138" t="str">
        <f t="shared" si="16"/>
        <v>College ID Standard Bonus</v>
      </c>
      <c r="G138">
        <f t="shared" si="17"/>
        <v>0</v>
      </c>
      <c r="H138" t="s">
        <v>553</v>
      </c>
      <c r="I138">
        <f t="shared" si="18"/>
        <v>0</v>
      </c>
      <c r="J138" t="s">
        <v>546</v>
      </c>
      <c r="K138" s="5">
        <v>5</v>
      </c>
      <c r="L138" t="str">
        <f>Table_DataFromNL[[#This Row],[PROFILECODE]]&amp;"-"&amp;Table_DataFromNL[[#This Row],[RULENAME]]</f>
        <v>CP873-College ID Standard Bonus</v>
      </c>
      <c r="M138" t="e">
        <f t="shared" si="19"/>
        <v>#N/A</v>
      </c>
    </row>
    <row r="139" spans="1:13" x14ac:dyDescent="0.25">
      <c r="A139" t="str">
        <f t="shared" si="20"/>
        <v>CP873-Military ID</v>
      </c>
      <c r="B139" t="s">
        <v>421</v>
      </c>
      <c r="C139" t="str">
        <f t="shared" si="14"/>
        <v>Anderson</v>
      </c>
      <c r="D139" t="str">
        <f t="shared" si="15"/>
        <v>Y</v>
      </c>
      <c r="E139" t="s">
        <v>597</v>
      </c>
      <c r="F139" t="str">
        <f t="shared" si="16"/>
        <v>Military ID</v>
      </c>
      <c r="G139">
        <f t="shared" si="17"/>
        <v>0</v>
      </c>
      <c r="H139" t="s">
        <v>554</v>
      </c>
      <c r="I139">
        <f t="shared" si="18"/>
        <v>0</v>
      </c>
      <c r="J139" t="s">
        <v>546</v>
      </c>
      <c r="K139" s="5">
        <v>5</v>
      </c>
      <c r="L139" t="str">
        <f>Table_DataFromNL[[#This Row],[PROFILECODE]]&amp;"-"&amp;Table_DataFromNL[[#This Row],[RULENAME]]</f>
        <v>CP873-Military ID</v>
      </c>
      <c r="M139" t="e">
        <f t="shared" si="19"/>
        <v>#N/A</v>
      </c>
    </row>
    <row r="140" spans="1:13" x14ac:dyDescent="0.25">
      <c r="A140" t="str">
        <f t="shared" si="20"/>
        <v>CP873-NEW DONOR -1st</v>
      </c>
      <c r="B140" t="s">
        <v>421</v>
      </c>
      <c r="C140" t="str">
        <f t="shared" si="14"/>
        <v>Anderson</v>
      </c>
      <c r="D140" t="str">
        <f t="shared" si="15"/>
        <v>Y</v>
      </c>
      <c r="E140" t="s">
        <v>597</v>
      </c>
      <c r="F140" t="str">
        <f t="shared" si="16"/>
        <v>NEW DONOR -1st</v>
      </c>
      <c r="G140" t="str">
        <f t="shared" si="17"/>
        <v>Marketing</v>
      </c>
      <c r="H140" t="s">
        <v>555</v>
      </c>
      <c r="I140">
        <f t="shared" si="18"/>
        <v>1</v>
      </c>
      <c r="J140" t="s">
        <v>546</v>
      </c>
      <c r="K140" s="5">
        <v>100</v>
      </c>
      <c r="L140" t="str">
        <f>Table_DataFromNL[[#This Row],[PROFILECODE]]&amp;"-"&amp;Table_DataFromNL[[#This Row],[RULENAME]]</f>
        <v>CP873-New Donor 1st Visit-Bonus</v>
      </c>
      <c r="M140" t="str">
        <f t="shared" si="19"/>
        <v>CP873-NEW DONOR -1st</v>
      </c>
    </row>
    <row r="141" spans="1:13" x14ac:dyDescent="0.25">
      <c r="A141" t="str">
        <f t="shared" si="20"/>
        <v>CP873-NEW DONOR -2nd</v>
      </c>
      <c r="B141" t="s">
        <v>421</v>
      </c>
      <c r="C141" t="str">
        <f t="shared" si="14"/>
        <v>Anderson</v>
      </c>
      <c r="D141" t="str">
        <f t="shared" si="15"/>
        <v>Y</v>
      </c>
      <c r="E141" t="s">
        <v>597</v>
      </c>
      <c r="F141" t="str">
        <f t="shared" si="16"/>
        <v>NEW DONOR -2nd</v>
      </c>
      <c r="G141" t="str">
        <f t="shared" si="17"/>
        <v>Marketing</v>
      </c>
      <c r="H141" t="s">
        <v>556</v>
      </c>
      <c r="I141">
        <f t="shared" si="18"/>
        <v>2</v>
      </c>
      <c r="J141" t="s">
        <v>546</v>
      </c>
      <c r="K141" s="5">
        <v>100</v>
      </c>
      <c r="L141" t="str">
        <f>Table_DataFromNL[[#This Row],[PROFILECODE]]&amp;"-"&amp;Table_DataFromNL[[#This Row],[RULENAME]]</f>
        <v>CP873-New Donor 2nd Visit-Bonus</v>
      </c>
      <c r="M141" t="str">
        <f t="shared" si="19"/>
        <v>CP873-NEW DONOR -2nd</v>
      </c>
    </row>
    <row r="142" spans="1:13" x14ac:dyDescent="0.25">
      <c r="A142" t="str">
        <f t="shared" si="20"/>
        <v>CP873-NEW DONOR -3rd</v>
      </c>
      <c r="B142" t="s">
        <v>421</v>
      </c>
      <c r="C142" t="str">
        <f t="shared" si="14"/>
        <v>Anderson</v>
      </c>
      <c r="D142" t="str">
        <f t="shared" si="15"/>
        <v>Y</v>
      </c>
      <c r="E142" t="s">
        <v>597</v>
      </c>
      <c r="F142" t="str">
        <f t="shared" si="16"/>
        <v>NEW DONOR -3rd</v>
      </c>
      <c r="G142" t="str">
        <f t="shared" si="17"/>
        <v>Marketing</v>
      </c>
      <c r="H142" t="s">
        <v>557</v>
      </c>
      <c r="I142">
        <f t="shared" si="18"/>
        <v>3</v>
      </c>
      <c r="J142" t="s">
        <v>546</v>
      </c>
      <c r="K142" s="5">
        <v>100</v>
      </c>
      <c r="L142" t="str">
        <f>Table_DataFromNL[[#This Row],[PROFILECODE]]&amp;"-"&amp;Table_DataFromNL[[#This Row],[RULENAME]]</f>
        <v>CP873-New Donor 3rd Visit-Bonus</v>
      </c>
      <c r="M142" t="str">
        <f t="shared" si="19"/>
        <v>CP873-NEW DONOR -3rd</v>
      </c>
    </row>
    <row r="143" spans="1:13" x14ac:dyDescent="0.25">
      <c r="A143" t="str">
        <f t="shared" si="20"/>
        <v>CP873-NEW DONOR -4th</v>
      </c>
      <c r="B143" t="s">
        <v>421</v>
      </c>
      <c r="C143" t="str">
        <f t="shared" si="14"/>
        <v>Anderson</v>
      </c>
      <c r="D143" t="str">
        <f t="shared" si="15"/>
        <v>Y</v>
      </c>
      <c r="E143" t="s">
        <v>597</v>
      </c>
      <c r="F143" t="str">
        <f t="shared" si="16"/>
        <v>NEW DONOR -4th</v>
      </c>
      <c r="G143" t="str">
        <f t="shared" si="17"/>
        <v>Marketing</v>
      </c>
      <c r="H143" t="s">
        <v>558</v>
      </c>
      <c r="I143">
        <f t="shared" si="18"/>
        <v>4</v>
      </c>
      <c r="J143" t="s">
        <v>546</v>
      </c>
      <c r="K143" s="5">
        <v>100</v>
      </c>
      <c r="L143" t="str">
        <f>Table_DataFromNL[[#This Row],[PROFILECODE]]&amp;"-"&amp;Table_DataFromNL[[#This Row],[RULENAME]]</f>
        <v>CP873-New Donor 4th Visit-Bonus</v>
      </c>
      <c r="M143" t="str">
        <f t="shared" si="19"/>
        <v>CP873-NEW DONOR -4th</v>
      </c>
    </row>
    <row r="144" spans="1:13" x14ac:dyDescent="0.25">
      <c r="A144" t="str">
        <f t="shared" si="20"/>
        <v>CP873-NEW DONOR -5th</v>
      </c>
      <c r="B144" t="s">
        <v>421</v>
      </c>
      <c r="C144" t="str">
        <f t="shared" si="14"/>
        <v>Anderson</v>
      </c>
      <c r="D144" t="str">
        <f t="shared" si="15"/>
        <v>Y</v>
      </c>
      <c r="E144" t="s">
        <v>597</v>
      </c>
      <c r="F144" t="str">
        <f t="shared" si="16"/>
        <v>NEW DONOR -5th</v>
      </c>
      <c r="G144" t="str">
        <f t="shared" si="17"/>
        <v>Marketing</v>
      </c>
      <c r="H144" t="s">
        <v>559</v>
      </c>
      <c r="I144">
        <f t="shared" si="18"/>
        <v>5</v>
      </c>
      <c r="J144" t="s">
        <v>546</v>
      </c>
      <c r="K144" s="5">
        <v>100</v>
      </c>
      <c r="L144" t="str">
        <f>Table_DataFromNL[[#This Row],[PROFILECODE]]&amp;"-"&amp;Table_DataFromNL[[#This Row],[RULENAME]]</f>
        <v>CP873-New Donor 5th Visit-Bonus</v>
      </c>
      <c r="M144" t="str">
        <f t="shared" si="19"/>
        <v>CP873-NEW DONOR -5th</v>
      </c>
    </row>
    <row r="145" spans="1:13" x14ac:dyDescent="0.25">
      <c r="A145" t="str">
        <f t="shared" si="20"/>
        <v>CP873-NEW DONOR -6th</v>
      </c>
      <c r="B145" t="s">
        <v>421</v>
      </c>
      <c r="C145" t="str">
        <f t="shared" si="14"/>
        <v>Anderson</v>
      </c>
      <c r="D145" t="str">
        <f t="shared" si="15"/>
        <v>Y</v>
      </c>
      <c r="E145" t="s">
        <v>597</v>
      </c>
      <c r="F145" t="str">
        <f t="shared" si="16"/>
        <v>NEW DONOR -6th</v>
      </c>
      <c r="G145" t="str">
        <f t="shared" si="17"/>
        <v>Marketing</v>
      </c>
      <c r="H145" t="s">
        <v>560</v>
      </c>
      <c r="I145">
        <f t="shared" si="18"/>
        <v>6</v>
      </c>
      <c r="J145" t="s">
        <v>546</v>
      </c>
      <c r="K145" s="5">
        <v>50</v>
      </c>
      <c r="L145" t="str">
        <f>Table_DataFromNL[[#This Row],[PROFILECODE]]&amp;"-"&amp;Table_DataFromNL[[#This Row],[RULENAME]]</f>
        <v>CP873-New Donor 6th Visit-Bonus</v>
      </c>
      <c r="M145" t="str">
        <f t="shared" si="19"/>
        <v>CP873-NEW DONOR -6th</v>
      </c>
    </row>
    <row r="146" spans="1:13" x14ac:dyDescent="0.25">
      <c r="A146" t="str">
        <f t="shared" si="20"/>
        <v>CP873-NEW DONOR -7th</v>
      </c>
      <c r="B146" t="s">
        <v>421</v>
      </c>
      <c r="C146" t="str">
        <f t="shared" si="14"/>
        <v>Anderson</v>
      </c>
      <c r="D146" t="str">
        <f t="shared" si="15"/>
        <v>Y</v>
      </c>
      <c r="E146" t="s">
        <v>597</v>
      </c>
      <c r="F146" t="str">
        <f t="shared" si="16"/>
        <v>NEW DONOR -7th</v>
      </c>
      <c r="G146" t="str">
        <f t="shared" si="17"/>
        <v>Marketing</v>
      </c>
      <c r="H146" t="s">
        <v>561</v>
      </c>
      <c r="I146">
        <f t="shared" si="18"/>
        <v>7</v>
      </c>
      <c r="J146" t="s">
        <v>546</v>
      </c>
      <c r="K146" s="5">
        <v>50</v>
      </c>
      <c r="L146" t="str">
        <f>Table_DataFromNL[[#This Row],[PROFILECODE]]&amp;"-"&amp;Table_DataFromNL[[#This Row],[RULENAME]]</f>
        <v>CP873-New Donor 7th Visit-Bonus</v>
      </c>
      <c r="M146" t="str">
        <f t="shared" si="19"/>
        <v>CP873-NEW DONOR -7th</v>
      </c>
    </row>
    <row r="147" spans="1:13" x14ac:dyDescent="0.25">
      <c r="A147" t="str">
        <f t="shared" si="20"/>
        <v>CP873-NEW DONOR -8th</v>
      </c>
      <c r="B147" t="s">
        <v>421</v>
      </c>
      <c r="C147" t="str">
        <f t="shared" si="14"/>
        <v>Anderson</v>
      </c>
      <c r="D147" t="str">
        <f t="shared" si="15"/>
        <v>Y</v>
      </c>
      <c r="E147" t="s">
        <v>597</v>
      </c>
      <c r="F147" t="str">
        <f t="shared" si="16"/>
        <v>NEW DONOR -8th</v>
      </c>
      <c r="G147" t="str">
        <f t="shared" si="17"/>
        <v>Marketing</v>
      </c>
      <c r="H147" t="s">
        <v>562</v>
      </c>
      <c r="I147">
        <f t="shared" si="18"/>
        <v>8</v>
      </c>
      <c r="J147" t="s">
        <v>546</v>
      </c>
      <c r="K147" s="5">
        <v>50</v>
      </c>
      <c r="L147" t="str">
        <f>Table_DataFromNL[[#This Row],[PROFILECODE]]&amp;"-"&amp;Table_DataFromNL[[#This Row],[RULENAME]]</f>
        <v>CP873-New Donor 8th Visit-Bonus</v>
      </c>
      <c r="M147" t="str">
        <f t="shared" si="19"/>
        <v>CP873-NEW DONOR -8th</v>
      </c>
    </row>
    <row r="148" spans="1:13" x14ac:dyDescent="0.25">
      <c r="A148" t="str">
        <f t="shared" si="20"/>
        <v>CP873-Community</v>
      </c>
      <c r="B148" t="s">
        <v>421</v>
      </c>
      <c r="C148" t="str">
        <f t="shared" si="14"/>
        <v>Anderson</v>
      </c>
      <c r="D148" t="str">
        <f t="shared" si="15"/>
        <v>Y</v>
      </c>
      <c r="E148" t="s">
        <v>597</v>
      </c>
      <c r="F148" t="str">
        <f t="shared" si="16"/>
        <v>Community</v>
      </c>
      <c r="G148">
        <f t="shared" si="17"/>
        <v>0</v>
      </c>
      <c r="H148" t="s">
        <v>563</v>
      </c>
      <c r="I148">
        <f t="shared" si="18"/>
        <v>0</v>
      </c>
      <c r="J148" t="s">
        <v>564</v>
      </c>
      <c r="K148" s="5">
        <v>5</v>
      </c>
      <c r="L148" t="str">
        <f>Table_DataFromNL[[#This Row],[PROFILECODE]]&amp;"-"&amp;Table_DataFromNL[[#This Row],[RULENAME]]</f>
        <v>CP873-Community</v>
      </c>
      <c r="M148" t="e">
        <f t="shared" si="19"/>
        <v>#N/A</v>
      </c>
    </row>
    <row r="149" spans="1:13" x14ac:dyDescent="0.25">
      <c r="A149" t="str">
        <f t="shared" si="20"/>
        <v>CP873-HANGER_RECRUIT_5USD_once</v>
      </c>
      <c r="B149" t="s">
        <v>421</v>
      </c>
      <c r="C149" t="str">
        <f t="shared" si="14"/>
        <v>Anderson</v>
      </c>
      <c r="D149" t="str">
        <f t="shared" si="15"/>
        <v>Y</v>
      </c>
      <c r="E149" t="s">
        <v>597</v>
      </c>
      <c r="F149" t="str">
        <f t="shared" si="16"/>
        <v>HANGER_RECRUIT_5USD_once</v>
      </c>
      <c r="G149">
        <f t="shared" si="17"/>
        <v>0</v>
      </c>
      <c r="H149" t="s">
        <v>565</v>
      </c>
      <c r="I149">
        <f t="shared" si="18"/>
        <v>0</v>
      </c>
      <c r="J149" t="s">
        <v>564</v>
      </c>
      <c r="K149" s="5">
        <v>5</v>
      </c>
      <c r="L149" t="str">
        <f>Table_DataFromNL[[#This Row],[PROFILECODE]]&amp;"-"&amp;Table_DataFromNL[[#This Row],[RULENAME]]</f>
        <v>CP873-HANGER_RECRUIT_5USD_once</v>
      </c>
      <c r="M149" t="e">
        <f t="shared" si="19"/>
        <v>#N/A</v>
      </c>
    </row>
    <row r="150" spans="1:13" x14ac:dyDescent="0.25">
      <c r="A150" t="str">
        <f t="shared" si="20"/>
        <v>CP873-Immunization Boost Payment</v>
      </c>
      <c r="B150" t="s">
        <v>421</v>
      </c>
      <c r="C150" t="str">
        <f t="shared" si="14"/>
        <v>Anderson</v>
      </c>
      <c r="D150" t="str">
        <f t="shared" si="15"/>
        <v>Y</v>
      </c>
      <c r="E150" t="s">
        <v>597</v>
      </c>
      <c r="F150" t="str">
        <f t="shared" si="16"/>
        <v>Immunization Boost Payment</v>
      </c>
      <c r="G150">
        <f t="shared" si="17"/>
        <v>0</v>
      </c>
      <c r="H150" t="s">
        <v>598</v>
      </c>
      <c r="I150">
        <f t="shared" si="18"/>
        <v>0</v>
      </c>
      <c r="J150" t="s">
        <v>564</v>
      </c>
      <c r="K150" s="5">
        <v>50</v>
      </c>
      <c r="L150" t="str">
        <f>Table_DataFromNL[[#This Row],[PROFILECODE]]&amp;"-"&amp;Table_DataFromNL[[#This Row],[RULENAME]]</f>
        <v>CP873-Immunization Boost Payment</v>
      </c>
      <c r="M150" t="e">
        <f t="shared" si="19"/>
        <v>#N/A</v>
      </c>
    </row>
    <row r="151" spans="1:13" x14ac:dyDescent="0.25">
      <c r="A151" t="str">
        <f t="shared" si="20"/>
        <v>CP873-Immunization Series Payment</v>
      </c>
      <c r="B151" t="s">
        <v>421</v>
      </c>
      <c r="C151" t="str">
        <f t="shared" si="14"/>
        <v>Anderson</v>
      </c>
      <c r="D151" t="str">
        <f t="shared" si="15"/>
        <v>Y</v>
      </c>
      <c r="E151" t="s">
        <v>597</v>
      </c>
      <c r="F151" t="str">
        <f t="shared" si="16"/>
        <v>Immunization Series Payment</v>
      </c>
      <c r="G151">
        <f t="shared" si="17"/>
        <v>0</v>
      </c>
      <c r="H151" t="s">
        <v>599</v>
      </c>
      <c r="I151">
        <f t="shared" si="18"/>
        <v>0</v>
      </c>
      <c r="J151" t="s">
        <v>564</v>
      </c>
      <c r="K151" s="5">
        <v>100</v>
      </c>
      <c r="L151" t="str">
        <f>Table_DataFromNL[[#This Row],[PROFILECODE]]&amp;"-"&amp;Table_DataFromNL[[#This Row],[RULENAME]]</f>
        <v>CP873-Immunization Series Payment</v>
      </c>
      <c r="M151" t="e">
        <f t="shared" si="19"/>
        <v>#N/A</v>
      </c>
    </row>
    <row r="152" spans="1:13" x14ac:dyDescent="0.25">
      <c r="A152" t="str">
        <f t="shared" si="20"/>
        <v>CP873-Inconv Fee $20-$50-Comment Req'd</v>
      </c>
      <c r="B152" t="s">
        <v>421</v>
      </c>
      <c r="C152" t="str">
        <f t="shared" si="14"/>
        <v>Anderson</v>
      </c>
      <c r="D152" t="str">
        <f t="shared" si="15"/>
        <v>Y</v>
      </c>
      <c r="E152" t="s">
        <v>597</v>
      </c>
      <c r="F152" t="str">
        <f t="shared" si="16"/>
        <v>Inconv Fee $20-$50-Comment Req'd</v>
      </c>
      <c r="G152">
        <f t="shared" si="17"/>
        <v>0</v>
      </c>
      <c r="H152" t="s">
        <v>566</v>
      </c>
      <c r="I152">
        <f t="shared" si="18"/>
        <v>0</v>
      </c>
      <c r="J152" t="s">
        <v>564</v>
      </c>
      <c r="K152" s="5">
        <v>50</v>
      </c>
      <c r="L152" t="str">
        <f>Table_DataFromNL[[#This Row],[PROFILECODE]]&amp;"-"&amp;Table_DataFromNL[[#This Row],[RULENAME]]</f>
        <v>CP873-Inconv Fee $20-$50-Comment Req'd</v>
      </c>
      <c r="M152" t="e">
        <f t="shared" si="19"/>
        <v>#N/A</v>
      </c>
    </row>
    <row r="153" spans="1:13" x14ac:dyDescent="0.25">
      <c r="A153" t="str">
        <f t="shared" si="20"/>
        <v>CP873-Inconv Fee $5-$20-Comment Req'd</v>
      </c>
      <c r="B153" t="s">
        <v>421</v>
      </c>
      <c r="C153" t="str">
        <f t="shared" si="14"/>
        <v>Anderson</v>
      </c>
      <c r="D153" t="str">
        <f t="shared" si="15"/>
        <v>Y</v>
      </c>
      <c r="E153" t="s">
        <v>597</v>
      </c>
      <c r="F153" t="str">
        <f t="shared" si="16"/>
        <v>Inconv Fee $5-$20-Comment Req'd</v>
      </c>
      <c r="G153">
        <f t="shared" si="17"/>
        <v>0</v>
      </c>
      <c r="H153" t="s">
        <v>567</v>
      </c>
      <c r="I153">
        <f t="shared" si="18"/>
        <v>0</v>
      </c>
      <c r="J153" t="s">
        <v>564</v>
      </c>
      <c r="K153" s="5">
        <v>20</v>
      </c>
      <c r="L153" t="str">
        <f>Table_DataFromNL[[#This Row],[PROFILECODE]]&amp;"-"&amp;Table_DataFromNL[[#This Row],[RULENAME]]</f>
        <v>CP873-Inconv Fee $5-$20-Comment Req'd</v>
      </c>
      <c r="M153" t="e">
        <f t="shared" si="19"/>
        <v>#N/A</v>
      </c>
    </row>
    <row r="154" spans="1:13" x14ac:dyDescent="0.25">
      <c r="A154" t="str">
        <f t="shared" si="20"/>
        <v>CP873-Inconv Fee$50-$100-Comment Req'd</v>
      </c>
      <c r="B154" t="s">
        <v>421</v>
      </c>
      <c r="C154" t="str">
        <f t="shared" si="14"/>
        <v>Anderson</v>
      </c>
      <c r="D154" t="str">
        <f t="shared" si="15"/>
        <v>Y</v>
      </c>
      <c r="E154" t="s">
        <v>597</v>
      </c>
      <c r="F154" t="str">
        <f t="shared" si="16"/>
        <v>Inconv Fee$50-$100-Comment Req'd</v>
      </c>
      <c r="G154">
        <f t="shared" si="17"/>
        <v>0</v>
      </c>
      <c r="H154" t="s">
        <v>568</v>
      </c>
      <c r="I154">
        <f t="shared" si="18"/>
        <v>0</v>
      </c>
      <c r="J154" t="s">
        <v>564</v>
      </c>
      <c r="K154" s="5">
        <v>100</v>
      </c>
      <c r="L154" t="str">
        <f>Table_DataFromNL[[#This Row],[PROFILECODE]]&amp;"-"&amp;Table_DataFromNL[[#This Row],[RULENAME]]</f>
        <v>CP873-Inconv Fee$50-$100-Comment Req'd</v>
      </c>
      <c r="M154" t="e">
        <f t="shared" si="19"/>
        <v>#N/A</v>
      </c>
    </row>
    <row r="155" spans="1:13" x14ac:dyDescent="0.25">
      <c r="A155" t="str">
        <f t="shared" si="20"/>
        <v>CP873-NSP_ LAPSEDONOR_50_Twice</v>
      </c>
      <c r="B155" t="s">
        <v>421</v>
      </c>
      <c r="C155" t="str">
        <f t="shared" si="14"/>
        <v>Anderson</v>
      </c>
      <c r="D155" t="str">
        <f t="shared" si="15"/>
        <v>Y</v>
      </c>
      <c r="E155" t="s">
        <v>597</v>
      </c>
      <c r="F155" t="str">
        <f t="shared" si="16"/>
        <v>NSP_ LAPSEDONOR_50_Twice</v>
      </c>
      <c r="G155">
        <f t="shared" si="17"/>
        <v>0</v>
      </c>
      <c r="H155" t="s">
        <v>569</v>
      </c>
      <c r="I155">
        <f t="shared" si="18"/>
        <v>0</v>
      </c>
      <c r="J155" t="s">
        <v>564</v>
      </c>
      <c r="K155" s="5">
        <v>50</v>
      </c>
      <c r="L155" t="str">
        <f>Table_DataFromNL[[#This Row],[PROFILECODE]]&amp;"-"&amp;Table_DataFromNL[[#This Row],[RULENAME]]</f>
        <v>CP873-NSP_ LAPSEDONOR_50_Twice</v>
      </c>
      <c r="M155" t="e">
        <f t="shared" si="19"/>
        <v>#N/A</v>
      </c>
    </row>
    <row r="156" spans="1:13" x14ac:dyDescent="0.25">
      <c r="A156" t="str">
        <f t="shared" si="20"/>
        <v>CP873-NSP_LD_25_2X</v>
      </c>
      <c r="B156" t="s">
        <v>421</v>
      </c>
      <c r="C156" t="str">
        <f t="shared" si="14"/>
        <v>Anderson</v>
      </c>
      <c r="D156" t="str">
        <f t="shared" si="15"/>
        <v>Y</v>
      </c>
      <c r="E156" t="s">
        <v>597</v>
      </c>
      <c r="F156" t="str">
        <f t="shared" si="16"/>
        <v>NSP_LD_25_2X</v>
      </c>
      <c r="G156">
        <f t="shared" si="17"/>
        <v>0</v>
      </c>
      <c r="H156" t="s">
        <v>570</v>
      </c>
      <c r="I156">
        <f t="shared" si="18"/>
        <v>0</v>
      </c>
      <c r="J156" t="s">
        <v>564</v>
      </c>
      <c r="K156" s="5">
        <v>25</v>
      </c>
      <c r="L156" t="str">
        <f>Table_DataFromNL[[#This Row],[PROFILECODE]]&amp;"-"&amp;Table_DataFromNL[[#This Row],[RULENAME]]</f>
        <v>CP873-NSP_LD_25_2X</v>
      </c>
      <c r="M156" t="e">
        <f t="shared" si="19"/>
        <v>#N/A</v>
      </c>
    </row>
    <row r="157" spans="1:13" x14ac:dyDescent="0.25">
      <c r="A157" t="str">
        <f t="shared" si="20"/>
        <v>CP873-NSP_LD_50_1X</v>
      </c>
      <c r="B157" t="s">
        <v>421</v>
      </c>
      <c r="C157" t="str">
        <f t="shared" si="14"/>
        <v>Anderson</v>
      </c>
      <c r="D157" t="str">
        <f t="shared" si="15"/>
        <v>Y</v>
      </c>
      <c r="E157" t="s">
        <v>597</v>
      </c>
      <c r="F157" t="str">
        <f t="shared" si="16"/>
        <v>NSP_LD_50_1X</v>
      </c>
      <c r="G157">
        <f t="shared" si="17"/>
        <v>0</v>
      </c>
      <c r="H157" t="s">
        <v>571</v>
      </c>
      <c r="I157">
        <f t="shared" si="18"/>
        <v>0</v>
      </c>
      <c r="J157" t="s">
        <v>564</v>
      </c>
      <c r="K157" s="5">
        <v>50</v>
      </c>
      <c r="L157" t="str">
        <f>Table_DataFromNL[[#This Row],[PROFILECODE]]&amp;"-"&amp;Table_DataFromNL[[#This Row],[RULENAME]]</f>
        <v>CP873-NSP_LD_50_1X</v>
      </c>
      <c r="M157" t="e">
        <f t="shared" si="19"/>
        <v>#N/A</v>
      </c>
    </row>
    <row r="158" spans="1:13" x14ac:dyDescent="0.25">
      <c r="A158" t="str">
        <f t="shared" si="20"/>
        <v>CP873-NSP_ORPHAN_100_once</v>
      </c>
      <c r="B158" t="s">
        <v>421</v>
      </c>
      <c r="C158" t="str">
        <f t="shared" si="14"/>
        <v>Anderson</v>
      </c>
      <c r="D158" t="str">
        <f t="shared" si="15"/>
        <v>Y</v>
      </c>
      <c r="E158" t="s">
        <v>597</v>
      </c>
      <c r="F158" t="str">
        <f t="shared" si="16"/>
        <v>NSP_ORPHAN_100_once</v>
      </c>
      <c r="G158">
        <f t="shared" si="17"/>
        <v>0</v>
      </c>
      <c r="H158" t="s">
        <v>572</v>
      </c>
      <c r="I158">
        <f t="shared" si="18"/>
        <v>0</v>
      </c>
      <c r="J158" t="s">
        <v>564</v>
      </c>
      <c r="K158" s="5">
        <v>100</v>
      </c>
      <c r="L158" t="str">
        <f>Table_DataFromNL[[#This Row],[PROFILECODE]]&amp;"-"&amp;Table_DataFromNL[[#This Row],[RULENAME]]</f>
        <v>CP873-NSP_ORPHAN_100_once</v>
      </c>
      <c r="M158" t="e">
        <f t="shared" si="19"/>
        <v>#N/A</v>
      </c>
    </row>
    <row r="159" spans="1:13" x14ac:dyDescent="0.25">
      <c r="A159" t="str">
        <f t="shared" si="20"/>
        <v>CP873-Restick</v>
      </c>
      <c r="B159" t="s">
        <v>421</v>
      </c>
      <c r="C159" t="str">
        <f t="shared" si="14"/>
        <v>Anderson</v>
      </c>
      <c r="D159" t="str">
        <f t="shared" si="15"/>
        <v>Y</v>
      </c>
      <c r="E159" t="s">
        <v>597</v>
      </c>
      <c r="F159" t="str">
        <f t="shared" si="16"/>
        <v>Restick</v>
      </c>
      <c r="G159">
        <f t="shared" si="17"/>
        <v>0</v>
      </c>
      <c r="H159" t="s">
        <v>573</v>
      </c>
      <c r="I159">
        <f t="shared" si="18"/>
        <v>0</v>
      </c>
      <c r="J159" t="s">
        <v>564</v>
      </c>
      <c r="K159" s="5">
        <v>5</v>
      </c>
      <c r="L159" t="str">
        <f>Table_DataFromNL[[#This Row],[PROFILECODE]]&amp;"-"&amp;Table_DataFromNL[[#This Row],[RULENAME]]</f>
        <v>CP873-Restick</v>
      </c>
      <c r="M159" t="e">
        <f t="shared" si="19"/>
        <v>#N/A</v>
      </c>
    </row>
    <row r="160" spans="1:13" x14ac:dyDescent="0.25">
      <c r="A160" t="str">
        <f t="shared" si="20"/>
        <v>CP873-SLOW_TEXT_5</v>
      </c>
      <c r="B160" t="s">
        <v>421</v>
      </c>
      <c r="C160" t="str">
        <f t="shared" si="14"/>
        <v>Anderson</v>
      </c>
      <c r="D160" t="str">
        <f t="shared" si="15"/>
        <v>Y</v>
      </c>
      <c r="E160" t="s">
        <v>597</v>
      </c>
      <c r="F160" t="str">
        <f t="shared" si="16"/>
        <v>SLOW_TEXT_5</v>
      </c>
      <c r="G160">
        <f t="shared" si="17"/>
        <v>0</v>
      </c>
      <c r="H160" t="s">
        <v>574</v>
      </c>
      <c r="I160">
        <f t="shared" si="18"/>
        <v>0</v>
      </c>
      <c r="J160" t="s">
        <v>564</v>
      </c>
      <c r="K160" s="5">
        <v>5</v>
      </c>
      <c r="L160" t="str">
        <f>Table_DataFromNL[[#This Row],[PROFILECODE]]&amp;"-"&amp;Table_DataFromNL[[#This Row],[RULENAME]]</f>
        <v>CP873-SLOW_TEXT_5</v>
      </c>
      <c r="M160" t="e">
        <f t="shared" si="19"/>
        <v>#N/A</v>
      </c>
    </row>
    <row r="161" spans="1:13" x14ac:dyDescent="0.25">
      <c r="A161" t="str">
        <f t="shared" si="20"/>
        <v>CP873-Sample Only</v>
      </c>
      <c r="B161" t="s">
        <v>421</v>
      </c>
      <c r="C161" t="str">
        <f t="shared" si="14"/>
        <v>Anderson</v>
      </c>
      <c r="D161" t="str">
        <f t="shared" si="15"/>
        <v>Y</v>
      </c>
      <c r="E161" t="s">
        <v>597</v>
      </c>
      <c r="F161" t="str">
        <f t="shared" si="16"/>
        <v>Sample Only</v>
      </c>
      <c r="G161">
        <f t="shared" si="17"/>
        <v>0</v>
      </c>
      <c r="H161" t="s">
        <v>575</v>
      </c>
      <c r="I161">
        <f t="shared" si="18"/>
        <v>0</v>
      </c>
      <c r="J161" t="s">
        <v>564</v>
      </c>
      <c r="K161" s="5">
        <v>5</v>
      </c>
      <c r="L161" t="str">
        <f>Table_DataFromNL[[#This Row],[PROFILECODE]]&amp;"-"&amp;Table_DataFromNL[[#This Row],[RULENAME]]</f>
        <v>CP873-Sample Only</v>
      </c>
      <c r="M161" t="e">
        <f t="shared" si="19"/>
        <v>#N/A</v>
      </c>
    </row>
    <row r="162" spans="1:13" x14ac:dyDescent="0.25">
      <c r="A162" t="str">
        <f t="shared" si="20"/>
        <v>CP873-Unit Below 250 mL</v>
      </c>
      <c r="B162" t="s">
        <v>421</v>
      </c>
      <c r="C162" t="str">
        <f t="shared" si="14"/>
        <v>Anderson</v>
      </c>
      <c r="D162" t="str">
        <f t="shared" si="15"/>
        <v>Y</v>
      </c>
      <c r="E162" t="s">
        <v>597</v>
      </c>
      <c r="F162" t="str">
        <f t="shared" si="16"/>
        <v>Unit Below 250 mL</v>
      </c>
      <c r="G162">
        <f t="shared" si="17"/>
        <v>0</v>
      </c>
      <c r="H162" t="s">
        <v>576</v>
      </c>
      <c r="I162">
        <f t="shared" si="18"/>
        <v>0</v>
      </c>
      <c r="J162" t="s">
        <v>564</v>
      </c>
      <c r="K162" s="5">
        <v>5</v>
      </c>
      <c r="L162" t="str">
        <f>Table_DataFromNL[[#This Row],[PROFILECODE]]&amp;"-"&amp;Table_DataFromNL[[#This Row],[RULENAME]]</f>
        <v>CP873-Unit Below 250 mL</v>
      </c>
      <c r="M162" t="e">
        <f t="shared" si="19"/>
        <v>#N/A</v>
      </c>
    </row>
    <row r="163" spans="1:13" x14ac:dyDescent="0.25">
      <c r="A163" t="str">
        <f t="shared" si="20"/>
        <v>CP873-Unit above 250 mL/underdraw</v>
      </c>
      <c r="B163" t="s">
        <v>421</v>
      </c>
      <c r="C163" t="str">
        <f t="shared" si="14"/>
        <v>Anderson</v>
      </c>
      <c r="D163" t="str">
        <f t="shared" si="15"/>
        <v>Y</v>
      </c>
      <c r="E163" t="s">
        <v>597</v>
      </c>
      <c r="F163" t="str">
        <f t="shared" si="16"/>
        <v>Unit above 250 mL/underdraw</v>
      </c>
      <c r="G163">
        <f t="shared" si="17"/>
        <v>0</v>
      </c>
      <c r="H163" t="s">
        <v>577</v>
      </c>
      <c r="I163">
        <f t="shared" si="18"/>
        <v>0</v>
      </c>
      <c r="J163" t="s">
        <v>564</v>
      </c>
      <c r="K163" s="5">
        <v>10</v>
      </c>
      <c r="L163" t="str">
        <f>Table_DataFromNL[[#This Row],[PROFILECODE]]&amp;"-"&amp;Table_DataFromNL[[#This Row],[RULENAME]]</f>
        <v>CP873-Unit above 250 mL/underdraw</v>
      </c>
      <c r="M163" t="e">
        <f t="shared" si="19"/>
        <v>#N/A</v>
      </c>
    </row>
    <row r="164" spans="1:13" x14ac:dyDescent="0.25">
      <c r="A164" t="str">
        <f t="shared" si="20"/>
        <v>CP873-RETURN - Buddy referral  -BONUS</v>
      </c>
      <c r="B164" t="s">
        <v>421</v>
      </c>
      <c r="C164" t="str">
        <f t="shared" si="14"/>
        <v>Anderson</v>
      </c>
      <c r="D164" t="str">
        <f t="shared" si="15"/>
        <v>Y</v>
      </c>
      <c r="E164" t="s">
        <v>597</v>
      </c>
      <c r="F164" t="str">
        <f t="shared" si="16"/>
        <v>RETURN - Buddy referral  -BONUS</v>
      </c>
      <c r="G164" t="str">
        <f t="shared" si="17"/>
        <v>Marketing</v>
      </c>
      <c r="H164" t="s">
        <v>34</v>
      </c>
      <c r="I164">
        <f t="shared" si="18"/>
        <v>50</v>
      </c>
      <c r="J164" t="s">
        <v>578</v>
      </c>
      <c r="K164" s="5">
        <v>50</v>
      </c>
      <c r="L164" t="str">
        <f>Table_DataFromNL[[#This Row],[PROFILECODE]]&amp;"-"&amp;Table_DataFromNL[[#This Row],[RULENAME]]</f>
        <v>CP873-Referral</v>
      </c>
      <c r="M164" t="str">
        <f t="shared" si="19"/>
        <v>CP873-RETURN - Buddy referral  -BONUS</v>
      </c>
    </row>
    <row r="165" spans="1:13" x14ac:dyDescent="0.25">
      <c r="A165" t="str">
        <f t="shared" si="20"/>
        <v>CP873-P Anti-D Pre-Existing Standard</v>
      </c>
      <c r="B165" t="s">
        <v>421</v>
      </c>
      <c r="C165" t="str">
        <f t="shared" si="14"/>
        <v>Anderson</v>
      </c>
      <c r="D165" t="str">
        <f t="shared" si="15"/>
        <v>Y</v>
      </c>
      <c r="E165" t="s">
        <v>597</v>
      </c>
      <c r="F165" t="str">
        <f t="shared" si="16"/>
        <v>P Anti-D Pre-Existing Standard</v>
      </c>
      <c r="G165" t="str">
        <f t="shared" si="17"/>
        <v>Specialty</v>
      </c>
      <c r="H165" t="s">
        <v>469</v>
      </c>
      <c r="I165" t="str">
        <f t="shared" si="18"/>
        <v>RETURN - 1st don of the week -STD</v>
      </c>
      <c r="J165" t="s">
        <v>579</v>
      </c>
      <c r="K165" s="5">
        <v>50</v>
      </c>
      <c r="L165" t="str">
        <f>Table_DataFromNL[[#This Row],[PROFILECODE]]&amp;"-"&amp;Table_DataFromNL[[#This Row],[RULENAME]]</f>
        <v>CP873-P Anti-D Pre-Existing Standard</v>
      </c>
      <c r="M165" t="str">
        <f t="shared" si="19"/>
        <v>CP873-P Anti-D Pre-Existing Standard</v>
      </c>
    </row>
    <row r="166" spans="1:13" x14ac:dyDescent="0.25">
      <c r="A166" t="str">
        <f t="shared" si="20"/>
        <v>CP873-RETURN - 1st don of the week -STD</v>
      </c>
      <c r="B166" t="s">
        <v>421</v>
      </c>
      <c r="C166" t="str">
        <f t="shared" si="14"/>
        <v>Anderson</v>
      </c>
      <c r="D166" t="str">
        <f t="shared" si="15"/>
        <v>Y</v>
      </c>
      <c r="E166" t="s">
        <v>597</v>
      </c>
      <c r="F166" t="str">
        <f t="shared" si="16"/>
        <v>RETURN - 1st don of the week -STD</v>
      </c>
      <c r="G166" t="str">
        <f t="shared" si="17"/>
        <v>Marketing</v>
      </c>
      <c r="H166" t="s">
        <v>583</v>
      </c>
      <c r="I166">
        <f t="shared" si="18"/>
        <v>22</v>
      </c>
      <c r="J166" t="s">
        <v>579</v>
      </c>
      <c r="K166" s="5">
        <v>50</v>
      </c>
      <c r="L166" t="str">
        <f>Table_DataFromNL[[#This Row],[PROFILECODE]]&amp;"-"&amp;Table_DataFromNL[[#This Row],[RULENAME]]</f>
        <v>CP873-P NSP NS AP Standard</v>
      </c>
      <c r="M166" t="str">
        <f t="shared" si="19"/>
        <v>CP873-RETURN - 1st don of the week -STD</v>
      </c>
    </row>
    <row r="167" spans="1:13" x14ac:dyDescent="0.25">
      <c r="A167" t="str">
        <f t="shared" si="20"/>
        <v>CP873-RETURN - 1st don of the week -STD</v>
      </c>
      <c r="B167" t="s">
        <v>421</v>
      </c>
      <c r="C167" t="str">
        <f t="shared" si="14"/>
        <v>Anderson</v>
      </c>
      <c r="D167" t="str">
        <f t="shared" si="15"/>
        <v>Y</v>
      </c>
      <c r="E167" t="s">
        <v>597</v>
      </c>
      <c r="F167" t="str">
        <f t="shared" si="16"/>
        <v>RETURN - 1st don of the week -STD</v>
      </c>
      <c r="G167" t="str">
        <f t="shared" si="17"/>
        <v>Marketing</v>
      </c>
      <c r="H167" t="s">
        <v>584</v>
      </c>
      <c r="I167">
        <f t="shared" si="18"/>
        <v>23</v>
      </c>
      <c r="J167" t="s">
        <v>579</v>
      </c>
      <c r="K167" s="5">
        <v>50</v>
      </c>
      <c r="L167" t="str">
        <f>Table_DataFromNL[[#This Row],[PROFILECODE]]&amp;"-"&amp;Table_DataFromNL[[#This Row],[RULENAME]]</f>
        <v>CP873-P NSP NS Standard</v>
      </c>
      <c r="M167" t="str">
        <f t="shared" si="19"/>
        <v>CP873-RETURN - 1st don of the week -STD</v>
      </c>
    </row>
    <row r="168" spans="1:13" x14ac:dyDescent="0.25">
      <c r="A168" t="str">
        <f t="shared" si="20"/>
        <v>CP873-P Tetanus AP Standard</v>
      </c>
      <c r="B168" t="s">
        <v>421</v>
      </c>
      <c r="C168" t="str">
        <f t="shared" si="14"/>
        <v>Anderson</v>
      </c>
      <c r="D168" t="str">
        <f t="shared" si="15"/>
        <v>Y</v>
      </c>
      <c r="E168" t="s">
        <v>597</v>
      </c>
      <c r="F168" t="str">
        <f t="shared" si="16"/>
        <v>P Tetanus AP Standard</v>
      </c>
      <c r="G168" t="str">
        <f t="shared" si="17"/>
        <v>Specialty</v>
      </c>
      <c r="H168" t="s">
        <v>492</v>
      </c>
      <c r="I168" t="str">
        <f t="shared" si="18"/>
        <v>RETURN - 1st don of the week -STD</v>
      </c>
      <c r="J168" t="s">
        <v>579</v>
      </c>
      <c r="K168" s="5">
        <v>55</v>
      </c>
      <c r="L168" t="str">
        <f>Table_DataFromNL[[#This Row],[PROFILECODE]]&amp;"-"&amp;Table_DataFromNL[[#This Row],[RULENAME]]</f>
        <v>CP873-P Tetanus AP Standard</v>
      </c>
      <c r="M168" t="str">
        <f t="shared" si="19"/>
        <v>CP873-P Tetanus AP Standard</v>
      </c>
    </row>
    <row r="169" spans="1:13" x14ac:dyDescent="0.25">
      <c r="A169" t="str">
        <f t="shared" si="20"/>
        <v>CP873-P Tetanus Pre-Existing Standard</v>
      </c>
      <c r="B169" t="s">
        <v>421</v>
      </c>
      <c r="C169" t="str">
        <f t="shared" si="14"/>
        <v>Anderson</v>
      </c>
      <c r="D169" t="str">
        <f t="shared" si="15"/>
        <v>Y</v>
      </c>
      <c r="E169" t="s">
        <v>597</v>
      </c>
      <c r="F169" t="str">
        <f t="shared" si="16"/>
        <v>P Tetanus Pre-Existing Standard</v>
      </c>
      <c r="G169" t="str">
        <f t="shared" si="17"/>
        <v>Specialty</v>
      </c>
      <c r="H169" t="s">
        <v>493</v>
      </c>
      <c r="I169" t="str">
        <f t="shared" si="18"/>
        <v>RETURN - 1st don of the week -STD</v>
      </c>
      <c r="J169" t="s">
        <v>579</v>
      </c>
      <c r="K169" s="5">
        <v>55</v>
      </c>
      <c r="L169" t="str">
        <f>Table_DataFromNL[[#This Row],[PROFILECODE]]&amp;"-"&amp;Table_DataFromNL[[#This Row],[RULENAME]]</f>
        <v>CP873-P Tetanus Pre-Existing Standard</v>
      </c>
      <c r="M169" t="str">
        <f t="shared" si="19"/>
        <v>CP873-P Tetanus Pre-Existing Standard</v>
      </c>
    </row>
    <row r="170" spans="1:13" x14ac:dyDescent="0.25">
      <c r="A170" t="str">
        <f t="shared" si="20"/>
        <v>CP873-P Tetanus Standard</v>
      </c>
      <c r="B170" t="s">
        <v>421</v>
      </c>
      <c r="C170" t="str">
        <f t="shared" si="14"/>
        <v>Anderson</v>
      </c>
      <c r="D170" t="str">
        <f t="shared" si="15"/>
        <v>Y</v>
      </c>
      <c r="E170" t="s">
        <v>597</v>
      </c>
      <c r="F170" t="str">
        <f t="shared" si="16"/>
        <v>P Tetanus Standard</v>
      </c>
      <c r="G170" t="str">
        <f t="shared" si="17"/>
        <v>Specialty</v>
      </c>
      <c r="H170" t="s">
        <v>494</v>
      </c>
      <c r="I170" t="str">
        <f t="shared" si="18"/>
        <v>RETURN - 1st don of the week -STD</v>
      </c>
      <c r="J170" t="s">
        <v>579</v>
      </c>
      <c r="K170" s="5">
        <v>55</v>
      </c>
      <c r="L170" t="str">
        <f>Table_DataFromNL[[#This Row],[PROFILECODE]]&amp;"-"&amp;Table_DataFromNL[[#This Row],[RULENAME]]</f>
        <v>CP873-P Tetanus Standard</v>
      </c>
      <c r="M170" t="str">
        <f t="shared" si="19"/>
        <v>CP873-P Tetanus Standard</v>
      </c>
    </row>
    <row r="171" spans="1:13" x14ac:dyDescent="0.25">
      <c r="A171" t="str">
        <f t="shared" si="20"/>
        <v>CP873-P VZV Pre-Existing AP</v>
      </c>
      <c r="B171" t="s">
        <v>421</v>
      </c>
      <c r="C171" t="str">
        <f t="shared" si="14"/>
        <v>Anderson</v>
      </c>
      <c r="D171" t="str">
        <f t="shared" si="15"/>
        <v>Y</v>
      </c>
      <c r="E171" t="s">
        <v>597</v>
      </c>
      <c r="F171" t="str">
        <f t="shared" si="16"/>
        <v>P VZV Pre-Existing AP</v>
      </c>
      <c r="G171" t="str">
        <f t="shared" si="17"/>
        <v>Specialty</v>
      </c>
      <c r="H171" t="s">
        <v>495</v>
      </c>
      <c r="I171" t="str">
        <f t="shared" si="18"/>
        <v>RETURN - 1st don of the week -STD</v>
      </c>
      <c r="J171" t="s">
        <v>579</v>
      </c>
      <c r="K171" s="5">
        <v>60</v>
      </c>
      <c r="L171" t="str">
        <f>Table_DataFromNL[[#This Row],[PROFILECODE]]&amp;"-"&amp;Table_DataFromNL[[#This Row],[RULENAME]]</f>
        <v>CP873-P VZV Pre-Existing AP</v>
      </c>
      <c r="M171" t="str">
        <f t="shared" si="19"/>
        <v>CP873-P VZV Pre-Existing AP</v>
      </c>
    </row>
    <row r="172" spans="1:13" x14ac:dyDescent="0.25">
      <c r="A172" t="str">
        <f t="shared" si="20"/>
        <v>CP873-P VZV Standard</v>
      </c>
      <c r="B172" t="s">
        <v>421</v>
      </c>
      <c r="C172" t="str">
        <f t="shared" si="14"/>
        <v>Anderson</v>
      </c>
      <c r="D172" t="str">
        <f t="shared" si="15"/>
        <v>Y</v>
      </c>
      <c r="E172" t="s">
        <v>597</v>
      </c>
      <c r="F172" t="str">
        <f t="shared" si="16"/>
        <v>P VZV Standard</v>
      </c>
      <c r="G172" t="str">
        <f t="shared" si="17"/>
        <v>Specialty</v>
      </c>
      <c r="H172" t="s">
        <v>496</v>
      </c>
      <c r="I172" t="str">
        <f t="shared" si="18"/>
        <v>RETURN - 1st don of the week -STD</v>
      </c>
      <c r="J172" t="s">
        <v>579</v>
      </c>
      <c r="K172" s="5">
        <v>60</v>
      </c>
      <c r="L172" t="str">
        <f>Table_DataFromNL[[#This Row],[PROFILECODE]]&amp;"-"&amp;Table_DataFromNL[[#This Row],[RULENAME]]</f>
        <v>CP873-P VZV Standard</v>
      </c>
      <c r="M172" t="str">
        <f t="shared" si="19"/>
        <v>CP873-P VZV Standard</v>
      </c>
    </row>
    <row r="173" spans="1:13" x14ac:dyDescent="0.25">
      <c r="A173" t="str">
        <f t="shared" si="20"/>
        <v>CP873-PVZV Pre-Existing Standard</v>
      </c>
      <c r="B173" t="s">
        <v>421</v>
      </c>
      <c r="C173" t="str">
        <f t="shared" si="14"/>
        <v>Anderson</v>
      </c>
      <c r="D173" t="str">
        <f t="shared" si="15"/>
        <v>Y</v>
      </c>
      <c r="E173" t="s">
        <v>597</v>
      </c>
      <c r="F173" t="str">
        <f t="shared" si="16"/>
        <v>PVZV Pre-Existing Standard</v>
      </c>
      <c r="G173" t="str">
        <f t="shared" si="17"/>
        <v>Specialty</v>
      </c>
      <c r="H173" t="s">
        <v>497</v>
      </c>
      <c r="I173" t="str">
        <f t="shared" si="18"/>
        <v>RETURN - 1st don of the week -STD</v>
      </c>
      <c r="J173" t="s">
        <v>579</v>
      </c>
      <c r="K173" s="5">
        <v>60</v>
      </c>
      <c r="L173" t="str">
        <f>Table_DataFromNL[[#This Row],[PROFILECODE]]&amp;"-"&amp;Table_DataFromNL[[#This Row],[RULENAME]]</f>
        <v>CP873-PVZV Pre-Existing Standard</v>
      </c>
      <c r="M173" t="str">
        <f t="shared" si="19"/>
        <v>CP873-PVZV Pre-Existing Standard</v>
      </c>
    </row>
    <row r="174" spans="1:13" x14ac:dyDescent="0.25">
      <c r="A174" t="str">
        <f t="shared" si="20"/>
        <v>CP078-1st Responder-Medical</v>
      </c>
      <c r="B174" t="s">
        <v>240</v>
      </c>
      <c r="C174" t="str">
        <f t="shared" si="14"/>
        <v>Augusta</v>
      </c>
      <c r="D174" t="str">
        <f t="shared" si="15"/>
        <v>Y</v>
      </c>
      <c r="E174" t="s">
        <v>600</v>
      </c>
      <c r="F174" t="str">
        <f t="shared" si="16"/>
        <v>1st Responder-Medical</v>
      </c>
      <c r="G174">
        <f t="shared" si="17"/>
        <v>0</v>
      </c>
      <c r="H174" t="s">
        <v>545</v>
      </c>
      <c r="I174">
        <f t="shared" si="18"/>
        <v>0</v>
      </c>
      <c r="J174" t="s">
        <v>546</v>
      </c>
      <c r="K174" s="5">
        <v>5</v>
      </c>
      <c r="L174" t="str">
        <f>Table_DataFromNL[[#This Row],[PROFILECODE]]&amp;"-"&amp;Table_DataFromNL[[#This Row],[RULENAME]]</f>
        <v>CP078-1st Responder-Medical</v>
      </c>
      <c r="M174" t="e">
        <f t="shared" si="19"/>
        <v>#N/A</v>
      </c>
    </row>
    <row r="175" spans="1:13" x14ac:dyDescent="0.25">
      <c r="A175" t="str">
        <f t="shared" si="20"/>
        <v>CP078-2X Week P CMV</v>
      </c>
      <c r="B175" t="s">
        <v>240</v>
      </c>
      <c r="C175" t="str">
        <f t="shared" si="14"/>
        <v>Augusta</v>
      </c>
      <c r="D175" t="str">
        <f t="shared" si="15"/>
        <v>Y</v>
      </c>
      <c r="E175" t="s">
        <v>600</v>
      </c>
      <c r="F175" t="str">
        <f t="shared" si="16"/>
        <v>2X Week P CMV</v>
      </c>
      <c r="G175" t="str">
        <f t="shared" si="17"/>
        <v>Specialty</v>
      </c>
      <c r="H175" t="s">
        <v>498</v>
      </c>
      <c r="I175" t="str">
        <f t="shared" si="18"/>
        <v>RETURN - 2nd don of the week -BONUS</v>
      </c>
      <c r="J175" t="s">
        <v>546</v>
      </c>
      <c r="K175" s="5">
        <v>20</v>
      </c>
      <c r="L175" t="str">
        <f>Table_DataFromNL[[#This Row],[PROFILECODE]]&amp;"-"&amp;Table_DataFromNL[[#This Row],[RULENAME]]</f>
        <v>CP078-2X Week P CMV</v>
      </c>
      <c r="M175" t="str">
        <f t="shared" si="19"/>
        <v>CP078-2X Week P CMV</v>
      </c>
    </row>
    <row r="176" spans="1:13" x14ac:dyDescent="0.25">
      <c r="A176" t="str">
        <f t="shared" si="20"/>
        <v>CP078-RETURN - 2nd don of the week -BONUS</v>
      </c>
      <c r="B176" t="s">
        <v>240</v>
      </c>
      <c r="C176" t="str">
        <f t="shared" si="14"/>
        <v>Augusta</v>
      </c>
      <c r="D176" t="str">
        <f t="shared" si="15"/>
        <v>Y</v>
      </c>
      <c r="E176" t="s">
        <v>600</v>
      </c>
      <c r="F176" t="str">
        <f t="shared" si="16"/>
        <v>RETURN - 2nd don of the week -BONUS</v>
      </c>
      <c r="G176" t="str">
        <f t="shared" si="17"/>
        <v>Marketing</v>
      </c>
      <c r="H176" t="s">
        <v>550</v>
      </c>
      <c r="I176">
        <f t="shared" si="18"/>
        <v>26</v>
      </c>
      <c r="J176" t="s">
        <v>546</v>
      </c>
      <c r="K176" s="5">
        <v>20</v>
      </c>
      <c r="L176" t="str">
        <f>Table_DataFromNL[[#This Row],[PROFILECODE]]&amp;"-"&amp;Table_DataFromNL[[#This Row],[RULENAME]]</f>
        <v>CP078-2X Week P NSP NS</v>
      </c>
      <c r="M176" t="str">
        <f t="shared" si="19"/>
        <v>CP078-RETURN - 2nd don of the week -BONUS</v>
      </c>
    </row>
    <row r="177" spans="1:13" x14ac:dyDescent="0.25">
      <c r="A177" t="str">
        <f t="shared" si="20"/>
        <v>CP078-RETURN - 2nd don of the week -BONUS</v>
      </c>
      <c r="B177" t="s">
        <v>240</v>
      </c>
      <c r="C177" t="str">
        <f t="shared" si="14"/>
        <v>Augusta</v>
      </c>
      <c r="D177" t="str">
        <f t="shared" si="15"/>
        <v>Y</v>
      </c>
      <c r="E177" t="s">
        <v>600</v>
      </c>
      <c r="F177" t="str">
        <f t="shared" si="16"/>
        <v>RETURN - 2nd don of the week -BONUS</v>
      </c>
      <c r="G177" t="str">
        <f t="shared" si="17"/>
        <v>Marketing</v>
      </c>
      <c r="H177" t="s">
        <v>551</v>
      </c>
      <c r="I177" t="str">
        <f t="shared" si="18"/>
        <v>RETURN - 2nd don of the week -BONUS</v>
      </c>
      <c r="J177" t="s">
        <v>546</v>
      </c>
      <c r="K177" s="5">
        <v>20</v>
      </c>
      <c r="L177" t="str">
        <f>Table_DataFromNL[[#This Row],[PROFILECODE]]&amp;"-"&amp;Table_DataFromNL[[#This Row],[RULENAME]]</f>
        <v>CP078-2X Week P NSP NS AP</v>
      </c>
      <c r="M177" t="str">
        <f t="shared" si="19"/>
        <v>CP078-RETURN - 2nd don of the week -BONUS</v>
      </c>
    </row>
    <row r="178" spans="1:13" x14ac:dyDescent="0.25">
      <c r="A178" t="str">
        <f t="shared" si="20"/>
        <v>CP078-2X Week P Rabies</v>
      </c>
      <c r="B178" t="s">
        <v>240</v>
      </c>
      <c r="C178" t="str">
        <f t="shared" si="14"/>
        <v>Augusta</v>
      </c>
      <c r="D178" t="str">
        <f t="shared" si="15"/>
        <v>Y</v>
      </c>
      <c r="E178" t="s">
        <v>600</v>
      </c>
      <c r="F178" t="str">
        <f t="shared" si="16"/>
        <v>2X Week P Rabies</v>
      </c>
      <c r="G178" t="str">
        <f t="shared" si="17"/>
        <v>Specialty</v>
      </c>
      <c r="H178" t="s">
        <v>499</v>
      </c>
      <c r="I178" t="str">
        <f t="shared" si="18"/>
        <v>RETURN - 2nd don of the week -BONUS</v>
      </c>
      <c r="J178" t="s">
        <v>546</v>
      </c>
      <c r="K178" s="5">
        <v>20</v>
      </c>
      <c r="L178" t="str">
        <f>Table_DataFromNL[[#This Row],[PROFILECODE]]&amp;"-"&amp;Table_DataFromNL[[#This Row],[RULENAME]]</f>
        <v>CP078-2X Week P Rabies</v>
      </c>
      <c r="M178" t="str">
        <f t="shared" si="19"/>
        <v>CP078-2X Week P Rabies</v>
      </c>
    </row>
    <row r="179" spans="1:13" x14ac:dyDescent="0.25">
      <c r="A179" t="str">
        <f t="shared" si="20"/>
        <v>CP078-2X Week P Rabies HT</v>
      </c>
      <c r="B179" t="s">
        <v>240</v>
      </c>
      <c r="C179" t="str">
        <f t="shared" si="14"/>
        <v>Augusta</v>
      </c>
      <c r="D179" t="str">
        <f t="shared" si="15"/>
        <v>Y</v>
      </c>
      <c r="E179" t="s">
        <v>600</v>
      </c>
      <c r="F179" t="str">
        <f t="shared" si="16"/>
        <v>2X Week P Rabies HT</v>
      </c>
      <c r="G179" t="str">
        <f t="shared" si="17"/>
        <v>Specialty</v>
      </c>
      <c r="H179" t="s">
        <v>500</v>
      </c>
      <c r="I179" t="str">
        <f t="shared" si="18"/>
        <v>RETURN - 2nd don of the week -BONUS</v>
      </c>
      <c r="J179" t="s">
        <v>546</v>
      </c>
      <c r="K179" s="5">
        <v>20</v>
      </c>
      <c r="L179" t="str">
        <f>Table_DataFromNL[[#This Row],[PROFILECODE]]&amp;"-"&amp;Table_DataFromNL[[#This Row],[RULENAME]]</f>
        <v>CP078-2X Week P Rabies HT</v>
      </c>
      <c r="M179" t="str">
        <f t="shared" si="19"/>
        <v>CP078-2X Week P Rabies HT</v>
      </c>
    </row>
    <row r="180" spans="1:13" x14ac:dyDescent="0.25">
      <c r="A180" t="str">
        <f t="shared" si="20"/>
        <v>CP078-2X Week P Tetanus</v>
      </c>
      <c r="B180" t="s">
        <v>240</v>
      </c>
      <c r="C180" t="str">
        <f t="shared" si="14"/>
        <v>Augusta</v>
      </c>
      <c r="D180" t="str">
        <f t="shared" si="15"/>
        <v>Y</v>
      </c>
      <c r="E180" t="s">
        <v>600</v>
      </c>
      <c r="F180" t="str">
        <f t="shared" si="16"/>
        <v>2X Week P Tetanus</v>
      </c>
      <c r="G180" t="str">
        <f t="shared" si="17"/>
        <v>Specialty</v>
      </c>
      <c r="H180" t="s">
        <v>485</v>
      </c>
      <c r="I180" t="str">
        <f t="shared" si="18"/>
        <v>RETURN - 2nd don of the week -BONUS</v>
      </c>
      <c r="J180" t="s">
        <v>546</v>
      </c>
      <c r="K180" s="5">
        <v>20</v>
      </c>
      <c r="L180" t="str">
        <f>Table_DataFromNL[[#This Row],[PROFILECODE]]&amp;"-"&amp;Table_DataFromNL[[#This Row],[RULENAME]]</f>
        <v>CP078-2X Week P Tetanus</v>
      </c>
      <c r="M180" t="str">
        <f t="shared" si="19"/>
        <v>CP078-2X Week P Tetanus</v>
      </c>
    </row>
    <row r="181" spans="1:13" x14ac:dyDescent="0.25">
      <c r="A181" t="str">
        <f t="shared" si="20"/>
        <v>CP078-2X Week P Tetanus AP</v>
      </c>
      <c r="B181" t="s">
        <v>240</v>
      </c>
      <c r="C181" t="str">
        <f t="shared" si="14"/>
        <v>Augusta</v>
      </c>
      <c r="D181" t="str">
        <f t="shared" si="15"/>
        <v>Y</v>
      </c>
      <c r="E181" t="s">
        <v>600</v>
      </c>
      <c r="F181" t="str">
        <f t="shared" si="16"/>
        <v>2X Week P Tetanus AP</v>
      </c>
      <c r="G181" t="str">
        <f t="shared" si="17"/>
        <v>Specialty</v>
      </c>
      <c r="H181" t="s">
        <v>486</v>
      </c>
      <c r="I181" t="str">
        <f t="shared" si="18"/>
        <v>RETURN - 2nd don of the week -BONUS</v>
      </c>
      <c r="J181" t="s">
        <v>546</v>
      </c>
      <c r="K181" s="5">
        <v>20</v>
      </c>
      <c r="L181" t="str">
        <f>Table_DataFromNL[[#This Row],[PROFILECODE]]&amp;"-"&amp;Table_DataFromNL[[#This Row],[RULENAME]]</f>
        <v>CP078-2X Week P Tetanus AP</v>
      </c>
      <c r="M181" t="str">
        <f t="shared" si="19"/>
        <v>CP078-2X Week P Tetanus AP</v>
      </c>
    </row>
    <row r="182" spans="1:13" x14ac:dyDescent="0.25">
      <c r="A182" t="str">
        <f t="shared" si="20"/>
        <v>CP078-2X Week P Tetanus PE</v>
      </c>
      <c r="B182" t="s">
        <v>240</v>
      </c>
      <c r="C182" t="str">
        <f t="shared" si="14"/>
        <v>Augusta</v>
      </c>
      <c r="D182" t="str">
        <f t="shared" si="15"/>
        <v>Y</v>
      </c>
      <c r="E182" t="s">
        <v>600</v>
      </c>
      <c r="F182" t="str">
        <f t="shared" si="16"/>
        <v>2X Week P Tetanus PE</v>
      </c>
      <c r="G182" t="str">
        <f t="shared" si="17"/>
        <v>Specialty</v>
      </c>
      <c r="H182" t="s">
        <v>487</v>
      </c>
      <c r="I182" t="str">
        <f t="shared" si="18"/>
        <v>RETURN - 2nd don of the week -BONUS</v>
      </c>
      <c r="J182" t="s">
        <v>546</v>
      </c>
      <c r="K182" s="5">
        <v>20</v>
      </c>
      <c r="L182" t="str">
        <f>Table_DataFromNL[[#This Row],[PROFILECODE]]&amp;"-"&amp;Table_DataFromNL[[#This Row],[RULENAME]]</f>
        <v>CP078-2X Week P Tetanus PE</v>
      </c>
      <c r="M182" t="str">
        <f t="shared" si="19"/>
        <v>CP078-2X Week P Tetanus PE</v>
      </c>
    </row>
    <row r="183" spans="1:13" x14ac:dyDescent="0.25">
      <c r="A183" t="str">
        <f t="shared" si="20"/>
        <v>CP078-RETURN - 6th don of the month -BONUS</v>
      </c>
      <c r="B183" t="s">
        <v>240</v>
      </c>
      <c r="C183" t="str">
        <f t="shared" si="14"/>
        <v>Augusta</v>
      </c>
      <c r="D183" t="str">
        <f t="shared" si="15"/>
        <v>Y</v>
      </c>
      <c r="E183" t="s">
        <v>600</v>
      </c>
      <c r="F183" t="str">
        <f t="shared" si="16"/>
        <v>RETURN - 6th don of the month -BONUS</v>
      </c>
      <c r="G183" t="str">
        <f t="shared" si="17"/>
        <v>Marketing</v>
      </c>
      <c r="H183" t="s">
        <v>552</v>
      </c>
      <c r="I183">
        <f t="shared" si="18"/>
        <v>28</v>
      </c>
      <c r="J183" t="s">
        <v>546</v>
      </c>
      <c r="K183" s="5">
        <v>40</v>
      </c>
      <c r="L183" t="str">
        <f>Table_DataFromNL[[#This Row],[PROFILECODE]]&amp;"-"&amp;Table_DataFromNL[[#This Row],[RULENAME]]</f>
        <v>CP078-6X Month</v>
      </c>
      <c r="M183" t="str">
        <f t="shared" si="19"/>
        <v>CP078-RETURN - 6th don of the month -BONUS</v>
      </c>
    </row>
    <row r="184" spans="1:13" x14ac:dyDescent="0.25">
      <c r="A184" t="str">
        <f t="shared" si="20"/>
        <v>CP078-College ID Standard Bonus</v>
      </c>
      <c r="B184" t="s">
        <v>240</v>
      </c>
      <c r="C184" t="str">
        <f t="shared" si="14"/>
        <v>Augusta</v>
      </c>
      <c r="D184" t="str">
        <f t="shared" si="15"/>
        <v>Y</v>
      </c>
      <c r="E184" t="s">
        <v>600</v>
      </c>
      <c r="F184" t="str">
        <f t="shared" si="16"/>
        <v>College ID Standard Bonus</v>
      </c>
      <c r="G184">
        <f t="shared" si="17"/>
        <v>0</v>
      </c>
      <c r="H184" t="s">
        <v>553</v>
      </c>
      <c r="I184">
        <f t="shared" si="18"/>
        <v>0</v>
      </c>
      <c r="J184" t="s">
        <v>546</v>
      </c>
      <c r="K184" s="5">
        <v>5</v>
      </c>
      <c r="L184" t="str">
        <f>Table_DataFromNL[[#This Row],[PROFILECODE]]&amp;"-"&amp;Table_DataFromNL[[#This Row],[RULENAME]]</f>
        <v>CP078-College ID Standard Bonus</v>
      </c>
      <c r="M184" t="e">
        <f t="shared" si="19"/>
        <v>#N/A</v>
      </c>
    </row>
    <row r="185" spans="1:13" x14ac:dyDescent="0.25">
      <c r="A185" t="str">
        <f t="shared" si="20"/>
        <v>CP078-Military ID</v>
      </c>
      <c r="B185" t="s">
        <v>240</v>
      </c>
      <c r="C185" t="str">
        <f t="shared" si="14"/>
        <v>Augusta</v>
      </c>
      <c r="D185" t="str">
        <f t="shared" si="15"/>
        <v>Y</v>
      </c>
      <c r="E185" t="s">
        <v>600</v>
      </c>
      <c r="F185" t="str">
        <f t="shared" si="16"/>
        <v>Military ID</v>
      </c>
      <c r="G185">
        <f t="shared" si="17"/>
        <v>0</v>
      </c>
      <c r="H185" t="s">
        <v>554</v>
      </c>
      <c r="I185">
        <f t="shared" si="18"/>
        <v>0</v>
      </c>
      <c r="J185" t="s">
        <v>546</v>
      </c>
      <c r="K185" s="5">
        <v>5</v>
      </c>
      <c r="L185" t="str">
        <f>Table_DataFromNL[[#This Row],[PROFILECODE]]&amp;"-"&amp;Table_DataFromNL[[#This Row],[RULENAME]]</f>
        <v>CP078-Military ID</v>
      </c>
      <c r="M185" t="e">
        <f t="shared" si="19"/>
        <v>#N/A</v>
      </c>
    </row>
    <row r="186" spans="1:13" x14ac:dyDescent="0.25">
      <c r="A186" t="str">
        <f t="shared" si="20"/>
        <v>CP078-NEW DONOR -1st</v>
      </c>
      <c r="B186" t="s">
        <v>240</v>
      </c>
      <c r="C186" t="str">
        <f t="shared" si="14"/>
        <v>Augusta</v>
      </c>
      <c r="D186" t="str">
        <f t="shared" si="15"/>
        <v>Y</v>
      </c>
      <c r="E186" t="s">
        <v>600</v>
      </c>
      <c r="F186" t="str">
        <f t="shared" si="16"/>
        <v>NEW DONOR -1st</v>
      </c>
      <c r="G186" t="str">
        <f t="shared" si="17"/>
        <v>Marketing</v>
      </c>
      <c r="H186" t="s">
        <v>555</v>
      </c>
      <c r="I186">
        <f t="shared" si="18"/>
        <v>1</v>
      </c>
      <c r="J186" t="s">
        <v>546</v>
      </c>
      <c r="K186" s="5">
        <v>100</v>
      </c>
      <c r="L186" t="str">
        <f>Table_DataFromNL[[#This Row],[PROFILECODE]]&amp;"-"&amp;Table_DataFromNL[[#This Row],[RULENAME]]</f>
        <v>CP078-New Donor 1st Visit-Bonus</v>
      </c>
      <c r="M186" t="str">
        <f t="shared" si="19"/>
        <v>CP078-NEW DONOR -1st</v>
      </c>
    </row>
    <row r="187" spans="1:13" x14ac:dyDescent="0.25">
      <c r="A187" t="str">
        <f t="shared" si="20"/>
        <v>CP078-NEW DONOR -2nd</v>
      </c>
      <c r="B187" t="s">
        <v>240</v>
      </c>
      <c r="C187" t="str">
        <f t="shared" si="14"/>
        <v>Augusta</v>
      </c>
      <c r="D187" t="str">
        <f t="shared" si="15"/>
        <v>Y</v>
      </c>
      <c r="E187" t="s">
        <v>600</v>
      </c>
      <c r="F187" t="str">
        <f t="shared" si="16"/>
        <v>NEW DONOR -2nd</v>
      </c>
      <c r="G187" t="str">
        <f t="shared" si="17"/>
        <v>Marketing</v>
      </c>
      <c r="H187" t="s">
        <v>556</v>
      </c>
      <c r="I187">
        <f t="shared" si="18"/>
        <v>2</v>
      </c>
      <c r="J187" t="s">
        <v>546</v>
      </c>
      <c r="K187" s="5">
        <v>100</v>
      </c>
      <c r="L187" t="str">
        <f>Table_DataFromNL[[#This Row],[PROFILECODE]]&amp;"-"&amp;Table_DataFromNL[[#This Row],[RULENAME]]</f>
        <v>CP078-New Donor 2nd Visit-Bonus</v>
      </c>
      <c r="M187" t="str">
        <f t="shared" si="19"/>
        <v>CP078-NEW DONOR -2nd</v>
      </c>
    </row>
    <row r="188" spans="1:13" x14ac:dyDescent="0.25">
      <c r="A188" t="str">
        <f t="shared" si="20"/>
        <v>CP078-NEW DONOR -3rd</v>
      </c>
      <c r="B188" t="s">
        <v>240</v>
      </c>
      <c r="C188" t="str">
        <f t="shared" si="14"/>
        <v>Augusta</v>
      </c>
      <c r="D188" t="str">
        <f t="shared" si="15"/>
        <v>Y</v>
      </c>
      <c r="E188" t="s">
        <v>600</v>
      </c>
      <c r="F188" t="str">
        <f t="shared" si="16"/>
        <v>NEW DONOR -3rd</v>
      </c>
      <c r="G188" t="str">
        <f t="shared" si="17"/>
        <v>Marketing</v>
      </c>
      <c r="H188" t="s">
        <v>557</v>
      </c>
      <c r="I188">
        <f t="shared" si="18"/>
        <v>3</v>
      </c>
      <c r="J188" t="s">
        <v>546</v>
      </c>
      <c r="K188" s="5">
        <v>100</v>
      </c>
      <c r="L188" t="str">
        <f>Table_DataFromNL[[#This Row],[PROFILECODE]]&amp;"-"&amp;Table_DataFromNL[[#This Row],[RULENAME]]</f>
        <v>CP078-New Donor 3rd Visit-Bonus</v>
      </c>
      <c r="M188" t="str">
        <f t="shared" si="19"/>
        <v>CP078-NEW DONOR -3rd</v>
      </c>
    </row>
    <row r="189" spans="1:13" x14ac:dyDescent="0.25">
      <c r="A189" t="str">
        <f t="shared" si="20"/>
        <v>CP078-NEW DONOR -4th</v>
      </c>
      <c r="B189" t="s">
        <v>240</v>
      </c>
      <c r="C189" t="str">
        <f t="shared" si="14"/>
        <v>Augusta</v>
      </c>
      <c r="D189" t="str">
        <f t="shared" si="15"/>
        <v>Y</v>
      </c>
      <c r="E189" t="s">
        <v>600</v>
      </c>
      <c r="F189" t="str">
        <f t="shared" si="16"/>
        <v>NEW DONOR -4th</v>
      </c>
      <c r="G189" t="str">
        <f t="shared" si="17"/>
        <v>Marketing</v>
      </c>
      <c r="H189" t="s">
        <v>558</v>
      </c>
      <c r="I189">
        <f t="shared" si="18"/>
        <v>4</v>
      </c>
      <c r="J189" t="s">
        <v>546</v>
      </c>
      <c r="K189" s="5">
        <v>100</v>
      </c>
      <c r="L189" t="str">
        <f>Table_DataFromNL[[#This Row],[PROFILECODE]]&amp;"-"&amp;Table_DataFromNL[[#This Row],[RULENAME]]</f>
        <v>CP078-New Donor 4th Visit-Bonus</v>
      </c>
      <c r="M189" t="str">
        <f t="shared" si="19"/>
        <v>CP078-NEW DONOR -4th</v>
      </c>
    </row>
    <row r="190" spans="1:13" x14ac:dyDescent="0.25">
      <c r="A190" t="str">
        <f t="shared" si="20"/>
        <v>CP078-NEW DONOR -5th</v>
      </c>
      <c r="B190" t="s">
        <v>240</v>
      </c>
      <c r="C190" t="str">
        <f t="shared" si="14"/>
        <v>Augusta</v>
      </c>
      <c r="D190" t="str">
        <f t="shared" si="15"/>
        <v>Y</v>
      </c>
      <c r="E190" t="s">
        <v>600</v>
      </c>
      <c r="F190" t="str">
        <f t="shared" si="16"/>
        <v>NEW DONOR -5th</v>
      </c>
      <c r="G190" t="str">
        <f t="shared" si="17"/>
        <v>Marketing</v>
      </c>
      <c r="H190" t="s">
        <v>559</v>
      </c>
      <c r="I190">
        <f t="shared" si="18"/>
        <v>5</v>
      </c>
      <c r="J190" t="s">
        <v>546</v>
      </c>
      <c r="K190" s="5">
        <v>55</v>
      </c>
      <c r="L190" t="str">
        <f>Table_DataFromNL[[#This Row],[PROFILECODE]]&amp;"-"&amp;Table_DataFromNL[[#This Row],[RULENAME]]</f>
        <v>CP078-New Donor 5th Visit-Bonus</v>
      </c>
      <c r="M190" t="str">
        <f t="shared" si="19"/>
        <v>CP078-NEW DONOR -5th</v>
      </c>
    </row>
    <row r="191" spans="1:13" x14ac:dyDescent="0.25">
      <c r="A191" t="str">
        <f t="shared" si="20"/>
        <v>CP078-NEW DONOR -6th</v>
      </c>
      <c r="B191" t="s">
        <v>240</v>
      </c>
      <c r="C191" t="str">
        <f t="shared" si="14"/>
        <v>Augusta</v>
      </c>
      <c r="D191" t="str">
        <f t="shared" si="15"/>
        <v>Y</v>
      </c>
      <c r="E191" t="s">
        <v>600</v>
      </c>
      <c r="F191" t="str">
        <f t="shared" si="16"/>
        <v>NEW DONOR -6th</v>
      </c>
      <c r="G191" t="str">
        <f t="shared" si="17"/>
        <v>Marketing</v>
      </c>
      <c r="H191" t="s">
        <v>560</v>
      </c>
      <c r="I191">
        <f t="shared" si="18"/>
        <v>6</v>
      </c>
      <c r="J191" t="s">
        <v>546</v>
      </c>
      <c r="K191" s="5">
        <v>55</v>
      </c>
      <c r="L191" t="str">
        <f>Table_DataFromNL[[#This Row],[PROFILECODE]]&amp;"-"&amp;Table_DataFromNL[[#This Row],[RULENAME]]</f>
        <v>CP078-New Donor 6th Visit-Bonus</v>
      </c>
      <c r="M191" t="str">
        <f t="shared" si="19"/>
        <v>CP078-NEW DONOR -6th</v>
      </c>
    </row>
    <row r="192" spans="1:13" x14ac:dyDescent="0.25">
      <c r="A192" t="str">
        <f t="shared" si="20"/>
        <v>CP078-NEW DONOR -7th</v>
      </c>
      <c r="B192" t="s">
        <v>240</v>
      </c>
      <c r="C192" t="str">
        <f t="shared" si="14"/>
        <v>Augusta</v>
      </c>
      <c r="D192" t="str">
        <f t="shared" si="15"/>
        <v>Y</v>
      </c>
      <c r="E192" t="s">
        <v>600</v>
      </c>
      <c r="F192" t="str">
        <f t="shared" si="16"/>
        <v>NEW DONOR -7th</v>
      </c>
      <c r="G192" t="str">
        <f t="shared" si="17"/>
        <v>Marketing</v>
      </c>
      <c r="H192" t="s">
        <v>561</v>
      </c>
      <c r="I192">
        <f t="shared" si="18"/>
        <v>7</v>
      </c>
      <c r="J192" t="s">
        <v>546</v>
      </c>
      <c r="K192" s="5">
        <v>55</v>
      </c>
      <c r="L192" t="str">
        <f>Table_DataFromNL[[#This Row],[PROFILECODE]]&amp;"-"&amp;Table_DataFromNL[[#This Row],[RULENAME]]</f>
        <v>CP078-New Donor 7th Visit-Bonus</v>
      </c>
      <c r="M192" t="str">
        <f t="shared" si="19"/>
        <v>CP078-NEW DONOR -7th</v>
      </c>
    </row>
    <row r="193" spans="1:13" x14ac:dyDescent="0.25">
      <c r="A193" t="str">
        <f t="shared" si="20"/>
        <v>CP078-NEW DONOR -8th</v>
      </c>
      <c r="B193" t="s">
        <v>240</v>
      </c>
      <c r="C193" t="str">
        <f t="shared" si="14"/>
        <v>Augusta</v>
      </c>
      <c r="D193" t="str">
        <f t="shared" si="15"/>
        <v>Y</v>
      </c>
      <c r="E193" t="s">
        <v>600</v>
      </c>
      <c r="F193" t="str">
        <f t="shared" si="16"/>
        <v>NEW DONOR -8th</v>
      </c>
      <c r="G193" t="str">
        <f t="shared" si="17"/>
        <v>Marketing</v>
      </c>
      <c r="H193" t="s">
        <v>562</v>
      </c>
      <c r="I193">
        <f t="shared" si="18"/>
        <v>8</v>
      </c>
      <c r="J193" t="s">
        <v>546</v>
      </c>
      <c r="K193" s="5">
        <v>55</v>
      </c>
      <c r="L193" t="str">
        <f>Table_DataFromNL[[#This Row],[PROFILECODE]]&amp;"-"&amp;Table_DataFromNL[[#This Row],[RULENAME]]</f>
        <v>CP078-New Donor 8th Visit-Bonus</v>
      </c>
      <c r="M193" t="str">
        <f t="shared" si="19"/>
        <v>CP078-NEW DONOR -8th</v>
      </c>
    </row>
    <row r="194" spans="1:13" x14ac:dyDescent="0.25">
      <c r="A194" t="str">
        <f t="shared" si="20"/>
        <v>CP078-Community</v>
      </c>
      <c r="B194" t="s">
        <v>240</v>
      </c>
      <c r="C194" t="str">
        <f t="shared" ref="C194:C257" si="21">VLOOKUP(B194,CenterLU,2,FALSE)</f>
        <v>Augusta</v>
      </c>
      <c r="D194" t="str">
        <f t="shared" ref="D194:D257" si="22">VLOOKUP(B194,CenterLU,3,FALSE)</f>
        <v>Y</v>
      </c>
      <c r="E194" t="s">
        <v>600</v>
      </c>
      <c r="F194" t="str">
        <f t="shared" ref="F194:F257" si="23">IF(VLOOKUP(H194,RULENAMELU,3,FALSE)=0,H194,VLOOKUP(H194,RULENAMELU,3,FALSE))</f>
        <v>Community</v>
      </c>
      <c r="G194">
        <f t="shared" ref="G194:G257" si="24">VLOOKUP(H194,RULENAMELU,4,FALSE)</f>
        <v>0</v>
      </c>
      <c r="H194" t="s">
        <v>563</v>
      </c>
      <c r="I194">
        <f t="shared" ref="I194:I257" si="25">VLOOKUP(H194,RULENAMELU,5,FALSE)</f>
        <v>0</v>
      </c>
      <c r="J194" t="s">
        <v>564</v>
      </c>
      <c r="K194" s="5">
        <v>5</v>
      </c>
      <c r="L194" t="str">
        <f>Table_DataFromNL[[#This Row],[PROFILECODE]]&amp;"-"&amp;Table_DataFromNL[[#This Row],[RULENAME]]</f>
        <v>CP078-Community</v>
      </c>
      <c r="M194" t="e">
        <f t="shared" ref="M194:M257" si="26">IFERROR(VLOOKUP(A194,PaychangesLU,1,FALSE),VLOOKUP(A194,SpecialtyCheckLU,1,FALSE))</f>
        <v>#N/A</v>
      </c>
    </row>
    <row r="195" spans="1:13" x14ac:dyDescent="0.25">
      <c r="A195" t="str">
        <f t="shared" ref="A195:A258" si="27">B195&amp;"-"&amp;F195</f>
        <v>CP078-HANGER_RECRUIT_5USD_once</v>
      </c>
      <c r="B195" t="s">
        <v>240</v>
      </c>
      <c r="C195" t="str">
        <f t="shared" si="21"/>
        <v>Augusta</v>
      </c>
      <c r="D195" t="str">
        <f t="shared" si="22"/>
        <v>Y</v>
      </c>
      <c r="E195" t="s">
        <v>600</v>
      </c>
      <c r="F195" t="str">
        <f t="shared" si="23"/>
        <v>HANGER_RECRUIT_5USD_once</v>
      </c>
      <c r="G195">
        <f t="shared" si="24"/>
        <v>0</v>
      </c>
      <c r="H195" t="s">
        <v>565</v>
      </c>
      <c r="I195">
        <f t="shared" si="25"/>
        <v>0</v>
      </c>
      <c r="J195" t="s">
        <v>564</v>
      </c>
      <c r="K195" s="5">
        <v>5</v>
      </c>
      <c r="L195" t="str">
        <f>Table_DataFromNL[[#This Row],[PROFILECODE]]&amp;"-"&amp;Table_DataFromNL[[#This Row],[RULENAME]]</f>
        <v>CP078-HANGER_RECRUIT_5USD_once</v>
      </c>
      <c r="M195" t="e">
        <f t="shared" si="26"/>
        <v>#N/A</v>
      </c>
    </row>
    <row r="196" spans="1:13" x14ac:dyDescent="0.25">
      <c r="A196" t="str">
        <f t="shared" si="27"/>
        <v>CP078-Immunization Boost Payment</v>
      </c>
      <c r="B196" t="s">
        <v>240</v>
      </c>
      <c r="C196" t="str">
        <f t="shared" si="21"/>
        <v>Augusta</v>
      </c>
      <c r="D196" t="str">
        <f t="shared" si="22"/>
        <v>Y</v>
      </c>
      <c r="E196" t="s">
        <v>600</v>
      </c>
      <c r="F196" t="str">
        <f t="shared" si="23"/>
        <v>Immunization Boost Payment</v>
      </c>
      <c r="G196">
        <f t="shared" si="24"/>
        <v>0</v>
      </c>
      <c r="H196" t="s">
        <v>598</v>
      </c>
      <c r="I196">
        <f t="shared" si="25"/>
        <v>0</v>
      </c>
      <c r="J196" t="s">
        <v>564</v>
      </c>
      <c r="K196" s="5">
        <v>50</v>
      </c>
      <c r="L196" t="str">
        <f>Table_DataFromNL[[#This Row],[PROFILECODE]]&amp;"-"&amp;Table_DataFromNL[[#This Row],[RULENAME]]</f>
        <v>CP078-Immunization Boost Payment</v>
      </c>
      <c r="M196" t="e">
        <f t="shared" si="26"/>
        <v>#N/A</v>
      </c>
    </row>
    <row r="197" spans="1:13" x14ac:dyDescent="0.25">
      <c r="A197" t="str">
        <f t="shared" si="27"/>
        <v>CP078-Immunization Series Payment</v>
      </c>
      <c r="B197" t="s">
        <v>240</v>
      </c>
      <c r="C197" t="str">
        <f t="shared" si="21"/>
        <v>Augusta</v>
      </c>
      <c r="D197" t="str">
        <f t="shared" si="22"/>
        <v>Y</v>
      </c>
      <c r="E197" t="s">
        <v>600</v>
      </c>
      <c r="F197" t="str">
        <f t="shared" si="23"/>
        <v>Immunization Series Payment</v>
      </c>
      <c r="G197">
        <f t="shared" si="24"/>
        <v>0</v>
      </c>
      <c r="H197" t="s">
        <v>599</v>
      </c>
      <c r="I197">
        <f t="shared" si="25"/>
        <v>0</v>
      </c>
      <c r="J197" t="s">
        <v>564</v>
      </c>
      <c r="K197" s="5">
        <v>100</v>
      </c>
      <c r="L197" t="str">
        <f>Table_DataFromNL[[#This Row],[PROFILECODE]]&amp;"-"&amp;Table_DataFromNL[[#This Row],[RULENAME]]</f>
        <v>CP078-Immunization Series Payment</v>
      </c>
      <c r="M197" t="e">
        <f t="shared" si="26"/>
        <v>#N/A</v>
      </c>
    </row>
    <row r="198" spans="1:13" x14ac:dyDescent="0.25">
      <c r="A198" t="str">
        <f t="shared" si="27"/>
        <v>CP078-Inconv Fee $20-$50-Comment Req'd</v>
      </c>
      <c r="B198" t="s">
        <v>240</v>
      </c>
      <c r="C198" t="str">
        <f t="shared" si="21"/>
        <v>Augusta</v>
      </c>
      <c r="D198" t="str">
        <f t="shared" si="22"/>
        <v>Y</v>
      </c>
      <c r="E198" t="s">
        <v>600</v>
      </c>
      <c r="F198" t="str">
        <f t="shared" si="23"/>
        <v>Inconv Fee $20-$50-Comment Req'd</v>
      </c>
      <c r="G198">
        <f t="shared" si="24"/>
        <v>0</v>
      </c>
      <c r="H198" t="s">
        <v>566</v>
      </c>
      <c r="I198">
        <f t="shared" si="25"/>
        <v>0</v>
      </c>
      <c r="J198" t="s">
        <v>564</v>
      </c>
      <c r="K198" s="5">
        <v>50</v>
      </c>
      <c r="L198" t="str">
        <f>Table_DataFromNL[[#This Row],[PROFILECODE]]&amp;"-"&amp;Table_DataFromNL[[#This Row],[RULENAME]]</f>
        <v>CP078-Inconv Fee $20-$50-Comment Req'd</v>
      </c>
      <c r="M198" t="e">
        <f t="shared" si="26"/>
        <v>#N/A</v>
      </c>
    </row>
    <row r="199" spans="1:13" x14ac:dyDescent="0.25">
      <c r="A199" t="str">
        <f t="shared" si="27"/>
        <v>CP078-Inconv Fee $5-$20-Comment Req'd</v>
      </c>
      <c r="B199" t="s">
        <v>240</v>
      </c>
      <c r="C199" t="str">
        <f t="shared" si="21"/>
        <v>Augusta</v>
      </c>
      <c r="D199" t="str">
        <f t="shared" si="22"/>
        <v>Y</v>
      </c>
      <c r="E199" t="s">
        <v>600</v>
      </c>
      <c r="F199" t="str">
        <f t="shared" si="23"/>
        <v>Inconv Fee $5-$20-Comment Req'd</v>
      </c>
      <c r="G199">
        <f t="shared" si="24"/>
        <v>0</v>
      </c>
      <c r="H199" t="s">
        <v>567</v>
      </c>
      <c r="I199">
        <f t="shared" si="25"/>
        <v>0</v>
      </c>
      <c r="J199" t="s">
        <v>564</v>
      </c>
      <c r="K199" s="5">
        <v>20</v>
      </c>
      <c r="L199" t="str">
        <f>Table_DataFromNL[[#This Row],[PROFILECODE]]&amp;"-"&amp;Table_DataFromNL[[#This Row],[RULENAME]]</f>
        <v>CP078-Inconv Fee $5-$20-Comment Req'd</v>
      </c>
      <c r="M199" t="e">
        <f t="shared" si="26"/>
        <v>#N/A</v>
      </c>
    </row>
    <row r="200" spans="1:13" x14ac:dyDescent="0.25">
      <c r="A200" t="str">
        <f t="shared" si="27"/>
        <v>CP078-Inconv Fee$50-$100-Comment Req'd</v>
      </c>
      <c r="B200" t="s">
        <v>240</v>
      </c>
      <c r="C200" t="str">
        <f t="shared" si="21"/>
        <v>Augusta</v>
      </c>
      <c r="D200" t="str">
        <f t="shared" si="22"/>
        <v>Y</v>
      </c>
      <c r="E200" t="s">
        <v>600</v>
      </c>
      <c r="F200" t="str">
        <f t="shared" si="23"/>
        <v>Inconv Fee$50-$100-Comment Req'd</v>
      </c>
      <c r="G200">
        <f t="shared" si="24"/>
        <v>0</v>
      </c>
      <c r="H200" t="s">
        <v>568</v>
      </c>
      <c r="I200">
        <f t="shared" si="25"/>
        <v>0</v>
      </c>
      <c r="J200" t="s">
        <v>564</v>
      </c>
      <c r="K200" s="5">
        <v>100</v>
      </c>
      <c r="L200" t="str">
        <f>Table_DataFromNL[[#This Row],[PROFILECODE]]&amp;"-"&amp;Table_DataFromNL[[#This Row],[RULENAME]]</f>
        <v>CP078-Inconv Fee$50-$100-Comment Req'd</v>
      </c>
      <c r="M200" t="e">
        <f t="shared" si="26"/>
        <v>#N/A</v>
      </c>
    </row>
    <row r="201" spans="1:13" x14ac:dyDescent="0.25">
      <c r="A201" t="str">
        <f t="shared" si="27"/>
        <v>CP078-NSP_ LAPSEDONOR_50_Twice</v>
      </c>
      <c r="B201" t="s">
        <v>240</v>
      </c>
      <c r="C201" t="str">
        <f t="shared" si="21"/>
        <v>Augusta</v>
      </c>
      <c r="D201" t="str">
        <f t="shared" si="22"/>
        <v>Y</v>
      </c>
      <c r="E201" t="s">
        <v>600</v>
      </c>
      <c r="F201" t="str">
        <f t="shared" si="23"/>
        <v>NSP_ LAPSEDONOR_50_Twice</v>
      </c>
      <c r="G201">
        <f t="shared" si="24"/>
        <v>0</v>
      </c>
      <c r="H201" t="s">
        <v>569</v>
      </c>
      <c r="I201">
        <f t="shared" si="25"/>
        <v>0</v>
      </c>
      <c r="J201" t="s">
        <v>564</v>
      </c>
      <c r="K201" s="5">
        <v>50</v>
      </c>
      <c r="L201" t="str">
        <f>Table_DataFromNL[[#This Row],[PROFILECODE]]&amp;"-"&amp;Table_DataFromNL[[#This Row],[RULENAME]]</f>
        <v>CP078-NSP_ LAPSEDONOR_50_Twice</v>
      </c>
      <c r="M201" t="e">
        <f t="shared" si="26"/>
        <v>#N/A</v>
      </c>
    </row>
    <row r="202" spans="1:13" x14ac:dyDescent="0.25">
      <c r="A202" t="str">
        <f t="shared" si="27"/>
        <v>CP078-NSP_LD_25_2X</v>
      </c>
      <c r="B202" t="s">
        <v>240</v>
      </c>
      <c r="C202" t="str">
        <f t="shared" si="21"/>
        <v>Augusta</v>
      </c>
      <c r="D202" t="str">
        <f t="shared" si="22"/>
        <v>Y</v>
      </c>
      <c r="E202" t="s">
        <v>600</v>
      </c>
      <c r="F202" t="str">
        <f t="shared" si="23"/>
        <v>NSP_LD_25_2X</v>
      </c>
      <c r="G202">
        <f t="shared" si="24"/>
        <v>0</v>
      </c>
      <c r="H202" t="s">
        <v>570</v>
      </c>
      <c r="I202">
        <f t="shared" si="25"/>
        <v>0</v>
      </c>
      <c r="J202" t="s">
        <v>564</v>
      </c>
      <c r="K202" s="5">
        <v>25</v>
      </c>
      <c r="L202" t="str">
        <f>Table_DataFromNL[[#This Row],[PROFILECODE]]&amp;"-"&amp;Table_DataFromNL[[#This Row],[RULENAME]]</f>
        <v>CP078-NSP_LD_25_2X</v>
      </c>
      <c r="M202" t="e">
        <f t="shared" si="26"/>
        <v>#N/A</v>
      </c>
    </row>
    <row r="203" spans="1:13" x14ac:dyDescent="0.25">
      <c r="A203" t="str">
        <f t="shared" si="27"/>
        <v>CP078-NSP_LD_50_1X</v>
      </c>
      <c r="B203" t="s">
        <v>240</v>
      </c>
      <c r="C203" t="str">
        <f t="shared" si="21"/>
        <v>Augusta</v>
      </c>
      <c r="D203" t="str">
        <f t="shared" si="22"/>
        <v>Y</v>
      </c>
      <c r="E203" t="s">
        <v>600</v>
      </c>
      <c r="F203" t="str">
        <f t="shared" si="23"/>
        <v>NSP_LD_50_1X</v>
      </c>
      <c r="G203">
        <f t="shared" si="24"/>
        <v>0</v>
      </c>
      <c r="H203" t="s">
        <v>571</v>
      </c>
      <c r="I203">
        <f t="shared" si="25"/>
        <v>0</v>
      </c>
      <c r="J203" t="s">
        <v>564</v>
      </c>
      <c r="K203" s="5">
        <v>50</v>
      </c>
      <c r="L203" t="str">
        <f>Table_DataFromNL[[#This Row],[PROFILECODE]]&amp;"-"&amp;Table_DataFromNL[[#This Row],[RULENAME]]</f>
        <v>CP078-NSP_LD_50_1X</v>
      </c>
      <c r="M203" t="e">
        <f t="shared" si="26"/>
        <v>#N/A</v>
      </c>
    </row>
    <row r="204" spans="1:13" x14ac:dyDescent="0.25">
      <c r="A204" t="str">
        <f t="shared" si="27"/>
        <v>CP078-NSP_ORPHAN_100_once</v>
      </c>
      <c r="B204" t="s">
        <v>240</v>
      </c>
      <c r="C204" t="str">
        <f t="shared" si="21"/>
        <v>Augusta</v>
      </c>
      <c r="D204" t="str">
        <f t="shared" si="22"/>
        <v>Y</v>
      </c>
      <c r="E204" t="s">
        <v>600</v>
      </c>
      <c r="F204" t="str">
        <f t="shared" si="23"/>
        <v>NSP_ORPHAN_100_once</v>
      </c>
      <c r="G204">
        <f t="shared" si="24"/>
        <v>0</v>
      </c>
      <c r="H204" t="s">
        <v>572</v>
      </c>
      <c r="I204">
        <f t="shared" si="25"/>
        <v>0</v>
      </c>
      <c r="J204" t="s">
        <v>564</v>
      </c>
      <c r="K204" s="5">
        <v>100</v>
      </c>
      <c r="L204" t="str">
        <f>Table_DataFromNL[[#This Row],[PROFILECODE]]&amp;"-"&amp;Table_DataFromNL[[#This Row],[RULENAME]]</f>
        <v>CP078-NSP_ORPHAN_100_once</v>
      </c>
      <c r="M204" t="e">
        <f t="shared" si="26"/>
        <v>#N/A</v>
      </c>
    </row>
    <row r="205" spans="1:13" x14ac:dyDescent="0.25">
      <c r="A205" t="str">
        <f t="shared" si="27"/>
        <v>CP078-Restick</v>
      </c>
      <c r="B205" t="s">
        <v>240</v>
      </c>
      <c r="C205" t="str">
        <f t="shared" si="21"/>
        <v>Augusta</v>
      </c>
      <c r="D205" t="str">
        <f t="shared" si="22"/>
        <v>Y</v>
      </c>
      <c r="E205" t="s">
        <v>600</v>
      </c>
      <c r="F205" t="str">
        <f t="shared" si="23"/>
        <v>Restick</v>
      </c>
      <c r="G205">
        <f t="shared" si="24"/>
        <v>0</v>
      </c>
      <c r="H205" t="s">
        <v>573</v>
      </c>
      <c r="I205">
        <f t="shared" si="25"/>
        <v>0</v>
      </c>
      <c r="J205" t="s">
        <v>564</v>
      </c>
      <c r="K205" s="5">
        <v>5</v>
      </c>
      <c r="L205" t="str">
        <f>Table_DataFromNL[[#This Row],[PROFILECODE]]&amp;"-"&amp;Table_DataFromNL[[#This Row],[RULENAME]]</f>
        <v>CP078-Restick</v>
      </c>
      <c r="M205" t="e">
        <f t="shared" si="26"/>
        <v>#N/A</v>
      </c>
    </row>
    <row r="206" spans="1:13" x14ac:dyDescent="0.25">
      <c r="A206" t="str">
        <f t="shared" si="27"/>
        <v>CP078-SLOW_TEXT_5</v>
      </c>
      <c r="B206" t="s">
        <v>240</v>
      </c>
      <c r="C206" t="str">
        <f t="shared" si="21"/>
        <v>Augusta</v>
      </c>
      <c r="D206" t="str">
        <f t="shared" si="22"/>
        <v>Y</v>
      </c>
      <c r="E206" t="s">
        <v>600</v>
      </c>
      <c r="F206" t="str">
        <f t="shared" si="23"/>
        <v>SLOW_TEXT_5</v>
      </c>
      <c r="G206">
        <f t="shared" si="24"/>
        <v>0</v>
      </c>
      <c r="H206" t="s">
        <v>574</v>
      </c>
      <c r="I206">
        <f t="shared" si="25"/>
        <v>0</v>
      </c>
      <c r="J206" t="s">
        <v>564</v>
      </c>
      <c r="K206" s="5">
        <v>5</v>
      </c>
      <c r="L206" t="str">
        <f>Table_DataFromNL[[#This Row],[PROFILECODE]]&amp;"-"&amp;Table_DataFromNL[[#This Row],[RULENAME]]</f>
        <v>CP078-SLOW_TEXT_5</v>
      </c>
      <c r="M206" t="e">
        <f t="shared" si="26"/>
        <v>#N/A</v>
      </c>
    </row>
    <row r="207" spans="1:13" x14ac:dyDescent="0.25">
      <c r="A207" t="str">
        <f t="shared" si="27"/>
        <v>CP078-Sample Only</v>
      </c>
      <c r="B207" t="s">
        <v>240</v>
      </c>
      <c r="C207" t="str">
        <f t="shared" si="21"/>
        <v>Augusta</v>
      </c>
      <c r="D207" t="str">
        <f t="shared" si="22"/>
        <v>Y</v>
      </c>
      <c r="E207" t="s">
        <v>600</v>
      </c>
      <c r="F207" t="str">
        <f t="shared" si="23"/>
        <v>Sample Only</v>
      </c>
      <c r="G207">
        <f t="shared" si="24"/>
        <v>0</v>
      </c>
      <c r="H207" t="s">
        <v>575</v>
      </c>
      <c r="I207">
        <f t="shared" si="25"/>
        <v>0</v>
      </c>
      <c r="J207" t="s">
        <v>564</v>
      </c>
      <c r="K207" s="5">
        <v>5</v>
      </c>
      <c r="L207" t="str">
        <f>Table_DataFromNL[[#This Row],[PROFILECODE]]&amp;"-"&amp;Table_DataFromNL[[#This Row],[RULENAME]]</f>
        <v>CP078-Sample Only</v>
      </c>
      <c r="M207" t="e">
        <f t="shared" si="26"/>
        <v>#N/A</v>
      </c>
    </row>
    <row r="208" spans="1:13" x14ac:dyDescent="0.25">
      <c r="A208" t="str">
        <f t="shared" si="27"/>
        <v>CP078-Unit Below 250 mL</v>
      </c>
      <c r="B208" t="s">
        <v>240</v>
      </c>
      <c r="C208" t="str">
        <f t="shared" si="21"/>
        <v>Augusta</v>
      </c>
      <c r="D208" t="str">
        <f t="shared" si="22"/>
        <v>Y</v>
      </c>
      <c r="E208" t="s">
        <v>600</v>
      </c>
      <c r="F208" t="str">
        <f t="shared" si="23"/>
        <v>Unit Below 250 mL</v>
      </c>
      <c r="G208">
        <f t="shared" si="24"/>
        <v>0</v>
      </c>
      <c r="H208" t="s">
        <v>576</v>
      </c>
      <c r="I208">
        <f t="shared" si="25"/>
        <v>0</v>
      </c>
      <c r="J208" t="s">
        <v>564</v>
      </c>
      <c r="K208" s="5">
        <v>5</v>
      </c>
      <c r="L208" t="str">
        <f>Table_DataFromNL[[#This Row],[PROFILECODE]]&amp;"-"&amp;Table_DataFromNL[[#This Row],[RULENAME]]</f>
        <v>CP078-Unit Below 250 mL</v>
      </c>
      <c r="M208" t="e">
        <f t="shared" si="26"/>
        <v>#N/A</v>
      </c>
    </row>
    <row r="209" spans="1:13" x14ac:dyDescent="0.25">
      <c r="A209" t="str">
        <f t="shared" si="27"/>
        <v>CP078-Unit above 250 mL/underdraw</v>
      </c>
      <c r="B209" t="s">
        <v>240</v>
      </c>
      <c r="C209" t="str">
        <f t="shared" si="21"/>
        <v>Augusta</v>
      </c>
      <c r="D209" t="str">
        <f t="shared" si="22"/>
        <v>Y</v>
      </c>
      <c r="E209" t="s">
        <v>600</v>
      </c>
      <c r="F209" t="str">
        <f t="shared" si="23"/>
        <v>Unit above 250 mL/underdraw</v>
      </c>
      <c r="G209">
        <f t="shared" si="24"/>
        <v>0</v>
      </c>
      <c r="H209" t="s">
        <v>577</v>
      </c>
      <c r="I209">
        <f t="shared" si="25"/>
        <v>0</v>
      </c>
      <c r="J209" t="s">
        <v>564</v>
      </c>
      <c r="K209" s="5">
        <v>10</v>
      </c>
      <c r="L209" t="str">
        <f>Table_DataFromNL[[#This Row],[PROFILECODE]]&amp;"-"&amp;Table_DataFromNL[[#This Row],[RULENAME]]</f>
        <v>CP078-Unit above 250 mL/underdraw</v>
      </c>
      <c r="M209" t="e">
        <f t="shared" si="26"/>
        <v>#N/A</v>
      </c>
    </row>
    <row r="210" spans="1:13" x14ac:dyDescent="0.25">
      <c r="A210" t="str">
        <f t="shared" si="27"/>
        <v>CP078-RETURN - Buddy referral  -BONUS</v>
      </c>
      <c r="B210" t="s">
        <v>240</v>
      </c>
      <c r="C210" t="str">
        <f t="shared" si="21"/>
        <v>Augusta</v>
      </c>
      <c r="D210" t="str">
        <f t="shared" si="22"/>
        <v>Y</v>
      </c>
      <c r="E210" t="s">
        <v>600</v>
      </c>
      <c r="F210" t="str">
        <f t="shared" si="23"/>
        <v>RETURN - Buddy referral  -BONUS</v>
      </c>
      <c r="G210" t="str">
        <f t="shared" si="24"/>
        <v>Marketing</v>
      </c>
      <c r="H210" t="s">
        <v>34</v>
      </c>
      <c r="I210">
        <f t="shared" si="25"/>
        <v>50</v>
      </c>
      <c r="J210" t="s">
        <v>578</v>
      </c>
      <c r="K210" s="5">
        <v>50</v>
      </c>
      <c r="L210" t="str">
        <f>Table_DataFromNL[[#This Row],[PROFILECODE]]&amp;"-"&amp;Table_DataFromNL[[#This Row],[RULENAME]]</f>
        <v>CP078-Referral</v>
      </c>
      <c r="M210" t="str">
        <f t="shared" si="26"/>
        <v>CP078-RETURN - Buddy referral  -BONUS</v>
      </c>
    </row>
    <row r="211" spans="1:13" x14ac:dyDescent="0.25">
      <c r="A211" t="str">
        <f t="shared" si="27"/>
        <v>CP078-P Anti-D Pre-Existing Standard</v>
      </c>
      <c r="B211" t="s">
        <v>240</v>
      </c>
      <c r="C211" t="str">
        <f t="shared" si="21"/>
        <v>Augusta</v>
      </c>
      <c r="D211" t="str">
        <f t="shared" si="22"/>
        <v>Y</v>
      </c>
      <c r="E211" t="s">
        <v>600</v>
      </c>
      <c r="F211" t="str">
        <f t="shared" si="23"/>
        <v>P Anti-D Pre-Existing Standard</v>
      </c>
      <c r="G211" t="str">
        <f t="shared" si="24"/>
        <v>Specialty</v>
      </c>
      <c r="H211" t="s">
        <v>469</v>
      </c>
      <c r="I211" t="str">
        <f t="shared" si="25"/>
        <v>RETURN - 1st don of the week -STD</v>
      </c>
      <c r="J211" t="s">
        <v>579</v>
      </c>
      <c r="K211" s="5">
        <v>100</v>
      </c>
      <c r="L211" t="str">
        <f>Table_DataFromNL[[#This Row],[PROFILECODE]]&amp;"-"&amp;Table_DataFromNL[[#This Row],[RULENAME]]</f>
        <v>CP078-P Anti-D Pre-Existing Standard</v>
      </c>
      <c r="M211" t="str">
        <f t="shared" si="26"/>
        <v>CP078-P Anti-D Pre-Existing Standard</v>
      </c>
    </row>
    <row r="212" spans="1:13" x14ac:dyDescent="0.25">
      <c r="A212" t="str">
        <f t="shared" si="27"/>
        <v>CP078-P Anti-D Standard</v>
      </c>
      <c r="B212" t="s">
        <v>240</v>
      </c>
      <c r="C212" t="str">
        <f t="shared" si="21"/>
        <v>Augusta</v>
      </c>
      <c r="D212" t="str">
        <f t="shared" si="22"/>
        <v>Y</v>
      </c>
      <c r="E212" t="s">
        <v>600</v>
      </c>
      <c r="F212" t="str">
        <f t="shared" si="23"/>
        <v>P Anti-D Standard</v>
      </c>
      <c r="G212" t="str">
        <f t="shared" si="24"/>
        <v>Specialty</v>
      </c>
      <c r="H212" t="s">
        <v>474</v>
      </c>
      <c r="I212" t="str">
        <f t="shared" si="25"/>
        <v>RETURN - 1st don of the week -STD</v>
      </c>
      <c r="J212" t="s">
        <v>579</v>
      </c>
      <c r="K212" s="5">
        <v>100</v>
      </c>
      <c r="L212" t="str">
        <f>Table_DataFromNL[[#This Row],[PROFILECODE]]&amp;"-"&amp;Table_DataFromNL[[#This Row],[RULENAME]]</f>
        <v>CP078-P Anti-D Standard</v>
      </c>
      <c r="M212" t="str">
        <f t="shared" si="26"/>
        <v>CP078-P Anti-D Standard</v>
      </c>
    </row>
    <row r="213" spans="1:13" x14ac:dyDescent="0.25">
      <c r="A213" t="str">
        <f t="shared" si="27"/>
        <v>CP078-P CMV Standard</v>
      </c>
      <c r="B213" t="s">
        <v>240</v>
      </c>
      <c r="C213" t="str">
        <f t="shared" si="21"/>
        <v>Augusta</v>
      </c>
      <c r="D213" t="str">
        <f t="shared" si="22"/>
        <v>Y</v>
      </c>
      <c r="E213" t="s">
        <v>600</v>
      </c>
      <c r="F213" t="str">
        <f t="shared" si="23"/>
        <v>P CMV Standard</v>
      </c>
      <c r="G213" t="str">
        <f t="shared" si="24"/>
        <v>Specialty</v>
      </c>
      <c r="H213" t="s">
        <v>501</v>
      </c>
      <c r="I213" t="str">
        <f t="shared" si="25"/>
        <v>RETURN - 1st don of the week -STD</v>
      </c>
      <c r="J213" t="s">
        <v>579</v>
      </c>
      <c r="K213" s="5">
        <v>60</v>
      </c>
      <c r="L213" t="str">
        <f>Table_DataFromNL[[#This Row],[PROFILECODE]]&amp;"-"&amp;Table_DataFromNL[[#This Row],[RULENAME]]</f>
        <v>CP078-P CMV Standard</v>
      </c>
      <c r="M213" t="str">
        <f t="shared" si="26"/>
        <v>CP078-P CMV Standard</v>
      </c>
    </row>
    <row r="214" spans="1:13" x14ac:dyDescent="0.25">
      <c r="A214" t="str">
        <f t="shared" si="27"/>
        <v>CP078-RETURN - 1st don of the week -STD</v>
      </c>
      <c r="B214" t="s">
        <v>240</v>
      </c>
      <c r="C214" t="str">
        <f t="shared" si="21"/>
        <v>Augusta</v>
      </c>
      <c r="D214" t="str">
        <f t="shared" si="22"/>
        <v>Y</v>
      </c>
      <c r="E214" t="s">
        <v>600</v>
      </c>
      <c r="F214" t="str">
        <f t="shared" si="23"/>
        <v>RETURN - 1st don of the week -STD</v>
      </c>
      <c r="G214" t="str">
        <f t="shared" si="24"/>
        <v>Marketing</v>
      </c>
      <c r="H214" t="s">
        <v>583</v>
      </c>
      <c r="I214">
        <f t="shared" si="25"/>
        <v>22</v>
      </c>
      <c r="J214" t="s">
        <v>579</v>
      </c>
      <c r="K214" s="5">
        <v>55</v>
      </c>
      <c r="L214" t="str">
        <f>Table_DataFromNL[[#This Row],[PROFILECODE]]&amp;"-"&amp;Table_DataFromNL[[#This Row],[RULENAME]]</f>
        <v>CP078-P NSP NS AP Standard</v>
      </c>
      <c r="M214" t="str">
        <f t="shared" si="26"/>
        <v>CP078-RETURN - 1st don of the week -STD</v>
      </c>
    </row>
    <row r="215" spans="1:13" x14ac:dyDescent="0.25">
      <c r="A215" t="str">
        <f t="shared" si="27"/>
        <v>CP078-RETURN - 1st don of the week -STD</v>
      </c>
      <c r="B215" t="s">
        <v>240</v>
      </c>
      <c r="C215" t="str">
        <f t="shared" si="21"/>
        <v>Augusta</v>
      </c>
      <c r="D215" t="str">
        <f t="shared" si="22"/>
        <v>Y</v>
      </c>
      <c r="E215" t="s">
        <v>600</v>
      </c>
      <c r="F215" t="str">
        <f t="shared" si="23"/>
        <v>RETURN - 1st don of the week -STD</v>
      </c>
      <c r="G215" t="str">
        <f t="shared" si="24"/>
        <v>Marketing</v>
      </c>
      <c r="H215" t="s">
        <v>584</v>
      </c>
      <c r="I215">
        <f t="shared" si="25"/>
        <v>23</v>
      </c>
      <c r="J215" t="s">
        <v>579</v>
      </c>
      <c r="K215" s="5">
        <v>55</v>
      </c>
      <c r="L215" t="str">
        <f>Table_DataFromNL[[#This Row],[PROFILECODE]]&amp;"-"&amp;Table_DataFromNL[[#This Row],[RULENAME]]</f>
        <v>CP078-P NSP NS Standard</v>
      </c>
      <c r="M215" t="str">
        <f t="shared" si="26"/>
        <v>CP078-RETURN - 1st don of the week -STD</v>
      </c>
    </row>
    <row r="216" spans="1:13" x14ac:dyDescent="0.25">
      <c r="A216" t="str">
        <f t="shared" si="27"/>
        <v>CP078-P Rabies HT Standard</v>
      </c>
      <c r="B216" t="s">
        <v>240</v>
      </c>
      <c r="C216" t="str">
        <f t="shared" si="21"/>
        <v>Augusta</v>
      </c>
      <c r="D216" t="str">
        <f t="shared" si="22"/>
        <v>Y</v>
      </c>
      <c r="E216" t="s">
        <v>600</v>
      </c>
      <c r="F216" t="str">
        <f t="shared" si="23"/>
        <v>P Rabies HT Standard</v>
      </c>
      <c r="G216" t="str">
        <f t="shared" si="24"/>
        <v>Specialty</v>
      </c>
      <c r="H216" t="s">
        <v>502</v>
      </c>
      <c r="I216" t="str">
        <f t="shared" si="25"/>
        <v>RETURN - 1st don of the week -STD</v>
      </c>
      <c r="J216" t="s">
        <v>579</v>
      </c>
      <c r="K216" s="5">
        <v>60</v>
      </c>
      <c r="L216" t="str">
        <f>Table_DataFromNL[[#This Row],[PROFILECODE]]&amp;"-"&amp;Table_DataFromNL[[#This Row],[RULENAME]]</f>
        <v>CP078-P Rabies HT Standard</v>
      </c>
      <c r="M216" t="str">
        <f t="shared" si="26"/>
        <v>CP078-P Rabies HT Standard</v>
      </c>
    </row>
    <row r="217" spans="1:13" x14ac:dyDescent="0.25">
      <c r="A217" t="str">
        <f t="shared" si="27"/>
        <v>CP078-P Rabies Standard</v>
      </c>
      <c r="B217" t="s">
        <v>240</v>
      </c>
      <c r="C217" t="str">
        <f t="shared" si="21"/>
        <v>Augusta</v>
      </c>
      <c r="D217" t="str">
        <f t="shared" si="22"/>
        <v>Y</v>
      </c>
      <c r="E217" t="s">
        <v>600</v>
      </c>
      <c r="F217" t="str">
        <f t="shared" si="23"/>
        <v>P Rabies Standard</v>
      </c>
      <c r="G217" t="str">
        <f t="shared" si="24"/>
        <v>Specialty</v>
      </c>
      <c r="H217" t="s">
        <v>503</v>
      </c>
      <c r="I217" t="str">
        <f t="shared" si="25"/>
        <v>RETURN - 1st don of the week -STD</v>
      </c>
      <c r="J217" t="s">
        <v>579</v>
      </c>
      <c r="K217" s="5">
        <v>60</v>
      </c>
      <c r="L217" t="str">
        <f>Table_DataFromNL[[#This Row],[PROFILECODE]]&amp;"-"&amp;Table_DataFromNL[[#This Row],[RULENAME]]</f>
        <v>CP078-P Rabies Standard</v>
      </c>
      <c r="M217" t="str">
        <f t="shared" si="26"/>
        <v>CP078-P Rabies Standard</v>
      </c>
    </row>
    <row r="218" spans="1:13" x14ac:dyDescent="0.25">
      <c r="A218" t="str">
        <f t="shared" si="27"/>
        <v>CP078-P Tetanus AP Standard</v>
      </c>
      <c r="B218" t="s">
        <v>240</v>
      </c>
      <c r="C218" t="str">
        <f t="shared" si="21"/>
        <v>Augusta</v>
      </c>
      <c r="D218" t="str">
        <f t="shared" si="22"/>
        <v>Y</v>
      </c>
      <c r="E218" t="s">
        <v>600</v>
      </c>
      <c r="F218" t="str">
        <f t="shared" si="23"/>
        <v>P Tetanus AP Standard</v>
      </c>
      <c r="G218" t="str">
        <f t="shared" si="24"/>
        <v>Specialty</v>
      </c>
      <c r="H218" t="s">
        <v>492</v>
      </c>
      <c r="I218" t="str">
        <f t="shared" si="25"/>
        <v>RETURN - 1st don of the week -STD</v>
      </c>
      <c r="J218" t="s">
        <v>579</v>
      </c>
      <c r="K218" s="5">
        <v>60</v>
      </c>
      <c r="L218" t="str">
        <f>Table_DataFromNL[[#This Row],[PROFILECODE]]&amp;"-"&amp;Table_DataFromNL[[#This Row],[RULENAME]]</f>
        <v>CP078-P Tetanus AP Standard</v>
      </c>
      <c r="M218" t="str">
        <f t="shared" si="26"/>
        <v>CP078-P Tetanus AP Standard</v>
      </c>
    </row>
    <row r="219" spans="1:13" x14ac:dyDescent="0.25">
      <c r="A219" t="str">
        <f t="shared" si="27"/>
        <v>CP078-P Tetanus Pre-Existing Standard</v>
      </c>
      <c r="B219" t="s">
        <v>240</v>
      </c>
      <c r="C219" t="str">
        <f t="shared" si="21"/>
        <v>Augusta</v>
      </c>
      <c r="D219" t="str">
        <f t="shared" si="22"/>
        <v>Y</v>
      </c>
      <c r="E219" t="s">
        <v>600</v>
      </c>
      <c r="F219" t="str">
        <f t="shared" si="23"/>
        <v>P Tetanus Pre-Existing Standard</v>
      </c>
      <c r="G219" t="str">
        <f t="shared" si="24"/>
        <v>Specialty</v>
      </c>
      <c r="H219" t="s">
        <v>493</v>
      </c>
      <c r="I219" t="str">
        <f t="shared" si="25"/>
        <v>RETURN - 1st don of the week -STD</v>
      </c>
      <c r="J219" t="s">
        <v>579</v>
      </c>
      <c r="K219" s="5">
        <v>60</v>
      </c>
      <c r="L219" t="str">
        <f>Table_DataFromNL[[#This Row],[PROFILECODE]]&amp;"-"&amp;Table_DataFromNL[[#This Row],[RULENAME]]</f>
        <v>CP078-P Tetanus Pre-Existing Standard</v>
      </c>
      <c r="M219" t="str">
        <f t="shared" si="26"/>
        <v>CP078-P Tetanus Pre-Existing Standard</v>
      </c>
    </row>
    <row r="220" spans="1:13" x14ac:dyDescent="0.25">
      <c r="A220" t="str">
        <f t="shared" si="27"/>
        <v>CP078-P Tetanus Standard</v>
      </c>
      <c r="B220" t="s">
        <v>240</v>
      </c>
      <c r="C220" t="str">
        <f t="shared" si="21"/>
        <v>Augusta</v>
      </c>
      <c r="D220" t="str">
        <f t="shared" si="22"/>
        <v>Y</v>
      </c>
      <c r="E220" t="s">
        <v>600</v>
      </c>
      <c r="F220" t="str">
        <f t="shared" si="23"/>
        <v>P Tetanus Standard</v>
      </c>
      <c r="G220" t="str">
        <f t="shared" si="24"/>
        <v>Specialty</v>
      </c>
      <c r="H220" t="s">
        <v>494</v>
      </c>
      <c r="I220" t="str">
        <f t="shared" si="25"/>
        <v>RETURN - 1st don of the week -STD</v>
      </c>
      <c r="J220" t="s">
        <v>579</v>
      </c>
      <c r="K220" s="5">
        <v>60</v>
      </c>
      <c r="L220" t="str">
        <f>Table_DataFromNL[[#This Row],[PROFILECODE]]&amp;"-"&amp;Table_DataFromNL[[#This Row],[RULENAME]]</f>
        <v>CP078-P Tetanus Standard</v>
      </c>
      <c r="M220" t="str">
        <f t="shared" si="26"/>
        <v>CP078-P Tetanus Standard</v>
      </c>
    </row>
    <row r="221" spans="1:13" x14ac:dyDescent="0.25">
      <c r="A221" t="str">
        <f t="shared" si="27"/>
        <v>CP946-1st Responder-Medical</v>
      </c>
      <c r="B221" t="s">
        <v>217</v>
      </c>
      <c r="C221" t="str">
        <f t="shared" si="21"/>
        <v>Bedford</v>
      </c>
      <c r="D221" t="str">
        <f t="shared" si="22"/>
        <v>Y</v>
      </c>
      <c r="E221" t="s">
        <v>601</v>
      </c>
      <c r="F221" t="str">
        <f t="shared" si="23"/>
        <v>1st Responder-Medical</v>
      </c>
      <c r="G221">
        <f t="shared" si="24"/>
        <v>0</v>
      </c>
      <c r="H221" t="s">
        <v>545</v>
      </c>
      <c r="I221">
        <f t="shared" si="25"/>
        <v>0</v>
      </c>
      <c r="J221" t="s">
        <v>546</v>
      </c>
      <c r="K221" s="5">
        <v>5</v>
      </c>
      <c r="L221" t="str">
        <f>Table_DataFromNL[[#This Row],[PROFILECODE]]&amp;"-"&amp;Table_DataFromNL[[#This Row],[RULENAME]]</f>
        <v>CP946-1st Responder-Medical</v>
      </c>
      <c r="M221" t="e">
        <f t="shared" si="26"/>
        <v>#N/A</v>
      </c>
    </row>
    <row r="222" spans="1:13" x14ac:dyDescent="0.25">
      <c r="A222" t="str">
        <f t="shared" si="27"/>
        <v>CP946-2X Week P HBS</v>
      </c>
      <c r="B222" t="s">
        <v>217</v>
      </c>
      <c r="C222" t="str">
        <f t="shared" si="21"/>
        <v>Bedford</v>
      </c>
      <c r="D222" t="str">
        <f t="shared" si="22"/>
        <v>Y</v>
      </c>
      <c r="E222" t="s">
        <v>601</v>
      </c>
      <c r="F222" t="str">
        <f t="shared" si="23"/>
        <v>2X Week P HBS</v>
      </c>
      <c r="G222" t="str">
        <f t="shared" si="24"/>
        <v>Specialty</v>
      </c>
      <c r="H222" t="s">
        <v>470</v>
      </c>
      <c r="I222" t="str">
        <f t="shared" si="25"/>
        <v>RETURN - 2nd don of the week -BONUS</v>
      </c>
      <c r="J222" t="s">
        <v>546</v>
      </c>
      <c r="K222" s="5">
        <v>30</v>
      </c>
      <c r="L222" t="str">
        <f>Table_DataFromNL[[#This Row],[PROFILECODE]]&amp;"-"&amp;Table_DataFromNL[[#This Row],[RULENAME]]</f>
        <v>CP946-2X Week P HBS</v>
      </c>
      <c r="M222" t="str">
        <f t="shared" si="26"/>
        <v>CP946-2X Week P HBS</v>
      </c>
    </row>
    <row r="223" spans="1:13" x14ac:dyDescent="0.25">
      <c r="A223" t="str">
        <f t="shared" si="27"/>
        <v>CP946-2X Week P HBS Pre-Existing</v>
      </c>
      <c r="B223" t="s">
        <v>217</v>
      </c>
      <c r="C223" t="str">
        <f t="shared" si="21"/>
        <v>Bedford</v>
      </c>
      <c r="D223" t="str">
        <f t="shared" si="22"/>
        <v>Y</v>
      </c>
      <c r="E223" t="s">
        <v>601</v>
      </c>
      <c r="F223" t="str">
        <f t="shared" si="23"/>
        <v>2X Week P HBS Pre-Existing</v>
      </c>
      <c r="G223" t="str">
        <f t="shared" si="24"/>
        <v>Specialty</v>
      </c>
      <c r="H223" t="s">
        <v>471</v>
      </c>
      <c r="I223" t="str">
        <f t="shared" si="25"/>
        <v>RETURN - 2nd don of the week -BONUS</v>
      </c>
      <c r="J223" t="s">
        <v>546</v>
      </c>
      <c r="K223" s="5">
        <v>30</v>
      </c>
      <c r="L223" t="str">
        <f>Table_DataFromNL[[#This Row],[PROFILECODE]]&amp;"-"&amp;Table_DataFromNL[[#This Row],[RULENAME]]</f>
        <v>CP946-2X Week P HBS Pre-Existing</v>
      </c>
      <c r="M223" t="str">
        <f t="shared" si="26"/>
        <v>CP946-2X Week P HBS Pre-Existing</v>
      </c>
    </row>
    <row r="224" spans="1:13" x14ac:dyDescent="0.25">
      <c r="A224" t="str">
        <f t="shared" si="27"/>
        <v>CP946-RETURN - 2nd don of the week -BONUS</v>
      </c>
      <c r="B224" t="s">
        <v>217</v>
      </c>
      <c r="C224" t="str">
        <f t="shared" si="21"/>
        <v>Bedford</v>
      </c>
      <c r="D224" t="str">
        <f t="shared" si="22"/>
        <v>Y</v>
      </c>
      <c r="E224" t="s">
        <v>601</v>
      </c>
      <c r="F224" t="str">
        <f t="shared" si="23"/>
        <v>RETURN - 2nd don of the week -BONUS</v>
      </c>
      <c r="G224" t="str">
        <f t="shared" si="24"/>
        <v>Marketing</v>
      </c>
      <c r="H224" t="s">
        <v>550</v>
      </c>
      <c r="I224">
        <f t="shared" si="25"/>
        <v>26</v>
      </c>
      <c r="J224" t="s">
        <v>546</v>
      </c>
      <c r="K224" s="5">
        <v>20</v>
      </c>
      <c r="L224" t="str">
        <f>Table_DataFromNL[[#This Row],[PROFILECODE]]&amp;"-"&amp;Table_DataFromNL[[#This Row],[RULENAME]]</f>
        <v>CP946-2X Week P NSP NS</v>
      </c>
      <c r="M224" t="str">
        <f t="shared" si="26"/>
        <v>CP946-RETURN - 2nd don of the week -BONUS</v>
      </c>
    </row>
    <row r="225" spans="1:13" x14ac:dyDescent="0.25">
      <c r="A225" t="str">
        <f t="shared" si="27"/>
        <v>CP946-RETURN - 2nd don of the week -BONUS</v>
      </c>
      <c r="B225" t="s">
        <v>217</v>
      </c>
      <c r="C225" t="str">
        <f t="shared" si="21"/>
        <v>Bedford</v>
      </c>
      <c r="D225" t="str">
        <f t="shared" si="22"/>
        <v>Y</v>
      </c>
      <c r="E225" t="s">
        <v>601</v>
      </c>
      <c r="F225" t="str">
        <f t="shared" si="23"/>
        <v>RETURN - 2nd don of the week -BONUS</v>
      </c>
      <c r="G225" t="str">
        <f t="shared" si="24"/>
        <v>Marketing</v>
      </c>
      <c r="H225" t="s">
        <v>551</v>
      </c>
      <c r="I225" t="str">
        <f t="shared" si="25"/>
        <v>RETURN - 2nd don of the week -BONUS</v>
      </c>
      <c r="J225" t="s">
        <v>546</v>
      </c>
      <c r="K225" s="5">
        <v>20</v>
      </c>
      <c r="L225" t="str">
        <f>Table_DataFromNL[[#This Row],[PROFILECODE]]&amp;"-"&amp;Table_DataFromNL[[#This Row],[RULENAME]]</f>
        <v>CP946-2X Week P NSP NS AP</v>
      </c>
      <c r="M225" t="str">
        <f t="shared" si="26"/>
        <v>CP946-RETURN - 2nd don of the week -BONUS</v>
      </c>
    </row>
    <row r="226" spans="1:13" x14ac:dyDescent="0.25">
      <c r="A226" t="str">
        <f t="shared" si="27"/>
        <v>CP946-2X Week P VZV</v>
      </c>
      <c r="B226" t="s">
        <v>217</v>
      </c>
      <c r="C226" t="str">
        <f t="shared" si="21"/>
        <v>Bedford</v>
      </c>
      <c r="D226" t="str">
        <f t="shared" si="22"/>
        <v>Y</v>
      </c>
      <c r="E226" t="s">
        <v>601</v>
      </c>
      <c r="F226" t="str">
        <f t="shared" si="23"/>
        <v>2X Week P VZV</v>
      </c>
      <c r="G226" t="str">
        <f t="shared" si="24"/>
        <v>Specialty</v>
      </c>
      <c r="H226" t="s">
        <v>488</v>
      </c>
      <c r="I226" t="str">
        <f t="shared" si="25"/>
        <v>RETURN - 2nd don of the week -BONUS</v>
      </c>
      <c r="J226" t="s">
        <v>546</v>
      </c>
      <c r="K226" s="5">
        <v>20</v>
      </c>
      <c r="L226" t="str">
        <f>Table_DataFromNL[[#This Row],[PROFILECODE]]&amp;"-"&amp;Table_DataFromNL[[#This Row],[RULENAME]]</f>
        <v>CP946-2X Week P VZV</v>
      </c>
      <c r="M226" t="str">
        <f t="shared" si="26"/>
        <v>CP946-2X Week P VZV</v>
      </c>
    </row>
    <row r="227" spans="1:13" x14ac:dyDescent="0.25">
      <c r="A227" t="str">
        <f t="shared" si="27"/>
        <v>CP946-2X Week P VZV AP</v>
      </c>
      <c r="B227" t="s">
        <v>217</v>
      </c>
      <c r="C227" t="str">
        <f t="shared" si="21"/>
        <v>Bedford</v>
      </c>
      <c r="D227" t="str">
        <f t="shared" si="22"/>
        <v>Y</v>
      </c>
      <c r="E227" t="s">
        <v>601</v>
      </c>
      <c r="F227" t="str">
        <f t="shared" si="23"/>
        <v>2X Week P VZV AP</v>
      </c>
      <c r="G227" t="str">
        <f t="shared" si="24"/>
        <v>Specialty</v>
      </c>
      <c r="H227" t="s">
        <v>489</v>
      </c>
      <c r="I227" t="str">
        <f t="shared" si="25"/>
        <v>RETURN - 2nd don of the week -BONUS</v>
      </c>
      <c r="J227" t="s">
        <v>546</v>
      </c>
      <c r="K227" s="5">
        <v>20</v>
      </c>
      <c r="L227" t="str">
        <f>Table_DataFromNL[[#This Row],[PROFILECODE]]&amp;"-"&amp;Table_DataFromNL[[#This Row],[RULENAME]]</f>
        <v>CP946-2X Week P VZV AP</v>
      </c>
      <c r="M227" t="str">
        <f t="shared" si="26"/>
        <v>CP946-2X Week P VZV AP</v>
      </c>
    </row>
    <row r="228" spans="1:13" x14ac:dyDescent="0.25">
      <c r="A228" t="str">
        <f t="shared" si="27"/>
        <v>CP946-2X Week P VZV Pre-Existing</v>
      </c>
      <c r="B228" t="s">
        <v>217</v>
      </c>
      <c r="C228" t="str">
        <f t="shared" si="21"/>
        <v>Bedford</v>
      </c>
      <c r="D228" t="str">
        <f t="shared" si="22"/>
        <v>Y</v>
      </c>
      <c r="E228" t="s">
        <v>601</v>
      </c>
      <c r="F228" t="str">
        <f t="shared" si="23"/>
        <v>2X Week P VZV Pre-Existing</v>
      </c>
      <c r="G228" t="str">
        <f t="shared" si="24"/>
        <v>Specialty</v>
      </c>
      <c r="H228" t="s">
        <v>490</v>
      </c>
      <c r="I228" t="str">
        <f t="shared" si="25"/>
        <v>RETURN - 2nd don of the week -BONUS</v>
      </c>
      <c r="J228" t="s">
        <v>546</v>
      </c>
      <c r="K228" s="5">
        <v>20</v>
      </c>
      <c r="L228" t="str">
        <f>Table_DataFromNL[[#This Row],[PROFILECODE]]&amp;"-"&amp;Table_DataFromNL[[#This Row],[RULENAME]]</f>
        <v>CP946-2X Week P VZV Pre-Existing</v>
      </c>
      <c r="M228" t="str">
        <f t="shared" si="26"/>
        <v>CP946-2X Week P VZV Pre-Existing</v>
      </c>
    </row>
    <row r="229" spans="1:13" x14ac:dyDescent="0.25">
      <c r="A229" t="str">
        <f t="shared" si="27"/>
        <v>CP946-2X Week P VZV Pre-Existing AP</v>
      </c>
      <c r="B229" t="s">
        <v>217</v>
      </c>
      <c r="C229" t="str">
        <f t="shared" si="21"/>
        <v>Bedford</v>
      </c>
      <c r="D229" t="str">
        <f t="shared" si="22"/>
        <v>Y</v>
      </c>
      <c r="E229" t="s">
        <v>601</v>
      </c>
      <c r="F229" t="str">
        <f t="shared" si="23"/>
        <v>2X Week P VZV Pre-Existing AP</v>
      </c>
      <c r="G229" t="str">
        <f t="shared" si="24"/>
        <v>Specialty</v>
      </c>
      <c r="H229" t="s">
        <v>491</v>
      </c>
      <c r="I229" t="str">
        <f t="shared" si="25"/>
        <v>RETURN - 2nd don of the week -BONUS</v>
      </c>
      <c r="J229" t="s">
        <v>546</v>
      </c>
      <c r="K229" s="5">
        <v>20</v>
      </c>
      <c r="L229" t="str">
        <f>Table_DataFromNL[[#This Row],[PROFILECODE]]&amp;"-"&amp;Table_DataFromNL[[#This Row],[RULENAME]]</f>
        <v>CP946-2X Week P VZV Pre-Existing AP</v>
      </c>
      <c r="M229" t="str">
        <f t="shared" si="26"/>
        <v>CP946-2X Week P VZV Pre-Existing AP</v>
      </c>
    </row>
    <row r="230" spans="1:13" x14ac:dyDescent="0.25">
      <c r="A230" t="str">
        <f t="shared" si="27"/>
        <v>CP946-RETURN - 6th don of the month -BONUS</v>
      </c>
      <c r="B230" t="s">
        <v>217</v>
      </c>
      <c r="C230" t="str">
        <f t="shared" si="21"/>
        <v>Bedford</v>
      </c>
      <c r="D230" t="str">
        <f t="shared" si="22"/>
        <v>Y</v>
      </c>
      <c r="E230" t="s">
        <v>601</v>
      </c>
      <c r="F230" t="str">
        <f t="shared" si="23"/>
        <v>RETURN - 6th don of the month -BONUS</v>
      </c>
      <c r="G230" t="str">
        <f t="shared" si="24"/>
        <v>Marketing</v>
      </c>
      <c r="H230" t="s">
        <v>552</v>
      </c>
      <c r="I230">
        <f t="shared" si="25"/>
        <v>28</v>
      </c>
      <c r="J230" t="s">
        <v>546</v>
      </c>
      <c r="K230" s="5">
        <v>30</v>
      </c>
      <c r="L230" t="str">
        <f>Table_DataFromNL[[#This Row],[PROFILECODE]]&amp;"-"&amp;Table_DataFromNL[[#This Row],[RULENAME]]</f>
        <v>CP946-6X Month</v>
      </c>
      <c r="M230" t="str">
        <f t="shared" si="26"/>
        <v>CP946-RETURN - 6th don of the month -BONUS</v>
      </c>
    </row>
    <row r="231" spans="1:13" x14ac:dyDescent="0.25">
      <c r="A231" t="str">
        <f t="shared" si="27"/>
        <v>CP946-College ID Standard Bonus</v>
      </c>
      <c r="B231" t="s">
        <v>217</v>
      </c>
      <c r="C231" t="str">
        <f t="shared" si="21"/>
        <v>Bedford</v>
      </c>
      <c r="D231" t="str">
        <f t="shared" si="22"/>
        <v>Y</v>
      </c>
      <c r="E231" t="s">
        <v>601</v>
      </c>
      <c r="F231" t="str">
        <f t="shared" si="23"/>
        <v>College ID Standard Bonus</v>
      </c>
      <c r="G231">
        <f t="shared" si="24"/>
        <v>0</v>
      </c>
      <c r="H231" t="s">
        <v>553</v>
      </c>
      <c r="I231">
        <f t="shared" si="25"/>
        <v>0</v>
      </c>
      <c r="J231" t="s">
        <v>546</v>
      </c>
      <c r="K231" s="5">
        <v>5</v>
      </c>
      <c r="L231" t="str">
        <f>Table_DataFromNL[[#This Row],[PROFILECODE]]&amp;"-"&amp;Table_DataFromNL[[#This Row],[RULENAME]]</f>
        <v>CP946-College ID Standard Bonus</v>
      </c>
      <c r="M231" t="e">
        <f t="shared" si="26"/>
        <v>#N/A</v>
      </c>
    </row>
    <row r="232" spans="1:13" x14ac:dyDescent="0.25">
      <c r="A232" t="str">
        <f t="shared" si="27"/>
        <v>CP946-Military ID</v>
      </c>
      <c r="B232" t="s">
        <v>217</v>
      </c>
      <c r="C232" t="str">
        <f t="shared" si="21"/>
        <v>Bedford</v>
      </c>
      <c r="D232" t="str">
        <f t="shared" si="22"/>
        <v>Y</v>
      </c>
      <c r="E232" t="s">
        <v>601</v>
      </c>
      <c r="F232" t="str">
        <f t="shared" si="23"/>
        <v>Military ID</v>
      </c>
      <c r="G232">
        <f t="shared" si="24"/>
        <v>0</v>
      </c>
      <c r="H232" t="s">
        <v>554</v>
      </c>
      <c r="I232">
        <f t="shared" si="25"/>
        <v>0</v>
      </c>
      <c r="J232" t="s">
        <v>546</v>
      </c>
      <c r="K232" s="5">
        <v>5</v>
      </c>
      <c r="L232" t="str">
        <f>Table_DataFromNL[[#This Row],[PROFILECODE]]&amp;"-"&amp;Table_DataFromNL[[#This Row],[RULENAME]]</f>
        <v>CP946-Military ID</v>
      </c>
      <c r="M232" t="e">
        <f t="shared" si="26"/>
        <v>#N/A</v>
      </c>
    </row>
    <row r="233" spans="1:13" x14ac:dyDescent="0.25">
      <c r="A233" t="str">
        <f t="shared" si="27"/>
        <v>CP946-NEW DONOR -1st</v>
      </c>
      <c r="B233" t="s">
        <v>217</v>
      </c>
      <c r="C233" t="str">
        <f t="shared" si="21"/>
        <v>Bedford</v>
      </c>
      <c r="D233" t="str">
        <f t="shared" si="22"/>
        <v>Y</v>
      </c>
      <c r="E233" t="s">
        <v>601</v>
      </c>
      <c r="F233" t="str">
        <f t="shared" si="23"/>
        <v>NEW DONOR -1st</v>
      </c>
      <c r="G233" t="str">
        <f t="shared" si="24"/>
        <v>Marketing</v>
      </c>
      <c r="H233" t="s">
        <v>555</v>
      </c>
      <c r="I233">
        <f t="shared" si="25"/>
        <v>1</v>
      </c>
      <c r="J233" t="s">
        <v>546</v>
      </c>
      <c r="K233" s="5">
        <v>100</v>
      </c>
      <c r="L233" t="str">
        <f>Table_DataFromNL[[#This Row],[PROFILECODE]]&amp;"-"&amp;Table_DataFromNL[[#This Row],[RULENAME]]</f>
        <v>CP946-New Donor 1st Visit-Bonus</v>
      </c>
      <c r="M233" t="str">
        <f t="shared" si="26"/>
        <v>CP946-NEW DONOR -1st</v>
      </c>
    </row>
    <row r="234" spans="1:13" x14ac:dyDescent="0.25">
      <c r="A234" t="str">
        <f t="shared" si="27"/>
        <v>CP946-NEW DONOR -2nd</v>
      </c>
      <c r="B234" t="s">
        <v>217</v>
      </c>
      <c r="C234" t="str">
        <f t="shared" si="21"/>
        <v>Bedford</v>
      </c>
      <c r="D234" t="str">
        <f t="shared" si="22"/>
        <v>Y</v>
      </c>
      <c r="E234" t="s">
        <v>601</v>
      </c>
      <c r="F234" t="str">
        <f t="shared" si="23"/>
        <v>NEW DONOR -2nd</v>
      </c>
      <c r="G234" t="str">
        <f t="shared" si="24"/>
        <v>Marketing</v>
      </c>
      <c r="H234" t="s">
        <v>556</v>
      </c>
      <c r="I234">
        <f t="shared" si="25"/>
        <v>2</v>
      </c>
      <c r="J234" t="s">
        <v>546</v>
      </c>
      <c r="K234" s="5">
        <v>100</v>
      </c>
      <c r="L234" t="str">
        <f>Table_DataFromNL[[#This Row],[PROFILECODE]]&amp;"-"&amp;Table_DataFromNL[[#This Row],[RULENAME]]</f>
        <v>CP946-New Donor 2nd Visit-Bonus</v>
      </c>
      <c r="M234" t="str">
        <f t="shared" si="26"/>
        <v>CP946-NEW DONOR -2nd</v>
      </c>
    </row>
    <row r="235" spans="1:13" x14ac:dyDescent="0.25">
      <c r="A235" t="str">
        <f t="shared" si="27"/>
        <v>CP946-NEW DONOR -3rd</v>
      </c>
      <c r="B235" t="s">
        <v>217</v>
      </c>
      <c r="C235" t="str">
        <f t="shared" si="21"/>
        <v>Bedford</v>
      </c>
      <c r="D235" t="str">
        <f t="shared" si="22"/>
        <v>Y</v>
      </c>
      <c r="E235" t="s">
        <v>601</v>
      </c>
      <c r="F235" t="str">
        <f t="shared" si="23"/>
        <v>NEW DONOR -3rd</v>
      </c>
      <c r="G235" t="str">
        <f t="shared" si="24"/>
        <v>Marketing</v>
      </c>
      <c r="H235" t="s">
        <v>557</v>
      </c>
      <c r="I235">
        <f t="shared" si="25"/>
        <v>3</v>
      </c>
      <c r="J235" t="s">
        <v>546</v>
      </c>
      <c r="K235" s="5">
        <v>100</v>
      </c>
      <c r="L235" t="str">
        <f>Table_DataFromNL[[#This Row],[PROFILECODE]]&amp;"-"&amp;Table_DataFromNL[[#This Row],[RULENAME]]</f>
        <v>CP946-New Donor 3rd Visit-Bonus</v>
      </c>
      <c r="M235" t="str">
        <f t="shared" si="26"/>
        <v>CP946-NEW DONOR -3rd</v>
      </c>
    </row>
    <row r="236" spans="1:13" x14ac:dyDescent="0.25">
      <c r="A236" t="str">
        <f t="shared" si="27"/>
        <v>CP946-NEW DONOR -4th</v>
      </c>
      <c r="B236" t="s">
        <v>217</v>
      </c>
      <c r="C236" t="str">
        <f t="shared" si="21"/>
        <v>Bedford</v>
      </c>
      <c r="D236" t="str">
        <f t="shared" si="22"/>
        <v>Y</v>
      </c>
      <c r="E236" t="s">
        <v>601</v>
      </c>
      <c r="F236" t="str">
        <f t="shared" si="23"/>
        <v>NEW DONOR -4th</v>
      </c>
      <c r="G236" t="str">
        <f t="shared" si="24"/>
        <v>Marketing</v>
      </c>
      <c r="H236" t="s">
        <v>558</v>
      </c>
      <c r="I236">
        <f t="shared" si="25"/>
        <v>4</v>
      </c>
      <c r="J236" t="s">
        <v>546</v>
      </c>
      <c r="K236" s="5">
        <v>100</v>
      </c>
      <c r="L236" t="str">
        <f>Table_DataFromNL[[#This Row],[PROFILECODE]]&amp;"-"&amp;Table_DataFromNL[[#This Row],[RULENAME]]</f>
        <v>CP946-New Donor 4th Visit-Bonus</v>
      </c>
      <c r="M236" t="str">
        <f t="shared" si="26"/>
        <v>CP946-NEW DONOR -4th</v>
      </c>
    </row>
    <row r="237" spans="1:13" x14ac:dyDescent="0.25">
      <c r="A237" t="str">
        <f t="shared" si="27"/>
        <v>CP946-NEW DONOR -5th</v>
      </c>
      <c r="B237" t="s">
        <v>217</v>
      </c>
      <c r="C237" t="str">
        <f t="shared" si="21"/>
        <v>Bedford</v>
      </c>
      <c r="D237" t="str">
        <f t="shared" si="22"/>
        <v>Y</v>
      </c>
      <c r="E237" t="s">
        <v>601</v>
      </c>
      <c r="F237" t="str">
        <f t="shared" si="23"/>
        <v>NEW DONOR -5th</v>
      </c>
      <c r="G237" t="str">
        <f t="shared" si="24"/>
        <v>Marketing</v>
      </c>
      <c r="H237" t="s">
        <v>559</v>
      </c>
      <c r="I237">
        <f t="shared" si="25"/>
        <v>5</v>
      </c>
      <c r="J237" t="s">
        <v>546</v>
      </c>
      <c r="K237" s="5">
        <v>100</v>
      </c>
      <c r="L237" t="str">
        <f>Table_DataFromNL[[#This Row],[PROFILECODE]]&amp;"-"&amp;Table_DataFromNL[[#This Row],[RULENAME]]</f>
        <v>CP946-New Donor 5th Visit-Bonus</v>
      </c>
      <c r="M237" t="str">
        <f t="shared" si="26"/>
        <v>CP946-NEW DONOR -5th</v>
      </c>
    </row>
    <row r="238" spans="1:13" x14ac:dyDescent="0.25">
      <c r="A238" t="str">
        <f t="shared" si="27"/>
        <v>CP946-NEW DONOR -6th</v>
      </c>
      <c r="B238" t="s">
        <v>217</v>
      </c>
      <c r="C238" t="str">
        <f t="shared" si="21"/>
        <v>Bedford</v>
      </c>
      <c r="D238" t="str">
        <f t="shared" si="22"/>
        <v>Y</v>
      </c>
      <c r="E238" t="s">
        <v>601</v>
      </c>
      <c r="F238" t="str">
        <f t="shared" si="23"/>
        <v>NEW DONOR -6th</v>
      </c>
      <c r="G238" t="str">
        <f t="shared" si="24"/>
        <v>Marketing</v>
      </c>
      <c r="H238" t="s">
        <v>560</v>
      </c>
      <c r="I238">
        <f t="shared" si="25"/>
        <v>6</v>
      </c>
      <c r="J238" t="s">
        <v>546</v>
      </c>
      <c r="K238" s="5">
        <v>100</v>
      </c>
      <c r="L238" t="str">
        <f>Table_DataFromNL[[#This Row],[PROFILECODE]]&amp;"-"&amp;Table_DataFromNL[[#This Row],[RULENAME]]</f>
        <v>CP946-New Donor 6th Visit-Bonus</v>
      </c>
      <c r="M238" t="str">
        <f t="shared" si="26"/>
        <v>CP946-NEW DONOR -6th</v>
      </c>
    </row>
    <row r="239" spans="1:13" x14ac:dyDescent="0.25">
      <c r="A239" t="str">
        <f t="shared" si="27"/>
        <v>CP946-NEW DONOR -7th</v>
      </c>
      <c r="B239" t="s">
        <v>217</v>
      </c>
      <c r="C239" t="str">
        <f t="shared" si="21"/>
        <v>Bedford</v>
      </c>
      <c r="D239" t="str">
        <f t="shared" si="22"/>
        <v>Y</v>
      </c>
      <c r="E239" t="s">
        <v>601</v>
      </c>
      <c r="F239" t="str">
        <f t="shared" si="23"/>
        <v>NEW DONOR -7th</v>
      </c>
      <c r="G239" t="str">
        <f t="shared" si="24"/>
        <v>Marketing</v>
      </c>
      <c r="H239" t="s">
        <v>561</v>
      </c>
      <c r="I239">
        <f t="shared" si="25"/>
        <v>7</v>
      </c>
      <c r="J239" t="s">
        <v>546</v>
      </c>
      <c r="K239" s="5">
        <v>50</v>
      </c>
      <c r="L239" t="str">
        <f>Table_DataFromNL[[#This Row],[PROFILECODE]]&amp;"-"&amp;Table_DataFromNL[[#This Row],[RULENAME]]</f>
        <v>CP946-New Donor 7th Visit-Bonus</v>
      </c>
      <c r="M239" t="str">
        <f t="shared" si="26"/>
        <v>CP946-NEW DONOR -7th</v>
      </c>
    </row>
    <row r="240" spans="1:13" x14ac:dyDescent="0.25">
      <c r="A240" t="str">
        <f t="shared" si="27"/>
        <v>CP946-NEW DONOR -8th</v>
      </c>
      <c r="B240" t="s">
        <v>217</v>
      </c>
      <c r="C240" t="str">
        <f t="shared" si="21"/>
        <v>Bedford</v>
      </c>
      <c r="D240" t="str">
        <f t="shared" si="22"/>
        <v>Y</v>
      </c>
      <c r="E240" t="s">
        <v>601</v>
      </c>
      <c r="F240" t="str">
        <f t="shared" si="23"/>
        <v>NEW DONOR -8th</v>
      </c>
      <c r="G240" t="str">
        <f t="shared" si="24"/>
        <v>Marketing</v>
      </c>
      <c r="H240" t="s">
        <v>562</v>
      </c>
      <c r="I240">
        <f t="shared" si="25"/>
        <v>8</v>
      </c>
      <c r="J240" t="s">
        <v>546</v>
      </c>
      <c r="K240" s="5">
        <v>50</v>
      </c>
      <c r="L240" t="str">
        <f>Table_DataFromNL[[#This Row],[PROFILECODE]]&amp;"-"&amp;Table_DataFromNL[[#This Row],[RULENAME]]</f>
        <v>CP946-New Donor 8th Visit-Bonus</v>
      </c>
      <c r="M240" t="str">
        <f t="shared" si="26"/>
        <v>CP946-NEW DONOR -8th</v>
      </c>
    </row>
    <row r="241" spans="1:13" x14ac:dyDescent="0.25">
      <c r="A241" t="str">
        <f t="shared" si="27"/>
        <v>CP946-Community</v>
      </c>
      <c r="B241" t="s">
        <v>217</v>
      </c>
      <c r="C241" t="str">
        <f t="shared" si="21"/>
        <v>Bedford</v>
      </c>
      <c r="D241" t="str">
        <f t="shared" si="22"/>
        <v>Y</v>
      </c>
      <c r="E241" t="s">
        <v>601</v>
      </c>
      <c r="F241" t="str">
        <f t="shared" si="23"/>
        <v>Community</v>
      </c>
      <c r="G241">
        <f t="shared" si="24"/>
        <v>0</v>
      </c>
      <c r="H241" t="s">
        <v>563</v>
      </c>
      <c r="I241">
        <f t="shared" si="25"/>
        <v>0</v>
      </c>
      <c r="J241" t="s">
        <v>564</v>
      </c>
      <c r="K241" s="5">
        <v>5</v>
      </c>
      <c r="L241" t="str">
        <f>Table_DataFromNL[[#This Row],[PROFILECODE]]&amp;"-"&amp;Table_DataFromNL[[#This Row],[RULENAME]]</f>
        <v>CP946-Community</v>
      </c>
      <c r="M241" t="e">
        <f t="shared" si="26"/>
        <v>#N/A</v>
      </c>
    </row>
    <row r="242" spans="1:13" x14ac:dyDescent="0.25">
      <c r="A242" t="str">
        <f t="shared" si="27"/>
        <v>CP946-HANGER_RECRUIT_5USD_once</v>
      </c>
      <c r="B242" t="s">
        <v>217</v>
      </c>
      <c r="C242" t="str">
        <f t="shared" si="21"/>
        <v>Bedford</v>
      </c>
      <c r="D242" t="str">
        <f t="shared" si="22"/>
        <v>Y</v>
      </c>
      <c r="E242" t="s">
        <v>601</v>
      </c>
      <c r="F242" t="str">
        <f t="shared" si="23"/>
        <v>HANGER_RECRUIT_5USD_once</v>
      </c>
      <c r="G242">
        <f t="shared" si="24"/>
        <v>0</v>
      </c>
      <c r="H242" t="s">
        <v>565</v>
      </c>
      <c r="I242">
        <f t="shared" si="25"/>
        <v>0</v>
      </c>
      <c r="J242" t="s">
        <v>564</v>
      </c>
      <c r="K242" s="5">
        <v>5</v>
      </c>
      <c r="L242" t="str">
        <f>Table_DataFromNL[[#This Row],[PROFILECODE]]&amp;"-"&amp;Table_DataFromNL[[#This Row],[RULENAME]]</f>
        <v>CP946-HANGER_RECRUIT_5USD_once</v>
      </c>
      <c r="M242" t="e">
        <f t="shared" si="26"/>
        <v>#N/A</v>
      </c>
    </row>
    <row r="243" spans="1:13" x14ac:dyDescent="0.25">
      <c r="A243" t="str">
        <f t="shared" si="27"/>
        <v>CP946-Immunization Boost Payment</v>
      </c>
      <c r="B243" t="s">
        <v>217</v>
      </c>
      <c r="C243" t="str">
        <f t="shared" si="21"/>
        <v>Bedford</v>
      </c>
      <c r="D243" t="str">
        <f t="shared" si="22"/>
        <v>Y</v>
      </c>
      <c r="E243" t="s">
        <v>601</v>
      </c>
      <c r="F243" t="str">
        <f t="shared" si="23"/>
        <v>Immunization Boost Payment</v>
      </c>
      <c r="G243">
        <f t="shared" si="24"/>
        <v>0</v>
      </c>
      <c r="H243" t="s">
        <v>598</v>
      </c>
      <c r="I243">
        <f t="shared" si="25"/>
        <v>0</v>
      </c>
      <c r="J243" t="s">
        <v>564</v>
      </c>
      <c r="K243" s="5">
        <v>50</v>
      </c>
      <c r="L243" t="str">
        <f>Table_DataFromNL[[#This Row],[PROFILECODE]]&amp;"-"&amp;Table_DataFromNL[[#This Row],[RULENAME]]</f>
        <v>CP946-Immunization Boost Payment</v>
      </c>
      <c r="M243" t="e">
        <f t="shared" si="26"/>
        <v>#N/A</v>
      </c>
    </row>
    <row r="244" spans="1:13" x14ac:dyDescent="0.25">
      <c r="A244" t="str">
        <f t="shared" si="27"/>
        <v>CP946-Immunization Series Payment</v>
      </c>
      <c r="B244" t="s">
        <v>217</v>
      </c>
      <c r="C244" t="str">
        <f t="shared" si="21"/>
        <v>Bedford</v>
      </c>
      <c r="D244" t="str">
        <f t="shared" si="22"/>
        <v>Y</v>
      </c>
      <c r="E244" t="s">
        <v>601</v>
      </c>
      <c r="F244" t="str">
        <f t="shared" si="23"/>
        <v>Immunization Series Payment</v>
      </c>
      <c r="G244">
        <f t="shared" si="24"/>
        <v>0</v>
      </c>
      <c r="H244" t="s">
        <v>599</v>
      </c>
      <c r="I244">
        <f t="shared" si="25"/>
        <v>0</v>
      </c>
      <c r="J244" t="s">
        <v>564</v>
      </c>
      <c r="K244" s="5">
        <v>100</v>
      </c>
      <c r="L244" t="str">
        <f>Table_DataFromNL[[#This Row],[PROFILECODE]]&amp;"-"&amp;Table_DataFromNL[[#This Row],[RULENAME]]</f>
        <v>CP946-Immunization Series Payment</v>
      </c>
      <c r="M244" t="e">
        <f t="shared" si="26"/>
        <v>#N/A</v>
      </c>
    </row>
    <row r="245" spans="1:13" x14ac:dyDescent="0.25">
      <c r="A245" t="str">
        <f t="shared" si="27"/>
        <v>CP946-Inconv Fee $20-$50-Comment Req'd</v>
      </c>
      <c r="B245" t="s">
        <v>217</v>
      </c>
      <c r="C245" t="str">
        <f t="shared" si="21"/>
        <v>Bedford</v>
      </c>
      <c r="D245" t="str">
        <f t="shared" si="22"/>
        <v>Y</v>
      </c>
      <c r="E245" t="s">
        <v>601</v>
      </c>
      <c r="F245" t="str">
        <f t="shared" si="23"/>
        <v>Inconv Fee $20-$50-Comment Req'd</v>
      </c>
      <c r="G245">
        <f t="shared" si="24"/>
        <v>0</v>
      </c>
      <c r="H245" t="s">
        <v>566</v>
      </c>
      <c r="I245">
        <f t="shared" si="25"/>
        <v>0</v>
      </c>
      <c r="J245" t="s">
        <v>564</v>
      </c>
      <c r="K245" s="5">
        <v>50</v>
      </c>
      <c r="L245" t="str">
        <f>Table_DataFromNL[[#This Row],[PROFILECODE]]&amp;"-"&amp;Table_DataFromNL[[#This Row],[RULENAME]]</f>
        <v>CP946-Inconv Fee $20-$50-Comment Req'd</v>
      </c>
      <c r="M245" t="e">
        <f t="shared" si="26"/>
        <v>#N/A</v>
      </c>
    </row>
    <row r="246" spans="1:13" x14ac:dyDescent="0.25">
      <c r="A246" t="str">
        <f t="shared" si="27"/>
        <v>CP946-Inconv Fee $5-$20-Comment Req'd</v>
      </c>
      <c r="B246" t="s">
        <v>217</v>
      </c>
      <c r="C246" t="str">
        <f t="shared" si="21"/>
        <v>Bedford</v>
      </c>
      <c r="D246" t="str">
        <f t="shared" si="22"/>
        <v>Y</v>
      </c>
      <c r="E246" t="s">
        <v>601</v>
      </c>
      <c r="F246" t="str">
        <f t="shared" si="23"/>
        <v>Inconv Fee $5-$20-Comment Req'd</v>
      </c>
      <c r="G246">
        <f t="shared" si="24"/>
        <v>0</v>
      </c>
      <c r="H246" t="s">
        <v>567</v>
      </c>
      <c r="I246">
        <f t="shared" si="25"/>
        <v>0</v>
      </c>
      <c r="J246" t="s">
        <v>564</v>
      </c>
      <c r="K246" s="5">
        <v>20</v>
      </c>
      <c r="L246" t="str">
        <f>Table_DataFromNL[[#This Row],[PROFILECODE]]&amp;"-"&amp;Table_DataFromNL[[#This Row],[RULENAME]]</f>
        <v>CP946-Inconv Fee $5-$20-Comment Req'd</v>
      </c>
      <c r="M246" t="e">
        <f t="shared" si="26"/>
        <v>#N/A</v>
      </c>
    </row>
    <row r="247" spans="1:13" x14ac:dyDescent="0.25">
      <c r="A247" t="str">
        <f t="shared" si="27"/>
        <v>CP946-Inconv Fee$50-$100-Comment Req'd</v>
      </c>
      <c r="B247" t="s">
        <v>217</v>
      </c>
      <c r="C247" t="str">
        <f t="shared" si="21"/>
        <v>Bedford</v>
      </c>
      <c r="D247" t="str">
        <f t="shared" si="22"/>
        <v>Y</v>
      </c>
      <c r="E247" t="s">
        <v>601</v>
      </c>
      <c r="F247" t="str">
        <f t="shared" si="23"/>
        <v>Inconv Fee$50-$100-Comment Req'd</v>
      </c>
      <c r="G247">
        <f t="shared" si="24"/>
        <v>0</v>
      </c>
      <c r="H247" t="s">
        <v>568</v>
      </c>
      <c r="I247">
        <f t="shared" si="25"/>
        <v>0</v>
      </c>
      <c r="J247" t="s">
        <v>564</v>
      </c>
      <c r="K247" s="5">
        <v>100</v>
      </c>
      <c r="L247" t="str">
        <f>Table_DataFromNL[[#This Row],[PROFILECODE]]&amp;"-"&amp;Table_DataFromNL[[#This Row],[RULENAME]]</f>
        <v>CP946-Inconv Fee$50-$100-Comment Req'd</v>
      </c>
      <c r="M247" t="e">
        <f t="shared" si="26"/>
        <v>#N/A</v>
      </c>
    </row>
    <row r="248" spans="1:13" x14ac:dyDescent="0.25">
      <c r="A248" t="str">
        <f t="shared" si="27"/>
        <v>CP946-NSP_ LAPSEDONOR_50_Twice</v>
      </c>
      <c r="B248" t="s">
        <v>217</v>
      </c>
      <c r="C248" t="str">
        <f t="shared" si="21"/>
        <v>Bedford</v>
      </c>
      <c r="D248" t="str">
        <f t="shared" si="22"/>
        <v>Y</v>
      </c>
      <c r="E248" t="s">
        <v>601</v>
      </c>
      <c r="F248" t="str">
        <f t="shared" si="23"/>
        <v>NSP_ LAPSEDONOR_50_Twice</v>
      </c>
      <c r="G248">
        <f t="shared" si="24"/>
        <v>0</v>
      </c>
      <c r="H248" t="s">
        <v>569</v>
      </c>
      <c r="I248">
        <f t="shared" si="25"/>
        <v>0</v>
      </c>
      <c r="J248" t="s">
        <v>564</v>
      </c>
      <c r="K248" s="5">
        <v>50</v>
      </c>
      <c r="L248" t="str">
        <f>Table_DataFromNL[[#This Row],[PROFILECODE]]&amp;"-"&amp;Table_DataFromNL[[#This Row],[RULENAME]]</f>
        <v>CP946-NSP_ LAPSEDONOR_50_Twice</v>
      </c>
      <c r="M248" t="e">
        <f t="shared" si="26"/>
        <v>#N/A</v>
      </c>
    </row>
    <row r="249" spans="1:13" x14ac:dyDescent="0.25">
      <c r="A249" t="str">
        <f t="shared" si="27"/>
        <v>CP946-NSP_LD_25_2X</v>
      </c>
      <c r="B249" t="s">
        <v>217</v>
      </c>
      <c r="C249" t="str">
        <f t="shared" si="21"/>
        <v>Bedford</v>
      </c>
      <c r="D249" t="str">
        <f t="shared" si="22"/>
        <v>Y</v>
      </c>
      <c r="E249" t="s">
        <v>601</v>
      </c>
      <c r="F249" t="str">
        <f t="shared" si="23"/>
        <v>NSP_LD_25_2X</v>
      </c>
      <c r="G249">
        <f t="shared" si="24"/>
        <v>0</v>
      </c>
      <c r="H249" t="s">
        <v>570</v>
      </c>
      <c r="I249">
        <f t="shared" si="25"/>
        <v>0</v>
      </c>
      <c r="J249" t="s">
        <v>564</v>
      </c>
      <c r="K249" s="5">
        <v>25</v>
      </c>
      <c r="L249" t="str">
        <f>Table_DataFromNL[[#This Row],[PROFILECODE]]&amp;"-"&amp;Table_DataFromNL[[#This Row],[RULENAME]]</f>
        <v>CP946-NSP_LD_25_2X</v>
      </c>
      <c r="M249" t="e">
        <f t="shared" si="26"/>
        <v>#N/A</v>
      </c>
    </row>
    <row r="250" spans="1:13" x14ac:dyDescent="0.25">
      <c r="A250" t="str">
        <f t="shared" si="27"/>
        <v>CP946-NSP_LD_50_1X</v>
      </c>
      <c r="B250" t="s">
        <v>217</v>
      </c>
      <c r="C250" t="str">
        <f t="shared" si="21"/>
        <v>Bedford</v>
      </c>
      <c r="D250" t="str">
        <f t="shared" si="22"/>
        <v>Y</v>
      </c>
      <c r="E250" t="s">
        <v>601</v>
      </c>
      <c r="F250" t="str">
        <f t="shared" si="23"/>
        <v>NSP_LD_50_1X</v>
      </c>
      <c r="G250">
        <f t="shared" si="24"/>
        <v>0</v>
      </c>
      <c r="H250" t="s">
        <v>571</v>
      </c>
      <c r="I250">
        <f t="shared" si="25"/>
        <v>0</v>
      </c>
      <c r="J250" t="s">
        <v>564</v>
      </c>
      <c r="K250" s="5">
        <v>50</v>
      </c>
      <c r="L250" t="str">
        <f>Table_DataFromNL[[#This Row],[PROFILECODE]]&amp;"-"&amp;Table_DataFromNL[[#This Row],[RULENAME]]</f>
        <v>CP946-NSP_LD_50_1X</v>
      </c>
      <c r="M250" t="e">
        <f t="shared" si="26"/>
        <v>#N/A</v>
      </c>
    </row>
    <row r="251" spans="1:13" x14ac:dyDescent="0.25">
      <c r="A251" t="str">
        <f t="shared" si="27"/>
        <v>CP946-NSP_ORPHAN_100_once</v>
      </c>
      <c r="B251" t="s">
        <v>217</v>
      </c>
      <c r="C251" t="str">
        <f t="shared" si="21"/>
        <v>Bedford</v>
      </c>
      <c r="D251" t="str">
        <f t="shared" si="22"/>
        <v>Y</v>
      </c>
      <c r="E251" t="s">
        <v>601</v>
      </c>
      <c r="F251" t="str">
        <f t="shared" si="23"/>
        <v>NSP_ORPHAN_100_once</v>
      </c>
      <c r="G251">
        <f t="shared" si="24"/>
        <v>0</v>
      </c>
      <c r="H251" t="s">
        <v>572</v>
      </c>
      <c r="I251">
        <f t="shared" si="25"/>
        <v>0</v>
      </c>
      <c r="J251" t="s">
        <v>564</v>
      </c>
      <c r="K251" s="5">
        <v>100</v>
      </c>
      <c r="L251" t="str">
        <f>Table_DataFromNL[[#This Row],[PROFILECODE]]&amp;"-"&amp;Table_DataFromNL[[#This Row],[RULENAME]]</f>
        <v>CP946-NSP_ORPHAN_100_once</v>
      </c>
      <c r="M251" t="e">
        <f t="shared" si="26"/>
        <v>#N/A</v>
      </c>
    </row>
    <row r="252" spans="1:13" x14ac:dyDescent="0.25">
      <c r="A252" t="str">
        <f t="shared" si="27"/>
        <v>CP946-Restick</v>
      </c>
      <c r="B252" t="s">
        <v>217</v>
      </c>
      <c r="C252" t="str">
        <f t="shared" si="21"/>
        <v>Bedford</v>
      </c>
      <c r="D252" t="str">
        <f t="shared" si="22"/>
        <v>Y</v>
      </c>
      <c r="E252" t="s">
        <v>601</v>
      </c>
      <c r="F252" t="str">
        <f t="shared" si="23"/>
        <v>Restick</v>
      </c>
      <c r="G252">
        <f t="shared" si="24"/>
        <v>0</v>
      </c>
      <c r="H252" t="s">
        <v>573</v>
      </c>
      <c r="I252">
        <f t="shared" si="25"/>
        <v>0</v>
      </c>
      <c r="J252" t="s">
        <v>564</v>
      </c>
      <c r="K252" s="5">
        <v>5</v>
      </c>
      <c r="L252" t="str">
        <f>Table_DataFromNL[[#This Row],[PROFILECODE]]&amp;"-"&amp;Table_DataFromNL[[#This Row],[RULENAME]]</f>
        <v>CP946-Restick</v>
      </c>
      <c r="M252" t="e">
        <f t="shared" si="26"/>
        <v>#N/A</v>
      </c>
    </row>
    <row r="253" spans="1:13" x14ac:dyDescent="0.25">
      <c r="A253" t="str">
        <f t="shared" si="27"/>
        <v>CP946-SCRATCH_100_USD</v>
      </c>
      <c r="B253" t="s">
        <v>217</v>
      </c>
      <c r="C253" t="str">
        <f t="shared" si="21"/>
        <v>Bedford</v>
      </c>
      <c r="D253" t="str">
        <f t="shared" si="22"/>
        <v>Y</v>
      </c>
      <c r="E253" t="s">
        <v>601</v>
      </c>
      <c r="F253" t="str">
        <f t="shared" si="23"/>
        <v>SCRATCH_100_USD</v>
      </c>
      <c r="G253">
        <f t="shared" si="24"/>
        <v>0</v>
      </c>
      <c r="H253" t="s">
        <v>586</v>
      </c>
      <c r="I253">
        <f t="shared" si="25"/>
        <v>0</v>
      </c>
      <c r="J253" t="s">
        <v>564</v>
      </c>
      <c r="K253" s="5">
        <v>100</v>
      </c>
      <c r="L253" t="str">
        <f>Table_DataFromNL[[#This Row],[PROFILECODE]]&amp;"-"&amp;Table_DataFromNL[[#This Row],[RULENAME]]</f>
        <v>CP946-SCRATCH_100_USD</v>
      </c>
      <c r="M253" t="e">
        <f t="shared" si="26"/>
        <v>#N/A</v>
      </c>
    </row>
    <row r="254" spans="1:13" x14ac:dyDescent="0.25">
      <c r="A254" t="str">
        <f t="shared" si="27"/>
        <v>CP946-SCRATCH_10_USD</v>
      </c>
      <c r="B254" t="s">
        <v>217</v>
      </c>
      <c r="C254" t="str">
        <f t="shared" si="21"/>
        <v>Bedford</v>
      </c>
      <c r="D254" t="str">
        <f t="shared" si="22"/>
        <v>Y</v>
      </c>
      <c r="E254" t="s">
        <v>601</v>
      </c>
      <c r="F254" t="str">
        <f t="shared" si="23"/>
        <v>SCRATCH_10_USD</v>
      </c>
      <c r="G254">
        <f t="shared" si="24"/>
        <v>0</v>
      </c>
      <c r="H254" t="s">
        <v>587</v>
      </c>
      <c r="I254">
        <f t="shared" si="25"/>
        <v>0</v>
      </c>
      <c r="J254" t="s">
        <v>564</v>
      </c>
      <c r="K254" s="5">
        <v>10</v>
      </c>
      <c r="L254" t="str">
        <f>Table_DataFromNL[[#This Row],[PROFILECODE]]&amp;"-"&amp;Table_DataFromNL[[#This Row],[RULENAME]]</f>
        <v>CP946-SCRATCH_10_USD</v>
      </c>
      <c r="M254" t="e">
        <f t="shared" si="26"/>
        <v>#N/A</v>
      </c>
    </row>
    <row r="255" spans="1:13" x14ac:dyDescent="0.25">
      <c r="A255" t="str">
        <f t="shared" si="27"/>
        <v>CP946-SCRATCH_20_USD</v>
      </c>
      <c r="B255" t="s">
        <v>217</v>
      </c>
      <c r="C255" t="str">
        <f t="shared" si="21"/>
        <v>Bedford</v>
      </c>
      <c r="D255" t="str">
        <f t="shared" si="22"/>
        <v>Y</v>
      </c>
      <c r="E255" t="s">
        <v>601</v>
      </c>
      <c r="F255" t="str">
        <f t="shared" si="23"/>
        <v>SCRATCH_20_USD</v>
      </c>
      <c r="G255">
        <f t="shared" si="24"/>
        <v>0</v>
      </c>
      <c r="H255" t="s">
        <v>588</v>
      </c>
      <c r="I255">
        <f t="shared" si="25"/>
        <v>0</v>
      </c>
      <c r="J255" t="s">
        <v>564</v>
      </c>
      <c r="K255" s="5">
        <v>20</v>
      </c>
      <c r="L255" t="str">
        <f>Table_DataFromNL[[#This Row],[PROFILECODE]]&amp;"-"&amp;Table_DataFromNL[[#This Row],[RULENAME]]</f>
        <v>CP946-SCRATCH_20_USD</v>
      </c>
      <c r="M255" t="e">
        <f t="shared" si="26"/>
        <v>#N/A</v>
      </c>
    </row>
    <row r="256" spans="1:13" x14ac:dyDescent="0.25">
      <c r="A256" t="str">
        <f t="shared" si="27"/>
        <v>CP946-SCRATCH_25_USD</v>
      </c>
      <c r="B256" t="s">
        <v>217</v>
      </c>
      <c r="C256" t="str">
        <f t="shared" si="21"/>
        <v>Bedford</v>
      </c>
      <c r="D256" t="str">
        <f t="shared" si="22"/>
        <v>Y</v>
      </c>
      <c r="E256" t="s">
        <v>601</v>
      </c>
      <c r="F256" t="str">
        <f t="shared" si="23"/>
        <v>SCRATCH_25_USD</v>
      </c>
      <c r="G256">
        <f t="shared" si="24"/>
        <v>0</v>
      </c>
      <c r="H256" t="s">
        <v>589</v>
      </c>
      <c r="I256">
        <f t="shared" si="25"/>
        <v>0</v>
      </c>
      <c r="J256" t="s">
        <v>564</v>
      </c>
      <c r="K256" s="5">
        <v>25</v>
      </c>
      <c r="L256" t="str">
        <f>Table_DataFromNL[[#This Row],[PROFILECODE]]&amp;"-"&amp;Table_DataFromNL[[#This Row],[RULENAME]]</f>
        <v>CP946-SCRATCH_25_USD</v>
      </c>
      <c r="M256" t="e">
        <f t="shared" si="26"/>
        <v>#N/A</v>
      </c>
    </row>
    <row r="257" spans="1:13" x14ac:dyDescent="0.25">
      <c r="A257" t="str">
        <f t="shared" si="27"/>
        <v>CP946-SCRATCH_50_USD</v>
      </c>
      <c r="B257" t="s">
        <v>217</v>
      </c>
      <c r="C257" t="str">
        <f t="shared" si="21"/>
        <v>Bedford</v>
      </c>
      <c r="D257" t="str">
        <f t="shared" si="22"/>
        <v>Y</v>
      </c>
      <c r="E257" t="s">
        <v>601</v>
      </c>
      <c r="F257" t="str">
        <f t="shared" si="23"/>
        <v>SCRATCH_50_USD</v>
      </c>
      <c r="G257">
        <f t="shared" si="24"/>
        <v>0</v>
      </c>
      <c r="H257" t="s">
        <v>590</v>
      </c>
      <c r="I257">
        <f t="shared" si="25"/>
        <v>0</v>
      </c>
      <c r="J257" t="s">
        <v>564</v>
      </c>
      <c r="K257" s="5">
        <v>50</v>
      </c>
      <c r="L257" t="str">
        <f>Table_DataFromNL[[#This Row],[PROFILECODE]]&amp;"-"&amp;Table_DataFromNL[[#This Row],[RULENAME]]</f>
        <v>CP946-SCRATCH_50_USD</v>
      </c>
      <c r="M257" t="e">
        <f t="shared" si="26"/>
        <v>#N/A</v>
      </c>
    </row>
    <row r="258" spans="1:13" x14ac:dyDescent="0.25">
      <c r="A258" t="str">
        <f t="shared" si="27"/>
        <v>CP946-SCRATCH_5_USD</v>
      </c>
      <c r="B258" t="s">
        <v>217</v>
      </c>
      <c r="C258" t="str">
        <f t="shared" ref="C258:C321" si="28">VLOOKUP(B258,CenterLU,2,FALSE)</f>
        <v>Bedford</v>
      </c>
      <c r="D258" t="str">
        <f t="shared" ref="D258:D321" si="29">VLOOKUP(B258,CenterLU,3,FALSE)</f>
        <v>Y</v>
      </c>
      <c r="E258" t="s">
        <v>601</v>
      </c>
      <c r="F258" t="str">
        <f t="shared" ref="F258:F321" si="30">IF(VLOOKUP(H258,RULENAMELU,3,FALSE)=0,H258,VLOOKUP(H258,RULENAMELU,3,FALSE))</f>
        <v>SCRATCH_5_USD</v>
      </c>
      <c r="G258">
        <f t="shared" ref="G258:G321" si="31">VLOOKUP(H258,RULENAMELU,4,FALSE)</f>
        <v>0</v>
      </c>
      <c r="H258" t="s">
        <v>591</v>
      </c>
      <c r="I258">
        <f t="shared" ref="I258:I321" si="32">VLOOKUP(H258,RULENAMELU,5,FALSE)</f>
        <v>0</v>
      </c>
      <c r="J258" t="s">
        <v>564</v>
      </c>
      <c r="K258" s="5">
        <v>5</v>
      </c>
      <c r="L258" t="str">
        <f>Table_DataFromNL[[#This Row],[PROFILECODE]]&amp;"-"&amp;Table_DataFromNL[[#This Row],[RULENAME]]</f>
        <v>CP946-SCRATCH_5_USD</v>
      </c>
      <c r="M258" t="e">
        <f t="shared" ref="M258:M321" si="33">IFERROR(VLOOKUP(A258,PaychangesLU,1,FALSE),VLOOKUP(A258,SpecialtyCheckLU,1,FALSE))</f>
        <v>#N/A</v>
      </c>
    </row>
    <row r="259" spans="1:13" x14ac:dyDescent="0.25">
      <c r="A259" t="str">
        <f t="shared" ref="A259:A322" si="34">B259&amp;"-"&amp;F259</f>
        <v>CP946-SLOW_TEXT_5</v>
      </c>
      <c r="B259" t="s">
        <v>217</v>
      </c>
      <c r="C259" t="str">
        <f t="shared" si="28"/>
        <v>Bedford</v>
      </c>
      <c r="D259" t="str">
        <f t="shared" si="29"/>
        <v>Y</v>
      </c>
      <c r="E259" t="s">
        <v>601</v>
      </c>
      <c r="F259" t="str">
        <f t="shared" si="30"/>
        <v>SLOW_TEXT_5</v>
      </c>
      <c r="G259">
        <f t="shared" si="31"/>
        <v>0</v>
      </c>
      <c r="H259" t="s">
        <v>574</v>
      </c>
      <c r="I259">
        <f t="shared" si="32"/>
        <v>0</v>
      </c>
      <c r="J259" t="s">
        <v>564</v>
      </c>
      <c r="K259" s="5">
        <v>5</v>
      </c>
      <c r="L259" t="str">
        <f>Table_DataFromNL[[#This Row],[PROFILECODE]]&amp;"-"&amp;Table_DataFromNL[[#This Row],[RULENAME]]</f>
        <v>CP946-SLOW_TEXT_5</v>
      </c>
      <c r="M259" t="e">
        <f t="shared" si="33"/>
        <v>#N/A</v>
      </c>
    </row>
    <row r="260" spans="1:13" x14ac:dyDescent="0.25">
      <c r="A260" t="str">
        <f t="shared" si="34"/>
        <v>CP946-Sample Only</v>
      </c>
      <c r="B260" t="s">
        <v>217</v>
      </c>
      <c r="C260" t="str">
        <f t="shared" si="28"/>
        <v>Bedford</v>
      </c>
      <c r="D260" t="str">
        <f t="shared" si="29"/>
        <v>Y</v>
      </c>
      <c r="E260" t="s">
        <v>601</v>
      </c>
      <c r="F260" t="str">
        <f t="shared" si="30"/>
        <v>Sample Only</v>
      </c>
      <c r="G260">
        <f t="shared" si="31"/>
        <v>0</v>
      </c>
      <c r="H260" t="s">
        <v>575</v>
      </c>
      <c r="I260">
        <f t="shared" si="32"/>
        <v>0</v>
      </c>
      <c r="J260" t="s">
        <v>564</v>
      </c>
      <c r="K260" s="5">
        <v>5</v>
      </c>
      <c r="L260" t="str">
        <f>Table_DataFromNL[[#This Row],[PROFILECODE]]&amp;"-"&amp;Table_DataFromNL[[#This Row],[RULENAME]]</f>
        <v>CP946-Sample Only</v>
      </c>
      <c r="M260" t="e">
        <f t="shared" si="33"/>
        <v>#N/A</v>
      </c>
    </row>
    <row r="261" spans="1:13" x14ac:dyDescent="0.25">
      <c r="A261" t="str">
        <f t="shared" si="34"/>
        <v>CP946-Unit Below 250 mL</v>
      </c>
      <c r="B261" t="s">
        <v>217</v>
      </c>
      <c r="C261" t="str">
        <f t="shared" si="28"/>
        <v>Bedford</v>
      </c>
      <c r="D261" t="str">
        <f t="shared" si="29"/>
        <v>Y</v>
      </c>
      <c r="E261" t="s">
        <v>601</v>
      </c>
      <c r="F261" t="str">
        <f t="shared" si="30"/>
        <v>Unit Below 250 mL</v>
      </c>
      <c r="G261">
        <f t="shared" si="31"/>
        <v>0</v>
      </c>
      <c r="H261" t="s">
        <v>576</v>
      </c>
      <c r="I261">
        <f t="shared" si="32"/>
        <v>0</v>
      </c>
      <c r="J261" t="s">
        <v>564</v>
      </c>
      <c r="K261" s="5">
        <v>5</v>
      </c>
      <c r="L261" t="str">
        <f>Table_DataFromNL[[#This Row],[PROFILECODE]]&amp;"-"&amp;Table_DataFromNL[[#This Row],[RULENAME]]</f>
        <v>CP946-Unit Below 250 mL</v>
      </c>
      <c r="M261" t="e">
        <f t="shared" si="33"/>
        <v>#N/A</v>
      </c>
    </row>
    <row r="262" spans="1:13" x14ac:dyDescent="0.25">
      <c r="A262" t="str">
        <f t="shared" si="34"/>
        <v>CP946-Unit above 250 mL/underdraw</v>
      </c>
      <c r="B262" t="s">
        <v>217</v>
      </c>
      <c r="C262" t="str">
        <f t="shared" si="28"/>
        <v>Bedford</v>
      </c>
      <c r="D262" t="str">
        <f t="shared" si="29"/>
        <v>Y</v>
      </c>
      <c r="E262" t="s">
        <v>601</v>
      </c>
      <c r="F262" t="str">
        <f t="shared" si="30"/>
        <v>Unit above 250 mL/underdraw</v>
      </c>
      <c r="G262">
        <f t="shared" si="31"/>
        <v>0</v>
      </c>
      <c r="H262" t="s">
        <v>577</v>
      </c>
      <c r="I262">
        <f t="shared" si="32"/>
        <v>0</v>
      </c>
      <c r="J262" t="s">
        <v>564</v>
      </c>
      <c r="K262" s="5">
        <v>10</v>
      </c>
      <c r="L262" t="str">
        <f>Table_DataFromNL[[#This Row],[PROFILECODE]]&amp;"-"&amp;Table_DataFromNL[[#This Row],[RULENAME]]</f>
        <v>CP946-Unit above 250 mL/underdraw</v>
      </c>
      <c r="M262" t="e">
        <f t="shared" si="33"/>
        <v>#N/A</v>
      </c>
    </row>
    <row r="263" spans="1:13" x14ac:dyDescent="0.25">
      <c r="A263" t="str">
        <f t="shared" si="34"/>
        <v>CP946-RETURN - Buddy referral  -BONUS</v>
      </c>
      <c r="B263" t="s">
        <v>217</v>
      </c>
      <c r="C263" t="str">
        <f t="shared" si="28"/>
        <v>Bedford</v>
      </c>
      <c r="D263" t="str">
        <f t="shared" si="29"/>
        <v>Y</v>
      </c>
      <c r="E263" t="s">
        <v>601</v>
      </c>
      <c r="F263" t="str">
        <f t="shared" si="30"/>
        <v>RETURN - Buddy referral  -BONUS</v>
      </c>
      <c r="G263" t="str">
        <f t="shared" si="31"/>
        <v>Marketing</v>
      </c>
      <c r="H263" t="s">
        <v>34</v>
      </c>
      <c r="I263">
        <f t="shared" si="32"/>
        <v>50</v>
      </c>
      <c r="J263" t="s">
        <v>578</v>
      </c>
      <c r="K263" s="5">
        <v>50</v>
      </c>
      <c r="L263" t="str">
        <f>Table_DataFromNL[[#This Row],[PROFILECODE]]&amp;"-"&amp;Table_DataFromNL[[#This Row],[RULENAME]]</f>
        <v>CP946-Referral</v>
      </c>
      <c r="M263" t="str">
        <f t="shared" si="33"/>
        <v>CP946-RETURN - Buddy referral  -BONUS</v>
      </c>
    </row>
    <row r="264" spans="1:13" x14ac:dyDescent="0.25">
      <c r="A264" t="str">
        <f t="shared" si="34"/>
        <v>CP946-P Anti-D Pre-Existing Standard</v>
      </c>
      <c r="B264" t="s">
        <v>217</v>
      </c>
      <c r="C264" t="str">
        <f t="shared" si="28"/>
        <v>Bedford</v>
      </c>
      <c r="D264" t="str">
        <f t="shared" si="29"/>
        <v>Y</v>
      </c>
      <c r="E264" t="s">
        <v>601</v>
      </c>
      <c r="F264" t="str">
        <f t="shared" si="30"/>
        <v>P Anti-D Pre-Existing Standard</v>
      </c>
      <c r="G264" t="str">
        <f t="shared" si="31"/>
        <v>Specialty</v>
      </c>
      <c r="H264" t="s">
        <v>469</v>
      </c>
      <c r="I264" t="str">
        <f t="shared" si="32"/>
        <v>RETURN - 1st don of the week -STD</v>
      </c>
      <c r="J264" t="s">
        <v>579</v>
      </c>
      <c r="K264" s="5">
        <v>50</v>
      </c>
      <c r="L264" t="str">
        <f>Table_DataFromNL[[#This Row],[PROFILECODE]]&amp;"-"&amp;Table_DataFromNL[[#This Row],[RULENAME]]</f>
        <v>CP946-P Anti-D Pre-Existing Standard</v>
      </c>
      <c r="M264" t="str">
        <f t="shared" si="33"/>
        <v>CP946-P Anti-D Pre-Existing Standard</v>
      </c>
    </row>
    <row r="265" spans="1:13" x14ac:dyDescent="0.25">
      <c r="A265" t="str">
        <f t="shared" si="34"/>
        <v>CP946-P HBS Pre-Existing Standard</v>
      </c>
      <c r="B265" t="s">
        <v>217</v>
      </c>
      <c r="C265" t="str">
        <f t="shared" si="28"/>
        <v>Bedford</v>
      </c>
      <c r="D265" t="str">
        <f t="shared" si="29"/>
        <v>Y</v>
      </c>
      <c r="E265" t="s">
        <v>601</v>
      </c>
      <c r="F265" t="str">
        <f t="shared" si="30"/>
        <v>P HBS Pre-Existing Standard</v>
      </c>
      <c r="G265" t="str">
        <f t="shared" si="31"/>
        <v>Specialty</v>
      </c>
      <c r="H265" t="s">
        <v>472</v>
      </c>
      <c r="I265" t="str">
        <f t="shared" si="32"/>
        <v>RETURN - 1st don of the week -STD</v>
      </c>
      <c r="J265" t="s">
        <v>579</v>
      </c>
      <c r="K265" s="5">
        <v>50</v>
      </c>
      <c r="L265" t="str">
        <f>Table_DataFromNL[[#This Row],[PROFILECODE]]&amp;"-"&amp;Table_DataFromNL[[#This Row],[RULENAME]]</f>
        <v>CP946-P HBS Pre-Existing Standard</v>
      </c>
      <c r="M265" t="str">
        <f t="shared" si="33"/>
        <v>CP946-P HBS Pre-Existing Standard</v>
      </c>
    </row>
    <row r="266" spans="1:13" x14ac:dyDescent="0.25">
      <c r="A266" t="str">
        <f t="shared" si="34"/>
        <v>CP946-P HBS Standard</v>
      </c>
      <c r="B266" t="s">
        <v>217</v>
      </c>
      <c r="C266" t="str">
        <f t="shared" si="28"/>
        <v>Bedford</v>
      </c>
      <c r="D266" t="str">
        <f t="shared" si="29"/>
        <v>Y</v>
      </c>
      <c r="E266" t="s">
        <v>601</v>
      </c>
      <c r="F266" t="str">
        <f t="shared" si="30"/>
        <v>P HBS Standard</v>
      </c>
      <c r="G266" t="str">
        <f t="shared" si="31"/>
        <v>Specialty</v>
      </c>
      <c r="H266" t="s">
        <v>473</v>
      </c>
      <c r="I266" t="str">
        <f t="shared" si="32"/>
        <v>RETURN - 1st don of the week -STD</v>
      </c>
      <c r="J266" t="s">
        <v>579</v>
      </c>
      <c r="K266" s="5">
        <v>50</v>
      </c>
      <c r="L266" t="str">
        <f>Table_DataFromNL[[#This Row],[PROFILECODE]]&amp;"-"&amp;Table_DataFromNL[[#This Row],[RULENAME]]</f>
        <v>CP946-P HBS Standard</v>
      </c>
      <c r="M266" t="str">
        <f t="shared" si="33"/>
        <v>CP946-P HBS Standard</v>
      </c>
    </row>
    <row r="267" spans="1:13" x14ac:dyDescent="0.25">
      <c r="A267" t="str">
        <f t="shared" si="34"/>
        <v>CP946-RETURN - 1st don of the week -STD</v>
      </c>
      <c r="B267" t="s">
        <v>217</v>
      </c>
      <c r="C267" t="str">
        <f t="shared" si="28"/>
        <v>Bedford</v>
      </c>
      <c r="D267" t="str">
        <f t="shared" si="29"/>
        <v>Y</v>
      </c>
      <c r="E267" t="s">
        <v>601</v>
      </c>
      <c r="F267" t="str">
        <f t="shared" si="30"/>
        <v>RETURN - 1st don of the week -STD</v>
      </c>
      <c r="G267" t="str">
        <f t="shared" si="31"/>
        <v>Marketing</v>
      </c>
      <c r="H267" t="s">
        <v>583</v>
      </c>
      <c r="I267">
        <f t="shared" si="32"/>
        <v>22</v>
      </c>
      <c r="J267" t="s">
        <v>579</v>
      </c>
      <c r="K267" s="5">
        <v>50</v>
      </c>
      <c r="L267" t="str">
        <f>Table_DataFromNL[[#This Row],[PROFILECODE]]&amp;"-"&amp;Table_DataFromNL[[#This Row],[RULENAME]]</f>
        <v>CP946-P NSP NS AP Standard</v>
      </c>
      <c r="M267" t="str">
        <f t="shared" si="33"/>
        <v>CP946-RETURN - 1st don of the week -STD</v>
      </c>
    </row>
    <row r="268" spans="1:13" x14ac:dyDescent="0.25">
      <c r="A268" t="str">
        <f t="shared" si="34"/>
        <v>CP946-RETURN - 1st don of the week -STD</v>
      </c>
      <c r="B268" t="s">
        <v>217</v>
      </c>
      <c r="C268" t="str">
        <f t="shared" si="28"/>
        <v>Bedford</v>
      </c>
      <c r="D268" t="str">
        <f t="shared" si="29"/>
        <v>Y</v>
      </c>
      <c r="E268" t="s">
        <v>601</v>
      </c>
      <c r="F268" t="str">
        <f t="shared" si="30"/>
        <v>RETURN - 1st don of the week -STD</v>
      </c>
      <c r="G268" t="str">
        <f t="shared" si="31"/>
        <v>Marketing</v>
      </c>
      <c r="H268" t="s">
        <v>584</v>
      </c>
      <c r="I268">
        <f t="shared" si="32"/>
        <v>23</v>
      </c>
      <c r="J268" t="s">
        <v>579</v>
      </c>
      <c r="K268" s="5">
        <v>50</v>
      </c>
      <c r="L268" t="str">
        <f>Table_DataFromNL[[#This Row],[PROFILECODE]]&amp;"-"&amp;Table_DataFromNL[[#This Row],[RULENAME]]</f>
        <v>CP946-P NSP NS Standard</v>
      </c>
      <c r="M268" t="str">
        <f t="shared" si="33"/>
        <v>CP946-RETURN - 1st don of the week -STD</v>
      </c>
    </row>
    <row r="269" spans="1:13" x14ac:dyDescent="0.25">
      <c r="A269" t="str">
        <f t="shared" si="34"/>
        <v>CP946-P VZV Pre-Existing AP</v>
      </c>
      <c r="B269" t="s">
        <v>217</v>
      </c>
      <c r="C269" t="str">
        <f t="shared" si="28"/>
        <v>Bedford</v>
      </c>
      <c r="D269" t="str">
        <f t="shared" si="29"/>
        <v>Y</v>
      </c>
      <c r="E269" t="s">
        <v>601</v>
      </c>
      <c r="F269" t="str">
        <f t="shared" si="30"/>
        <v>P VZV Pre-Existing AP</v>
      </c>
      <c r="G269" t="str">
        <f t="shared" si="31"/>
        <v>Specialty</v>
      </c>
      <c r="H269" t="s">
        <v>495</v>
      </c>
      <c r="I269" t="str">
        <f t="shared" si="32"/>
        <v>RETURN - 1st don of the week -STD</v>
      </c>
      <c r="J269" t="s">
        <v>579</v>
      </c>
      <c r="K269" s="5">
        <v>60</v>
      </c>
      <c r="L269" t="str">
        <f>Table_DataFromNL[[#This Row],[PROFILECODE]]&amp;"-"&amp;Table_DataFromNL[[#This Row],[RULENAME]]</f>
        <v>CP946-P VZV Pre-Existing AP</v>
      </c>
      <c r="M269" t="str">
        <f t="shared" si="33"/>
        <v>CP946-P VZV Pre-Existing AP</v>
      </c>
    </row>
    <row r="270" spans="1:13" x14ac:dyDescent="0.25">
      <c r="A270" t="str">
        <f t="shared" si="34"/>
        <v>CP946-P VZV Standard</v>
      </c>
      <c r="B270" t="s">
        <v>217</v>
      </c>
      <c r="C270" t="str">
        <f t="shared" si="28"/>
        <v>Bedford</v>
      </c>
      <c r="D270" t="str">
        <f t="shared" si="29"/>
        <v>Y</v>
      </c>
      <c r="E270" t="s">
        <v>601</v>
      </c>
      <c r="F270" t="str">
        <f t="shared" si="30"/>
        <v>P VZV Standard</v>
      </c>
      <c r="G270" t="str">
        <f t="shared" si="31"/>
        <v>Specialty</v>
      </c>
      <c r="H270" t="s">
        <v>496</v>
      </c>
      <c r="I270" t="str">
        <f t="shared" si="32"/>
        <v>RETURN - 1st don of the week -STD</v>
      </c>
      <c r="J270" t="s">
        <v>579</v>
      </c>
      <c r="K270" s="5">
        <v>60</v>
      </c>
      <c r="L270" t="str">
        <f>Table_DataFromNL[[#This Row],[PROFILECODE]]&amp;"-"&amp;Table_DataFromNL[[#This Row],[RULENAME]]</f>
        <v>CP946-P VZV Standard</v>
      </c>
      <c r="M270" t="str">
        <f t="shared" si="33"/>
        <v>CP946-P VZV Standard</v>
      </c>
    </row>
    <row r="271" spans="1:13" x14ac:dyDescent="0.25">
      <c r="A271" t="str">
        <f t="shared" si="34"/>
        <v>CP946-PVZV Pre-Existing Standard</v>
      </c>
      <c r="B271" t="s">
        <v>217</v>
      </c>
      <c r="C271" t="str">
        <f t="shared" si="28"/>
        <v>Bedford</v>
      </c>
      <c r="D271" t="str">
        <f t="shared" si="29"/>
        <v>Y</v>
      </c>
      <c r="E271" t="s">
        <v>601</v>
      </c>
      <c r="F271" t="str">
        <f t="shared" si="30"/>
        <v>PVZV Pre-Existing Standard</v>
      </c>
      <c r="G271" t="str">
        <f t="shared" si="31"/>
        <v>Specialty</v>
      </c>
      <c r="H271" t="s">
        <v>497</v>
      </c>
      <c r="I271" t="str">
        <f t="shared" si="32"/>
        <v>RETURN - 1st don of the week -STD</v>
      </c>
      <c r="J271" t="s">
        <v>579</v>
      </c>
      <c r="K271" s="5">
        <v>60</v>
      </c>
      <c r="L271" t="str">
        <f>Table_DataFromNL[[#This Row],[PROFILECODE]]&amp;"-"&amp;Table_DataFromNL[[#This Row],[RULENAME]]</f>
        <v>CP946-PVZV Pre-Existing Standard</v>
      </c>
      <c r="M271" t="str">
        <f t="shared" si="33"/>
        <v>CP946-PVZV Pre-Existing Standard</v>
      </c>
    </row>
    <row r="272" spans="1:13" x14ac:dyDescent="0.25">
      <c r="A272" t="str">
        <f t="shared" si="34"/>
        <v>CP177-1st Responder-Medical</v>
      </c>
      <c r="B272" t="s">
        <v>299</v>
      </c>
      <c r="C272" t="str">
        <f t="shared" si="28"/>
        <v>Bowling Green</v>
      </c>
      <c r="D272" t="str">
        <f t="shared" si="29"/>
        <v>Y</v>
      </c>
      <c r="E272" t="s">
        <v>602</v>
      </c>
      <c r="F272" t="str">
        <f t="shared" si="30"/>
        <v>1st Responder-Medical</v>
      </c>
      <c r="G272">
        <f t="shared" si="31"/>
        <v>0</v>
      </c>
      <c r="H272" t="s">
        <v>545</v>
      </c>
      <c r="I272">
        <f t="shared" si="32"/>
        <v>0</v>
      </c>
      <c r="J272" t="s">
        <v>546</v>
      </c>
      <c r="K272" s="5">
        <v>5</v>
      </c>
      <c r="L272" t="str">
        <f>Table_DataFromNL[[#This Row],[PROFILECODE]]&amp;"-"&amp;Table_DataFromNL[[#This Row],[RULENAME]]</f>
        <v>CP177-1st Responder-Medical</v>
      </c>
      <c r="M272" t="e">
        <f t="shared" si="33"/>
        <v>#N/A</v>
      </c>
    </row>
    <row r="273" spans="1:13" x14ac:dyDescent="0.25">
      <c r="A273" t="str">
        <f t="shared" si="34"/>
        <v>CP177-2X Week P HBS Pre-Existing</v>
      </c>
      <c r="B273" t="s">
        <v>299</v>
      </c>
      <c r="C273" t="str">
        <f t="shared" si="28"/>
        <v>Bowling Green</v>
      </c>
      <c r="D273" t="str">
        <f t="shared" si="29"/>
        <v>Y</v>
      </c>
      <c r="E273" t="s">
        <v>602</v>
      </c>
      <c r="F273" t="str">
        <f t="shared" si="30"/>
        <v>2X Week P HBS Pre-Existing</v>
      </c>
      <c r="G273" t="str">
        <f t="shared" si="31"/>
        <v>Specialty</v>
      </c>
      <c r="H273" t="s">
        <v>471</v>
      </c>
      <c r="I273" t="str">
        <f t="shared" si="32"/>
        <v>RETURN - 2nd don of the week -BONUS</v>
      </c>
      <c r="J273" t="s">
        <v>546</v>
      </c>
      <c r="K273" s="5">
        <v>24</v>
      </c>
      <c r="L273" t="str">
        <f>Table_DataFromNL[[#This Row],[PROFILECODE]]&amp;"-"&amp;Table_DataFromNL[[#This Row],[RULENAME]]</f>
        <v>CP177-2X Week P HBS Pre-Existing</v>
      </c>
      <c r="M273" t="str">
        <f t="shared" si="33"/>
        <v>CP177-2X Week P HBS Pre-Existing</v>
      </c>
    </row>
    <row r="274" spans="1:13" x14ac:dyDescent="0.25">
      <c r="A274" t="str">
        <f t="shared" si="34"/>
        <v>CP177-2X Week P HBS TWINRX</v>
      </c>
      <c r="B274" t="s">
        <v>299</v>
      </c>
      <c r="C274" t="str">
        <f t="shared" si="28"/>
        <v>Bowling Green</v>
      </c>
      <c r="D274" t="str">
        <f t="shared" si="29"/>
        <v>Y</v>
      </c>
      <c r="E274" t="s">
        <v>602</v>
      </c>
      <c r="F274" t="str">
        <f t="shared" si="30"/>
        <v>2X Week P HBS TWINRX</v>
      </c>
      <c r="G274" t="str">
        <f t="shared" si="31"/>
        <v>Specialty</v>
      </c>
      <c r="H274" t="s">
        <v>504</v>
      </c>
      <c r="I274" t="str">
        <f t="shared" si="32"/>
        <v>RETURN - 2nd don of the week -BONUS</v>
      </c>
      <c r="J274" t="s">
        <v>546</v>
      </c>
      <c r="K274" s="5">
        <v>24</v>
      </c>
      <c r="L274" t="str">
        <f>Table_DataFromNL[[#This Row],[PROFILECODE]]&amp;"-"&amp;Table_DataFromNL[[#This Row],[RULENAME]]</f>
        <v>CP177-2X Week P HBS TWINRX</v>
      </c>
      <c r="M274" t="str">
        <f t="shared" si="33"/>
        <v>CP177-2X Week P HBS TWINRX</v>
      </c>
    </row>
    <row r="275" spans="1:13" x14ac:dyDescent="0.25">
      <c r="A275" t="str">
        <f t="shared" si="34"/>
        <v>CP177-2X Week P HBS TWINRX-AP</v>
      </c>
      <c r="B275" t="s">
        <v>299</v>
      </c>
      <c r="C275" t="str">
        <f t="shared" si="28"/>
        <v>Bowling Green</v>
      </c>
      <c r="D275" t="str">
        <f t="shared" si="29"/>
        <v>Y</v>
      </c>
      <c r="E275" t="s">
        <v>602</v>
      </c>
      <c r="F275" t="str">
        <f t="shared" si="30"/>
        <v>2X Week P HBS TWINRX-AP</v>
      </c>
      <c r="G275" t="str">
        <f t="shared" si="31"/>
        <v>Specialty</v>
      </c>
      <c r="H275" t="s">
        <v>505</v>
      </c>
      <c r="I275" t="str">
        <f t="shared" si="32"/>
        <v>RETURN - 2nd don of the week -BONUS</v>
      </c>
      <c r="J275" t="s">
        <v>546</v>
      </c>
      <c r="K275" s="5">
        <v>24</v>
      </c>
      <c r="L275" t="str">
        <f>Table_DataFromNL[[#This Row],[PROFILECODE]]&amp;"-"&amp;Table_DataFromNL[[#This Row],[RULENAME]]</f>
        <v>CP177-2X Week P HBS TWINRX-AP</v>
      </c>
      <c r="M275" t="str">
        <f t="shared" si="33"/>
        <v>CP177-2X Week P HBS TWINRX-AP</v>
      </c>
    </row>
    <row r="276" spans="1:13" x14ac:dyDescent="0.25">
      <c r="A276" t="str">
        <f t="shared" si="34"/>
        <v>CP177-RETURN - 2nd don of the week -BONUS</v>
      </c>
      <c r="B276" t="s">
        <v>299</v>
      </c>
      <c r="C276" t="str">
        <f t="shared" si="28"/>
        <v>Bowling Green</v>
      </c>
      <c r="D276" t="str">
        <f t="shared" si="29"/>
        <v>Y</v>
      </c>
      <c r="E276" t="s">
        <v>602</v>
      </c>
      <c r="F276" t="str">
        <f t="shared" si="30"/>
        <v>RETURN - 2nd don of the week -BONUS</v>
      </c>
      <c r="G276" t="str">
        <f t="shared" si="31"/>
        <v>Marketing</v>
      </c>
      <c r="H276" t="s">
        <v>550</v>
      </c>
      <c r="I276">
        <f t="shared" si="32"/>
        <v>26</v>
      </c>
      <c r="J276" t="s">
        <v>546</v>
      </c>
      <c r="K276" s="5">
        <v>24</v>
      </c>
      <c r="L276" t="str">
        <f>Table_DataFromNL[[#This Row],[PROFILECODE]]&amp;"-"&amp;Table_DataFromNL[[#This Row],[RULENAME]]</f>
        <v>CP177-2X Week P NSP NS</v>
      </c>
      <c r="M276" t="str">
        <f t="shared" si="33"/>
        <v>CP177-RETURN - 2nd don of the week -BONUS</v>
      </c>
    </row>
    <row r="277" spans="1:13" x14ac:dyDescent="0.25">
      <c r="A277" t="str">
        <f t="shared" si="34"/>
        <v>CP177-RETURN - 2nd don of the week -BONUS</v>
      </c>
      <c r="B277" t="s">
        <v>299</v>
      </c>
      <c r="C277" t="str">
        <f t="shared" si="28"/>
        <v>Bowling Green</v>
      </c>
      <c r="D277" t="str">
        <f t="shared" si="29"/>
        <v>Y</v>
      </c>
      <c r="E277" t="s">
        <v>602</v>
      </c>
      <c r="F277" t="str">
        <f t="shared" si="30"/>
        <v>RETURN - 2nd don of the week -BONUS</v>
      </c>
      <c r="G277" t="str">
        <f t="shared" si="31"/>
        <v>Marketing</v>
      </c>
      <c r="H277" t="s">
        <v>551</v>
      </c>
      <c r="I277" t="str">
        <f t="shared" si="32"/>
        <v>RETURN - 2nd don of the week -BONUS</v>
      </c>
      <c r="J277" t="s">
        <v>546</v>
      </c>
      <c r="K277" s="5">
        <v>24</v>
      </c>
      <c r="L277" t="str">
        <f>Table_DataFromNL[[#This Row],[PROFILECODE]]&amp;"-"&amp;Table_DataFromNL[[#This Row],[RULENAME]]</f>
        <v>CP177-2X Week P NSP NS AP</v>
      </c>
      <c r="M277" t="str">
        <f t="shared" si="33"/>
        <v>CP177-RETURN - 2nd don of the week -BONUS</v>
      </c>
    </row>
    <row r="278" spans="1:13" x14ac:dyDescent="0.25">
      <c r="A278" t="str">
        <f t="shared" si="34"/>
        <v>CP177-2X Week P VZV Pre-Existing</v>
      </c>
      <c r="B278" t="s">
        <v>299</v>
      </c>
      <c r="C278" t="str">
        <f t="shared" si="28"/>
        <v>Bowling Green</v>
      </c>
      <c r="D278" t="str">
        <f t="shared" si="29"/>
        <v>Y</v>
      </c>
      <c r="E278" t="s">
        <v>602</v>
      </c>
      <c r="F278" t="str">
        <f t="shared" si="30"/>
        <v>2X Week P VZV Pre-Existing</v>
      </c>
      <c r="G278" t="str">
        <f t="shared" si="31"/>
        <v>Specialty</v>
      </c>
      <c r="H278" t="s">
        <v>490</v>
      </c>
      <c r="I278" t="str">
        <f t="shared" si="32"/>
        <v>RETURN - 2nd don of the week -BONUS</v>
      </c>
      <c r="J278" t="s">
        <v>546</v>
      </c>
      <c r="K278" s="5">
        <v>24</v>
      </c>
      <c r="L278" t="str">
        <f>Table_DataFromNL[[#This Row],[PROFILECODE]]&amp;"-"&amp;Table_DataFromNL[[#This Row],[RULENAME]]</f>
        <v>CP177-2X Week P VZV Pre-Existing</v>
      </c>
      <c r="M278" t="str">
        <f t="shared" si="33"/>
        <v>CP177-2X Week P VZV Pre-Existing</v>
      </c>
    </row>
    <row r="279" spans="1:13" x14ac:dyDescent="0.25">
      <c r="A279" t="str">
        <f t="shared" si="34"/>
        <v>CP177-2X Week P VZV Pre-Existing AP</v>
      </c>
      <c r="B279" t="s">
        <v>299</v>
      </c>
      <c r="C279" t="str">
        <f t="shared" si="28"/>
        <v>Bowling Green</v>
      </c>
      <c r="D279" t="str">
        <f t="shared" si="29"/>
        <v>Y</v>
      </c>
      <c r="E279" t="s">
        <v>602</v>
      </c>
      <c r="F279" t="str">
        <f t="shared" si="30"/>
        <v>2X Week P VZV Pre-Existing AP</v>
      </c>
      <c r="G279" t="str">
        <f t="shared" si="31"/>
        <v>Specialty</v>
      </c>
      <c r="H279" t="s">
        <v>491</v>
      </c>
      <c r="I279" t="str">
        <f t="shared" si="32"/>
        <v>RETURN - 2nd don of the week -BONUS</v>
      </c>
      <c r="J279" t="s">
        <v>546</v>
      </c>
      <c r="K279" s="5">
        <v>24</v>
      </c>
      <c r="L279" t="str">
        <f>Table_DataFromNL[[#This Row],[PROFILECODE]]&amp;"-"&amp;Table_DataFromNL[[#This Row],[RULENAME]]</f>
        <v>CP177-2X Week P VZV Pre-Existing AP</v>
      </c>
      <c r="M279" t="str">
        <f t="shared" si="33"/>
        <v>CP177-2X Week P VZV Pre-Existing AP</v>
      </c>
    </row>
    <row r="280" spans="1:13" x14ac:dyDescent="0.25">
      <c r="A280" t="str">
        <f t="shared" si="34"/>
        <v>CP177-RETURN - 6th don of the month -BONUS</v>
      </c>
      <c r="B280" t="s">
        <v>299</v>
      </c>
      <c r="C280" t="str">
        <f t="shared" si="28"/>
        <v>Bowling Green</v>
      </c>
      <c r="D280" t="str">
        <f t="shared" si="29"/>
        <v>Y</v>
      </c>
      <c r="E280" t="s">
        <v>602</v>
      </c>
      <c r="F280" t="str">
        <f t="shared" si="30"/>
        <v>RETURN - 6th don of the month -BONUS</v>
      </c>
      <c r="G280" t="str">
        <f t="shared" si="31"/>
        <v>Marketing</v>
      </c>
      <c r="H280" t="s">
        <v>552</v>
      </c>
      <c r="I280">
        <f t="shared" si="32"/>
        <v>28</v>
      </c>
      <c r="J280" t="s">
        <v>546</v>
      </c>
      <c r="K280" s="5">
        <v>30</v>
      </c>
      <c r="L280" t="str">
        <f>Table_DataFromNL[[#This Row],[PROFILECODE]]&amp;"-"&amp;Table_DataFromNL[[#This Row],[RULENAME]]</f>
        <v>CP177-6X Month</v>
      </c>
      <c r="M280" t="str">
        <f t="shared" si="33"/>
        <v>CP177-RETURN - 6th don of the month -BONUS</v>
      </c>
    </row>
    <row r="281" spans="1:13" x14ac:dyDescent="0.25">
      <c r="A281" t="str">
        <f t="shared" si="34"/>
        <v>CP177-College ID Standard Bonus</v>
      </c>
      <c r="B281" t="s">
        <v>299</v>
      </c>
      <c r="C281" t="str">
        <f t="shared" si="28"/>
        <v>Bowling Green</v>
      </c>
      <c r="D281" t="str">
        <f t="shared" si="29"/>
        <v>Y</v>
      </c>
      <c r="E281" t="s">
        <v>602</v>
      </c>
      <c r="F281" t="str">
        <f t="shared" si="30"/>
        <v>College ID Standard Bonus</v>
      </c>
      <c r="G281">
        <f t="shared" si="31"/>
        <v>0</v>
      </c>
      <c r="H281" t="s">
        <v>553</v>
      </c>
      <c r="I281">
        <f t="shared" si="32"/>
        <v>0</v>
      </c>
      <c r="J281" t="s">
        <v>546</v>
      </c>
      <c r="K281" s="5">
        <v>5</v>
      </c>
      <c r="L281" t="str">
        <f>Table_DataFromNL[[#This Row],[PROFILECODE]]&amp;"-"&amp;Table_DataFromNL[[#This Row],[RULENAME]]</f>
        <v>CP177-College ID Standard Bonus</v>
      </c>
      <c r="M281" t="e">
        <f t="shared" si="33"/>
        <v>#N/A</v>
      </c>
    </row>
    <row r="282" spans="1:13" x14ac:dyDescent="0.25">
      <c r="A282" t="str">
        <f t="shared" si="34"/>
        <v>CP177-Military ID</v>
      </c>
      <c r="B282" t="s">
        <v>299</v>
      </c>
      <c r="C282" t="str">
        <f t="shared" si="28"/>
        <v>Bowling Green</v>
      </c>
      <c r="D282" t="str">
        <f t="shared" si="29"/>
        <v>Y</v>
      </c>
      <c r="E282" t="s">
        <v>602</v>
      </c>
      <c r="F282" t="str">
        <f t="shared" si="30"/>
        <v>Military ID</v>
      </c>
      <c r="G282">
        <f t="shared" si="31"/>
        <v>0</v>
      </c>
      <c r="H282" t="s">
        <v>554</v>
      </c>
      <c r="I282">
        <f t="shared" si="32"/>
        <v>0</v>
      </c>
      <c r="J282" t="s">
        <v>546</v>
      </c>
      <c r="K282" s="5">
        <v>5</v>
      </c>
      <c r="L282" t="str">
        <f>Table_DataFromNL[[#This Row],[PROFILECODE]]&amp;"-"&amp;Table_DataFromNL[[#This Row],[RULENAME]]</f>
        <v>CP177-Military ID</v>
      </c>
      <c r="M282" t="e">
        <f t="shared" si="33"/>
        <v>#N/A</v>
      </c>
    </row>
    <row r="283" spans="1:13" x14ac:dyDescent="0.25">
      <c r="A283" t="str">
        <f t="shared" si="34"/>
        <v>CP177-NEW DONOR -1st</v>
      </c>
      <c r="B283" t="s">
        <v>299</v>
      </c>
      <c r="C283" t="str">
        <f t="shared" si="28"/>
        <v>Bowling Green</v>
      </c>
      <c r="D283" t="str">
        <f t="shared" si="29"/>
        <v>Y</v>
      </c>
      <c r="E283" t="s">
        <v>602</v>
      </c>
      <c r="F283" t="str">
        <f t="shared" si="30"/>
        <v>NEW DONOR -1st</v>
      </c>
      <c r="G283" t="str">
        <f t="shared" si="31"/>
        <v>Marketing</v>
      </c>
      <c r="H283" t="s">
        <v>555</v>
      </c>
      <c r="I283">
        <f t="shared" si="32"/>
        <v>1</v>
      </c>
      <c r="J283" t="s">
        <v>546</v>
      </c>
      <c r="K283" s="5">
        <v>100</v>
      </c>
      <c r="L283" t="str">
        <f>Table_DataFromNL[[#This Row],[PROFILECODE]]&amp;"-"&amp;Table_DataFromNL[[#This Row],[RULENAME]]</f>
        <v>CP177-New Donor 1st Visit-Bonus</v>
      </c>
      <c r="M283" t="str">
        <f t="shared" si="33"/>
        <v>CP177-NEW DONOR -1st</v>
      </c>
    </row>
    <row r="284" spans="1:13" x14ac:dyDescent="0.25">
      <c r="A284" t="str">
        <f t="shared" si="34"/>
        <v>CP177-NEW DONOR -2nd</v>
      </c>
      <c r="B284" t="s">
        <v>299</v>
      </c>
      <c r="C284" t="str">
        <f t="shared" si="28"/>
        <v>Bowling Green</v>
      </c>
      <c r="D284" t="str">
        <f t="shared" si="29"/>
        <v>Y</v>
      </c>
      <c r="E284" t="s">
        <v>602</v>
      </c>
      <c r="F284" t="str">
        <f t="shared" si="30"/>
        <v>NEW DONOR -2nd</v>
      </c>
      <c r="G284" t="str">
        <f t="shared" si="31"/>
        <v>Marketing</v>
      </c>
      <c r="H284" t="s">
        <v>556</v>
      </c>
      <c r="I284">
        <f t="shared" si="32"/>
        <v>2</v>
      </c>
      <c r="J284" t="s">
        <v>546</v>
      </c>
      <c r="K284" s="5">
        <v>100</v>
      </c>
      <c r="L284" t="str">
        <f>Table_DataFromNL[[#This Row],[PROFILECODE]]&amp;"-"&amp;Table_DataFromNL[[#This Row],[RULENAME]]</f>
        <v>CP177-New Donor 2nd Visit-Bonus</v>
      </c>
      <c r="M284" t="str">
        <f t="shared" si="33"/>
        <v>CP177-NEW DONOR -2nd</v>
      </c>
    </row>
    <row r="285" spans="1:13" x14ac:dyDescent="0.25">
      <c r="A285" t="str">
        <f t="shared" si="34"/>
        <v>CP177-NEW DONOR -3rd</v>
      </c>
      <c r="B285" t="s">
        <v>299</v>
      </c>
      <c r="C285" t="str">
        <f t="shared" si="28"/>
        <v>Bowling Green</v>
      </c>
      <c r="D285" t="str">
        <f t="shared" si="29"/>
        <v>Y</v>
      </c>
      <c r="E285" t="s">
        <v>602</v>
      </c>
      <c r="F285" t="str">
        <f t="shared" si="30"/>
        <v>NEW DONOR -3rd</v>
      </c>
      <c r="G285" t="str">
        <f t="shared" si="31"/>
        <v>Marketing</v>
      </c>
      <c r="H285" t="s">
        <v>557</v>
      </c>
      <c r="I285">
        <f t="shared" si="32"/>
        <v>3</v>
      </c>
      <c r="J285" t="s">
        <v>546</v>
      </c>
      <c r="K285" s="5">
        <v>36</v>
      </c>
      <c r="L285" t="str">
        <f>Table_DataFromNL[[#This Row],[PROFILECODE]]&amp;"-"&amp;Table_DataFromNL[[#This Row],[RULENAME]]</f>
        <v>CP177-New Donor 3rd Visit-Bonus</v>
      </c>
      <c r="M285" t="str">
        <f t="shared" si="33"/>
        <v>CP177-NEW DONOR -3rd</v>
      </c>
    </row>
    <row r="286" spans="1:13" x14ac:dyDescent="0.25">
      <c r="A286" t="str">
        <f t="shared" si="34"/>
        <v>CP177-NEW DONOR -4th</v>
      </c>
      <c r="B286" t="s">
        <v>299</v>
      </c>
      <c r="C286" t="str">
        <f t="shared" si="28"/>
        <v>Bowling Green</v>
      </c>
      <c r="D286" t="str">
        <f t="shared" si="29"/>
        <v>Y</v>
      </c>
      <c r="E286" t="s">
        <v>602</v>
      </c>
      <c r="F286" t="str">
        <f t="shared" si="30"/>
        <v>NEW DONOR -4th</v>
      </c>
      <c r="G286" t="str">
        <f t="shared" si="31"/>
        <v>Marketing</v>
      </c>
      <c r="H286" t="s">
        <v>558</v>
      </c>
      <c r="I286">
        <f t="shared" si="32"/>
        <v>4</v>
      </c>
      <c r="J286" t="s">
        <v>546</v>
      </c>
      <c r="K286" s="5">
        <v>36</v>
      </c>
      <c r="L286" t="str">
        <f>Table_DataFromNL[[#This Row],[PROFILECODE]]&amp;"-"&amp;Table_DataFromNL[[#This Row],[RULENAME]]</f>
        <v>CP177-New Donor 4th Visit-Bonus</v>
      </c>
      <c r="M286" t="str">
        <f t="shared" si="33"/>
        <v>CP177-NEW DONOR -4th</v>
      </c>
    </row>
    <row r="287" spans="1:13" x14ac:dyDescent="0.25">
      <c r="A287" t="str">
        <f t="shared" si="34"/>
        <v>CP177-NEW DONOR -5th</v>
      </c>
      <c r="B287" t="s">
        <v>299</v>
      </c>
      <c r="C287" t="str">
        <f t="shared" si="28"/>
        <v>Bowling Green</v>
      </c>
      <c r="D287" t="str">
        <f t="shared" si="29"/>
        <v>Y</v>
      </c>
      <c r="E287" t="s">
        <v>602</v>
      </c>
      <c r="F287" t="str">
        <f t="shared" si="30"/>
        <v>NEW DONOR -5th</v>
      </c>
      <c r="G287" t="str">
        <f t="shared" si="31"/>
        <v>Marketing</v>
      </c>
      <c r="H287" t="s">
        <v>559</v>
      </c>
      <c r="I287">
        <f t="shared" si="32"/>
        <v>5</v>
      </c>
      <c r="J287" t="s">
        <v>546</v>
      </c>
      <c r="K287" s="5">
        <v>36</v>
      </c>
      <c r="L287" t="str">
        <f>Table_DataFromNL[[#This Row],[PROFILECODE]]&amp;"-"&amp;Table_DataFromNL[[#This Row],[RULENAME]]</f>
        <v>CP177-New Donor 5th Visit-Bonus</v>
      </c>
      <c r="M287" t="str">
        <f t="shared" si="33"/>
        <v>CP177-NEW DONOR -5th</v>
      </c>
    </row>
    <row r="288" spans="1:13" x14ac:dyDescent="0.25">
      <c r="A288" t="str">
        <f t="shared" si="34"/>
        <v>CP177-NEW DONOR -6th</v>
      </c>
      <c r="B288" t="s">
        <v>299</v>
      </c>
      <c r="C288" t="str">
        <f t="shared" si="28"/>
        <v>Bowling Green</v>
      </c>
      <c r="D288" t="str">
        <f t="shared" si="29"/>
        <v>Y</v>
      </c>
      <c r="E288" t="s">
        <v>602</v>
      </c>
      <c r="F288" t="str">
        <f t="shared" si="30"/>
        <v>NEW DONOR -6th</v>
      </c>
      <c r="G288" t="str">
        <f t="shared" si="31"/>
        <v>Marketing</v>
      </c>
      <c r="H288" t="s">
        <v>560</v>
      </c>
      <c r="I288">
        <f t="shared" si="32"/>
        <v>6</v>
      </c>
      <c r="J288" t="s">
        <v>546</v>
      </c>
      <c r="K288" s="5">
        <v>36</v>
      </c>
      <c r="L288" t="str">
        <f>Table_DataFromNL[[#This Row],[PROFILECODE]]&amp;"-"&amp;Table_DataFromNL[[#This Row],[RULENAME]]</f>
        <v>CP177-New Donor 6th Visit-Bonus</v>
      </c>
      <c r="M288" t="str">
        <f t="shared" si="33"/>
        <v>CP177-NEW DONOR -6th</v>
      </c>
    </row>
    <row r="289" spans="1:13" x14ac:dyDescent="0.25">
      <c r="A289" t="str">
        <f t="shared" si="34"/>
        <v>CP177-NEW DONOR -7th</v>
      </c>
      <c r="B289" t="s">
        <v>299</v>
      </c>
      <c r="C289" t="str">
        <f t="shared" si="28"/>
        <v>Bowling Green</v>
      </c>
      <c r="D289" t="str">
        <f t="shared" si="29"/>
        <v>Y</v>
      </c>
      <c r="E289" t="s">
        <v>602</v>
      </c>
      <c r="F289" t="str">
        <f t="shared" si="30"/>
        <v>NEW DONOR -7th</v>
      </c>
      <c r="G289" t="str">
        <f t="shared" si="31"/>
        <v>Marketing</v>
      </c>
      <c r="H289" t="s">
        <v>561</v>
      </c>
      <c r="I289">
        <f t="shared" si="32"/>
        <v>7</v>
      </c>
      <c r="J289" t="s">
        <v>546</v>
      </c>
      <c r="K289" s="5">
        <v>36</v>
      </c>
      <c r="L289" t="str">
        <f>Table_DataFromNL[[#This Row],[PROFILECODE]]&amp;"-"&amp;Table_DataFromNL[[#This Row],[RULENAME]]</f>
        <v>CP177-New Donor 7th Visit-Bonus</v>
      </c>
      <c r="M289" t="str">
        <f t="shared" si="33"/>
        <v>CP177-NEW DONOR -7th</v>
      </c>
    </row>
    <row r="290" spans="1:13" x14ac:dyDescent="0.25">
      <c r="A290" t="str">
        <f t="shared" si="34"/>
        <v>CP177-NEW DONOR -8th</v>
      </c>
      <c r="B290" t="s">
        <v>299</v>
      </c>
      <c r="C290" t="str">
        <f t="shared" si="28"/>
        <v>Bowling Green</v>
      </c>
      <c r="D290" t="str">
        <f t="shared" si="29"/>
        <v>Y</v>
      </c>
      <c r="E290" t="s">
        <v>602</v>
      </c>
      <c r="F290" t="str">
        <f t="shared" si="30"/>
        <v>NEW DONOR -8th</v>
      </c>
      <c r="G290" t="str">
        <f t="shared" si="31"/>
        <v>Marketing</v>
      </c>
      <c r="H290" t="s">
        <v>562</v>
      </c>
      <c r="I290">
        <f t="shared" si="32"/>
        <v>8</v>
      </c>
      <c r="J290" t="s">
        <v>546</v>
      </c>
      <c r="K290" s="5">
        <v>36</v>
      </c>
      <c r="L290" t="str">
        <f>Table_DataFromNL[[#This Row],[PROFILECODE]]&amp;"-"&amp;Table_DataFromNL[[#This Row],[RULENAME]]</f>
        <v>CP177-New Donor 8th Visit-Bonus</v>
      </c>
      <c r="M290" t="str">
        <f t="shared" si="33"/>
        <v>CP177-NEW DONOR -8th</v>
      </c>
    </row>
    <row r="291" spans="1:13" x14ac:dyDescent="0.25">
      <c r="A291" t="str">
        <f t="shared" si="34"/>
        <v>CP177-Community</v>
      </c>
      <c r="B291" t="s">
        <v>299</v>
      </c>
      <c r="C291" t="str">
        <f t="shared" si="28"/>
        <v>Bowling Green</v>
      </c>
      <c r="D291" t="str">
        <f t="shared" si="29"/>
        <v>Y</v>
      </c>
      <c r="E291" t="s">
        <v>602</v>
      </c>
      <c r="F291" t="str">
        <f t="shared" si="30"/>
        <v>Community</v>
      </c>
      <c r="G291">
        <f t="shared" si="31"/>
        <v>0</v>
      </c>
      <c r="H291" t="s">
        <v>563</v>
      </c>
      <c r="I291">
        <f t="shared" si="32"/>
        <v>0</v>
      </c>
      <c r="J291" t="s">
        <v>564</v>
      </c>
      <c r="K291" s="5">
        <v>5</v>
      </c>
      <c r="L291" t="str">
        <f>Table_DataFromNL[[#This Row],[PROFILECODE]]&amp;"-"&amp;Table_DataFromNL[[#This Row],[RULENAME]]</f>
        <v>CP177-Community</v>
      </c>
      <c r="M291" t="e">
        <f t="shared" si="33"/>
        <v>#N/A</v>
      </c>
    </row>
    <row r="292" spans="1:13" x14ac:dyDescent="0.25">
      <c r="A292" t="str">
        <f t="shared" si="34"/>
        <v>CP177-HANGER_RECRUIT_5USD_once</v>
      </c>
      <c r="B292" t="s">
        <v>299</v>
      </c>
      <c r="C292" t="str">
        <f t="shared" si="28"/>
        <v>Bowling Green</v>
      </c>
      <c r="D292" t="str">
        <f t="shared" si="29"/>
        <v>Y</v>
      </c>
      <c r="E292" t="s">
        <v>602</v>
      </c>
      <c r="F292" t="str">
        <f t="shared" si="30"/>
        <v>HANGER_RECRUIT_5USD_once</v>
      </c>
      <c r="G292">
        <f t="shared" si="31"/>
        <v>0</v>
      </c>
      <c r="H292" t="s">
        <v>565</v>
      </c>
      <c r="I292">
        <f t="shared" si="32"/>
        <v>0</v>
      </c>
      <c r="J292" t="s">
        <v>564</v>
      </c>
      <c r="K292" s="5">
        <v>5</v>
      </c>
      <c r="L292" t="str">
        <f>Table_DataFromNL[[#This Row],[PROFILECODE]]&amp;"-"&amp;Table_DataFromNL[[#This Row],[RULENAME]]</f>
        <v>CP177-HANGER_RECRUIT_5USD_once</v>
      </c>
      <c r="M292" t="e">
        <f t="shared" si="33"/>
        <v>#N/A</v>
      </c>
    </row>
    <row r="293" spans="1:13" x14ac:dyDescent="0.25">
      <c r="A293" t="str">
        <f t="shared" si="34"/>
        <v>CP177-Immunization Boost Payment</v>
      </c>
      <c r="B293" t="s">
        <v>299</v>
      </c>
      <c r="C293" t="str">
        <f t="shared" si="28"/>
        <v>Bowling Green</v>
      </c>
      <c r="D293" t="str">
        <f t="shared" si="29"/>
        <v>Y</v>
      </c>
      <c r="E293" t="s">
        <v>602</v>
      </c>
      <c r="F293" t="str">
        <f t="shared" si="30"/>
        <v>Immunization Boost Payment</v>
      </c>
      <c r="G293">
        <f t="shared" si="31"/>
        <v>0</v>
      </c>
      <c r="H293" t="s">
        <v>598</v>
      </c>
      <c r="I293">
        <f t="shared" si="32"/>
        <v>0</v>
      </c>
      <c r="J293" t="s">
        <v>564</v>
      </c>
      <c r="K293" s="5">
        <v>50</v>
      </c>
      <c r="L293" t="str">
        <f>Table_DataFromNL[[#This Row],[PROFILECODE]]&amp;"-"&amp;Table_DataFromNL[[#This Row],[RULENAME]]</f>
        <v>CP177-Immunization Boost Payment</v>
      </c>
      <c r="M293" t="e">
        <f t="shared" si="33"/>
        <v>#N/A</v>
      </c>
    </row>
    <row r="294" spans="1:13" x14ac:dyDescent="0.25">
      <c r="A294" t="str">
        <f t="shared" si="34"/>
        <v>CP177-Immunization Series Payment</v>
      </c>
      <c r="B294" t="s">
        <v>299</v>
      </c>
      <c r="C294" t="str">
        <f t="shared" si="28"/>
        <v>Bowling Green</v>
      </c>
      <c r="D294" t="str">
        <f t="shared" si="29"/>
        <v>Y</v>
      </c>
      <c r="E294" t="s">
        <v>602</v>
      </c>
      <c r="F294" t="str">
        <f t="shared" si="30"/>
        <v>Immunization Series Payment</v>
      </c>
      <c r="G294">
        <f t="shared" si="31"/>
        <v>0</v>
      </c>
      <c r="H294" t="s">
        <v>599</v>
      </c>
      <c r="I294">
        <f t="shared" si="32"/>
        <v>0</v>
      </c>
      <c r="J294" t="s">
        <v>564</v>
      </c>
      <c r="K294" s="5">
        <v>100</v>
      </c>
      <c r="L294" t="str">
        <f>Table_DataFromNL[[#This Row],[PROFILECODE]]&amp;"-"&amp;Table_DataFromNL[[#This Row],[RULENAME]]</f>
        <v>CP177-Immunization Series Payment</v>
      </c>
      <c r="M294" t="e">
        <f t="shared" si="33"/>
        <v>#N/A</v>
      </c>
    </row>
    <row r="295" spans="1:13" x14ac:dyDescent="0.25">
      <c r="A295" t="str">
        <f t="shared" si="34"/>
        <v>CP177-Inconv Fee $20-$50-Comment Req'd</v>
      </c>
      <c r="B295" t="s">
        <v>299</v>
      </c>
      <c r="C295" t="str">
        <f t="shared" si="28"/>
        <v>Bowling Green</v>
      </c>
      <c r="D295" t="str">
        <f t="shared" si="29"/>
        <v>Y</v>
      </c>
      <c r="E295" t="s">
        <v>602</v>
      </c>
      <c r="F295" t="str">
        <f t="shared" si="30"/>
        <v>Inconv Fee $20-$50-Comment Req'd</v>
      </c>
      <c r="G295">
        <f t="shared" si="31"/>
        <v>0</v>
      </c>
      <c r="H295" t="s">
        <v>566</v>
      </c>
      <c r="I295">
        <f t="shared" si="32"/>
        <v>0</v>
      </c>
      <c r="J295" t="s">
        <v>564</v>
      </c>
      <c r="K295" s="5">
        <v>50</v>
      </c>
      <c r="L295" t="str">
        <f>Table_DataFromNL[[#This Row],[PROFILECODE]]&amp;"-"&amp;Table_DataFromNL[[#This Row],[RULENAME]]</f>
        <v>CP177-Inconv Fee $20-$50-Comment Req'd</v>
      </c>
      <c r="M295" t="e">
        <f t="shared" si="33"/>
        <v>#N/A</v>
      </c>
    </row>
    <row r="296" spans="1:13" x14ac:dyDescent="0.25">
      <c r="A296" t="str">
        <f t="shared" si="34"/>
        <v>CP177-Inconv Fee $5-$20-Comment Req'd</v>
      </c>
      <c r="B296" t="s">
        <v>299</v>
      </c>
      <c r="C296" t="str">
        <f t="shared" si="28"/>
        <v>Bowling Green</v>
      </c>
      <c r="D296" t="str">
        <f t="shared" si="29"/>
        <v>Y</v>
      </c>
      <c r="E296" t="s">
        <v>602</v>
      </c>
      <c r="F296" t="str">
        <f t="shared" si="30"/>
        <v>Inconv Fee $5-$20-Comment Req'd</v>
      </c>
      <c r="G296">
        <f t="shared" si="31"/>
        <v>0</v>
      </c>
      <c r="H296" t="s">
        <v>567</v>
      </c>
      <c r="I296">
        <f t="shared" si="32"/>
        <v>0</v>
      </c>
      <c r="J296" t="s">
        <v>564</v>
      </c>
      <c r="K296" s="5">
        <v>20</v>
      </c>
      <c r="L296" t="str">
        <f>Table_DataFromNL[[#This Row],[PROFILECODE]]&amp;"-"&amp;Table_DataFromNL[[#This Row],[RULENAME]]</f>
        <v>CP177-Inconv Fee $5-$20-Comment Req'd</v>
      </c>
      <c r="M296" t="e">
        <f t="shared" si="33"/>
        <v>#N/A</v>
      </c>
    </row>
    <row r="297" spans="1:13" x14ac:dyDescent="0.25">
      <c r="A297" t="str">
        <f t="shared" si="34"/>
        <v>CP177-Inconv Fee$50-$100-Comment Req'd</v>
      </c>
      <c r="B297" t="s">
        <v>299</v>
      </c>
      <c r="C297" t="str">
        <f t="shared" si="28"/>
        <v>Bowling Green</v>
      </c>
      <c r="D297" t="str">
        <f t="shared" si="29"/>
        <v>Y</v>
      </c>
      <c r="E297" t="s">
        <v>602</v>
      </c>
      <c r="F297" t="str">
        <f t="shared" si="30"/>
        <v>Inconv Fee$50-$100-Comment Req'd</v>
      </c>
      <c r="G297">
        <f t="shared" si="31"/>
        <v>0</v>
      </c>
      <c r="H297" t="s">
        <v>568</v>
      </c>
      <c r="I297">
        <f t="shared" si="32"/>
        <v>0</v>
      </c>
      <c r="J297" t="s">
        <v>564</v>
      </c>
      <c r="K297" s="5">
        <v>100</v>
      </c>
      <c r="L297" t="str">
        <f>Table_DataFromNL[[#This Row],[PROFILECODE]]&amp;"-"&amp;Table_DataFromNL[[#This Row],[RULENAME]]</f>
        <v>CP177-Inconv Fee$50-$100-Comment Req'd</v>
      </c>
      <c r="M297" t="e">
        <f t="shared" si="33"/>
        <v>#N/A</v>
      </c>
    </row>
    <row r="298" spans="1:13" x14ac:dyDescent="0.25">
      <c r="A298" t="str">
        <f t="shared" si="34"/>
        <v>CP177-NSP_ LAPSEDONOR_50_Twice</v>
      </c>
      <c r="B298" t="s">
        <v>299</v>
      </c>
      <c r="C298" t="str">
        <f t="shared" si="28"/>
        <v>Bowling Green</v>
      </c>
      <c r="D298" t="str">
        <f t="shared" si="29"/>
        <v>Y</v>
      </c>
      <c r="E298" t="s">
        <v>602</v>
      </c>
      <c r="F298" t="str">
        <f t="shared" si="30"/>
        <v>NSP_ LAPSEDONOR_50_Twice</v>
      </c>
      <c r="G298">
        <f t="shared" si="31"/>
        <v>0</v>
      </c>
      <c r="H298" t="s">
        <v>569</v>
      </c>
      <c r="I298">
        <f t="shared" si="32"/>
        <v>0</v>
      </c>
      <c r="J298" t="s">
        <v>564</v>
      </c>
      <c r="K298" s="5">
        <v>50</v>
      </c>
      <c r="L298" t="str">
        <f>Table_DataFromNL[[#This Row],[PROFILECODE]]&amp;"-"&amp;Table_DataFromNL[[#This Row],[RULENAME]]</f>
        <v>CP177-NSP_ LAPSEDONOR_50_Twice</v>
      </c>
      <c r="M298" t="e">
        <f t="shared" si="33"/>
        <v>#N/A</v>
      </c>
    </row>
    <row r="299" spans="1:13" x14ac:dyDescent="0.25">
      <c r="A299" t="str">
        <f t="shared" si="34"/>
        <v>CP177-NSP_LD_25_2X</v>
      </c>
      <c r="B299" t="s">
        <v>299</v>
      </c>
      <c r="C299" t="str">
        <f t="shared" si="28"/>
        <v>Bowling Green</v>
      </c>
      <c r="D299" t="str">
        <f t="shared" si="29"/>
        <v>Y</v>
      </c>
      <c r="E299" t="s">
        <v>602</v>
      </c>
      <c r="F299" t="str">
        <f t="shared" si="30"/>
        <v>NSP_LD_25_2X</v>
      </c>
      <c r="G299">
        <f t="shared" si="31"/>
        <v>0</v>
      </c>
      <c r="H299" t="s">
        <v>570</v>
      </c>
      <c r="I299">
        <f t="shared" si="32"/>
        <v>0</v>
      </c>
      <c r="J299" t="s">
        <v>564</v>
      </c>
      <c r="K299" s="5">
        <v>25</v>
      </c>
      <c r="L299" t="str">
        <f>Table_DataFromNL[[#This Row],[PROFILECODE]]&amp;"-"&amp;Table_DataFromNL[[#This Row],[RULENAME]]</f>
        <v>CP177-NSP_LD_25_2X</v>
      </c>
      <c r="M299" t="e">
        <f t="shared" si="33"/>
        <v>#N/A</v>
      </c>
    </row>
    <row r="300" spans="1:13" x14ac:dyDescent="0.25">
      <c r="A300" t="str">
        <f t="shared" si="34"/>
        <v>CP177-NSP_LD_50_1X</v>
      </c>
      <c r="B300" t="s">
        <v>299</v>
      </c>
      <c r="C300" t="str">
        <f t="shared" si="28"/>
        <v>Bowling Green</v>
      </c>
      <c r="D300" t="str">
        <f t="shared" si="29"/>
        <v>Y</v>
      </c>
      <c r="E300" t="s">
        <v>602</v>
      </c>
      <c r="F300" t="str">
        <f t="shared" si="30"/>
        <v>NSP_LD_50_1X</v>
      </c>
      <c r="G300">
        <f t="shared" si="31"/>
        <v>0</v>
      </c>
      <c r="H300" t="s">
        <v>571</v>
      </c>
      <c r="I300">
        <f t="shared" si="32"/>
        <v>0</v>
      </c>
      <c r="J300" t="s">
        <v>564</v>
      </c>
      <c r="K300" s="5">
        <v>50</v>
      </c>
      <c r="L300" t="str">
        <f>Table_DataFromNL[[#This Row],[PROFILECODE]]&amp;"-"&amp;Table_DataFromNL[[#This Row],[RULENAME]]</f>
        <v>CP177-NSP_LD_50_1X</v>
      </c>
      <c r="M300" t="e">
        <f t="shared" si="33"/>
        <v>#N/A</v>
      </c>
    </row>
    <row r="301" spans="1:13" x14ac:dyDescent="0.25">
      <c r="A301" t="str">
        <f t="shared" si="34"/>
        <v>CP177-NSP_ORPHAN_100_once</v>
      </c>
      <c r="B301" t="s">
        <v>299</v>
      </c>
      <c r="C301" t="str">
        <f t="shared" si="28"/>
        <v>Bowling Green</v>
      </c>
      <c r="D301" t="str">
        <f t="shared" si="29"/>
        <v>Y</v>
      </c>
      <c r="E301" t="s">
        <v>602</v>
      </c>
      <c r="F301" t="str">
        <f t="shared" si="30"/>
        <v>NSP_ORPHAN_100_once</v>
      </c>
      <c r="G301">
        <f t="shared" si="31"/>
        <v>0</v>
      </c>
      <c r="H301" t="s">
        <v>572</v>
      </c>
      <c r="I301">
        <f t="shared" si="32"/>
        <v>0</v>
      </c>
      <c r="J301" t="s">
        <v>564</v>
      </c>
      <c r="K301" s="5">
        <v>100</v>
      </c>
      <c r="L301" t="str">
        <f>Table_DataFromNL[[#This Row],[PROFILECODE]]&amp;"-"&amp;Table_DataFromNL[[#This Row],[RULENAME]]</f>
        <v>CP177-NSP_ORPHAN_100_once</v>
      </c>
      <c r="M301" t="e">
        <f t="shared" si="33"/>
        <v>#N/A</v>
      </c>
    </row>
    <row r="302" spans="1:13" x14ac:dyDescent="0.25">
      <c r="A302" t="str">
        <f t="shared" si="34"/>
        <v>CP177-Restick</v>
      </c>
      <c r="B302" t="s">
        <v>299</v>
      </c>
      <c r="C302" t="str">
        <f t="shared" si="28"/>
        <v>Bowling Green</v>
      </c>
      <c r="D302" t="str">
        <f t="shared" si="29"/>
        <v>Y</v>
      </c>
      <c r="E302" t="s">
        <v>602</v>
      </c>
      <c r="F302" t="str">
        <f t="shared" si="30"/>
        <v>Restick</v>
      </c>
      <c r="G302">
        <f t="shared" si="31"/>
        <v>0</v>
      </c>
      <c r="H302" t="s">
        <v>573</v>
      </c>
      <c r="I302">
        <f t="shared" si="32"/>
        <v>0</v>
      </c>
      <c r="J302" t="s">
        <v>564</v>
      </c>
      <c r="K302" s="5">
        <v>5</v>
      </c>
      <c r="L302" t="str">
        <f>Table_DataFromNL[[#This Row],[PROFILECODE]]&amp;"-"&amp;Table_DataFromNL[[#This Row],[RULENAME]]</f>
        <v>CP177-Restick</v>
      </c>
      <c r="M302" t="e">
        <f t="shared" si="33"/>
        <v>#N/A</v>
      </c>
    </row>
    <row r="303" spans="1:13" x14ac:dyDescent="0.25">
      <c r="A303" t="str">
        <f t="shared" si="34"/>
        <v>CP177-SCRATCH_100_USD</v>
      </c>
      <c r="B303" t="s">
        <v>299</v>
      </c>
      <c r="C303" t="str">
        <f t="shared" si="28"/>
        <v>Bowling Green</v>
      </c>
      <c r="D303" t="str">
        <f t="shared" si="29"/>
        <v>Y</v>
      </c>
      <c r="E303" t="s">
        <v>602</v>
      </c>
      <c r="F303" t="str">
        <f t="shared" si="30"/>
        <v>SCRATCH_100_USD</v>
      </c>
      <c r="G303">
        <f t="shared" si="31"/>
        <v>0</v>
      </c>
      <c r="H303" t="s">
        <v>586</v>
      </c>
      <c r="I303">
        <f t="shared" si="32"/>
        <v>0</v>
      </c>
      <c r="J303" t="s">
        <v>564</v>
      </c>
      <c r="K303" s="5">
        <v>100</v>
      </c>
      <c r="L303" t="str">
        <f>Table_DataFromNL[[#This Row],[PROFILECODE]]&amp;"-"&amp;Table_DataFromNL[[#This Row],[RULENAME]]</f>
        <v>CP177-SCRATCH_100_USD</v>
      </c>
      <c r="M303" t="e">
        <f t="shared" si="33"/>
        <v>#N/A</v>
      </c>
    </row>
    <row r="304" spans="1:13" x14ac:dyDescent="0.25">
      <c r="A304" t="str">
        <f t="shared" si="34"/>
        <v>CP177-SCRATCH_10_USD</v>
      </c>
      <c r="B304" t="s">
        <v>299</v>
      </c>
      <c r="C304" t="str">
        <f t="shared" si="28"/>
        <v>Bowling Green</v>
      </c>
      <c r="D304" t="str">
        <f t="shared" si="29"/>
        <v>Y</v>
      </c>
      <c r="E304" t="s">
        <v>602</v>
      </c>
      <c r="F304" t="str">
        <f t="shared" si="30"/>
        <v>SCRATCH_10_USD</v>
      </c>
      <c r="G304">
        <f t="shared" si="31"/>
        <v>0</v>
      </c>
      <c r="H304" t="s">
        <v>587</v>
      </c>
      <c r="I304">
        <f t="shared" si="32"/>
        <v>0</v>
      </c>
      <c r="J304" t="s">
        <v>564</v>
      </c>
      <c r="K304" s="5">
        <v>10</v>
      </c>
      <c r="L304" t="str">
        <f>Table_DataFromNL[[#This Row],[PROFILECODE]]&amp;"-"&amp;Table_DataFromNL[[#This Row],[RULENAME]]</f>
        <v>CP177-SCRATCH_10_USD</v>
      </c>
      <c r="M304" t="e">
        <f t="shared" si="33"/>
        <v>#N/A</v>
      </c>
    </row>
    <row r="305" spans="1:13" x14ac:dyDescent="0.25">
      <c r="A305" t="str">
        <f t="shared" si="34"/>
        <v>CP177-SCRATCH_20_USD</v>
      </c>
      <c r="B305" t="s">
        <v>299</v>
      </c>
      <c r="C305" t="str">
        <f t="shared" si="28"/>
        <v>Bowling Green</v>
      </c>
      <c r="D305" t="str">
        <f t="shared" si="29"/>
        <v>Y</v>
      </c>
      <c r="E305" t="s">
        <v>602</v>
      </c>
      <c r="F305" t="str">
        <f t="shared" si="30"/>
        <v>SCRATCH_20_USD</v>
      </c>
      <c r="G305">
        <f t="shared" si="31"/>
        <v>0</v>
      </c>
      <c r="H305" t="s">
        <v>588</v>
      </c>
      <c r="I305">
        <f t="shared" si="32"/>
        <v>0</v>
      </c>
      <c r="J305" t="s">
        <v>564</v>
      </c>
      <c r="K305" s="5">
        <v>20</v>
      </c>
      <c r="L305" t="str">
        <f>Table_DataFromNL[[#This Row],[PROFILECODE]]&amp;"-"&amp;Table_DataFromNL[[#This Row],[RULENAME]]</f>
        <v>CP177-SCRATCH_20_USD</v>
      </c>
      <c r="M305" t="e">
        <f t="shared" si="33"/>
        <v>#N/A</v>
      </c>
    </row>
    <row r="306" spans="1:13" x14ac:dyDescent="0.25">
      <c r="A306" t="str">
        <f t="shared" si="34"/>
        <v>CP177-SCRATCH_25_USD</v>
      </c>
      <c r="B306" t="s">
        <v>299</v>
      </c>
      <c r="C306" t="str">
        <f t="shared" si="28"/>
        <v>Bowling Green</v>
      </c>
      <c r="D306" t="str">
        <f t="shared" si="29"/>
        <v>Y</v>
      </c>
      <c r="E306" t="s">
        <v>602</v>
      </c>
      <c r="F306" t="str">
        <f t="shared" si="30"/>
        <v>SCRATCH_25_USD</v>
      </c>
      <c r="G306">
        <f t="shared" si="31"/>
        <v>0</v>
      </c>
      <c r="H306" t="s">
        <v>589</v>
      </c>
      <c r="I306">
        <f t="shared" si="32"/>
        <v>0</v>
      </c>
      <c r="J306" t="s">
        <v>564</v>
      </c>
      <c r="K306" s="5">
        <v>25</v>
      </c>
      <c r="L306" t="str">
        <f>Table_DataFromNL[[#This Row],[PROFILECODE]]&amp;"-"&amp;Table_DataFromNL[[#This Row],[RULENAME]]</f>
        <v>CP177-SCRATCH_25_USD</v>
      </c>
      <c r="M306" t="e">
        <f t="shared" si="33"/>
        <v>#N/A</v>
      </c>
    </row>
    <row r="307" spans="1:13" x14ac:dyDescent="0.25">
      <c r="A307" t="str">
        <f t="shared" si="34"/>
        <v>CP177-SCRATCH_50_USD</v>
      </c>
      <c r="B307" t="s">
        <v>299</v>
      </c>
      <c r="C307" t="str">
        <f t="shared" si="28"/>
        <v>Bowling Green</v>
      </c>
      <c r="D307" t="str">
        <f t="shared" si="29"/>
        <v>Y</v>
      </c>
      <c r="E307" t="s">
        <v>602</v>
      </c>
      <c r="F307" t="str">
        <f t="shared" si="30"/>
        <v>SCRATCH_50_USD</v>
      </c>
      <c r="G307">
        <f t="shared" si="31"/>
        <v>0</v>
      </c>
      <c r="H307" t="s">
        <v>590</v>
      </c>
      <c r="I307">
        <f t="shared" si="32"/>
        <v>0</v>
      </c>
      <c r="J307" t="s">
        <v>564</v>
      </c>
      <c r="K307" s="5">
        <v>50</v>
      </c>
      <c r="L307" t="str">
        <f>Table_DataFromNL[[#This Row],[PROFILECODE]]&amp;"-"&amp;Table_DataFromNL[[#This Row],[RULENAME]]</f>
        <v>CP177-SCRATCH_50_USD</v>
      </c>
      <c r="M307" t="e">
        <f t="shared" si="33"/>
        <v>#N/A</v>
      </c>
    </row>
    <row r="308" spans="1:13" x14ac:dyDescent="0.25">
      <c r="A308" t="str">
        <f t="shared" si="34"/>
        <v>CP177-SCRATCH_5_USD</v>
      </c>
      <c r="B308" t="s">
        <v>299</v>
      </c>
      <c r="C308" t="str">
        <f t="shared" si="28"/>
        <v>Bowling Green</v>
      </c>
      <c r="D308" t="str">
        <f t="shared" si="29"/>
        <v>Y</v>
      </c>
      <c r="E308" t="s">
        <v>602</v>
      </c>
      <c r="F308" t="str">
        <f t="shared" si="30"/>
        <v>SCRATCH_5_USD</v>
      </c>
      <c r="G308">
        <f t="shared" si="31"/>
        <v>0</v>
      </c>
      <c r="H308" t="s">
        <v>591</v>
      </c>
      <c r="I308">
        <f t="shared" si="32"/>
        <v>0</v>
      </c>
      <c r="J308" t="s">
        <v>564</v>
      </c>
      <c r="K308" s="5">
        <v>5</v>
      </c>
      <c r="L308" t="str">
        <f>Table_DataFromNL[[#This Row],[PROFILECODE]]&amp;"-"&amp;Table_DataFromNL[[#This Row],[RULENAME]]</f>
        <v>CP177-SCRATCH_5_USD</v>
      </c>
      <c r="M308" t="e">
        <f t="shared" si="33"/>
        <v>#N/A</v>
      </c>
    </row>
    <row r="309" spans="1:13" x14ac:dyDescent="0.25">
      <c r="A309" t="str">
        <f t="shared" si="34"/>
        <v>CP177-SLOW_TEXT_5</v>
      </c>
      <c r="B309" t="s">
        <v>299</v>
      </c>
      <c r="C309" t="str">
        <f t="shared" si="28"/>
        <v>Bowling Green</v>
      </c>
      <c r="D309" t="str">
        <f t="shared" si="29"/>
        <v>Y</v>
      </c>
      <c r="E309" t="s">
        <v>602</v>
      </c>
      <c r="F309" t="str">
        <f t="shared" si="30"/>
        <v>SLOW_TEXT_5</v>
      </c>
      <c r="G309">
        <f t="shared" si="31"/>
        <v>0</v>
      </c>
      <c r="H309" t="s">
        <v>574</v>
      </c>
      <c r="I309">
        <f t="shared" si="32"/>
        <v>0</v>
      </c>
      <c r="J309" t="s">
        <v>564</v>
      </c>
      <c r="K309" s="5">
        <v>5</v>
      </c>
      <c r="L309" t="str">
        <f>Table_DataFromNL[[#This Row],[PROFILECODE]]&amp;"-"&amp;Table_DataFromNL[[#This Row],[RULENAME]]</f>
        <v>CP177-SLOW_TEXT_5</v>
      </c>
      <c r="M309" t="e">
        <f t="shared" si="33"/>
        <v>#N/A</v>
      </c>
    </row>
    <row r="310" spans="1:13" x14ac:dyDescent="0.25">
      <c r="A310" t="str">
        <f t="shared" si="34"/>
        <v>CP177-Sample Only</v>
      </c>
      <c r="B310" t="s">
        <v>299</v>
      </c>
      <c r="C310" t="str">
        <f t="shared" si="28"/>
        <v>Bowling Green</v>
      </c>
      <c r="D310" t="str">
        <f t="shared" si="29"/>
        <v>Y</v>
      </c>
      <c r="E310" t="s">
        <v>602</v>
      </c>
      <c r="F310" t="str">
        <f t="shared" si="30"/>
        <v>Sample Only</v>
      </c>
      <c r="G310">
        <f t="shared" si="31"/>
        <v>0</v>
      </c>
      <c r="H310" t="s">
        <v>575</v>
      </c>
      <c r="I310">
        <f t="shared" si="32"/>
        <v>0</v>
      </c>
      <c r="J310" t="s">
        <v>564</v>
      </c>
      <c r="K310" s="5">
        <v>5</v>
      </c>
      <c r="L310" t="str">
        <f>Table_DataFromNL[[#This Row],[PROFILECODE]]&amp;"-"&amp;Table_DataFromNL[[#This Row],[RULENAME]]</f>
        <v>CP177-Sample Only</v>
      </c>
      <c r="M310" t="e">
        <f t="shared" si="33"/>
        <v>#N/A</v>
      </c>
    </row>
    <row r="311" spans="1:13" x14ac:dyDescent="0.25">
      <c r="A311" t="str">
        <f t="shared" si="34"/>
        <v>CP177-Unit Below 250 mL</v>
      </c>
      <c r="B311" t="s">
        <v>299</v>
      </c>
      <c r="C311" t="str">
        <f t="shared" si="28"/>
        <v>Bowling Green</v>
      </c>
      <c r="D311" t="str">
        <f t="shared" si="29"/>
        <v>Y</v>
      </c>
      <c r="E311" t="s">
        <v>602</v>
      </c>
      <c r="F311" t="str">
        <f t="shared" si="30"/>
        <v>Unit Below 250 mL</v>
      </c>
      <c r="G311">
        <f t="shared" si="31"/>
        <v>0</v>
      </c>
      <c r="H311" t="s">
        <v>576</v>
      </c>
      <c r="I311">
        <f t="shared" si="32"/>
        <v>0</v>
      </c>
      <c r="J311" t="s">
        <v>564</v>
      </c>
      <c r="K311" s="5">
        <v>5</v>
      </c>
      <c r="L311" t="str">
        <f>Table_DataFromNL[[#This Row],[PROFILECODE]]&amp;"-"&amp;Table_DataFromNL[[#This Row],[RULENAME]]</f>
        <v>CP177-Unit Below 250 mL</v>
      </c>
      <c r="M311" t="e">
        <f t="shared" si="33"/>
        <v>#N/A</v>
      </c>
    </row>
    <row r="312" spans="1:13" x14ac:dyDescent="0.25">
      <c r="A312" t="str">
        <f t="shared" si="34"/>
        <v>CP177-Unit above 250 mL/underdraw</v>
      </c>
      <c r="B312" t="s">
        <v>299</v>
      </c>
      <c r="C312" t="str">
        <f t="shared" si="28"/>
        <v>Bowling Green</v>
      </c>
      <c r="D312" t="str">
        <f t="shared" si="29"/>
        <v>Y</v>
      </c>
      <c r="E312" t="s">
        <v>602</v>
      </c>
      <c r="F312" t="str">
        <f t="shared" si="30"/>
        <v>Unit above 250 mL/underdraw</v>
      </c>
      <c r="G312">
        <f t="shared" si="31"/>
        <v>0</v>
      </c>
      <c r="H312" t="s">
        <v>577</v>
      </c>
      <c r="I312">
        <f t="shared" si="32"/>
        <v>0</v>
      </c>
      <c r="J312" t="s">
        <v>564</v>
      </c>
      <c r="K312" s="5">
        <v>10</v>
      </c>
      <c r="L312" t="str">
        <f>Table_DataFromNL[[#This Row],[PROFILECODE]]&amp;"-"&amp;Table_DataFromNL[[#This Row],[RULENAME]]</f>
        <v>CP177-Unit above 250 mL/underdraw</v>
      </c>
      <c r="M312" t="e">
        <f t="shared" si="33"/>
        <v>#N/A</v>
      </c>
    </row>
    <row r="313" spans="1:13" x14ac:dyDescent="0.25">
      <c r="A313" t="str">
        <f t="shared" si="34"/>
        <v>CP177-RETURN - Buddy referral  -BONUS</v>
      </c>
      <c r="B313" t="s">
        <v>299</v>
      </c>
      <c r="C313" t="str">
        <f t="shared" si="28"/>
        <v>Bowling Green</v>
      </c>
      <c r="D313" t="str">
        <f t="shared" si="29"/>
        <v>Y</v>
      </c>
      <c r="E313" t="s">
        <v>602</v>
      </c>
      <c r="F313" t="str">
        <f t="shared" si="30"/>
        <v>RETURN - Buddy referral  -BONUS</v>
      </c>
      <c r="G313" t="str">
        <f t="shared" si="31"/>
        <v>Marketing</v>
      </c>
      <c r="H313" t="s">
        <v>34</v>
      </c>
      <c r="I313">
        <f t="shared" si="32"/>
        <v>50</v>
      </c>
      <c r="J313" t="s">
        <v>578</v>
      </c>
      <c r="K313" s="5">
        <v>50</v>
      </c>
      <c r="L313" t="str">
        <f>Table_DataFromNL[[#This Row],[PROFILECODE]]&amp;"-"&amp;Table_DataFromNL[[#This Row],[RULENAME]]</f>
        <v>CP177-Referral</v>
      </c>
      <c r="M313" t="str">
        <f t="shared" si="33"/>
        <v>CP177-RETURN - Buddy referral  -BONUS</v>
      </c>
    </row>
    <row r="314" spans="1:13" x14ac:dyDescent="0.25">
      <c r="A314" t="str">
        <f t="shared" si="34"/>
        <v>CP177-P Anti-D Pre-Existing Standard</v>
      </c>
      <c r="B314" t="s">
        <v>299</v>
      </c>
      <c r="C314" t="str">
        <f t="shared" si="28"/>
        <v>Bowling Green</v>
      </c>
      <c r="D314" t="str">
        <f t="shared" si="29"/>
        <v>Y</v>
      </c>
      <c r="E314" t="s">
        <v>602</v>
      </c>
      <c r="F314" t="str">
        <f t="shared" si="30"/>
        <v>P Anti-D Pre-Existing Standard</v>
      </c>
      <c r="G314" t="str">
        <f t="shared" si="31"/>
        <v>Specialty</v>
      </c>
      <c r="H314" t="s">
        <v>469</v>
      </c>
      <c r="I314" t="str">
        <f t="shared" si="32"/>
        <v>RETURN - 1st don of the week -STD</v>
      </c>
      <c r="J314" t="s">
        <v>579</v>
      </c>
      <c r="K314" s="5">
        <v>50</v>
      </c>
      <c r="L314" t="str">
        <f>Table_DataFromNL[[#This Row],[PROFILECODE]]&amp;"-"&amp;Table_DataFromNL[[#This Row],[RULENAME]]</f>
        <v>CP177-P Anti-D Pre-Existing Standard</v>
      </c>
      <c r="M314" t="str">
        <f t="shared" si="33"/>
        <v>CP177-P Anti-D Pre-Existing Standard</v>
      </c>
    </row>
    <row r="315" spans="1:13" x14ac:dyDescent="0.25">
      <c r="A315" t="str">
        <f t="shared" si="34"/>
        <v>CP177-P HBS Pre-Existing Standard</v>
      </c>
      <c r="B315" t="s">
        <v>299</v>
      </c>
      <c r="C315" t="str">
        <f t="shared" si="28"/>
        <v>Bowling Green</v>
      </c>
      <c r="D315" t="str">
        <f t="shared" si="29"/>
        <v>Y</v>
      </c>
      <c r="E315" t="s">
        <v>602</v>
      </c>
      <c r="F315" t="str">
        <f t="shared" si="30"/>
        <v>P HBS Pre-Existing Standard</v>
      </c>
      <c r="G315" t="str">
        <f t="shared" si="31"/>
        <v>Specialty</v>
      </c>
      <c r="H315" t="s">
        <v>472</v>
      </c>
      <c r="I315" t="str">
        <f t="shared" si="32"/>
        <v>RETURN - 1st don of the week -STD</v>
      </c>
      <c r="J315" t="s">
        <v>579</v>
      </c>
      <c r="K315" s="5">
        <v>56</v>
      </c>
      <c r="L315" t="str">
        <f>Table_DataFromNL[[#This Row],[PROFILECODE]]&amp;"-"&amp;Table_DataFromNL[[#This Row],[RULENAME]]</f>
        <v>CP177-P HBS Pre-Existing Standard</v>
      </c>
      <c r="M315" t="str">
        <f t="shared" si="33"/>
        <v>CP177-P HBS Pre-Existing Standard</v>
      </c>
    </row>
    <row r="316" spans="1:13" x14ac:dyDescent="0.25">
      <c r="A316" t="str">
        <f t="shared" si="34"/>
        <v>CP177-P HBS TWINRIX Standard</v>
      </c>
      <c r="B316" t="s">
        <v>299</v>
      </c>
      <c r="C316" t="str">
        <f t="shared" si="28"/>
        <v>Bowling Green</v>
      </c>
      <c r="D316" t="str">
        <f t="shared" si="29"/>
        <v>Y</v>
      </c>
      <c r="E316" t="s">
        <v>602</v>
      </c>
      <c r="F316" t="str">
        <f t="shared" si="30"/>
        <v>P HBS TWINRIX Standard</v>
      </c>
      <c r="G316" t="str">
        <f t="shared" si="31"/>
        <v>Specialty</v>
      </c>
      <c r="H316" t="s">
        <v>506</v>
      </c>
      <c r="I316" t="str">
        <f t="shared" si="32"/>
        <v>RETURN - 1st don of the week -STD</v>
      </c>
      <c r="J316" t="s">
        <v>579</v>
      </c>
      <c r="K316" s="5">
        <v>56</v>
      </c>
      <c r="L316" t="str">
        <f>Table_DataFromNL[[#This Row],[PROFILECODE]]&amp;"-"&amp;Table_DataFromNL[[#This Row],[RULENAME]]</f>
        <v>CP177-P HBS TWINRIX Standard</v>
      </c>
      <c r="M316" t="str">
        <f t="shared" si="33"/>
        <v>CP177-P HBS TWINRIX Standard</v>
      </c>
    </row>
    <row r="317" spans="1:13" x14ac:dyDescent="0.25">
      <c r="A317" t="str">
        <f t="shared" si="34"/>
        <v>CP177-P HBS TWINRIX-AP Standard</v>
      </c>
      <c r="B317" t="s">
        <v>299</v>
      </c>
      <c r="C317" t="str">
        <f t="shared" si="28"/>
        <v>Bowling Green</v>
      </c>
      <c r="D317" t="str">
        <f t="shared" si="29"/>
        <v>Y</v>
      </c>
      <c r="E317" t="s">
        <v>602</v>
      </c>
      <c r="F317" t="str">
        <f t="shared" si="30"/>
        <v>P HBS TWINRIX-AP Standard</v>
      </c>
      <c r="G317" t="str">
        <f t="shared" si="31"/>
        <v>Specialty</v>
      </c>
      <c r="H317" t="s">
        <v>507</v>
      </c>
      <c r="I317" t="str">
        <f t="shared" si="32"/>
        <v>RETURN - 1st don of the week -STD</v>
      </c>
      <c r="J317" t="s">
        <v>579</v>
      </c>
      <c r="K317" s="5">
        <v>56</v>
      </c>
      <c r="L317" t="str">
        <f>Table_DataFromNL[[#This Row],[PROFILECODE]]&amp;"-"&amp;Table_DataFromNL[[#This Row],[RULENAME]]</f>
        <v>CP177-P HBS TWINRIX-AP Standard</v>
      </c>
      <c r="M317" t="str">
        <f t="shared" si="33"/>
        <v>CP177-P HBS TWINRIX-AP Standard</v>
      </c>
    </row>
    <row r="318" spans="1:13" x14ac:dyDescent="0.25">
      <c r="A318" t="str">
        <f t="shared" si="34"/>
        <v>CP177-RETURN - 1st don of the week -STD</v>
      </c>
      <c r="B318" t="s">
        <v>299</v>
      </c>
      <c r="C318" t="str">
        <f t="shared" si="28"/>
        <v>Bowling Green</v>
      </c>
      <c r="D318" t="str">
        <f t="shared" si="29"/>
        <v>Y</v>
      </c>
      <c r="E318" t="s">
        <v>602</v>
      </c>
      <c r="F318" t="str">
        <f t="shared" si="30"/>
        <v>RETURN - 1st don of the week -STD</v>
      </c>
      <c r="G318" t="str">
        <f t="shared" si="31"/>
        <v>Marketing</v>
      </c>
      <c r="H318" t="s">
        <v>583</v>
      </c>
      <c r="I318">
        <f t="shared" si="32"/>
        <v>22</v>
      </c>
      <c r="J318" t="s">
        <v>579</v>
      </c>
      <c r="K318" s="5">
        <v>36</v>
      </c>
      <c r="L318" t="str">
        <f>Table_DataFromNL[[#This Row],[PROFILECODE]]&amp;"-"&amp;Table_DataFromNL[[#This Row],[RULENAME]]</f>
        <v>CP177-P NSP NS AP Standard</v>
      </c>
      <c r="M318" t="str">
        <f t="shared" si="33"/>
        <v>CP177-RETURN - 1st don of the week -STD</v>
      </c>
    </row>
    <row r="319" spans="1:13" x14ac:dyDescent="0.25">
      <c r="A319" t="str">
        <f t="shared" si="34"/>
        <v>CP177-RETURN - 1st don of the week -STD</v>
      </c>
      <c r="B319" t="s">
        <v>299</v>
      </c>
      <c r="C319" t="str">
        <f t="shared" si="28"/>
        <v>Bowling Green</v>
      </c>
      <c r="D319" t="str">
        <f t="shared" si="29"/>
        <v>Y</v>
      </c>
      <c r="E319" t="s">
        <v>602</v>
      </c>
      <c r="F319" t="str">
        <f t="shared" si="30"/>
        <v>RETURN - 1st don of the week -STD</v>
      </c>
      <c r="G319" t="str">
        <f t="shared" si="31"/>
        <v>Marketing</v>
      </c>
      <c r="H319" t="s">
        <v>584</v>
      </c>
      <c r="I319">
        <f t="shared" si="32"/>
        <v>23</v>
      </c>
      <c r="J319" t="s">
        <v>579</v>
      </c>
      <c r="K319" s="5">
        <v>36</v>
      </c>
      <c r="L319" t="str">
        <f>Table_DataFromNL[[#This Row],[PROFILECODE]]&amp;"-"&amp;Table_DataFromNL[[#This Row],[RULENAME]]</f>
        <v>CP177-P NSP NS Standard</v>
      </c>
      <c r="M319" t="str">
        <f t="shared" si="33"/>
        <v>CP177-RETURN - 1st don of the week -STD</v>
      </c>
    </row>
    <row r="320" spans="1:13" x14ac:dyDescent="0.25">
      <c r="A320" t="str">
        <f t="shared" si="34"/>
        <v>CP177-P VZV Pre-Existing AP</v>
      </c>
      <c r="B320" t="s">
        <v>299</v>
      </c>
      <c r="C320" t="str">
        <f t="shared" si="28"/>
        <v>Bowling Green</v>
      </c>
      <c r="D320" t="str">
        <f t="shared" si="29"/>
        <v>Y</v>
      </c>
      <c r="E320" t="s">
        <v>602</v>
      </c>
      <c r="F320" t="str">
        <f t="shared" si="30"/>
        <v>P VZV Pre-Existing AP</v>
      </c>
      <c r="G320" t="str">
        <f t="shared" si="31"/>
        <v>Specialty</v>
      </c>
      <c r="H320" t="s">
        <v>495</v>
      </c>
      <c r="I320" t="str">
        <f t="shared" si="32"/>
        <v>RETURN - 1st don of the week -STD</v>
      </c>
      <c r="J320" t="s">
        <v>579</v>
      </c>
      <c r="K320" s="5">
        <v>46</v>
      </c>
      <c r="L320" t="str">
        <f>Table_DataFromNL[[#This Row],[PROFILECODE]]&amp;"-"&amp;Table_DataFromNL[[#This Row],[RULENAME]]</f>
        <v>CP177-P VZV Pre-Existing AP</v>
      </c>
      <c r="M320" t="str">
        <f t="shared" si="33"/>
        <v>CP177-P VZV Pre-Existing AP</v>
      </c>
    </row>
    <row r="321" spans="1:13" x14ac:dyDescent="0.25">
      <c r="A321" t="str">
        <f t="shared" si="34"/>
        <v>CP177-PVZV Pre-Existing Standard</v>
      </c>
      <c r="B321" t="s">
        <v>299</v>
      </c>
      <c r="C321" t="str">
        <f t="shared" si="28"/>
        <v>Bowling Green</v>
      </c>
      <c r="D321" t="str">
        <f t="shared" si="29"/>
        <v>Y</v>
      </c>
      <c r="E321" t="s">
        <v>602</v>
      </c>
      <c r="F321" t="str">
        <f t="shared" si="30"/>
        <v>PVZV Pre-Existing Standard</v>
      </c>
      <c r="G321" t="str">
        <f t="shared" si="31"/>
        <v>Specialty</v>
      </c>
      <c r="H321" t="s">
        <v>497</v>
      </c>
      <c r="I321" t="str">
        <f t="shared" si="32"/>
        <v>RETURN - 1st don of the week -STD</v>
      </c>
      <c r="J321" t="s">
        <v>579</v>
      </c>
      <c r="K321" s="5">
        <v>46</v>
      </c>
      <c r="L321" t="str">
        <f>Table_DataFromNL[[#This Row],[PROFILECODE]]&amp;"-"&amp;Table_DataFromNL[[#This Row],[RULENAME]]</f>
        <v>CP177-PVZV Pre-Existing Standard</v>
      </c>
      <c r="M321" t="str">
        <f t="shared" si="33"/>
        <v>CP177-PVZV Pre-Existing Standard</v>
      </c>
    </row>
    <row r="322" spans="1:13" x14ac:dyDescent="0.25">
      <c r="A322" t="str">
        <f t="shared" si="34"/>
        <v>CP154-1st Responder-Medical</v>
      </c>
      <c r="B322" t="s">
        <v>401</v>
      </c>
      <c r="C322" t="str">
        <f t="shared" ref="C322:C385" si="35">VLOOKUP(B322,CenterLU,2,FALSE)</f>
        <v>Bradenton</v>
      </c>
      <c r="D322" t="str">
        <f t="shared" ref="D322:D385" si="36">VLOOKUP(B322,CenterLU,3,FALSE)</f>
        <v>Y</v>
      </c>
      <c r="E322" t="s">
        <v>603</v>
      </c>
      <c r="F322" t="str">
        <f t="shared" ref="F322:F385" si="37">IF(VLOOKUP(H322,RULENAMELU,3,FALSE)=0,H322,VLOOKUP(H322,RULENAMELU,3,FALSE))</f>
        <v>1st Responder-Medical</v>
      </c>
      <c r="G322">
        <f t="shared" ref="G322:G385" si="38">VLOOKUP(H322,RULENAMELU,4,FALSE)</f>
        <v>0</v>
      </c>
      <c r="H322" t="s">
        <v>545</v>
      </c>
      <c r="I322">
        <f t="shared" ref="I322:I385" si="39">VLOOKUP(H322,RULENAMELU,5,FALSE)</f>
        <v>0</v>
      </c>
      <c r="J322" t="s">
        <v>546</v>
      </c>
      <c r="K322" s="5">
        <v>5</v>
      </c>
      <c r="L322" t="str">
        <f>Table_DataFromNL[[#This Row],[PROFILECODE]]&amp;"-"&amp;Table_DataFromNL[[#This Row],[RULENAME]]</f>
        <v>CP154-1st Responder-Medical</v>
      </c>
      <c r="M322" t="e">
        <f t="shared" ref="M322:M385" si="40">IFERROR(VLOOKUP(A322,PaychangesLU,1,FALSE),VLOOKUP(A322,SpecialtyCheckLU,1,FALSE))</f>
        <v>#N/A</v>
      </c>
    </row>
    <row r="323" spans="1:13" x14ac:dyDescent="0.25">
      <c r="A323" t="str">
        <f t="shared" ref="A323:A386" si="41">B323&amp;"-"&amp;F323</f>
        <v>CP154-2X Week P CMV</v>
      </c>
      <c r="B323" t="s">
        <v>401</v>
      </c>
      <c r="C323" t="str">
        <f t="shared" si="35"/>
        <v>Bradenton</v>
      </c>
      <c r="D323" t="str">
        <f t="shared" si="36"/>
        <v>Y</v>
      </c>
      <c r="E323" t="s">
        <v>603</v>
      </c>
      <c r="F323" t="str">
        <f t="shared" si="37"/>
        <v>2X Week P CMV</v>
      </c>
      <c r="G323" t="str">
        <f t="shared" si="38"/>
        <v>Specialty</v>
      </c>
      <c r="H323" t="s">
        <v>498</v>
      </c>
      <c r="I323" t="str">
        <f t="shared" si="39"/>
        <v>RETURN - 2nd don of the week -BONUS</v>
      </c>
      <c r="J323" t="s">
        <v>546</v>
      </c>
      <c r="K323" s="5">
        <v>35</v>
      </c>
      <c r="L323" t="str">
        <f>Table_DataFromNL[[#This Row],[PROFILECODE]]&amp;"-"&amp;Table_DataFromNL[[#This Row],[RULENAME]]</f>
        <v>CP154-2X Week P CMV</v>
      </c>
      <c r="M323" t="str">
        <f t="shared" si="40"/>
        <v>CP154-2X Week P CMV</v>
      </c>
    </row>
    <row r="324" spans="1:13" x14ac:dyDescent="0.25">
      <c r="A324" t="str">
        <f t="shared" si="41"/>
        <v>CP154-2X Week P HBS</v>
      </c>
      <c r="B324" t="s">
        <v>401</v>
      </c>
      <c r="C324" t="str">
        <f t="shared" si="35"/>
        <v>Bradenton</v>
      </c>
      <c r="D324" t="str">
        <f t="shared" si="36"/>
        <v>Y</v>
      </c>
      <c r="E324" t="s">
        <v>603</v>
      </c>
      <c r="F324" t="str">
        <f t="shared" si="37"/>
        <v>2X Week P HBS</v>
      </c>
      <c r="G324" t="str">
        <f t="shared" si="38"/>
        <v>Specialty</v>
      </c>
      <c r="H324" t="s">
        <v>470</v>
      </c>
      <c r="I324" t="str">
        <f t="shared" si="39"/>
        <v>RETURN - 2nd don of the week -BONUS</v>
      </c>
      <c r="J324" t="s">
        <v>546</v>
      </c>
      <c r="K324" s="5">
        <v>55</v>
      </c>
      <c r="L324" t="str">
        <f>Table_DataFromNL[[#This Row],[PROFILECODE]]&amp;"-"&amp;Table_DataFromNL[[#This Row],[RULENAME]]</f>
        <v>CP154-2X Week P HBS</v>
      </c>
      <c r="M324" t="str">
        <f t="shared" si="40"/>
        <v>CP154-2X Week P HBS</v>
      </c>
    </row>
    <row r="325" spans="1:13" x14ac:dyDescent="0.25">
      <c r="A325" t="str">
        <f t="shared" si="41"/>
        <v>CP154-2X Week P HBS Pre-Existing</v>
      </c>
      <c r="B325" t="s">
        <v>401</v>
      </c>
      <c r="C325" t="str">
        <f t="shared" si="35"/>
        <v>Bradenton</v>
      </c>
      <c r="D325" t="str">
        <f t="shared" si="36"/>
        <v>Y</v>
      </c>
      <c r="E325" t="s">
        <v>603</v>
      </c>
      <c r="F325" t="str">
        <f t="shared" si="37"/>
        <v>2X Week P HBS Pre-Existing</v>
      </c>
      <c r="G325" t="str">
        <f t="shared" si="38"/>
        <v>Specialty</v>
      </c>
      <c r="H325" t="s">
        <v>471</v>
      </c>
      <c r="I325" t="str">
        <f t="shared" si="39"/>
        <v>RETURN - 2nd don of the week -BONUS</v>
      </c>
      <c r="J325" t="s">
        <v>546</v>
      </c>
      <c r="K325" s="5">
        <v>55</v>
      </c>
      <c r="L325" t="str">
        <f>Table_DataFromNL[[#This Row],[PROFILECODE]]&amp;"-"&amp;Table_DataFromNL[[#This Row],[RULENAME]]</f>
        <v>CP154-2X Week P HBS Pre-Existing</v>
      </c>
      <c r="M325" t="str">
        <f t="shared" si="40"/>
        <v>CP154-2X Week P HBS Pre-Existing</v>
      </c>
    </row>
    <row r="326" spans="1:13" x14ac:dyDescent="0.25">
      <c r="A326" t="str">
        <f t="shared" si="41"/>
        <v>CP154-RETURN - 2nd don of the week -BONUS</v>
      </c>
      <c r="B326" t="s">
        <v>401</v>
      </c>
      <c r="C326" t="str">
        <f t="shared" si="35"/>
        <v>Bradenton</v>
      </c>
      <c r="D326" t="str">
        <f t="shared" si="36"/>
        <v>Y</v>
      </c>
      <c r="E326" t="s">
        <v>603</v>
      </c>
      <c r="F326" t="str">
        <f t="shared" si="37"/>
        <v>RETURN - 2nd don of the week -BONUS</v>
      </c>
      <c r="G326" t="str">
        <f t="shared" si="38"/>
        <v>Marketing</v>
      </c>
      <c r="H326" t="s">
        <v>550</v>
      </c>
      <c r="I326">
        <f t="shared" si="39"/>
        <v>26</v>
      </c>
      <c r="J326" t="s">
        <v>546</v>
      </c>
      <c r="K326" s="5">
        <v>35</v>
      </c>
      <c r="L326" t="str">
        <f>Table_DataFromNL[[#This Row],[PROFILECODE]]&amp;"-"&amp;Table_DataFromNL[[#This Row],[RULENAME]]</f>
        <v>CP154-2X Week P NSP NS</v>
      </c>
      <c r="M326" t="str">
        <f t="shared" si="40"/>
        <v>CP154-RETURN - 2nd don of the week -BONUS</v>
      </c>
    </row>
    <row r="327" spans="1:13" x14ac:dyDescent="0.25">
      <c r="A327" t="str">
        <f t="shared" si="41"/>
        <v>CP154-RETURN - 2nd don of the week -BONUS</v>
      </c>
      <c r="B327" t="s">
        <v>401</v>
      </c>
      <c r="C327" t="str">
        <f t="shared" si="35"/>
        <v>Bradenton</v>
      </c>
      <c r="D327" t="str">
        <f t="shared" si="36"/>
        <v>Y</v>
      </c>
      <c r="E327" t="s">
        <v>603</v>
      </c>
      <c r="F327" t="str">
        <f t="shared" si="37"/>
        <v>RETURN - 2nd don of the week -BONUS</v>
      </c>
      <c r="G327" t="str">
        <f t="shared" si="38"/>
        <v>Marketing</v>
      </c>
      <c r="H327" t="s">
        <v>551</v>
      </c>
      <c r="I327" t="str">
        <f t="shared" si="39"/>
        <v>RETURN - 2nd don of the week -BONUS</v>
      </c>
      <c r="J327" t="s">
        <v>546</v>
      </c>
      <c r="K327" s="5">
        <v>35</v>
      </c>
      <c r="L327" t="str">
        <f>Table_DataFromNL[[#This Row],[PROFILECODE]]&amp;"-"&amp;Table_DataFromNL[[#This Row],[RULENAME]]</f>
        <v>CP154-2X Week P NSP NS AP</v>
      </c>
      <c r="M327" t="str">
        <f t="shared" si="40"/>
        <v>CP154-RETURN - 2nd don of the week -BONUS</v>
      </c>
    </row>
    <row r="328" spans="1:13" x14ac:dyDescent="0.25">
      <c r="A328" t="str">
        <f t="shared" si="41"/>
        <v>CP154-2X Week P VZV</v>
      </c>
      <c r="B328" t="s">
        <v>401</v>
      </c>
      <c r="C328" t="str">
        <f t="shared" si="35"/>
        <v>Bradenton</v>
      </c>
      <c r="D328" t="str">
        <f t="shared" si="36"/>
        <v>Y</v>
      </c>
      <c r="E328" t="s">
        <v>603</v>
      </c>
      <c r="F328" t="str">
        <f t="shared" si="37"/>
        <v>2X Week P VZV</v>
      </c>
      <c r="G328" t="str">
        <f t="shared" si="38"/>
        <v>Specialty</v>
      </c>
      <c r="H328" t="s">
        <v>488</v>
      </c>
      <c r="I328" t="str">
        <f t="shared" si="39"/>
        <v>RETURN - 2nd don of the week -BONUS</v>
      </c>
      <c r="J328" t="s">
        <v>546</v>
      </c>
      <c r="K328" s="5">
        <v>35</v>
      </c>
      <c r="L328" t="str">
        <f>Table_DataFromNL[[#This Row],[PROFILECODE]]&amp;"-"&amp;Table_DataFromNL[[#This Row],[RULENAME]]</f>
        <v>CP154-2X Week P VZV</v>
      </c>
      <c r="M328" t="str">
        <f t="shared" si="40"/>
        <v>CP154-2X Week P VZV</v>
      </c>
    </row>
    <row r="329" spans="1:13" x14ac:dyDescent="0.25">
      <c r="A329" t="str">
        <f t="shared" si="41"/>
        <v>CP154-2X Week P VZV AP</v>
      </c>
      <c r="B329" t="s">
        <v>401</v>
      </c>
      <c r="C329" t="str">
        <f t="shared" si="35"/>
        <v>Bradenton</v>
      </c>
      <c r="D329" t="str">
        <f t="shared" si="36"/>
        <v>Y</v>
      </c>
      <c r="E329" t="s">
        <v>603</v>
      </c>
      <c r="F329" t="str">
        <f t="shared" si="37"/>
        <v>2X Week P VZV AP</v>
      </c>
      <c r="G329" t="str">
        <f t="shared" si="38"/>
        <v>Specialty</v>
      </c>
      <c r="H329" t="s">
        <v>489</v>
      </c>
      <c r="I329" t="str">
        <f t="shared" si="39"/>
        <v>RETURN - 2nd don of the week -BONUS</v>
      </c>
      <c r="J329" t="s">
        <v>546</v>
      </c>
      <c r="K329" s="5">
        <v>35</v>
      </c>
      <c r="L329" t="str">
        <f>Table_DataFromNL[[#This Row],[PROFILECODE]]&amp;"-"&amp;Table_DataFromNL[[#This Row],[RULENAME]]</f>
        <v>CP154-2X Week P VZV AP</v>
      </c>
      <c r="M329" t="str">
        <f t="shared" si="40"/>
        <v>CP154-2X Week P VZV AP</v>
      </c>
    </row>
    <row r="330" spans="1:13" x14ac:dyDescent="0.25">
      <c r="A330" t="str">
        <f t="shared" si="41"/>
        <v>CP154-2X Week P VZV Pre-Existing</v>
      </c>
      <c r="B330" t="s">
        <v>401</v>
      </c>
      <c r="C330" t="str">
        <f t="shared" si="35"/>
        <v>Bradenton</v>
      </c>
      <c r="D330" t="str">
        <f t="shared" si="36"/>
        <v>Y</v>
      </c>
      <c r="E330" t="s">
        <v>603</v>
      </c>
      <c r="F330" t="str">
        <f t="shared" si="37"/>
        <v>2X Week P VZV Pre-Existing</v>
      </c>
      <c r="G330" t="str">
        <f t="shared" si="38"/>
        <v>Specialty</v>
      </c>
      <c r="H330" t="s">
        <v>490</v>
      </c>
      <c r="I330" t="str">
        <f t="shared" si="39"/>
        <v>RETURN - 2nd don of the week -BONUS</v>
      </c>
      <c r="J330" t="s">
        <v>546</v>
      </c>
      <c r="K330" s="5">
        <v>35</v>
      </c>
      <c r="L330" t="str">
        <f>Table_DataFromNL[[#This Row],[PROFILECODE]]&amp;"-"&amp;Table_DataFromNL[[#This Row],[RULENAME]]</f>
        <v>CP154-2X Week P VZV Pre-Existing</v>
      </c>
      <c r="M330" t="str">
        <f t="shared" si="40"/>
        <v>CP154-2X Week P VZV Pre-Existing</v>
      </c>
    </row>
    <row r="331" spans="1:13" x14ac:dyDescent="0.25">
      <c r="A331" t="str">
        <f t="shared" si="41"/>
        <v>CP154-2X Week P VZV Pre-Existing AP</v>
      </c>
      <c r="B331" t="s">
        <v>401</v>
      </c>
      <c r="C331" t="str">
        <f t="shared" si="35"/>
        <v>Bradenton</v>
      </c>
      <c r="D331" t="str">
        <f t="shared" si="36"/>
        <v>Y</v>
      </c>
      <c r="E331" t="s">
        <v>603</v>
      </c>
      <c r="F331" t="str">
        <f t="shared" si="37"/>
        <v>2X Week P VZV Pre-Existing AP</v>
      </c>
      <c r="G331" t="str">
        <f t="shared" si="38"/>
        <v>Specialty</v>
      </c>
      <c r="H331" t="s">
        <v>491</v>
      </c>
      <c r="I331" t="str">
        <f t="shared" si="39"/>
        <v>RETURN - 2nd don of the week -BONUS</v>
      </c>
      <c r="J331" t="s">
        <v>546</v>
      </c>
      <c r="K331" s="5">
        <v>35</v>
      </c>
      <c r="L331" t="str">
        <f>Table_DataFromNL[[#This Row],[PROFILECODE]]&amp;"-"&amp;Table_DataFromNL[[#This Row],[RULENAME]]</f>
        <v>CP154-2X Week P VZV Pre-Existing AP</v>
      </c>
      <c r="M331" t="str">
        <f t="shared" si="40"/>
        <v>CP154-2X Week P VZV Pre-Existing AP</v>
      </c>
    </row>
    <row r="332" spans="1:13" x14ac:dyDescent="0.25">
      <c r="A332" t="str">
        <f t="shared" si="41"/>
        <v>CP154-RETURN - 6th don of the month -BONUS</v>
      </c>
      <c r="B332" t="s">
        <v>401</v>
      </c>
      <c r="C332" t="str">
        <f t="shared" si="35"/>
        <v>Bradenton</v>
      </c>
      <c r="D332" t="str">
        <f t="shared" si="36"/>
        <v>Y</v>
      </c>
      <c r="E332" t="s">
        <v>603</v>
      </c>
      <c r="F332" t="str">
        <f t="shared" si="37"/>
        <v>RETURN - 6th don of the month -BONUS</v>
      </c>
      <c r="G332" t="str">
        <f t="shared" si="38"/>
        <v>Marketing</v>
      </c>
      <c r="H332" t="s">
        <v>552</v>
      </c>
      <c r="I332">
        <f t="shared" si="39"/>
        <v>28</v>
      </c>
      <c r="J332" t="s">
        <v>546</v>
      </c>
      <c r="K332" s="5">
        <v>30</v>
      </c>
      <c r="L332" t="str">
        <f>Table_DataFromNL[[#This Row],[PROFILECODE]]&amp;"-"&amp;Table_DataFromNL[[#This Row],[RULENAME]]</f>
        <v>CP154-6X Month</v>
      </c>
      <c r="M332" t="str">
        <f t="shared" si="40"/>
        <v>CP154-RETURN - 6th don of the month -BONUS</v>
      </c>
    </row>
    <row r="333" spans="1:13" x14ac:dyDescent="0.25">
      <c r="A333" t="str">
        <f t="shared" si="41"/>
        <v>CP154-College ID Standard Bonus</v>
      </c>
      <c r="B333" t="s">
        <v>401</v>
      </c>
      <c r="C333" t="str">
        <f t="shared" si="35"/>
        <v>Bradenton</v>
      </c>
      <c r="D333" t="str">
        <f t="shared" si="36"/>
        <v>Y</v>
      </c>
      <c r="E333" t="s">
        <v>603</v>
      </c>
      <c r="F333" t="str">
        <f t="shared" si="37"/>
        <v>College ID Standard Bonus</v>
      </c>
      <c r="G333">
        <f t="shared" si="38"/>
        <v>0</v>
      </c>
      <c r="H333" t="s">
        <v>553</v>
      </c>
      <c r="I333">
        <f t="shared" si="39"/>
        <v>0</v>
      </c>
      <c r="J333" t="s">
        <v>546</v>
      </c>
      <c r="K333" s="5">
        <v>5</v>
      </c>
      <c r="L333" t="str">
        <f>Table_DataFromNL[[#This Row],[PROFILECODE]]&amp;"-"&amp;Table_DataFromNL[[#This Row],[RULENAME]]</f>
        <v>CP154-College ID Standard Bonus</v>
      </c>
      <c r="M333" t="e">
        <f t="shared" si="40"/>
        <v>#N/A</v>
      </c>
    </row>
    <row r="334" spans="1:13" x14ac:dyDescent="0.25">
      <c r="A334" t="str">
        <f t="shared" si="41"/>
        <v>CP154-Military ID</v>
      </c>
      <c r="B334" t="s">
        <v>401</v>
      </c>
      <c r="C334" t="str">
        <f t="shared" si="35"/>
        <v>Bradenton</v>
      </c>
      <c r="D334" t="str">
        <f t="shared" si="36"/>
        <v>Y</v>
      </c>
      <c r="E334" t="s">
        <v>603</v>
      </c>
      <c r="F334" t="str">
        <f t="shared" si="37"/>
        <v>Military ID</v>
      </c>
      <c r="G334">
        <f t="shared" si="38"/>
        <v>0</v>
      </c>
      <c r="H334" t="s">
        <v>554</v>
      </c>
      <c r="I334">
        <f t="shared" si="39"/>
        <v>0</v>
      </c>
      <c r="J334" t="s">
        <v>546</v>
      </c>
      <c r="K334" s="5">
        <v>5</v>
      </c>
      <c r="L334" t="str">
        <f>Table_DataFromNL[[#This Row],[PROFILECODE]]&amp;"-"&amp;Table_DataFromNL[[#This Row],[RULENAME]]</f>
        <v>CP154-Military ID</v>
      </c>
      <c r="M334" t="e">
        <f t="shared" si="40"/>
        <v>#N/A</v>
      </c>
    </row>
    <row r="335" spans="1:13" x14ac:dyDescent="0.25">
      <c r="A335" t="str">
        <f t="shared" si="41"/>
        <v>CP154-NEW DONOR -1st</v>
      </c>
      <c r="B335" t="s">
        <v>401</v>
      </c>
      <c r="C335" t="str">
        <f t="shared" si="35"/>
        <v>Bradenton</v>
      </c>
      <c r="D335" t="str">
        <f t="shared" si="36"/>
        <v>Y</v>
      </c>
      <c r="E335" t="s">
        <v>603</v>
      </c>
      <c r="F335" t="str">
        <f t="shared" si="37"/>
        <v>NEW DONOR -1st</v>
      </c>
      <c r="G335" t="str">
        <f t="shared" si="38"/>
        <v>Marketing</v>
      </c>
      <c r="H335" t="s">
        <v>555</v>
      </c>
      <c r="I335">
        <f t="shared" si="39"/>
        <v>1</v>
      </c>
      <c r="J335" t="s">
        <v>546</v>
      </c>
      <c r="K335" s="5">
        <v>100</v>
      </c>
      <c r="L335" t="str">
        <f>Table_DataFromNL[[#This Row],[PROFILECODE]]&amp;"-"&amp;Table_DataFromNL[[#This Row],[RULENAME]]</f>
        <v>CP154-New Donor 1st Visit-Bonus</v>
      </c>
      <c r="M335" t="str">
        <f t="shared" si="40"/>
        <v>CP154-NEW DONOR -1st</v>
      </c>
    </row>
    <row r="336" spans="1:13" x14ac:dyDescent="0.25">
      <c r="A336" t="str">
        <f t="shared" si="41"/>
        <v>CP154-NEW DONOR -2nd</v>
      </c>
      <c r="B336" t="s">
        <v>401</v>
      </c>
      <c r="C336" t="str">
        <f t="shared" si="35"/>
        <v>Bradenton</v>
      </c>
      <c r="D336" t="str">
        <f t="shared" si="36"/>
        <v>Y</v>
      </c>
      <c r="E336" t="s">
        <v>603</v>
      </c>
      <c r="F336" t="str">
        <f t="shared" si="37"/>
        <v>NEW DONOR -2nd</v>
      </c>
      <c r="G336" t="str">
        <f t="shared" si="38"/>
        <v>Marketing</v>
      </c>
      <c r="H336" t="s">
        <v>556</v>
      </c>
      <c r="I336">
        <f t="shared" si="39"/>
        <v>2</v>
      </c>
      <c r="J336" t="s">
        <v>546</v>
      </c>
      <c r="K336" s="5">
        <v>100</v>
      </c>
      <c r="L336" t="str">
        <f>Table_DataFromNL[[#This Row],[PROFILECODE]]&amp;"-"&amp;Table_DataFromNL[[#This Row],[RULENAME]]</f>
        <v>CP154-New Donor 2nd Visit-Bonus</v>
      </c>
      <c r="M336" t="str">
        <f t="shared" si="40"/>
        <v>CP154-NEW DONOR -2nd</v>
      </c>
    </row>
    <row r="337" spans="1:13" x14ac:dyDescent="0.25">
      <c r="A337" t="str">
        <f t="shared" si="41"/>
        <v>CP154-NEW DONOR -3rd</v>
      </c>
      <c r="B337" t="s">
        <v>401</v>
      </c>
      <c r="C337" t="str">
        <f t="shared" si="35"/>
        <v>Bradenton</v>
      </c>
      <c r="D337" t="str">
        <f t="shared" si="36"/>
        <v>Y</v>
      </c>
      <c r="E337" t="s">
        <v>603</v>
      </c>
      <c r="F337" t="str">
        <f t="shared" si="37"/>
        <v>NEW DONOR -3rd</v>
      </c>
      <c r="G337" t="str">
        <f t="shared" si="38"/>
        <v>Marketing</v>
      </c>
      <c r="H337" t="s">
        <v>557</v>
      </c>
      <c r="I337">
        <f t="shared" si="39"/>
        <v>3</v>
      </c>
      <c r="J337" t="s">
        <v>546</v>
      </c>
      <c r="K337" s="5">
        <v>100</v>
      </c>
      <c r="L337" t="str">
        <f>Table_DataFromNL[[#This Row],[PROFILECODE]]&amp;"-"&amp;Table_DataFromNL[[#This Row],[RULENAME]]</f>
        <v>CP154-New Donor 3rd Visit-Bonus</v>
      </c>
      <c r="M337" t="str">
        <f t="shared" si="40"/>
        <v>CP154-NEW DONOR -3rd</v>
      </c>
    </row>
    <row r="338" spans="1:13" x14ac:dyDescent="0.25">
      <c r="A338" t="str">
        <f t="shared" si="41"/>
        <v>CP154-NEW DONOR -4th</v>
      </c>
      <c r="B338" t="s">
        <v>401</v>
      </c>
      <c r="C338" t="str">
        <f t="shared" si="35"/>
        <v>Bradenton</v>
      </c>
      <c r="D338" t="str">
        <f t="shared" si="36"/>
        <v>Y</v>
      </c>
      <c r="E338" t="s">
        <v>603</v>
      </c>
      <c r="F338" t="str">
        <f t="shared" si="37"/>
        <v>NEW DONOR -4th</v>
      </c>
      <c r="G338" t="str">
        <f t="shared" si="38"/>
        <v>Marketing</v>
      </c>
      <c r="H338" t="s">
        <v>558</v>
      </c>
      <c r="I338">
        <f t="shared" si="39"/>
        <v>4</v>
      </c>
      <c r="J338" t="s">
        <v>546</v>
      </c>
      <c r="K338" s="5">
        <v>100</v>
      </c>
      <c r="L338" t="str">
        <f>Table_DataFromNL[[#This Row],[PROFILECODE]]&amp;"-"&amp;Table_DataFromNL[[#This Row],[RULENAME]]</f>
        <v>CP154-New Donor 4th Visit-Bonus</v>
      </c>
      <c r="M338" t="str">
        <f t="shared" si="40"/>
        <v>CP154-NEW DONOR -4th</v>
      </c>
    </row>
    <row r="339" spans="1:13" x14ac:dyDescent="0.25">
      <c r="A339" t="str">
        <f t="shared" si="41"/>
        <v>CP154-NEW DONOR -5th</v>
      </c>
      <c r="B339" t="s">
        <v>401</v>
      </c>
      <c r="C339" t="str">
        <f t="shared" si="35"/>
        <v>Bradenton</v>
      </c>
      <c r="D339" t="str">
        <f t="shared" si="36"/>
        <v>Y</v>
      </c>
      <c r="E339" t="s">
        <v>603</v>
      </c>
      <c r="F339" t="str">
        <f t="shared" si="37"/>
        <v>NEW DONOR -5th</v>
      </c>
      <c r="G339" t="str">
        <f t="shared" si="38"/>
        <v>Marketing</v>
      </c>
      <c r="H339" t="s">
        <v>559</v>
      </c>
      <c r="I339">
        <f t="shared" si="39"/>
        <v>5</v>
      </c>
      <c r="J339" t="s">
        <v>546</v>
      </c>
      <c r="K339" s="5">
        <v>40</v>
      </c>
      <c r="L339" t="str">
        <f>Table_DataFromNL[[#This Row],[PROFILECODE]]&amp;"-"&amp;Table_DataFromNL[[#This Row],[RULENAME]]</f>
        <v>CP154-New Donor 5th Visit-Bonus</v>
      </c>
      <c r="M339" t="str">
        <f t="shared" si="40"/>
        <v>CP154-NEW DONOR -5th</v>
      </c>
    </row>
    <row r="340" spans="1:13" x14ac:dyDescent="0.25">
      <c r="A340" t="str">
        <f t="shared" si="41"/>
        <v>CP154-NEW DONOR -6th</v>
      </c>
      <c r="B340" t="s">
        <v>401</v>
      </c>
      <c r="C340" t="str">
        <f t="shared" si="35"/>
        <v>Bradenton</v>
      </c>
      <c r="D340" t="str">
        <f t="shared" si="36"/>
        <v>Y</v>
      </c>
      <c r="E340" t="s">
        <v>603</v>
      </c>
      <c r="F340" t="str">
        <f t="shared" si="37"/>
        <v>NEW DONOR -6th</v>
      </c>
      <c r="G340" t="str">
        <f t="shared" si="38"/>
        <v>Marketing</v>
      </c>
      <c r="H340" t="s">
        <v>560</v>
      </c>
      <c r="I340">
        <f t="shared" si="39"/>
        <v>6</v>
      </c>
      <c r="J340" t="s">
        <v>546</v>
      </c>
      <c r="K340" s="5">
        <v>40</v>
      </c>
      <c r="L340" t="str">
        <f>Table_DataFromNL[[#This Row],[PROFILECODE]]&amp;"-"&amp;Table_DataFromNL[[#This Row],[RULENAME]]</f>
        <v>CP154-New Donor 6th Visit-Bonus</v>
      </c>
      <c r="M340" t="str">
        <f t="shared" si="40"/>
        <v>CP154-NEW DONOR -6th</v>
      </c>
    </row>
    <row r="341" spans="1:13" x14ac:dyDescent="0.25">
      <c r="A341" t="str">
        <f t="shared" si="41"/>
        <v>CP154-NEW DONOR -7th</v>
      </c>
      <c r="B341" t="s">
        <v>401</v>
      </c>
      <c r="C341" t="str">
        <f t="shared" si="35"/>
        <v>Bradenton</v>
      </c>
      <c r="D341" t="str">
        <f t="shared" si="36"/>
        <v>Y</v>
      </c>
      <c r="E341" t="s">
        <v>603</v>
      </c>
      <c r="F341" t="str">
        <f t="shared" si="37"/>
        <v>NEW DONOR -7th</v>
      </c>
      <c r="G341" t="str">
        <f t="shared" si="38"/>
        <v>Marketing</v>
      </c>
      <c r="H341" t="s">
        <v>561</v>
      </c>
      <c r="I341">
        <f t="shared" si="39"/>
        <v>7</v>
      </c>
      <c r="J341" t="s">
        <v>546</v>
      </c>
      <c r="K341" s="5">
        <v>40</v>
      </c>
      <c r="L341" t="str">
        <f>Table_DataFromNL[[#This Row],[PROFILECODE]]&amp;"-"&amp;Table_DataFromNL[[#This Row],[RULENAME]]</f>
        <v>CP154-New Donor 7th Visit-Bonus</v>
      </c>
      <c r="M341" t="str">
        <f t="shared" si="40"/>
        <v>CP154-NEW DONOR -7th</v>
      </c>
    </row>
    <row r="342" spans="1:13" x14ac:dyDescent="0.25">
      <c r="A342" t="str">
        <f t="shared" si="41"/>
        <v>CP154-NEW DONOR -8th</v>
      </c>
      <c r="B342" t="s">
        <v>401</v>
      </c>
      <c r="C342" t="str">
        <f t="shared" si="35"/>
        <v>Bradenton</v>
      </c>
      <c r="D342" t="str">
        <f t="shared" si="36"/>
        <v>Y</v>
      </c>
      <c r="E342" t="s">
        <v>603</v>
      </c>
      <c r="F342" t="str">
        <f t="shared" si="37"/>
        <v>NEW DONOR -8th</v>
      </c>
      <c r="G342" t="str">
        <f t="shared" si="38"/>
        <v>Marketing</v>
      </c>
      <c r="H342" t="s">
        <v>562</v>
      </c>
      <c r="I342">
        <f t="shared" si="39"/>
        <v>8</v>
      </c>
      <c r="J342" t="s">
        <v>546</v>
      </c>
      <c r="K342" s="5">
        <v>40</v>
      </c>
      <c r="L342" t="str">
        <f>Table_DataFromNL[[#This Row],[PROFILECODE]]&amp;"-"&amp;Table_DataFromNL[[#This Row],[RULENAME]]</f>
        <v>CP154-New Donor 8th Visit-Bonus</v>
      </c>
      <c r="M342" t="str">
        <f t="shared" si="40"/>
        <v>CP154-NEW DONOR -8th</v>
      </c>
    </row>
    <row r="343" spans="1:13" x14ac:dyDescent="0.25">
      <c r="A343" t="str">
        <f t="shared" si="41"/>
        <v>CP154-Vaccinia - 1st Donation</v>
      </c>
      <c r="B343" t="s">
        <v>401</v>
      </c>
      <c r="C343" t="str">
        <f t="shared" si="35"/>
        <v>Bradenton</v>
      </c>
      <c r="D343" t="str">
        <f t="shared" si="36"/>
        <v>Y</v>
      </c>
      <c r="E343" t="s">
        <v>603</v>
      </c>
      <c r="F343" t="str">
        <f t="shared" si="37"/>
        <v>Vaccinia - 1st Donation</v>
      </c>
      <c r="G343" t="str">
        <f t="shared" si="38"/>
        <v>Specialty</v>
      </c>
      <c r="H343" t="s">
        <v>477</v>
      </c>
      <c r="I343">
        <f t="shared" si="39"/>
        <v>0</v>
      </c>
      <c r="J343" t="s">
        <v>546</v>
      </c>
      <c r="K343" s="5">
        <v>150</v>
      </c>
      <c r="L343" t="str">
        <f>Table_DataFromNL[[#This Row],[PROFILECODE]]&amp;"-"&amp;Table_DataFromNL[[#This Row],[RULENAME]]</f>
        <v>CP154-Vaccinia - 1st Donation</v>
      </c>
      <c r="M343" t="str">
        <f t="shared" si="40"/>
        <v>CP154-Vaccinia - 1st Donation</v>
      </c>
    </row>
    <row r="344" spans="1:13" x14ac:dyDescent="0.25">
      <c r="A344" t="str">
        <f t="shared" si="41"/>
        <v>CP154-Vaccinia - 2nd Donation</v>
      </c>
      <c r="B344" t="s">
        <v>401</v>
      </c>
      <c r="C344" t="str">
        <f t="shared" si="35"/>
        <v>Bradenton</v>
      </c>
      <c r="D344" t="str">
        <f t="shared" si="36"/>
        <v>Y</v>
      </c>
      <c r="E344" t="s">
        <v>603</v>
      </c>
      <c r="F344" t="str">
        <f t="shared" si="37"/>
        <v>Vaccinia - 2nd Donation</v>
      </c>
      <c r="G344" t="str">
        <f t="shared" si="38"/>
        <v>Specialty</v>
      </c>
      <c r="H344" t="s">
        <v>478</v>
      </c>
      <c r="I344">
        <f t="shared" si="39"/>
        <v>0</v>
      </c>
      <c r="J344" t="s">
        <v>546</v>
      </c>
      <c r="K344" s="5">
        <v>250</v>
      </c>
      <c r="L344" t="str">
        <f>Table_DataFromNL[[#This Row],[PROFILECODE]]&amp;"-"&amp;Table_DataFromNL[[#This Row],[RULENAME]]</f>
        <v>CP154-Vaccinia - 2nd Donation</v>
      </c>
      <c r="M344" t="str">
        <f t="shared" si="40"/>
        <v>CP154-Vaccinia - 2nd Donation</v>
      </c>
    </row>
    <row r="345" spans="1:13" x14ac:dyDescent="0.25">
      <c r="A345" t="str">
        <f t="shared" si="41"/>
        <v>CP154-Vaccinia - 3rd Donation</v>
      </c>
      <c r="B345" t="s">
        <v>401</v>
      </c>
      <c r="C345" t="str">
        <f t="shared" si="35"/>
        <v>Bradenton</v>
      </c>
      <c r="D345" t="str">
        <f t="shared" si="36"/>
        <v>Y</v>
      </c>
      <c r="E345" t="s">
        <v>603</v>
      </c>
      <c r="F345" t="str">
        <f t="shared" si="37"/>
        <v>Vaccinia - 3rd Donation</v>
      </c>
      <c r="G345" t="str">
        <f t="shared" si="38"/>
        <v>Specialty</v>
      </c>
      <c r="H345" t="s">
        <v>479</v>
      </c>
      <c r="I345">
        <f t="shared" si="39"/>
        <v>0</v>
      </c>
      <c r="J345" t="s">
        <v>546</v>
      </c>
      <c r="K345" s="5">
        <v>300</v>
      </c>
      <c r="L345" t="str">
        <f>Table_DataFromNL[[#This Row],[PROFILECODE]]&amp;"-"&amp;Table_DataFromNL[[#This Row],[RULENAME]]</f>
        <v>CP154-Vaccinia - 3rd Donation</v>
      </c>
      <c r="M345" t="str">
        <f t="shared" si="40"/>
        <v>CP154-Vaccinia - 3rd Donation</v>
      </c>
    </row>
    <row r="346" spans="1:13" x14ac:dyDescent="0.25">
      <c r="A346" t="str">
        <f t="shared" si="41"/>
        <v>CP154-Vaccinia - 4th Donation</v>
      </c>
      <c r="B346" t="s">
        <v>401</v>
      </c>
      <c r="C346" t="str">
        <f t="shared" si="35"/>
        <v>Bradenton</v>
      </c>
      <c r="D346" t="str">
        <f t="shared" si="36"/>
        <v>Y</v>
      </c>
      <c r="E346" t="s">
        <v>603</v>
      </c>
      <c r="F346" t="str">
        <f t="shared" si="37"/>
        <v>Vaccinia - 4th Donation</v>
      </c>
      <c r="G346" t="str">
        <f t="shared" si="38"/>
        <v>Specialty</v>
      </c>
      <c r="H346" t="s">
        <v>480</v>
      </c>
      <c r="I346">
        <f t="shared" si="39"/>
        <v>0</v>
      </c>
      <c r="J346" t="s">
        <v>546</v>
      </c>
      <c r="K346" s="5">
        <v>300</v>
      </c>
      <c r="L346" t="str">
        <f>Table_DataFromNL[[#This Row],[PROFILECODE]]&amp;"-"&amp;Table_DataFromNL[[#This Row],[RULENAME]]</f>
        <v>CP154-Vaccinia - 4th Donation</v>
      </c>
      <c r="M346" t="str">
        <f t="shared" si="40"/>
        <v>CP154-Vaccinia - 4th Donation</v>
      </c>
    </row>
    <row r="347" spans="1:13" x14ac:dyDescent="0.25">
      <c r="A347" t="str">
        <f t="shared" si="41"/>
        <v>CP154-Vaccinia AP - 1st Donation</v>
      </c>
      <c r="B347" t="s">
        <v>401</v>
      </c>
      <c r="C347" t="str">
        <f t="shared" si="35"/>
        <v>Bradenton</v>
      </c>
      <c r="D347" t="str">
        <f t="shared" si="36"/>
        <v>Y</v>
      </c>
      <c r="E347" t="s">
        <v>603</v>
      </c>
      <c r="F347" t="str">
        <f t="shared" si="37"/>
        <v>Vaccinia AP - 1st Donation</v>
      </c>
      <c r="G347" t="str">
        <f t="shared" si="38"/>
        <v>Specialty</v>
      </c>
      <c r="H347" t="s">
        <v>481</v>
      </c>
      <c r="I347">
        <f t="shared" si="39"/>
        <v>0</v>
      </c>
      <c r="J347" t="s">
        <v>546</v>
      </c>
      <c r="K347" s="5">
        <v>150</v>
      </c>
      <c r="L347" t="str">
        <f>Table_DataFromNL[[#This Row],[PROFILECODE]]&amp;"-"&amp;Table_DataFromNL[[#This Row],[RULENAME]]</f>
        <v>CP154-Vaccinia AP - 1st Donation</v>
      </c>
      <c r="M347" t="str">
        <f t="shared" si="40"/>
        <v>CP154-Vaccinia AP - 1st Donation</v>
      </c>
    </row>
    <row r="348" spans="1:13" x14ac:dyDescent="0.25">
      <c r="A348" t="str">
        <f t="shared" si="41"/>
        <v>CP154-Vaccinia AP - 2nd Donation</v>
      </c>
      <c r="B348" t="s">
        <v>401</v>
      </c>
      <c r="C348" t="str">
        <f t="shared" si="35"/>
        <v>Bradenton</v>
      </c>
      <c r="D348" t="str">
        <f t="shared" si="36"/>
        <v>Y</v>
      </c>
      <c r="E348" t="s">
        <v>603</v>
      </c>
      <c r="F348" t="str">
        <f t="shared" si="37"/>
        <v>Vaccinia AP - 2nd Donation</v>
      </c>
      <c r="G348" t="str">
        <f t="shared" si="38"/>
        <v>Specialty</v>
      </c>
      <c r="H348" t="s">
        <v>482</v>
      </c>
      <c r="I348">
        <f t="shared" si="39"/>
        <v>0</v>
      </c>
      <c r="J348" t="s">
        <v>546</v>
      </c>
      <c r="K348" s="5">
        <v>250</v>
      </c>
      <c r="L348" t="str">
        <f>Table_DataFromNL[[#This Row],[PROFILECODE]]&amp;"-"&amp;Table_DataFromNL[[#This Row],[RULENAME]]</f>
        <v>CP154-Vaccinia AP - 2nd Donation</v>
      </c>
      <c r="M348" t="str">
        <f t="shared" si="40"/>
        <v>CP154-Vaccinia AP - 2nd Donation</v>
      </c>
    </row>
    <row r="349" spans="1:13" x14ac:dyDescent="0.25">
      <c r="A349" t="str">
        <f t="shared" si="41"/>
        <v>CP154-Vaccinia AP - 3rd Donation</v>
      </c>
      <c r="B349" t="s">
        <v>401</v>
      </c>
      <c r="C349" t="str">
        <f t="shared" si="35"/>
        <v>Bradenton</v>
      </c>
      <c r="D349" t="str">
        <f t="shared" si="36"/>
        <v>Y</v>
      </c>
      <c r="E349" t="s">
        <v>603</v>
      </c>
      <c r="F349" t="str">
        <f t="shared" si="37"/>
        <v>Vaccinia AP - 3rd Donation</v>
      </c>
      <c r="G349" t="str">
        <f t="shared" si="38"/>
        <v>Specialty</v>
      </c>
      <c r="H349" t="s">
        <v>483</v>
      </c>
      <c r="I349">
        <f t="shared" si="39"/>
        <v>0</v>
      </c>
      <c r="J349" t="s">
        <v>546</v>
      </c>
      <c r="K349" s="5">
        <v>300</v>
      </c>
      <c r="L349" t="str">
        <f>Table_DataFromNL[[#This Row],[PROFILECODE]]&amp;"-"&amp;Table_DataFromNL[[#This Row],[RULENAME]]</f>
        <v>CP154-Vaccinia AP - 3rd Donation</v>
      </c>
      <c r="M349" t="str">
        <f t="shared" si="40"/>
        <v>CP154-Vaccinia AP - 3rd Donation</v>
      </c>
    </row>
    <row r="350" spans="1:13" x14ac:dyDescent="0.25">
      <c r="A350" t="str">
        <f t="shared" si="41"/>
        <v>CP154-Vaccinia AP - 4th Donation</v>
      </c>
      <c r="B350" t="s">
        <v>401</v>
      </c>
      <c r="C350" t="str">
        <f t="shared" si="35"/>
        <v>Bradenton</v>
      </c>
      <c r="D350" t="str">
        <f t="shared" si="36"/>
        <v>Y</v>
      </c>
      <c r="E350" t="s">
        <v>603</v>
      </c>
      <c r="F350" t="str">
        <f t="shared" si="37"/>
        <v>Vaccinia AP - 4th Donation</v>
      </c>
      <c r="G350" t="str">
        <f t="shared" si="38"/>
        <v>Specialty</v>
      </c>
      <c r="H350" t="s">
        <v>484</v>
      </c>
      <c r="I350">
        <f t="shared" si="39"/>
        <v>0</v>
      </c>
      <c r="J350" t="s">
        <v>546</v>
      </c>
      <c r="K350" s="5">
        <v>300</v>
      </c>
      <c r="L350" t="str">
        <f>Table_DataFromNL[[#This Row],[PROFILECODE]]&amp;"-"&amp;Table_DataFromNL[[#This Row],[RULENAME]]</f>
        <v>CP154-Vaccinia AP - 4th Donation</v>
      </c>
      <c r="M350" t="str">
        <f t="shared" si="40"/>
        <v>CP154-Vaccinia AP - 4th Donation</v>
      </c>
    </row>
    <row r="351" spans="1:13" x14ac:dyDescent="0.25">
      <c r="A351" t="str">
        <f t="shared" si="41"/>
        <v>CP154-Community</v>
      </c>
      <c r="B351" t="s">
        <v>401</v>
      </c>
      <c r="C351" t="str">
        <f t="shared" si="35"/>
        <v>Bradenton</v>
      </c>
      <c r="D351" t="str">
        <f t="shared" si="36"/>
        <v>Y</v>
      </c>
      <c r="E351" t="s">
        <v>603</v>
      </c>
      <c r="F351" t="str">
        <f t="shared" si="37"/>
        <v>Community</v>
      </c>
      <c r="G351">
        <f t="shared" si="38"/>
        <v>0</v>
      </c>
      <c r="H351" t="s">
        <v>563</v>
      </c>
      <c r="I351">
        <f t="shared" si="39"/>
        <v>0</v>
      </c>
      <c r="J351" t="s">
        <v>564</v>
      </c>
      <c r="K351" s="5">
        <v>5</v>
      </c>
      <c r="L351" t="str">
        <f>Table_DataFromNL[[#This Row],[PROFILECODE]]&amp;"-"&amp;Table_DataFromNL[[#This Row],[RULENAME]]</f>
        <v>CP154-Community</v>
      </c>
      <c r="M351" t="e">
        <f t="shared" si="40"/>
        <v>#N/A</v>
      </c>
    </row>
    <row r="352" spans="1:13" x14ac:dyDescent="0.25">
      <c r="A352" t="str">
        <f t="shared" si="41"/>
        <v>CP154-HANGER_RECRUIT_5USD_once</v>
      </c>
      <c r="B352" t="s">
        <v>401</v>
      </c>
      <c r="C352" t="str">
        <f t="shared" si="35"/>
        <v>Bradenton</v>
      </c>
      <c r="D352" t="str">
        <f t="shared" si="36"/>
        <v>Y</v>
      </c>
      <c r="E352" t="s">
        <v>603</v>
      </c>
      <c r="F352" t="str">
        <f t="shared" si="37"/>
        <v>HANGER_RECRUIT_5USD_once</v>
      </c>
      <c r="G352">
        <f t="shared" si="38"/>
        <v>0</v>
      </c>
      <c r="H352" t="s">
        <v>565</v>
      </c>
      <c r="I352">
        <f t="shared" si="39"/>
        <v>0</v>
      </c>
      <c r="J352" t="s">
        <v>564</v>
      </c>
      <c r="K352" s="5">
        <v>5</v>
      </c>
      <c r="L352" t="str">
        <f>Table_DataFromNL[[#This Row],[PROFILECODE]]&amp;"-"&amp;Table_DataFromNL[[#This Row],[RULENAME]]</f>
        <v>CP154-HANGER_RECRUIT_5USD_once</v>
      </c>
      <c r="M352" t="e">
        <f t="shared" si="40"/>
        <v>#N/A</v>
      </c>
    </row>
    <row r="353" spans="1:13" x14ac:dyDescent="0.25">
      <c r="A353" t="str">
        <f t="shared" si="41"/>
        <v>CP154-Immunization Boost Payment</v>
      </c>
      <c r="B353" t="s">
        <v>401</v>
      </c>
      <c r="C353" t="str">
        <f t="shared" si="35"/>
        <v>Bradenton</v>
      </c>
      <c r="D353" t="str">
        <f t="shared" si="36"/>
        <v>Y</v>
      </c>
      <c r="E353" t="s">
        <v>603</v>
      </c>
      <c r="F353" t="str">
        <f t="shared" si="37"/>
        <v>Immunization Boost Payment</v>
      </c>
      <c r="G353">
        <f t="shared" si="38"/>
        <v>0</v>
      </c>
      <c r="H353" t="s">
        <v>598</v>
      </c>
      <c r="I353">
        <f t="shared" si="39"/>
        <v>0</v>
      </c>
      <c r="J353" t="s">
        <v>564</v>
      </c>
      <c r="K353" s="5">
        <v>50</v>
      </c>
      <c r="L353" t="str">
        <f>Table_DataFromNL[[#This Row],[PROFILECODE]]&amp;"-"&amp;Table_DataFromNL[[#This Row],[RULENAME]]</f>
        <v>CP154-Immunization Boost Payment</v>
      </c>
      <c r="M353" t="e">
        <f t="shared" si="40"/>
        <v>#N/A</v>
      </c>
    </row>
    <row r="354" spans="1:13" x14ac:dyDescent="0.25">
      <c r="A354" t="str">
        <f t="shared" si="41"/>
        <v>CP154-Immunization Series Payment</v>
      </c>
      <c r="B354" t="s">
        <v>401</v>
      </c>
      <c r="C354" t="str">
        <f t="shared" si="35"/>
        <v>Bradenton</v>
      </c>
      <c r="D354" t="str">
        <f t="shared" si="36"/>
        <v>Y</v>
      </c>
      <c r="E354" t="s">
        <v>603</v>
      </c>
      <c r="F354" t="str">
        <f t="shared" si="37"/>
        <v>Immunization Series Payment</v>
      </c>
      <c r="G354">
        <f t="shared" si="38"/>
        <v>0</v>
      </c>
      <c r="H354" t="s">
        <v>599</v>
      </c>
      <c r="I354">
        <f t="shared" si="39"/>
        <v>0</v>
      </c>
      <c r="J354" t="s">
        <v>564</v>
      </c>
      <c r="K354" s="5">
        <v>100</v>
      </c>
      <c r="L354" t="str">
        <f>Table_DataFromNL[[#This Row],[PROFILECODE]]&amp;"-"&amp;Table_DataFromNL[[#This Row],[RULENAME]]</f>
        <v>CP154-Immunization Series Payment</v>
      </c>
      <c r="M354" t="e">
        <f t="shared" si="40"/>
        <v>#N/A</v>
      </c>
    </row>
    <row r="355" spans="1:13" x14ac:dyDescent="0.25">
      <c r="A355" t="str">
        <f t="shared" si="41"/>
        <v>CP154-Inconv Fee $20-$50-Comment Req'd</v>
      </c>
      <c r="B355" t="s">
        <v>401</v>
      </c>
      <c r="C355" t="str">
        <f t="shared" si="35"/>
        <v>Bradenton</v>
      </c>
      <c r="D355" t="str">
        <f t="shared" si="36"/>
        <v>Y</v>
      </c>
      <c r="E355" t="s">
        <v>603</v>
      </c>
      <c r="F355" t="str">
        <f t="shared" si="37"/>
        <v>Inconv Fee $20-$50-Comment Req'd</v>
      </c>
      <c r="G355">
        <f t="shared" si="38"/>
        <v>0</v>
      </c>
      <c r="H355" t="s">
        <v>566</v>
      </c>
      <c r="I355">
        <f t="shared" si="39"/>
        <v>0</v>
      </c>
      <c r="J355" t="s">
        <v>564</v>
      </c>
      <c r="K355" s="5">
        <v>50</v>
      </c>
      <c r="L355" t="str">
        <f>Table_DataFromNL[[#This Row],[PROFILECODE]]&amp;"-"&amp;Table_DataFromNL[[#This Row],[RULENAME]]</f>
        <v>CP154-Inconv Fee $20-$50-Comment Req'd</v>
      </c>
      <c r="M355" t="e">
        <f t="shared" si="40"/>
        <v>#N/A</v>
      </c>
    </row>
    <row r="356" spans="1:13" x14ac:dyDescent="0.25">
      <c r="A356" t="str">
        <f t="shared" si="41"/>
        <v>CP154-Inconv Fee $5-$20-Comment Req'd</v>
      </c>
      <c r="B356" t="s">
        <v>401</v>
      </c>
      <c r="C356" t="str">
        <f t="shared" si="35"/>
        <v>Bradenton</v>
      </c>
      <c r="D356" t="str">
        <f t="shared" si="36"/>
        <v>Y</v>
      </c>
      <c r="E356" t="s">
        <v>603</v>
      </c>
      <c r="F356" t="str">
        <f t="shared" si="37"/>
        <v>Inconv Fee $5-$20-Comment Req'd</v>
      </c>
      <c r="G356">
        <f t="shared" si="38"/>
        <v>0</v>
      </c>
      <c r="H356" t="s">
        <v>567</v>
      </c>
      <c r="I356">
        <f t="shared" si="39"/>
        <v>0</v>
      </c>
      <c r="J356" t="s">
        <v>564</v>
      </c>
      <c r="K356" s="5">
        <v>20</v>
      </c>
      <c r="L356" t="str">
        <f>Table_DataFromNL[[#This Row],[PROFILECODE]]&amp;"-"&amp;Table_DataFromNL[[#This Row],[RULENAME]]</f>
        <v>CP154-Inconv Fee $5-$20-Comment Req'd</v>
      </c>
      <c r="M356" t="e">
        <f t="shared" si="40"/>
        <v>#N/A</v>
      </c>
    </row>
    <row r="357" spans="1:13" x14ac:dyDescent="0.25">
      <c r="A357" t="str">
        <f t="shared" si="41"/>
        <v>CP154-Inconv Fee$50-$100-Comment Req'd</v>
      </c>
      <c r="B357" t="s">
        <v>401</v>
      </c>
      <c r="C357" t="str">
        <f t="shared" si="35"/>
        <v>Bradenton</v>
      </c>
      <c r="D357" t="str">
        <f t="shared" si="36"/>
        <v>Y</v>
      </c>
      <c r="E357" t="s">
        <v>603</v>
      </c>
      <c r="F357" t="str">
        <f t="shared" si="37"/>
        <v>Inconv Fee$50-$100-Comment Req'd</v>
      </c>
      <c r="G357">
        <f t="shared" si="38"/>
        <v>0</v>
      </c>
      <c r="H357" t="s">
        <v>568</v>
      </c>
      <c r="I357">
        <f t="shared" si="39"/>
        <v>0</v>
      </c>
      <c r="J357" t="s">
        <v>564</v>
      </c>
      <c r="K357" s="5">
        <v>100</v>
      </c>
      <c r="L357" t="str">
        <f>Table_DataFromNL[[#This Row],[PROFILECODE]]&amp;"-"&amp;Table_DataFromNL[[#This Row],[RULENAME]]</f>
        <v>CP154-Inconv Fee$50-$100-Comment Req'd</v>
      </c>
      <c r="M357" t="e">
        <f t="shared" si="40"/>
        <v>#N/A</v>
      </c>
    </row>
    <row r="358" spans="1:13" x14ac:dyDescent="0.25">
      <c r="A358" t="str">
        <f t="shared" si="41"/>
        <v>CP154-NSP_ LAPSEDONOR_50_Twice</v>
      </c>
      <c r="B358" t="s">
        <v>401</v>
      </c>
      <c r="C358" t="str">
        <f t="shared" si="35"/>
        <v>Bradenton</v>
      </c>
      <c r="D358" t="str">
        <f t="shared" si="36"/>
        <v>Y</v>
      </c>
      <c r="E358" t="s">
        <v>603</v>
      </c>
      <c r="F358" t="str">
        <f t="shared" si="37"/>
        <v>NSP_ LAPSEDONOR_50_Twice</v>
      </c>
      <c r="G358">
        <f t="shared" si="38"/>
        <v>0</v>
      </c>
      <c r="H358" t="s">
        <v>569</v>
      </c>
      <c r="I358">
        <f t="shared" si="39"/>
        <v>0</v>
      </c>
      <c r="J358" t="s">
        <v>564</v>
      </c>
      <c r="K358" s="5">
        <v>50</v>
      </c>
      <c r="L358" t="str">
        <f>Table_DataFromNL[[#This Row],[PROFILECODE]]&amp;"-"&amp;Table_DataFromNL[[#This Row],[RULENAME]]</f>
        <v>CP154-NSP_ LAPSEDONOR_50_Twice</v>
      </c>
      <c r="M358" t="e">
        <f t="shared" si="40"/>
        <v>#N/A</v>
      </c>
    </row>
    <row r="359" spans="1:13" x14ac:dyDescent="0.25">
      <c r="A359" t="str">
        <f t="shared" si="41"/>
        <v>CP154-NSP_LD_25_2X</v>
      </c>
      <c r="B359" t="s">
        <v>401</v>
      </c>
      <c r="C359" t="str">
        <f t="shared" si="35"/>
        <v>Bradenton</v>
      </c>
      <c r="D359" t="str">
        <f t="shared" si="36"/>
        <v>Y</v>
      </c>
      <c r="E359" t="s">
        <v>603</v>
      </c>
      <c r="F359" t="str">
        <f t="shared" si="37"/>
        <v>NSP_LD_25_2X</v>
      </c>
      <c r="G359">
        <f t="shared" si="38"/>
        <v>0</v>
      </c>
      <c r="H359" t="s">
        <v>570</v>
      </c>
      <c r="I359">
        <f t="shared" si="39"/>
        <v>0</v>
      </c>
      <c r="J359" t="s">
        <v>564</v>
      </c>
      <c r="K359" s="5">
        <v>25</v>
      </c>
      <c r="L359" t="str">
        <f>Table_DataFromNL[[#This Row],[PROFILECODE]]&amp;"-"&amp;Table_DataFromNL[[#This Row],[RULENAME]]</f>
        <v>CP154-NSP_LD_25_2X</v>
      </c>
      <c r="M359" t="e">
        <f t="shared" si="40"/>
        <v>#N/A</v>
      </c>
    </row>
    <row r="360" spans="1:13" x14ac:dyDescent="0.25">
      <c r="A360" t="str">
        <f t="shared" si="41"/>
        <v>CP154-NSP_LD_50_1X</v>
      </c>
      <c r="B360" t="s">
        <v>401</v>
      </c>
      <c r="C360" t="str">
        <f t="shared" si="35"/>
        <v>Bradenton</v>
      </c>
      <c r="D360" t="str">
        <f t="shared" si="36"/>
        <v>Y</v>
      </c>
      <c r="E360" t="s">
        <v>603</v>
      </c>
      <c r="F360" t="str">
        <f t="shared" si="37"/>
        <v>NSP_LD_50_1X</v>
      </c>
      <c r="G360">
        <f t="shared" si="38"/>
        <v>0</v>
      </c>
      <c r="H360" t="s">
        <v>571</v>
      </c>
      <c r="I360">
        <f t="shared" si="39"/>
        <v>0</v>
      </c>
      <c r="J360" t="s">
        <v>564</v>
      </c>
      <c r="K360" s="5">
        <v>50</v>
      </c>
      <c r="L360" t="str">
        <f>Table_DataFromNL[[#This Row],[PROFILECODE]]&amp;"-"&amp;Table_DataFromNL[[#This Row],[RULENAME]]</f>
        <v>CP154-NSP_LD_50_1X</v>
      </c>
      <c r="M360" t="e">
        <f t="shared" si="40"/>
        <v>#N/A</v>
      </c>
    </row>
    <row r="361" spans="1:13" x14ac:dyDescent="0.25">
      <c r="A361" t="str">
        <f t="shared" si="41"/>
        <v>CP154-NSP_ORPHAN_100_once</v>
      </c>
      <c r="B361" t="s">
        <v>401</v>
      </c>
      <c r="C361" t="str">
        <f t="shared" si="35"/>
        <v>Bradenton</v>
      </c>
      <c r="D361" t="str">
        <f t="shared" si="36"/>
        <v>Y</v>
      </c>
      <c r="E361" t="s">
        <v>603</v>
      </c>
      <c r="F361" t="str">
        <f t="shared" si="37"/>
        <v>NSP_ORPHAN_100_once</v>
      </c>
      <c r="G361">
        <f t="shared" si="38"/>
        <v>0</v>
      </c>
      <c r="H361" t="s">
        <v>572</v>
      </c>
      <c r="I361">
        <f t="shared" si="39"/>
        <v>0</v>
      </c>
      <c r="J361" t="s">
        <v>564</v>
      </c>
      <c r="K361" s="5">
        <v>100</v>
      </c>
      <c r="L361" t="str">
        <f>Table_DataFromNL[[#This Row],[PROFILECODE]]&amp;"-"&amp;Table_DataFromNL[[#This Row],[RULENAME]]</f>
        <v>CP154-NSP_ORPHAN_100_once</v>
      </c>
      <c r="M361" t="e">
        <f t="shared" si="40"/>
        <v>#N/A</v>
      </c>
    </row>
    <row r="362" spans="1:13" x14ac:dyDescent="0.25">
      <c r="A362" t="str">
        <f t="shared" si="41"/>
        <v>CP154-Referral - Vaccinia</v>
      </c>
      <c r="B362" t="s">
        <v>401</v>
      </c>
      <c r="C362" t="str">
        <f t="shared" si="35"/>
        <v>Bradenton</v>
      </c>
      <c r="D362" t="str">
        <f t="shared" si="36"/>
        <v>Y</v>
      </c>
      <c r="E362" t="s">
        <v>603</v>
      </c>
      <c r="F362" t="str">
        <f t="shared" si="37"/>
        <v>Referral - Vaccinia</v>
      </c>
      <c r="G362">
        <f t="shared" si="38"/>
        <v>0</v>
      </c>
      <c r="H362" t="s">
        <v>595</v>
      </c>
      <c r="I362">
        <f t="shared" si="39"/>
        <v>0</v>
      </c>
      <c r="J362" t="s">
        <v>564</v>
      </c>
      <c r="K362" s="5">
        <v>200</v>
      </c>
      <c r="L362" t="str">
        <f>Table_DataFromNL[[#This Row],[PROFILECODE]]&amp;"-"&amp;Table_DataFromNL[[#This Row],[RULENAME]]</f>
        <v>CP154-Referral - Vaccinia</v>
      </c>
      <c r="M362" t="e">
        <f t="shared" si="40"/>
        <v>#N/A</v>
      </c>
    </row>
    <row r="363" spans="1:13" x14ac:dyDescent="0.25">
      <c r="A363" t="str">
        <f t="shared" si="41"/>
        <v>CP154-Restick</v>
      </c>
      <c r="B363" t="s">
        <v>401</v>
      </c>
      <c r="C363" t="str">
        <f t="shared" si="35"/>
        <v>Bradenton</v>
      </c>
      <c r="D363" t="str">
        <f t="shared" si="36"/>
        <v>Y</v>
      </c>
      <c r="E363" t="s">
        <v>603</v>
      </c>
      <c r="F363" t="str">
        <f t="shared" si="37"/>
        <v>Restick</v>
      </c>
      <c r="G363">
        <f t="shared" si="38"/>
        <v>0</v>
      </c>
      <c r="H363" t="s">
        <v>573</v>
      </c>
      <c r="I363">
        <f t="shared" si="39"/>
        <v>0</v>
      </c>
      <c r="J363" t="s">
        <v>564</v>
      </c>
      <c r="K363" s="5">
        <v>5</v>
      </c>
      <c r="L363" t="str">
        <f>Table_DataFromNL[[#This Row],[PROFILECODE]]&amp;"-"&amp;Table_DataFromNL[[#This Row],[RULENAME]]</f>
        <v>CP154-Restick</v>
      </c>
      <c r="M363" t="e">
        <f t="shared" si="40"/>
        <v>#N/A</v>
      </c>
    </row>
    <row r="364" spans="1:13" x14ac:dyDescent="0.25">
      <c r="A364" t="str">
        <f t="shared" si="41"/>
        <v>CP154-SLOW_TEXT_5</v>
      </c>
      <c r="B364" t="s">
        <v>401</v>
      </c>
      <c r="C364" t="str">
        <f t="shared" si="35"/>
        <v>Bradenton</v>
      </c>
      <c r="D364" t="str">
        <f t="shared" si="36"/>
        <v>Y</v>
      </c>
      <c r="E364" t="s">
        <v>603</v>
      </c>
      <c r="F364" t="str">
        <f t="shared" si="37"/>
        <v>SLOW_TEXT_5</v>
      </c>
      <c r="G364">
        <f t="shared" si="38"/>
        <v>0</v>
      </c>
      <c r="H364" t="s">
        <v>574</v>
      </c>
      <c r="I364">
        <f t="shared" si="39"/>
        <v>0</v>
      </c>
      <c r="J364" t="s">
        <v>564</v>
      </c>
      <c r="K364" s="5">
        <v>5</v>
      </c>
      <c r="L364" t="str">
        <f>Table_DataFromNL[[#This Row],[PROFILECODE]]&amp;"-"&amp;Table_DataFromNL[[#This Row],[RULENAME]]</f>
        <v>CP154-SLOW_TEXT_5</v>
      </c>
      <c r="M364" t="e">
        <f t="shared" si="40"/>
        <v>#N/A</v>
      </c>
    </row>
    <row r="365" spans="1:13" x14ac:dyDescent="0.25">
      <c r="A365" t="str">
        <f t="shared" si="41"/>
        <v>CP154-Sample Only</v>
      </c>
      <c r="B365" t="s">
        <v>401</v>
      </c>
      <c r="C365" t="str">
        <f t="shared" si="35"/>
        <v>Bradenton</v>
      </c>
      <c r="D365" t="str">
        <f t="shared" si="36"/>
        <v>Y</v>
      </c>
      <c r="E365" t="s">
        <v>603</v>
      </c>
      <c r="F365" t="str">
        <f t="shared" si="37"/>
        <v>Sample Only</v>
      </c>
      <c r="G365">
        <f t="shared" si="38"/>
        <v>0</v>
      </c>
      <c r="H365" t="s">
        <v>575</v>
      </c>
      <c r="I365">
        <f t="shared" si="39"/>
        <v>0</v>
      </c>
      <c r="J365" t="s">
        <v>564</v>
      </c>
      <c r="K365" s="5">
        <v>5</v>
      </c>
      <c r="L365" t="str">
        <f>Table_DataFromNL[[#This Row],[PROFILECODE]]&amp;"-"&amp;Table_DataFromNL[[#This Row],[RULENAME]]</f>
        <v>CP154-Sample Only</v>
      </c>
      <c r="M365" t="e">
        <f t="shared" si="40"/>
        <v>#N/A</v>
      </c>
    </row>
    <row r="366" spans="1:13" x14ac:dyDescent="0.25">
      <c r="A366" t="str">
        <f t="shared" si="41"/>
        <v>CP154-Unit Below 250 mL</v>
      </c>
      <c r="B366" t="s">
        <v>401</v>
      </c>
      <c r="C366" t="str">
        <f t="shared" si="35"/>
        <v>Bradenton</v>
      </c>
      <c r="D366" t="str">
        <f t="shared" si="36"/>
        <v>Y</v>
      </c>
      <c r="E366" t="s">
        <v>603</v>
      </c>
      <c r="F366" t="str">
        <f t="shared" si="37"/>
        <v>Unit Below 250 mL</v>
      </c>
      <c r="G366">
        <f t="shared" si="38"/>
        <v>0</v>
      </c>
      <c r="H366" t="s">
        <v>576</v>
      </c>
      <c r="I366">
        <f t="shared" si="39"/>
        <v>0</v>
      </c>
      <c r="J366" t="s">
        <v>564</v>
      </c>
      <c r="K366" s="5">
        <v>5</v>
      </c>
      <c r="L366" t="str">
        <f>Table_DataFromNL[[#This Row],[PROFILECODE]]&amp;"-"&amp;Table_DataFromNL[[#This Row],[RULENAME]]</f>
        <v>CP154-Unit Below 250 mL</v>
      </c>
      <c r="M366" t="e">
        <f t="shared" si="40"/>
        <v>#N/A</v>
      </c>
    </row>
    <row r="367" spans="1:13" x14ac:dyDescent="0.25">
      <c r="A367" t="str">
        <f t="shared" si="41"/>
        <v>CP154-Unit above 250 mL/underdraw</v>
      </c>
      <c r="B367" t="s">
        <v>401</v>
      </c>
      <c r="C367" t="str">
        <f t="shared" si="35"/>
        <v>Bradenton</v>
      </c>
      <c r="D367" t="str">
        <f t="shared" si="36"/>
        <v>Y</v>
      </c>
      <c r="E367" t="s">
        <v>603</v>
      </c>
      <c r="F367" t="str">
        <f t="shared" si="37"/>
        <v>Unit above 250 mL/underdraw</v>
      </c>
      <c r="G367">
        <f t="shared" si="38"/>
        <v>0</v>
      </c>
      <c r="H367" t="s">
        <v>577</v>
      </c>
      <c r="I367">
        <f t="shared" si="39"/>
        <v>0</v>
      </c>
      <c r="J367" t="s">
        <v>564</v>
      </c>
      <c r="K367" s="5">
        <v>10</v>
      </c>
      <c r="L367" t="str">
        <f>Table_DataFromNL[[#This Row],[PROFILECODE]]&amp;"-"&amp;Table_DataFromNL[[#This Row],[RULENAME]]</f>
        <v>CP154-Unit above 250 mL/underdraw</v>
      </c>
      <c r="M367" t="e">
        <f t="shared" si="40"/>
        <v>#N/A</v>
      </c>
    </row>
    <row r="368" spans="1:13" x14ac:dyDescent="0.25">
      <c r="A368" t="str">
        <f t="shared" si="41"/>
        <v>CP154-Vaccinia Immunization</v>
      </c>
      <c r="B368" t="s">
        <v>401</v>
      </c>
      <c r="C368" t="str">
        <f t="shared" si="35"/>
        <v>Bradenton</v>
      </c>
      <c r="D368" t="str">
        <f t="shared" si="36"/>
        <v>Y</v>
      </c>
      <c r="E368" t="s">
        <v>603</v>
      </c>
      <c r="F368" t="str">
        <f t="shared" si="37"/>
        <v>Vaccinia Immunization</v>
      </c>
      <c r="G368">
        <f t="shared" si="38"/>
        <v>0</v>
      </c>
      <c r="H368" t="s">
        <v>596</v>
      </c>
      <c r="I368">
        <f t="shared" si="39"/>
        <v>0</v>
      </c>
      <c r="J368" t="s">
        <v>564</v>
      </c>
      <c r="K368" s="5">
        <v>100</v>
      </c>
      <c r="L368" t="str">
        <f>Table_DataFromNL[[#This Row],[PROFILECODE]]&amp;"-"&amp;Table_DataFromNL[[#This Row],[RULENAME]]</f>
        <v>CP154-Vaccinia Immunization</v>
      </c>
      <c r="M368" t="e">
        <f t="shared" si="40"/>
        <v>#N/A</v>
      </c>
    </row>
    <row r="369" spans="1:13" x14ac:dyDescent="0.25">
      <c r="A369" t="str">
        <f t="shared" si="41"/>
        <v>CP154-RETURN - Buddy referral  -BONUS</v>
      </c>
      <c r="B369" t="s">
        <v>401</v>
      </c>
      <c r="C369" t="str">
        <f t="shared" si="35"/>
        <v>Bradenton</v>
      </c>
      <c r="D369" t="str">
        <f t="shared" si="36"/>
        <v>Y</v>
      </c>
      <c r="E369" t="s">
        <v>603</v>
      </c>
      <c r="F369" t="str">
        <f t="shared" si="37"/>
        <v>RETURN - Buddy referral  -BONUS</v>
      </c>
      <c r="G369" t="str">
        <f t="shared" si="38"/>
        <v>Marketing</v>
      </c>
      <c r="H369" t="s">
        <v>34</v>
      </c>
      <c r="I369">
        <f t="shared" si="39"/>
        <v>50</v>
      </c>
      <c r="J369" t="s">
        <v>578</v>
      </c>
      <c r="K369" s="5">
        <v>50</v>
      </c>
      <c r="L369" t="str">
        <f>Table_DataFromNL[[#This Row],[PROFILECODE]]&amp;"-"&amp;Table_DataFromNL[[#This Row],[RULENAME]]</f>
        <v>CP154-Referral</v>
      </c>
      <c r="M369" t="str">
        <f t="shared" si="40"/>
        <v>CP154-RETURN - Buddy referral  -BONUS</v>
      </c>
    </row>
    <row r="370" spans="1:13" x14ac:dyDescent="0.25">
      <c r="A370" t="str">
        <f t="shared" si="41"/>
        <v>CP154-P Anti-D Pre-Existing Standard</v>
      </c>
      <c r="B370" t="s">
        <v>401</v>
      </c>
      <c r="C370" t="str">
        <f t="shared" si="35"/>
        <v>Bradenton</v>
      </c>
      <c r="D370" t="str">
        <f t="shared" si="36"/>
        <v>Y</v>
      </c>
      <c r="E370" t="s">
        <v>603</v>
      </c>
      <c r="F370" t="str">
        <f t="shared" si="37"/>
        <v>P Anti-D Pre-Existing Standard</v>
      </c>
      <c r="G370" t="str">
        <f t="shared" si="38"/>
        <v>Specialty</v>
      </c>
      <c r="H370" t="s">
        <v>469</v>
      </c>
      <c r="I370" t="str">
        <f t="shared" si="39"/>
        <v>RETURN - 1st don of the week -STD</v>
      </c>
      <c r="J370" t="s">
        <v>579</v>
      </c>
      <c r="K370" s="5">
        <v>50</v>
      </c>
      <c r="L370" t="str">
        <f>Table_DataFromNL[[#This Row],[PROFILECODE]]&amp;"-"&amp;Table_DataFromNL[[#This Row],[RULENAME]]</f>
        <v>CP154-P Anti-D Pre-Existing Standard</v>
      </c>
      <c r="M370" t="str">
        <f t="shared" si="40"/>
        <v>CP154-P Anti-D Pre-Existing Standard</v>
      </c>
    </row>
    <row r="371" spans="1:13" x14ac:dyDescent="0.25">
      <c r="A371" t="str">
        <f t="shared" si="41"/>
        <v>CP154-P Anti-D Standard</v>
      </c>
      <c r="B371" t="s">
        <v>401</v>
      </c>
      <c r="C371" t="str">
        <f t="shared" si="35"/>
        <v>Bradenton</v>
      </c>
      <c r="D371" t="str">
        <f t="shared" si="36"/>
        <v>Y</v>
      </c>
      <c r="E371" t="s">
        <v>603</v>
      </c>
      <c r="F371" t="str">
        <f t="shared" si="37"/>
        <v>P Anti-D Standard</v>
      </c>
      <c r="G371" t="str">
        <f t="shared" si="38"/>
        <v>Specialty</v>
      </c>
      <c r="H371" t="s">
        <v>474</v>
      </c>
      <c r="I371" t="str">
        <f t="shared" si="39"/>
        <v>RETURN - 1st don of the week -STD</v>
      </c>
      <c r="J371" t="s">
        <v>579</v>
      </c>
      <c r="K371" s="5">
        <v>50</v>
      </c>
      <c r="L371" t="str">
        <f>Table_DataFromNL[[#This Row],[PROFILECODE]]&amp;"-"&amp;Table_DataFromNL[[#This Row],[RULENAME]]</f>
        <v>CP154-P Anti-D Standard</v>
      </c>
      <c r="M371" t="str">
        <f t="shared" si="40"/>
        <v>CP154-P Anti-D Standard</v>
      </c>
    </row>
    <row r="372" spans="1:13" x14ac:dyDescent="0.25">
      <c r="A372" t="str">
        <f t="shared" si="41"/>
        <v>CP154-P CMV Standard</v>
      </c>
      <c r="B372" t="s">
        <v>401</v>
      </c>
      <c r="C372" t="str">
        <f t="shared" si="35"/>
        <v>Bradenton</v>
      </c>
      <c r="D372" t="str">
        <f t="shared" si="36"/>
        <v>Y</v>
      </c>
      <c r="E372" t="s">
        <v>603</v>
      </c>
      <c r="F372" t="str">
        <f t="shared" si="37"/>
        <v>P CMV Standard</v>
      </c>
      <c r="G372" t="str">
        <f t="shared" si="38"/>
        <v>Specialty</v>
      </c>
      <c r="H372" t="s">
        <v>501</v>
      </c>
      <c r="I372" t="str">
        <f t="shared" si="39"/>
        <v>RETURN - 1st don of the week -STD</v>
      </c>
      <c r="J372" t="s">
        <v>579</v>
      </c>
      <c r="K372" s="5">
        <v>45</v>
      </c>
      <c r="L372" t="str">
        <f>Table_DataFromNL[[#This Row],[PROFILECODE]]&amp;"-"&amp;Table_DataFromNL[[#This Row],[RULENAME]]</f>
        <v>CP154-P CMV Standard</v>
      </c>
      <c r="M372" t="str">
        <f t="shared" si="40"/>
        <v>CP154-P CMV Standard</v>
      </c>
    </row>
    <row r="373" spans="1:13" x14ac:dyDescent="0.25">
      <c r="A373" t="str">
        <f t="shared" si="41"/>
        <v>CP154-P HBS Pre-Existing Standard</v>
      </c>
      <c r="B373" t="s">
        <v>401</v>
      </c>
      <c r="C373" t="str">
        <f t="shared" si="35"/>
        <v>Bradenton</v>
      </c>
      <c r="D373" t="str">
        <f t="shared" si="36"/>
        <v>Y</v>
      </c>
      <c r="E373" t="s">
        <v>603</v>
      </c>
      <c r="F373" t="str">
        <f t="shared" si="37"/>
        <v>P HBS Pre-Existing Standard</v>
      </c>
      <c r="G373" t="str">
        <f t="shared" si="38"/>
        <v>Specialty</v>
      </c>
      <c r="H373" t="s">
        <v>472</v>
      </c>
      <c r="I373" t="str">
        <f t="shared" si="39"/>
        <v>RETURN - 1st don of the week -STD</v>
      </c>
      <c r="J373" t="s">
        <v>579</v>
      </c>
      <c r="K373" s="5">
        <v>40</v>
      </c>
      <c r="L373" t="str">
        <f>Table_DataFromNL[[#This Row],[PROFILECODE]]&amp;"-"&amp;Table_DataFromNL[[#This Row],[RULENAME]]</f>
        <v>CP154-P HBS Pre-Existing Standard</v>
      </c>
      <c r="M373" t="str">
        <f t="shared" si="40"/>
        <v>CP154-P HBS Pre-Existing Standard</v>
      </c>
    </row>
    <row r="374" spans="1:13" x14ac:dyDescent="0.25">
      <c r="A374" t="str">
        <f t="shared" si="41"/>
        <v>CP154-P HBS Standard</v>
      </c>
      <c r="B374" t="s">
        <v>401</v>
      </c>
      <c r="C374" t="str">
        <f t="shared" si="35"/>
        <v>Bradenton</v>
      </c>
      <c r="D374" t="str">
        <f t="shared" si="36"/>
        <v>Y</v>
      </c>
      <c r="E374" t="s">
        <v>603</v>
      </c>
      <c r="F374" t="str">
        <f t="shared" si="37"/>
        <v>P HBS Standard</v>
      </c>
      <c r="G374" t="str">
        <f t="shared" si="38"/>
        <v>Specialty</v>
      </c>
      <c r="H374" t="s">
        <v>473</v>
      </c>
      <c r="I374" t="str">
        <f t="shared" si="39"/>
        <v>RETURN - 1st don of the week -STD</v>
      </c>
      <c r="J374" t="s">
        <v>579</v>
      </c>
      <c r="K374" s="5">
        <v>40</v>
      </c>
      <c r="L374" t="str">
        <f>Table_DataFromNL[[#This Row],[PROFILECODE]]&amp;"-"&amp;Table_DataFromNL[[#This Row],[RULENAME]]</f>
        <v>CP154-P HBS Standard</v>
      </c>
      <c r="M374" t="str">
        <f t="shared" si="40"/>
        <v>CP154-P HBS Standard</v>
      </c>
    </row>
    <row r="375" spans="1:13" x14ac:dyDescent="0.25">
      <c r="A375" t="str">
        <f t="shared" si="41"/>
        <v>CP154-RETURN - 1st don of the week -STD</v>
      </c>
      <c r="B375" t="s">
        <v>401</v>
      </c>
      <c r="C375" t="str">
        <f t="shared" si="35"/>
        <v>Bradenton</v>
      </c>
      <c r="D375" t="str">
        <f t="shared" si="36"/>
        <v>Y</v>
      </c>
      <c r="E375" t="s">
        <v>603</v>
      </c>
      <c r="F375" t="str">
        <f t="shared" si="37"/>
        <v>RETURN - 1st don of the week -STD</v>
      </c>
      <c r="G375" t="str">
        <f t="shared" si="38"/>
        <v>Marketing</v>
      </c>
      <c r="H375" t="s">
        <v>583</v>
      </c>
      <c r="I375">
        <f t="shared" si="39"/>
        <v>22</v>
      </c>
      <c r="J375" t="s">
        <v>579</v>
      </c>
      <c r="K375" s="5">
        <v>40</v>
      </c>
      <c r="L375" t="str">
        <f>Table_DataFromNL[[#This Row],[PROFILECODE]]&amp;"-"&amp;Table_DataFromNL[[#This Row],[RULENAME]]</f>
        <v>CP154-P NSP NS AP Standard</v>
      </c>
      <c r="M375" t="str">
        <f t="shared" si="40"/>
        <v>CP154-RETURN - 1st don of the week -STD</v>
      </c>
    </row>
    <row r="376" spans="1:13" x14ac:dyDescent="0.25">
      <c r="A376" t="str">
        <f t="shared" si="41"/>
        <v>CP154-RETURN - 1st don of the week -STD</v>
      </c>
      <c r="B376" t="s">
        <v>401</v>
      </c>
      <c r="C376" t="str">
        <f t="shared" si="35"/>
        <v>Bradenton</v>
      </c>
      <c r="D376" t="str">
        <f t="shared" si="36"/>
        <v>Y</v>
      </c>
      <c r="E376" t="s">
        <v>603</v>
      </c>
      <c r="F376" t="str">
        <f t="shared" si="37"/>
        <v>RETURN - 1st don of the week -STD</v>
      </c>
      <c r="G376" t="str">
        <f t="shared" si="38"/>
        <v>Marketing</v>
      </c>
      <c r="H376" t="s">
        <v>584</v>
      </c>
      <c r="I376">
        <f t="shared" si="39"/>
        <v>23</v>
      </c>
      <c r="J376" t="s">
        <v>579</v>
      </c>
      <c r="K376" s="5">
        <v>40</v>
      </c>
      <c r="L376" t="str">
        <f>Table_DataFromNL[[#This Row],[PROFILECODE]]&amp;"-"&amp;Table_DataFromNL[[#This Row],[RULENAME]]</f>
        <v>CP154-P NSP NS Standard</v>
      </c>
      <c r="M376" t="str">
        <f t="shared" si="40"/>
        <v>CP154-RETURN - 1st don of the week -STD</v>
      </c>
    </row>
    <row r="377" spans="1:13" x14ac:dyDescent="0.25">
      <c r="A377" t="str">
        <f t="shared" si="41"/>
        <v>CP154-P VZV Pre-Existing AP</v>
      </c>
      <c r="B377" t="s">
        <v>401</v>
      </c>
      <c r="C377" t="str">
        <f t="shared" si="35"/>
        <v>Bradenton</v>
      </c>
      <c r="D377" t="str">
        <f t="shared" si="36"/>
        <v>Y</v>
      </c>
      <c r="E377" t="s">
        <v>603</v>
      </c>
      <c r="F377" t="str">
        <f t="shared" si="37"/>
        <v>P VZV Pre-Existing AP</v>
      </c>
      <c r="G377" t="str">
        <f t="shared" si="38"/>
        <v>Specialty</v>
      </c>
      <c r="H377" t="s">
        <v>495</v>
      </c>
      <c r="I377" t="str">
        <f t="shared" si="39"/>
        <v>RETURN - 1st don of the week -STD</v>
      </c>
      <c r="J377" t="s">
        <v>579</v>
      </c>
      <c r="K377" s="5">
        <v>50</v>
      </c>
      <c r="L377" t="str">
        <f>Table_DataFromNL[[#This Row],[PROFILECODE]]&amp;"-"&amp;Table_DataFromNL[[#This Row],[RULENAME]]</f>
        <v>CP154-P VZV Pre-Existing AP</v>
      </c>
      <c r="M377" t="str">
        <f t="shared" si="40"/>
        <v>CP154-P VZV Pre-Existing AP</v>
      </c>
    </row>
    <row r="378" spans="1:13" x14ac:dyDescent="0.25">
      <c r="A378" t="str">
        <f t="shared" si="41"/>
        <v>CP154-P VZV Standard</v>
      </c>
      <c r="B378" t="s">
        <v>401</v>
      </c>
      <c r="C378" t="str">
        <f t="shared" si="35"/>
        <v>Bradenton</v>
      </c>
      <c r="D378" t="str">
        <f t="shared" si="36"/>
        <v>Y</v>
      </c>
      <c r="E378" t="s">
        <v>603</v>
      </c>
      <c r="F378" t="str">
        <f t="shared" si="37"/>
        <v>P VZV Standard</v>
      </c>
      <c r="G378" t="str">
        <f t="shared" si="38"/>
        <v>Specialty</v>
      </c>
      <c r="H378" t="s">
        <v>496</v>
      </c>
      <c r="I378" t="str">
        <f t="shared" si="39"/>
        <v>RETURN - 1st don of the week -STD</v>
      </c>
      <c r="J378" t="s">
        <v>579</v>
      </c>
      <c r="K378" s="5">
        <v>50</v>
      </c>
      <c r="L378" t="str">
        <f>Table_DataFromNL[[#This Row],[PROFILECODE]]&amp;"-"&amp;Table_DataFromNL[[#This Row],[RULENAME]]</f>
        <v>CP154-P VZV Standard</v>
      </c>
      <c r="M378" t="str">
        <f t="shared" si="40"/>
        <v>CP154-P VZV Standard</v>
      </c>
    </row>
    <row r="379" spans="1:13" x14ac:dyDescent="0.25">
      <c r="A379" t="str">
        <f t="shared" si="41"/>
        <v>CP154-P Vaccinia AP Standard</v>
      </c>
      <c r="B379" t="s">
        <v>401</v>
      </c>
      <c r="C379" t="str">
        <f t="shared" si="35"/>
        <v>Bradenton</v>
      </c>
      <c r="D379" t="str">
        <f t="shared" si="36"/>
        <v>Y</v>
      </c>
      <c r="E379" t="s">
        <v>603</v>
      </c>
      <c r="F379" t="str">
        <f t="shared" si="37"/>
        <v>P Vaccinia AP Standard</v>
      </c>
      <c r="G379" t="str">
        <f t="shared" si="38"/>
        <v>Specialty</v>
      </c>
      <c r="H379" t="s">
        <v>475</v>
      </c>
      <c r="I379">
        <f t="shared" si="39"/>
        <v>0</v>
      </c>
      <c r="J379" t="s">
        <v>579</v>
      </c>
      <c r="K379" s="5">
        <v>100</v>
      </c>
      <c r="L379" t="str">
        <f>Table_DataFromNL[[#This Row],[PROFILECODE]]&amp;"-"&amp;Table_DataFromNL[[#This Row],[RULENAME]]</f>
        <v>CP154-P Vaccinia AP Standard</v>
      </c>
      <c r="M379" t="str">
        <f t="shared" si="40"/>
        <v>CP154-P Vaccinia AP Standard</v>
      </c>
    </row>
    <row r="380" spans="1:13" x14ac:dyDescent="0.25">
      <c r="A380" t="str">
        <f t="shared" si="41"/>
        <v>CP154-P Vaccinia Standard</v>
      </c>
      <c r="B380" t="s">
        <v>401</v>
      </c>
      <c r="C380" t="str">
        <f t="shared" si="35"/>
        <v>Bradenton</v>
      </c>
      <c r="D380" t="str">
        <f t="shared" si="36"/>
        <v>Y</v>
      </c>
      <c r="E380" t="s">
        <v>603</v>
      </c>
      <c r="F380" t="str">
        <f t="shared" si="37"/>
        <v>P Vaccinia Standard</v>
      </c>
      <c r="G380" t="str">
        <f t="shared" si="38"/>
        <v>Specialty</v>
      </c>
      <c r="H380" t="s">
        <v>476</v>
      </c>
      <c r="I380">
        <f t="shared" si="39"/>
        <v>0</v>
      </c>
      <c r="J380" t="s">
        <v>579</v>
      </c>
      <c r="K380" s="5">
        <v>100</v>
      </c>
      <c r="L380" t="str">
        <f>Table_DataFromNL[[#This Row],[PROFILECODE]]&amp;"-"&amp;Table_DataFromNL[[#This Row],[RULENAME]]</f>
        <v>CP154-P Vaccinia Standard</v>
      </c>
      <c r="M380" t="str">
        <f t="shared" si="40"/>
        <v>CP154-P Vaccinia Standard</v>
      </c>
    </row>
    <row r="381" spans="1:13" x14ac:dyDescent="0.25">
      <c r="A381" t="str">
        <f t="shared" si="41"/>
        <v>CP154-PVZV Pre-Existing Standard</v>
      </c>
      <c r="B381" t="s">
        <v>401</v>
      </c>
      <c r="C381" t="str">
        <f t="shared" si="35"/>
        <v>Bradenton</v>
      </c>
      <c r="D381" t="str">
        <f t="shared" si="36"/>
        <v>Y</v>
      </c>
      <c r="E381" t="s">
        <v>603</v>
      </c>
      <c r="F381" t="str">
        <f t="shared" si="37"/>
        <v>PVZV Pre-Existing Standard</v>
      </c>
      <c r="G381" t="str">
        <f t="shared" si="38"/>
        <v>Specialty</v>
      </c>
      <c r="H381" t="s">
        <v>497</v>
      </c>
      <c r="I381" t="str">
        <f t="shared" si="39"/>
        <v>RETURN - 1st don of the week -STD</v>
      </c>
      <c r="J381" t="s">
        <v>579</v>
      </c>
      <c r="K381" s="5">
        <v>50</v>
      </c>
      <c r="L381" t="str">
        <f>Table_DataFromNL[[#This Row],[PROFILECODE]]&amp;"-"&amp;Table_DataFromNL[[#This Row],[RULENAME]]</f>
        <v>CP154-PVZV Pre-Existing Standard</v>
      </c>
      <c r="M381" t="str">
        <f t="shared" si="40"/>
        <v>CP154-PVZV Pre-Existing Standard</v>
      </c>
    </row>
    <row r="382" spans="1:13" x14ac:dyDescent="0.25">
      <c r="A382" t="str">
        <f t="shared" si="41"/>
        <v>CP149-1st Responder-Medical</v>
      </c>
      <c r="B382" t="s">
        <v>396</v>
      </c>
      <c r="C382" t="str">
        <f t="shared" si="35"/>
        <v>Burlington</v>
      </c>
      <c r="D382" t="str">
        <f t="shared" si="36"/>
        <v>Y</v>
      </c>
      <c r="E382" t="s">
        <v>604</v>
      </c>
      <c r="F382" t="str">
        <f t="shared" si="37"/>
        <v>1st Responder-Medical</v>
      </c>
      <c r="G382">
        <f t="shared" si="38"/>
        <v>0</v>
      </c>
      <c r="H382" t="s">
        <v>545</v>
      </c>
      <c r="I382">
        <f t="shared" si="39"/>
        <v>0</v>
      </c>
      <c r="J382" t="s">
        <v>546</v>
      </c>
      <c r="K382" s="5">
        <v>5</v>
      </c>
      <c r="L382" t="str">
        <f>Table_DataFromNL[[#This Row],[PROFILECODE]]&amp;"-"&amp;Table_DataFromNL[[#This Row],[RULENAME]]</f>
        <v>CP149-1st Responder-Medical</v>
      </c>
      <c r="M382" t="e">
        <f t="shared" si="40"/>
        <v>#N/A</v>
      </c>
    </row>
    <row r="383" spans="1:13" x14ac:dyDescent="0.25">
      <c r="A383" t="str">
        <f t="shared" si="41"/>
        <v>CP149-2X Week P CMV</v>
      </c>
      <c r="B383" t="s">
        <v>396</v>
      </c>
      <c r="C383" t="str">
        <f t="shared" si="35"/>
        <v>Burlington</v>
      </c>
      <c r="D383" t="str">
        <f t="shared" si="36"/>
        <v>Y</v>
      </c>
      <c r="E383" t="s">
        <v>604</v>
      </c>
      <c r="F383" t="str">
        <f t="shared" si="37"/>
        <v>2X Week P CMV</v>
      </c>
      <c r="G383" t="str">
        <f t="shared" si="38"/>
        <v>Specialty</v>
      </c>
      <c r="H383" t="s">
        <v>498</v>
      </c>
      <c r="I383" t="str">
        <f t="shared" si="39"/>
        <v>RETURN - 2nd don of the week -BONUS</v>
      </c>
      <c r="J383" t="s">
        <v>546</v>
      </c>
      <c r="K383" s="5">
        <v>50</v>
      </c>
      <c r="L383" t="str">
        <f>Table_DataFromNL[[#This Row],[PROFILECODE]]&amp;"-"&amp;Table_DataFromNL[[#This Row],[RULENAME]]</f>
        <v>CP149-2X Week P CMV</v>
      </c>
      <c r="M383" t="str">
        <f t="shared" si="40"/>
        <v>CP149-2X Week P CMV</v>
      </c>
    </row>
    <row r="384" spans="1:13" x14ac:dyDescent="0.25">
      <c r="A384" t="str">
        <f t="shared" si="41"/>
        <v>CP149-RETURN - 2nd don of the week -BONUS</v>
      </c>
      <c r="B384" t="s">
        <v>396</v>
      </c>
      <c r="C384" t="str">
        <f t="shared" si="35"/>
        <v>Burlington</v>
      </c>
      <c r="D384" t="str">
        <f t="shared" si="36"/>
        <v>Y</v>
      </c>
      <c r="E384" t="s">
        <v>604</v>
      </c>
      <c r="F384" t="str">
        <f t="shared" si="37"/>
        <v>RETURN - 2nd don of the week -BONUS</v>
      </c>
      <c r="G384" t="str">
        <f t="shared" si="38"/>
        <v>Marketing</v>
      </c>
      <c r="H384" t="s">
        <v>550</v>
      </c>
      <c r="I384">
        <f t="shared" si="39"/>
        <v>26</v>
      </c>
      <c r="J384" t="s">
        <v>546</v>
      </c>
      <c r="K384" s="5">
        <v>50</v>
      </c>
      <c r="L384" t="str">
        <f>Table_DataFromNL[[#This Row],[PROFILECODE]]&amp;"-"&amp;Table_DataFromNL[[#This Row],[RULENAME]]</f>
        <v>CP149-2X Week P NSP NS</v>
      </c>
      <c r="M384" t="str">
        <f t="shared" si="40"/>
        <v>CP149-RETURN - 2nd don of the week -BONUS</v>
      </c>
    </row>
    <row r="385" spans="1:13" x14ac:dyDescent="0.25">
      <c r="A385" t="str">
        <f t="shared" si="41"/>
        <v>CP149-RETURN - 2nd don of the week -BONUS</v>
      </c>
      <c r="B385" t="s">
        <v>396</v>
      </c>
      <c r="C385" t="str">
        <f t="shared" si="35"/>
        <v>Burlington</v>
      </c>
      <c r="D385" t="str">
        <f t="shared" si="36"/>
        <v>Y</v>
      </c>
      <c r="E385" t="s">
        <v>604</v>
      </c>
      <c r="F385" t="str">
        <f t="shared" si="37"/>
        <v>RETURN - 2nd don of the week -BONUS</v>
      </c>
      <c r="G385" t="str">
        <f t="shared" si="38"/>
        <v>Marketing</v>
      </c>
      <c r="H385" t="s">
        <v>551</v>
      </c>
      <c r="I385" t="str">
        <f t="shared" si="39"/>
        <v>RETURN - 2nd don of the week -BONUS</v>
      </c>
      <c r="J385" t="s">
        <v>546</v>
      </c>
      <c r="K385" s="5">
        <v>50</v>
      </c>
      <c r="L385" t="str">
        <f>Table_DataFromNL[[#This Row],[PROFILECODE]]&amp;"-"&amp;Table_DataFromNL[[#This Row],[RULENAME]]</f>
        <v>CP149-2X Week P NSP NS AP</v>
      </c>
      <c r="M385" t="str">
        <f t="shared" si="40"/>
        <v>CP149-RETURN - 2nd don of the week -BONUS</v>
      </c>
    </row>
    <row r="386" spans="1:13" x14ac:dyDescent="0.25">
      <c r="A386" t="str">
        <f t="shared" si="41"/>
        <v>CP149-2X Week P Tetanus</v>
      </c>
      <c r="B386" t="s">
        <v>396</v>
      </c>
      <c r="C386" t="str">
        <f t="shared" ref="C386:C449" si="42">VLOOKUP(B386,CenterLU,2,FALSE)</f>
        <v>Burlington</v>
      </c>
      <c r="D386" t="str">
        <f t="shared" ref="D386:D449" si="43">VLOOKUP(B386,CenterLU,3,FALSE)</f>
        <v>Y</v>
      </c>
      <c r="E386" t="s">
        <v>604</v>
      </c>
      <c r="F386" t="str">
        <f t="shared" ref="F386:F449" si="44">IF(VLOOKUP(H386,RULENAMELU,3,FALSE)=0,H386,VLOOKUP(H386,RULENAMELU,3,FALSE))</f>
        <v>2X Week P Tetanus</v>
      </c>
      <c r="G386" t="str">
        <f t="shared" ref="G386:G449" si="45">VLOOKUP(H386,RULENAMELU,4,FALSE)</f>
        <v>Specialty</v>
      </c>
      <c r="H386" t="s">
        <v>485</v>
      </c>
      <c r="I386" t="str">
        <f t="shared" ref="I386:I449" si="46">VLOOKUP(H386,RULENAMELU,5,FALSE)</f>
        <v>RETURN - 2nd don of the week -BONUS</v>
      </c>
      <c r="J386" t="s">
        <v>546</v>
      </c>
      <c r="K386" s="5">
        <v>50</v>
      </c>
      <c r="L386" t="str">
        <f>Table_DataFromNL[[#This Row],[PROFILECODE]]&amp;"-"&amp;Table_DataFromNL[[#This Row],[RULENAME]]</f>
        <v>CP149-2X Week P Tetanus</v>
      </c>
      <c r="M386" t="str">
        <f t="shared" ref="M386:M449" si="47">IFERROR(VLOOKUP(A386,PaychangesLU,1,FALSE),VLOOKUP(A386,SpecialtyCheckLU,1,FALSE))</f>
        <v>CP149-2X Week P Tetanus</v>
      </c>
    </row>
    <row r="387" spans="1:13" x14ac:dyDescent="0.25">
      <c r="A387" t="str">
        <f t="shared" ref="A387:A450" si="48">B387&amp;"-"&amp;F387</f>
        <v>CP149-2X Week P Tetanus AP</v>
      </c>
      <c r="B387" t="s">
        <v>396</v>
      </c>
      <c r="C387" t="str">
        <f t="shared" si="42"/>
        <v>Burlington</v>
      </c>
      <c r="D387" t="str">
        <f t="shared" si="43"/>
        <v>Y</v>
      </c>
      <c r="E387" t="s">
        <v>604</v>
      </c>
      <c r="F387" t="str">
        <f t="shared" si="44"/>
        <v>2X Week P Tetanus AP</v>
      </c>
      <c r="G387" t="str">
        <f t="shared" si="45"/>
        <v>Specialty</v>
      </c>
      <c r="H387" t="s">
        <v>486</v>
      </c>
      <c r="I387" t="str">
        <f t="shared" si="46"/>
        <v>RETURN - 2nd don of the week -BONUS</v>
      </c>
      <c r="J387" t="s">
        <v>546</v>
      </c>
      <c r="K387" s="5">
        <v>50</v>
      </c>
      <c r="L387" t="str">
        <f>Table_DataFromNL[[#This Row],[PROFILECODE]]&amp;"-"&amp;Table_DataFromNL[[#This Row],[RULENAME]]</f>
        <v>CP149-2X Week P Tetanus AP</v>
      </c>
      <c r="M387" t="str">
        <f t="shared" si="47"/>
        <v>CP149-2X Week P Tetanus AP</v>
      </c>
    </row>
    <row r="388" spans="1:13" x14ac:dyDescent="0.25">
      <c r="A388" t="str">
        <f t="shared" si="48"/>
        <v>CP149-2X Week P Tetanus PE</v>
      </c>
      <c r="B388" t="s">
        <v>396</v>
      </c>
      <c r="C388" t="str">
        <f t="shared" si="42"/>
        <v>Burlington</v>
      </c>
      <c r="D388" t="str">
        <f t="shared" si="43"/>
        <v>Y</v>
      </c>
      <c r="E388" t="s">
        <v>604</v>
      </c>
      <c r="F388" t="str">
        <f t="shared" si="44"/>
        <v>2X Week P Tetanus PE</v>
      </c>
      <c r="G388" t="str">
        <f t="shared" si="45"/>
        <v>Specialty</v>
      </c>
      <c r="H388" t="s">
        <v>487</v>
      </c>
      <c r="I388" t="str">
        <f t="shared" si="46"/>
        <v>RETURN - 2nd don of the week -BONUS</v>
      </c>
      <c r="J388" t="s">
        <v>546</v>
      </c>
      <c r="K388" s="5">
        <v>50</v>
      </c>
      <c r="L388" t="str">
        <f>Table_DataFromNL[[#This Row],[PROFILECODE]]&amp;"-"&amp;Table_DataFromNL[[#This Row],[RULENAME]]</f>
        <v>CP149-2X Week P Tetanus PE</v>
      </c>
      <c r="M388" t="str">
        <f t="shared" si="47"/>
        <v>CP149-2X Week P Tetanus PE</v>
      </c>
    </row>
    <row r="389" spans="1:13" x14ac:dyDescent="0.25">
      <c r="A389" t="str">
        <f t="shared" si="48"/>
        <v>CP149-RETURN - 6th don of the month -BONUS</v>
      </c>
      <c r="B389" t="s">
        <v>396</v>
      </c>
      <c r="C389" t="str">
        <f t="shared" si="42"/>
        <v>Burlington</v>
      </c>
      <c r="D389" t="str">
        <f t="shared" si="43"/>
        <v>Y</v>
      </c>
      <c r="E389" t="s">
        <v>604</v>
      </c>
      <c r="F389" t="str">
        <f t="shared" si="44"/>
        <v>RETURN - 6th don of the month -BONUS</v>
      </c>
      <c r="G389" t="str">
        <f t="shared" si="45"/>
        <v>Marketing</v>
      </c>
      <c r="H389" t="s">
        <v>552</v>
      </c>
      <c r="I389">
        <f t="shared" si="46"/>
        <v>28</v>
      </c>
      <c r="J389" t="s">
        <v>546</v>
      </c>
      <c r="K389" s="5">
        <v>30</v>
      </c>
      <c r="L389" t="str">
        <f>Table_DataFromNL[[#This Row],[PROFILECODE]]&amp;"-"&amp;Table_DataFromNL[[#This Row],[RULENAME]]</f>
        <v>CP149-6X Month</v>
      </c>
      <c r="M389" t="str">
        <f t="shared" si="47"/>
        <v>CP149-RETURN - 6th don of the month -BONUS</v>
      </c>
    </row>
    <row r="390" spans="1:13" x14ac:dyDescent="0.25">
      <c r="A390" t="str">
        <f t="shared" si="48"/>
        <v>CP149-College ID Standard Bonus</v>
      </c>
      <c r="B390" t="s">
        <v>396</v>
      </c>
      <c r="C390" t="str">
        <f t="shared" si="42"/>
        <v>Burlington</v>
      </c>
      <c r="D390" t="str">
        <f t="shared" si="43"/>
        <v>Y</v>
      </c>
      <c r="E390" t="s">
        <v>604</v>
      </c>
      <c r="F390" t="str">
        <f t="shared" si="44"/>
        <v>College ID Standard Bonus</v>
      </c>
      <c r="G390">
        <f t="shared" si="45"/>
        <v>0</v>
      </c>
      <c r="H390" t="s">
        <v>553</v>
      </c>
      <c r="I390">
        <f t="shared" si="46"/>
        <v>0</v>
      </c>
      <c r="J390" t="s">
        <v>546</v>
      </c>
      <c r="K390" s="5">
        <v>5</v>
      </c>
      <c r="L390" t="str">
        <f>Table_DataFromNL[[#This Row],[PROFILECODE]]&amp;"-"&amp;Table_DataFromNL[[#This Row],[RULENAME]]</f>
        <v>CP149-College ID Standard Bonus</v>
      </c>
      <c r="M390" t="e">
        <f t="shared" si="47"/>
        <v>#N/A</v>
      </c>
    </row>
    <row r="391" spans="1:13" x14ac:dyDescent="0.25">
      <c r="A391" t="str">
        <f t="shared" si="48"/>
        <v>CP149-Military ID</v>
      </c>
      <c r="B391" t="s">
        <v>396</v>
      </c>
      <c r="C391" t="str">
        <f t="shared" si="42"/>
        <v>Burlington</v>
      </c>
      <c r="D391" t="str">
        <f t="shared" si="43"/>
        <v>Y</v>
      </c>
      <c r="E391" t="s">
        <v>604</v>
      </c>
      <c r="F391" t="str">
        <f t="shared" si="44"/>
        <v>Military ID</v>
      </c>
      <c r="G391">
        <f t="shared" si="45"/>
        <v>0</v>
      </c>
      <c r="H391" t="s">
        <v>554</v>
      </c>
      <c r="I391">
        <f t="shared" si="46"/>
        <v>0</v>
      </c>
      <c r="J391" t="s">
        <v>546</v>
      </c>
      <c r="K391" s="5">
        <v>5</v>
      </c>
      <c r="L391" t="str">
        <f>Table_DataFromNL[[#This Row],[PROFILECODE]]&amp;"-"&amp;Table_DataFromNL[[#This Row],[RULENAME]]</f>
        <v>CP149-Military ID</v>
      </c>
      <c r="M391" t="e">
        <f t="shared" si="47"/>
        <v>#N/A</v>
      </c>
    </row>
    <row r="392" spans="1:13" x14ac:dyDescent="0.25">
      <c r="A392" t="str">
        <f t="shared" si="48"/>
        <v>CP149-NEW DONOR -1st</v>
      </c>
      <c r="B392" t="s">
        <v>396</v>
      </c>
      <c r="C392" t="str">
        <f t="shared" si="42"/>
        <v>Burlington</v>
      </c>
      <c r="D392" t="str">
        <f t="shared" si="43"/>
        <v>Y</v>
      </c>
      <c r="E392" t="s">
        <v>604</v>
      </c>
      <c r="F392" t="str">
        <f t="shared" si="44"/>
        <v>NEW DONOR -1st</v>
      </c>
      <c r="G392" t="str">
        <f t="shared" si="45"/>
        <v>Marketing</v>
      </c>
      <c r="H392" t="s">
        <v>555</v>
      </c>
      <c r="I392">
        <f t="shared" si="46"/>
        <v>1</v>
      </c>
      <c r="J392" t="s">
        <v>546</v>
      </c>
      <c r="K392" s="5">
        <v>100</v>
      </c>
      <c r="L392" t="str">
        <f>Table_DataFromNL[[#This Row],[PROFILECODE]]&amp;"-"&amp;Table_DataFromNL[[#This Row],[RULENAME]]</f>
        <v>CP149-New Donor 1st Visit-Bonus</v>
      </c>
      <c r="M392" t="str">
        <f t="shared" si="47"/>
        <v>CP149-NEW DONOR -1st</v>
      </c>
    </row>
    <row r="393" spans="1:13" x14ac:dyDescent="0.25">
      <c r="A393" t="str">
        <f t="shared" si="48"/>
        <v>CP149-NEW DONOR -2nd</v>
      </c>
      <c r="B393" t="s">
        <v>396</v>
      </c>
      <c r="C393" t="str">
        <f t="shared" si="42"/>
        <v>Burlington</v>
      </c>
      <c r="D393" t="str">
        <f t="shared" si="43"/>
        <v>Y</v>
      </c>
      <c r="E393" t="s">
        <v>604</v>
      </c>
      <c r="F393" t="str">
        <f t="shared" si="44"/>
        <v>NEW DONOR -2nd</v>
      </c>
      <c r="G393" t="str">
        <f t="shared" si="45"/>
        <v>Marketing</v>
      </c>
      <c r="H393" t="s">
        <v>556</v>
      </c>
      <c r="I393">
        <f t="shared" si="46"/>
        <v>2</v>
      </c>
      <c r="J393" t="s">
        <v>546</v>
      </c>
      <c r="K393" s="5">
        <v>100</v>
      </c>
      <c r="L393" t="str">
        <f>Table_DataFromNL[[#This Row],[PROFILECODE]]&amp;"-"&amp;Table_DataFromNL[[#This Row],[RULENAME]]</f>
        <v>CP149-New Donor 2nd Visit-Bonus</v>
      </c>
      <c r="M393" t="str">
        <f t="shared" si="47"/>
        <v>CP149-NEW DONOR -2nd</v>
      </c>
    </row>
    <row r="394" spans="1:13" x14ac:dyDescent="0.25">
      <c r="A394" t="str">
        <f t="shared" si="48"/>
        <v>CP149-NEW DONOR -3rd</v>
      </c>
      <c r="B394" t="s">
        <v>396</v>
      </c>
      <c r="C394" t="str">
        <f t="shared" si="42"/>
        <v>Burlington</v>
      </c>
      <c r="D394" t="str">
        <f t="shared" si="43"/>
        <v>Y</v>
      </c>
      <c r="E394" t="s">
        <v>604</v>
      </c>
      <c r="F394" t="str">
        <f t="shared" si="44"/>
        <v>NEW DONOR -3rd</v>
      </c>
      <c r="G394" t="str">
        <f t="shared" si="45"/>
        <v>Marketing</v>
      </c>
      <c r="H394" t="s">
        <v>557</v>
      </c>
      <c r="I394">
        <f t="shared" si="46"/>
        <v>3</v>
      </c>
      <c r="J394" t="s">
        <v>546</v>
      </c>
      <c r="K394" s="5">
        <v>100</v>
      </c>
      <c r="L394" t="str">
        <f>Table_DataFromNL[[#This Row],[PROFILECODE]]&amp;"-"&amp;Table_DataFromNL[[#This Row],[RULENAME]]</f>
        <v>CP149-New Donor 3rd Visit-Bonus</v>
      </c>
      <c r="M394" t="str">
        <f t="shared" si="47"/>
        <v>CP149-NEW DONOR -3rd</v>
      </c>
    </row>
    <row r="395" spans="1:13" x14ac:dyDescent="0.25">
      <c r="A395" t="str">
        <f t="shared" si="48"/>
        <v>CP149-NEW DONOR -4th</v>
      </c>
      <c r="B395" t="s">
        <v>396</v>
      </c>
      <c r="C395" t="str">
        <f t="shared" si="42"/>
        <v>Burlington</v>
      </c>
      <c r="D395" t="str">
        <f t="shared" si="43"/>
        <v>Y</v>
      </c>
      <c r="E395" t="s">
        <v>604</v>
      </c>
      <c r="F395" t="str">
        <f t="shared" si="44"/>
        <v>NEW DONOR -4th</v>
      </c>
      <c r="G395" t="str">
        <f t="shared" si="45"/>
        <v>Marketing</v>
      </c>
      <c r="H395" t="s">
        <v>558</v>
      </c>
      <c r="I395">
        <f t="shared" si="46"/>
        <v>4</v>
      </c>
      <c r="J395" t="s">
        <v>546</v>
      </c>
      <c r="K395" s="5">
        <v>100</v>
      </c>
      <c r="L395" t="str">
        <f>Table_DataFromNL[[#This Row],[PROFILECODE]]&amp;"-"&amp;Table_DataFromNL[[#This Row],[RULENAME]]</f>
        <v>CP149-New Donor 4th Visit-Bonus</v>
      </c>
      <c r="M395" t="str">
        <f t="shared" si="47"/>
        <v>CP149-NEW DONOR -4th</v>
      </c>
    </row>
    <row r="396" spans="1:13" x14ac:dyDescent="0.25">
      <c r="A396" t="str">
        <f t="shared" si="48"/>
        <v>CP149-NEW DONOR -5th</v>
      </c>
      <c r="B396" t="s">
        <v>396</v>
      </c>
      <c r="C396" t="str">
        <f t="shared" si="42"/>
        <v>Burlington</v>
      </c>
      <c r="D396" t="str">
        <f t="shared" si="43"/>
        <v>Y</v>
      </c>
      <c r="E396" t="s">
        <v>604</v>
      </c>
      <c r="F396" t="str">
        <f t="shared" si="44"/>
        <v>NEW DONOR -5th</v>
      </c>
      <c r="G396" t="str">
        <f t="shared" si="45"/>
        <v>Marketing</v>
      </c>
      <c r="H396" t="s">
        <v>559</v>
      </c>
      <c r="I396">
        <f t="shared" si="46"/>
        <v>5</v>
      </c>
      <c r="J396" t="s">
        <v>546</v>
      </c>
      <c r="K396" s="5">
        <v>100</v>
      </c>
      <c r="L396" t="str">
        <f>Table_DataFromNL[[#This Row],[PROFILECODE]]&amp;"-"&amp;Table_DataFromNL[[#This Row],[RULENAME]]</f>
        <v>CP149-New Donor 5th Visit-Bonus</v>
      </c>
      <c r="M396" t="str">
        <f t="shared" si="47"/>
        <v>CP149-NEW DONOR -5th</v>
      </c>
    </row>
    <row r="397" spans="1:13" x14ac:dyDescent="0.25">
      <c r="A397" t="str">
        <f t="shared" si="48"/>
        <v>CP149-NEW DONOR -6th</v>
      </c>
      <c r="B397" t="s">
        <v>396</v>
      </c>
      <c r="C397" t="str">
        <f t="shared" si="42"/>
        <v>Burlington</v>
      </c>
      <c r="D397" t="str">
        <f t="shared" si="43"/>
        <v>Y</v>
      </c>
      <c r="E397" t="s">
        <v>604</v>
      </c>
      <c r="F397" t="str">
        <f t="shared" si="44"/>
        <v>NEW DONOR -6th</v>
      </c>
      <c r="G397" t="str">
        <f t="shared" si="45"/>
        <v>Marketing</v>
      </c>
      <c r="H397" t="s">
        <v>560</v>
      </c>
      <c r="I397">
        <f t="shared" si="46"/>
        <v>6</v>
      </c>
      <c r="J397" t="s">
        <v>546</v>
      </c>
      <c r="K397" s="5">
        <v>50</v>
      </c>
      <c r="L397" t="str">
        <f>Table_DataFromNL[[#This Row],[PROFILECODE]]&amp;"-"&amp;Table_DataFromNL[[#This Row],[RULENAME]]</f>
        <v>CP149-New Donor 6th Visit-Bonus</v>
      </c>
      <c r="M397" t="str">
        <f t="shared" si="47"/>
        <v>CP149-NEW DONOR -6th</v>
      </c>
    </row>
    <row r="398" spans="1:13" x14ac:dyDescent="0.25">
      <c r="A398" t="str">
        <f t="shared" si="48"/>
        <v>CP149-NEW DONOR -7th</v>
      </c>
      <c r="B398" t="s">
        <v>396</v>
      </c>
      <c r="C398" t="str">
        <f t="shared" si="42"/>
        <v>Burlington</v>
      </c>
      <c r="D398" t="str">
        <f t="shared" si="43"/>
        <v>Y</v>
      </c>
      <c r="E398" t="s">
        <v>604</v>
      </c>
      <c r="F398" t="str">
        <f t="shared" si="44"/>
        <v>NEW DONOR -7th</v>
      </c>
      <c r="G398" t="str">
        <f t="shared" si="45"/>
        <v>Marketing</v>
      </c>
      <c r="H398" t="s">
        <v>561</v>
      </c>
      <c r="I398">
        <f t="shared" si="46"/>
        <v>7</v>
      </c>
      <c r="J398" t="s">
        <v>546</v>
      </c>
      <c r="K398" s="5">
        <v>50</v>
      </c>
      <c r="L398" t="str">
        <f>Table_DataFromNL[[#This Row],[PROFILECODE]]&amp;"-"&amp;Table_DataFromNL[[#This Row],[RULENAME]]</f>
        <v>CP149-New Donor 7th Visit-Bonus</v>
      </c>
      <c r="M398" t="str">
        <f t="shared" si="47"/>
        <v>CP149-NEW DONOR -7th</v>
      </c>
    </row>
    <row r="399" spans="1:13" x14ac:dyDescent="0.25">
      <c r="A399" t="str">
        <f t="shared" si="48"/>
        <v>CP149-NEW DONOR -8th</v>
      </c>
      <c r="B399" t="s">
        <v>396</v>
      </c>
      <c r="C399" t="str">
        <f t="shared" si="42"/>
        <v>Burlington</v>
      </c>
      <c r="D399" t="str">
        <f t="shared" si="43"/>
        <v>Y</v>
      </c>
      <c r="E399" t="s">
        <v>604</v>
      </c>
      <c r="F399" t="str">
        <f t="shared" si="44"/>
        <v>NEW DONOR -8th</v>
      </c>
      <c r="G399" t="str">
        <f t="shared" si="45"/>
        <v>Marketing</v>
      </c>
      <c r="H399" t="s">
        <v>562</v>
      </c>
      <c r="I399">
        <f t="shared" si="46"/>
        <v>8</v>
      </c>
      <c r="J399" t="s">
        <v>546</v>
      </c>
      <c r="K399" s="5">
        <v>50</v>
      </c>
      <c r="L399" t="str">
        <f>Table_DataFromNL[[#This Row],[PROFILECODE]]&amp;"-"&amp;Table_DataFromNL[[#This Row],[RULENAME]]</f>
        <v>CP149-New Donor 8th Visit-Bonus</v>
      </c>
      <c r="M399" t="str">
        <f t="shared" si="47"/>
        <v>CP149-NEW DONOR -8th</v>
      </c>
    </row>
    <row r="400" spans="1:13" x14ac:dyDescent="0.25">
      <c r="A400" t="str">
        <f t="shared" si="48"/>
        <v>CP149-Community</v>
      </c>
      <c r="B400" t="s">
        <v>396</v>
      </c>
      <c r="C400" t="str">
        <f t="shared" si="42"/>
        <v>Burlington</v>
      </c>
      <c r="D400" t="str">
        <f t="shared" si="43"/>
        <v>Y</v>
      </c>
      <c r="E400" t="s">
        <v>604</v>
      </c>
      <c r="F400" t="str">
        <f t="shared" si="44"/>
        <v>Community</v>
      </c>
      <c r="G400">
        <f t="shared" si="45"/>
        <v>0</v>
      </c>
      <c r="H400" t="s">
        <v>563</v>
      </c>
      <c r="I400">
        <f t="shared" si="46"/>
        <v>0</v>
      </c>
      <c r="J400" t="s">
        <v>564</v>
      </c>
      <c r="K400" s="5">
        <v>5</v>
      </c>
      <c r="L400" t="str">
        <f>Table_DataFromNL[[#This Row],[PROFILECODE]]&amp;"-"&amp;Table_DataFromNL[[#This Row],[RULENAME]]</f>
        <v>CP149-Community</v>
      </c>
      <c r="M400" t="e">
        <f t="shared" si="47"/>
        <v>#N/A</v>
      </c>
    </row>
    <row r="401" spans="1:13" x14ac:dyDescent="0.25">
      <c r="A401" t="str">
        <f t="shared" si="48"/>
        <v>CP149-HANGER_RECRUIT_5USD_once</v>
      </c>
      <c r="B401" t="s">
        <v>396</v>
      </c>
      <c r="C401" t="str">
        <f t="shared" si="42"/>
        <v>Burlington</v>
      </c>
      <c r="D401" t="str">
        <f t="shared" si="43"/>
        <v>Y</v>
      </c>
      <c r="E401" t="s">
        <v>604</v>
      </c>
      <c r="F401" t="str">
        <f t="shared" si="44"/>
        <v>HANGER_RECRUIT_5USD_once</v>
      </c>
      <c r="G401">
        <f t="shared" si="45"/>
        <v>0</v>
      </c>
      <c r="H401" t="s">
        <v>565</v>
      </c>
      <c r="I401">
        <f t="shared" si="46"/>
        <v>0</v>
      </c>
      <c r="J401" t="s">
        <v>564</v>
      </c>
      <c r="K401" s="5">
        <v>5</v>
      </c>
      <c r="L401" t="str">
        <f>Table_DataFromNL[[#This Row],[PROFILECODE]]&amp;"-"&amp;Table_DataFromNL[[#This Row],[RULENAME]]</f>
        <v>CP149-HANGER_RECRUIT_5USD_once</v>
      </c>
      <c r="M401" t="e">
        <f t="shared" si="47"/>
        <v>#N/A</v>
      </c>
    </row>
    <row r="402" spans="1:13" x14ac:dyDescent="0.25">
      <c r="A402" t="str">
        <f t="shared" si="48"/>
        <v>CP149-Immunization Boost Payment</v>
      </c>
      <c r="B402" t="s">
        <v>396</v>
      </c>
      <c r="C402" t="str">
        <f t="shared" si="42"/>
        <v>Burlington</v>
      </c>
      <c r="D402" t="str">
        <f t="shared" si="43"/>
        <v>Y</v>
      </c>
      <c r="E402" t="s">
        <v>604</v>
      </c>
      <c r="F402" t="str">
        <f t="shared" si="44"/>
        <v>Immunization Boost Payment</v>
      </c>
      <c r="G402">
        <f t="shared" si="45"/>
        <v>0</v>
      </c>
      <c r="H402" t="s">
        <v>598</v>
      </c>
      <c r="I402">
        <f t="shared" si="46"/>
        <v>0</v>
      </c>
      <c r="J402" t="s">
        <v>564</v>
      </c>
      <c r="K402" s="5">
        <v>50</v>
      </c>
      <c r="L402" t="str">
        <f>Table_DataFromNL[[#This Row],[PROFILECODE]]&amp;"-"&amp;Table_DataFromNL[[#This Row],[RULENAME]]</f>
        <v>CP149-Immunization Boost Payment</v>
      </c>
      <c r="M402" t="e">
        <f t="shared" si="47"/>
        <v>#N/A</v>
      </c>
    </row>
    <row r="403" spans="1:13" x14ac:dyDescent="0.25">
      <c r="A403" t="str">
        <f t="shared" si="48"/>
        <v>CP149-Immunization Series Payment</v>
      </c>
      <c r="B403" t="s">
        <v>396</v>
      </c>
      <c r="C403" t="str">
        <f t="shared" si="42"/>
        <v>Burlington</v>
      </c>
      <c r="D403" t="str">
        <f t="shared" si="43"/>
        <v>Y</v>
      </c>
      <c r="E403" t="s">
        <v>604</v>
      </c>
      <c r="F403" t="str">
        <f t="shared" si="44"/>
        <v>Immunization Series Payment</v>
      </c>
      <c r="G403">
        <f t="shared" si="45"/>
        <v>0</v>
      </c>
      <c r="H403" t="s">
        <v>599</v>
      </c>
      <c r="I403">
        <f t="shared" si="46"/>
        <v>0</v>
      </c>
      <c r="J403" t="s">
        <v>564</v>
      </c>
      <c r="K403" s="5">
        <v>100</v>
      </c>
      <c r="L403" t="str">
        <f>Table_DataFromNL[[#This Row],[PROFILECODE]]&amp;"-"&amp;Table_DataFromNL[[#This Row],[RULENAME]]</f>
        <v>CP149-Immunization Series Payment</v>
      </c>
      <c r="M403" t="e">
        <f t="shared" si="47"/>
        <v>#N/A</v>
      </c>
    </row>
    <row r="404" spans="1:13" x14ac:dyDescent="0.25">
      <c r="A404" t="str">
        <f t="shared" si="48"/>
        <v>CP149-Inconv Fee $20-$50-Comment Req'd</v>
      </c>
      <c r="B404" t="s">
        <v>396</v>
      </c>
      <c r="C404" t="str">
        <f t="shared" si="42"/>
        <v>Burlington</v>
      </c>
      <c r="D404" t="str">
        <f t="shared" si="43"/>
        <v>Y</v>
      </c>
      <c r="E404" t="s">
        <v>604</v>
      </c>
      <c r="F404" t="str">
        <f t="shared" si="44"/>
        <v>Inconv Fee $20-$50-Comment Req'd</v>
      </c>
      <c r="G404">
        <f t="shared" si="45"/>
        <v>0</v>
      </c>
      <c r="H404" t="s">
        <v>566</v>
      </c>
      <c r="I404">
        <f t="shared" si="46"/>
        <v>0</v>
      </c>
      <c r="J404" t="s">
        <v>564</v>
      </c>
      <c r="K404" s="5">
        <v>50</v>
      </c>
      <c r="L404" t="str">
        <f>Table_DataFromNL[[#This Row],[PROFILECODE]]&amp;"-"&amp;Table_DataFromNL[[#This Row],[RULENAME]]</f>
        <v>CP149-Inconv Fee $20-$50-Comment Req'd</v>
      </c>
      <c r="M404" t="e">
        <f t="shared" si="47"/>
        <v>#N/A</v>
      </c>
    </row>
    <row r="405" spans="1:13" x14ac:dyDescent="0.25">
      <c r="A405" t="str">
        <f t="shared" si="48"/>
        <v>CP149-Inconv Fee $5-$20-Comment Req'd</v>
      </c>
      <c r="B405" t="s">
        <v>396</v>
      </c>
      <c r="C405" t="str">
        <f t="shared" si="42"/>
        <v>Burlington</v>
      </c>
      <c r="D405" t="str">
        <f t="shared" si="43"/>
        <v>Y</v>
      </c>
      <c r="E405" t="s">
        <v>604</v>
      </c>
      <c r="F405" t="str">
        <f t="shared" si="44"/>
        <v>Inconv Fee $5-$20-Comment Req'd</v>
      </c>
      <c r="G405">
        <f t="shared" si="45"/>
        <v>0</v>
      </c>
      <c r="H405" t="s">
        <v>567</v>
      </c>
      <c r="I405">
        <f t="shared" si="46"/>
        <v>0</v>
      </c>
      <c r="J405" t="s">
        <v>564</v>
      </c>
      <c r="K405" s="5">
        <v>20</v>
      </c>
      <c r="L405" t="str">
        <f>Table_DataFromNL[[#This Row],[PROFILECODE]]&amp;"-"&amp;Table_DataFromNL[[#This Row],[RULENAME]]</f>
        <v>CP149-Inconv Fee $5-$20-Comment Req'd</v>
      </c>
      <c r="M405" t="e">
        <f t="shared" si="47"/>
        <v>#N/A</v>
      </c>
    </row>
    <row r="406" spans="1:13" x14ac:dyDescent="0.25">
      <c r="A406" t="str">
        <f t="shared" si="48"/>
        <v>CP149-Inconv Fee$50-$100-Comment Req'd</v>
      </c>
      <c r="B406" t="s">
        <v>396</v>
      </c>
      <c r="C406" t="str">
        <f t="shared" si="42"/>
        <v>Burlington</v>
      </c>
      <c r="D406" t="str">
        <f t="shared" si="43"/>
        <v>Y</v>
      </c>
      <c r="E406" t="s">
        <v>604</v>
      </c>
      <c r="F406" t="str">
        <f t="shared" si="44"/>
        <v>Inconv Fee$50-$100-Comment Req'd</v>
      </c>
      <c r="G406">
        <f t="shared" si="45"/>
        <v>0</v>
      </c>
      <c r="H406" t="s">
        <v>568</v>
      </c>
      <c r="I406">
        <f t="shared" si="46"/>
        <v>0</v>
      </c>
      <c r="J406" t="s">
        <v>564</v>
      </c>
      <c r="K406" s="5">
        <v>100</v>
      </c>
      <c r="L406" t="str">
        <f>Table_DataFromNL[[#This Row],[PROFILECODE]]&amp;"-"&amp;Table_DataFromNL[[#This Row],[RULENAME]]</f>
        <v>CP149-Inconv Fee$50-$100-Comment Req'd</v>
      </c>
      <c r="M406" t="e">
        <f t="shared" si="47"/>
        <v>#N/A</v>
      </c>
    </row>
    <row r="407" spans="1:13" x14ac:dyDescent="0.25">
      <c r="A407" t="str">
        <f t="shared" si="48"/>
        <v>CP149-NSP_ LAPSEDONOR_50_Twice</v>
      </c>
      <c r="B407" t="s">
        <v>396</v>
      </c>
      <c r="C407" t="str">
        <f t="shared" si="42"/>
        <v>Burlington</v>
      </c>
      <c r="D407" t="str">
        <f t="shared" si="43"/>
        <v>Y</v>
      </c>
      <c r="E407" t="s">
        <v>604</v>
      </c>
      <c r="F407" t="str">
        <f t="shared" si="44"/>
        <v>NSP_ LAPSEDONOR_50_Twice</v>
      </c>
      <c r="G407">
        <f t="shared" si="45"/>
        <v>0</v>
      </c>
      <c r="H407" t="s">
        <v>569</v>
      </c>
      <c r="I407">
        <f t="shared" si="46"/>
        <v>0</v>
      </c>
      <c r="J407" t="s">
        <v>564</v>
      </c>
      <c r="K407" s="5">
        <v>50</v>
      </c>
      <c r="L407" t="str">
        <f>Table_DataFromNL[[#This Row],[PROFILECODE]]&amp;"-"&amp;Table_DataFromNL[[#This Row],[RULENAME]]</f>
        <v>CP149-NSP_ LAPSEDONOR_50_Twice</v>
      </c>
      <c r="M407" t="e">
        <f t="shared" si="47"/>
        <v>#N/A</v>
      </c>
    </row>
    <row r="408" spans="1:13" x14ac:dyDescent="0.25">
      <c r="A408" t="str">
        <f t="shared" si="48"/>
        <v>CP149-NSP_LD_25_2X</v>
      </c>
      <c r="B408" t="s">
        <v>396</v>
      </c>
      <c r="C408" t="str">
        <f t="shared" si="42"/>
        <v>Burlington</v>
      </c>
      <c r="D408" t="str">
        <f t="shared" si="43"/>
        <v>Y</v>
      </c>
      <c r="E408" t="s">
        <v>604</v>
      </c>
      <c r="F408" t="str">
        <f t="shared" si="44"/>
        <v>NSP_LD_25_2X</v>
      </c>
      <c r="G408">
        <f t="shared" si="45"/>
        <v>0</v>
      </c>
      <c r="H408" t="s">
        <v>570</v>
      </c>
      <c r="I408">
        <f t="shared" si="46"/>
        <v>0</v>
      </c>
      <c r="J408" t="s">
        <v>564</v>
      </c>
      <c r="K408" s="5">
        <v>25</v>
      </c>
      <c r="L408" t="str">
        <f>Table_DataFromNL[[#This Row],[PROFILECODE]]&amp;"-"&amp;Table_DataFromNL[[#This Row],[RULENAME]]</f>
        <v>CP149-NSP_LD_25_2X</v>
      </c>
      <c r="M408" t="e">
        <f t="shared" si="47"/>
        <v>#N/A</v>
      </c>
    </row>
    <row r="409" spans="1:13" x14ac:dyDescent="0.25">
      <c r="A409" t="str">
        <f t="shared" si="48"/>
        <v>CP149-NSP_LD_50_1X</v>
      </c>
      <c r="B409" t="s">
        <v>396</v>
      </c>
      <c r="C409" t="str">
        <f t="shared" si="42"/>
        <v>Burlington</v>
      </c>
      <c r="D409" t="str">
        <f t="shared" si="43"/>
        <v>Y</v>
      </c>
      <c r="E409" t="s">
        <v>604</v>
      </c>
      <c r="F409" t="str">
        <f t="shared" si="44"/>
        <v>NSP_LD_50_1X</v>
      </c>
      <c r="G409">
        <f t="shared" si="45"/>
        <v>0</v>
      </c>
      <c r="H409" t="s">
        <v>571</v>
      </c>
      <c r="I409">
        <f t="shared" si="46"/>
        <v>0</v>
      </c>
      <c r="J409" t="s">
        <v>564</v>
      </c>
      <c r="K409" s="5">
        <v>50</v>
      </c>
      <c r="L409" t="str">
        <f>Table_DataFromNL[[#This Row],[PROFILECODE]]&amp;"-"&amp;Table_DataFromNL[[#This Row],[RULENAME]]</f>
        <v>CP149-NSP_LD_50_1X</v>
      </c>
      <c r="M409" t="e">
        <f t="shared" si="47"/>
        <v>#N/A</v>
      </c>
    </row>
    <row r="410" spans="1:13" x14ac:dyDescent="0.25">
      <c r="A410" t="str">
        <f t="shared" si="48"/>
        <v>CP149-NSP_ORPHAN_100_once</v>
      </c>
      <c r="B410" t="s">
        <v>396</v>
      </c>
      <c r="C410" t="str">
        <f t="shared" si="42"/>
        <v>Burlington</v>
      </c>
      <c r="D410" t="str">
        <f t="shared" si="43"/>
        <v>Y</v>
      </c>
      <c r="E410" t="s">
        <v>604</v>
      </c>
      <c r="F410" t="str">
        <f t="shared" si="44"/>
        <v>NSP_ORPHAN_100_once</v>
      </c>
      <c r="G410">
        <f t="shared" si="45"/>
        <v>0</v>
      </c>
      <c r="H410" t="s">
        <v>572</v>
      </c>
      <c r="I410">
        <f t="shared" si="46"/>
        <v>0</v>
      </c>
      <c r="J410" t="s">
        <v>564</v>
      </c>
      <c r="K410" s="5">
        <v>100</v>
      </c>
      <c r="L410" t="str">
        <f>Table_DataFromNL[[#This Row],[PROFILECODE]]&amp;"-"&amp;Table_DataFromNL[[#This Row],[RULENAME]]</f>
        <v>CP149-NSP_ORPHAN_100_once</v>
      </c>
      <c r="M410" t="e">
        <f t="shared" si="47"/>
        <v>#N/A</v>
      </c>
    </row>
    <row r="411" spans="1:13" x14ac:dyDescent="0.25">
      <c r="A411" t="str">
        <f t="shared" si="48"/>
        <v>CP149-Restick</v>
      </c>
      <c r="B411" t="s">
        <v>396</v>
      </c>
      <c r="C411" t="str">
        <f t="shared" si="42"/>
        <v>Burlington</v>
      </c>
      <c r="D411" t="str">
        <f t="shared" si="43"/>
        <v>Y</v>
      </c>
      <c r="E411" t="s">
        <v>604</v>
      </c>
      <c r="F411" t="str">
        <f t="shared" si="44"/>
        <v>Restick</v>
      </c>
      <c r="G411">
        <f t="shared" si="45"/>
        <v>0</v>
      </c>
      <c r="H411" t="s">
        <v>573</v>
      </c>
      <c r="I411">
        <f t="shared" si="46"/>
        <v>0</v>
      </c>
      <c r="J411" t="s">
        <v>564</v>
      </c>
      <c r="K411" s="5">
        <v>5</v>
      </c>
      <c r="L411" t="str">
        <f>Table_DataFromNL[[#This Row],[PROFILECODE]]&amp;"-"&amp;Table_DataFromNL[[#This Row],[RULENAME]]</f>
        <v>CP149-Restick</v>
      </c>
      <c r="M411" t="e">
        <f t="shared" si="47"/>
        <v>#N/A</v>
      </c>
    </row>
    <row r="412" spans="1:13" x14ac:dyDescent="0.25">
      <c r="A412" t="str">
        <f t="shared" si="48"/>
        <v>CP149-SLOW_TEXT_5</v>
      </c>
      <c r="B412" t="s">
        <v>396</v>
      </c>
      <c r="C412" t="str">
        <f t="shared" si="42"/>
        <v>Burlington</v>
      </c>
      <c r="D412" t="str">
        <f t="shared" si="43"/>
        <v>Y</v>
      </c>
      <c r="E412" t="s">
        <v>604</v>
      </c>
      <c r="F412" t="str">
        <f t="shared" si="44"/>
        <v>SLOW_TEXT_5</v>
      </c>
      <c r="G412">
        <f t="shared" si="45"/>
        <v>0</v>
      </c>
      <c r="H412" t="s">
        <v>574</v>
      </c>
      <c r="I412">
        <f t="shared" si="46"/>
        <v>0</v>
      </c>
      <c r="J412" t="s">
        <v>564</v>
      </c>
      <c r="K412" s="5">
        <v>5</v>
      </c>
      <c r="L412" t="str">
        <f>Table_DataFromNL[[#This Row],[PROFILECODE]]&amp;"-"&amp;Table_DataFromNL[[#This Row],[RULENAME]]</f>
        <v>CP149-SLOW_TEXT_5</v>
      </c>
      <c r="M412" t="e">
        <f t="shared" si="47"/>
        <v>#N/A</v>
      </c>
    </row>
    <row r="413" spans="1:13" x14ac:dyDescent="0.25">
      <c r="A413" t="str">
        <f t="shared" si="48"/>
        <v>CP149-Sample Only</v>
      </c>
      <c r="B413" t="s">
        <v>396</v>
      </c>
      <c r="C413" t="str">
        <f t="shared" si="42"/>
        <v>Burlington</v>
      </c>
      <c r="D413" t="str">
        <f t="shared" si="43"/>
        <v>Y</v>
      </c>
      <c r="E413" t="s">
        <v>604</v>
      </c>
      <c r="F413" t="str">
        <f t="shared" si="44"/>
        <v>Sample Only</v>
      </c>
      <c r="G413">
        <f t="shared" si="45"/>
        <v>0</v>
      </c>
      <c r="H413" t="s">
        <v>575</v>
      </c>
      <c r="I413">
        <f t="shared" si="46"/>
        <v>0</v>
      </c>
      <c r="J413" t="s">
        <v>564</v>
      </c>
      <c r="K413" s="5">
        <v>5</v>
      </c>
      <c r="L413" t="str">
        <f>Table_DataFromNL[[#This Row],[PROFILECODE]]&amp;"-"&amp;Table_DataFromNL[[#This Row],[RULENAME]]</f>
        <v>CP149-Sample Only</v>
      </c>
      <c r="M413" t="e">
        <f t="shared" si="47"/>
        <v>#N/A</v>
      </c>
    </row>
    <row r="414" spans="1:13" x14ac:dyDescent="0.25">
      <c r="A414" t="str">
        <f t="shared" si="48"/>
        <v>CP149-Unit Below 250 mL</v>
      </c>
      <c r="B414" t="s">
        <v>396</v>
      </c>
      <c r="C414" t="str">
        <f t="shared" si="42"/>
        <v>Burlington</v>
      </c>
      <c r="D414" t="str">
        <f t="shared" si="43"/>
        <v>Y</v>
      </c>
      <c r="E414" t="s">
        <v>604</v>
      </c>
      <c r="F414" t="str">
        <f t="shared" si="44"/>
        <v>Unit Below 250 mL</v>
      </c>
      <c r="G414">
        <f t="shared" si="45"/>
        <v>0</v>
      </c>
      <c r="H414" t="s">
        <v>576</v>
      </c>
      <c r="I414">
        <f t="shared" si="46"/>
        <v>0</v>
      </c>
      <c r="J414" t="s">
        <v>564</v>
      </c>
      <c r="K414" s="5">
        <v>5</v>
      </c>
      <c r="L414" t="str">
        <f>Table_DataFromNL[[#This Row],[PROFILECODE]]&amp;"-"&amp;Table_DataFromNL[[#This Row],[RULENAME]]</f>
        <v>CP149-Unit Below 250 mL</v>
      </c>
      <c r="M414" t="e">
        <f t="shared" si="47"/>
        <v>#N/A</v>
      </c>
    </row>
    <row r="415" spans="1:13" x14ac:dyDescent="0.25">
      <c r="A415" t="str">
        <f t="shared" si="48"/>
        <v>CP149-Unit above 250 mL/underdraw</v>
      </c>
      <c r="B415" t="s">
        <v>396</v>
      </c>
      <c r="C415" t="str">
        <f t="shared" si="42"/>
        <v>Burlington</v>
      </c>
      <c r="D415" t="str">
        <f t="shared" si="43"/>
        <v>Y</v>
      </c>
      <c r="E415" t="s">
        <v>604</v>
      </c>
      <c r="F415" t="str">
        <f t="shared" si="44"/>
        <v>Unit above 250 mL/underdraw</v>
      </c>
      <c r="G415">
        <f t="shared" si="45"/>
        <v>0</v>
      </c>
      <c r="H415" t="s">
        <v>577</v>
      </c>
      <c r="I415">
        <f t="shared" si="46"/>
        <v>0</v>
      </c>
      <c r="J415" t="s">
        <v>564</v>
      </c>
      <c r="K415" s="5">
        <v>10</v>
      </c>
      <c r="L415" t="str">
        <f>Table_DataFromNL[[#This Row],[PROFILECODE]]&amp;"-"&amp;Table_DataFromNL[[#This Row],[RULENAME]]</f>
        <v>CP149-Unit above 250 mL/underdraw</v>
      </c>
      <c r="M415" t="e">
        <f t="shared" si="47"/>
        <v>#N/A</v>
      </c>
    </row>
    <row r="416" spans="1:13" x14ac:dyDescent="0.25">
      <c r="A416" t="str">
        <f t="shared" si="48"/>
        <v>CP149-RETURN - Buddy referral  -BONUS</v>
      </c>
      <c r="B416" t="s">
        <v>396</v>
      </c>
      <c r="C416" t="str">
        <f t="shared" si="42"/>
        <v>Burlington</v>
      </c>
      <c r="D416" t="str">
        <f t="shared" si="43"/>
        <v>Y</v>
      </c>
      <c r="E416" t="s">
        <v>604</v>
      </c>
      <c r="F416" t="str">
        <f t="shared" si="44"/>
        <v>RETURN - Buddy referral  -BONUS</v>
      </c>
      <c r="G416" t="str">
        <f t="shared" si="45"/>
        <v>Marketing</v>
      </c>
      <c r="H416" t="s">
        <v>34</v>
      </c>
      <c r="I416">
        <f t="shared" si="46"/>
        <v>50</v>
      </c>
      <c r="J416" t="s">
        <v>578</v>
      </c>
      <c r="K416" s="5">
        <v>50</v>
      </c>
      <c r="L416" t="str">
        <f>Table_DataFromNL[[#This Row],[PROFILECODE]]&amp;"-"&amp;Table_DataFromNL[[#This Row],[RULENAME]]</f>
        <v>CP149-Referral</v>
      </c>
      <c r="M416" t="str">
        <f t="shared" si="47"/>
        <v>CP149-RETURN - Buddy referral  -BONUS</v>
      </c>
    </row>
    <row r="417" spans="1:13" x14ac:dyDescent="0.25">
      <c r="A417" t="str">
        <f t="shared" si="48"/>
        <v>CP149-P Anti-D Pre-Existing Standard</v>
      </c>
      <c r="B417" t="s">
        <v>396</v>
      </c>
      <c r="C417" t="str">
        <f t="shared" si="42"/>
        <v>Burlington</v>
      </c>
      <c r="D417" t="str">
        <f t="shared" si="43"/>
        <v>Y</v>
      </c>
      <c r="E417" t="s">
        <v>604</v>
      </c>
      <c r="F417" t="str">
        <f t="shared" si="44"/>
        <v>P Anti-D Pre-Existing Standard</v>
      </c>
      <c r="G417" t="str">
        <f t="shared" si="45"/>
        <v>Specialty</v>
      </c>
      <c r="H417" t="s">
        <v>469</v>
      </c>
      <c r="I417" t="str">
        <f t="shared" si="46"/>
        <v>RETURN - 1st don of the week -STD</v>
      </c>
      <c r="J417" t="s">
        <v>579</v>
      </c>
      <c r="K417" s="5">
        <v>50</v>
      </c>
      <c r="L417" t="str">
        <f>Table_DataFromNL[[#This Row],[PROFILECODE]]&amp;"-"&amp;Table_DataFromNL[[#This Row],[RULENAME]]</f>
        <v>CP149-P Anti-D Pre-Existing Standard</v>
      </c>
      <c r="M417" t="str">
        <f t="shared" si="47"/>
        <v>CP149-P Anti-D Pre-Existing Standard</v>
      </c>
    </row>
    <row r="418" spans="1:13" x14ac:dyDescent="0.25">
      <c r="A418" t="str">
        <f t="shared" si="48"/>
        <v>CP149-P CMV Standard</v>
      </c>
      <c r="B418" t="s">
        <v>396</v>
      </c>
      <c r="C418" t="str">
        <f t="shared" si="42"/>
        <v>Burlington</v>
      </c>
      <c r="D418" t="str">
        <f t="shared" si="43"/>
        <v>Y</v>
      </c>
      <c r="E418" t="s">
        <v>604</v>
      </c>
      <c r="F418" t="str">
        <f t="shared" si="44"/>
        <v>P CMV Standard</v>
      </c>
      <c r="G418" t="str">
        <f t="shared" si="45"/>
        <v>Specialty</v>
      </c>
      <c r="H418" t="s">
        <v>501</v>
      </c>
      <c r="I418" t="str">
        <f t="shared" si="46"/>
        <v>RETURN - 1st don of the week -STD</v>
      </c>
      <c r="J418" t="s">
        <v>579</v>
      </c>
      <c r="K418" s="5">
        <v>55</v>
      </c>
      <c r="L418" t="str">
        <f>Table_DataFromNL[[#This Row],[PROFILECODE]]&amp;"-"&amp;Table_DataFromNL[[#This Row],[RULENAME]]</f>
        <v>CP149-P CMV Standard</v>
      </c>
      <c r="M418" t="str">
        <f t="shared" si="47"/>
        <v>CP149-P CMV Standard</v>
      </c>
    </row>
    <row r="419" spans="1:13" x14ac:dyDescent="0.25">
      <c r="A419" t="str">
        <f t="shared" si="48"/>
        <v>CP149-RETURN - 1st don of the week -STD</v>
      </c>
      <c r="B419" t="s">
        <v>396</v>
      </c>
      <c r="C419" t="str">
        <f t="shared" si="42"/>
        <v>Burlington</v>
      </c>
      <c r="D419" t="str">
        <f t="shared" si="43"/>
        <v>Y</v>
      </c>
      <c r="E419" t="s">
        <v>604</v>
      </c>
      <c r="F419" t="str">
        <f t="shared" si="44"/>
        <v>RETURN - 1st don of the week -STD</v>
      </c>
      <c r="G419" t="str">
        <f t="shared" si="45"/>
        <v>Marketing</v>
      </c>
      <c r="H419" t="s">
        <v>583</v>
      </c>
      <c r="I419">
        <f t="shared" si="46"/>
        <v>22</v>
      </c>
      <c r="J419" t="s">
        <v>579</v>
      </c>
      <c r="K419" s="5">
        <v>50</v>
      </c>
      <c r="L419" t="str">
        <f>Table_DataFromNL[[#This Row],[PROFILECODE]]&amp;"-"&amp;Table_DataFromNL[[#This Row],[RULENAME]]</f>
        <v>CP149-P NSP NS AP Standard</v>
      </c>
      <c r="M419" t="str">
        <f t="shared" si="47"/>
        <v>CP149-RETURN - 1st don of the week -STD</v>
      </c>
    </row>
    <row r="420" spans="1:13" x14ac:dyDescent="0.25">
      <c r="A420" t="str">
        <f t="shared" si="48"/>
        <v>CP149-RETURN - 1st don of the week -STD</v>
      </c>
      <c r="B420" t="s">
        <v>396</v>
      </c>
      <c r="C420" t="str">
        <f t="shared" si="42"/>
        <v>Burlington</v>
      </c>
      <c r="D420" t="str">
        <f t="shared" si="43"/>
        <v>Y</v>
      </c>
      <c r="E420" t="s">
        <v>604</v>
      </c>
      <c r="F420" t="str">
        <f t="shared" si="44"/>
        <v>RETURN - 1st don of the week -STD</v>
      </c>
      <c r="G420" t="str">
        <f t="shared" si="45"/>
        <v>Marketing</v>
      </c>
      <c r="H420" t="s">
        <v>584</v>
      </c>
      <c r="I420">
        <f t="shared" si="46"/>
        <v>23</v>
      </c>
      <c r="J420" t="s">
        <v>579</v>
      </c>
      <c r="K420" s="5">
        <v>50</v>
      </c>
      <c r="L420" t="str">
        <f>Table_DataFromNL[[#This Row],[PROFILECODE]]&amp;"-"&amp;Table_DataFromNL[[#This Row],[RULENAME]]</f>
        <v>CP149-P NSP NS Standard</v>
      </c>
      <c r="M420" t="str">
        <f t="shared" si="47"/>
        <v>CP149-RETURN - 1st don of the week -STD</v>
      </c>
    </row>
    <row r="421" spans="1:13" x14ac:dyDescent="0.25">
      <c r="A421" t="str">
        <f t="shared" si="48"/>
        <v>CP149-P Tetanus AP Standard</v>
      </c>
      <c r="B421" t="s">
        <v>396</v>
      </c>
      <c r="C421" t="str">
        <f t="shared" si="42"/>
        <v>Burlington</v>
      </c>
      <c r="D421" t="str">
        <f t="shared" si="43"/>
        <v>Y</v>
      </c>
      <c r="E421" t="s">
        <v>604</v>
      </c>
      <c r="F421" t="str">
        <f t="shared" si="44"/>
        <v>P Tetanus AP Standard</v>
      </c>
      <c r="G421" t="str">
        <f t="shared" si="45"/>
        <v>Specialty</v>
      </c>
      <c r="H421" t="s">
        <v>492</v>
      </c>
      <c r="I421" t="str">
        <f t="shared" si="46"/>
        <v>RETURN - 1st don of the week -STD</v>
      </c>
      <c r="J421" t="s">
        <v>579</v>
      </c>
      <c r="K421" s="5">
        <v>55</v>
      </c>
      <c r="L421" t="str">
        <f>Table_DataFromNL[[#This Row],[PROFILECODE]]&amp;"-"&amp;Table_DataFromNL[[#This Row],[RULENAME]]</f>
        <v>CP149-P Tetanus AP Standard</v>
      </c>
      <c r="M421" t="str">
        <f t="shared" si="47"/>
        <v>CP149-P Tetanus AP Standard</v>
      </c>
    </row>
    <row r="422" spans="1:13" x14ac:dyDescent="0.25">
      <c r="A422" t="str">
        <f t="shared" si="48"/>
        <v>CP149-P Tetanus Pre-Existing Standard</v>
      </c>
      <c r="B422" t="s">
        <v>396</v>
      </c>
      <c r="C422" t="str">
        <f t="shared" si="42"/>
        <v>Burlington</v>
      </c>
      <c r="D422" t="str">
        <f t="shared" si="43"/>
        <v>Y</v>
      </c>
      <c r="E422" t="s">
        <v>604</v>
      </c>
      <c r="F422" t="str">
        <f t="shared" si="44"/>
        <v>P Tetanus Pre-Existing Standard</v>
      </c>
      <c r="G422" t="str">
        <f t="shared" si="45"/>
        <v>Specialty</v>
      </c>
      <c r="H422" t="s">
        <v>493</v>
      </c>
      <c r="I422" t="str">
        <f t="shared" si="46"/>
        <v>RETURN - 1st don of the week -STD</v>
      </c>
      <c r="J422" t="s">
        <v>579</v>
      </c>
      <c r="K422" s="5">
        <v>55</v>
      </c>
      <c r="L422" t="str">
        <f>Table_DataFromNL[[#This Row],[PROFILECODE]]&amp;"-"&amp;Table_DataFromNL[[#This Row],[RULENAME]]</f>
        <v>CP149-P Tetanus Pre-Existing Standard</v>
      </c>
      <c r="M422" t="str">
        <f t="shared" si="47"/>
        <v>CP149-P Tetanus Pre-Existing Standard</v>
      </c>
    </row>
    <row r="423" spans="1:13" x14ac:dyDescent="0.25">
      <c r="A423" t="str">
        <f t="shared" si="48"/>
        <v>CP149-P Tetanus Standard</v>
      </c>
      <c r="B423" t="s">
        <v>396</v>
      </c>
      <c r="C423" t="str">
        <f t="shared" si="42"/>
        <v>Burlington</v>
      </c>
      <c r="D423" t="str">
        <f t="shared" si="43"/>
        <v>Y</v>
      </c>
      <c r="E423" t="s">
        <v>604</v>
      </c>
      <c r="F423" t="str">
        <f t="shared" si="44"/>
        <v>P Tetanus Standard</v>
      </c>
      <c r="G423" t="str">
        <f t="shared" si="45"/>
        <v>Specialty</v>
      </c>
      <c r="H423" t="s">
        <v>494</v>
      </c>
      <c r="I423" t="str">
        <f t="shared" si="46"/>
        <v>RETURN - 1st don of the week -STD</v>
      </c>
      <c r="J423" t="s">
        <v>579</v>
      </c>
      <c r="K423" s="5">
        <v>55</v>
      </c>
      <c r="L423" t="str">
        <f>Table_DataFromNL[[#This Row],[PROFILECODE]]&amp;"-"&amp;Table_DataFromNL[[#This Row],[RULENAME]]</f>
        <v>CP149-P Tetanus Standard</v>
      </c>
      <c r="M423" t="str">
        <f t="shared" si="47"/>
        <v>CP149-P Tetanus Standard</v>
      </c>
    </row>
    <row r="424" spans="1:13" x14ac:dyDescent="0.25">
      <c r="A424" t="str">
        <f t="shared" si="48"/>
        <v>CP149-P Tetanus Tox Standard</v>
      </c>
      <c r="B424" t="s">
        <v>396</v>
      </c>
      <c r="C424" t="str">
        <f t="shared" si="42"/>
        <v>Burlington</v>
      </c>
      <c r="D424" t="str">
        <f t="shared" si="43"/>
        <v>Y</v>
      </c>
      <c r="E424" t="s">
        <v>604</v>
      </c>
      <c r="F424" t="str">
        <f t="shared" si="44"/>
        <v>P Tetanus Tox Standard</v>
      </c>
      <c r="G424" t="str">
        <f t="shared" si="45"/>
        <v>Specialty</v>
      </c>
      <c r="H424" t="s">
        <v>508</v>
      </c>
      <c r="I424" t="str">
        <f t="shared" si="46"/>
        <v>RETURN - 1st don of the week -STD</v>
      </c>
      <c r="J424" t="s">
        <v>579</v>
      </c>
      <c r="K424" s="5">
        <v>55</v>
      </c>
      <c r="L424" t="str">
        <f>Table_DataFromNL[[#This Row],[PROFILECODE]]&amp;"-"&amp;Table_DataFromNL[[#This Row],[RULENAME]]</f>
        <v>CP149-P Tetanus Tox Standard</v>
      </c>
      <c r="M424" t="str">
        <f t="shared" si="47"/>
        <v>CP149-P Tetanus Tox Standard</v>
      </c>
    </row>
    <row r="425" spans="1:13" x14ac:dyDescent="0.25">
      <c r="A425" t="str">
        <f t="shared" si="48"/>
        <v>CP575-1st Responder-Medical</v>
      </c>
      <c r="B425" t="s">
        <v>445</v>
      </c>
      <c r="C425" t="str">
        <f t="shared" si="42"/>
        <v>Chicago</v>
      </c>
      <c r="D425" t="str">
        <f t="shared" si="43"/>
        <v>Y</v>
      </c>
      <c r="E425" t="s">
        <v>605</v>
      </c>
      <c r="F425" t="str">
        <f t="shared" si="44"/>
        <v>1st Responder-Medical</v>
      </c>
      <c r="G425">
        <f t="shared" si="45"/>
        <v>0</v>
      </c>
      <c r="H425" t="s">
        <v>545</v>
      </c>
      <c r="I425">
        <f t="shared" si="46"/>
        <v>0</v>
      </c>
      <c r="J425" t="s">
        <v>546</v>
      </c>
      <c r="K425" s="5">
        <v>5</v>
      </c>
      <c r="L425" t="str">
        <f>Table_DataFromNL[[#This Row],[PROFILECODE]]&amp;"-"&amp;Table_DataFromNL[[#This Row],[RULENAME]]</f>
        <v>CP575-1st Responder-Medical</v>
      </c>
      <c r="M425" t="e">
        <f t="shared" si="47"/>
        <v>#N/A</v>
      </c>
    </row>
    <row r="426" spans="1:13" x14ac:dyDescent="0.25">
      <c r="A426" t="str">
        <f t="shared" si="48"/>
        <v>CP575-RETURN - 2nd don of the week -BONUS</v>
      </c>
      <c r="B426" t="s">
        <v>445</v>
      </c>
      <c r="C426" t="str">
        <f t="shared" si="42"/>
        <v>Chicago</v>
      </c>
      <c r="D426" t="str">
        <f t="shared" si="43"/>
        <v>Y</v>
      </c>
      <c r="E426" t="s">
        <v>605</v>
      </c>
      <c r="F426" t="str">
        <f t="shared" si="44"/>
        <v>RETURN - 2nd don of the week -BONUS</v>
      </c>
      <c r="G426" t="str">
        <f t="shared" si="45"/>
        <v>Specialty</v>
      </c>
      <c r="H426" t="s">
        <v>606</v>
      </c>
      <c r="I426" t="str">
        <f t="shared" si="46"/>
        <v>RETURN - 2nd don of the week -BONUS</v>
      </c>
      <c r="J426" t="s">
        <v>546</v>
      </c>
      <c r="K426" s="5">
        <v>50</v>
      </c>
      <c r="L426" t="str">
        <f>Table_DataFromNL[[#This Row],[PROFILECODE]]&amp;"-"&amp;Table_DataFromNL[[#This Row],[RULENAME]]</f>
        <v>CP575-2X Week P Normal Source PL</v>
      </c>
      <c r="M426" t="str">
        <f t="shared" si="47"/>
        <v>CP575-RETURN - 2nd don of the week -BONUS</v>
      </c>
    </row>
    <row r="427" spans="1:13" x14ac:dyDescent="0.25">
      <c r="A427" t="str">
        <f t="shared" si="48"/>
        <v>CP575-RETURN - 6th don of the month -BONUS</v>
      </c>
      <c r="B427" t="s">
        <v>445</v>
      </c>
      <c r="C427" t="str">
        <f t="shared" si="42"/>
        <v>Chicago</v>
      </c>
      <c r="D427" t="str">
        <f t="shared" si="43"/>
        <v>Y</v>
      </c>
      <c r="E427" t="s">
        <v>605</v>
      </c>
      <c r="F427" t="str">
        <f t="shared" si="44"/>
        <v>RETURN - 6th don of the month -BONUS</v>
      </c>
      <c r="G427" t="str">
        <f t="shared" si="45"/>
        <v>Marketing</v>
      </c>
      <c r="H427" t="s">
        <v>552</v>
      </c>
      <c r="I427">
        <f t="shared" si="46"/>
        <v>28</v>
      </c>
      <c r="J427" t="s">
        <v>546</v>
      </c>
      <c r="K427" s="5">
        <v>60</v>
      </c>
      <c r="L427" t="str">
        <f>Table_DataFromNL[[#This Row],[PROFILECODE]]&amp;"-"&amp;Table_DataFromNL[[#This Row],[RULENAME]]</f>
        <v>CP575-6X Month</v>
      </c>
      <c r="M427" t="str">
        <f t="shared" si="47"/>
        <v>CP575-RETURN - 6th don of the month -BONUS</v>
      </c>
    </row>
    <row r="428" spans="1:13" x14ac:dyDescent="0.25">
      <c r="A428" t="str">
        <f t="shared" si="48"/>
        <v>CP575-College ID Standard Bonus</v>
      </c>
      <c r="B428" t="s">
        <v>445</v>
      </c>
      <c r="C428" t="str">
        <f t="shared" si="42"/>
        <v>Chicago</v>
      </c>
      <c r="D428" t="str">
        <f t="shared" si="43"/>
        <v>Y</v>
      </c>
      <c r="E428" t="s">
        <v>605</v>
      </c>
      <c r="F428" t="str">
        <f t="shared" si="44"/>
        <v>College ID Standard Bonus</v>
      </c>
      <c r="G428">
        <f t="shared" si="45"/>
        <v>0</v>
      </c>
      <c r="H428" t="s">
        <v>553</v>
      </c>
      <c r="I428">
        <f t="shared" si="46"/>
        <v>0</v>
      </c>
      <c r="J428" t="s">
        <v>546</v>
      </c>
      <c r="K428" s="5">
        <v>5</v>
      </c>
      <c r="L428" t="str">
        <f>Table_DataFromNL[[#This Row],[PROFILECODE]]&amp;"-"&amp;Table_DataFromNL[[#This Row],[RULENAME]]</f>
        <v>CP575-College ID Standard Bonus</v>
      </c>
      <c r="M428" t="e">
        <f t="shared" si="47"/>
        <v>#N/A</v>
      </c>
    </row>
    <row r="429" spans="1:13" x14ac:dyDescent="0.25">
      <c r="A429" t="str">
        <f t="shared" si="48"/>
        <v>CP575-Military ID</v>
      </c>
      <c r="B429" t="s">
        <v>445</v>
      </c>
      <c r="C429" t="str">
        <f t="shared" si="42"/>
        <v>Chicago</v>
      </c>
      <c r="D429" t="str">
        <f t="shared" si="43"/>
        <v>Y</v>
      </c>
      <c r="E429" t="s">
        <v>605</v>
      </c>
      <c r="F429" t="str">
        <f t="shared" si="44"/>
        <v>Military ID</v>
      </c>
      <c r="G429">
        <f t="shared" si="45"/>
        <v>0</v>
      </c>
      <c r="H429" t="s">
        <v>554</v>
      </c>
      <c r="I429">
        <f t="shared" si="46"/>
        <v>0</v>
      </c>
      <c r="J429" t="s">
        <v>546</v>
      </c>
      <c r="K429" s="5">
        <v>5</v>
      </c>
      <c r="L429" t="str">
        <f>Table_DataFromNL[[#This Row],[PROFILECODE]]&amp;"-"&amp;Table_DataFromNL[[#This Row],[RULENAME]]</f>
        <v>CP575-Military ID</v>
      </c>
      <c r="M429" t="e">
        <f t="shared" si="47"/>
        <v>#N/A</v>
      </c>
    </row>
    <row r="430" spans="1:13" x14ac:dyDescent="0.25">
      <c r="A430" t="str">
        <f t="shared" si="48"/>
        <v>CP575-NEW DONOR -1st</v>
      </c>
      <c r="B430" t="s">
        <v>445</v>
      </c>
      <c r="C430" t="str">
        <f t="shared" si="42"/>
        <v>Chicago</v>
      </c>
      <c r="D430" t="str">
        <f t="shared" si="43"/>
        <v>Y</v>
      </c>
      <c r="E430" t="s">
        <v>605</v>
      </c>
      <c r="F430" t="str">
        <f t="shared" si="44"/>
        <v>NEW DONOR -1st</v>
      </c>
      <c r="G430" t="str">
        <f t="shared" si="45"/>
        <v>Marketing</v>
      </c>
      <c r="H430" t="s">
        <v>555</v>
      </c>
      <c r="I430">
        <f t="shared" si="46"/>
        <v>1</v>
      </c>
      <c r="J430" t="s">
        <v>546</v>
      </c>
      <c r="K430" s="5">
        <v>125</v>
      </c>
      <c r="L430" t="str">
        <f>Table_DataFromNL[[#This Row],[PROFILECODE]]&amp;"-"&amp;Table_DataFromNL[[#This Row],[RULENAME]]</f>
        <v>CP575-New Donor 1st Visit-Bonus</v>
      </c>
      <c r="M430" t="str">
        <f t="shared" si="47"/>
        <v>CP575-NEW DONOR -1st</v>
      </c>
    </row>
    <row r="431" spans="1:13" x14ac:dyDescent="0.25">
      <c r="A431" t="str">
        <f t="shared" si="48"/>
        <v>CP575-NEW DONOR -2nd</v>
      </c>
      <c r="B431" t="s">
        <v>445</v>
      </c>
      <c r="C431" t="str">
        <f t="shared" si="42"/>
        <v>Chicago</v>
      </c>
      <c r="D431" t="str">
        <f t="shared" si="43"/>
        <v>Y</v>
      </c>
      <c r="E431" t="s">
        <v>605</v>
      </c>
      <c r="F431" t="str">
        <f t="shared" si="44"/>
        <v>NEW DONOR -2nd</v>
      </c>
      <c r="G431" t="str">
        <f t="shared" si="45"/>
        <v>Marketing</v>
      </c>
      <c r="H431" t="s">
        <v>556</v>
      </c>
      <c r="I431">
        <f t="shared" si="46"/>
        <v>2</v>
      </c>
      <c r="J431" t="s">
        <v>546</v>
      </c>
      <c r="K431" s="5">
        <v>125</v>
      </c>
      <c r="L431" t="str">
        <f>Table_DataFromNL[[#This Row],[PROFILECODE]]&amp;"-"&amp;Table_DataFromNL[[#This Row],[RULENAME]]</f>
        <v>CP575-New Donor 2nd Visit-Bonus</v>
      </c>
      <c r="M431" t="str">
        <f t="shared" si="47"/>
        <v>CP575-NEW DONOR -2nd</v>
      </c>
    </row>
    <row r="432" spans="1:13" x14ac:dyDescent="0.25">
      <c r="A432" t="str">
        <f t="shared" si="48"/>
        <v>CP575-NEW DONOR -3rd</v>
      </c>
      <c r="B432" t="s">
        <v>445</v>
      </c>
      <c r="C432" t="str">
        <f t="shared" si="42"/>
        <v>Chicago</v>
      </c>
      <c r="D432" t="str">
        <f t="shared" si="43"/>
        <v>Y</v>
      </c>
      <c r="E432" t="s">
        <v>605</v>
      </c>
      <c r="F432" t="str">
        <f t="shared" si="44"/>
        <v>NEW DONOR -3rd</v>
      </c>
      <c r="G432" t="str">
        <f t="shared" si="45"/>
        <v>Marketing</v>
      </c>
      <c r="H432" t="s">
        <v>557</v>
      </c>
      <c r="I432">
        <f t="shared" si="46"/>
        <v>3</v>
      </c>
      <c r="J432" t="s">
        <v>546</v>
      </c>
      <c r="K432" s="5">
        <v>125</v>
      </c>
      <c r="L432" t="str">
        <f>Table_DataFromNL[[#This Row],[PROFILECODE]]&amp;"-"&amp;Table_DataFromNL[[#This Row],[RULENAME]]</f>
        <v>CP575-New Donor 3rd Visit-Bonus</v>
      </c>
      <c r="M432" t="str">
        <f t="shared" si="47"/>
        <v>CP575-NEW DONOR -3rd</v>
      </c>
    </row>
    <row r="433" spans="1:13" x14ac:dyDescent="0.25">
      <c r="A433" t="str">
        <f t="shared" si="48"/>
        <v>CP575-NEW DONOR -4th</v>
      </c>
      <c r="B433" t="s">
        <v>445</v>
      </c>
      <c r="C433" t="str">
        <f t="shared" si="42"/>
        <v>Chicago</v>
      </c>
      <c r="D433" t="str">
        <f t="shared" si="43"/>
        <v>Y</v>
      </c>
      <c r="E433" t="s">
        <v>605</v>
      </c>
      <c r="F433" t="str">
        <f t="shared" si="44"/>
        <v>NEW DONOR -4th</v>
      </c>
      <c r="G433" t="str">
        <f t="shared" si="45"/>
        <v>Marketing</v>
      </c>
      <c r="H433" t="s">
        <v>558</v>
      </c>
      <c r="I433">
        <f t="shared" si="46"/>
        <v>4</v>
      </c>
      <c r="J433" t="s">
        <v>546</v>
      </c>
      <c r="K433" s="5">
        <v>125</v>
      </c>
      <c r="L433" t="str">
        <f>Table_DataFromNL[[#This Row],[PROFILECODE]]&amp;"-"&amp;Table_DataFromNL[[#This Row],[RULENAME]]</f>
        <v>CP575-New Donor 4th Visit-Bonus</v>
      </c>
      <c r="M433" t="str">
        <f t="shared" si="47"/>
        <v>CP575-NEW DONOR -4th</v>
      </c>
    </row>
    <row r="434" spans="1:13" x14ac:dyDescent="0.25">
      <c r="A434" t="str">
        <f t="shared" si="48"/>
        <v>CP575-NEW DONOR -5th</v>
      </c>
      <c r="B434" t="s">
        <v>445</v>
      </c>
      <c r="C434" t="str">
        <f t="shared" si="42"/>
        <v>Chicago</v>
      </c>
      <c r="D434" t="str">
        <f t="shared" si="43"/>
        <v>Y</v>
      </c>
      <c r="E434" t="s">
        <v>605</v>
      </c>
      <c r="F434" t="str">
        <f t="shared" si="44"/>
        <v>NEW DONOR -5th</v>
      </c>
      <c r="G434" t="str">
        <f t="shared" si="45"/>
        <v>Marketing</v>
      </c>
      <c r="H434" t="s">
        <v>559</v>
      </c>
      <c r="I434">
        <f t="shared" si="46"/>
        <v>5</v>
      </c>
      <c r="J434" t="s">
        <v>546</v>
      </c>
      <c r="K434" s="5">
        <v>125</v>
      </c>
      <c r="L434" t="str">
        <f>Table_DataFromNL[[#This Row],[PROFILECODE]]&amp;"-"&amp;Table_DataFromNL[[#This Row],[RULENAME]]</f>
        <v>CP575-New Donor 5th Visit-Bonus</v>
      </c>
      <c r="M434" t="str">
        <f t="shared" si="47"/>
        <v>CP575-NEW DONOR -5th</v>
      </c>
    </row>
    <row r="435" spans="1:13" x14ac:dyDescent="0.25">
      <c r="A435" t="str">
        <f t="shared" si="48"/>
        <v>CP575-NEW DONOR -6th</v>
      </c>
      <c r="B435" t="s">
        <v>445</v>
      </c>
      <c r="C435" t="str">
        <f t="shared" si="42"/>
        <v>Chicago</v>
      </c>
      <c r="D435" t="str">
        <f t="shared" si="43"/>
        <v>Y</v>
      </c>
      <c r="E435" t="s">
        <v>605</v>
      </c>
      <c r="F435" t="str">
        <f t="shared" si="44"/>
        <v>NEW DONOR -6th</v>
      </c>
      <c r="G435" t="str">
        <f t="shared" si="45"/>
        <v>Marketing</v>
      </c>
      <c r="H435" t="s">
        <v>560</v>
      </c>
      <c r="I435">
        <f t="shared" si="46"/>
        <v>6</v>
      </c>
      <c r="J435" t="s">
        <v>546</v>
      </c>
      <c r="K435" s="5">
        <v>125</v>
      </c>
      <c r="L435" t="str">
        <f>Table_DataFromNL[[#This Row],[PROFILECODE]]&amp;"-"&amp;Table_DataFromNL[[#This Row],[RULENAME]]</f>
        <v>CP575-New Donor 6th Visit-Bonus</v>
      </c>
      <c r="M435" t="str">
        <f t="shared" si="47"/>
        <v>CP575-NEW DONOR -6th</v>
      </c>
    </row>
    <row r="436" spans="1:13" x14ac:dyDescent="0.25">
      <c r="A436" t="str">
        <f t="shared" si="48"/>
        <v>CP575-NEW DONOR -7th</v>
      </c>
      <c r="B436" t="s">
        <v>445</v>
      </c>
      <c r="C436" t="str">
        <f t="shared" si="42"/>
        <v>Chicago</v>
      </c>
      <c r="D436" t="str">
        <f t="shared" si="43"/>
        <v>Y</v>
      </c>
      <c r="E436" t="s">
        <v>605</v>
      </c>
      <c r="F436" t="str">
        <f t="shared" si="44"/>
        <v>NEW DONOR -7th</v>
      </c>
      <c r="G436" t="str">
        <f t="shared" si="45"/>
        <v>Marketing</v>
      </c>
      <c r="H436" t="s">
        <v>561</v>
      </c>
      <c r="I436">
        <f t="shared" si="46"/>
        <v>7</v>
      </c>
      <c r="J436" t="s">
        <v>546</v>
      </c>
      <c r="K436" s="5">
        <v>40</v>
      </c>
      <c r="L436" t="str">
        <f>Table_DataFromNL[[#This Row],[PROFILECODE]]&amp;"-"&amp;Table_DataFromNL[[#This Row],[RULENAME]]</f>
        <v>CP575-New Donor 7th Visit-Bonus</v>
      </c>
      <c r="M436" t="str">
        <f t="shared" si="47"/>
        <v>CP575-NEW DONOR -7th</v>
      </c>
    </row>
    <row r="437" spans="1:13" x14ac:dyDescent="0.25">
      <c r="A437" t="str">
        <f t="shared" si="48"/>
        <v>CP575-NEW DONOR -8th</v>
      </c>
      <c r="B437" t="s">
        <v>445</v>
      </c>
      <c r="C437" t="str">
        <f t="shared" si="42"/>
        <v>Chicago</v>
      </c>
      <c r="D437" t="str">
        <f t="shared" si="43"/>
        <v>Y</v>
      </c>
      <c r="E437" t="s">
        <v>605</v>
      </c>
      <c r="F437" t="str">
        <f t="shared" si="44"/>
        <v>NEW DONOR -8th</v>
      </c>
      <c r="G437" t="str">
        <f t="shared" si="45"/>
        <v>Marketing</v>
      </c>
      <c r="H437" t="s">
        <v>562</v>
      </c>
      <c r="I437">
        <f t="shared" si="46"/>
        <v>8</v>
      </c>
      <c r="J437" t="s">
        <v>546</v>
      </c>
      <c r="K437" s="5">
        <v>40</v>
      </c>
      <c r="L437" t="str">
        <f>Table_DataFromNL[[#This Row],[PROFILECODE]]&amp;"-"&amp;Table_DataFromNL[[#This Row],[RULENAME]]</f>
        <v>CP575-New Donor 8th Visit-Bonus</v>
      </c>
      <c r="M437" t="str">
        <f t="shared" si="47"/>
        <v>CP575-NEW DONOR -8th</v>
      </c>
    </row>
    <row r="438" spans="1:13" x14ac:dyDescent="0.25">
      <c r="A438" t="str">
        <f t="shared" si="48"/>
        <v>CP575-Community</v>
      </c>
      <c r="B438" t="s">
        <v>445</v>
      </c>
      <c r="C438" t="str">
        <f t="shared" si="42"/>
        <v>Chicago</v>
      </c>
      <c r="D438" t="str">
        <f t="shared" si="43"/>
        <v>Y</v>
      </c>
      <c r="E438" t="s">
        <v>605</v>
      </c>
      <c r="F438" t="str">
        <f t="shared" si="44"/>
        <v>Community</v>
      </c>
      <c r="G438">
        <f t="shared" si="45"/>
        <v>0</v>
      </c>
      <c r="H438" t="s">
        <v>563</v>
      </c>
      <c r="I438">
        <f t="shared" si="46"/>
        <v>0</v>
      </c>
      <c r="J438" t="s">
        <v>564</v>
      </c>
      <c r="K438" s="5">
        <v>5</v>
      </c>
      <c r="L438" t="str">
        <f>Table_DataFromNL[[#This Row],[PROFILECODE]]&amp;"-"&amp;Table_DataFromNL[[#This Row],[RULENAME]]</f>
        <v>CP575-Community</v>
      </c>
      <c r="M438" t="e">
        <f t="shared" si="47"/>
        <v>#N/A</v>
      </c>
    </row>
    <row r="439" spans="1:13" x14ac:dyDescent="0.25">
      <c r="A439" t="str">
        <f t="shared" si="48"/>
        <v>CP575-HANGER_RECRUIT_5USD_once</v>
      </c>
      <c r="B439" t="s">
        <v>445</v>
      </c>
      <c r="C439" t="str">
        <f t="shared" si="42"/>
        <v>Chicago</v>
      </c>
      <c r="D439" t="str">
        <f t="shared" si="43"/>
        <v>Y</v>
      </c>
      <c r="E439" t="s">
        <v>605</v>
      </c>
      <c r="F439" t="str">
        <f t="shared" si="44"/>
        <v>HANGER_RECRUIT_5USD_once</v>
      </c>
      <c r="G439">
        <f t="shared" si="45"/>
        <v>0</v>
      </c>
      <c r="H439" t="s">
        <v>565</v>
      </c>
      <c r="I439">
        <f t="shared" si="46"/>
        <v>0</v>
      </c>
      <c r="J439" t="s">
        <v>564</v>
      </c>
      <c r="K439" s="5">
        <v>5</v>
      </c>
      <c r="L439" t="str">
        <f>Table_DataFromNL[[#This Row],[PROFILECODE]]&amp;"-"&amp;Table_DataFromNL[[#This Row],[RULENAME]]</f>
        <v>CP575-HANGER_RECRUIT_5USD_once</v>
      </c>
      <c r="M439" t="e">
        <f t="shared" si="47"/>
        <v>#N/A</v>
      </c>
    </row>
    <row r="440" spans="1:13" x14ac:dyDescent="0.25">
      <c r="A440" t="str">
        <f t="shared" si="48"/>
        <v>CP575-Inconv Fee $20-$50-Comment Req'd</v>
      </c>
      <c r="B440" t="s">
        <v>445</v>
      </c>
      <c r="C440" t="str">
        <f t="shared" si="42"/>
        <v>Chicago</v>
      </c>
      <c r="D440" t="str">
        <f t="shared" si="43"/>
        <v>Y</v>
      </c>
      <c r="E440" t="s">
        <v>605</v>
      </c>
      <c r="F440" t="str">
        <f t="shared" si="44"/>
        <v>Inconv Fee $20-$50-Comment Req'd</v>
      </c>
      <c r="G440">
        <f t="shared" si="45"/>
        <v>0</v>
      </c>
      <c r="H440" t="s">
        <v>566</v>
      </c>
      <c r="I440">
        <f t="shared" si="46"/>
        <v>0</v>
      </c>
      <c r="J440" t="s">
        <v>564</v>
      </c>
      <c r="K440" s="5">
        <v>50</v>
      </c>
      <c r="L440" t="str">
        <f>Table_DataFromNL[[#This Row],[PROFILECODE]]&amp;"-"&amp;Table_DataFromNL[[#This Row],[RULENAME]]</f>
        <v>CP575-Inconv Fee $20-$50-Comment Req'd</v>
      </c>
      <c r="M440" t="e">
        <f t="shared" si="47"/>
        <v>#N/A</v>
      </c>
    </row>
    <row r="441" spans="1:13" x14ac:dyDescent="0.25">
      <c r="A441" t="str">
        <f t="shared" si="48"/>
        <v>CP575-Inconv Fee $5-$20-Comment Req'd</v>
      </c>
      <c r="B441" t="s">
        <v>445</v>
      </c>
      <c r="C441" t="str">
        <f t="shared" si="42"/>
        <v>Chicago</v>
      </c>
      <c r="D441" t="str">
        <f t="shared" si="43"/>
        <v>Y</v>
      </c>
      <c r="E441" t="s">
        <v>605</v>
      </c>
      <c r="F441" t="str">
        <f t="shared" si="44"/>
        <v>Inconv Fee $5-$20-Comment Req'd</v>
      </c>
      <c r="G441">
        <f t="shared" si="45"/>
        <v>0</v>
      </c>
      <c r="H441" t="s">
        <v>567</v>
      </c>
      <c r="I441">
        <f t="shared" si="46"/>
        <v>0</v>
      </c>
      <c r="J441" t="s">
        <v>564</v>
      </c>
      <c r="K441" s="5">
        <v>20</v>
      </c>
      <c r="L441" t="str">
        <f>Table_DataFromNL[[#This Row],[PROFILECODE]]&amp;"-"&amp;Table_DataFromNL[[#This Row],[RULENAME]]</f>
        <v>CP575-Inconv Fee $5-$20-Comment Req'd</v>
      </c>
      <c r="M441" t="e">
        <f t="shared" si="47"/>
        <v>#N/A</v>
      </c>
    </row>
    <row r="442" spans="1:13" x14ac:dyDescent="0.25">
      <c r="A442" t="str">
        <f t="shared" si="48"/>
        <v>CP575-Inconv Fee$50-$100-Comment Req'd</v>
      </c>
      <c r="B442" t="s">
        <v>445</v>
      </c>
      <c r="C442" t="str">
        <f t="shared" si="42"/>
        <v>Chicago</v>
      </c>
      <c r="D442" t="str">
        <f t="shared" si="43"/>
        <v>Y</v>
      </c>
      <c r="E442" t="s">
        <v>605</v>
      </c>
      <c r="F442" t="str">
        <f t="shared" si="44"/>
        <v>Inconv Fee$50-$100-Comment Req'd</v>
      </c>
      <c r="G442">
        <f t="shared" si="45"/>
        <v>0</v>
      </c>
      <c r="H442" t="s">
        <v>568</v>
      </c>
      <c r="I442">
        <f t="shared" si="46"/>
        <v>0</v>
      </c>
      <c r="J442" t="s">
        <v>564</v>
      </c>
      <c r="K442" s="5">
        <v>100</v>
      </c>
      <c r="L442" t="str">
        <f>Table_DataFromNL[[#This Row],[PROFILECODE]]&amp;"-"&amp;Table_DataFromNL[[#This Row],[RULENAME]]</f>
        <v>CP575-Inconv Fee$50-$100-Comment Req'd</v>
      </c>
      <c r="M442" t="e">
        <f t="shared" si="47"/>
        <v>#N/A</v>
      </c>
    </row>
    <row r="443" spans="1:13" x14ac:dyDescent="0.25">
      <c r="A443" t="str">
        <f t="shared" si="48"/>
        <v>CP575-MONDAY_COUPON_RETENTION_10_once</v>
      </c>
      <c r="B443" t="s">
        <v>445</v>
      </c>
      <c r="C443" t="str">
        <f t="shared" si="42"/>
        <v>Chicago</v>
      </c>
      <c r="D443" t="str">
        <f t="shared" si="43"/>
        <v>Y</v>
      </c>
      <c r="E443" t="s">
        <v>605</v>
      </c>
      <c r="F443" t="str">
        <f t="shared" si="44"/>
        <v>MONDAY_COUPON_RETENTION_10_once</v>
      </c>
      <c r="G443">
        <f t="shared" si="45"/>
        <v>0</v>
      </c>
      <c r="H443" t="s">
        <v>594</v>
      </c>
      <c r="I443">
        <f t="shared" si="46"/>
        <v>0</v>
      </c>
      <c r="J443" t="s">
        <v>564</v>
      </c>
      <c r="K443" s="5">
        <v>10</v>
      </c>
      <c r="L443" t="str">
        <f>Table_DataFromNL[[#This Row],[PROFILECODE]]&amp;"-"&amp;Table_DataFromNL[[#This Row],[RULENAME]]</f>
        <v>CP575-MONDAY_COUPON_RETENTION_10_once</v>
      </c>
      <c r="M443" t="e">
        <f t="shared" si="47"/>
        <v>#N/A</v>
      </c>
    </row>
    <row r="444" spans="1:13" x14ac:dyDescent="0.25">
      <c r="A444" t="str">
        <f t="shared" si="48"/>
        <v>CP575-NSP_ LAPSEDONOR_50_Twice</v>
      </c>
      <c r="B444" t="s">
        <v>445</v>
      </c>
      <c r="C444" t="str">
        <f t="shared" si="42"/>
        <v>Chicago</v>
      </c>
      <c r="D444" t="str">
        <f t="shared" si="43"/>
        <v>Y</v>
      </c>
      <c r="E444" t="s">
        <v>605</v>
      </c>
      <c r="F444" t="str">
        <f t="shared" si="44"/>
        <v>NSP_ LAPSEDONOR_50_Twice</v>
      </c>
      <c r="G444">
        <f t="shared" si="45"/>
        <v>0</v>
      </c>
      <c r="H444" t="s">
        <v>569</v>
      </c>
      <c r="I444">
        <f t="shared" si="46"/>
        <v>0</v>
      </c>
      <c r="J444" t="s">
        <v>564</v>
      </c>
      <c r="K444" s="5">
        <v>50</v>
      </c>
      <c r="L444" t="str">
        <f>Table_DataFromNL[[#This Row],[PROFILECODE]]&amp;"-"&amp;Table_DataFromNL[[#This Row],[RULENAME]]</f>
        <v>CP575-NSP_ LAPSEDONOR_50_Twice</v>
      </c>
      <c r="M444" t="e">
        <f t="shared" si="47"/>
        <v>#N/A</v>
      </c>
    </row>
    <row r="445" spans="1:13" x14ac:dyDescent="0.25">
      <c r="A445" t="str">
        <f t="shared" si="48"/>
        <v>CP575-NSP_LD_25_2X</v>
      </c>
      <c r="B445" t="s">
        <v>445</v>
      </c>
      <c r="C445" t="str">
        <f t="shared" si="42"/>
        <v>Chicago</v>
      </c>
      <c r="D445" t="str">
        <f t="shared" si="43"/>
        <v>Y</v>
      </c>
      <c r="E445" t="s">
        <v>605</v>
      </c>
      <c r="F445" t="str">
        <f t="shared" si="44"/>
        <v>NSP_LD_25_2X</v>
      </c>
      <c r="G445">
        <f t="shared" si="45"/>
        <v>0</v>
      </c>
      <c r="H445" t="s">
        <v>570</v>
      </c>
      <c r="I445">
        <f t="shared" si="46"/>
        <v>0</v>
      </c>
      <c r="J445" t="s">
        <v>564</v>
      </c>
      <c r="K445" s="5">
        <v>25</v>
      </c>
      <c r="L445" t="str">
        <f>Table_DataFromNL[[#This Row],[PROFILECODE]]&amp;"-"&amp;Table_DataFromNL[[#This Row],[RULENAME]]</f>
        <v>CP575-NSP_LD_25_2X</v>
      </c>
      <c r="M445" t="e">
        <f t="shared" si="47"/>
        <v>#N/A</v>
      </c>
    </row>
    <row r="446" spans="1:13" x14ac:dyDescent="0.25">
      <c r="A446" t="str">
        <f t="shared" si="48"/>
        <v>CP575-NSP_LD_50_1X</v>
      </c>
      <c r="B446" t="s">
        <v>445</v>
      </c>
      <c r="C446" t="str">
        <f t="shared" si="42"/>
        <v>Chicago</v>
      </c>
      <c r="D446" t="str">
        <f t="shared" si="43"/>
        <v>Y</v>
      </c>
      <c r="E446" t="s">
        <v>605</v>
      </c>
      <c r="F446" t="str">
        <f t="shared" si="44"/>
        <v>NSP_LD_50_1X</v>
      </c>
      <c r="G446">
        <f t="shared" si="45"/>
        <v>0</v>
      </c>
      <c r="H446" t="s">
        <v>571</v>
      </c>
      <c r="I446">
        <f t="shared" si="46"/>
        <v>0</v>
      </c>
      <c r="J446" t="s">
        <v>564</v>
      </c>
      <c r="K446" s="5">
        <v>50</v>
      </c>
      <c r="L446" t="str">
        <f>Table_DataFromNL[[#This Row],[PROFILECODE]]&amp;"-"&amp;Table_DataFromNL[[#This Row],[RULENAME]]</f>
        <v>CP575-NSP_LD_50_1X</v>
      </c>
      <c r="M446" t="e">
        <f t="shared" si="47"/>
        <v>#N/A</v>
      </c>
    </row>
    <row r="447" spans="1:13" x14ac:dyDescent="0.25">
      <c r="A447" t="str">
        <f t="shared" si="48"/>
        <v>CP575-NSP_ORPHAN_100_once</v>
      </c>
      <c r="B447" t="s">
        <v>445</v>
      </c>
      <c r="C447" t="str">
        <f t="shared" si="42"/>
        <v>Chicago</v>
      </c>
      <c r="D447" t="str">
        <f t="shared" si="43"/>
        <v>Y</v>
      </c>
      <c r="E447" t="s">
        <v>605</v>
      </c>
      <c r="F447" t="str">
        <f t="shared" si="44"/>
        <v>NSP_ORPHAN_100_once</v>
      </c>
      <c r="G447">
        <f t="shared" si="45"/>
        <v>0</v>
      </c>
      <c r="H447" t="s">
        <v>572</v>
      </c>
      <c r="I447">
        <f t="shared" si="46"/>
        <v>0</v>
      </c>
      <c r="J447" t="s">
        <v>564</v>
      </c>
      <c r="K447" s="5">
        <v>100</v>
      </c>
      <c r="L447" t="str">
        <f>Table_DataFromNL[[#This Row],[PROFILECODE]]&amp;"-"&amp;Table_DataFromNL[[#This Row],[RULENAME]]</f>
        <v>CP575-NSP_ORPHAN_100_once</v>
      </c>
      <c r="M447" t="e">
        <f t="shared" si="47"/>
        <v>#N/A</v>
      </c>
    </row>
    <row r="448" spans="1:13" x14ac:dyDescent="0.25">
      <c r="A448" t="str">
        <f t="shared" si="48"/>
        <v>CP575-Restick</v>
      </c>
      <c r="B448" t="s">
        <v>445</v>
      </c>
      <c r="C448" t="str">
        <f t="shared" si="42"/>
        <v>Chicago</v>
      </c>
      <c r="D448" t="str">
        <f t="shared" si="43"/>
        <v>Y</v>
      </c>
      <c r="E448" t="s">
        <v>605</v>
      </c>
      <c r="F448" t="str">
        <f t="shared" si="44"/>
        <v>Restick</v>
      </c>
      <c r="G448">
        <f t="shared" si="45"/>
        <v>0</v>
      </c>
      <c r="H448" t="s">
        <v>573</v>
      </c>
      <c r="I448">
        <f t="shared" si="46"/>
        <v>0</v>
      </c>
      <c r="J448" t="s">
        <v>564</v>
      </c>
      <c r="K448" s="5">
        <v>5</v>
      </c>
      <c r="L448" t="str">
        <f>Table_DataFromNL[[#This Row],[PROFILECODE]]&amp;"-"&amp;Table_DataFromNL[[#This Row],[RULENAME]]</f>
        <v>CP575-Restick</v>
      </c>
      <c r="M448" t="e">
        <f t="shared" si="47"/>
        <v>#N/A</v>
      </c>
    </row>
    <row r="449" spans="1:13" x14ac:dyDescent="0.25">
      <c r="A449" t="str">
        <f t="shared" si="48"/>
        <v>CP575-SLOW_TEXT_5</v>
      </c>
      <c r="B449" t="s">
        <v>445</v>
      </c>
      <c r="C449" t="str">
        <f t="shared" si="42"/>
        <v>Chicago</v>
      </c>
      <c r="D449" t="str">
        <f t="shared" si="43"/>
        <v>Y</v>
      </c>
      <c r="E449" t="s">
        <v>605</v>
      </c>
      <c r="F449" t="str">
        <f t="shared" si="44"/>
        <v>SLOW_TEXT_5</v>
      </c>
      <c r="G449">
        <f t="shared" si="45"/>
        <v>0</v>
      </c>
      <c r="H449" t="s">
        <v>574</v>
      </c>
      <c r="I449">
        <f t="shared" si="46"/>
        <v>0</v>
      </c>
      <c r="J449" t="s">
        <v>564</v>
      </c>
      <c r="K449" s="5">
        <v>5</v>
      </c>
      <c r="L449" t="str">
        <f>Table_DataFromNL[[#This Row],[PROFILECODE]]&amp;"-"&amp;Table_DataFromNL[[#This Row],[RULENAME]]</f>
        <v>CP575-SLOW_TEXT_5</v>
      </c>
      <c r="M449" t="e">
        <f t="shared" si="47"/>
        <v>#N/A</v>
      </c>
    </row>
    <row r="450" spans="1:13" x14ac:dyDescent="0.25">
      <c r="A450" t="str">
        <f t="shared" si="48"/>
        <v>CP575-Sample Only</v>
      </c>
      <c r="B450" t="s">
        <v>445</v>
      </c>
      <c r="C450" t="str">
        <f t="shared" ref="C450:C513" si="49">VLOOKUP(B450,CenterLU,2,FALSE)</f>
        <v>Chicago</v>
      </c>
      <c r="D450" t="str">
        <f t="shared" ref="D450:D513" si="50">VLOOKUP(B450,CenterLU,3,FALSE)</f>
        <v>Y</v>
      </c>
      <c r="E450" t="s">
        <v>605</v>
      </c>
      <c r="F450" t="str">
        <f t="shared" ref="F450:F513" si="51">IF(VLOOKUP(H450,RULENAMELU,3,FALSE)=0,H450,VLOOKUP(H450,RULENAMELU,3,FALSE))</f>
        <v>Sample Only</v>
      </c>
      <c r="G450">
        <f t="shared" ref="G450:G513" si="52">VLOOKUP(H450,RULENAMELU,4,FALSE)</f>
        <v>0</v>
      </c>
      <c r="H450" t="s">
        <v>575</v>
      </c>
      <c r="I450">
        <f t="shared" ref="I450:I513" si="53">VLOOKUP(H450,RULENAMELU,5,FALSE)</f>
        <v>0</v>
      </c>
      <c r="J450" t="s">
        <v>564</v>
      </c>
      <c r="K450" s="5">
        <v>5</v>
      </c>
      <c r="L450" t="str">
        <f>Table_DataFromNL[[#This Row],[PROFILECODE]]&amp;"-"&amp;Table_DataFromNL[[#This Row],[RULENAME]]</f>
        <v>CP575-Sample Only</v>
      </c>
      <c r="M450" t="e">
        <f t="shared" ref="M450:M513" si="54">IFERROR(VLOOKUP(A450,PaychangesLU,1,FALSE),VLOOKUP(A450,SpecialtyCheckLU,1,FALSE))</f>
        <v>#N/A</v>
      </c>
    </row>
    <row r="451" spans="1:13" x14ac:dyDescent="0.25">
      <c r="A451" t="str">
        <f t="shared" ref="A451:A514" si="55">B451&amp;"-"&amp;F451</f>
        <v>CP575-RETURN - Buddy referral  -BONUS</v>
      </c>
      <c r="B451" t="s">
        <v>445</v>
      </c>
      <c r="C451" t="str">
        <f t="shared" si="49"/>
        <v>Chicago</v>
      </c>
      <c r="D451" t="str">
        <f t="shared" si="50"/>
        <v>Y</v>
      </c>
      <c r="E451" t="s">
        <v>605</v>
      </c>
      <c r="F451" t="str">
        <f t="shared" si="51"/>
        <v>RETURN - Buddy referral  -BONUS</v>
      </c>
      <c r="G451" t="str">
        <f t="shared" si="52"/>
        <v>Marketing</v>
      </c>
      <c r="H451" t="s">
        <v>34</v>
      </c>
      <c r="I451">
        <f t="shared" si="53"/>
        <v>50</v>
      </c>
      <c r="J451" t="s">
        <v>578</v>
      </c>
      <c r="K451" s="5">
        <v>50</v>
      </c>
      <c r="L451" t="str">
        <f>Table_DataFromNL[[#This Row],[PROFILECODE]]&amp;"-"&amp;Table_DataFromNL[[#This Row],[RULENAME]]</f>
        <v>CP575-Referral</v>
      </c>
      <c r="M451" t="str">
        <f t="shared" si="54"/>
        <v>CP575-RETURN - Buddy referral  -BONUS</v>
      </c>
    </row>
    <row r="452" spans="1:13" x14ac:dyDescent="0.25">
      <c r="A452" t="str">
        <f t="shared" si="55"/>
        <v>CP575-P Anti-D Pre-Existing Standard</v>
      </c>
      <c r="B452" t="s">
        <v>445</v>
      </c>
      <c r="C452" t="str">
        <f t="shared" si="49"/>
        <v>Chicago</v>
      </c>
      <c r="D452" t="str">
        <f t="shared" si="50"/>
        <v>Y</v>
      </c>
      <c r="E452" t="s">
        <v>605</v>
      </c>
      <c r="F452" t="str">
        <f t="shared" si="51"/>
        <v>P Anti-D Pre-Existing Standard</v>
      </c>
      <c r="G452" t="str">
        <f t="shared" si="52"/>
        <v>Specialty</v>
      </c>
      <c r="H452" t="s">
        <v>469</v>
      </c>
      <c r="I452" t="str">
        <f t="shared" si="53"/>
        <v>RETURN - 1st don of the week -STD</v>
      </c>
      <c r="J452" t="s">
        <v>579</v>
      </c>
      <c r="K452" s="5">
        <v>50</v>
      </c>
      <c r="L452" t="str">
        <f>Table_DataFromNL[[#This Row],[PROFILECODE]]&amp;"-"&amp;Table_DataFromNL[[#This Row],[RULENAME]]</f>
        <v>CP575-P Anti-D Pre-Existing Standard</v>
      </c>
      <c r="M452" t="str">
        <f t="shared" si="54"/>
        <v>CP575-P Anti-D Pre-Existing Standard</v>
      </c>
    </row>
    <row r="453" spans="1:13" x14ac:dyDescent="0.25">
      <c r="A453" t="str">
        <f t="shared" si="55"/>
        <v>CP575-RETURN - 1st don of the week -STD</v>
      </c>
      <c r="B453" t="s">
        <v>445</v>
      </c>
      <c r="C453" t="str">
        <f t="shared" si="49"/>
        <v>Chicago</v>
      </c>
      <c r="D453" t="str">
        <f t="shared" si="50"/>
        <v>Y</v>
      </c>
      <c r="E453" t="s">
        <v>605</v>
      </c>
      <c r="F453" t="str">
        <f t="shared" si="51"/>
        <v>RETURN - 1st don of the week -STD</v>
      </c>
      <c r="G453" t="str">
        <f t="shared" si="52"/>
        <v>Marketing</v>
      </c>
      <c r="H453" t="s">
        <v>607</v>
      </c>
      <c r="I453">
        <f t="shared" si="53"/>
        <v>21</v>
      </c>
      <c r="J453" t="s">
        <v>579</v>
      </c>
      <c r="K453" s="5">
        <v>40</v>
      </c>
      <c r="L453" t="str">
        <f>Table_DataFromNL[[#This Row],[PROFILECODE]]&amp;"-"&amp;Table_DataFromNL[[#This Row],[RULENAME]]</f>
        <v>CP575-P Normal Source PL Standard</v>
      </c>
      <c r="M453" t="str">
        <f t="shared" si="54"/>
        <v>CP575-RETURN - 1st don of the week -STD</v>
      </c>
    </row>
    <row r="454" spans="1:13" x14ac:dyDescent="0.25">
      <c r="A454" t="str">
        <f t="shared" si="55"/>
        <v>CP138-1st Responder-Medical</v>
      </c>
      <c r="B454" t="s">
        <v>186</v>
      </c>
      <c r="C454" t="str">
        <f t="shared" si="49"/>
        <v>Cinnaminson</v>
      </c>
      <c r="D454" t="str">
        <f t="shared" si="50"/>
        <v>Y</v>
      </c>
      <c r="E454" t="s">
        <v>608</v>
      </c>
      <c r="F454" t="str">
        <f t="shared" si="51"/>
        <v>1st Responder-Medical</v>
      </c>
      <c r="G454">
        <f t="shared" si="52"/>
        <v>0</v>
      </c>
      <c r="H454" t="s">
        <v>545</v>
      </c>
      <c r="I454">
        <f t="shared" si="53"/>
        <v>0</v>
      </c>
      <c r="J454" t="s">
        <v>546</v>
      </c>
      <c r="K454" s="5">
        <v>5</v>
      </c>
      <c r="L454" t="str">
        <f>Table_DataFromNL[[#This Row],[PROFILECODE]]&amp;"-"&amp;Table_DataFromNL[[#This Row],[RULENAME]]</f>
        <v>CP138-1st Responder-Medical</v>
      </c>
      <c r="M454" t="e">
        <f t="shared" si="54"/>
        <v>#N/A</v>
      </c>
    </row>
    <row r="455" spans="1:13" x14ac:dyDescent="0.25">
      <c r="A455" t="str">
        <f t="shared" si="55"/>
        <v>CP138-RETURN - 2nd don of the week -BONUS</v>
      </c>
      <c r="B455" t="s">
        <v>186</v>
      </c>
      <c r="C455" t="str">
        <f t="shared" si="49"/>
        <v>Cinnaminson</v>
      </c>
      <c r="D455" t="str">
        <f t="shared" si="50"/>
        <v>Y</v>
      </c>
      <c r="E455" t="s">
        <v>608</v>
      </c>
      <c r="F455" t="str">
        <f t="shared" si="51"/>
        <v>RETURN - 2nd don of the week -BONUS</v>
      </c>
      <c r="G455" t="str">
        <f t="shared" si="52"/>
        <v>Marketing</v>
      </c>
      <c r="H455" t="s">
        <v>550</v>
      </c>
      <c r="I455">
        <f t="shared" si="53"/>
        <v>26</v>
      </c>
      <c r="J455" t="s">
        <v>546</v>
      </c>
      <c r="K455" s="5">
        <v>50</v>
      </c>
      <c r="L455" t="str">
        <f>Table_DataFromNL[[#This Row],[PROFILECODE]]&amp;"-"&amp;Table_DataFromNL[[#This Row],[RULENAME]]</f>
        <v>CP138-2X Week P NSP NS</v>
      </c>
      <c r="M455" t="str">
        <f t="shared" si="54"/>
        <v>CP138-RETURN - 2nd don of the week -BONUS</v>
      </c>
    </row>
    <row r="456" spans="1:13" x14ac:dyDescent="0.25">
      <c r="A456" t="str">
        <f t="shared" si="55"/>
        <v>CP138-RETURN - 2nd don of the week -BONUS</v>
      </c>
      <c r="B456" t="s">
        <v>186</v>
      </c>
      <c r="C456" t="str">
        <f t="shared" si="49"/>
        <v>Cinnaminson</v>
      </c>
      <c r="D456" t="str">
        <f t="shared" si="50"/>
        <v>Y</v>
      </c>
      <c r="E456" t="s">
        <v>608</v>
      </c>
      <c r="F456" t="str">
        <f t="shared" si="51"/>
        <v>RETURN - 2nd don of the week -BONUS</v>
      </c>
      <c r="G456" t="str">
        <f t="shared" si="52"/>
        <v>Marketing</v>
      </c>
      <c r="H456" t="s">
        <v>551</v>
      </c>
      <c r="I456" t="str">
        <f t="shared" si="53"/>
        <v>RETURN - 2nd don of the week -BONUS</v>
      </c>
      <c r="J456" t="s">
        <v>546</v>
      </c>
      <c r="K456" s="5">
        <v>50</v>
      </c>
      <c r="L456" t="str">
        <f>Table_DataFromNL[[#This Row],[PROFILECODE]]&amp;"-"&amp;Table_DataFromNL[[#This Row],[RULENAME]]</f>
        <v>CP138-2X Week P NSP NS AP</v>
      </c>
      <c r="M456" t="str">
        <f t="shared" si="54"/>
        <v>CP138-RETURN - 2nd don of the week -BONUS</v>
      </c>
    </row>
    <row r="457" spans="1:13" x14ac:dyDescent="0.25">
      <c r="A457" t="str">
        <f t="shared" si="55"/>
        <v>CP138-RETURN - 5th don of the month -BONUS</v>
      </c>
      <c r="B457" t="s">
        <v>186</v>
      </c>
      <c r="C457" t="str">
        <f t="shared" si="49"/>
        <v>Cinnaminson</v>
      </c>
      <c r="D457" t="str">
        <f t="shared" si="50"/>
        <v>Y</v>
      </c>
      <c r="E457" t="s">
        <v>608</v>
      </c>
      <c r="F457" t="str">
        <f t="shared" si="51"/>
        <v>RETURN - 5th don of the month -BONUS</v>
      </c>
      <c r="G457" t="str">
        <f t="shared" si="52"/>
        <v>Marketing</v>
      </c>
      <c r="H457" t="s">
        <v>609</v>
      </c>
      <c r="I457">
        <f t="shared" si="53"/>
        <v>27</v>
      </c>
      <c r="J457" t="s">
        <v>546</v>
      </c>
      <c r="K457" s="5">
        <v>20</v>
      </c>
      <c r="L457" t="str">
        <f>Table_DataFromNL[[#This Row],[PROFILECODE]]&amp;"-"&amp;Table_DataFromNL[[#This Row],[RULENAME]]</f>
        <v>CP138-5X Month</v>
      </c>
      <c r="M457" t="str">
        <f t="shared" si="54"/>
        <v>CP138-RETURN - 5th don of the month -BONUS</v>
      </c>
    </row>
    <row r="458" spans="1:13" x14ac:dyDescent="0.25">
      <c r="A458" t="str">
        <f t="shared" si="55"/>
        <v>CP138-RETURN - 6th don of the month -BONUS</v>
      </c>
      <c r="B458" t="s">
        <v>186</v>
      </c>
      <c r="C458" t="str">
        <f t="shared" si="49"/>
        <v>Cinnaminson</v>
      </c>
      <c r="D458" t="str">
        <f t="shared" si="50"/>
        <v>Y</v>
      </c>
      <c r="E458" t="s">
        <v>608</v>
      </c>
      <c r="F458" t="str">
        <f t="shared" si="51"/>
        <v>RETURN - 6th don of the month -BONUS</v>
      </c>
      <c r="G458" t="str">
        <f t="shared" si="52"/>
        <v>Marketing</v>
      </c>
      <c r="H458" t="s">
        <v>552</v>
      </c>
      <c r="I458">
        <f t="shared" si="53"/>
        <v>28</v>
      </c>
      <c r="J458" t="s">
        <v>546</v>
      </c>
      <c r="K458" s="5">
        <v>20</v>
      </c>
      <c r="L458" t="str">
        <f>Table_DataFromNL[[#This Row],[PROFILECODE]]&amp;"-"&amp;Table_DataFromNL[[#This Row],[RULENAME]]</f>
        <v>CP138-6X Month</v>
      </c>
      <c r="M458" t="str">
        <f t="shared" si="54"/>
        <v>CP138-RETURN - 6th don of the month -BONUS</v>
      </c>
    </row>
    <row r="459" spans="1:13" x14ac:dyDescent="0.25">
      <c r="A459" t="str">
        <f t="shared" si="55"/>
        <v>CP138-College ID Standard Bonus</v>
      </c>
      <c r="B459" t="s">
        <v>186</v>
      </c>
      <c r="C459" t="str">
        <f t="shared" si="49"/>
        <v>Cinnaminson</v>
      </c>
      <c r="D459" t="str">
        <f t="shared" si="50"/>
        <v>Y</v>
      </c>
      <c r="E459" t="s">
        <v>608</v>
      </c>
      <c r="F459" t="str">
        <f t="shared" si="51"/>
        <v>College ID Standard Bonus</v>
      </c>
      <c r="G459">
        <f t="shared" si="52"/>
        <v>0</v>
      </c>
      <c r="H459" t="s">
        <v>553</v>
      </c>
      <c r="I459">
        <f t="shared" si="53"/>
        <v>0</v>
      </c>
      <c r="J459" t="s">
        <v>546</v>
      </c>
      <c r="K459" s="5">
        <v>5</v>
      </c>
      <c r="L459" t="str">
        <f>Table_DataFromNL[[#This Row],[PROFILECODE]]&amp;"-"&amp;Table_DataFromNL[[#This Row],[RULENAME]]</f>
        <v>CP138-College ID Standard Bonus</v>
      </c>
      <c r="M459" t="e">
        <f t="shared" si="54"/>
        <v>#N/A</v>
      </c>
    </row>
    <row r="460" spans="1:13" x14ac:dyDescent="0.25">
      <c r="A460" t="str">
        <f t="shared" si="55"/>
        <v>CP138-Military ID</v>
      </c>
      <c r="B460" t="s">
        <v>186</v>
      </c>
      <c r="C460" t="str">
        <f t="shared" si="49"/>
        <v>Cinnaminson</v>
      </c>
      <c r="D460" t="str">
        <f t="shared" si="50"/>
        <v>Y</v>
      </c>
      <c r="E460" t="s">
        <v>608</v>
      </c>
      <c r="F460" t="str">
        <f t="shared" si="51"/>
        <v>Military ID</v>
      </c>
      <c r="G460">
        <f t="shared" si="52"/>
        <v>0</v>
      </c>
      <c r="H460" t="s">
        <v>554</v>
      </c>
      <c r="I460">
        <f t="shared" si="53"/>
        <v>0</v>
      </c>
      <c r="J460" t="s">
        <v>546</v>
      </c>
      <c r="K460" s="5">
        <v>5</v>
      </c>
      <c r="L460" t="str">
        <f>Table_DataFromNL[[#This Row],[PROFILECODE]]&amp;"-"&amp;Table_DataFromNL[[#This Row],[RULENAME]]</f>
        <v>CP138-Military ID</v>
      </c>
      <c r="M460" t="e">
        <f t="shared" si="54"/>
        <v>#N/A</v>
      </c>
    </row>
    <row r="461" spans="1:13" x14ac:dyDescent="0.25">
      <c r="A461" t="str">
        <f t="shared" si="55"/>
        <v>CP138-NEW DONOR -1st</v>
      </c>
      <c r="B461" t="s">
        <v>186</v>
      </c>
      <c r="C461" t="str">
        <f t="shared" si="49"/>
        <v>Cinnaminson</v>
      </c>
      <c r="D461" t="str">
        <f t="shared" si="50"/>
        <v>Y</v>
      </c>
      <c r="E461" t="s">
        <v>608</v>
      </c>
      <c r="F461" t="str">
        <f t="shared" si="51"/>
        <v>NEW DONOR -1st</v>
      </c>
      <c r="G461" t="str">
        <f t="shared" si="52"/>
        <v>Marketing</v>
      </c>
      <c r="H461" t="s">
        <v>555</v>
      </c>
      <c r="I461">
        <f t="shared" si="53"/>
        <v>1</v>
      </c>
      <c r="J461" t="s">
        <v>546</v>
      </c>
      <c r="K461" s="5">
        <v>100</v>
      </c>
      <c r="L461" t="str">
        <f>Table_DataFromNL[[#This Row],[PROFILECODE]]&amp;"-"&amp;Table_DataFromNL[[#This Row],[RULENAME]]</f>
        <v>CP138-New Donor 1st Visit-Bonus</v>
      </c>
      <c r="M461" t="str">
        <f t="shared" si="54"/>
        <v>CP138-NEW DONOR -1st</v>
      </c>
    </row>
    <row r="462" spans="1:13" x14ac:dyDescent="0.25">
      <c r="A462" t="str">
        <f t="shared" si="55"/>
        <v>CP138-NEW DONOR -2nd</v>
      </c>
      <c r="B462" t="s">
        <v>186</v>
      </c>
      <c r="C462" t="str">
        <f t="shared" si="49"/>
        <v>Cinnaminson</v>
      </c>
      <c r="D462" t="str">
        <f t="shared" si="50"/>
        <v>Y</v>
      </c>
      <c r="E462" t="s">
        <v>608</v>
      </c>
      <c r="F462" t="str">
        <f t="shared" si="51"/>
        <v>NEW DONOR -2nd</v>
      </c>
      <c r="G462" t="str">
        <f t="shared" si="52"/>
        <v>Marketing</v>
      </c>
      <c r="H462" t="s">
        <v>556</v>
      </c>
      <c r="I462">
        <f t="shared" si="53"/>
        <v>2</v>
      </c>
      <c r="J462" t="s">
        <v>546</v>
      </c>
      <c r="K462" s="5">
        <v>100</v>
      </c>
      <c r="L462" t="str">
        <f>Table_DataFromNL[[#This Row],[PROFILECODE]]&amp;"-"&amp;Table_DataFromNL[[#This Row],[RULENAME]]</f>
        <v>CP138-New Donor 2nd Visit-Bonus</v>
      </c>
      <c r="M462" t="str">
        <f t="shared" si="54"/>
        <v>CP138-NEW DONOR -2nd</v>
      </c>
    </row>
    <row r="463" spans="1:13" x14ac:dyDescent="0.25">
      <c r="A463" t="str">
        <f t="shared" si="55"/>
        <v>CP138-NEW DONOR -3rd</v>
      </c>
      <c r="B463" t="s">
        <v>186</v>
      </c>
      <c r="C463" t="str">
        <f t="shared" si="49"/>
        <v>Cinnaminson</v>
      </c>
      <c r="D463" t="str">
        <f t="shared" si="50"/>
        <v>Y</v>
      </c>
      <c r="E463" t="s">
        <v>608</v>
      </c>
      <c r="F463" t="str">
        <f t="shared" si="51"/>
        <v>NEW DONOR -3rd</v>
      </c>
      <c r="G463" t="str">
        <f t="shared" si="52"/>
        <v>Marketing</v>
      </c>
      <c r="H463" t="s">
        <v>557</v>
      </c>
      <c r="I463">
        <f t="shared" si="53"/>
        <v>3</v>
      </c>
      <c r="J463" t="s">
        <v>546</v>
      </c>
      <c r="K463" s="5">
        <v>100</v>
      </c>
      <c r="L463" t="str">
        <f>Table_DataFromNL[[#This Row],[PROFILECODE]]&amp;"-"&amp;Table_DataFromNL[[#This Row],[RULENAME]]</f>
        <v>CP138-New Donor 3rd Visit-Bonus</v>
      </c>
      <c r="M463" t="str">
        <f t="shared" si="54"/>
        <v>CP138-NEW DONOR -3rd</v>
      </c>
    </row>
    <row r="464" spans="1:13" x14ac:dyDescent="0.25">
      <c r="A464" t="str">
        <f t="shared" si="55"/>
        <v>CP138-NEW DONOR -4th</v>
      </c>
      <c r="B464" t="s">
        <v>186</v>
      </c>
      <c r="C464" t="str">
        <f t="shared" si="49"/>
        <v>Cinnaminson</v>
      </c>
      <c r="D464" t="str">
        <f t="shared" si="50"/>
        <v>Y</v>
      </c>
      <c r="E464" t="s">
        <v>608</v>
      </c>
      <c r="F464" t="str">
        <f t="shared" si="51"/>
        <v>NEW DONOR -4th</v>
      </c>
      <c r="G464" t="str">
        <f t="shared" si="52"/>
        <v>Marketing</v>
      </c>
      <c r="H464" t="s">
        <v>558</v>
      </c>
      <c r="I464">
        <f t="shared" si="53"/>
        <v>4</v>
      </c>
      <c r="J464" t="s">
        <v>546</v>
      </c>
      <c r="K464" s="5">
        <v>100</v>
      </c>
      <c r="L464" t="str">
        <f>Table_DataFromNL[[#This Row],[PROFILECODE]]&amp;"-"&amp;Table_DataFromNL[[#This Row],[RULENAME]]</f>
        <v>CP138-New Donor 4th Visit-Bonus</v>
      </c>
      <c r="M464" t="str">
        <f t="shared" si="54"/>
        <v>CP138-NEW DONOR -4th</v>
      </c>
    </row>
    <row r="465" spans="1:13" x14ac:dyDescent="0.25">
      <c r="A465" t="str">
        <f t="shared" si="55"/>
        <v>CP138-NEW DONOR -5th</v>
      </c>
      <c r="B465" t="s">
        <v>186</v>
      </c>
      <c r="C465" t="str">
        <f t="shared" si="49"/>
        <v>Cinnaminson</v>
      </c>
      <c r="D465" t="str">
        <f t="shared" si="50"/>
        <v>Y</v>
      </c>
      <c r="E465" t="s">
        <v>608</v>
      </c>
      <c r="F465" t="str">
        <f t="shared" si="51"/>
        <v>NEW DONOR -5th</v>
      </c>
      <c r="G465" t="str">
        <f t="shared" si="52"/>
        <v>Marketing</v>
      </c>
      <c r="H465" t="s">
        <v>559</v>
      </c>
      <c r="I465">
        <f t="shared" si="53"/>
        <v>5</v>
      </c>
      <c r="J465" t="s">
        <v>546</v>
      </c>
      <c r="K465" s="5">
        <v>100</v>
      </c>
      <c r="L465" t="str">
        <f>Table_DataFromNL[[#This Row],[PROFILECODE]]&amp;"-"&amp;Table_DataFromNL[[#This Row],[RULENAME]]</f>
        <v>CP138-New Donor 5th Visit-Bonus</v>
      </c>
      <c r="M465" t="str">
        <f t="shared" si="54"/>
        <v>CP138-NEW DONOR -5th</v>
      </c>
    </row>
    <row r="466" spans="1:13" x14ac:dyDescent="0.25">
      <c r="A466" t="str">
        <f t="shared" si="55"/>
        <v>CP138-NEW DONOR -6th</v>
      </c>
      <c r="B466" t="s">
        <v>186</v>
      </c>
      <c r="C466" t="str">
        <f t="shared" si="49"/>
        <v>Cinnaminson</v>
      </c>
      <c r="D466" t="str">
        <f t="shared" si="50"/>
        <v>Y</v>
      </c>
      <c r="E466" t="s">
        <v>608</v>
      </c>
      <c r="F466" t="str">
        <f t="shared" si="51"/>
        <v>NEW DONOR -6th</v>
      </c>
      <c r="G466" t="str">
        <f t="shared" si="52"/>
        <v>Marketing</v>
      </c>
      <c r="H466" t="s">
        <v>560</v>
      </c>
      <c r="I466">
        <f t="shared" si="53"/>
        <v>6</v>
      </c>
      <c r="J466" t="s">
        <v>546</v>
      </c>
      <c r="K466" s="5">
        <v>100</v>
      </c>
      <c r="L466" t="str">
        <f>Table_DataFromNL[[#This Row],[PROFILECODE]]&amp;"-"&amp;Table_DataFromNL[[#This Row],[RULENAME]]</f>
        <v>CP138-New Donor 6th Visit-Bonus</v>
      </c>
      <c r="M466" t="str">
        <f t="shared" si="54"/>
        <v>CP138-NEW DONOR -6th</v>
      </c>
    </row>
    <row r="467" spans="1:13" x14ac:dyDescent="0.25">
      <c r="A467" t="str">
        <f t="shared" si="55"/>
        <v>CP138-NEW DONOR -7th</v>
      </c>
      <c r="B467" t="s">
        <v>186</v>
      </c>
      <c r="C467" t="str">
        <f t="shared" si="49"/>
        <v>Cinnaminson</v>
      </c>
      <c r="D467" t="str">
        <f t="shared" si="50"/>
        <v>Y</v>
      </c>
      <c r="E467" t="s">
        <v>608</v>
      </c>
      <c r="F467" t="str">
        <f t="shared" si="51"/>
        <v>NEW DONOR -7th</v>
      </c>
      <c r="G467" t="str">
        <f t="shared" si="52"/>
        <v>Marketing</v>
      </c>
      <c r="H467" t="s">
        <v>561</v>
      </c>
      <c r="I467">
        <f t="shared" si="53"/>
        <v>7</v>
      </c>
      <c r="J467" t="s">
        <v>546</v>
      </c>
      <c r="K467" s="5">
        <v>100</v>
      </c>
      <c r="L467" t="str">
        <f>Table_DataFromNL[[#This Row],[PROFILECODE]]&amp;"-"&amp;Table_DataFromNL[[#This Row],[RULENAME]]</f>
        <v>CP138-New Donor 7th Visit-Bonus</v>
      </c>
      <c r="M467" t="str">
        <f t="shared" si="54"/>
        <v>CP138-NEW DONOR -7th</v>
      </c>
    </row>
    <row r="468" spans="1:13" x14ac:dyDescent="0.25">
      <c r="A468" t="str">
        <f t="shared" si="55"/>
        <v>CP138-NEW DONOR -8th</v>
      </c>
      <c r="B468" t="s">
        <v>186</v>
      </c>
      <c r="C468" t="str">
        <f t="shared" si="49"/>
        <v>Cinnaminson</v>
      </c>
      <c r="D468" t="str">
        <f t="shared" si="50"/>
        <v>Y</v>
      </c>
      <c r="E468" t="s">
        <v>608</v>
      </c>
      <c r="F468" t="str">
        <f t="shared" si="51"/>
        <v>NEW DONOR -8th</v>
      </c>
      <c r="G468" t="str">
        <f t="shared" si="52"/>
        <v>Marketing</v>
      </c>
      <c r="H468" t="s">
        <v>562</v>
      </c>
      <c r="I468">
        <f t="shared" si="53"/>
        <v>8</v>
      </c>
      <c r="J468" t="s">
        <v>546</v>
      </c>
      <c r="K468" s="5">
        <v>40</v>
      </c>
      <c r="L468" t="str">
        <f>Table_DataFromNL[[#This Row],[PROFILECODE]]&amp;"-"&amp;Table_DataFromNL[[#This Row],[RULENAME]]</f>
        <v>CP138-New Donor 8th Visit-Bonus</v>
      </c>
      <c r="M468" t="str">
        <f t="shared" si="54"/>
        <v>CP138-NEW DONOR -8th</v>
      </c>
    </row>
    <row r="469" spans="1:13" x14ac:dyDescent="0.25">
      <c r="A469" t="str">
        <f t="shared" si="55"/>
        <v>CP138-Community</v>
      </c>
      <c r="B469" t="s">
        <v>186</v>
      </c>
      <c r="C469" t="str">
        <f t="shared" si="49"/>
        <v>Cinnaminson</v>
      </c>
      <c r="D469" t="str">
        <f t="shared" si="50"/>
        <v>Y</v>
      </c>
      <c r="E469" t="s">
        <v>608</v>
      </c>
      <c r="F469" t="str">
        <f t="shared" si="51"/>
        <v>Community</v>
      </c>
      <c r="G469">
        <f t="shared" si="52"/>
        <v>0</v>
      </c>
      <c r="H469" t="s">
        <v>563</v>
      </c>
      <c r="I469">
        <f t="shared" si="53"/>
        <v>0</v>
      </c>
      <c r="J469" t="s">
        <v>564</v>
      </c>
      <c r="K469" s="5">
        <v>5</v>
      </c>
      <c r="L469" t="str">
        <f>Table_DataFromNL[[#This Row],[PROFILECODE]]&amp;"-"&amp;Table_DataFromNL[[#This Row],[RULENAME]]</f>
        <v>CP138-Community</v>
      </c>
      <c r="M469" t="e">
        <f t="shared" si="54"/>
        <v>#N/A</v>
      </c>
    </row>
    <row r="470" spans="1:13" x14ac:dyDescent="0.25">
      <c r="A470" t="str">
        <f t="shared" si="55"/>
        <v>CP138-HANGER_RECRUIT_5USD_once</v>
      </c>
      <c r="B470" t="s">
        <v>186</v>
      </c>
      <c r="C470" t="str">
        <f t="shared" si="49"/>
        <v>Cinnaminson</v>
      </c>
      <c r="D470" t="str">
        <f t="shared" si="50"/>
        <v>Y</v>
      </c>
      <c r="E470" t="s">
        <v>608</v>
      </c>
      <c r="F470" t="str">
        <f t="shared" si="51"/>
        <v>HANGER_RECRUIT_5USD_once</v>
      </c>
      <c r="G470">
        <f t="shared" si="52"/>
        <v>0</v>
      </c>
      <c r="H470" t="s">
        <v>565</v>
      </c>
      <c r="I470">
        <f t="shared" si="53"/>
        <v>0</v>
      </c>
      <c r="J470" t="s">
        <v>564</v>
      </c>
      <c r="K470" s="5">
        <v>5</v>
      </c>
      <c r="L470" t="str">
        <f>Table_DataFromNL[[#This Row],[PROFILECODE]]&amp;"-"&amp;Table_DataFromNL[[#This Row],[RULENAME]]</f>
        <v>CP138-HANGER_RECRUIT_5USD_once</v>
      </c>
      <c r="M470" t="e">
        <f t="shared" si="54"/>
        <v>#N/A</v>
      </c>
    </row>
    <row r="471" spans="1:13" x14ac:dyDescent="0.25">
      <c r="A471" t="str">
        <f t="shared" si="55"/>
        <v>CP138-Inconv Fee $20-$50-Comment Req'd</v>
      </c>
      <c r="B471" t="s">
        <v>186</v>
      </c>
      <c r="C471" t="str">
        <f t="shared" si="49"/>
        <v>Cinnaminson</v>
      </c>
      <c r="D471" t="str">
        <f t="shared" si="50"/>
        <v>Y</v>
      </c>
      <c r="E471" t="s">
        <v>608</v>
      </c>
      <c r="F471" t="str">
        <f t="shared" si="51"/>
        <v>Inconv Fee $20-$50-Comment Req'd</v>
      </c>
      <c r="G471">
        <f t="shared" si="52"/>
        <v>0</v>
      </c>
      <c r="H471" t="s">
        <v>566</v>
      </c>
      <c r="I471">
        <f t="shared" si="53"/>
        <v>0</v>
      </c>
      <c r="J471" t="s">
        <v>564</v>
      </c>
      <c r="K471" s="5">
        <v>50</v>
      </c>
      <c r="L471" t="str">
        <f>Table_DataFromNL[[#This Row],[PROFILECODE]]&amp;"-"&amp;Table_DataFromNL[[#This Row],[RULENAME]]</f>
        <v>CP138-Inconv Fee $20-$50-Comment Req'd</v>
      </c>
      <c r="M471" t="e">
        <f t="shared" si="54"/>
        <v>#N/A</v>
      </c>
    </row>
    <row r="472" spans="1:13" x14ac:dyDescent="0.25">
      <c r="A472" t="str">
        <f t="shared" si="55"/>
        <v>CP138-Inconv Fee $5-$20-Comment Req'd</v>
      </c>
      <c r="B472" t="s">
        <v>186</v>
      </c>
      <c r="C472" t="str">
        <f t="shared" si="49"/>
        <v>Cinnaminson</v>
      </c>
      <c r="D472" t="str">
        <f t="shared" si="50"/>
        <v>Y</v>
      </c>
      <c r="E472" t="s">
        <v>608</v>
      </c>
      <c r="F472" t="str">
        <f t="shared" si="51"/>
        <v>Inconv Fee $5-$20-Comment Req'd</v>
      </c>
      <c r="G472">
        <f t="shared" si="52"/>
        <v>0</v>
      </c>
      <c r="H472" t="s">
        <v>567</v>
      </c>
      <c r="I472">
        <f t="shared" si="53"/>
        <v>0</v>
      </c>
      <c r="J472" t="s">
        <v>564</v>
      </c>
      <c r="K472" s="5">
        <v>20</v>
      </c>
      <c r="L472" t="str">
        <f>Table_DataFromNL[[#This Row],[PROFILECODE]]&amp;"-"&amp;Table_DataFromNL[[#This Row],[RULENAME]]</f>
        <v>CP138-Inconv Fee $5-$20-Comment Req'd</v>
      </c>
      <c r="M472" t="e">
        <f t="shared" si="54"/>
        <v>#N/A</v>
      </c>
    </row>
    <row r="473" spans="1:13" x14ac:dyDescent="0.25">
      <c r="A473" t="str">
        <f t="shared" si="55"/>
        <v>CP138-Inconv Fee$50-$100-Comment Req'd</v>
      </c>
      <c r="B473" t="s">
        <v>186</v>
      </c>
      <c r="C473" t="str">
        <f t="shared" si="49"/>
        <v>Cinnaminson</v>
      </c>
      <c r="D473" t="str">
        <f t="shared" si="50"/>
        <v>Y</v>
      </c>
      <c r="E473" t="s">
        <v>608</v>
      </c>
      <c r="F473" t="str">
        <f t="shared" si="51"/>
        <v>Inconv Fee$50-$100-Comment Req'd</v>
      </c>
      <c r="G473">
        <f t="shared" si="52"/>
        <v>0</v>
      </c>
      <c r="H473" t="s">
        <v>568</v>
      </c>
      <c r="I473">
        <f t="shared" si="53"/>
        <v>0</v>
      </c>
      <c r="J473" t="s">
        <v>564</v>
      </c>
      <c r="K473" s="5">
        <v>100</v>
      </c>
      <c r="L473" t="str">
        <f>Table_DataFromNL[[#This Row],[PROFILECODE]]&amp;"-"&amp;Table_DataFromNL[[#This Row],[RULENAME]]</f>
        <v>CP138-Inconv Fee$50-$100-Comment Req'd</v>
      </c>
      <c r="M473" t="e">
        <f t="shared" si="54"/>
        <v>#N/A</v>
      </c>
    </row>
    <row r="474" spans="1:13" x14ac:dyDescent="0.25">
      <c r="A474" t="str">
        <f t="shared" si="55"/>
        <v>CP138-MONDAY_COUPON_RETENTION_10_once</v>
      </c>
      <c r="B474" t="s">
        <v>186</v>
      </c>
      <c r="C474" t="str">
        <f t="shared" si="49"/>
        <v>Cinnaminson</v>
      </c>
      <c r="D474" t="str">
        <f t="shared" si="50"/>
        <v>Y</v>
      </c>
      <c r="E474" t="s">
        <v>608</v>
      </c>
      <c r="F474" t="str">
        <f t="shared" si="51"/>
        <v>MONDAY_COUPON_RETENTION_10_once</v>
      </c>
      <c r="G474">
        <f t="shared" si="52"/>
        <v>0</v>
      </c>
      <c r="H474" t="s">
        <v>594</v>
      </c>
      <c r="I474">
        <f t="shared" si="53"/>
        <v>0</v>
      </c>
      <c r="J474" t="s">
        <v>564</v>
      </c>
      <c r="K474" s="5">
        <v>10</v>
      </c>
      <c r="L474" t="str">
        <f>Table_DataFromNL[[#This Row],[PROFILECODE]]&amp;"-"&amp;Table_DataFromNL[[#This Row],[RULENAME]]</f>
        <v>CP138-MONDAY_COUPON_RETENTION_10_once</v>
      </c>
      <c r="M474" t="e">
        <f t="shared" si="54"/>
        <v>#N/A</v>
      </c>
    </row>
    <row r="475" spans="1:13" x14ac:dyDescent="0.25">
      <c r="A475" t="str">
        <f t="shared" si="55"/>
        <v>CP138-NSP_ LAPSEDONOR_50_Twice</v>
      </c>
      <c r="B475" t="s">
        <v>186</v>
      </c>
      <c r="C475" t="str">
        <f t="shared" si="49"/>
        <v>Cinnaminson</v>
      </c>
      <c r="D475" t="str">
        <f t="shared" si="50"/>
        <v>Y</v>
      </c>
      <c r="E475" t="s">
        <v>608</v>
      </c>
      <c r="F475" t="str">
        <f t="shared" si="51"/>
        <v>NSP_ LAPSEDONOR_50_Twice</v>
      </c>
      <c r="G475">
        <f t="shared" si="52"/>
        <v>0</v>
      </c>
      <c r="H475" t="s">
        <v>569</v>
      </c>
      <c r="I475">
        <f t="shared" si="53"/>
        <v>0</v>
      </c>
      <c r="J475" t="s">
        <v>564</v>
      </c>
      <c r="K475" s="5">
        <v>50</v>
      </c>
      <c r="L475" t="str">
        <f>Table_DataFromNL[[#This Row],[PROFILECODE]]&amp;"-"&amp;Table_DataFromNL[[#This Row],[RULENAME]]</f>
        <v>CP138-NSP_ LAPSEDONOR_50_Twice</v>
      </c>
      <c r="M475" t="e">
        <f t="shared" si="54"/>
        <v>#N/A</v>
      </c>
    </row>
    <row r="476" spans="1:13" x14ac:dyDescent="0.25">
      <c r="A476" t="str">
        <f t="shared" si="55"/>
        <v>CP138-NSP_LD_25_2X</v>
      </c>
      <c r="B476" t="s">
        <v>186</v>
      </c>
      <c r="C476" t="str">
        <f t="shared" si="49"/>
        <v>Cinnaminson</v>
      </c>
      <c r="D476" t="str">
        <f t="shared" si="50"/>
        <v>Y</v>
      </c>
      <c r="E476" t="s">
        <v>608</v>
      </c>
      <c r="F476" t="str">
        <f t="shared" si="51"/>
        <v>NSP_LD_25_2X</v>
      </c>
      <c r="G476">
        <f t="shared" si="52"/>
        <v>0</v>
      </c>
      <c r="H476" t="s">
        <v>570</v>
      </c>
      <c r="I476">
        <f t="shared" si="53"/>
        <v>0</v>
      </c>
      <c r="J476" t="s">
        <v>564</v>
      </c>
      <c r="K476" s="5">
        <v>25</v>
      </c>
      <c r="L476" t="str">
        <f>Table_DataFromNL[[#This Row],[PROFILECODE]]&amp;"-"&amp;Table_DataFromNL[[#This Row],[RULENAME]]</f>
        <v>CP138-NSP_LD_25_2X</v>
      </c>
      <c r="M476" t="e">
        <f t="shared" si="54"/>
        <v>#N/A</v>
      </c>
    </row>
    <row r="477" spans="1:13" x14ac:dyDescent="0.25">
      <c r="A477" t="str">
        <f t="shared" si="55"/>
        <v>CP138-NSP_LD_50_1X</v>
      </c>
      <c r="B477" t="s">
        <v>186</v>
      </c>
      <c r="C477" t="str">
        <f t="shared" si="49"/>
        <v>Cinnaminson</v>
      </c>
      <c r="D477" t="str">
        <f t="shared" si="50"/>
        <v>Y</v>
      </c>
      <c r="E477" t="s">
        <v>608</v>
      </c>
      <c r="F477" t="str">
        <f t="shared" si="51"/>
        <v>NSP_LD_50_1X</v>
      </c>
      <c r="G477">
        <f t="shared" si="52"/>
        <v>0</v>
      </c>
      <c r="H477" t="s">
        <v>571</v>
      </c>
      <c r="I477">
        <f t="shared" si="53"/>
        <v>0</v>
      </c>
      <c r="J477" t="s">
        <v>564</v>
      </c>
      <c r="K477" s="5">
        <v>50</v>
      </c>
      <c r="L477" t="str">
        <f>Table_DataFromNL[[#This Row],[PROFILECODE]]&amp;"-"&amp;Table_DataFromNL[[#This Row],[RULENAME]]</f>
        <v>CP138-NSP_LD_50_1X</v>
      </c>
      <c r="M477" t="e">
        <f t="shared" si="54"/>
        <v>#N/A</v>
      </c>
    </row>
    <row r="478" spans="1:13" x14ac:dyDescent="0.25">
      <c r="A478" t="str">
        <f t="shared" si="55"/>
        <v>CP138-NSP_ORPHAN_100_once</v>
      </c>
      <c r="B478" t="s">
        <v>186</v>
      </c>
      <c r="C478" t="str">
        <f t="shared" si="49"/>
        <v>Cinnaminson</v>
      </c>
      <c r="D478" t="str">
        <f t="shared" si="50"/>
        <v>Y</v>
      </c>
      <c r="E478" t="s">
        <v>608</v>
      </c>
      <c r="F478" t="str">
        <f t="shared" si="51"/>
        <v>NSP_ORPHAN_100_once</v>
      </c>
      <c r="G478">
        <f t="shared" si="52"/>
        <v>0</v>
      </c>
      <c r="H478" t="s">
        <v>572</v>
      </c>
      <c r="I478">
        <f t="shared" si="53"/>
        <v>0</v>
      </c>
      <c r="J478" t="s">
        <v>564</v>
      </c>
      <c r="K478" s="5">
        <v>100</v>
      </c>
      <c r="L478" t="str">
        <f>Table_DataFromNL[[#This Row],[PROFILECODE]]&amp;"-"&amp;Table_DataFromNL[[#This Row],[RULENAME]]</f>
        <v>CP138-NSP_ORPHAN_100_once</v>
      </c>
      <c r="M478" t="e">
        <f t="shared" si="54"/>
        <v>#N/A</v>
      </c>
    </row>
    <row r="479" spans="1:13" x14ac:dyDescent="0.25">
      <c r="A479" t="str">
        <f t="shared" si="55"/>
        <v>CP138-Restick</v>
      </c>
      <c r="B479" t="s">
        <v>186</v>
      </c>
      <c r="C479" t="str">
        <f t="shared" si="49"/>
        <v>Cinnaminson</v>
      </c>
      <c r="D479" t="str">
        <f t="shared" si="50"/>
        <v>Y</v>
      </c>
      <c r="E479" t="s">
        <v>608</v>
      </c>
      <c r="F479" t="str">
        <f t="shared" si="51"/>
        <v>Restick</v>
      </c>
      <c r="G479">
        <f t="shared" si="52"/>
        <v>0</v>
      </c>
      <c r="H479" t="s">
        <v>573</v>
      </c>
      <c r="I479">
        <f t="shared" si="53"/>
        <v>0</v>
      </c>
      <c r="J479" t="s">
        <v>564</v>
      </c>
      <c r="K479" s="5">
        <v>5</v>
      </c>
      <c r="L479" t="str">
        <f>Table_DataFromNL[[#This Row],[PROFILECODE]]&amp;"-"&amp;Table_DataFromNL[[#This Row],[RULENAME]]</f>
        <v>CP138-Restick</v>
      </c>
      <c r="M479" t="e">
        <f t="shared" si="54"/>
        <v>#N/A</v>
      </c>
    </row>
    <row r="480" spans="1:13" x14ac:dyDescent="0.25">
      <c r="A480" t="str">
        <f t="shared" si="55"/>
        <v>CP138-SLOW_TEXT_5</v>
      </c>
      <c r="B480" t="s">
        <v>186</v>
      </c>
      <c r="C480" t="str">
        <f t="shared" si="49"/>
        <v>Cinnaminson</v>
      </c>
      <c r="D480" t="str">
        <f t="shared" si="50"/>
        <v>Y</v>
      </c>
      <c r="E480" t="s">
        <v>608</v>
      </c>
      <c r="F480" t="str">
        <f t="shared" si="51"/>
        <v>SLOW_TEXT_5</v>
      </c>
      <c r="G480">
        <f t="shared" si="52"/>
        <v>0</v>
      </c>
      <c r="H480" t="s">
        <v>574</v>
      </c>
      <c r="I480">
        <f t="shared" si="53"/>
        <v>0</v>
      </c>
      <c r="J480" t="s">
        <v>564</v>
      </c>
      <c r="K480" s="5">
        <v>5</v>
      </c>
      <c r="L480" t="str">
        <f>Table_DataFromNL[[#This Row],[PROFILECODE]]&amp;"-"&amp;Table_DataFromNL[[#This Row],[RULENAME]]</f>
        <v>CP138-SLOW_TEXT_5</v>
      </c>
      <c r="M480" t="e">
        <f t="shared" si="54"/>
        <v>#N/A</v>
      </c>
    </row>
    <row r="481" spans="1:13" x14ac:dyDescent="0.25">
      <c r="A481" t="str">
        <f t="shared" si="55"/>
        <v>CP138-Sample Only</v>
      </c>
      <c r="B481" t="s">
        <v>186</v>
      </c>
      <c r="C481" t="str">
        <f t="shared" si="49"/>
        <v>Cinnaminson</v>
      </c>
      <c r="D481" t="str">
        <f t="shared" si="50"/>
        <v>Y</v>
      </c>
      <c r="E481" t="s">
        <v>608</v>
      </c>
      <c r="F481" t="str">
        <f t="shared" si="51"/>
        <v>Sample Only</v>
      </c>
      <c r="G481">
        <f t="shared" si="52"/>
        <v>0</v>
      </c>
      <c r="H481" t="s">
        <v>575</v>
      </c>
      <c r="I481">
        <f t="shared" si="53"/>
        <v>0</v>
      </c>
      <c r="J481" t="s">
        <v>564</v>
      </c>
      <c r="K481" s="5">
        <v>5</v>
      </c>
      <c r="L481" t="str">
        <f>Table_DataFromNL[[#This Row],[PROFILECODE]]&amp;"-"&amp;Table_DataFromNL[[#This Row],[RULENAME]]</f>
        <v>CP138-Sample Only</v>
      </c>
      <c r="M481" t="e">
        <f t="shared" si="54"/>
        <v>#N/A</v>
      </c>
    </row>
    <row r="482" spans="1:13" x14ac:dyDescent="0.25">
      <c r="A482" t="str">
        <f t="shared" si="55"/>
        <v>CP138-Unit Below 250 mL</v>
      </c>
      <c r="B482" t="s">
        <v>186</v>
      </c>
      <c r="C482" t="str">
        <f t="shared" si="49"/>
        <v>Cinnaminson</v>
      </c>
      <c r="D482" t="str">
        <f t="shared" si="50"/>
        <v>Y</v>
      </c>
      <c r="E482" t="s">
        <v>608</v>
      </c>
      <c r="F482" t="str">
        <f t="shared" si="51"/>
        <v>Unit Below 250 mL</v>
      </c>
      <c r="G482">
        <f t="shared" si="52"/>
        <v>0</v>
      </c>
      <c r="H482" t="s">
        <v>576</v>
      </c>
      <c r="I482">
        <f t="shared" si="53"/>
        <v>0</v>
      </c>
      <c r="J482" t="s">
        <v>564</v>
      </c>
      <c r="K482" s="5">
        <v>5</v>
      </c>
      <c r="L482" t="str">
        <f>Table_DataFromNL[[#This Row],[PROFILECODE]]&amp;"-"&amp;Table_DataFromNL[[#This Row],[RULENAME]]</f>
        <v>CP138-Unit Below 250 mL</v>
      </c>
      <c r="M482" t="e">
        <f t="shared" si="54"/>
        <v>#N/A</v>
      </c>
    </row>
    <row r="483" spans="1:13" x14ac:dyDescent="0.25">
      <c r="A483" t="str">
        <f t="shared" si="55"/>
        <v>CP138-Unit above 250 mL/underdraw</v>
      </c>
      <c r="B483" t="s">
        <v>186</v>
      </c>
      <c r="C483" t="str">
        <f t="shared" si="49"/>
        <v>Cinnaminson</v>
      </c>
      <c r="D483" t="str">
        <f t="shared" si="50"/>
        <v>Y</v>
      </c>
      <c r="E483" t="s">
        <v>608</v>
      </c>
      <c r="F483" t="str">
        <f t="shared" si="51"/>
        <v>Unit above 250 mL/underdraw</v>
      </c>
      <c r="G483">
        <f t="shared" si="52"/>
        <v>0</v>
      </c>
      <c r="H483" t="s">
        <v>577</v>
      </c>
      <c r="I483">
        <f t="shared" si="53"/>
        <v>0</v>
      </c>
      <c r="J483" t="s">
        <v>564</v>
      </c>
      <c r="K483" s="5">
        <v>10</v>
      </c>
      <c r="L483" t="str">
        <f>Table_DataFromNL[[#This Row],[PROFILECODE]]&amp;"-"&amp;Table_DataFromNL[[#This Row],[RULENAME]]</f>
        <v>CP138-Unit above 250 mL/underdraw</v>
      </c>
      <c r="M483" t="e">
        <f t="shared" si="54"/>
        <v>#N/A</v>
      </c>
    </row>
    <row r="484" spans="1:13" x14ac:dyDescent="0.25">
      <c r="A484" t="str">
        <f t="shared" si="55"/>
        <v>CP138-RETURN - Buddy referral  -BONUS</v>
      </c>
      <c r="B484" t="s">
        <v>186</v>
      </c>
      <c r="C484" t="str">
        <f t="shared" si="49"/>
        <v>Cinnaminson</v>
      </c>
      <c r="D484" t="str">
        <f t="shared" si="50"/>
        <v>Y</v>
      </c>
      <c r="E484" t="s">
        <v>608</v>
      </c>
      <c r="F484" t="str">
        <f t="shared" si="51"/>
        <v>RETURN - Buddy referral  -BONUS</v>
      </c>
      <c r="G484" t="str">
        <f t="shared" si="52"/>
        <v>Marketing</v>
      </c>
      <c r="H484" t="s">
        <v>34</v>
      </c>
      <c r="I484">
        <f t="shared" si="53"/>
        <v>50</v>
      </c>
      <c r="J484" t="s">
        <v>578</v>
      </c>
      <c r="K484" s="5">
        <v>50</v>
      </c>
      <c r="L484" t="str">
        <f>Table_DataFromNL[[#This Row],[PROFILECODE]]&amp;"-"&amp;Table_DataFromNL[[#This Row],[RULENAME]]</f>
        <v>CP138-Referral</v>
      </c>
      <c r="M484" t="str">
        <f t="shared" si="54"/>
        <v>CP138-RETURN - Buddy referral  -BONUS</v>
      </c>
    </row>
    <row r="485" spans="1:13" x14ac:dyDescent="0.25">
      <c r="A485" t="str">
        <f t="shared" si="55"/>
        <v>CP138-P Anti-D Pre-Existing Standard</v>
      </c>
      <c r="B485" t="s">
        <v>186</v>
      </c>
      <c r="C485" t="str">
        <f t="shared" si="49"/>
        <v>Cinnaminson</v>
      </c>
      <c r="D485" t="str">
        <f t="shared" si="50"/>
        <v>Y</v>
      </c>
      <c r="E485" t="s">
        <v>608</v>
      </c>
      <c r="F485" t="str">
        <f t="shared" si="51"/>
        <v>P Anti-D Pre-Existing Standard</v>
      </c>
      <c r="G485" t="str">
        <f t="shared" si="52"/>
        <v>Specialty</v>
      </c>
      <c r="H485" t="s">
        <v>469</v>
      </c>
      <c r="I485" t="str">
        <f t="shared" si="53"/>
        <v>RETURN - 1st don of the week -STD</v>
      </c>
      <c r="J485" t="s">
        <v>579</v>
      </c>
      <c r="K485" s="5">
        <v>50</v>
      </c>
      <c r="L485" t="str">
        <f>Table_DataFromNL[[#This Row],[PROFILECODE]]&amp;"-"&amp;Table_DataFromNL[[#This Row],[RULENAME]]</f>
        <v>CP138-P Anti-D Pre-Existing Standard</v>
      </c>
      <c r="M485" t="str">
        <f t="shared" si="54"/>
        <v>CP138-P Anti-D Pre-Existing Standard</v>
      </c>
    </row>
    <row r="486" spans="1:13" x14ac:dyDescent="0.25">
      <c r="A486" t="str">
        <f t="shared" si="55"/>
        <v>CP138-RETURN - 1st don of the week -STD</v>
      </c>
      <c r="B486" t="s">
        <v>186</v>
      </c>
      <c r="C486" t="str">
        <f t="shared" si="49"/>
        <v>Cinnaminson</v>
      </c>
      <c r="D486" t="str">
        <f t="shared" si="50"/>
        <v>Y</v>
      </c>
      <c r="E486" t="s">
        <v>608</v>
      </c>
      <c r="F486" t="str">
        <f t="shared" si="51"/>
        <v>RETURN - 1st don of the week -STD</v>
      </c>
      <c r="G486" t="str">
        <f t="shared" si="52"/>
        <v>Marketing</v>
      </c>
      <c r="H486" t="s">
        <v>583</v>
      </c>
      <c r="I486">
        <f t="shared" si="53"/>
        <v>22</v>
      </c>
      <c r="J486" t="s">
        <v>579</v>
      </c>
      <c r="K486" s="5">
        <v>40</v>
      </c>
      <c r="L486" t="str">
        <f>Table_DataFromNL[[#This Row],[PROFILECODE]]&amp;"-"&amp;Table_DataFromNL[[#This Row],[RULENAME]]</f>
        <v>CP138-P NSP NS AP Standard</v>
      </c>
      <c r="M486" t="str">
        <f t="shared" si="54"/>
        <v>CP138-RETURN - 1st don of the week -STD</v>
      </c>
    </row>
    <row r="487" spans="1:13" x14ac:dyDescent="0.25">
      <c r="A487" t="str">
        <f t="shared" si="55"/>
        <v>CP138-RETURN - 1st don of the week -STD</v>
      </c>
      <c r="B487" t="s">
        <v>186</v>
      </c>
      <c r="C487" t="str">
        <f t="shared" si="49"/>
        <v>Cinnaminson</v>
      </c>
      <c r="D487" t="str">
        <f t="shared" si="50"/>
        <v>Y</v>
      </c>
      <c r="E487" t="s">
        <v>608</v>
      </c>
      <c r="F487" t="str">
        <f t="shared" si="51"/>
        <v>RETURN - 1st don of the week -STD</v>
      </c>
      <c r="G487" t="str">
        <f t="shared" si="52"/>
        <v>Marketing</v>
      </c>
      <c r="H487" t="s">
        <v>584</v>
      </c>
      <c r="I487">
        <f t="shared" si="53"/>
        <v>23</v>
      </c>
      <c r="J487" t="s">
        <v>579</v>
      </c>
      <c r="K487" s="5">
        <v>40</v>
      </c>
      <c r="L487" t="str">
        <f>Table_DataFromNL[[#This Row],[PROFILECODE]]&amp;"-"&amp;Table_DataFromNL[[#This Row],[RULENAME]]</f>
        <v>CP138-P NSP NS Standard</v>
      </c>
      <c r="M487" t="str">
        <f t="shared" si="54"/>
        <v>CP138-RETURN - 1st don of the week -STD</v>
      </c>
    </row>
    <row r="488" spans="1:13" x14ac:dyDescent="0.25">
      <c r="A488" t="str">
        <f t="shared" si="55"/>
        <v>CP947-1st Responder-Medical</v>
      </c>
      <c r="B488" t="s">
        <v>411</v>
      </c>
      <c r="C488" t="str">
        <f t="shared" si="49"/>
        <v>Cleveland</v>
      </c>
      <c r="D488" t="str">
        <f t="shared" si="50"/>
        <v>Y</v>
      </c>
      <c r="E488" t="s">
        <v>610</v>
      </c>
      <c r="F488" t="str">
        <f t="shared" si="51"/>
        <v>1st Responder-Medical</v>
      </c>
      <c r="G488">
        <f t="shared" si="52"/>
        <v>0</v>
      </c>
      <c r="H488" t="s">
        <v>545</v>
      </c>
      <c r="I488">
        <f t="shared" si="53"/>
        <v>0</v>
      </c>
      <c r="J488" t="s">
        <v>546</v>
      </c>
      <c r="K488" s="5">
        <v>5</v>
      </c>
      <c r="L488" t="str">
        <f>Table_DataFromNL[[#This Row],[PROFILECODE]]&amp;"-"&amp;Table_DataFromNL[[#This Row],[RULENAME]]</f>
        <v>CP947-1st Responder-Medical</v>
      </c>
      <c r="M488" t="e">
        <f t="shared" si="54"/>
        <v>#N/A</v>
      </c>
    </row>
    <row r="489" spans="1:13" x14ac:dyDescent="0.25">
      <c r="A489" t="str">
        <f t="shared" si="55"/>
        <v>CP947-RETURN - 2nd don of the week -BONUS</v>
      </c>
      <c r="B489" t="s">
        <v>411</v>
      </c>
      <c r="C489" t="str">
        <f t="shared" si="49"/>
        <v>Cleveland</v>
      </c>
      <c r="D489" t="str">
        <f t="shared" si="50"/>
        <v>Y</v>
      </c>
      <c r="E489" t="s">
        <v>610</v>
      </c>
      <c r="F489" t="str">
        <f t="shared" si="51"/>
        <v>RETURN - 2nd don of the week -BONUS</v>
      </c>
      <c r="G489" t="str">
        <f t="shared" si="52"/>
        <v>Marketing</v>
      </c>
      <c r="H489" t="s">
        <v>550</v>
      </c>
      <c r="I489">
        <f t="shared" si="53"/>
        <v>26</v>
      </c>
      <c r="J489" t="s">
        <v>546</v>
      </c>
      <c r="K489" s="5">
        <v>15</v>
      </c>
      <c r="L489" t="str">
        <f>Table_DataFromNL[[#This Row],[PROFILECODE]]&amp;"-"&amp;Table_DataFromNL[[#This Row],[RULENAME]]</f>
        <v>CP947-2X Week P NSP NS</v>
      </c>
      <c r="M489" t="str">
        <f t="shared" si="54"/>
        <v>CP947-RETURN - 2nd don of the week -BONUS</v>
      </c>
    </row>
    <row r="490" spans="1:13" x14ac:dyDescent="0.25">
      <c r="A490" t="str">
        <f t="shared" si="55"/>
        <v>CP947-RETURN - 2nd don of the week -BONUS</v>
      </c>
      <c r="B490" t="s">
        <v>411</v>
      </c>
      <c r="C490" t="str">
        <f t="shared" si="49"/>
        <v>Cleveland</v>
      </c>
      <c r="D490" t="str">
        <f t="shared" si="50"/>
        <v>Y</v>
      </c>
      <c r="E490" t="s">
        <v>610</v>
      </c>
      <c r="F490" t="str">
        <f t="shared" si="51"/>
        <v>RETURN - 2nd don of the week -BONUS</v>
      </c>
      <c r="G490" t="str">
        <f t="shared" si="52"/>
        <v>Marketing</v>
      </c>
      <c r="H490" t="s">
        <v>551</v>
      </c>
      <c r="I490" t="str">
        <f t="shared" si="53"/>
        <v>RETURN - 2nd don of the week -BONUS</v>
      </c>
      <c r="J490" t="s">
        <v>546</v>
      </c>
      <c r="K490" s="5">
        <v>15</v>
      </c>
      <c r="L490" t="str">
        <f>Table_DataFromNL[[#This Row],[PROFILECODE]]&amp;"-"&amp;Table_DataFromNL[[#This Row],[RULENAME]]</f>
        <v>CP947-2X Week P NSP NS AP</v>
      </c>
      <c r="M490" t="str">
        <f t="shared" si="54"/>
        <v>CP947-RETURN - 2nd don of the week -BONUS</v>
      </c>
    </row>
    <row r="491" spans="1:13" x14ac:dyDescent="0.25">
      <c r="A491" t="str">
        <f t="shared" si="55"/>
        <v>CP947-RETURN - 6th don of the month -BONUS</v>
      </c>
      <c r="B491" t="s">
        <v>411</v>
      </c>
      <c r="C491" t="str">
        <f t="shared" si="49"/>
        <v>Cleveland</v>
      </c>
      <c r="D491" t="str">
        <f t="shared" si="50"/>
        <v>Y</v>
      </c>
      <c r="E491" t="s">
        <v>610</v>
      </c>
      <c r="F491" t="str">
        <f t="shared" si="51"/>
        <v>RETURN - 6th don of the month -BONUS</v>
      </c>
      <c r="G491" t="str">
        <f t="shared" si="52"/>
        <v>Marketing</v>
      </c>
      <c r="H491" t="s">
        <v>552</v>
      </c>
      <c r="I491">
        <f t="shared" si="53"/>
        <v>28</v>
      </c>
      <c r="J491" t="s">
        <v>546</v>
      </c>
      <c r="K491" s="5">
        <v>30</v>
      </c>
      <c r="L491" t="str">
        <f>Table_DataFromNL[[#This Row],[PROFILECODE]]&amp;"-"&amp;Table_DataFromNL[[#This Row],[RULENAME]]</f>
        <v>CP947-6X Month</v>
      </c>
      <c r="M491" t="str">
        <f t="shared" si="54"/>
        <v>CP947-RETURN - 6th don of the month -BONUS</v>
      </c>
    </row>
    <row r="492" spans="1:13" x14ac:dyDescent="0.25">
      <c r="A492" t="str">
        <f t="shared" si="55"/>
        <v>CP947-College ID Standard Bonus</v>
      </c>
      <c r="B492" t="s">
        <v>411</v>
      </c>
      <c r="C492" t="str">
        <f t="shared" si="49"/>
        <v>Cleveland</v>
      </c>
      <c r="D492" t="str">
        <f t="shared" si="50"/>
        <v>Y</v>
      </c>
      <c r="E492" t="s">
        <v>610</v>
      </c>
      <c r="F492" t="str">
        <f t="shared" si="51"/>
        <v>College ID Standard Bonus</v>
      </c>
      <c r="G492">
        <f t="shared" si="52"/>
        <v>0</v>
      </c>
      <c r="H492" t="s">
        <v>553</v>
      </c>
      <c r="I492">
        <f t="shared" si="53"/>
        <v>0</v>
      </c>
      <c r="J492" t="s">
        <v>546</v>
      </c>
      <c r="K492" s="5">
        <v>5</v>
      </c>
      <c r="L492" t="str">
        <f>Table_DataFromNL[[#This Row],[PROFILECODE]]&amp;"-"&amp;Table_DataFromNL[[#This Row],[RULENAME]]</f>
        <v>CP947-College ID Standard Bonus</v>
      </c>
      <c r="M492" t="e">
        <f t="shared" si="54"/>
        <v>#N/A</v>
      </c>
    </row>
    <row r="493" spans="1:13" x14ac:dyDescent="0.25">
      <c r="A493" t="str">
        <f t="shared" si="55"/>
        <v>CP947-Military ID</v>
      </c>
      <c r="B493" t="s">
        <v>411</v>
      </c>
      <c r="C493" t="str">
        <f t="shared" si="49"/>
        <v>Cleveland</v>
      </c>
      <c r="D493" t="str">
        <f t="shared" si="50"/>
        <v>Y</v>
      </c>
      <c r="E493" t="s">
        <v>610</v>
      </c>
      <c r="F493" t="str">
        <f t="shared" si="51"/>
        <v>Military ID</v>
      </c>
      <c r="G493">
        <f t="shared" si="52"/>
        <v>0</v>
      </c>
      <c r="H493" t="s">
        <v>554</v>
      </c>
      <c r="I493">
        <f t="shared" si="53"/>
        <v>0</v>
      </c>
      <c r="J493" t="s">
        <v>546</v>
      </c>
      <c r="K493" s="5">
        <v>5</v>
      </c>
      <c r="L493" t="str">
        <f>Table_DataFromNL[[#This Row],[PROFILECODE]]&amp;"-"&amp;Table_DataFromNL[[#This Row],[RULENAME]]</f>
        <v>CP947-Military ID</v>
      </c>
      <c r="M493" t="e">
        <f t="shared" si="54"/>
        <v>#N/A</v>
      </c>
    </row>
    <row r="494" spans="1:13" x14ac:dyDescent="0.25">
      <c r="A494" t="str">
        <f t="shared" si="55"/>
        <v>CP947-NEW DONOR -1st</v>
      </c>
      <c r="B494" t="s">
        <v>411</v>
      </c>
      <c r="C494" t="str">
        <f t="shared" si="49"/>
        <v>Cleveland</v>
      </c>
      <c r="D494" t="str">
        <f t="shared" si="50"/>
        <v>Y</v>
      </c>
      <c r="E494" t="s">
        <v>610</v>
      </c>
      <c r="F494" t="str">
        <f t="shared" si="51"/>
        <v>NEW DONOR -1st</v>
      </c>
      <c r="G494" t="str">
        <f t="shared" si="52"/>
        <v>Marketing</v>
      </c>
      <c r="H494" t="s">
        <v>555</v>
      </c>
      <c r="I494">
        <f t="shared" si="53"/>
        <v>1</v>
      </c>
      <c r="J494" t="s">
        <v>546</v>
      </c>
      <c r="K494" s="5">
        <v>100</v>
      </c>
      <c r="L494" t="str">
        <f>Table_DataFromNL[[#This Row],[PROFILECODE]]&amp;"-"&amp;Table_DataFromNL[[#This Row],[RULENAME]]</f>
        <v>CP947-New Donor 1st Visit-Bonus</v>
      </c>
      <c r="M494" t="str">
        <f t="shared" si="54"/>
        <v>CP947-NEW DONOR -1st</v>
      </c>
    </row>
    <row r="495" spans="1:13" x14ac:dyDescent="0.25">
      <c r="A495" t="str">
        <f t="shared" si="55"/>
        <v>CP947-NEW DONOR -2nd</v>
      </c>
      <c r="B495" t="s">
        <v>411</v>
      </c>
      <c r="C495" t="str">
        <f t="shared" si="49"/>
        <v>Cleveland</v>
      </c>
      <c r="D495" t="str">
        <f t="shared" si="50"/>
        <v>Y</v>
      </c>
      <c r="E495" t="s">
        <v>610</v>
      </c>
      <c r="F495" t="str">
        <f t="shared" si="51"/>
        <v>NEW DONOR -2nd</v>
      </c>
      <c r="G495" t="str">
        <f t="shared" si="52"/>
        <v>Marketing</v>
      </c>
      <c r="H495" t="s">
        <v>556</v>
      </c>
      <c r="I495">
        <f t="shared" si="53"/>
        <v>2</v>
      </c>
      <c r="J495" t="s">
        <v>546</v>
      </c>
      <c r="K495" s="5">
        <v>100</v>
      </c>
      <c r="L495" t="str">
        <f>Table_DataFromNL[[#This Row],[PROFILECODE]]&amp;"-"&amp;Table_DataFromNL[[#This Row],[RULENAME]]</f>
        <v>CP947-New Donor 2nd Visit-Bonus</v>
      </c>
      <c r="M495" t="str">
        <f t="shared" si="54"/>
        <v>CP947-NEW DONOR -2nd</v>
      </c>
    </row>
    <row r="496" spans="1:13" x14ac:dyDescent="0.25">
      <c r="A496" t="str">
        <f t="shared" si="55"/>
        <v>CP947-NEW DONOR -3rd</v>
      </c>
      <c r="B496" t="s">
        <v>411</v>
      </c>
      <c r="C496" t="str">
        <f t="shared" si="49"/>
        <v>Cleveland</v>
      </c>
      <c r="D496" t="str">
        <f t="shared" si="50"/>
        <v>Y</v>
      </c>
      <c r="E496" t="s">
        <v>610</v>
      </c>
      <c r="F496" t="str">
        <f t="shared" si="51"/>
        <v>NEW DONOR -3rd</v>
      </c>
      <c r="G496" t="str">
        <f t="shared" si="52"/>
        <v>Marketing</v>
      </c>
      <c r="H496" t="s">
        <v>557</v>
      </c>
      <c r="I496">
        <f t="shared" si="53"/>
        <v>3</v>
      </c>
      <c r="J496" t="s">
        <v>546</v>
      </c>
      <c r="K496" s="5">
        <v>100</v>
      </c>
      <c r="L496" t="str">
        <f>Table_DataFromNL[[#This Row],[PROFILECODE]]&amp;"-"&amp;Table_DataFromNL[[#This Row],[RULENAME]]</f>
        <v>CP947-New Donor 3rd Visit-Bonus</v>
      </c>
      <c r="M496" t="str">
        <f t="shared" si="54"/>
        <v>CP947-NEW DONOR -3rd</v>
      </c>
    </row>
    <row r="497" spans="1:13" x14ac:dyDescent="0.25">
      <c r="A497" t="str">
        <f t="shared" si="55"/>
        <v>CP947-NEW DONOR -4th</v>
      </c>
      <c r="B497" t="s">
        <v>411</v>
      </c>
      <c r="C497" t="str">
        <f t="shared" si="49"/>
        <v>Cleveland</v>
      </c>
      <c r="D497" t="str">
        <f t="shared" si="50"/>
        <v>Y</v>
      </c>
      <c r="E497" t="s">
        <v>610</v>
      </c>
      <c r="F497" t="str">
        <f t="shared" si="51"/>
        <v>NEW DONOR -4th</v>
      </c>
      <c r="G497" t="str">
        <f t="shared" si="52"/>
        <v>Marketing</v>
      </c>
      <c r="H497" t="s">
        <v>558</v>
      </c>
      <c r="I497">
        <f t="shared" si="53"/>
        <v>4</v>
      </c>
      <c r="J497" t="s">
        <v>546</v>
      </c>
      <c r="K497" s="5">
        <v>100</v>
      </c>
      <c r="L497" t="str">
        <f>Table_DataFromNL[[#This Row],[PROFILECODE]]&amp;"-"&amp;Table_DataFromNL[[#This Row],[RULENAME]]</f>
        <v>CP947-New Donor 4th Visit-Bonus</v>
      </c>
      <c r="M497" t="str">
        <f t="shared" si="54"/>
        <v>CP947-NEW DONOR -4th</v>
      </c>
    </row>
    <row r="498" spans="1:13" x14ac:dyDescent="0.25">
      <c r="A498" t="str">
        <f t="shared" si="55"/>
        <v>CP947-NEW DONOR -5th</v>
      </c>
      <c r="B498" t="s">
        <v>411</v>
      </c>
      <c r="C498" t="str">
        <f t="shared" si="49"/>
        <v>Cleveland</v>
      </c>
      <c r="D498" t="str">
        <f t="shared" si="50"/>
        <v>Y</v>
      </c>
      <c r="E498" t="s">
        <v>610</v>
      </c>
      <c r="F498" t="str">
        <f t="shared" si="51"/>
        <v>NEW DONOR -5th</v>
      </c>
      <c r="G498" t="str">
        <f t="shared" si="52"/>
        <v>Marketing</v>
      </c>
      <c r="H498" t="s">
        <v>559</v>
      </c>
      <c r="I498">
        <f t="shared" si="53"/>
        <v>5</v>
      </c>
      <c r="J498" t="s">
        <v>546</v>
      </c>
      <c r="K498" s="5">
        <v>100</v>
      </c>
      <c r="L498" t="str">
        <f>Table_DataFromNL[[#This Row],[PROFILECODE]]&amp;"-"&amp;Table_DataFromNL[[#This Row],[RULENAME]]</f>
        <v>CP947-New Donor 5th Visit-Bonus</v>
      </c>
      <c r="M498" t="str">
        <f t="shared" si="54"/>
        <v>CP947-NEW DONOR -5th</v>
      </c>
    </row>
    <row r="499" spans="1:13" x14ac:dyDescent="0.25">
      <c r="A499" t="str">
        <f t="shared" si="55"/>
        <v>CP947-NEW DONOR -6th</v>
      </c>
      <c r="B499" t="s">
        <v>411</v>
      </c>
      <c r="C499" t="str">
        <f t="shared" si="49"/>
        <v>Cleveland</v>
      </c>
      <c r="D499" t="str">
        <f t="shared" si="50"/>
        <v>Y</v>
      </c>
      <c r="E499" t="s">
        <v>610</v>
      </c>
      <c r="F499" t="str">
        <f t="shared" si="51"/>
        <v>NEW DONOR -6th</v>
      </c>
      <c r="G499" t="str">
        <f t="shared" si="52"/>
        <v>Marketing</v>
      </c>
      <c r="H499" t="s">
        <v>560</v>
      </c>
      <c r="I499">
        <f t="shared" si="53"/>
        <v>6</v>
      </c>
      <c r="J499" t="s">
        <v>546</v>
      </c>
      <c r="K499" s="5">
        <v>100</v>
      </c>
      <c r="L499" t="str">
        <f>Table_DataFromNL[[#This Row],[PROFILECODE]]&amp;"-"&amp;Table_DataFromNL[[#This Row],[RULENAME]]</f>
        <v>CP947-New Donor 6th Visit-Bonus</v>
      </c>
      <c r="M499" t="str">
        <f t="shared" si="54"/>
        <v>CP947-NEW DONOR -6th</v>
      </c>
    </row>
    <row r="500" spans="1:13" x14ac:dyDescent="0.25">
      <c r="A500" t="str">
        <f t="shared" si="55"/>
        <v>CP947-NEW DONOR -7th</v>
      </c>
      <c r="B500" t="s">
        <v>411</v>
      </c>
      <c r="C500" t="str">
        <f t="shared" si="49"/>
        <v>Cleveland</v>
      </c>
      <c r="D500" t="str">
        <f t="shared" si="50"/>
        <v>Y</v>
      </c>
      <c r="E500" t="s">
        <v>610</v>
      </c>
      <c r="F500" t="str">
        <f t="shared" si="51"/>
        <v>NEW DONOR -7th</v>
      </c>
      <c r="G500" t="str">
        <f t="shared" si="52"/>
        <v>Marketing</v>
      </c>
      <c r="H500" t="s">
        <v>561</v>
      </c>
      <c r="I500">
        <f t="shared" si="53"/>
        <v>7</v>
      </c>
      <c r="J500" t="s">
        <v>546</v>
      </c>
      <c r="K500" s="5">
        <v>50</v>
      </c>
      <c r="L500" t="str">
        <f>Table_DataFromNL[[#This Row],[PROFILECODE]]&amp;"-"&amp;Table_DataFromNL[[#This Row],[RULENAME]]</f>
        <v>CP947-New Donor 7th Visit-Bonus</v>
      </c>
      <c r="M500" t="str">
        <f t="shared" si="54"/>
        <v>CP947-NEW DONOR -7th</v>
      </c>
    </row>
    <row r="501" spans="1:13" x14ac:dyDescent="0.25">
      <c r="A501" t="str">
        <f t="shared" si="55"/>
        <v>CP947-NEW DONOR -8th</v>
      </c>
      <c r="B501" t="s">
        <v>411</v>
      </c>
      <c r="C501" t="str">
        <f t="shared" si="49"/>
        <v>Cleveland</v>
      </c>
      <c r="D501" t="str">
        <f t="shared" si="50"/>
        <v>Y</v>
      </c>
      <c r="E501" t="s">
        <v>610</v>
      </c>
      <c r="F501" t="str">
        <f t="shared" si="51"/>
        <v>NEW DONOR -8th</v>
      </c>
      <c r="G501" t="str">
        <f t="shared" si="52"/>
        <v>Marketing</v>
      </c>
      <c r="H501" t="s">
        <v>562</v>
      </c>
      <c r="I501">
        <f t="shared" si="53"/>
        <v>8</v>
      </c>
      <c r="J501" t="s">
        <v>546</v>
      </c>
      <c r="K501" s="5">
        <v>50</v>
      </c>
      <c r="L501" t="str">
        <f>Table_DataFromNL[[#This Row],[PROFILECODE]]&amp;"-"&amp;Table_DataFromNL[[#This Row],[RULENAME]]</f>
        <v>CP947-New Donor 8th Visit-Bonus</v>
      </c>
      <c r="M501" t="str">
        <f t="shared" si="54"/>
        <v>CP947-NEW DONOR -8th</v>
      </c>
    </row>
    <row r="502" spans="1:13" x14ac:dyDescent="0.25">
      <c r="A502" t="str">
        <f t="shared" si="55"/>
        <v>CP947-Community</v>
      </c>
      <c r="B502" t="s">
        <v>411</v>
      </c>
      <c r="C502" t="str">
        <f t="shared" si="49"/>
        <v>Cleveland</v>
      </c>
      <c r="D502" t="str">
        <f t="shared" si="50"/>
        <v>Y</v>
      </c>
      <c r="E502" t="s">
        <v>610</v>
      </c>
      <c r="F502" t="str">
        <f t="shared" si="51"/>
        <v>Community</v>
      </c>
      <c r="G502">
        <f t="shared" si="52"/>
        <v>0</v>
      </c>
      <c r="H502" t="s">
        <v>563</v>
      </c>
      <c r="I502">
        <f t="shared" si="53"/>
        <v>0</v>
      </c>
      <c r="J502" t="s">
        <v>564</v>
      </c>
      <c r="K502" s="5">
        <v>5</v>
      </c>
      <c r="L502" t="str">
        <f>Table_DataFromNL[[#This Row],[PROFILECODE]]&amp;"-"&amp;Table_DataFromNL[[#This Row],[RULENAME]]</f>
        <v>CP947-Community</v>
      </c>
      <c r="M502" t="e">
        <f t="shared" si="54"/>
        <v>#N/A</v>
      </c>
    </row>
    <row r="503" spans="1:13" x14ac:dyDescent="0.25">
      <c r="A503" t="str">
        <f t="shared" si="55"/>
        <v>CP947-HANGER_RECRUIT_5USD_once</v>
      </c>
      <c r="B503" t="s">
        <v>411</v>
      </c>
      <c r="C503" t="str">
        <f t="shared" si="49"/>
        <v>Cleveland</v>
      </c>
      <c r="D503" t="str">
        <f t="shared" si="50"/>
        <v>Y</v>
      </c>
      <c r="E503" t="s">
        <v>610</v>
      </c>
      <c r="F503" t="str">
        <f t="shared" si="51"/>
        <v>HANGER_RECRUIT_5USD_once</v>
      </c>
      <c r="G503">
        <f t="shared" si="52"/>
        <v>0</v>
      </c>
      <c r="H503" t="s">
        <v>565</v>
      </c>
      <c r="I503">
        <f t="shared" si="53"/>
        <v>0</v>
      </c>
      <c r="J503" t="s">
        <v>564</v>
      </c>
      <c r="K503" s="5">
        <v>5</v>
      </c>
      <c r="L503" t="str">
        <f>Table_DataFromNL[[#This Row],[PROFILECODE]]&amp;"-"&amp;Table_DataFromNL[[#This Row],[RULENAME]]</f>
        <v>CP947-HANGER_RECRUIT_5USD_once</v>
      </c>
      <c r="M503" t="e">
        <f t="shared" si="54"/>
        <v>#N/A</v>
      </c>
    </row>
    <row r="504" spans="1:13" x14ac:dyDescent="0.25">
      <c r="A504" t="str">
        <f t="shared" si="55"/>
        <v>CP947-Inconv Fee $20-$50-Comment Req'd</v>
      </c>
      <c r="B504" t="s">
        <v>411</v>
      </c>
      <c r="C504" t="str">
        <f t="shared" si="49"/>
        <v>Cleveland</v>
      </c>
      <c r="D504" t="str">
        <f t="shared" si="50"/>
        <v>Y</v>
      </c>
      <c r="E504" t="s">
        <v>610</v>
      </c>
      <c r="F504" t="str">
        <f t="shared" si="51"/>
        <v>Inconv Fee $20-$50-Comment Req'd</v>
      </c>
      <c r="G504">
        <f t="shared" si="52"/>
        <v>0</v>
      </c>
      <c r="H504" t="s">
        <v>566</v>
      </c>
      <c r="I504">
        <f t="shared" si="53"/>
        <v>0</v>
      </c>
      <c r="J504" t="s">
        <v>564</v>
      </c>
      <c r="K504" s="5">
        <v>50</v>
      </c>
      <c r="L504" t="str">
        <f>Table_DataFromNL[[#This Row],[PROFILECODE]]&amp;"-"&amp;Table_DataFromNL[[#This Row],[RULENAME]]</f>
        <v>CP947-Inconv Fee $20-$50-Comment Req'd</v>
      </c>
      <c r="M504" t="e">
        <f t="shared" si="54"/>
        <v>#N/A</v>
      </c>
    </row>
    <row r="505" spans="1:13" x14ac:dyDescent="0.25">
      <c r="A505" t="str">
        <f t="shared" si="55"/>
        <v>CP947-Inconv Fee $5-$20-Comment Req'd</v>
      </c>
      <c r="B505" t="s">
        <v>411</v>
      </c>
      <c r="C505" t="str">
        <f t="shared" si="49"/>
        <v>Cleveland</v>
      </c>
      <c r="D505" t="str">
        <f t="shared" si="50"/>
        <v>Y</v>
      </c>
      <c r="E505" t="s">
        <v>610</v>
      </c>
      <c r="F505" t="str">
        <f t="shared" si="51"/>
        <v>Inconv Fee $5-$20-Comment Req'd</v>
      </c>
      <c r="G505">
        <f t="shared" si="52"/>
        <v>0</v>
      </c>
      <c r="H505" t="s">
        <v>567</v>
      </c>
      <c r="I505">
        <f t="shared" si="53"/>
        <v>0</v>
      </c>
      <c r="J505" t="s">
        <v>564</v>
      </c>
      <c r="K505" s="5">
        <v>20</v>
      </c>
      <c r="L505" t="str">
        <f>Table_DataFromNL[[#This Row],[PROFILECODE]]&amp;"-"&amp;Table_DataFromNL[[#This Row],[RULENAME]]</f>
        <v>CP947-Inconv Fee $5-$20-Comment Req'd</v>
      </c>
      <c r="M505" t="e">
        <f t="shared" si="54"/>
        <v>#N/A</v>
      </c>
    </row>
    <row r="506" spans="1:13" x14ac:dyDescent="0.25">
      <c r="A506" t="str">
        <f t="shared" si="55"/>
        <v>CP947-Inconv Fee$50-$100-Comment Req'd</v>
      </c>
      <c r="B506" t="s">
        <v>411</v>
      </c>
      <c r="C506" t="str">
        <f t="shared" si="49"/>
        <v>Cleveland</v>
      </c>
      <c r="D506" t="str">
        <f t="shared" si="50"/>
        <v>Y</v>
      </c>
      <c r="E506" t="s">
        <v>610</v>
      </c>
      <c r="F506" t="str">
        <f t="shared" si="51"/>
        <v>Inconv Fee$50-$100-Comment Req'd</v>
      </c>
      <c r="G506">
        <f t="shared" si="52"/>
        <v>0</v>
      </c>
      <c r="H506" t="s">
        <v>568</v>
      </c>
      <c r="I506">
        <f t="shared" si="53"/>
        <v>0</v>
      </c>
      <c r="J506" t="s">
        <v>564</v>
      </c>
      <c r="K506" s="5">
        <v>100</v>
      </c>
      <c r="L506" t="str">
        <f>Table_DataFromNL[[#This Row],[PROFILECODE]]&amp;"-"&amp;Table_DataFromNL[[#This Row],[RULENAME]]</f>
        <v>CP947-Inconv Fee$50-$100-Comment Req'd</v>
      </c>
      <c r="M506" t="e">
        <f t="shared" si="54"/>
        <v>#N/A</v>
      </c>
    </row>
    <row r="507" spans="1:13" x14ac:dyDescent="0.25">
      <c r="A507" t="str">
        <f t="shared" si="55"/>
        <v>CP947-NSP_ LAPSEDONOR_50_Twice</v>
      </c>
      <c r="B507" t="s">
        <v>411</v>
      </c>
      <c r="C507" t="str">
        <f t="shared" si="49"/>
        <v>Cleveland</v>
      </c>
      <c r="D507" t="str">
        <f t="shared" si="50"/>
        <v>Y</v>
      </c>
      <c r="E507" t="s">
        <v>610</v>
      </c>
      <c r="F507" t="str">
        <f t="shared" si="51"/>
        <v>NSP_ LAPSEDONOR_50_Twice</v>
      </c>
      <c r="G507">
        <f t="shared" si="52"/>
        <v>0</v>
      </c>
      <c r="H507" t="s">
        <v>569</v>
      </c>
      <c r="I507">
        <f t="shared" si="53"/>
        <v>0</v>
      </c>
      <c r="J507" t="s">
        <v>564</v>
      </c>
      <c r="K507" s="5">
        <v>50</v>
      </c>
      <c r="L507" t="str">
        <f>Table_DataFromNL[[#This Row],[PROFILECODE]]&amp;"-"&amp;Table_DataFromNL[[#This Row],[RULENAME]]</f>
        <v>CP947-NSP_ LAPSEDONOR_50_Twice</v>
      </c>
      <c r="M507" t="e">
        <f t="shared" si="54"/>
        <v>#N/A</v>
      </c>
    </row>
    <row r="508" spans="1:13" x14ac:dyDescent="0.25">
      <c r="A508" t="str">
        <f t="shared" si="55"/>
        <v>CP947-NSP_LD_25_2X</v>
      </c>
      <c r="B508" t="s">
        <v>411</v>
      </c>
      <c r="C508" t="str">
        <f t="shared" si="49"/>
        <v>Cleveland</v>
      </c>
      <c r="D508" t="str">
        <f t="shared" si="50"/>
        <v>Y</v>
      </c>
      <c r="E508" t="s">
        <v>610</v>
      </c>
      <c r="F508" t="str">
        <f t="shared" si="51"/>
        <v>NSP_LD_25_2X</v>
      </c>
      <c r="G508">
        <f t="shared" si="52"/>
        <v>0</v>
      </c>
      <c r="H508" t="s">
        <v>570</v>
      </c>
      <c r="I508">
        <f t="shared" si="53"/>
        <v>0</v>
      </c>
      <c r="J508" t="s">
        <v>564</v>
      </c>
      <c r="K508" s="5">
        <v>25</v>
      </c>
      <c r="L508" t="str">
        <f>Table_DataFromNL[[#This Row],[PROFILECODE]]&amp;"-"&amp;Table_DataFromNL[[#This Row],[RULENAME]]</f>
        <v>CP947-NSP_LD_25_2X</v>
      </c>
      <c r="M508" t="e">
        <f t="shared" si="54"/>
        <v>#N/A</v>
      </c>
    </row>
    <row r="509" spans="1:13" x14ac:dyDescent="0.25">
      <c r="A509" t="str">
        <f t="shared" si="55"/>
        <v>CP947-NSP_LD_50_1X</v>
      </c>
      <c r="B509" t="s">
        <v>411</v>
      </c>
      <c r="C509" t="str">
        <f t="shared" si="49"/>
        <v>Cleveland</v>
      </c>
      <c r="D509" t="str">
        <f t="shared" si="50"/>
        <v>Y</v>
      </c>
      <c r="E509" t="s">
        <v>610</v>
      </c>
      <c r="F509" t="str">
        <f t="shared" si="51"/>
        <v>NSP_LD_50_1X</v>
      </c>
      <c r="G509">
        <f t="shared" si="52"/>
        <v>0</v>
      </c>
      <c r="H509" t="s">
        <v>571</v>
      </c>
      <c r="I509">
        <f t="shared" si="53"/>
        <v>0</v>
      </c>
      <c r="J509" t="s">
        <v>564</v>
      </c>
      <c r="K509" s="5">
        <v>50</v>
      </c>
      <c r="L509" t="str">
        <f>Table_DataFromNL[[#This Row],[PROFILECODE]]&amp;"-"&amp;Table_DataFromNL[[#This Row],[RULENAME]]</f>
        <v>CP947-NSP_LD_50_1X</v>
      </c>
      <c r="M509" t="e">
        <f t="shared" si="54"/>
        <v>#N/A</v>
      </c>
    </row>
    <row r="510" spans="1:13" x14ac:dyDescent="0.25">
      <c r="A510" t="str">
        <f t="shared" si="55"/>
        <v>CP947-NSP_ORPHAN_100_once</v>
      </c>
      <c r="B510" t="s">
        <v>411</v>
      </c>
      <c r="C510" t="str">
        <f t="shared" si="49"/>
        <v>Cleveland</v>
      </c>
      <c r="D510" t="str">
        <f t="shared" si="50"/>
        <v>Y</v>
      </c>
      <c r="E510" t="s">
        <v>610</v>
      </c>
      <c r="F510" t="str">
        <f t="shared" si="51"/>
        <v>NSP_ORPHAN_100_once</v>
      </c>
      <c r="G510">
        <f t="shared" si="52"/>
        <v>0</v>
      </c>
      <c r="H510" t="s">
        <v>572</v>
      </c>
      <c r="I510">
        <f t="shared" si="53"/>
        <v>0</v>
      </c>
      <c r="J510" t="s">
        <v>564</v>
      </c>
      <c r="K510" s="5">
        <v>100</v>
      </c>
      <c r="L510" t="str">
        <f>Table_DataFromNL[[#This Row],[PROFILECODE]]&amp;"-"&amp;Table_DataFromNL[[#This Row],[RULENAME]]</f>
        <v>CP947-NSP_ORPHAN_100_once</v>
      </c>
      <c r="M510" t="e">
        <f t="shared" si="54"/>
        <v>#N/A</v>
      </c>
    </row>
    <row r="511" spans="1:13" x14ac:dyDescent="0.25">
      <c r="A511" t="str">
        <f t="shared" si="55"/>
        <v>CP947-Restick</v>
      </c>
      <c r="B511" t="s">
        <v>411</v>
      </c>
      <c r="C511" t="str">
        <f t="shared" si="49"/>
        <v>Cleveland</v>
      </c>
      <c r="D511" t="str">
        <f t="shared" si="50"/>
        <v>Y</v>
      </c>
      <c r="E511" t="s">
        <v>610</v>
      </c>
      <c r="F511" t="str">
        <f t="shared" si="51"/>
        <v>Restick</v>
      </c>
      <c r="G511">
        <f t="shared" si="52"/>
        <v>0</v>
      </c>
      <c r="H511" t="s">
        <v>573</v>
      </c>
      <c r="I511">
        <f t="shared" si="53"/>
        <v>0</v>
      </c>
      <c r="J511" t="s">
        <v>564</v>
      </c>
      <c r="K511" s="5">
        <v>5</v>
      </c>
      <c r="L511" t="str">
        <f>Table_DataFromNL[[#This Row],[PROFILECODE]]&amp;"-"&amp;Table_DataFromNL[[#This Row],[RULENAME]]</f>
        <v>CP947-Restick</v>
      </c>
      <c r="M511" t="e">
        <f t="shared" si="54"/>
        <v>#N/A</v>
      </c>
    </row>
    <row r="512" spans="1:13" x14ac:dyDescent="0.25">
      <c r="A512" t="str">
        <f t="shared" si="55"/>
        <v>CP947-SLOW_TEXT_5</v>
      </c>
      <c r="B512" t="s">
        <v>411</v>
      </c>
      <c r="C512" t="str">
        <f t="shared" si="49"/>
        <v>Cleveland</v>
      </c>
      <c r="D512" t="str">
        <f t="shared" si="50"/>
        <v>Y</v>
      </c>
      <c r="E512" t="s">
        <v>610</v>
      </c>
      <c r="F512" t="str">
        <f t="shared" si="51"/>
        <v>SLOW_TEXT_5</v>
      </c>
      <c r="G512">
        <f t="shared" si="52"/>
        <v>0</v>
      </c>
      <c r="H512" t="s">
        <v>574</v>
      </c>
      <c r="I512">
        <f t="shared" si="53"/>
        <v>0</v>
      </c>
      <c r="J512" t="s">
        <v>564</v>
      </c>
      <c r="K512" s="5">
        <v>5</v>
      </c>
      <c r="L512" t="str">
        <f>Table_DataFromNL[[#This Row],[PROFILECODE]]&amp;"-"&amp;Table_DataFromNL[[#This Row],[RULENAME]]</f>
        <v>CP947-SLOW_TEXT_5</v>
      </c>
      <c r="M512" t="e">
        <f t="shared" si="54"/>
        <v>#N/A</v>
      </c>
    </row>
    <row r="513" spans="1:13" x14ac:dyDescent="0.25">
      <c r="A513" t="str">
        <f t="shared" si="55"/>
        <v>CP947-Sample Only</v>
      </c>
      <c r="B513" t="s">
        <v>411</v>
      </c>
      <c r="C513" t="str">
        <f t="shared" si="49"/>
        <v>Cleveland</v>
      </c>
      <c r="D513" t="str">
        <f t="shared" si="50"/>
        <v>Y</v>
      </c>
      <c r="E513" t="s">
        <v>610</v>
      </c>
      <c r="F513" t="str">
        <f t="shared" si="51"/>
        <v>Sample Only</v>
      </c>
      <c r="G513">
        <f t="shared" si="52"/>
        <v>0</v>
      </c>
      <c r="H513" t="s">
        <v>575</v>
      </c>
      <c r="I513">
        <f t="shared" si="53"/>
        <v>0</v>
      </c>
      <c r="J513" t="s">
        <v>564</v>
      </c>
      <c r="K513" s="5">
        <v>5</v>
      </c>
      <c r="L513" t="str">
        <f>Table_DataFromNL[[#This Row],[PROFILECODE]]&amp;"-"&amp;Table_DataFromNL[[#This Row],[RULENAME]]</f>
        <v>CP947-Sample Only</v>
      </c>
      <c r="M513" t="e">
        <f t="shared" si="54"/>
        <v>#N/A</v>
      </c>
    </row>
    <row r="514" spans="1:13" x14ac:dyDescent="0.25">
      <c r="A514" t="str">
        <f t="shared" si="55"/>
        <v>CP947-Unit Below 250 mL</v>
      </c>
      <c r="B514" t="s">
        <v>411</v>
      </c>
      <c r="C514" t="str">
        <f t="shared" ref="C514:C577" si="56">VLOOKUP(B514,CenterLU,2,FALSE)</f>
        <v>Cleveland</v>
      </c>
      <c r="D514" t="str">
        <f t="shared" ref="D514:D577" si="57">VLOOKUP(B514,CenterLU,3,FALSE)</f>
        <v>Y</v>
      </c>
      <c r="E514" t="s">
        <v>610</v>
      </c>
      <c r="F514" t="str">
        <f t="shared" ref="F514:F577" si="58">IF(VLOOKUP(H514,RULENAMELU,3,FALSE)=0,H514,VLOOKUP(H514,RULENAMELU,3,FALSE))</f>
        <v>Unit Below 250 mL</v>
      </c>
      <c r="G514">
        <f t="shared" ref="G514:G577" si="59">VLOOKUP(H514,RULENAMELU,4,FALSE)</f>
        <v>0</v>
      </c>
      <c r="H514" t="s">
        <v>576</v>
      </c>
      <c r="I514">
        <f t="shared" ref="I514:I577" si="60">VLOOKUP(H514,RULENAMELU,5,FALSE)</f>
        <v>0</v>
      </c>
      <c r="J514" t="s">
        <v>564</v>
      </c>
      <c r="K514" s="5">
        <v>5</v>
      </c>
      <c r="L514" t="str">
        <f>Table_DataFromNL[[#This Row],[PROFILECODE]]&amp;"-"&amp;Table_DataFromNL[[#This Row],[RULENAME]]</f>
        <v>CP947-Unit Below 250 mL</v>
      </c>
      <c r="M514" t="e">
        <f t="shared" ref="M514:M577" si="61">IFERROR(VLOOKUP(A514,PaychangesLU,1,FALSE),VLOOKUP(A514,SpecialtyCheckLU,1,FALSE))</f>
        <v>#N/A</v>
      </c>
    </row>
    <row r="515" spans="1:13" x14ac:dyDescent="0.25">
      <c r="A515" t="str">
        <f t="shared" ref="A515:A578" si="62">B515&amp;"-"&amp;F515</f>
        <v>CP947-Unit above 250 mL/underdraw</v>
      </c>
      <c r="B515" t="s">
        <v>411</v>
      </c>
      <c r="C515" t="str">
        <f t="shared" si="56"/>
        <v>Cleveland</v>
      </c>
      <c r="D515" t="str">
        <f t="shared" si="57"/>
        <v>Y</v>
      </c>
      <c r="E515" t="s">
        <v>610</v>
      </c>
      <c r="F515" t="str">
        <f t="shared" si="58"/>
        <v>Unit above 250 mL/underdraw</v>
      </c>
      <c r="G515">
        <f t="shared" si="59"/>
        <v>0</v>
      </c>
      <c r="H515" t="s">
        <v>577</v>
      </c>
      <c r="I515">
        <f t="shared" si="60"/>
        <v>0</v>
      </c>
      <c r="J515" t="s">
        <v>564</v>
      </c>
      <c r="K515" s="5">
        <v>10</v>
      </c>
      <c r="L515" t="str">
        <f>Table_DataFromNL[[#This Row],[PROFILECODE]]&amp;"-"&amp;Table_DataFromNL[[#This Row],[RULENAME]]</f>
        <v>CP947-Unit above 250 mL/underdraw</v>
      </c>
      <c r="M515" t="e">
        <f t="shared" si="61"/>
        <v>#N/A</v>
      </c>
    </row>
    <row r="516" spans="1:13" x14ac:dyDescent="0.25">
      <c r="A516" t="str">
        <f t="shared" si="62"/>
        <v>CP947-RETURN - Buddy referral  -BONUS</v>
      </c>
      <c r="B516" t="s">
        <v>411</v>
      </c>
      <c r="C516" t="str">
        <f t="shared" si="56"/>
        <v>Cleveland</v>
      </c>
      <c r="D516" t="str">
        <f t="shared" si="57"/>
        <v>Y</v>
      </c>
      <c r="E516" t="s">
        <v>610</v>
      </c>
      <c r="F516" t="str">
        <f t="shared" si="58"/>
        <v>RETURN - Buddy referral  -BONUS</v>
      </c>
      <c r="G516" t="str">
        <f t="shared" si="59"/>
        <v>Marketing</v>
      </c>
      <c r="H516" t="s">
        <v>34</v>
      </c>
      <c r="I516">
        <f t="shared" si="60"/>
        <v>50</v>
      </c>
      <c r="J516" t="s">
        <v>578</v>
      </c>
      <c r="K516" s="5">
        <v>50</v>
      </c>
      <c r="L516" t="str">
        <f>Table_DataFromNL[[#This Row],[PROFILECODE]]&amp;"-"&amp;Table_DataFromNL[[#This Row],[RULENAME]]</f>
        <v>CP947-Referral</v>
      </c>
      <c r="M516" t="str">
        <f t="shared" si="61"/>
        <v>CP947-RETURN - Buddy referral  -BONUS</v>
      </c>
    </row>
    <row r="517" spans="1:13" x14ac:dyDescent="0.25">
      <c r="A517" t="str">
        <f t="shared" si="62"/>
        <v>CP947-P Anti-D Pre-Existing Standard</v>
      </c>
      <c r="B517" t="s">
        <v>411</v>
      </c>
      <c r="C517" t="str">
        <f t="shared" si="56"/>
        <v>Cleveland</v>
      </c>
      <c r="D517" t="str">
        <f t="shared" si="57"/>
        <v>Y</v>
      </c>
      <c r="E517" t="s">
        <v>610</v>
      </c>
      <c r="F517" t="str">
        <f t="shared" si="58"/>
        <v>P Anti-D Pre-Existing Standard</v>
      </c>
      <c r="G517" t="str">
        <f t="shared" si="59"/>
        <v>Specialty</v>
      </c>
      <c r="H517" t="s">
        <v>469</v>
      </c>
      <c r="I517" t="str">
        <f t="shared" si="60"/>
        <v>RETURN - 1st don of the week -STD</v>
      </c>
      <c r="J517" t="s">
        <v>579</v>
      </c>
      <c r="K517" s="5">
        <v>50</v>
      </c>
      <c r="L517" t="str">
        <f>Table_DataFromNL[[#This Row],[PROFILECODE]]&amp;"-"&amp;Table_DataFromNL[[#This Row],[RULENAME]]</f>
        <v>CP947-P Anti-D Pre-Existing Standard</v>
      </c>
      <c r="M517" t="str">
        <f t="shared" si="61"/>
        <v>CP947-P Anti-D Pre-Existing Standard</v>
      </c>
    </row>
    <row r="518" spans="1:13" x14ac:dyDescent="0.25">
      <c r="A518" t="str">
        <f t="shared" si="62"/>
        <v>CP947-RETURN - 1st don of the week -STD</v>
      </c>
      <c r="B518" t="s">
        <v>411</v>
      </c>
      <c r="C518" t="str">
        <f t="shared" si="56"/>
        <v>Cleveland</v>
      </c>
      <c r="D518" t="str">
        <f t="shared" si="57"/>
        <v>Y</v>
      </c>
      <c r="E518" t="s">
        <v>610</v>
      </c>
      <c r="F518" t="str">
        <f t="shared" si="58"/>
        <v>RETURN - 1st don of the week -STD</v>
      </c>
      <c r="G518" t="str">
        <f t="shared" si="59"/>
        <v>Marketing</v>
      </c>
      <c r="H518" t="s">
        <v>583</v>
      </c>
      <c r="I518">
        <f t="shared" si="60"/>
        <v>22</v>
      </c>
      <c r="J518" t="s">
        <v>579</v>
      </c>
      <c r="K518" s="5">
        <v>50</v>
      </c>
      <c r="L518" t="str">
        <f>Table_DataFromNL[[#This Row],[PROFILECODE]]&amp;"-"&amp;Table_DataFromNL[[#This Row],[RULENAME]]</f>
        <v>CP947-P NSP NS AP Standard</v>
      </c>
      <c r="M518" t="str">
        <f t="shared" si="61"/>
        <v>CP947-RETURN - 1st don of the week -STD</v>
      </c>
    </row>
    <row r="519" spans="1:13" x14ac:dyDescent="0.25">
      <c r="A519" t="str">
        <f t="shared" si="62"/>
        <v>CP947-RETURN - 1st don of the week -STD</v>
      </c>
      <c r="B519" t="s">
        <v>411</v>
      </c>
      <c r="C519" t="str">
        <f t="shared" si="56"/>
        <v>Cleveland</v>
      </c>
      <c r="D519" t="str">
        <f t="shared" si="57"/>
        <v>Y</v>
      </c>
      <c r="E519" t="s">
        <v>610</v>
      </c>
      <c r="F519" t="str">
        <f t="shared" si="58"/>
        <v>RETURN - 1st don of the week -STD</v>
      </c>
      <c r="G519" t="str">
        <f t="shared" si="59"/>
        <v>Marketing</v>
      </c>
      <c r="H519" t="s">
        <v>584</v>
      </c>
      <c r="I519">
        <f t="shared" si="60"/>
        <v>23</v>
      </c>
      <c r="J519" t="s">
        <v>579</v>
      </c>
      <c r="K519" s="5">
        <v>50</v>
      </c>
      <c r="L519" t="str">
        <f>Table_DataFromNL[[#This Row],[PROFILECODE]]&amp;"-"&amp;Table_DataFromNL[[#This Row],[RULENAME]]</f>
        <v>CP947-P NSP NS Standard</v>
      </c>
      <c r="M519" t="str">
        <f t="shared" si="61"/>
        <v>CP947-RETURN - 1st don of the week -STD</v>
      </c>
    </row>
    <row r="520" spans="1:13" x14ac:dyDescent="0.25">
      <c r="A520" t="str">
        <f t="shared" si="62"/>
        <v>CP178-1st Responder-Medical</v>
      </c>
      <c r="B520" t="s">
        <v>91</v>
      </c>
      <c r="C520" t="str">
        <f t="shared" si="56"/>
        <v>Cleveland OH</v>
      </c>
      <c r="D520" t="str">
        <f t="shared" si="57"/>
        <v>Y</v>
      </c>
      <c r="E520" t="s">
        <v>611</v>
      </c>
      <c r="F520" t="str">
        <f t="shared" si="58"/>
        <v>1st Responder-Medical</v>
      </c>
      <c r="G520">
        <f t="shared" si="59"/>
        <v>0</v>
      </c>
      <c r="H520" t="s">
        <v>545</v>
      </c>
      <c r="I520">
        <f t="shared" si="60"/>
        <v>0</v>
      </c>
      <c r="J520" t="s">
        <v>546</v>
      </c>
      <c r="K520" s="5">
        <v>5</v>
      </c>
      <c r="L520" t="str">
        <f>Table_DataFromNL[[#This Row],[PROFILECODE]]&amp;"-"&amp;Table_DataFromNL[[#This Row],[RULENAME]]</f>
        <v>CP178-1st Responder-Medical</v>
      </c>
      <c r="M520" t="e">
        <f t="shared" si="61"/>
        <v>#N/A</v>
      </c>
    </row>
    <row r="521" spans="1:13" x14ac:dyDescent="0.25">
      <c r="A521" t="str">
        <f t="shared" si="62"/>
        <v>CP178-RETURN - 2nd don of the week -BONUS</v>
      </c>
      <c r="B521" t="s">
        <v>91</v>
      </c>
      <c r="C521" t="str">
        <f t="shared" si="56"/>
        <v>Cleveland OH</v>
      </c>
      <c r="D521" t="str">
        <f t="shared" si="57"/>
        <v>Y</v>
      </c>
      <c r="E521" t="s">
        <v>611</v>
      </c>
      <c r="F521" t="str">
        <f t="shared" si="58"/>
        <v>RETURN - 2nd don of the week -BONUS</v>
      </c>
      <c r="G521" t="str">
        <f t="shared" si="59"/>
        <v>Marketing</v>
      </c>
      <c r="H521" t="s">
        <v>550</v>
      </c>
      <c r="I521">
        <f t="shared" si="60"/>
        <v>26</v>
      </c>
      <c r="J521" t="s">
        <v>546</v>
      </c>
      <c r="K521" s="5">
        <v>10</v>
      </c>
      <c r="L521" t="str">
        <f>Table_DataFromNL[[#This Row],[PROFILECODE]]&amp;"-"&amp;Table_DataFromNL[[#This Row],[RULENAME]]</f>
        <v>CP178-2X Week P NSP NS</v>
      </c>
      <c r="M521" t="str">
        <f t="shared" si="61"/>
        <v>CP178-RETURN - 2nd don of the week -BONUS</v>
      </c>
    </row>
    <row r="522" spans="1:13" x14ac:dyDescent="0.25">
      <c r="A522" t="str">
        <f t="shared" si="62"/>
        <v>CP178-RETURN - 2nd don of the week -BONUS</v>
      </c>
      <c r="B522" t="s">
        <v>91</v>
      </c>
      <c r="C522" t="str">
        <f t="shared" si="56"/>
        <v>Cleveland OH</v>
      </c>
      <c r="D522" t="str">
        <f t="shared" si="57"/>
        <v>Y</v>
      </c>
      <c r="E522" t="s">
        <v>611</v>
      </c>
      <c r="F522" t="str">
        <f t="shared" si="58"/>
        <v>RETURN - 2nd don of the week -BONUS</v>
      </c>
      <c r="G522" t="str">
        <f t="shared" si="59"/>
        <v>Marketing</v>
      </c>
      <c r="H522" t="s">
        <v>551</v>
      </c>
      <c r="I522" t="str">
        <f t="shared" si="60"/>
        <v>RETURN - 2nd don of the week -BONUS</v>
      </c>
      <c r="J522" t="s">
        <v>546</v>
      </c>
      <c r="K522" s="5">
        <v>10</v>
      </c>
      <c r="L522" t="str">
        <f>Table_DataFromNL[[#This Row],[PROFILECODE]]&amp;"-"&amp;Table_DataFromNL[[#This Row],[RULENAME]]</f>
        <v>CP178-2X Week P NSP NS AP</v>
      </c>
      <c r="M522" t="str">
        <f t="shared" si="61"/>
        <v>CP178-RETURN - 2nd don of the week -BONUS</v>
      </c>
    </row>
    <row r="523" spans="1:13" x14ac:dyDescent="0.25">
      <c r="A523" t="str">
        <f t="shared" si="62"/>
        <v>CP178-2X Week P VZV</v>
      </c>
      <c r="B523" t="s">
        <v>91</v>
      </c>
      <c r="C523" t="str">
        <f t="shared" si="56"/>
        <v>Cleveland OH</v>
      </c>
      <c r="D523" t="str">
        <f t="shared" si="57"/>
        <v>Y</v>
      </c>
      <c r="E523" t="s">
        <v>611</v>
      </c>
      <c r="F523" t="str">
        <f t="shared" si="58"/>
        <v>2X Week P VZV</v>
      </c>
      <c r="G523" t="str">
        <f t="shared" si="59"/>
        <v>Specialty</v>
      </c>
      <c r="H523" t="s">
        <v>488</v>
      </c>
      <c r="I523" t="str">
        <f t="shared" si="60"/>
        <v>RETURN - 2nd don of the week -BONUS</v>
      </c>
      <c r="J523" t="s">
        <v>546</v>
      </c>
      <c r="K523" s="5">
        <v>10</v>
      </c>
      <c r="L523" t="str">
        <f>Table_DataFromNL[[#This Row],[PROFILECODE]]&amp;"-"&amp;Table_DataFromNL[[#This Row],[RULENAME]]</f>
        <v>CP178-2X Week P VZV</v>
      </c>
      <c r="M523" t="str">
        <f t="shared" si="61"/>
        <v>CP178-2X Week P VZV</v>
      </c>
    </row>
    <row r="524" spans="1:13" x14ac:dyDescent="0.25">
      <c r="A524" t="str">
        <f t="shared" si="62"/>
        <v>CP178-2X Week P VZV AP</v>
      </c>
      <c r="B524" t="s">
        <v>91</v>
      </c>
      <c r="C524" t="str">
        <f t="shared" si="56"/>
        <v>Cleveland OH</v>
      </c>
      <c r="D524" t="str">
        <f t="shared" si="57"/>
        <v>Y</v>
      </c>
      <c r="E524" t="s">
        <v>611</v>
      </c>
      <c r="F524" t="str">
        <f t="shared" si="58"/>
        <v>2X Week P VZV AP</v>
      </c>
      <c r="G524" t="str">
        <f t="shared" si="59"/>
        <v>Specialty</v>
      </c>
      <c r="H524" t="s">
        <v>489</v>
      </c>
      <c r="I524" t="str">
        <f t="shared" si="60"/>
        <v>RETURN - 2nd don of the week -BONUS</v>
      </c>
      <c r="J524" t="s">
        <v>546</v>
      </c>
      <c r="K524" s="5">
        <v>10</v>
      </c>
      <c r="L524" t="str">
        <f>Table_DataFromNL[[#This Row],[PROFILECODE]]&amp;"-"&amp;Table_DataFromNL[[#This Row],[RULENAME]]</f>
        <v>CP178-2X Week P VZV AP</v>
      </c>
      <c r="M524" t="str">
        <f t="shared" si="61"/>
        <v>CP178-2X Week P VZV AP</v>
      </c>
    </row>
    <row r="525" spans="1:13" x14ac:dyDescent="0.25">
      <c r="A525" t="str">
        <f t="shared" si="62"/>
        <v>CP178-2X Week P VZV Pre-Existing</v>
      </c>
      <c r="B525" t="s">
        <v>91</v>
      </c>
      <c r="C525" t="str">
        <f t="shared" si="56"/>
        <v>Cleveland OH</v>
      </c>
      <c r="D525" t="str">
        <f t="shared" si="57"/>
        <v>Y</v>
      </c>
      <c r="E525" t="s">
        <v>611</v>
      </c>
      <c r="F525" t="str">
        <f t="shared" si="58"/>
        <v>2X Week P VZV Pre-Existing</v>
      </c>
      <c r="G525" t="str">
        <f t="shared" si="59"/>
        <v>Specialty</v>
      </c>
      <c r="H525" t="s">
        <v>490</v>
      </c>
      <c r="I525" t="str">
        <f t="shared" si="60"/>
        <v>RETURN - 2nd don of the week -BONUS</v>
      </c>
      <c r="J525" t="s">
        <v>546</v>
      </c>
      <c r="K525" s="5">
        <v>10</v>
      </c>
      <c r="L525" t="str">
        <f>Table_DataFromNL[[#This Row],[PROFILECODE]]&amp;"-"&amp;Table_DataFromNL[[#This Row],[RULENAME]]</f>
        <v>CP178-2X Week P VZV Pre-Existing</v>
      </c>
      <c r="M525" t="str">
        <f t="shared" si="61"/>
        <v>CP178-2X Week P VZV Pre-Existing</v>
      </c>
    </row>
    <row r="526" spans="1:13" x14ac:dyDescent="0.25">
      <c r="A526" t="str">
        <f t="shared" si="62"/>
        <v>CP178-2X Week P VZV Pre-Existing AP</v>
      </c>
      <c r="B526" t="s">
        <v>91</v>
      </c>
      <c r="C526" t="str">
        <f t="shared" si="56"/>
        <v>Cleveland OH</v>
      </c>
      <c r="D526" t="str">
        <f t="shared" si="57"/>
        <v>Y</v>
      </c>
      <c r="E526" t="s">
        <v>611</v>
      </c>
      <c r="F526" t="str">
        <f t="shared" si="58"/>
        <v>2X Week P VZV Pre-Existing AP</v>
      </c>
      <c r="G526" t="str">
        <f t="shared" si="59"/>
        <v>Specialty</v>
      </c>
      <c r="H526" t="s">
        <v>491</v>
      </c>
      <c r="I526" t="str">
        <f t="shared" si="60"/>
        <v>RETURN - 2nd don of the week -BONUS</v>
      </c>
      <c r="J526" t="s">
        <v>546</v>
      </c>
      <c r="K526" s="5">
        <v>10</v>
      </c>
      <c r="L526" t="str">
        <f>Table_DataFromNL[[#This Row],[PROFILECODE]]&amp;"-"&amp;Table_DataFromNL[[#This Row],[RULENAME]]</f>
        <v>CP178-2X Week P VZV Pre-Existing AP</v>
      </c>
      <c r="M526" t="str">
        <f t="shared" si="61"/>
        <v>CP178-2X Week P VZV Pre-Existing AP</v>
      </c>
    </row>
    <row r="527" spans="1:13" x14ac:dyDescent="0.25">
      <c r="A527" t="str">
        <f t="shared" si="62"/>
        <v>CP178-College ID Standard Bonus</v>
      </c>
      <c r="B527" t="s">
        <v>91</v>
      </c>
      <c r="C527" t="str">
        <f t="shared" si="56"/>
        <v>Cleveland OH</v>
      </c>
      <c r="D527" t="str">
        <f t="shared" si="57"/>
        <v>Y</v>
      </c>
      <c r="E527" t="s">
        <v>611</v>
      </c>
      <c r="F527" t="str">
        <f t="shared" si="58"/>
        <v>College ID Standard Bonus</v>
      </c>
      <c r="G527">
        <f t="shared" si="59"/>
        <v>0</v>
      </c>
      <c r="H527" t="s">
        <v>553</v>
      </c>
      <c r="I527">
        <f t="shared" si="60"/>
        <v>0</v>
      </c>
      <c r="J527" t="s">
        <v>546</v>
      </c>
      <c r="K527" s="5">
        <v>5</v>
      </c>
      <c r="L527" t="str">
        <f>Table_DataFromNL[[#This Row],[PROFILECODE]]&amp;"-"&amp;Table_DataFromNL[[#This Row],[RULENAME]]</f>
        <v>CP178-College ID Standard Bonus</v>
      </c>
      <c r="M527" t="e">
        <f t="shared" si="61"/>
        <v>#N/A</v>
      </c>
    </row>
    <row r="528" spans="1:13" x14ac:dyDescent="0.25">
      <c r="A528" t="str">
        <f t="shared" si="62"/>
        <v>CP178-Military ID</v>
      </c>
      <c r="B528" t="s">
        <v>91</v>
      </c>
      <c r="C528" t="str">
        <f t="shared" si="56"/>
        <v>Cleveland OH</v>
      </c>
      <c r="D528" t="str">
        <f t="shared" si="57"/>
        <v>Y</v>
      </c>
      <c r="E528" t="s">
        <v>611</v>
      </c>
      <c r="F528" t="str">
        <f t="shared" si="58"/>
        <v>Military ID</v>
      </c>
      <c r="G528">
        <f t="shared" si="59"/>
        <v>0</v>
      </c>
      <c r="H528" t="s">
        <v>554</v>
      </c>
      <c r="I528">
        <f t="shared" si="60"/>
        <v>0</v>
      </c>
      <c r="J528" t="s">
        <v>546</v>
      </c>
      <c r="K528" s="5">
        <v>5</v>
      </c>
      <c r="L528" t="str">
        <f>Table_DataFromNL[[#This Row],[PROFILECODE]]&amp;"-"&amp;Table_DataFromNL[[#This Row],[RULENAME]]</f>
        <v>CP178-Military ID</v>
      </c>
      <c r="M528" t="e">
        <f t="shared" si="61"/>
        <v>#N/A</v>
      </c>
    </row>
    <row r="529" spans="1:13" x14ac:dyDescent="0.25">
      <c r="A529" t="str">
        <f t="shared" si="62"/>
        <v>CP178-NEW DONOR -1st</v>
      </c>
      <c r="B529" t="s">
        <v>91</v>
      </c>
      <c r="C529" t="str">
        <f t="shared" si="56"/>
        <v>Cleveland OH</v>
      </c>
      <c r="D529" t="str">
        <f t="shared" si="57"/>
        <v>Y</v>
      </c>
      <c r="E529" t="s">
        <v>611</v>
      </c>
      <c r="F529" t="str">
        <f t="shared" si="58"/>
        <v>NEW DONOR -1st</v>
      </c>
      <c r="G529" t="str">
        <f t="shared" si="59"/>
        <v>Marketing</v>
      </c>
      <c r="H529" t="s">
        <v>555</v>
      </c>
      <c r="I529">
        <f t="shared" si="60"/>
        <v>1</v>
      </c>
      <c r="J529" t="s">
        <v>546</v>
      </c>
      <c r="K529" s="5">
        <v>55</v>
      </c>
      <c r="L529" t="str">
        <f>Table_DataFromNL[[#This Row],[PROFILECODE]]&amp;"-"&amp;Table_DataFromNL[[#This Row],[RULENAME]]</f>
        <v>CP178-New Donor 1st Visit-Bonus</v>
      </c>
      <c r="M529" t="str">
        <f t="shared" si="61"/>
        <v>CP178-NEW DONOR -1st</v>
      </c>
    </row>
    <row r="530" spans="1:13" x14ac:dyDescent="0.25">
      <c r="A530" t="str">
        <f t="shared" si="62"/>
        <v>CP178-NEW DONOR -2nd</v>
      </c>
      <c r="B530" t="s">
        <v>91</v>
      </c>
      <c r="C530" t="str">
        <f t="shared" si="56"/>
        <v>Cleveland OH</v>
      </c>
      <c r="D530" t="str">
        <f t="shared" si="57"/>
        <v>Y</v>
      </c>
      <c r="E530" t="s">
        <v>611</v>
      </c>
      <c r="F530" t="str">
        <f t="shared" si="58"/>
        <v>NEW DONOR -2nd</v>
      </c>
      <c r="G530" t="str">
        <f t="shared" si="59"/>
        <v>Marketing</v>
      </c>
      <c r="H530" t="s">
        <v>556</v>
      </c>
      <c r="I530">
        <f t="shared" si="60"/>
        <v>2</v>
      </c>
      <c r="J530" t="s">
        <v>546</v>
      </c>
      <c r="K530" s="5">
        <v>55</v>
      </c>
      <c r="L530" t="str">
        <f>Table_DataFromNL[[#This Row],[PROFILECODE]]&amp;"-"&amp;Table_DataFromNL[[#This Row],[RULENAME]]</f>
        <v>CP178-New Donor 2nd Visit-Bonus</v>
      </c>
      <c r="M530" t="str">
        <f t="shared" si="61"/>
        <v>CP178-NEW DONOR -2nd</v>
      </c>
    </row>
    <row r="531" spans="1:13" x14ac:dyDescent="0.25">
      <c r="A531" t="str">
        <f t="shared" si="62"/>
        <v>CP178-NEW DONOR -3rd</v>
      </c>
      <c r="B531" t="s">
        <v>91</v>
      </c>
      <c r="C531" t="str">
        <f t="shared" si="56"/>
        <v>Cleveland OH</v>
      </c>
      <c r="D531" t="str">
        <f t="shared" si="57"/>
        <v>Y</v>
      </c>
      <c r="E531" t="s">
        <v>611</v>
      </c>
      <c r="F531" t="str">
        <f t="shared" si="58"/>
        <v>NEW DONOR -3rd</v>
      </c>
      <c r="G531" t="str">
        <f t="shared" si="59"/>
        <v>Marketing</v>
      </c>
      <c r="H531" t="s">
        <v>557</v>
      </c>
      <c r="I531">
        <f t="shared" si="60"/>
        <v>3</v>
      </c>
      <c r="J531" t="s">
        <v>546</v>
      </c>
      <c r="K531" s="5">
        <v>55</v>
      </c>
      <c r="L531" t="str">
        <f>Table_DataFromNL[[#This Row],[PROFILECODE]]&amp;"-"&amp;Table_DataFromNL[[#This Row],[RULENAME]]</f>
        <v>CP178-New Donor 3rd Visit-Bonus</v>
      </c>
      <c r="M531" t="str">
        <f t="shared" si="61"/>
        <v>CP178-NEW DONOR -3rd</v>
      </c>
    </row>
    <row r="532" spans="1:13" x14ac:dyDescent="0.25">
      <c r="A532" t="str">
        <f t="shared" si="62"/>
        <v>CP178-NEW DONOR -4th</v>
      </c>
      <c r="B532" t="s">
        <v>91</v>
      </c>
      <c r="C532" t="str">
        <f t="shared" si="56"/>
        <v>Cleveland OH</v>
      </c>
      <c r="D532" t="str">
        <f t="shared" si="57"/>
        <v>Y</v>
      </c>
      <c r="E532" t="s">
        <v>611</v>
      </c>
      <c r="F532" t="str">
        <f t="shared" si="58"/>
        <v>NEW DONOR -4th</v>
      </c>
      <c r="G532" t="str">
        <f t="shared" si="59"/>
        <v>Marketing</v>
      </c>
      <c r="H532" t="s">
        <v>558</v>
      </c>
      <c r="I532">
        <f t="shared" si="60"/>
        <v>4</v>
      </c>
      <c r="J532" t="s">
        <v>546</v>
      </c>
      <c r="K532" s="5">
        <v>55</v>
      </c>
      <c r="L532" t="str">
        <f>Table_DataFromNL[[#This Row],[PROFILECODE]]&amp;"-"&amp;Table_DataFromNL[[#This Row],[RULENAME]]</f>
        <v>CP178-New Donor 4th Visit-Bonus</v>
      </c>
      <c r="M532" t="str">
        <f t="shared" si="61"/>
        <v>CP178-NEW DONOR -4th</v>
      </c>
    </row>
    <row r="533" spans="1:13" x14ac:dyDescent="0.25">
      <c r="A533" t="str">
        <f t="shared" si="62"/>
        <v>CP178-NEW DONOR -5th</v>
      </c>
      <c r="B533" t="s">
        <v>91</v>
      </c>
      <c r="C533" t="str">
        <f t="shared" si="56"/>
        <v>Cleveland OH</v>
      </c>
      <c r="D533" t="str">
        <f t="shared" si="57"/>
        <v>Y</v>
      </c>
      <c r="E533" t="s">
        <v>611</v>
      </c>
      <c r="F533" t="str">
        <f t="shared" si="58"/>
        <v>NEW DONOR -5th</v>
      </c>
      <c r="G533" t="str">
        <f t="shared" si="59"/>
        <v>Marketing</v>
      </c>
      <c r="H533" t="s">
        <v>559</v>
      </c>
      <c r="I533">
        <f t="shared" si="60"/>
        <v>5</v>
      </c>
      <c r="J533" t="s">
        <v>546</v>
      </c>
      <c r="K533" s="5">
        <v>55</v>
      </c>
      <c r="L533" t="str">
        <f>Table_DataFromNL[[#This Row],[PROFILECODE]]&amp;"-"&amp;Table_DataFromNL[[#This Row],[RULENAME]]</f>
        <v>CP178-New Donor 5th Visit-Bonus</v>
      </c>
      <c r="M533" t="str">
        <f t="shared" si="61"/>
        <v>CP178-NEW DONOR -5th</v>
      </c>
    </row>
    <row r="534" spans="1:13" x14ac:dyDescent="0.25">
      <c r="A534" t="str">
        <f t="shared" si="62"/>
        <v>CP178-NEW DONOR -6th</v>
      </c>
      <c r="B534" t="s">
        <v>91</v>
      </c>
      <c r="C534" t="str">
        <f t="shared" si="56"/>
        <v>Cleveland OH</v>
      </c>
      <c r="D534" t="str">
        <f t="shared" si="57"/>
        <v>Y</v>
      </c>
      <c r="E534" t="s">
        <v>611</v>
      </c>
      <c r="F534" t="str">
        <f t="shared" si="58"/>
        <v>NEW DONOR -6th</v>
      </c>
      <c r="G534" t="str">
        <f t="shared" si="59"/>
        <v>Marketing</v>
      </c>
      <c r="H534" t="s">
        <v>560</v>
      </c>
      <c r="I534">
        <f t="shared" si="60"/>
        <v>6</v>
      </c>
      <c r="J534" t="s">
        <v>546</v>
      </c>
      <c r="K534" s="5">
        <v>55</v>
      </c>
      <c r="L534" t="str">
        <f>Table_DataFromNL[[#This Row],[PROFILECODE]]&amp;"-"&amp;Table_DataFromNL[[#This Row],[RULENAME]]</f>
        <v>CP178-New Donor 6th Visit-Bonus</v>
      </c>
      <c r="M534" t="str">
        <f t="shared" si="61"/>
        <v>CP178-NEW DONOR -6th</v>
      </c>
    </row>
    <row r="535" spans="1:13" x14ac:dyDescent="0.25">
      <c r="A535" t="str">
        <f t="shared" si="62"/>
        <v>CP178-NEW DONOR -7th</v>
      </c>
      <c r="B535" t="s">
        <v>91</v>
      </c>
      <c r="C535" t="str">
        <f t="shared" si="56"/>
        <v>Cleveland OH</v>
      </c>
      <c r="D535" t="str">
        <f t="shared" si="57"/>
        <v>Y</v>
      </c>
      <c r="E535" t="s">
        <v>611</v>
      </c>
      <c r="F535" t="str">
        <f t="shared" si="58"/>
        <v>NEW DONOR -7th</v>
      </c>
      <c r="G535" t="str">
        <f t="shared" si="59"/>
        <v>Marketing</v>
      </c>
      <c r="H535" t="s">
        <v>561</v>
      </c>
      <c r="I535">
        <f t="shared" si="60"/>
        <v>7</v>
      </c>
      <c r="J535" t="s">
        <v>546</v>
      </c>
      <c r="K535" s="5">
        <v>55</v>
      </c>
      <c r="L535" t="str">
        <f>Table_DataFromNL[[#This Row],[PROFILECODE]]&amp;"-"&amp;Table_DataFromNL[[#This Row],[RULENAME]]</f>
        <v>CP178-New Donor 7th Visit-Bonus</v>
      </c>
      <c r="M535" t="str">
        <f t="shared" si="61"/>
        <v>CP178-NEW DONOR -7th</v>
      </c>
    </row>
    <row r="536" spans="1:13" x14ac:dyDescent="0.25">
      <c r="A536" t="str">
        <f t="shared" si="62"/>
        <v>CP178-NEW DONOR -8th</v>
      </c>
      <c r="B536" t="s">
        <v>91</v>
      </c>
      <c r="C536" t="str">
        <f t="shared" si="56"/>
        <v>Cleveland OH</v>
      </c>
      <c r="D536" t="str">
        <f t="shared" si="57"/>
        <v>Y</v>
      </c>
      <c r="E536" t="s">
        <v>611</v>
      </c>
      <c r="F536" t="str">
        <f t="shared" si="58"/>
        <v>NEW DONOR -8th</v>
      </c>
      <c r="G536" t="str">
        <f t="shared" si="59"/>
        <v>Marketing</v>
      </c>
      <c r="H536" t="s">
        <v>562</v>
      </c>
      <c r="I536">
        <f t="shared" si="60"/>
        <v>8</v>
      </c>
      <c r="J536" t="s">
        <v>546</v>
      </c>
      <c r="K536" s="5">
        <v>55</v>
      </c>
      <c r="L536" t="str">
        <f>Table_DataFromNL[[#This Row],[PROFILECODE]]&amp;"-"&amp;Table_DataFromNL[[#This Row],[RULENAME]]</f>
        <v>CP178-New Donor 8th Visit-Bonus</v>
      </c>
      <c r="M536" t="str">
        <f t="shared" si="61"/>
        <v>CP178-NEW DONOR -8th</v>
      </c>
    </row>
    <row r="537" spans="1:13" x14ac:dyDescent="0.25">
      <c r="A537" t="str">
        <f t="shared" si="62"/>
        <v>CP178-Vaccinia - 1st Donation</v>
      </c>
      <c r="B537" t="s">
        <v>91</v>
      </c>
      <c r="C537" t="str">
        <f t="shared" si="56"/>
        <v>Cleveland OH</v>
      </c>
      <c r="D537" t="str">
        <f t="shared" si="57"/>
        <v>Y</v>
      </c>
      <c r="E537" t="s">
        <v>611</v>
      </c>
      <c r="F537" t="str">
        <f t="shared" si="58"/>
        <v>Vaccinia - 1st Donation</v>
      </c>
      <c r="G537" t="str">
        <f t="shared" si="59"/>
        <v>Specialty</v>
      </c>
      <c r="H537" t="s">
        <v>477</v>
      </c>
      <c r="I537">
        <f t="shared" si="60"/>
        <v>0</v>
      </c>
      <c r="J537" t="s">
        <v>546</v>
      </c>
      <c r="K537" s="5">
        <v>150</v>
      </c>
      <c r="L537" t="str">
        <f>Table_DataFromNL[[#This Row],[PROFILECODE]]&amp;"-"&amp;Table_DataFromNL[[#This Row],[RULENAME]]</f>
        <v>CP178-Vaccinia - 1st Donation</v>
      </c>
      <c r="M537" t="str">
        <f t="shared" si="61"/>
        <v>CP178-Vaccinia - 1st Donation</v>
      </c>
    </row>
    <row r="538" spans="1:13" x14ac:dyDescent="0.25">
      <c r="A538" t="str">
        <f t="shared" si="62"/>
        <v>CP178-Vaccinia - 2nd Donation</v>
      </c>
      <c r="B538" t="s">
        <v>91</v>
      </c>
      <c r="C538" t="str">
        <f t="shared" si="56"/>
        <v>Cleveland OH</v>
      </c>
      <c r="D538" t="str">
        <f t="shared" si="57"/>
        <v>Y</v>
      </c>
      <c r="E538" t="s">
        <v>611</v>
      </c>
      <c r="F538" t="str">
        <f t="shared" si="58"/>
        <v>Vaccinia - 2nd Donation</v>
      </c>
      <c r="G538" t="str">
        <f t="shared" si="59"/>
        <v>Specialty</v>
      </c>
      <c r="H538" t="s">
        <v>478</v>
      </c>
      <c r="I538">
        <f t="shared" si="60"/>
        <v>0</v>
      </c>
      <c r="J538" t="s">
        <v>546</v>
      </c>
      <c r="K538" s="5">
        <v>250</v>
      </c>
      <c r="L538" t="str">
        <f>Table_DataFromNL[[#This Row],[PROFILECODE]]&amp;"-"&amp;Table_DataFromNL[[#This Row],[RULENAME]]</f>
        <v>CP178-Vaccinia - 2nd Donation</v>
      </c>
      <c r="M538" t="str">
        <f t="shared" si="61"/>
        <v>CP178-Vaccinia - 2nd Donation</v>
      </c>
    </row>
    <row r="539" spans="1:13" x14ac:dyDescent="0.25">
      <c r="A539" t="str">
        <f t="shared" si="62"/>
        <v>CP178-Vaccinia - 3rd Donation</v>
      </c>
      <c r="B539" t="s">
        <v>91</v>
      </c>
      <c r="C539" t="str">
        <f t="shared" si="56"/>
        <v>Cleveland OH</v>
      </c>
      <c r="D539" t="str">
        <f t="shared" si="57"/>
        <v>Y</v>
      </c>
      <c r="E539" t="s">
        <v>611</v>
      </c>
      <c r="F539" t="str">
        <f t="shared" si="58"/>
        <v>Vaccinia - 3rd Donation</v>
      </c>
      <c r="G539" t="str">
        <f t="shared" si="59"/>
        <v>Specialty</v>
      </c>
      <c r="H539" t="s">
        <v>479</v>
      </c>
      <c r="I539">
        <f t="shared" si="60"/>
        <v>0</v>
      </c>
      <c r="J539" t="s">
        <v>546</v>
      </c>
      <c r="K539" s="5">
        <v>300</v>
      </c>
      <c r="L539" t="str">
        <f>Table_DataFromNL[[#This Row],[PROFILECODE]]&amp;"-"&amp;Table_DataFromNL[[#This Row],[RULENAME]]</f>
        <v>CP178-Vaccinia - 3rd Donation</v>
      </c>
      <c r="M539" t="str">
        <f t="shared" si="61"/>
        <v>CP178-Vaccinia - 3rd Donation</v>
      </c>
    </row>
    <row r="540" spans="1:13" x14ac:dyDescent="0.25">
      <c r="A540" t="str">
        <f t="shared" si="62"/>
        <v>CP178-Vaccinia - 4th Donation</v>
      </c>
      <c r="B540" t="s">
        <v>91</v>
      </c>
      <c r="C540" t="str">
        <f t="shared" si="56"/>
        <v>Cleveland OH</v>
      </c>
      <c r="D540" t="str">
        <f t="shared" si="57"/>
        <v>Y</v>
      </c>
      <c r="E540" t="s">
        <v>611</v>
      </c>
      <c r="F540" t="str">
        <f t="shared" si="58"/>
        <v>Vaccinia - 4th Donation</v>
      </c>
      <c r="G540" t="str">
        <f t="shared" si="59"/>
        <v>Specialty</v>
      </c>
      <c r="H540" t="s">
        <v>480</v>
      </c>
      <c r="I540">
        <f t="shared" si="60"/>
        <v>0</v>
      </c>
      <c r="J540" t="s">
        <v>546</v>
      </c>
      <c r="K540" s="5">
        <v>300</v>
      </c>
      <c r="L540" t="str">
        <f>Table_DataFromNL[[#This Row],[PROFILECODE]]&amp;"-"&amp;Table_DataFromNL[[#This Row],[RULENAME]]</f>
        <v>CP178-Vaccinia - 4th Donation</v>
      </c>
      <c r="M540" t="str">
        <f t="shared" si="61"/>
        <v>CP178-Vaccinia - 4th Donation</v>
      </c>
    </row>
    <row r="541" spans="1:13" x14ac:dyDescent="0.25">
      <c r="A541" t="str">
        <f t="shared" si="62"/>
        <v>CP178-Vaccinia AP - 1st Donation</v>
      </c>
      <c r="B541" t="s">
        <v>91</v>
      </c>
      <c r="C541" t="str">
        <f t="shared" si="56"/>
        <v>Cleveland OH</v>
      </c>
      <c r="D541" t="str">
        <f t="shared" si="57"/>
        <v>Y</v>
      </c>
      <c r="E541" t="s">
        <v>611</v>
      </c>
      <c r="F541" t="str">
        <f t="shared" si="58"/>
        <v>Vaccinia AP - 1st Donation</v>
      </c>
      <c r="G541" t="str">
        <f t="shared" si="59"/>
        <v>Specialty</v>
      </c>
      <c r="H541" t="s">
        <v>481</v>
      </c>
      <c r="I541">
        <f t="shared" si="60"/>
        <v>0</v>
      </c>
      <c r="J541" t="s">
        <v>546</v>
      </c>
      <c r="K541" s="5">
        <v>150</v>
      </c>
      <c r="L541" t="str">
        <f>Table_DataFromNL[[#This Row],[PROFILECODE]]&amp;"-"&amp;Table_DataFromNL[[#This Row],[RULENAME]]</f>
        <v>CP178-Vaccinia AP - 1st Donation</v>
      </c>
      <c r="M541" t="str">
        <f t="shared" si="61"/>
        <v>CP178-Vaccinia AP - 1st Donation</v>
      </c>
    </row>
    <row r="542" spans="1:13" x14ac:dyDescent="0.25">
      <c r="A542" t="str">
        <f t="shared" si="62"/>
        <v>CP178-Vaccinia AP - 2nd Donation</v>
      </c>
      <c r="B542" t="s">
        <v>91</v>
      </c>
      <c r="C542" t="str">
        <f t="shared" si="56"/>
        <v>Cleveland OH</v>
      </c>
      <c r="D542" t="str">
        <f t="shared" si="57"/>
        <v>Y</v>
      </c>
      <c r="E542" t="s">
        <v>611</v>
      </c>
      <c r="F542" t="str">
        <f t="shared" si="58"/>
        <v>Vaccinia AP - 2nd Donation</v>
      </c>
      <c r="G542" t="str">
        <f t="shared" si="59"/>
        <v>Specialty</v>
      </c>
      <c r="H542" t="s">
        <v>482</v>
      </c>
      <c r="I542">
        <f t="shared" si="60"/>
        <v>0</v>
      </c>
      <c r="J542" t="s">
        <v>546</v>
      </c>
      <c r="K542" s="5">
        <v>250</v>
      </c>
      <c r="L542" t="str">
        <f>Table_DataFromNL[[#This Row],[PROFILECODE]]&amp;"-"&amp;Table_DataFromNL[[#This Row],[RULENAME]]</f>
        <v>CP178-Vaccinia AP - 2nd Donation</v>
      </c>
      <c r="M542" t="str">
        <f t="shared" si="61"/>
        <v>CP178-Vaccinia AP - 2nd Donation</v>
      </c>
    </row>
    <row r="543" spans="1:13" x14ac:dyDescent="0.25">
      <c r="A543" t="str">
        <f t="shared" si="62"/>
        <v>CP178-Vaccinia AP - 3rd Donation</v>
      </c>
      <c r="B543" t="s">
        <v>91</v>
      </c>
      <c r="C543" t="str">
        <f t="shared" si="56"/>
        <v>Cleveland OH</v>
      </c>
      <c r="D543" t="str">
        <f t="shared" si="57"/>
        <v>Y</v>
      </c>
      <c r="E543" t="s">
        <v>611</v>
      </c>
      <c r="F543" t="str">
        <f t="shared" si="58"/>
        <v>Vaccinia AP - 3rd Donation</v>
      </c>
      <c r="G543" t="str">
        <f t="shared" si="59"/>
        <v>Specialty</v>
      </c>
      <c r="H543" t="s">
        <v>483</v>
      </c>
      <c r="I543">
        <f t="shared" si="60"/>
        <v>0</v>
      </c>
      <c r="J543" t="s">
        <v>546</v>
      </c>
      <c r="K543" s="5">
        <v>300</v>
      </c>
      <c r="L543" t="str">
        <f>Table_DataFromNL[[#This Row],[PROFILECODE]]&amp;"-"&amp;Table_DataFromNL[[#This Row],[RULENAME]]</f>
        <v>CP178-Vaccinia AP - 3rd Donation</v>
      </c>
      <c r="M543" t="str">
        <f t="shared" si="61"/>
        <v>CP178-Vaccinia AP - 3rd Donation</v>
      </c>
    </row>
    <row r="544" spans="1:13" x14ac:dyDescent="0.25">
      <c r="A544" t="str">
        <f t="shared" si="62"/>
        <v>CP178-Vaccinia AP - 4th Donation</v>
      </c>
      <c r="B544" t="s">
        <v>91</v>
      </c>
      <c r="C544" t="str">
        <f t="shared" si="56"/>
        <v>Cleveland OH</v>
      </c>
      <c r="D544" t="str">
        <f t="shared" si="57"/>
        <v>Y</v>
      </c>
      <c r="E544" t="s">
        <v>611</v>
      </c>
      <c r="F544" t="str">
        <f t="shared" si="58"/>
        <v>Vaccinia AP - 4th Donation</v>
      </c>
      <c r="G544" t="str">
        <f t="shared" si="59"/>
        <v>Specialty</v>
      </c>
      <c r="H544" t="s">
        <v>484</v>
      </c>
      <c r="I544">
        <f t="shared" si="60"/>
        <v>0</v>
      </c>
      <c r="J544" t="s">
        <v>546</v>
      </c>
      <c r="K544" s="5">
        <v>300</v>
      </c>
      <c r="L544" t="str">
        <f>Table_DataFromNL[[#This Row],[PROFILECODE]]&amp;"-"&amp;Table_DataFromNL[[#This Row],[RULENAME]]</f>
        <v>CP178-Vaccinia AP - 4th Donation</v>
      </c>
      <c r="M544" t="str">
        <f t="shared" si="61"/>
        <v>CP178-Vaccinia AP - 4th Donation</v>
      </c>
    </row>
    <row r="545" spans="1:13" x14ac:dyDescent="0.25">
      <c r="A545" t="str">
        <f t="shared" si="62"/>
        <v>CP178-Community</v>
      </c>
      <c r="B545" t="s">
        <v>91</v>
      </c>
      <c r="C545" t="str">
        <f t="shared" si="56"/>
        <v>Cleveland OH</v>
      </c>
      <c r="D545" t="str">
        <f t="shared" si="57"/>
        <v>Y</v>
      </c>
      <c r="E545" t="s">
        <v>611</v>
      </c>
      <c r="F545" t="str">
        <f t="shared" si="58"/>
        <v>Community</v>
      </c>
      <c r="G545">
        <f t="shared" si="59"/>
        <v>0</v>
      </c>
      <c r="H545" t="s">
        <v>563</v>
      </c>
      <c r="I545">
        <f t="shared" si="60"/>
        <v>0</v>
      </c>
      <c r="J545" t="s">
        <v>564</v>
      </c>
      <c r="K545" s="5">
        <v>5</v>
      </c>
      <c r="L545" t="str">
        <f>Table_DataFromNL[[#This Row],[PROFILECODE]]&amp;"-"&amp;Table_DataFromNL[[#This Row],[RULENAME]]</f>
        <v>CP178-Community</v>
      </c>
      <c r="M545" t="e">
        <f t="shared" si="61"/>
        <v>#N/A</v>
      </c>
    </row>
    <row r="546" spans="1:13" x14ac:dyDescent="0.25">
      <c r="A546" t="str">
        <f t="shared" si="62"/>
        <v>CP178-HANGER_RECRUIT_5USD_once</v>
      </c>
      <c r="B546" t="s">
        <v>91</v>
      </c>
      <c r="C546" t="str">
        <f t="shared" si="56"/>
        <v>Cleveland OH</v>
      </c>
      <c r="D546" t="str">
        <f t="shared" si="57"/>
        <v>Y</v>
      </c>
      <c r="E546" t="s">
        <v>611</v>
      </c>
      <c r="F546" t="str">
        <f t="shared" si="58"/>
        <v>HANGER_RECRUIT_5USD_once</v>
      </c>
      <c r="G546">
        <f t="shared" si="59"/>
        <v>0</v>
      </c>
      <c r="H546" t="s">
        <v>565</v>
      </c>
      <c r="I546">
        <f t="shared" si="60"/>
        <v>0</v>
      </c>
      <c r="J546" t="s">
        <v>564</v>
      </c>
      <c r="K546" s="5">
        <v>5</v>
      </c>
      <c r="L546" t="str">
        <f>Table_DataFromNL[[#This Row],[PROFILECODE]]&amp;"-"&amp;Table_DataFromNL[[#This Row],[RULENAME]]</f>
        <v>CP178-HANGER_RECRUIT_5USD_once</v>
      </c>
      <c r="M546" t="e">
        <f t="shared" si="61"/>
        <v>#N/A</v>
      </c>
    </row>
    <row r="547" spans="1:13" x14ac:dyDescent="0.25">
      <c r="A547" t="str">
        <f t="shared" si="62"/>
        <v>CP178-Immunization Boost Payment</v>
      </c>
      <c r="B547" t="s">
        <v>91</v>
      </c>
      <c r="C547" t="str">
        <f t="shared" si="56"/>
        <v>Cleveland OH</v>
      </c>
      <c r="D547" t="str">
        <f t="shared" si="57"/>
        <v>Y</v>
      </c>
      <c r="E547" t="s">
        <v>611</v>
      </c>
      <c r="F547" t="str">
        <f t="shared" si="58"/>
        <v>Immunization Boost Payment</v>
      </c>
      <c r="G547">
        <f t="shared" si="59"/>
        <v>0</v>
      </c>
      <c r="H547" t="s">
        <v>598</v>
      </c>
      <c r="I547">
        <f t="shared" si="60"/>
        <v>0</v>
      </c>
      <c r="J547" t="s">
        <v>564</v>
      </c>
      <c r="K547" s="5">
        <v>50</v>
      </c>
      <c r="L547" t="str">
        <f>Table_DataFromNL[[#This Row],[PROFILECODE]]&amp;"-"&amp;Table_DataFromNL[[#This Row],[RULENAME]]</f>
        <v>CP178-Immunization Boost Payment</v>
      </c>
      <c r="M547" t="e">
        <f t="shared" si="61"/>
        <v>#N/A</v>
      </c>
    </row>
    <row r="548" spans="1:13" x14ac:dyDescent="0.25">
      <c r="A548" t="str">
        <f t="shared" si="62"/>
        <v>CP178-Immunization Series Payment</v>
      </c>
      <c r="B548" t="s">
        <v>91</v>
      </c>
      <c r="C548" t="str">
        <f t="shared" si="56"/>
        <v>Cleveland OH</v>
      </c>
      <c r="D548" t="str">
        <f t="shared" si="57"/>
        <v>Y</v>
      </c>
      <c r="E548" t="s">
        <v>611</v>
      </c>
      <c r="F548" t="str">
        <f t="shared" si="58"/>
        <v>Immunization Series Payment</v>
      </c>
      <c r="G548">
        <f t="shared" si="59"/>
        <v>0</v>
      </c>
      <c r="H548" t="s">
        <v>599</v>
      </c>
      <c r="I548">
        <f t="shared" si="60"/>
        <v>0</v>
      </c>
      <c r="J548" t="s">
        <v>564</v>
      </c>
      <c r="K548" s="5">
        <v>100</v>
      </c>
      <c r="L548" t="str">
        <f>Table_DataFromNL[[#This Row],[PROFILECODE]]&amp;"-"&amp;Table_DataFromNL[[#This Row],[RULENAME]]</f>
        <v>CP178-Immunization Series Payment</v>
      </c>
      <c r="M548" t="e">
        <f t="shared" si="61"/>
        <v>#N/A</v>
      </c>
    </row>
    <row r="549" spans="1:13" x14ac:dyDescent="0.25">
      <c r="A549" t="str">
        <f t="shared" si="62"/>
        <v>CP178-Inconv Fee $20-$50-Comment Req'd</v>
      </c>
      <c r="B549" t="s">
        <v>91</v>
      </c>
      <c r="C549" t="str">
        <f t="shared" si="56"/>
        <v>Cleveland OH</v>
      </c>
      <c r="D549" t="str">
        <f t="shared" si="57"/>
        <v>Y</v>
      </c>
      <c r="E549" t="s">
        <v>611</v>
      </c>
      <c r="F549" t="str">
        <f t="shared" si="58"/>
        <v>Inconv Fee $20-$50-Comment Req'd</v>
      </c>
      <c r="G549">
        <f t="shared" si="59"/>
        <v>0</v>
      </c>
      <c r="H549" t="s">
        <v>566</v>
      </c>
      <c r="I549">
        <f t="shared" si="60"/>
        <v>0</v>
      </c>
      <c r="J549" t="s">
        <v>564</v>
      </c>
      <c r="K549" s="5">
        <v>50</v>
      </c>
      <c r="L549" t="str">
        <f>Table_DataFromNL[[#This Row],[PROFILECODE]]&amp;"-"&amp;Table_DataFromNL[[#This Row],[RULENAME]]</f>
        <v>CP178-Inconv Fee $20-$50-Comment Req'd</v>
      </c>
      <c r="M549" t="e">
        <f t="shared" si="61"/>
        <v>#N/A</v>
      </c>
    </row>
    <row r="550" spans="1:13" x14ac:dyDescent="0.25">
      <c r="A550" t="str">
        <f t="shared" si="62"/>
        <v>CP178-Inconv Fee $5-$20-Comment Req'd</v>
      </c>
      <c r="B550" t="s">
        <v>91</v>
      </c>
      <c r="C550" t="str">
        <f t="shared" si="56"/>
        <v>Cleveland OH</v>
      </c>
      <c r="D550" t="str">
        <f t="shared" si="57"/>
        <v>Y</v>
      </c>
      <c r="E550" t="s">
        <v>611</v>
      </c>
      <c r="F550" t="str">
        <f t="shared" si="58"/>
        <v>Inconv Fee $5-$20-Comment Req'd</v>
      </c>
      <c r="G550">
        <f t="shared" si="59"/>
        <v>0</v>
      </c>
      <c r="H550" t="s">
        <v>567</v>
      </c>
      <c r="I550">
        <f t="shared" si="60"/>
        <v>0</v>
      </c>
      <c r="J550" t="s">
        <v>564</v>
      </c>
      <c r="K550" s="5">
        <v>20</v>
      </c>
      <c r="L550" t="str">
        <f>Table_DataFromNL[[#This Row],[PROFILECODE]]&amp;"-"&amp;Table_DataFromNL[[#This Row],[RULENAME]]</f>
        <v>CP178-Inconv Fee $5-$20-Comment Req'd</v>
      </c>
      <c r="M550" t="e">
        <f t="shared" si="61"/>
        <v>#N/A</v>
      </c>
    </row>
    <row r="551" spans="1:13" x14ac:dyDescent="0.25">
      <c r="A551" t="str">
        <f t="shared" si="62"/>
        <v>CP178-Inconv Fee$50-$100-Comment Req'd</v>
      </c>
      <c r="B551" t="s">
        <v>91</v>
      </c>
      <c r="C551" t="str">
        <f t="shared" si="56"/>
        <v>Cleveland OH</v>
      </c>
      <c r="D551" t="str">
        <f t="shared" si="57"/>
        <v>Y</v>
      </c>
      <c r="E551" t="s">
        <v>611</v>
      </c>
      <c r="F551" t="str">
        <f t="shared" si="58"/>
        <v>Inconv Fee$50-$100-Comment Req'd</v>
      </c>
      <c r="G551">
        <f t="shared" si="59"/>
        <v>0</v>
      </c>
      <c r="H551" t="s">
        <v>568</v>
      </c>
      <c r="I551">
        <f t="shared" si="60"/>
        <v>0</v>
      </c>
      <c r="J551" t="s">
        <v>564</v>
      </c>
      <c r="K551" s="5">
        <v>100</v>
      </c>
      <c r="L551" t="str">
        <f>Table_DataFromNL[[#This Row],[PROFILECODE]]&amp;"-"&amp;Table_DataFromNL[[#This Row],[RULENAME]]</f>
        <v>CP178-Inconv Fee$50-$100-Comment Req'd</v>
      </c>
      <c r="M551" t="e">
        <f t="shared" si="61"/>
        <v>#N/A</v>
      </c>
    </row>
    <row r="552" spans="1:13" x14ac:dyDescent="0.25">
      <c r="A552" t="str">
        <f t="shared" si="62"/>
        <v>CP178-NSP_ LAPSEDONOR_50_Twice</v>
      </c>
      <c r="B552" t="s">
        <v>91</v>
      </c>
      <c r="C552" t="str">
        <f t="shared" si="56"/>
        <v>Cleveland OH</v>
      </c>
      <c r="D552" t="str">
        <f t="shared" si="57"/>
        <v>Y</v>
      </c>
      <c r="E552" t="s">
        <v>611</v>
      </c>
      <c r="F552" t="str">
        <f t="shared" si="58"/>
        <v>NSP_ LAPSEDONOR_50_Twice</v>
      </c>
      <c r="G552">
        <f t="shared" si="59"/>
        <v>0</v>
      </c>
      <c r="H552" t="s">
        <v>569</v>
      </c>
      <c r="I552">
        <f t="shared" si="60"/>
        <v>0</v>
      </c>
      <c r="J552" t="s">
        <v>564</v>
      </c>
      <c r="K552" s="5">
        <v>50</v>
      </c>
      <c r="L552" t="str">
        <f>Table_DataFromNL[[#This Row],[PROFILECODE]]&amp;"-"&amp;Table_DataFromNL[[#This Row],[RULENAME]]</f>
        <v>CP178-NSP_ LAPSEDONOR_50_Twice</v>
      </c>
      <c r="M552" t="e">
        <f t="shared" si="61"/>
        <v>#N/A</v>
      </c>
    </row>
    <row r="553" spans="1:13" x14ac:dyDescent="0.25">
      <c r="A553" t="str">
        <f t="shared" si="62"/>
        <v>CP178-NSP_LD_25_2X</v>
      </c>
      <c r="B553" t="s">
        <v>91</v>
      </c>
      <c r="C553" t="str">
        <f t="shared" si="56"/>
        <v>Cleveland OH</v>
      </c>
      <c r="D553" t="str">
        <f t="shared" si="57"/>
        <v>Y</v>
      </c>
      <c r="E553" t="s">
        <v>611</v>
      </c>
      <c r="F553" t="str">
        <f t="shared" si="58"/>
        <v>NSP_LD_25_2X</v>
      </c>
      <c r="G553">
        <f t="shared" si="59"/>
        <v>0</v>
      </c>
      <c r="H553" t="s">
        <v>570</v>
      </c>
      <c r="I553">
        <f t="shared" si="60"/>
        <v>0</v>
      </c>
      <c r="J553" t="s">
        <v>564</v>
      </c>
      <c r="K553" s="5">
        <v>25</v>
      </c>
      <c r="L553" t="str">
        <f>Table_DataFromNL[[#This Row],[PROFILECODE]]&amp;"-"&amp;Table_DataFromNL[[#This Row],[RULENAME]]</f>
        <v>CP178-NSP_LD_25_2X</v>
      </c>
      <c r="M553" t="e">
        <f t="shared" si="61"/>
        <v>#N/A</v>
      </c>
    </row>
    <row r="554" spans="1:13" x14ac:dyDescent="0.25">
      <c r="A554" t="str">
        <f t="shared" si="62"/>
        <v>CP178-NSP_LD_50_1X</v>
      </c>
      <c r="B554" t="s">
        <v>91</v>
      </c>
      <c r="C554" t="str">
        <f t="shared" si="56"/>
        <v>Cleveland OH</v>
      </c>
      <c r="D554" t="str">
        <f t="shared" si="57"/>
        <v>Y</v>
      </c>
      <c r="E554" t="s">
        <v>611</v>
      </c>
      <c r="F554" t="str">
        <f t="shared" si="58"/>
        <v>NSP_LD_50_1X</v>
      </c>
      <c r="G554">
        <f t="shared" si="59"/>
        <v>0</v>
      </c>
      <c r="H554" t="s">
        <v>571</v>
      </c>
      <c r="I554">
        <f t="shared" si="60"/>
        <v>0</v>
      </c>
      <c r="J554" t="s">
        <v>564</v>
      </c>
      <c r="K554" s="5">
        <v>50</v>
      </c>
      <c r="L554" t="str">
        <f>Table_DataFromNL[[#This Row],[PROFILECODE]]&amp;"-"&amp;Table_DataFromNL[[#This Row],[RULENAME]]</f>
        <v>CP178-NSP_LD_50_1X</v>
      </c>
      <c r="M554" t="e">
        <f t="shared" si="61"/>
        <v>#N/A</v>
      </c>
    </row>
    <row r="555" spans="1:13" x14ac:dyDescent="0.25">
      <c r="A555" t="str">
        <f t="shared" si="62"/>
        <v>CP178-NSP_ORPHAN_100_once</v>
      </c>
      <c r="B555" t="s">
        <v>91</v>
      </c>
      <c r="C555" t="str">
        <f t="shared" si="56"/>
        <v>Cleveland OH</v>
      </c>
      <c r="D555" t="str">
        <f t="shared" si="57"/>
        <v>Y</v>
      </c>
      <c r="E555" t="s">
        <v>611</v>
      </c>
      <c r="F555" t="str">
        <f t="shared" si="58"/>
        <v>NSP_ORPHAN_100_once</v>
      </c>
      <c r="G555">
        <f t="shared" si="59"/>
        <v>0</v>
      </c>
      <c r="H555" t="s">
        <v>572</v>
      </c>
      <c r="I555">
        <f t="shared" si="60"/>
        <v>0</v>
      </c>
      <c r="J555" t="s">
        <v>564</v>
      </c>
      <c r="K555" s="5">
        <v>100</v>
      </c>
      <c r="L555" t="str">
        <f>Table_DataFromNL[[#This Row],[PROFILECODE]]&amp;"-"&amp;Table_DataFromNL[[#This Row],[RULENAME]]</f>
        <v>CP178-NSP_ORPHAN_100_once</v>
      </c>
      <c r="M555" t="e">
        <f t="shared" si="61"/>
        <v>#N/A</v>
      </c>
    </row>
    <row r="556" spans="1:13" x14ac:dyDescent="0.25">
      <c r="A556" t="str">
        <f t="shared" si="62"/>
        <v>CP178-Referral - Vaccinia</v>
      </c>
      <c r="B556" t="s">
        <v>91</v>
      </c>
      <c r="C556" t="str">
        <f t="shared" si="56"/>
        <v>Cleveland OH</v>
      </c>
      <c r="D556" t="str">
        <f t="shared" si="57"/>
        <v>Y</v>
      </c>
      <c r="E556" t="s">
        <v>611</v>
      </c>
      <c r="F556" t="str">
        <f t="shared" si="58"/>
        <v>Referral - Vaccinia</v>
      </c>
      <c r="G556">
        <f t="shared" si="59"/>
        <v>0</v>
      </c>
      <c r="H556" t="s">
        <v>595</v>
      </c>
      <c r="I556">
        <f t="shared" si="60"/>
        <v>0</v>
      </c>
      <c r="J556" t="s">
        <v>564</v>
      </c>
      <c r="K556" s="5">
        <v>250</v>
      </c>
      <c r="L556" t="str">
        <f>Table_DataFromNL[[#This Row],[PROFILECODE]]&amp;"-"&amp;Table_DataFromNL[[#This Row],[RULENAME]]</f>
        <v>CP178-Referral - Vaccinia</v>
      </c>
      <c r="M556" t="e">
        <f t="shared" si="61"/>
        <v>#N/A</v>
      </c>
    </row>
    <row r="557" spans="1:13" x14ac:dyDescent="0.25">
      <c r="A557" t="str">
        <f t="shared" si="62"/>
        <v>CP178-Restick</v>
      </c>
      <c r="B557" t="s">
        <v>91</v>
      </c>
      <c r="C557" t="str">
        <f t="shared" si="56"/>
        <v>Cleveland OH</v>
      </c>
      <c r="D557" t="str">
        <f t="shared" si="57"/>
        <v>Y</v>
      </c>
      <c r="E557" t="s">
        <v>611</v>
      </c>
      <c r="F557" t="str">
        <f t="shared" si="58"/>
        <v>Restick</v>
      </c>
      <c r="G557">
        <f t="shared" si="59"/>
        <v>0</v>
      </c>
      <c r="H557" t="s">
        <v>573</v>
      </c>
      <c r="I557">
        <f t="shared" si="60"/>
        <v>0</v>
      </c>
      <c r="J557" t="s">
        <v>564</v>
      </c>
      <c r="K557" s="5">
        <v>5</v>
      </c>
      <c r="L557" t="str">
        <f>Table_DataFromNL[[#This Row],[PROFILECODE]]&amp;"-"&amp;Table_DataFromNL[[#This Row],[RULENAME]]</f>
        <v>CP178-Restick</v>
      </c>
      <c r="M557" t="e">
        <f t="shared" si="61"/>
        <v>#N/A</v>
      </c>
    </row>
    <row r="558" spans="1:13" x14ac:dyDescent="0.25">
      <c r="A558" t="str">
        <f t="shared" si="62"/>
        <v>CP178-SLOW_TEXT_5</v>
      </c>
      <c r="B558" t="s">
        <v>91</v>
      </c>
      <c r="C558" t="str">
        <f t="shared" si="56"/>
        <v>Cleveland OH</v>
      </c>
      <c r="D558" t="str">
        <f t="shared" si="57"/>
        <v>Y</v>
      </c>
      <c r="E558" t="s">
        <v>611</v>
      </c>
      <c r="F558" t="str">
        <f t="shared" si="58"/>
        <v>SLOW_TEXT_5</v>
      </c>
      <c r="G558">
        <f t="shared" si="59"/>
        <v>0</v>
      </c>
      <c r="H558" t="s">
        <v>574</v>
      </c>
      <c r="I558">
        <f t="shared" si="60"/>
        <v>0</v>
      </c>
      <c r="J558" t="s">
        <v>564</v>
      </c>
      <c r="K558" s="5">
        <v>5</v>
      </c>
      <c r="L558" t="str">
        <f>Table_DataFromNL[[#This Row],[PROFILECODE]]&amp;"-"&amp;Table_DataFromNL[[#This Row],[RULENAME]]</f>
        <v>CP178-SLOW_TEXT_5</v>
      </c>
      <c r="M558" t="e">
        <f t="shared" si="61"/>
        <v>#N/A</v>
      </c>
    </row>
    <row r="559" spans="1:13" x14ac:dyDescent="0.25">
      <c r="A559" t="str">
        <f t="shared" si="62"/>
        <v>CP178-Sample Only</v>
      </c>
      <c r="B559" t="s">
        <v>91</v>
      </c>
      <c r="C559" t="str">
        <f t="shared" si="56"/>
        <v>Cleveland OH</v>
      </c>
      <c r="D559" t="str">
        <f t="shared" si="57"/>
        <v>Y</v>
      </c>
      <c r="E559" t="s">
        <v>611</v>
      </c>
      <c r="F559" t="str">
        <f t="shared" si="58"/>
        <v>Sample Only</v>
      </c>
      <c r="G559">
        <f t="shared" si="59"/>
        <v>0</v>
      </c>
      <c r="H559" t="s">
        <v>575</v>
      </c>
      <c r="I559">
        <f t="shared" si="60"/>
        <v>0</v>
      </c>
      <c r="J559" t="s">
        <v>564</v>
      </c>
      <c r="K559" s="5">
        <v>5</v>
      </c>
      <c r="L559" t="str">
        <f>Table_DataFromNL[[#This Row],[PROFILECODE]]&amp;"-"&amp;Table_DataFromNL[[#This Row],[RULENAME]]</f>
        <v>CP178-Sample Only</v>
      </c>
      <c r="M559" t="e">
        <f t="shared" si="61"/>
        <v>#N/A</v>
      </c>
    </row>
    <row r="560" spans="1:13" x14ac:dyDescent="0.25">
      <c r="A560" t="str">
        <f t="shared" si="62"/>
        <v>CP178-Unit Below 250 mL</v>
      </c>
      <c r="B560" t="s">
        <v>91</v>
      </c>
      <c r="C560" t="str">
        <f t="shared" si="56"/>
        <v>Cleveland OH</v>
      </c>
      <c r="D560" t="str">
        <f t="shared" si="57"/>
        <v>Y</v>
      </c>
      <c r="E560" t="s">
        <v>611</v>
      </c>
      <c r="F560" t="str">
        <f t="shared" si="58"/>
        <v>Unit Below 250 mL</v>
      </c>
      <c r="G560">
        <f t="shared" si="59"/>
        <v>0</v>
      </c>
      <c r="H560" t="s">
        <v>576</v>
      </c>
      <c r="I560">
        <f t="shared" si="60"/>
        <v>0</v>
      </c>
      <c r="J560" t="s">
        <v>564</v>
      </c>
      <c r="K560" s="5">
        <v>5</v>
      </c>
      <c r="L560" t="str">
        <f>Table_DataFromNL[[#This Row],[PROFILECODE]]&amp;"-"&amp;Table_DataFromNL[[#This Row],[RULENAME]]</f>
        <v>CP178-Unit Below 250 mL</v>
      </c>
      <c r="M560" t="e">
        <f t="shared" si="61"/>
        <v>#N/A</v>
      </c>
    </row>
    <row r="561" spans="1:13" x14ac:dyDescent="0.25">
      <c r="A561" t="str">
        <f t="shared" si="62"/>
        <v>CP178-Unit above 250 mL/underdraw</v>
      </c>
      <c r="B561" t="s">
        <v>91</v>
      </c>
      <c r="C561" t="str">
        <f t="shared" si="56"/>
        <v>Cleveland OH</v>
      </c>
      <c r="D561" t="str">
        <f t="shared" si="57"/>
        <v>Y</v>
      </c>
      <c r="E561" t="s">
        <v>611</v>
      </c>
      <c r="F561" t="str">
        <f t="shared" si="58"/>
        <v>Unit above 250 mL/underdraw</v>
      </c>
      <c r="G561">
        <f t="shared" si="59"/>
        <v>0</v>
      </c>
      <c r="H561" t="s">
        <v>577</v>
      </c>
      <c r="I561">
        <f t="shared" si="60"/>
        <v>0</v>
      </c>
      <c r="J561" t="s">
        <v>564</v>
      </c>
      <c r="K561" s="5">
        <v>10</v>
      </c>
      <c r="L561" t="str">
        <f>Table_DataFromNL[[#This Row],[PROFILECODE]]&amp;"-"&amp;Table_DataFromNL[[#This Row],[RULENAME]]</f>
        <v>CP178-Unit above 250 mL/underdraw</v>
      </c>
      <c r="M561" t="e">
        <f t="shared" si="61"/>
        <v>#N/A</v>
      </c>
    </row>
    <row r="562" spans="1:13" x14ac:dyDescent="0.25">
      <c r="A562" t="str">
        <f t="shared" si="62"/>
        <v>CP178-Vaccinia Immunization</v>
      </c>
      <c r="B562" t="s">
        <v>91</v>
      </c>
      <c r="C562" t="str">
        <f t="shared" si="56"/>
        <v>Cleveland OH</v>
      </c>
      <c r="D562" t="str">
        <f t="shared" si="57"/>
        <v>Y</v>
      </c>
      <c r="E562" t="s">
        <v>611</v>
      </c>
      <c r="F562" t="str">
        <f t="shared" si="58"/>
        <v>Vaccinia Immunization</v>
      </c>
      <c r="G562">
        <f t="shared" si="59"/>
        <v>0</v>
      </c>
      <c r="H562" t="s">
        <v>596</v>
      </c>
      <c r="I562">
        <f t="shared" si="60"/>
        <v>0</v>
      </c>
      <c r="J562" t="s">
        <v>564</v>
      </c>
      <c r="K562" s="5">
        <v>100</v>
      </c>
      <c r="L562" t="str">
        <f>Table_DataFromNL[[#This Row],[PROFILECODE]]&amp;"-"&amp;Table_DataFromNL[[#This Row],[RULENAME]]</f>
        <v>CP178-Vaccinia Immunization</v>
      </c>
      <c r="M562" t="e">
        <f t="shared" si="61"/>
        <v>#N/A</v>
      </c>
    </row>
    <row r="563" spans="1:13" x14ac:dyDescent="0.25">
      <c r="A563" t="str">
        <f t="shared" si="62"/>
        <v>CP178-RETURN - Buddy referral  -BONUS</v>
      </c>
      <c r="B563" t="s">
        <v>91</v>
      </c>
      <c r="C563" t="str">
        <f t="shared" si="56"/>
        <v>Cleveland OH</v>
      </c>
      <c r="D563" t="str">
        <f t="shared" si="57"/>
        <v>Y</v>
      </c>
      <c r="E563" t="s">
        <v>611</v>
      </c>
      <c r="F563" t="str">
        <f t="shared" si="58"/>
        <v>RETURN - Buddy referral  -BONUS</v>
      </c>
      <c r="G563" t="str">
        <f t="shared" si="59"/>
        <v>Marketing</v>
      </c>
      <c r="H563" t="s">
        <v>34</v>
      </c>
      <c r="I563">
        <f t="shared" si="60"/>
        <v>50</v>
      </c>
      <c r="J563" t="s">
        <v>578</v>
      </c>
      <c r="K563" s="5">
        <v>0</v>
      </c>
      <c r="L563" t="str">
        <f>Table_DataFromNL[[#This Row],[PROFILECODE]]&amp;"-"&amp;Table_DataFromNL[[#This Row],[RULENAME]]</f>
        <v>CP178-Referral</v>
      </c>
      <c r="M563" t="str">
        <f t="shared" si="61"/>
        <v>CP178-RETURN - Buddy referral  -BONUS</v>
      </c>
    </row>
    <row r="564" spans="1:13" x14ac:dyDescent="0.25">
      <c r="A564" t="str">
        <f t="shared" si="62"/>
        <v>CP178-P Anti-D Pre-Existing Standard</v>
      </c>
      <c r="B564" t="s">
        <v>91</v>
      </c>
      <c r="C564" t="str">
        <f t="shared" si="56"/>
        <v>Cleveland OH</v>
      </c>
      <c r="D564" t="str">
        <f t="shared" si="57"/>
        <v>Y</v>
      </c>
      <c r="E564" t="s">
        <v>611</v>
      </c>
      <c r="F564" t="str">
        <f t="shared" si="58"/>
        <v>P Anti-D Pre-Existing Standard</v>
      </c>
      <c r="G564" t="str">
        <f t="shared" si="59"/>
        <v>Specialty</v>
      </c>
      <c r="H564" t="s">
        <v>469</v>
      </c>
      <c r="I564" t="str">
        <f t="shared" si="60"/>
        <v>RETURN - 1st don of the week -STD</v>
      </c>
      <c r="J564" t="s">
        <v>579</v>
      </c>
      <c r="K564" s="5">
        <v>50</v>
      </c>
      <c r="L564" t="str">
        <f>Table_DataFromNL[[#This Row],[PROFILECODE]]&amp;"-"&amp;Table_DataFromNL[[#This Row],[RULENAME]]</f>
        <v>CP178-P Anti-D Pre-Existing Standard</v>
      </c>
      <c r="M564" t="str">
        <f t="shared" si="61"/>
        <v>CP178-P Anti-D Pre-Existing Standard</v>
      </c>
    </row>
    <row r="565" spans="1:13" x14ac:dyDescent="0.25">
      <c r="A565" t="str">
        <f t="shared" si="62"/>
        <v>CP178-RETURN - 1st don of the week -STD</v>
      </c>
      <c r="B565" t="s">
        <v>91</v>
      </c>
      <c r="C565" t="str">
        <f t="shared" si="56"/>
        <v>Cleveland OH</v>
      </c>
      <c r="D565" t="str">
        <f t="shared" si="57"/>
        <v>Y</v>
      </c>
      <c r="E565" t="s">
        <v>611</v>
      </c>
      <c r="F565" t="str">
        <f t="shared" si="58"/>
        <v>RETURN - 1st don of the week -STD</v>
      </c>
      <c r="G565" t="str">
        <f t="shared" si="59"/>
        <v>Marketing</v>
      </c>
      <c r="H565" t="s">
        <v>583</v>
      </c>
      <c r="I565">
        <f t="shared" si="60"/>
        <v>22</v>
      </c>
      <c r="J565" t="s">
        <v>579</v>
      </c>
      <c r="K565" s="5">
        <v>55</v>
      </c>
      <c r="L565" t="str">
        <f>Table_DataFromNL[[#This Row],[PROFILECODE]]&amp;"-"&amp;Table_DataFromNL[[#This Row],[RULENAME]]</f>
        <v>CP178-P NSP NS AP Standard</v>
      </c>
      <c r="M565" t="str">
        <f t="shared" si="61"/>
        <v>CP178-RETURN - 1st don of the week -STD</v>
      </c>
    </row>
    <row r="566" spans="1:13" x14ac:dyDescent="0.25">
      <c r="A566" t="str">
        <f t="shared" si="62"/>
        <v>CP178-RETURN - 1st don of the week -STD</v>
      </c>
      <c r="B566" t="s">
        <v>91</v>
      </c>
      <c r="C566" t="str">
        <f t="shared" si="56"/>
        <v>Cleveland OH</v>
      </c>
      <c r="D566" t="str">
        <f t="shared" si="57"/>
        <v>Y</v>
      </c>
      <c r="E566" t="s">
        <v>611</v>
      </c>
      <c r="F566" t="str">
        <f t="shared" si="58"/>
        <v>RETURN - 1st don of the week -STD</v>
      </c>
      <c r="G566" t="str">
        <f t="shared" si="59"/>
        <v>Marketing</v>
      </c>
      <c r="H566" t="s">
        <v>584</v>
      </c>
      <c r="I566">
        <f t="shared" si="60"/>
        <v>23</v>
      </c>
      <c r="J566" t="s">
        <v>579</v>
      </c>
      <c r="K566" s="5">
        <v>55</v>
      </c>
      <c r="L566" t="str">
        <f>Table_DataFromNL[[#This Row],[PROFILECODE]]&amp;"-"&amp;Table_DataFromNL[[#This Row],[RULENAME]]</f>
        <v>CP178-P NSP NS Standard</v>
      </c>
      <c r="M566" t="str">
        <f t="shared" si="61"/>
        <v>CP178-RETURN - 1st don of the week -STD</v>
      </c>
    </row>
    <row r="567" spans="1:13" x14ac:dyDescent="0.25">
      <c r="A567" t="str">
        <f t="shared" si="62"/>
        <v>CP178-P VZV Pre-Existing AP</v>
      </c>
      <c r="B567" t="s">
        <v>91</v>
      </c>
      <c r="C567" t="str">
        <f t="shared" si="56"/>
        <v>Cleveland OH</v>
      </c>
      <c r="D567" t="str">
        <f t="shared" si="57"/>
        <v>Y</v>
      </c>
      <c r="E567" t="s">
        <v>611</v>
      </c>
      <c r="F567" t="str">
        <f t="shared" si="58"/>
        <v>P VZV Pre-Existing AP</v>
      </c>
      <c r="G567" t="str">
        <f t="shared" si="59"/>
        <v>Specialty</v>
      </c>
      <c r="H567" t="s">
        <v>495</v>
      </c>
      <c r="I567" t="str">
        <f t="shared" si="60"/>
        <v>RETURN - 1st don of the week -STD</v>
      </c>
      <c r="J567" t="s">
        <v>579</v>
      </c>
      <c r="K567" s="5">
        <v>65</v>
      </c>
      <c r="L567" t="str">
        <f>Table_DataFromNL[[#This Row],[PROFILECODE]]&amp;"-"&amp;Table_DataFromNL[[#This Row],[RULENAME]]</f>
        <v>CP178-P VZV Pre-Existing AP</v>
      </c>
      <c r="M567" t="str">
        <f t="shared" si="61"/>
        <v>CP178-P VZV Pre-Existing AP</v>
      </c>
    </row>
    <row r="568" spans="1:13" x14ac:dyDescent="0.25">
      <c r="A568" t="str">
        <f t="shared" si="62"/>
        <v>CP178-P VZV Standard</v>
      </c>
      <c r="B568" t="s">
        <v>91</v>
      </c>
      <c r="C568" t="str">
        <f t="shared" si="56"/>
        <v>Cleveland OH</v>
      </c>
      <c r="D568" t="str">
        <f t="shared" si="57"/>
        <v>Y</v>
      </c>
      <c r="E568" t="s">
        <v>611</v>
      </c>
      <c r="F568" t="str">
        <f t="shared" si="58"/>
        <v>P VZV Standard</v>
      </c>
      <c r="G568" t="str">
        <f t="shared" si="59"/>
        <v>Specialty</v>
      </c>
      <c r="H568" t="s">
        <v>496</v>
      </c>
      <c r="I568" t="str">
        <f t="shared" si="60"/>
        <v>RETURN - 1st don of the week -STD</v>
      </c>
      <c r="J568" t="s">
        <v>579</v>
      </c>
      <c r="K568" s="5">
        <v>65</v>
      </c>
      <c r="L568" t="str">
        <f>Table_DataFromNL[[#This Row],[PROFILECODE]]&amp;"-"&amp;Table_DataFromNL[[#This Row],[RULENAME]]</f>
        <v>CP178-P VZV Standard</v>
      </c>
      <c r="M568" t="str">
        <f t="shared" si="61"/>
        <v>CP178-P VZV Standard</v>
      </c>
    </row>
    <row r="569" spans="1:13" x14ac:dyDescent="0.25">
      <c r="A569" t="str">
        <f t="shared" si="62"/>
        <v>CP178-P Vaccinia AP Standard</v>
      </c>
      <c r="B569" t="s">
        <v>91</v>
      </c>
      <c r="C569" t="str">
        <f t="shared" si="56"/>
        <v>Cleveland OH</v>
      </c>
      <c r="D569" t="str">
        <f t="shared" si="57"/>
        <v>Y</v>
      </c>
      <c r="E569" t="s">
        <v>611</v>
      </c>
      <c r="F569" t="str">
        <f t="shared" si="58"/>
        <v>P Vaccinia AP Standard</v>
      </c>
      <c r="G569" t="str">
        <f t="shared" si="59"/>
        <v>Specialty</v>
      </c>
      <c r="H569" t="s">
        <v>475</v>
      </c>
      <c r="I569">
        <f t="shared" si="60"/>
        <v>0</v>
      </c>
      <c r="J569" t="s">
        <v>579</v>
      </c>
      <c r="K569" s="5">
        <v>100</v>
      </c>
      <c r="L569" t="str">
        <f>Table_DataFromNL[[#This Row],[PROFILECODE]]&amp;"-"&amp;Table_DataFromNL[[#This Row],[RULENAME]]</f>
        <v>CP178-P Vaccinia AP Standard</v>
      </c>
      <c r="M569" t="str">
        <f t="shared" si="61"/>
        <v>CP178-P Vaccinia AP Standard</v>
      </c>
    </row>
    <row r="570" spans="1:13" x14ac:dyDescent="0.25">
      <c r="A570" t="str">
        <f t="shared" si="62"/>
        <v>CP178-P Vaccinia Standard</v>
      </c>
      <c r="B570" t="s">
        <v>91</v>
      </c>
      <c r="C570" t="str">
        <f t="shared" si="56"/>
        <v>Cleveland OH</v>
      </c>
      <c r="D570" t="str">
        <f t="shared" si="57"/>
        <v>Y</v>
      </c>
      <c r="E570" t="s">
        <v>611</v>
      </c>
      <c r="F570" t="str">
        <f t="shared" si="58"/>
        <v>P Vaccinia Standard</v>
      </c>
      <c r="G570" t="str">
        <f t="shared" si="59"/>
        <v>Specialty</v>
      </c>
      <c r="H570" t="s">
        <v>476</v>
      </c>
      <c r="I570">
        <f t="shared" si="60"/>
        <v>0</v>
      </c>
      <c r="J570" t="s">
        <v>579</v>
      </c>
      <c r="K570" s="5">
        <v>100</v>
      </c>
      <c r="L570" t="str">
        <f>Table_DataFromNL[[#This Row],[PROFILECODE]]&amp;"-"&amp;Table_DataFromNL[[#This Row],[RULENAME]]</f>
        <v>CP178-P Vaccinia Standard</v>
      </c>
      <c r="M570" t="str">
        <f t="shared" si="61"/>
        <v>CP178-P Vaccinia Standard</v>
      </c>
    </row>
    <row r="571" spans="1:13" x14ac:dyDescent="0.25">
      <c r="A571" t="str">
        <f t="shared" si="62"/>
        <v>CP178-PVZV Pre-Existing Standard</v>
      </c>
      <c r="B571" t="s">
        <v>91</v>
      </c>
      <c r="C571" t="str">
        <f t="shared" si="56"/>
        <v>Cleveland OH</v>
      </c>
      <c r="D571" t="str">
        <f t="shared" si="57"/>
        <v>Y</v>
      </c>
      <c r="E571" t="s">
        <v>611</v>
      </c>
      <c r="F571" t="str">
        <f t="shared" si="58"/>
        <v>PVZV Pre-Existing Standard</v>
      </c>
      <c r="G571" t="str">
        <f t="shared" si="59"/>
        <v>Specialty</v>
      </c>
      <c r="H571" t="s">
        <v>497</v>
      </c>
      <c r="I571" t="str">
        <f t="shared" si="60"/>
        <v>RETURN - 1st don of the week -STD</v>
      </c>
      <c r="J571" t="s">
        <v>579</v>
      </c>
      <c r="K571" s="5">
        <v>65</v>
      </c>
      <c r="L571" t="str">
        <f>Table_DataFromNL[[#This Row],[PROFILECODE]]&amp;"-"&amp;Table_DataFromNL[[#This Row],[RULENAME]]</f>
        <v>CP178-PVZV Pre-Existing Standard</v>
      </c>
      <c r="M571" t="str">
        <f t="shared" si="61"/>
        <v>CP178-PVZV Pre-Existing Standard</v>
      </c>
    </row>
    <row r="572" spans="1:13" x14ac:dyDescent="0.25">
      <c r="A572" t="str">
        <f t="shared" si="62"/>
        <v>CP686-1st Responder-Medical</v>
      </c>
      <c r="B572" t="s">
        <v>325</v>
      </c>
      <c r="C572" t="str">
        <f t="shared" si="56"/>
        <v>Cocoa Beach</v>
      </c>
      <c r="D572" t="str">
        <f t="shared" si="57"/>
        <v>Y</v>
      </c>
      <c r="E572" t="s">
        <v>612</v>
      </c>
      <c r="F572" t="str">
        <f t="shared" si="58"/>
        <v>1st Responder-Medical</v>
      </c>
      <c r="G572">
        <f t="shared" si="59"/>
        <v>0</v>
      </c>
      <c r="H572" t="s">
        <v>545</v>
      </c>
      <c r="I572">
        <f t="shared" si="60"/>
        <v>0</v>
      </c>
      <c r="J572" t="s">
        <v>546</v>
      </c>
      <c r="K572" s="5">
        <v>5</v>
      </c>
      <c r="L572" t="str">
        <f>Table_DataFromNL[[#This Row],[PROFILECODE]]&amp;"-"&amp;Table_DataFromNL[[#This Row],[RULENAME]]</f>
        <v>CP686-1st Responder-Medical</v>
      </c>
      <c r="M572" t="e">
        <f t="shared" si="61"/>
        <v>#N/A</v>
      </c>
    </row>
    <row r="573" spans="1:13" x14ac:dyDescent="0.25">
      <c r="A573" t="str">
        <f t="shared" si="62"/>
        <v>CP686-RETURN - 2nd don of the week -BONUS</v>
      </c>
      <c r="B573" t="s">
        <v>325</v>
      </c>
      <c r="C573" t="str">
        <f t="shared" si="56"/>
        <v>Cocoa Beach</v>
      </c>
      <c r="D573" t="str">
        <f t="shared" si="57"/>
        <v>Y</v>
      </c>
      <c r="E573" t="s">
        <v>612</v>
      </c>
      <c r="F573" t="str">
        <f t="shared" si="58"/>
        <v>RETURN - 2nd don of the week -BONUS</v>
      </c>
      <c r="G573" t="str">
        <f t="shared" si="59"/>
        <v>Marketing</v>
      </c>
      <c r="H573" t="s">
        <v>550</v>
      </c>
      <c r="I573">
        <f t="shared" si="60"/>
        <v>26</v>
      </c>
      <c r="J573" t="s">
        <v>546</v>
      </c>
      <c r="K573" s="5">
        <v>60</v>
      </c>
      <c r="L573" t="str">
        <f>Table_DataFromNL[[#This Row],[PROFILECODE]]&amp;"-"&amp;Table_DataFromNL[[#This Row],[RULENAME]]</f>
        <v>CP686-2X Week P NSP NS</v>
      </c>
      <c r="M573" t="str">
        <f t="shared" si="61"/>
        <v>CP686-RETURN - 2nd don of the week -BONUS</v>
      </c>
    </row>
    <row r="574" spans="1:13" x14ac:dyDescent="0.25">
      <c r="A574" t="str">
        <f t="shared" si="62"/>
        <v>CP686-RETURN - 2nd don of the week -BONUS</v>
      </c>
      <c r="B574" t="s">
        <v>325</v>
      </c>
      <c r="C574" t="str">
        <f t="shared" si="56"/>
        <v>Cocoa Beach</v>
      </c>
      <c r="D574" t="str">
        <f t="shared" si="57"/>
        <v>Y</v>
      </c>
      <c r="E574" t="s">
        <v>612</v>
      </c>
      <c r="F574" t="str">
        <f t="shared" si="58"/>
        <v>RETURN - 2nd don of the week -BONUS</v>
      </c>
      <c r="G574" t="str">
        <f t="shared" si="59"/>
        <v>Marketing</v>
      </c>
      <c r="H574" t="s">
        <v>551</v>
      </c>
      <c r="I574" t="str">
        <f t="shared" si="60"/>
        <v>RETURN - 2nd don of the week -BONUS</v>
      </c>
      <c r="J574" t="s">
        <v>546</v>
      </c>
      <c r="K574" s="5">
        <v>60</v>
      </c>
      <c r="L574" t="str">
        <f>Table_DataFromNL[[#This Row],[PROFILECODE]]&amp;"-"&amp;Table_DataFromNL[[#This Row],[RULENAME]]</f>
        <v>CP686-2X Week P NSP NS AP</v>
      </c>
      <c r="M574" t="str">
        <f t="shared" si="61"/>
        <v>CP686-RETURN - 2nd don of the week -BONUS</v>
      </c>
    </row>
    <row r="575" spans="1:13" x14ac:dyDescent="0.25">
      <c r="A575" t="str">
        <f t="shared" si="62"/>
        <v>CP686-College ID Standard Bonus</v>
      </c>
      <c r="B575" t="s">
        <v>325</v>
      </c>
      <c r="C575" t="str">
        <f t="shared" si="56"/>
        <v>Cocoa Beach</v>
      </c>
      <c r="D575" t="str">
        <f t="shared" si="57"/>
        <v>Y</v>
      </c>
      <c r="E575" t="s">
        <v>612</v>
      </c>
      <c r="F575" t="str">
        <f t="shared" si="58"/>
        <v>College ID Standard Bonus</v>
      </c>
      <c r="G575">
        <f t="shared" si="59"/>
        <v>0</v>
      </c>
      <c r="H575" t="s">
        <v>553</v>
      </c>
      <c r="I575">
        <f t="shared" si="60"/>
        <v>0</v>
      </c>
      <c r="J575" t="s">
        <v>546</v>
      </c>
      <c r="K575" s="5">
        <v>5</v>
      </c>
      <c r="L575" t="str">
        <f>Table_DataFromNL[[#This Row],[PROFILECODE]]&amp;"-"&amp;Table_DataFromNL[[#This Row],[RULENAME]]</f>
        <v>CP686-College ID Standard Bonus</v>
      </c>
      <c r="M575" t="e">
        <f t="shared" si="61"/>
        <v>#N/A</v>
      </c>
    </row>
    <row r="576" spans="1:13" x14ac:dyDescent="0.25">
      <c r="A576" t="str">
        <f t="shared" si="62"/>
        <v>CP686-Military ID</v>
      </c>
      <c r="B576" t="s">
        <v>325</v>
      </c>
      <c r="C576" t="str">
        <f t="shared" si="56"/>
        <v>Cocoa Beach</v>
      </c>
      <c r="D576" t="str">
        <f t="shared" si="57"/>
        <v>Y</v>
      </c>
      <c r="E576" t="s">
        <v>612</v>
      </c>
      <c r="F576" t="str">
        <f t="shared" si="58"/>
        <v>Military ID</v>
      </c>
      <c r="G576">
        <f t="shared" si="59"/>
        <v>0</v>
      </c>
      <c r="H576" t="s">
        <v>554</v>
      </c>
      <c r="I576">
        <f t="shared" si="60"/>
        <v>0</v>
      </c>
      <c r="J576" t="s">
        <v>546</v>
      </c>
      <c r="K576" s="5">
        <v>5</v>
      </c>
      <c r="L576" t="str">
        <f>Table_DataFromNL[[#This Row],[PROFILECODE]]&amp;"-"&amp;Table_DataFromNL[[#This Row],[RULENAME]]</f>
        <v>CP686-Military ID</v>
      </c>
      <c r="M576" t="e">
        <f t="shared" si="61"/>
        <v>#N/A</v>
      </c>
    </row>
    <row r="577" spans="1:13" x14ac:dyDescent="0.25">
      <c r="A577" t="str">
        <f t="shared" si="62"/>
        <v>CP686-NEW DONOR -1st</v>
      </c>
      <c r="B577" t="s">
        <v>325</v>
      </c>
      <c r="C577" t="str">
        <f t="shared" si="56"/>
        <v>Cocoa Beach</v>
      </c>
      <c r="D577" t="str">
        <f t="shared" si="57"/>
        <v>Y</v>
      </c>
      <c r="E577" t="s">
        <v>612</v>
      </c>
      <c r="F577" t="str">
        <f t="shared" si="58"/>
        <v>NEW DONOR -1st</v>
      </c>
      <c r="G577" t="str">
        <f t="shared" si="59"/>
        <v>Marketing</v>
      </c>
      <c r="H577" t="s">
        <v>555</v>
      </c>
      <c r="I577">
        <f t="shared" si="60"/>
        <v>1</v>
      </c>
      <c r="J577" t="s">
        <v>546</v>
      </c>
      <c r="K577" s="5">
        <v>100</v>
      </c>
      <c r="L577" t="str">
        <f>Table_DataFromNL[[#This Row],[PROFILECODE]]&amp;"-"&amp;Table_DataFromNL[[#This Row],[RULENAME]]</f>
        <v>CP686-New Donor 1st Visit-Bonus</v>
      </c>
      <c r="M577" t="str">
        <f t="shared" si="61"/>
        <v>CP686-NEW DONOR -1st</v>
      </c>
    </row>
    <row r="578" spans="1:13" x14ac:dyDescent="0.25">
      <c r="A578" t="str">
        <f t="shared" si="62"/>
        <v>CP686-NEW DONOR -2nd</v>
      </c>
      <c r="B578" t="s">
        <v>325</v>
      </c>
      <c r="C578" t="str">
        <f t="shared" ref="C578:C641" si="63">VLOOKUP(B578,CenterLU,2,FALSE)</f>
        <v>Cocoa Beach</v>
      </c>
      <c r="D578" t="str">
        <f t="shared" ref="D578:D641" si="64">VLOOKUP(B578,CenterLU,3,FALSE)</f>
        <v>Y</v>
      </c>
      <c r="E578" t="s">
        <v>612</v>
      </c>
      <c r="F578" t="str">
        <f t="shared" ref="F578:F641" si="65">IF(VLOOKUP(H578,RULENAMELU,3,FALSE)=0,H578,VLOOKUP(H578,RULENAMELU,3,FALSE))</f>
        <v>NEW DONOR -2nd</v>
      </c>
      <c r="G578" t="str">
        <f t="shared" ref="G578:G641" si="66">VLOOKUP(H578,RULENAMELU,4,FALSE)</f>
        <v>Marketing</v>
      </c>
      <c r="H578" t="s">
        <v>556</v>
      </c>
      <c r="I578">
        <f t="shared" ref="I578:I641" si="67">VLOOKUP(H578,RULENAMELU,5,FALSE)</f>
        <v>2</v>
      </c>
      <c r="J578" t="s">
        <v>546</v>
      </c>
      <c r="K578" s="5">
        <v>100</v>
      </c>
      <c r="L578" t="str">
        <f>Table_DataFromNL[[#This Row],[PROFILECODE]]&amp;"-"&amp;Table_DataFromNL[[#This Row],[RULENAME]]</f>
        <v>CP686-New Donor 2nd Visit-Bonus</v>
      </c>
      <c r="M578" t="str">
        <f t="shared" ref="M578:M641" si="68">IFERROR(VLOOKUP(A578,PaychangesLU,1,FALSE),VLOOKUP(A578,SpecialtyCheckLU,1,FALSE))</f>
        <v>CP686-NEW DONOR -2nd</v>
      </c>
    </row>
    <row r="579" spans="1:13" x14ac:dyDescent="0.25">
      <c r="A579" t="str">
        <f t="shared" ref="A579:A642" si="69">B579&amp;"-"&amp;F579</f>
        <v>CP686-NEW DONOR -3rd</v>
      </c>
      <c r="B579" t="s">
        <v>325</v>
      </c>
      <c r="C579" t="str">
        <f t="shared" si="63"/>
        <v>Cocoa Beach</v>
      </c>
      <c r="D579" t="str">
        <f t="shared" si="64"/>
        <v>Y</v>
      </c>
      <c r="E579" t="s">
        <v>612</v>
      </c>
      <c r="F579" t="str">
        <f t="shared" si="65"/>
        <v>NEW DONOR -3rd</v>
      </c>
      <c r="G579" t="str">
        <f t="shared" si="66"/>
        <v>Marketing</v>
      </c>
      <c r="H579" t="s">
        <v>557</v>
      </c>
      <c r="I579">
        <f t="shared" si="67"/>
        <v>3</v>
      </c>
      <c r="J579" t="s">
        <v>546</v>
      </c>
      <c r="K579" s="5">
        <v>30</v>
      </c>
      <c r="L579" t="str">
        <f>Table_DataFromNL[[#This Row],[PROFILECODE]]&amp;"-"&amp;Table_DataFromNL[[#This Row],[RULENAME]]</f>
        <v>CP686-New Donor 3rd Visit-Bonus</v>
      </c>
      <c r="M579" t="str">
        <f t="shared" si="68"/>
        <v>CP686-NEW DONOR -3rd</v>
      </c>
    </row>
    <row r="580" spans="1:13" x14ac:dyDescent="0.25">
      <c r="A580" t="str">
        <f t="shared" si="69"/>
        <v>CP686-NEW DONOR -4th</v>
      </c>
      <c r="B580" t="s">
        <v>325</v>
      </c>
      <c r="C580" t="str">
        <f t="shared" si="63"/>
        <v>Cocoa Beach</v>
      </c>
      <c r="D580" t="str">
        <f t="shared" si="64"/>
        <v>Y</v>
      </c>
      <c r="E580" t="s">
        <v>612</v>
      </c>
      <c r="F580" t="str">
        <f t="shared" si="65"/>
        <v>NEW DONOR -4th</v>
      </c>
      <c r="G580" t="str">
        <f t="shared" si="66"/>
        <v>Marketing</v>
      </c>
      <c r="H580" t="s">
        <v>558</v>
      </c>
      <c r="I580">
        <f t="shared" si="67"/>
        <v>4</v>
      </c>
      <c r="J580" t="s">
        <v>546</v>
      </c>
      <c r="K580" s="5">
        <v>30</v>
      </c>
      <c r="L580" t="str">
        <f>Table_DataFromNL[[#This Row],[PROFILECODE]]&amp;"-"&amp;Table_DataFromNL[[#This Row],[RULENAME]]</f>
        <v>CP686-New Donor 4th Visit-Bonus</v>
      </c>
      <c r="M580" t="str">
        <f t="shared" si="68"/>
        <v>CP686-NEW DONOR -4th</v>
      </c>
    </row>
    <row r="581" spans="1:13" x14ac:dyDescent="0.25">
      <c r="A581" t="str">
        <f t="shared" si="69"/>
        <v>CP686-NEW DONOR -5th</v>
      </c>
      <c r="B581" t="s">
        <v>325</v>
      </c>
      <c r="C581" t="str">
        <f t="shared" si="63"/>
        <v>Cocoa Beach</v>
      </c>
      <c r="D581" t="str">
        <f t="shared" si="64"/>
        <v>Y</v>
      </c>
      <c r="E581" t="s">
        <v>612</v>
      </c>
      <c r="F581" t="str">
        <f t="shared" si="65"/>
        <v>NEW DONOR -5th</v>
      </c>
      <c r="G581" t="str">
        <f t="shared" si="66"/>
        <v>Marketing</v>
      </c>
      <c r="H581" t="s">
        <v>559</v>
      </c>
      <c r="I581">
        <f t="shared" si="67"/>
        <v>5</v>
      </c>
      <c r="J581" t="s">
        <v>546</v>
      </c>
      <c r="K581" s="5">
        <v>30</v>
      </c>
      <c r="L581" t="str">
        <f>Table_DataFromNL[[#This Row],[PROFILECODE]]&amp;"-"&amp;Table_DataFromNL[[#This Row],[RULENAME]]</f>
        <v>CP686-New Donor 5th Visit-Bonus</v>
      </c>
      <c r="M581" t="str">
        <f t="shared" si="68"/>
        <v>CP686-NEW DONOR -5th</v>
      </c>
    </row>
    <row r="582" spans="1:13" x14ac:dyDescent="0.25">
      <c r="A582" t="str">
        <f t="shared" si="69"/>
        <v>CP686-NEW DONOR -6th</v>
      </c>
      <c r="B582" t="s">
        <v>325</v>
      </c>
      <c r="C582" t="str">
        <f t="shared" si="63"/>
        <v>Cocoa Beach</v>
      </c>
      <c r="D582" t="str">
        <f t="shared" si="64"/>
        <v>Y</v>
      </c>
      <c r="E582" t="s">
        <v>612</v>
      </c>
      <c r="F582" t="str">
        <f t="shared" si="65"/>
        <v>NEW DONOR -6th</v>
      </c>
      <c r="G582" t="str">
        <f t="shared" si="66"/>
        <v>Marketing</v>
      </c>
      <c r="H582" t="s">
        <v>560</v>
      </c>
      <c r="I582">
        <f t="shared" si="67"/>
        <v>6</v>
      </c>
      <c r="J582" t="s">
        <v>546</v>
      </c>
      <c r="K582" s="5">
        <v>30</v>
      </c>
      <c r="L582" t="str">
        <f>Table_DataFromNL[[#This Row],[PROFILECODE]]&amp;"-"&amp;Table_DataFromNL[[#This Row],[RULENAME]]</f>
        <v>CP686-New Donor 6th Visit-Bonus</v>
      </c>
      <c r="M582" t="str">
        <f t="shared" si="68"/>
        <v>CP686-NEW DONOR -6th</v>
      </c>
    </row>
    <row r="583" spans="1:13" x14ac:dyDescent="0.25">
      <c r="A583" t="str">
        <f t="shared" si="69"/>
        <v>CP686-NEW DONOR -7th</v>
      </c>
      <c r="B583" t="s">
        <v>325</v>
      </c>
      <c r="C583" t="str">
        <f t="shared" si="63"/>
        <v>Cocoa Beach</v>
      </c>
      <c r="D583" t="str">
        <f t="shared" si="64"/>
        <v>Y</v>
      </c>
      <c r="E583" t="s">
        <v>612</v>
      </c>
      <c r="F583" t="str">
        <f t="shared" si="65"/>
        <v>NEW DONOR -7th</v>
      </c>
      <c r="G583" t="str">
        <f t="shared" si="66"/>
        <v>Marketing</v>
      </c>
      <c r="H583" t="s">
        <v>561</v>
      </c>
      <c r="I583">
        <f t="shared" si="67"/>
        <v>7</v>
      </c>
      <c r="J583" t="s">
        <v>546</v>
      </c>
      <c r="K583" s="5">
        <v>30</v>
      </c>
      <c r="L583" t="str">
        <f>Table_DataFromNL[[#This Row],[PROFILECODE]]&amp;"-"&amp;Table_DataFromNL[[#This Row],[RULENAME]]</f>
        <v>CP686-New Donor 7th Visit-Bonus</v>
      </c>
      <c r="M583" t="str">
        <f t="shared" si="68"/>
        <v>CP686-NEW DONOR -7th</v>
      </c>
    </row>
    <row r="584" spans="1:13" x14ac:dyDescent="0.25">
      <c r="A584" t="str">
        <f t="shared" si="69"/>
        <v>CP686-NEW DONOR -8th</v>
      </c>
      <c r="B584" t="s">
        <v>325</v>
      </c>
      <c r="C584" t="str">
        <f t="shared" si="63"/>
        <v>Cocoa Beach</v>
      </c>
      <c r="D584" t="str">
        <f t="shared" si="64"/>
        <v>Y</v>
      </c>
      <c r="E584" t="s">
        <v>612</v>
      </c>
      <c r="F584" t="str">
        <f t="shared" si="65"/>
        <v>NEW DONOR -8th</v>
      </c>
      <c r="G584" t="str">
        <f t="shared" si="66"/>
        <v>Marketing</v>
      </c>
      <c r="H584" t="s">
        <v>562</v>
      </c>
      <c r="I584">
        <f t="shared" si="67"/>
        <v>8</v>
      </c>
      <c r="J584" t="s">
        <v>546</v>
      </c>
      <c r="K584" s="5">
        <v>30</v>
      </c>
      <c r="L584" t="str">
        <f>Table_DataFromNL[[#This Row],[PROFILECODE]]&amp;"-"&amp;Table_DataFromNL[[#This Row],[RULENAME]]</f>
        <v>CP686-New Donor 8th Visit-Bonus</v>
      </c>
      <c r="M584" t="str">
        <f t="shared" si="68"/>
        <v>CP686-NEW DONOR -8th</v>
      </c>
    </row>
    <row r="585" spans="1:13" x14ac:dyDescent="0.25">
      <c r="A585" t="str">
        <f t="shared" si="69"/>
        <v>CP686-Community</v>
      </c>
      <c r="B585" t="s">
        <v>325</v>
      </c>
      <c r="C585" t="str">
        <f t="shared" si="63"/>
        <v>Cocoa Beach</v>
      </c>
      <c r="D585" t="str">
        <f t="shared" si="64"/>
        <v>Y</v>
      </c>
      <c r="E585" t="s">
        <v>612</v>
      </c>
      <c r="F585" t="str">
        <f t="shared" si="65"/>
        <v>Community</v>
      </c>
      <c r="G585">
        <f t="shared" si="66"/>
        <v>0</v>
      </c>
      <c r="H585" t="s">
        <v>563</v>
      </c>
      <c r="I585">
        <f t="shared" si="67"/>
        <v>0</v>
      </c>
      <c r="J585" t="s">
        <v>564</v>
      </c>
      <c r="K585" s="5">
        <v>5</v>
      </c>
      <c r="L585" t="str">
        <f>Table_DataFromNL[[#This Row],[PROFILECODE]]&amp;"-"&amp;Table_DataFromNL[[#This Row],[RULENAME]]</f>
        <v>CP686-Community</v>
      </c>
      <c r="M585" t="e">
        <f t="shared" si="68"/>
        <v>#N/A</v>
      </c>
    </row>
    <row r="586" spans="1:13" x14ac:dyDescent="0.25">
      <c r="A586" t="str">
        <f t="shared" si="69"/>
        <v>CP686-HANGER_RECRUIT_5USD_once</v>
      </c>
      <c r="B586" t="s">
        <v>325</v>
      </c>
      <c r="C586" t="str">
        <f t="shared" si="63"/>
        <v>Cocoa Beach</v>
      </c>
      <c r="D586" t="str">
        <f t="shared" si="64"/>
        <v>Y</v>
      </c>
      <c r="E586" t="s">
        <v>612</v>
      </c>
      <c r="F586" t="str">
        <f t="shared" si="65"/>
        <v>HANGER_RECRUIT_5USD_once</v>
      </c>
      <c r="G586">
        <f t="shared" si="66"/>
        <v>0</v>
      </c>
      <c r="H586" t="s">
        <v>565</v>
      </c>
      <c r="I586">
        <f t="shared" si="67"/>
        <v>0</v>
      </c>
      <c r="J586" t="s">
        <v>564</v>
      </c>
      <c r="K586" s="5">
        <v>5</v>
      </c>
      <c r="L586" t="str">
        <f>Table_DataFromNL[[#This Row],[PROFILECODE]]&amp;"-"&amp;Table_DataFromNL[[#This Row],[RULENAME]]</f>
        <v>CP686-HANGER_RECRUIT_5USD_once</v>
      </c>
      <c r="M586" t="e">
        <f t="shared" si="68"/>
        <v>#N/A</v>
      </c>
    </row>
    <row r="587" spans="1:13" x14ac:dyDescent="0.25">
      <c r="A587" t="str">
        <f t="shared" si="69"/>
        <v>CP686-Inconv Fee $20-$50-Comment Req'd</v>
      </c>
      <c r="B587" t="s">
        <v>325</v>
      </c>
      <c r="C587" t="str">
        <f t="shared" si="63"/>
        <v>Cocoa Beach</v>
      </c>
      <c r="D587" t="str">
        <f t="shared" si="64"/>
        <v>Y</v>
      </c>
      <c r="E587" t="s">
        <v>612</v>
      </c>
      <c r="F587" t="str">
        <f t="shared" si="65"/>
        <v>Inconv Fee $20-$50-Comment Req'd</v>
      </c>
      <c r="G587">
        <f t="shared" si="66"/>
        <v>0</v>
      </c>
      <c r="H587" t="s">
        <v>566</v>
      </c>
      <c r="I587">
        <f t="shared" si="67"/>
        <v>0</v>
      </c>
      <c r="J587" t="s">
        <v>564</v>
      </c>
      <c r="K587" s="5">
        <v>50</v>
      </c>
      <c r="L587" t="str">
        <f>Table_DataFromNL[[#This Row],[PROFILECODE]]&amp;"-"&amp;Table_DataFromNL[[#This Row],[RULENAME]]</f>
        <v>CP686-Inconv Fee $20-$50-Comment Req'd</v>
      </c>
      <c r="M587" t="e">
        <f t="shared" si="68"/>
        <v>#N/A</v>
      </c>
    </row>
    <row r="588" spans="1:13" x14ac:dyDescent="0.25">
      <c r="A588" t="str">
        <f t="shared" si="69"/>
        <v>CP686-Inconv Fee $5-$20-Comment Req'd</v>
      </c>
      <c r="B588" t="s">
        <v>325</v>
      </c>
      <c r="C588" t="str">
        <f t="shared" si="63"/>
        <v>Cocoa Beach</v>
      </c>
      <c r="D588" t="str">
        <f t="shared" si="64"/>
        <v>Y</v>
      </c>
      <c r="E588" t="s">
        <v>612</v>
      </c>
      <c r="F588" t="str">
        <f t="shared" si="65"/>
        <v>Inconv Fee $5-$20-Comment Req'd</v>
      </c>
      <c r="G588">
        <f t="shared" si="66"/>
        <v>0</v>
      </c>
      <c r="H588" t="s">
        <v>567</v>
      </c>
      <c r="I588">
        <f t="shared" si="67"/>
        <v>0</v>
      </c>
      <c r="J588" t="s">
        <v>564</v>
      </c>
      <c r="K588" s="5">
        <v>20</v>
      </c>
      <c r="L588" t="str">
        <f>Table_DataFromNL[[#This Row],[PROFILECODE]]&amp;"-"&amp;Table_DataFromNL[[#This Row],[RULENAME]]</f>
        <v>CP686-Inconv Fee $5-$20-Comment Req'd</v>
      </c>
      <c r="M588" t="e">
        <f t="shared" si="68"/>
        <v>#N/A</v>
      </c>
    </row>
    <row r="589" spans="1:13" x14ac:dyDescent="0.25">
      <c r="A589" t="str">
        <f t="shared" si="69"/>
        <v>CP686-Inconv Fee$50-$100-Comment Req'd</v>
      </c>
      <c r="B589" t="s">
        <v>325</v>
      </c>
      <c r="C589" t="str">
        <f t="shared" si="63"/>
        <v>Cocoa Beach</v>
      </c>
      <c r="D589" t="str">
        <f t="shared" si="64"/>
        <v>Y</v>
      </c>
      <c r="E589" t="s">
        <v>612</v>
      </c>
      <c r="F589" t="str">
        <f t="shared" si="65"/>
        <v>Inconv Fee$50-$100-Comment Req'd</v>
      </c>
      <c r="G589">
        <f t="shared" si="66"/>
        <v>0</v>
      </c>
      <c r="H589" t="s">
        <v>568</v>
      </c>
      <c r="I589">
        <f t="shared" si="67"/>
        <v>0</v>
      </c>
      <c r="J589" t="s">
        <v>564</v>
      </c>
      <c r="K589" s="5">
        <v>100</v>
      </c>
      <c r="L589" t="str">
        <f>Table_DataFromNL[[#This Row],[PROFILECODE]]&amp;"-"&amp;Table_DataFromNL[[#This Row],[RULENAME]]</f>
        <v>CP686-Inconv Fee$50-$100-Comment Req'd</v>
      </c>
      <c r="M589" t="e">
        <f t="shared" si="68"/>
        <v>#N/A</v>
      </c>
    </row>
    <row r="590" spans="1:13" x14ac:dyDescent="0.25">
      <c r="A590" t="str">
        <f t="shared" si="69"/>
        <v>CP686-NSP_ LAPSEDONOR_50_Twice</v>
      </c>
      <c r="B590" t="s">
        <v>325</v>
      </c>
      <c r="C590" t="str">
        <f t="shared" si="63"/>
        <v>Cocoa Beach</v>
      </c>
      <c r="D590" t="str">
        <f t="shared" si="64"/>
        <v>Y</v>
      </c>
      <c r="E590" t="s">
        <v>612</v>
      </c>
      <c r="F590" t="str">
        <f t="shared" si="65"/>
        <v>NSP_ LAPSEDONOR_50_Twice</v>
      </c>
      <c r="G590">
        <f t="shared" si="66"/>
        <v>0</v>
      </c>
      <c r="H590" t="s">
        <v>569</v>
      </c>
      <c r="I590">
        <f t="shared" si="67"/>
        <v>0</v>
      </c>
      <c r="J590" t="s">
        <v>564</v>
      </c>
      <c r="K590" s="5">
        <v>50</v>
      </c>
      <c r="L590" t="str">
        <f>Table_DataFromNL[[#This Row],[PROFILECODE]]&amp;"-"&amp;Table_DataFromNL[[#This Row],[RULENAME]]</f>
        <v>CP686-NSP_ LAPSEDONOR_50_Twice</v>
      </c>
      <c r="M590" t="e">
        <f t="shared" si="68"/>
        <v>#N/A</v>
      </c>
    </row>
    <row r="591" spans="1:13" x14ac:dyDescent="0.25">
      <c r="A591" t="str">
        <f t="shared" si="69"/>
        <v>CP686-NSP_LD_25_2X</v>
      </c>
      <c r="B591" t="s">
        <v>325</v>
      </c>
      <c r="C591" t="str">
        <f t="shared" si="63"/>
        <v>Cocoa Beach</v>
      </c>
      <c r="D591" t="str">
        <f t="shared" si="64"/>
        <v>Y</v>
      </c>
      <c r="E591" t="s">
        <v>612</v>
      </c>
      <c r="F591" t="str">
        <f t="shared" si="65"/>
        <v>NSP_LD_25_2X</v>
      </c>
      <c r="G591">
        <f t="shared" si="66"/>
        <v>0</v>
      </c>
      <c r="H591" t="s">
        <v>570</v>
      </c>
      <c r="I591">
        <f t="shared" si="67"/>
        <v>0</v>
      </c>
      <c r="J591" t="s">
        <v>564</v>
      </c>
      <c r="K591" s="5">
        <v>25</v>
      </c>
      <c r="L591" t="str">
        <f>Table_DataFromNL[[#This Row],[PROFILECODE]]&amp;"-"&amp;Table_DataFromNL[[#This Row],[RULENAME]]</f>
        <v>CP686-NSP_LD_25_2X</v>
      </c>
      <c r="M591" t="e">
        <f t="shared" si="68"/>
        <v>#N/A</v>
      </c>
    </row>
    <row r="592" spans="1:13" x14ac:dyDescent="0.25">
      <c r="A592" t="str">
        <f t="shared" si="69"/>
        <v>CP686-NSP_LD_50_1X</v>
      </c>
      <c r="B592" t="s">
        <v>325</v>
      </c>
      <c r="C592" t="str">
        <f t="shared" si="63"/>
        <v>Cocoa Beach</v>
      </c>
      <c r="D592" t="str">
        <f t="shared" si="64"/>
        <v>Y</v>
      </c>
      <c r="E592" t="s">
        <v>612</v>
      </c>
      <c r="F592" t="str">
        <f t="shared" si="65"/>
        <v>NSP_LD_50_1X</v>
      </c>
      <c r="G592">
        <f t="shared" si="66"/>
        <v>0</v>
      </c>
      <c r="H592" t="s">
        <v>571</v>
      </c>
      <c r="I592">
        <f t="shared" si="67"/>
        <v>0</v>
      </c>
      <c r="J592" t="s">
        <v>564</v>
      </c>
      <c r="K592" s="5">
        <v>50</v>
      </c>
      <c r="L592" t="str">
        <f>Table_DataFromNL[[#This Row],[PROFILECODE]]&amp;"-"&amp;Table_DataFromNL[[#This Row],[RULENAME]]</f>
        <v>CP686-NSP_LD_50_1X</v>
      </c>
      <c r="M592" t="e">
        <f t="shared" si="68"/>
        <v>#N/A</v>
      </c>
    </row>
    <row r="593" spans="1:13" x14ac:dyDescent="0.25">
      <c r="A593" t="str">
        <f t="shared" si="69"/>
        <v>CP686-NSP_ORPHAN_100_once</v>
      </c>
      <c r="B593" t="s">
        <v>325</v>
      </c>
      <c r="C593" t="str">
        <f t="shared" si="63"/>
        <v>Cocoa Beach</v>
      </c>
      <c r="D593" t="str">
        <f t="shared" si="64"/>
        <v>Y</v>
      </c>
      <c r="E593" t="s">
        <v>612</v>
      </c>
      <c r="F593" t="str">
        <f t="shared" si="65"/>
        <v>NSP_ORPHAN_100_once</v>
      </c>
      <c r="G593">
        <f t="shared" si="66"/>
        <v>0</v>
      </c>
      <c r="H593" t="s">
        <v>572</v>
      </c>
      <c r="I593">
        <f t="shared" si="67"/>
        <v>0</v>
      </c>
      <c r="J593" t="s">
        <v>564</v>
      </c>
      <c r="K593" s="5">
        <v>100</v>
      </c>
      <c r="L593" t="str">
        <f>Table_DataFromNL[[#This Row],[PROFILECODE]]&amp;"-"&amp;Table_DataFromNL[[#This Row],[RULENAME]]</f>
        <v>CP686-NSP_ORPHAN_100_once</v>
      </c>
      <c r="M593" t="e">
        <f t="shared" si="68"/>
        <v>#N/A</v>
      </c>
    </row>
    <row r="594" spans="1:13" x14ac:dyDescent="0.25">
      <c r="A594" t="str">
        <f t="shared" si="69"/>
        <v>CP686-Restick</v>
      </c>
      <c r="B594" t="s">
        <v>325</v>
      </c>
      <c r="C594" t="str">
        <f t="shared" si="63"/>
        <v>Cocoa Beach</v>
      </c>
      <c r="D594" t="str">
        <f t="shared" si="64"/>
        <v>Y</v>
      </c>
      <c r="E594" t="s">
        <v>612</v>
      </c>
      <c r="F594" t="str">
        <f t="shared" si="65"/>
        <v>Restick</v>
      </c>
      <c r="G594">
        <f t="shared" si="66"/>
        <v>0</v>
      </c>
      <c r="H594" t="s">
        <v>573</v>
      </c>
      <c r="I594">
        <f t="shared" si="67"/>
        <v>0</v>
      </c>
      <c r="J594" t="s">
        <v>564</v>
      </c>
      <c r="K594" s="5">
        <v>5</v>
      </c>
      <c r="L594" t="str">
        <f>Table_DataFromNL[[#This Row],[PROFILECODE]]&amp;"-"&amp;Table_DataFromNL[[#This Row],[RULENAME]]</f>
        <v>CP686-Restick</v>
      </c>
      <c r="M594" t="e">
        <f t="shared" si="68"/>
        <v>#N/A</v>
      </c>
    </row>
    <row r="595" spans="1:13" x14ac:dyDescent="0.25">
      <c r="A595" t="str">
        <f t="shared" si="69"/>
        <v>CP686-SLOW_TEXT_5</v>
      </c>
      <c r="B595" t="s">
        <v>325</v>
      </c>
      <c r="C595" t="str">
        <f t="shared" si="63"/>
        <v>Cocoa Beach</v>
      </c>
      <c r="D595" t="str">
        <f t="shared" si="64"/>
        <v>Y</v>
      </c>
      <c r="E595" t="s">
        <v>612</v>
      </c>
      <c r="F595" t="str">
        <f t="shared" si="65"/>
        <v>SLOW_TEXT_5</v>
      </c>
      <c r="G595">
        <f t="shared" si="66"/>
        <v>0</v>
      </c>
      <c r="H595" t="s">
        <v>574</v>
      </c>
      <c r="I595">
        <f t="shared" si="67"/>
        <v>0</v>
      </c>
      <c r="J595" t="s">
        <v>564</v>
      </c>
      <c r="K595" s="5">
        <v>5</v>
      </c>
      <c r="L595" t="str">
        <f>Table_DataFromNL[[#This Row],[PROFILECODE]]&amp;"-"&amp;Table_DataFromNL[[#This Row],[RULENAME]]</f>
        <v>CP686-SLOW_TEXT_5</v>
      </c>
      <c r="M595" t="e">
        <f t="shared" si="68"/>
        <v>#N/A</v>
      </c>
    </row>
    <row r="596" spans="1:13" x14ac:dyDescent="0.25">
      <c r="A596" t="str">
        <f t="shared" si="69"/>
        <v>CP686-Sample Only</v>
      </c>
      <c r="B596" t="s">
        <v>325</v>
      </c>
      <c r="C596" t="str">
        <f t="shared" si="63"/>
        <v>Cocoa Beach</v>
      </c>
      <c r="D596" t="str">
        <f t="shared" si="64"/>
        <v>Y</v>
      </c>
      <c r="E596" t="s">
        <v>612</v>
      </c>
      <c r="F596" t="str">
        <f t="shared" si="65"/>
        <v>Sample Only</v>
      </c>
      <c r="G596">
        <f t="shared" si="66"/>
        <v>0</v>
      </c>
      <c r="H596" t="s">
        <v>575</v>
      </c>
      <c r="I596">
        <f t="shared" si="67"/>
        <v>0</v>
      </c>
      <c r="J596" t="s">
        <v>564</v>
      </c>
      <c r="K596" s="5">
        <v>5</v>
      </c>
      <c r="L596" t="str">
        <f>Table_DataFromNL[[#This Row],[PROFILECODE]]&amp;"-"&amp;Table_DataFromNL[[#This Row],[RULENAME]]</f>
        <v>CP686-Sample Only</v>
      </c>
      <c r="M596" t="e">
        <f t="shared" si="68"/>
        <v>#N/A</v>
      </c>
    </row>
    <row r="597" spans="1:13" x14ac:dyDescent="0.25">
      <c r="A597" t="str">
        <f t="shared" si="69"/>
        <v>CP686-Unit Below 250 mL</v>
      </c>
      <c r="B597" t="s">
        <v>325</v>
      </c>
      <c r="C597" t="str">
        <f t="shared" si="63"/>
        <v>Cocoa Beach</v>
      </c>
      <c r="D597" t="str">
        <f t="shared" si="64"/>
        <v>Y</v>
      </c>
      <c r="E597" t="s">
        <v>612</v>
      </c>
      <c r="F597" t="str">
        <f t="shared" si="65"/>
        <v>Unit Below 250 mL</v>
      </c>
      <c r="G597">
        <f t="shared" si="66"/>
        <v>0</v>
      </c>
      <c r="H597" t="s">
        <v>576</v>
      </c>
      <c r="I597">
        <f t="shared" si="67"/>
        <v>0</v>
      </c>
      <c r="J597" t="s">
        <v>564</v>
      </c>
      <c r="K597" s="5">
        <v>5</v>
      </c>
      <c r="L597" t="str">
        <f>Table_DataFromNL[[#This Row],[PROFILECODE]]&amp;"-"&amp;Table_DataFromNL[[#This Row],[RULENAME]]</f>
        <v>CP686-Unit Below 250 mL</v>
      </c>
      <c r="M597" t="e">
        <f t="shared" si="68"/>
        <v>#N/A</v>
      </c>
    </row>
    <row r="598" spans="1:13" x14ac:dyDescent="0.25">
      <c r="A598" t="str">
        <f t="shared" si="69"/>
        <v>CP686-Unit above 250 mL/underdraw</v>
      </c>
      <c r="B598" t="s">
        <v>325</v>
      </c>
      <c r="C598" t="str">
        <f t="shared" si="63"/>
        <v>Cocoa Beach</v>
      </c>
      <c r="D598" t="str">
        <f t="shared" si="64"/>
        <v>Y</v>
      </c>
      <c r="E598" t="s">
        <v>612</v>
      </c>
      <c r="F598" t="str">
        <f t="shared" si="65"/>
        <v>Unit above 250 mL/underdraw</v>
      </c>
      <c r="G598">
        <f t="shared" si="66"/>
        <v>0</v>
      </c>
      <c r="H598" t="s">
        <v>577</v>
      </c>
      <c r="I598">
        <f t="shared" si="67"/>
        <v>0</v>
      </c>
      <c r="J598" t="s">
        <v>564</v>
      </c>
      <c r="K598" s="5">
        <v>10</v>
      </c>
      <c r="L598" t="str">
        <f>Table_DataFromNL[[#This Row],[PROFILECODE]]&amp;"-"&amp;Table_DataFromNL[[#This Row],[RULENAME]]</f>
        <v>CP686-Unit above 250 mL/underdraw</v>
      </c>
      <c r="M598" t="e">
        <f t="shared" si="68"/>
        <v>#N/A</v>
      </c>
    </row>
    <row r="599" spans="1:13" x14ac:dyDescent="0.25">
      <c r="A599" t="str">
        <f t="shared" si="69"/>
        <v>CP686-RETURN - Buddy referral  -BONUS</v>
      </c>
      <c r="B599" t="s">
        <v>325</v>
      </c>
      <c r="C599" t="str">
        <f t="shared" si="63"/>
        <v>Cocoa Beach</v>
      </c>
      <c r="D599" t="str">
        <f t="shared" si="64"/>
        <v>Y</v>
      </c>
      <c r="E599" t="s">
        <v>612</v>
      </c>
      <c r="F599" t="str">
        <f t="shared" si="65"/>
        <v>RETURN - Buddy referral  -BONUS</v>
      </c>
      <c r="G599" t="str">
        <f t="shared" si="66"/>
        <v>Marketing</v>
      </c>
      <c r="H599" t="s">
        <v>34</v>
      </c>
      <c r="I599">
        <f t="shared" si="67"/>
        <v>50</v>
      </c>
      <c r="J599" t="s">
        <v>578</v>
      </c>
      <c r="K599" s="5">
        <v>50</v>
      </c>
      <c r="L599" t="str">
        <f>Table_DataFromNL[[#This Row],[PROFILECODE]]&amp;"-"&amp;Table_DataFromNL[[#This Row],[RULENAME]]</f>
        <v>CP686-Referral</v>
      </c>
      <c r="M599" t="str">
        <f t="shared" si="68"/>
        <v>CP686-RETURN - Buddy referral  -BONUS</v>
      </c>
    </row>
    <row r="600" spans="1:13" x14ac:dyDescent="0.25">
      <c r="A600" t="str">
        <f t="shared" si="69"/>
        <v>CP686-P Anti-D Pre-Existing Standard</v>
      </c>
      <c r="B600" t="s">
        <v>325</v>
      </c>
      <c r="C600" t="str">
        <f t="shared" si="63"/>
        <v>Cocoa Beach</v>
      </c>
      <c r="D600" t="str">
        <f t="shared" si="64"/>
        <v>Y</v>
      </c>
      <c r="E600" t="s">
        <v>612</v>
      </c>
      <c r="F600" t="str">
        <f t="shared" si="65"/>
        <v>P Anti-D Pre-Existing Standard</v>
      </c>
      <c r="G600" t="str">
        <f t="shared" si="66"/>
        <v>Specialty</v>
      </c>
      <c r="H600" t="s">
        <v>469</v>
      </c>
      <c r="I600" t="str">
        <f t="shared" si="67"/>
        <v>RETURN - 1st don of the week -STD</v>
      </c>
      <c r="J600" t="s">
        <v>579</v>
      </c>
      <c r="K600" s="5">
        <v>50</v>
      </c>
      <c r="L600" t="str">
        <f>Table_DataFromNL[[#This Row],[PROFILECODE]]&amp;"-"&amp;Table_DataFromNL[[#This Row],[RULENAME]]</f>
        <v>CP686-P Anti-D Pre-Existing Standard</v>
      </c>
      <c r="M600" t="str">
        <f t="shared" si="68"/>
        <v>CP686-P Anti-D Pre-Existing Standard</v>
      </c>
    </row>
    <row r="601" spans="1:13" x14ac:dyDescent="0.25">
      <c r="A601" t="str">
        <f t="shared" si="69"/>
        <v>CP686-RETURN - 1st don of the week -STD</v>
      </c>
      <c r="B601" t="s">
        <v>325</v>
      </c>
      <c r="C601" t="str">
        <f t="shared" si="63"/>
        <v>Cocoa Beach</v>
      </c>
      <c r="D601" t="str">
        <f t="shared" si="64"/>
        <v>Y</v>
      </c>
      <c r="E601" t="s">
        <v>612</v>
      </c>
      <c r="F601" t="str">
        <f t="shared" si="65"/>
        <v>RETURN - 1st don of the week -STD</v>
      </c>
      <c r="G601" t="str">
        <f t="shared" si="66"/>
        <v>Marketing</v>
      </c>
      <c r="H601" t="s">
        <v>583</v>
      </c>
      <c r="I601">
        <f t="shared" si="67"/>
        <v>22</v>
      </c>
      <c r="J601" t="s">
        <v>579</v>
      </c>
      <c r="K601" s="5">
        <v>30</v>
      </c>
      <c r="L601" t="str">
        <f>Table_DataFromNL[[#This Row],[PROFILECODE]]&amp;"-"&amp;Table_DataFromNL[[#This Row],[RULENAME]]</f>
        <v>CP686-P NSP NS AP Standard</v>
      </c>
      <c r="M601" t="str">
        <f t="shared" si="68"/>
        <v>CP686-RETURN - 1st don of the week -STD</v>
      </c>
    </row>
    <row r="602" spans="1:13" x14ac:dyDescent="0.25">
      <c r="A602" t="str">
        <f t="shared" si="69"/>
        <v>CP686-RETURN - 1st don of the week -STD</v>
      </c>
      <c r="B602" t="s">
        <v>325</v>
      </c>
      <c r="C602" t="str">
        <f t="shared" si="63"/>
        <v>Cocoa Beach</v>
      </c>
      <c r="D602" t="str">
        <f t="shared" si="64"/>
        <v>Y</v>
      </c>
      <c r="E602" t="s">
        <v>612</v>
      </c>
      <c r="F602" t="str">
        <f t="shared" si="65"/>
        <v>RETURN - 1st don of the week -STD</v>
      </c>
      <c r="G602" t="str">
        <f t="shared" si="66"/>
        <v>Marketing</v>
      </c>
      <c r="H602" t="s">
        <v>584</v>
      </c>
      <c r="I602">
        <f t="shared" si="67"/>
        <v>23</v>
      </c>
      <c r="J602" t="s">
        <v>579</v>
      </c>
      <c r="K602" s="5">
        <v>30</v>
      </c>
      <c r="L602" t="str">
        <f>Table_DataFromNL[[#This Row],[PROFILECODE]]&amp;"-"&amp;Table_DataFromNL[[#This Row],[RULENAME]]</f>
        <v>CP686-P NSP NS Standard</v>
      </c>
      <c r="M602" t="str">
        <f t="shared" si="68"/>
        <v>CP686-RETURN - 1st don of the week -STD</v>
      </c>
    </row>
    <row r="603" spans="1:13" x14ac:dyDescent="0.25">
      <c r="A603" t="str">
        <f t="shared" si="69"/>
        <v>CP134-1st Responder-Medical</v>
      </c>
      <c r="B603" t="s">
        <v>182</v>
      </c>
      <c r="C603" t="str">
        <f t="shared" si="63"/>
        <v>College Park</v>
      </c>
      <c r="D603" t="str">
        <f t="shared" si="64"/>
        <v>Y</v>
      </c>
      <c r="E603" t="s">
        <v>613</v>
      </c>
      <c r="F603" t="str">
        <f t="shared" si="65"/>
        <v>1st Responder-Medical</v>
      </c>
      <c r="G603">
        <f t="shared" si="66"/>
        <v>0</v>
      </c>
      <c r="H603" t="s">
        <v>545</v>
      </c>
      <c r="I603">
        <f t="shared" si="67"/>
        <v>0</v>
      </c>
      <c r="J603" t="s">
        <v>546</v>
      </c>
      <c r="K603" s="5">
        <v>5</v>
      </c>
      <c r="L603" t="str">
        <f>Table_DataFromNL[[#This Row],[PROFILECODE]]&amp;"-"&amp;Table_DataFromNL[[#This Row],[RULENAME]]</f>
        <v>CP134-1st Responder-Medical</v>
      </c>
      <c r="M603" t="e">
        <f t="shared" si="68"/>
        <v>#N/A</v>
      </c>
    </row>
    <row r="604" spans="1:13" x14ac:dyDescent="0.25">
      <c r="A604" t="str">
        <f t="shared" si="69"/>
        <v>CP134-2X Week P CMV</v>
      </c>
      <c r="B604" t="s">
        <v>182</v>
      </c>
      <c r="C604" t="str">
        <f t="shared" si="63"/>
        <v>College Park</v>
      </c>
      <c r="D604" t="str">
        <f t="shared" si="64"/>
        <v>Y</v>
      </c>
      <c r="E604" t="s">
        <v>613</v>
      </c>
      <c r="F604" t="str">
        <f t="shared" si="65"/>
        <v>2X Week P CMV</v>
      </c>
      <c r="G604" t="str">
        <f t="shared" si="66"/>
        <v>Specialty</v>
      </c>
      <c r="H604" t="s">
        <v>498</v>
      </c>
      <c r="I604" t="str">
        <f t="shared" si="67"/>
        <v>RETURN - 2nd don of the week -BONUS</v>
      </c>
      <c r="J604" t="s">
        <v>546</v>
      </c>
      <c r="K604" s="5">
        <v>35</v>
      </c>
      <c r="L604" t="str">
        <f>Table_DataFromNL[[#This Row],[PROFILECODE]]&amp;"-"&amp;Table_DataFromNL[[#This Row],[RULENAME]]</f>
        <v>CP134-2X Week P CMV</v>
      </c>
      <c r="M604" t="str">
        <f t="shared" si="68"/>
        <v>CP134-2X Week P CMV</v>
      </c>
    </row>
    <row r="605" spans="1:13" x14ac:dyDescent="0.25">
      <c r="A605" t="str">
        <f t="shared" si="69"/>
        <v>CP134-2X Week P HBS Pre-Existing</v>
      </c>
      <c r="B605" t="s">
        <v>182</v>
      </c>
      <c r="C605" t="str">
        <f t="shared" si="63"/>
        <v>College Park</v>
      </c>
      <c r="D605" t="str">
        <f t="shared" si="64"/>
        <v>Y</v>
      </c>
      <c r="E605" t="s">
        <v>613</v>
      </c>
      <c r="F605" t="str">
        <f t="shared" si="65"/>
        <v>2X Week P HBS Pre-Existing</v>
      </c>
      <c r="G605" t="str">
        <f t="shared" si="66"/>
        <v>Specialty</v>
      </c>
      <c r="H605" t="s">
        <v>471</v>
      </c>
      <c r="I605" t="str">
        <f t="shared" si="67"/>
        <v>RETURN - 2nd don of the week -BONUS</v>
      </c>
      <c r="J605" t="s">
        <v>546</v>
      </c>
      <c r="K605" s="5">
        <v>40</v>
      </c>
      <c r="L605" t="str">
        <f>Table_DataFromNL[[#This Row],[PROFILECODE]]&amp;"-"&amp;Table_DataFromNL[[#This Row],[RULENAME]]</f>
        <v>CP134-2X Week P HBS Pre-Existing</v>
      </c>
      <c r="M605" t="str">
        <f t="shared" si="68"/>
        <v>CP134-2X Week P HBS Pre-Existing</v>
      </c>
    </row>
    <row r="606" spans="1:13" x14ac:dyDescent="0.25">
      <c r="A606" t="str">
        <f t="shared" si="69"/>
        <v>CP134-2X Week P HBS TWINRX</v>
      </c>
      <c r="B606" t="s">
        <v>182</v>
      </c>
      <c r="C606" t="str">
        <f t="shared" si="63"/>
        <v>College Park</v>
      </c>
      <c r="D606" t="str">
        <f t="shared" si="64"/>
        <v>Y</v>
      </c>
      <c r="E606" t="s">
        <v>613</v>
      </c>
      <c r="F606" t="str">
        <f t="shared" si="65"/>
        <v>2X Week P HBS TWINRX</v>
      </c>
      <c r="G606" t="str">
        <f t="shared" si="66"/>
        <v>Specialty</v>
      </c>
      <c r="H606" t="s">
        <v>504</v>
      </c>
      <c r="I606" t="str">
        <f t="shared" si="67"/>
        <v>RETURN - 2nd don of the week -BONUS</v>
      </c>
      <c r="J606" t="s">
        <v>546</v>
      </c>
      <c r="K606" s="5">
        <v>40</v>
      </c>
      <c r="L606" t="str">
        <f>Table_DataFromNL[[#This Row],[PROFILECODE]]&amp;"-"&amp;Table_DataFromNL[[#This Row],[RULENAME]]</f>
        <v>CP134-2X Week P HBS TWINRX</v>
      </c>
      <c r="M606" t="str">
        <f t="shared" si="68"/>
        <v>CP134-2X Week P HBS TWINRX</v>
      </c>
    </row>
    <row r="607" spans="1:13" x14ac:dyDescent="0.25">
      <c r="A607" t="str">
        <f t="shared" si="69"/>
        <v>CP134-2X Week P HBS TWINRX-AP</v>
      </c>
      <c r="B607" t="s">
        <v>182</v>
      </c>
      <c r="C607" t="str">
        <f t="shared" si="63"/>
        <v>College Park</v>
      </c>
      <c r="D607" t="str">
        <f t="shared" si="64"/>
        <v>Y</v>
      </c>
      <c r="E607" t="s">
        <v>613</v>
      </c>
      <c r="F607" t="str">
        <f t="shared" si="65"/>
        <v>2X Week P HBS TWINRX-AP</v>
      </c>
      <c r="G607" t="str">
        <f t="shared" si="66"/>
        <v>Specialty</v>
      </c>
      <c r="H607" t="s">
        <v>505</v>
      </c>
      <c r="I607" t="str">
        <f t="shared" si="67"/>
        <v>RETURN - 2nd don of the week -BONUS</v>
      </c>
      <c r="J607" t="s">
        <v>546</v>
      </c>
      <c r="K607" s="5">
        <v>40</v>
      </c>
      <c r="L607" t="str">
        <f>Table_DataFromNL[[#This Row],[PROFILECODE]]&amp;"-"&amp;Table_DataFromNL[[#This Row],[RULENAME]]</f>
        <v>CP134-2X Week P HBS TWINRX-AP</v>
      </c>
      <c r="M607" t="str">
        <f t="shared" si="68"/>
        <v>CP134-2X Week P HBS TWINRX-AP</v>
      </c>
    </row>
    <row r="608" spans="1:13" x14ac:dyDescent="0.25">
      <c r="A608" t="str">
        <f t="shared" si="69"/>
        <v>CP134-RETURN - 2nd don of the week -BONUS</v>
      </c>
      <c r="B608" t="s">
        <v>182</v>
      </c>
      <c r="C608" t="str">
        <f t="shared" si="63"/>
        <v>College Park</v>
      </c>
      <c r="D608" t="str">
        <f t="shared" si="64"/>
        <v>Y</v>
      </c>
      <c r="E608" t="s">
        <v>613</v>
      </c>
      <c r="F608" t="str">
        <f t="shared" si="65"/>
        <v>RETURN - 2nd don of the week -BONUS</v>
      </c>
      <c r="G608" t="str">
        <f t="shared" si="66"/>
        <v>Marketing</v>
      </c>
      <c r="H608" t="s">
        <v>550</v>
      </c>
      <c r="I608">
        <f t="shared" si="67"/>
        <v>26</v>
      </c>
      <c r="J608" t="s">
        <v>546</v>
      </c>
      <c r="K608" s="5">
        <v>35</v>
      </c>
      <c r="L608" t="str">
        <f>Table_DataFromNL[[#This Row],[PROFILECODE]]&amp;"-"&amp;Table_DataFromNL[[#This Row],[RULENAME]]</f>
        <v>CP134-2X Week P NSP NS</v>
      </c>
      <c r="M608" t="str">
        <f t="shared" si="68"/>
        <v>CP134-RETURN - 2nd don of the week -BONUS</v>
      </c>
    </row>
    <row r="609" spans="1:13" x14ac:dyDescent="0.25">
      <c r="A609" t="str">
        <f t="shared" si="69"/>
        <v>CP134-RETURN - 2nd don of the week -BONUS</v>
      </c>
      <c r="B609" t="s">
        <v>182</v>
      </c>
      <c r="C609" t="str">
        <f t="shared" si="63"/>
        <v>College Park</v>
      </c>
      <c r="D609" t="str">
        <f t="shared" si="64"/>
        <v>Y</v>
      </c>
      <c r="E609" t="s">
        <v>613</v>
      </c>
      <c r="F609" t="str">
        <f t="shared" si="65"/>
        <v>RETURN - 2nd don of the week -BONUS</v>
      </c>
      <c r="G609" t="str">
        <f t="shared" si="66"/>
        <v>Marketing</v>
      </c>
      <c r="H609" t="s">
        <v>551</v>
      </c>
      <c r="I609" t="str">
        <f t="shared" si="67"/>
        <v>RETURN - 2nd don of the week -BONUS</v>
      </c>
      <c r="J609" t="s">
        <v>546</v>
      </c>
      <c r="K609" s="5">
        <v>35</v>
      </c>
      <c r="L609" t="str">
        <f>Table_DataFromNL[[#This Row],[PROFILECODE]]&amp;"-"&amp;Table_DataFromNL[[#This Row],[RULENAME]]</f>
        <v>CP134-2X Week P NSP NS AP</v>
      </c>
      <c r="M609" t="str">
        <f t="shared" si="68"/>
        <v>CP134-RETURN - 2nd don of the week -BONUS</v>
      </c>
    </row>
    <row r="610" spans="1:13" x14ac:dyDescent="0.25">
      <c r="A610" t="str">
        <f t="shared" si="69"/>
        <v>CP134-2X Week P VIP A</v>
      </c>
      <c r="B610" t="s">
        <v>182</v>
      </c>
      <c r="C610" t="str">
        <f t="shared" si="63"/>
        <v>College Park</v>
      </c>
      <c r="D610" t="str">
        <f t="shared" si="64"/>
        <v>Y</v>
      </c>
      <c r="E610" t="s">
        <v>613</v>
      </c>
      <c r="F610" t="str">
        <f t="shared" si="65"/>
        <v>2X Week P VIP A</v>
      </c>
      <c r="G610" t="str">
        <f t="shared" si="66"/>
        <v>Specialty</v>
      </c>
      <c r="H610" t="s">
        <v>510</v>
      </c>
      <c r="I610" t="str">
        <f t="shared" si="67"/>
        <v>RETURN - 2nd don of the week -BONUS</v>
      </c>
      <c r="J610" t="s">
        <v>546</v>
      </c>
      <c r="K610" s="5">
        <v>40</v>
      </c>
      <c r="L610" t="str">
        <f>Table_DataFromNL[[#This Row],[PROFILECODE]]&amp;"-"&amp;Table_DataFromNL[[#This Row],[RULENAME]]</f>
        <v>CP134-2X Week P VIP A</v>
      </c>
      <c r="M610" t="str">
        <f t="shared" si="68"/>
        <v>CP134-2X Week P VIP A</v>
      </c>
    </row>
    <row r="611" spans="1:13" x14ac:dyDescent="0.25">
      <c r="A611" t="str">
        <f t="shared" si="69"/>
        <v>CP134-2X Week P VIP AB</v>
      </c>
      <c r="B611" t="s">
        <v>182</v>
      </c>
      <c r="C611" t="str">
        <f t="shared" si="63"/>
        <v>College Park</v>
      </c>
      <c r="D611" t="str">
        <f t="shared" si="64"/>
        <v>Y</v>
      </c>
      <c r="E611" t="s">
        <v>613</v>
      </c>
      <c r="F611" t="str">
        <f t="shared" si="65"/>
        <v>2X Week P VIP AB</v>
      </c>
      <c r="G611" t="str">
        <f t="shared" si="66"/>
        <v>Specialty</v>
      </c>
      <c r="H611" t="s">
        <v>511</v>
      </c>
      <c r="I611" t="str">
        <f t="shared" si="67"/>
        <v>RETURN - 2nd don of the week -BONUS</v>
      </c>
      <c r="J611" t="s">
        <v>546</v>
      </c>
      <c r="K611" s="5">
        <v>40</v>
      </c>
      <c r="L611" t="str">
        <f>Table_DataFromNL[[#This Row],[PROFILECODE]]&amp;"-"&amp;Table_DataFromNL[[#This Row],[RULENAME]]</f>
        <v>CP134-2X Week P VIP AB</v>
      </c>
      <c r="M611" t="str">
        <f t="shared" si="68"/>
        <v>CP134-2X Week P VIP AB</v>
      </c>
    </row>
    <row r="612" spans="1:13" x14ac:dyDescent="0.25">
      <c r="A612" t="str">
        <f t="shared" si="69"/>
        <v>CP134-2X Week P VZV</v>
      </c>
      <c r="B612" t="s">
        <v>182</v>
      </c>
      <c r="C612" t="str">
        <f t="shared" si="63"/>
        <v>College Park</v>
      </c>
      <c r="D612" t="str">
        <f t="shared" si="64"/>
        <v>Y</v>
      </c>
      <c r="E612" t="s">
        <v>613</v>
      </c>
      <c r="F612" t="str">
        <f t="shared" si="65"/>
        <v>2X Week P VZV</v>
      </c>
      <c r="G612" t="str">
        <f t="shared" si="66"/>
        <v>Specialty</v>
      </c>
      <c r="H612" t="s">
        <v>488</v>
      </c>
      <c r="I612" t="str">
        <f t="shared" si="67"/>
        <v>RETURN - 2nd don of the week -BONUS</v>
      </c>
      <c r="J612" t="s">
        <v>546</v>
      </c>
      <c r="K612" s="5">
        <v>35</v>
      </c>
      <c r="L612" t="str">
        <f>Table_DataFromNL[[#This Row],[PROFILECODE]]&amp;"-"&amp;Table_DataFromNL[[#This Row],[RULENAME]]</f>
        <v>CP134-2X Week P VZV</v>
      </c>
      <c r="M612" t="str">
        <f t="shared" si="68"/>
        <v>CP134-2X Week P VZV</v>
      </c>
    </row>
    <row r="613" spans="1:13" x14ac:dyDescent="0.25">
      <c r="A613" t="str">
        <f t="shared" si="69"/>
        <v>CP134-2X Week P VZV AP</v>
      </c>
      <c r="B613" t="s">
        <v>182</v>
      </c>
      <c r="C613" t="str">
        <f t="shared" si="63"/>
        <v>College Park</v>
      </c>
      <c r="D613" t="str">
        <f t="shared" si="64"/>
        <v>Y</v>
      </c>
      <c r="E613" t="s">
        <v>613</v>
      </c>
      <c r="F613" t="str">
        <f t="shared" si="65"/>
        <v>2X Week P VZV AP</v>
      </c>
      <c r="G613" t="str">
        <f t="shared" si="66"/>
        <v>Specialty</v>
      </c>
      <c r="H613" t="s">
        <v>489</v>
      </c>
      <c r="I613" t="str">
        <f t="shared" si="67"/>
        <v>RETURN - 2nd don of the week -BONUS</v>
      </c>
      <c r="J613" t="s">
        <v>546</v>
      </c>
      <c r="K613" s="5">
        <v>35</v>
      </c>
      <c r="L613" t="str">
        <f>Table_DataFromNL[[#This Row],[PROFILECODE]]&amp;"-"&amp;Table_DataFromNL[[#This Row],[RULENAME]]</f>
        <v>CP134-2X Week P VZV AP</v>
      </c>
      <c r="M613" t="str">
        <f t="shared" si="68"/>
        <v>CP134-2X Week P VZV AP</v>
      </c>
    </row>
    <row r="614" spans="1:13" x14ac:dyDescent="0.25">
      <c r="A614" t="str">
        <f t="shared" si="69"/>
        <v>CP134-2X Week P VZV Pre-Existing</v>
      </c>
      <c r="B614" t="s">
        <v>182</v>
      </c>
      <c r="C614" t="str">
        <f t="shared" si="63"/>
        <v>College Park</v>
      </c>
      <c r="D614" t="str">
        <f t="shared" si="64"/>
        <v>Y</v>
      </c>
      <c r="E614" t="s">
        <v>613</v>
      </c>
      <c r="F614" t="str">
        <f t="shared" si="65"/>
        <v>2X Week P VZV Pre-Existing</v>
      </c>
      <c r="G614" t="str">
        <f t="shared" si="66"/>
        <v>Specialty</v>
      </c>
      <c r="H614" t="s">
        <v>490</v>
      </c>
      <c r="I614" t="str">
        <f t="shared" si="67"/>
        <v>RETURN - 2nd don of the week -BONUS</v>
      </c>
      <c r="J614" t="s">
        <v>546</v>
      </c>
      <c r="K614" s="5">
        <v>35</v>
      </c>
      <c r="L614" t="str">
        <f>Table_DataFromNL[[#This Row],[PROFILECODE]]&amp;"-"&amp;Table_DataFromNL[[#This Row],[RULENAME]]</f>
        <v>CP134-2X Week P VZV Pre-Existing</v>
      </c>
      <c r="M614" t="str">
        <f t="shared" si="68"/>
        <v>CP134-2X Week P VZV Pre-Existing</v>
      </c>
    </row>
    <row r="615" spans="1:13" x14ac:dyDescent="0.25">
      <c r="A615" t="str">
        <f t="shared" si="69"/>
        <v>CP134-2X Week P VZV Pre-Existing AP</v>
      </c>
      <c r="B615" t="s">
        <v>182</v>
      </c>
      <c r="C615" t="str">
        <f t="shared" si="63"/>
        <v>College Park</v>
      </c>
      <c r="D615" t="str">
        <f t="shared" si="64"/>
        <v>Y</v>
      </c>
      <c r="E615" t="s">
        <v>613</v>
      </c>
      <c r="F615" t="str">
        <f t="shared" si="65"/>
        <v>2X Week P VZV Pre-Existing AP</v>
      </c>
      <c r="G615" t="str">
        <f t="shared" si="66"/>
        <v>Specialty</v>
      </c>
      <c r="H615" t="s">
        <v>491</v>
      </c>
      <c r="I615" t="str">
        <f t="shared" si="67"/>
        <v>RETURN - 2nd don of the week -BONUS</v>
      </c>
      <c r="J615" t="s">
        <v>546</v>
      </c>
      <c r="K615" s="5">
        <v>35</v>
      </c>
      <c r="L615" t="str">
        <f>Table_DataFromNL[[#This Row],[PROFILECODE]]&amp;"-"&amp;Table_DataFromNL[[#This Row],[RULENAME]]</f>
        <v>CP134-2X Week P VZV Pre-Existing AP</v>
      </c>
      <c r="M615" t="str">
        <f t="shared" si="68"/>
        <v>CP134-2X Week P VZV Pre-Existing AP</v>
      </c>
    </row>
    <row r="616" spans="1:13" x14ac:dyDescent="0.25">
      <c r="A616" t="str">
        <f t="shared" si="69"/>
        <v>CP134-RETURN - 6th don of the month -BONUS</v>
      </c>
      <c r="B616" t="s">
        <v>182</v>
      </c>
      <c r="C616" t="str">
        <f t="shared" si="63"/>
        <v>College Park</v>
      </c>
      <c r="D616" t="str">
        <f t="shared" si="64"/>
        <v>Y</v>
      </c>
      <c r="E616" t="s">
        <v>613</v>
      </c>
      <c r="F616" t="str">
        <f t="shared" si="65"/>
        <v>RETURN - 6th don of the month -BONUS</v>
      </c>
      <c r="G616" t="str">
        <f t="shared" si="66"/>
        <v>Marketing</v>
      </c>
      <c r="H616" t="s">
        <v>552</v>
      </c>
      <c r="I616">
        <f t="shared" si="67"/>
        <v>28</v>
      </c>
      <c r="J616" t="s">
        <v>546</v>
      </c>
      <c r="K616" s="5">
        <v>30</v>
      </c>
      <c r="L616" t="str">
        <f>Table_DataFromNL[[#This Row],[PROFILECODE]]&amp;"-"&amp;Table_DataFromNL[[#This Row],[RULENAME]]</f>
        <v>CP134-6X Month</v>
      </c>
      <c r="M616" t="str">
        <f t="shared" si="68"/>
        <v>CP134-RETURN - 6th don of the month -BONUS</v>
      </c>
    </row>
    <row r="617" spans="1:13" x14ac:dyDescent="0.25">
      <c r="A617" t="str">
        <f t="shared" si="69"/>
        <v>CP134-College ID Standard Bonus</v>
      </c>
      <c r="B617" t="s">
        <v>182</v>
      </c>
      <c r="C617" t="str">
        <f t="shared" si="63"/>
        <v>College Park</v>
      </c>
      <c r="D617" t="str">
        <f t="shared" si="64"/>
        <v>Y</v>
      </c>
      <c r="E617" t="s">
        <v>613</v>
      </c>
      <c r="F617" t="str">
        <f t="shared" si="65"/>
        <v>College ID Standard Bonus</v>
      </c>
      <c r="G617">
        <f t="shared" si="66"/>
        <v>0</v>
      </c>
      <c r="H617" t="s">
        <v>553</v>
      </c>
      <c r="I617">
        <f t="shared" si="67"/>
        <v>0</v>
      </c>
      <c r="J617" t="s">
        <v>546</v>
      </c>
      <c r="K617" s="5">
        <v>5</v>
      </c>
      <c r="L617" t="str">
        <f>Table_DataFromNL[[#This Row],[PROFILECODE]]&amp;"-"&amp;Table_DataFromNL[[#This Row],[RULENAME]]</f>
        <v>CP134-College ID Standard Bonus</v>
      </c>
      <c r="M617" t="e">
        <f t="shared" si="68"/>
        <v>#N/A</v>
      </c>
    </row>
    <row r="618" spans="1:13" x14ac:dyDescent="0.25">
      <c r="A618" t="str">
        <f t="shared" si="69"/>
        <v>CP134-Military ID</v>
      </c>
      <c r="B618" t="s">
        <v>182</v>
      </c>
      <c r="C618" t="str">
        <f t="shared" si="63"/>
        <v>College Park</v>
      </c>
      <c r="D618" t="str">
        <f t="shared" si="64"/>
        <v>Y</v>
      </c>
      <c r="E618" t="s">
        <v>613</v>
      </c>
      <c r="F618" t="str">
        <f t="shared" si="65"/>
        <v>Military ID</v>
      </c>
      <c r="G618">
        <f t="shared" si="66"/>
        <v>0</v>
      </c>
      <c r="H618" t="s">
        <v>554</v>
      </c>
      <c r="I618">
        <f t="shared" si="67"/>
        <v>0</v>
      </c>
      <c r="J618" t="s">
        <v>546</v>
      </c>
      <c r="K618" s="5">
        <v>5</v>
      </c>
      <c r="L618" t="str">
        <f>Table_DataFromNL[[#This Row],[PROFILECODE]]&amp;"-"&amp;Table_DataFromNL[[#This Row],[RULENAME]]</f>
        <v>CP134-Military ID</v>
      </c>
      <c r="M618" t="e">
        <f t="shared" si="68"/>
        <v>#N/A</v>
      </c>
    </row>
    <row r="619" spans="1:13" x14ac:dyDescent="0.25">
      <c r="A619" t="str">
        <f t="shared" si="69"/>
        <v>CP134-NEW DONOR -1st</v>
      </c>
      <c r="B619" t="s">
        <v>182</v>
      </c>
      <c r="C619" t="str">
        <f t="shared" si="63"/>
        <v>College Park</v>
      </c>
      <c r="D619" t="str">
        <f t="shared" si="64"/>
        <v>Y</v>
      </c>
      <c r="E619" t="s">
        <v>613</v>
      </c>
      <c r="F619" t="str">
        <f t="shared" si="65"/>
        <v>NEW DONOR -1st</v>
      </c>
      <c r="G619" t="str">
        <f t="shared" si="66"/>
        <v>Marketing</v>
      </c>
      <c r="H619" t="s">
        <v>555</v>
      </c>
      <c r="I619">
        <f t="shared" si="67"/>
        <v>1</v>
      </c>
      <c r="J619" t="s">
        <v>546</v>
      </c>
      <c r="K619" s="5">
        <v>100</v>
      </c>
      <c r="L619" t="str">
        <f>Table_DataFromNL[[#This Row],[PROFILECODE]]&amp;"-"&amp;Table_DataFromNL[[#This Row],[RULENAME]]</f>
        <v>CP134-New Donor 1st Visit-Bonus</v>
      </c>
      <c r="M619" t="str">
        <f t="shared" si="68"/>
        <v>CP134-NEW DONOR -1st</v>
      </c>
    </row>
    <row r="620" spans="1:13" x14ac:dyDescent="0.25">
      <c r="A620" t="str">
        <f t="shared" si="69"/>
        <v>CP134-NEW DONOR -2nd</v>
      </c>
      <c r="B620" t="s">
        <v>182</v>
      </c>
      <c r="C620" t="str">
        <f t="shared" si="63"/>
        <v>College Park</v>
      </c>
      <c r="D620" t="str">
        <f t="shared" si="64"/>
        <v>Y</v>
      </c>
      <c r="E620" t="s">
        <v>613</v>
      </c>
      <c r="F620" t="str">
        <f t="shared" si="65"/>
        <v>NEW DONOR -2nd</v>
      </c>
      <c r="G620" t="str">
        <f t="shared" si="66"/>
        <v>Marketing</v>
      </c>
      <c r="H620" t="s">
        <v>556</v>
      </c>
      <c r="I620">
        <f t="shared" si="67"/>
        <v>2</v>
      </c>
      <c r="J620" t="s">
        <v>546</v>
      </c>
      <c r="K620" s="5">
        <v>100</v>
      </c>
      <c r="L620" t="str">
        <f>Table_DataFromNL[[#This Row],[PROFILECODE]]&amp;"-"&amp;Table_DataFromNL[[#This Row],[RULENAME]]</f>
        <v>CP134-New Donor 2nd Visit-Bonus</v>
      </c>
      <c r="M620" t="str">
        <f t="shared" si="68"/>
        <v>CP134-NEW DONOR -2nd</v>
      </c>
    </row>
    <row r="621" spans="1:13" x14ac:dyDescent="0.25">
      <c r="A621" t="str">
        <f t="shared" si="69"/>
        <v>CP134-NEW DONOR -3rd</v>
      </c>
      <c r="B621" t="s">
        <v>182</v>
      </c>
      <c r="C621" t="str">
        <f t="shared" si="63"/>
        <v>College Park</v>
      </c>
      <c r="D621" t="str">
        <f t="shared" si="64"/>
        <v>Y</v>
      </c>
      <c r="E621" t="s">
        <v>613</v>
      </c>
      <c r="F621" t="str">
        <f t="shared" si="65"/>
        <v>NEW DONOR -3rd</v>
      </c>
      <c r="G621" t="str">
        <f t="shared" si="66"/>
        <v>Marketing</v>
      </c>
      <c r="H621" t="s">
        <v>557</v>
      </c>
      <c r="I621">
        <f t="shared" si="67"/>
        <v>3</v>
      </c>
      <c r="J621" t="s">
        <v>546</v>
      </c>
      <c r="K621" s="5">
        <v>100</v>
      </c>
      <c r="L621" t="str">
        <f>Table_DataFromNL[[#This Row],[PROFILECODE]]&amp;"-"&amp;Table_DataFromNL[[#This Row],[RULENAME]]</f>
        <v>CP134-New Donor 3rd Visit-Bonus</v>
      </c>
      <c r="M621" t="str">
        <f t="shared" si="68"/>
        <v>CP134-NEW DONOR -3rd</v>
      </c>
    </row>
    <row r="622" spans="1:13" x14ac:dyDescent="0.25">
      <c r="A622" t="str">
        <f t="shared" si="69"/>
        <v>CP134-NEW DONOR -4th</v>
      </c>
      <c r="B622" t="s">
        <v>182</v>
      </c>
      <c r="C622" t="str">
        <f t="shared" si="63"/>
        <v>College Park</v>
      </c>
      <c r="D622" t="str">
        <f t="shared" si="64"/>
        <v>Y</v>
      </c>
      <c r="E622" t="s">
        <v>613</v>
      </c>
      <c r="F622" t="str">
        <f t="shared" si="65"/>
        <v>NEW DONOR -4th</v>
      </c>
      <c r="G622" t="str">
        <f t="shared" si="66"/>
        <v>Marketing</v>
      </c>
      <c r="H622" t="s">
        <v>558</v>
      </c>
      <c r="I622">
        <f t="shared" si="67"/>
        <v>4</v>
      </c>
      <c r="J622" t="s">
        <v>546</v>
      </c>
      <c r="K622" s="5">
        <v>100</v>
      </c>
      <c r="L622" t="str">
        <f>Table_DataFromNL[[#This Row],[PROFILECODE]]&amp;"-"&amp;Table_DataFromNL[[#This Row],[RULENAME]]</f>
        <v>CP134-New Donor 4th Visit-Bonus</v>
      </c>
      <c r="M622" t="str">
        <f t="shared" si="68"/>
        <v>CP134-NEW DONOR -4th</v>
      </c>
    </row>
    <row r="623" spans="1:13" x14ac:dyDescent="0.25">
      <c r="A623" t="str">
        <f t="shared" si="69"/>
        <v>CP134-NEW DONOR -5th</v>
      </c>
      <c r="B623" t="s">
        <v>182</v>
      </c>
      <c r="C623" t="str">
        <f t="shared" si="63"/>
        <v>College Park</v>
      </c>
      <c r="D623" t="str">
        <f t="shared" si="64"/>
        <v>Y</v>
      </c>
      <c r="E623" t="s">
        <v>613</v>
      </c>
      <c r="F623" t="str">
        <f t="shared" si="65"/>
        <v>NEW DONOR -5th</v>
      </c>
      <c r="G623" t="str">
        <f t="shared" si="66"/>
        <v>Marketing</v>
      </c>
      <c r="H623" t="s">
        <v>559</v>
      </c>
      <c r="I623">
        <f t="shared" si="67"/>
        <v>5</v>
      </c>
      <c r="J623" t="s">
        <v>546</v>
      </c>
      <c r="K623" s="5">
        <v>100</v>
      </c>
      <c r="L623" t="str">
        <f>Table_DataFromNL[[#This Row],[PROFILECODE]]&amp;"-"&amp;Table_DataFromNL[[#This Row],[RULENAME]]</f>
        <v>CP134-New Donor 5th Visit-Bonus</v>
      </c>
      <c r="M623" t="str">
        <f t="shared" si="68"/>
        <v>CP134-NEW DONOR -5th</v>
      </c>
    </row>
    <row r="624" spans="1:13" x14ac:dyDescent="0.25">
      <c r="A624" t="str">
        <f t="shared" si="69"/>
        <v>CP134-NEW DONOR -6th</v>
      </c>
      <c r="B624" t="s">
        <v>182</v>
      </c>
      <c r="C624" t="str">
        <f t="shared" si="63"/>
        <v>College Park</v>
      </c>
      <c r="D624" t="str">
        <f t="shared" si="64"/>
        <v>Y</v>
      </c>
      <c r="E624" t="s">
        <v>613</v>
      </c>
      <c r="F624" t="str">
        <f t="shared" si="65"/>
        <v>NEW DONOR -6th</v>
      </c>
      <c r="G624" t="str">
        <f t="shared" si="66"/>
        <v>Marketing</v>
      </c>
      <c r="H624" t="s">
        <v>560</v>
      </c>
      <c r="I624">
        <f t="shared" si="67"/>
        <v>6</v>
      </c>
      <c r="J624" t="s">
        <v>546</v>
      </c>
      <c r="K624" s="5">
        <v>100</v>
      </c>
      <c r="L624" t="str">
        <f>Table_DataFromNL[[#This Row],[PROFILECODE]]&amp;"-"&amp;Table_DataFromNL[[#This Row],[RULENAME]]</f>
        <v>CP134-New Donor 6th Visit-Bonus</v>
      </c>
      <c r="M624" t="str">
        <f t="shared" si="68"/>
        <v>CP134-NEW DONOR -6th</v>
      </c>
    </row>
    <row r="625" spans="1:13" x14ac:dyDescent="0.25">
      <c r="A625" t="str">
        <f t="shared" si="69"/>
        <v>CP134-NEW DONOR -7th</v>
      </c>
      <c r="B625" t="s">
        <v>182</v>
      </c>
      <c r="C625" t="str">
        <f t="shared" si="63"/>
        <v>College Park</v>
      </c>
      <c r="D625" t="str">
        <f t="shared" si="64"/>
        <v>Y</v>
      </c>
      <c r="E625" t="s">
        <v>613</v>
      </c>
      <c r="F625" t="str">
        <f t="shared" si="65"/>
        <v>NEW DONOR -7th</v>
      </c>
      <c r="G625" t="str">
        <f t="shared" si="66"/>
        <v>Marketing</v>
      </c>
      <c r="H625" t="s">
        <v>561</v>
      </c>
      <c r="I625">
        <f t="shared" si="67"/>
        <v>7</v>
      </c>
      <c r="J625" t="s">
        <v>546</v>
      </c>
      <c r="K625" s="5">
        <v>40</v>
      </c>
      <c r="L625" t="str">
        <f>Table_DataFromNL[[#This Row],[PROFILECODE]]&amp;"-"&amp;Table_DataFromNL[[#This Row],[RULENAME]]</f>
        <v>CP134-New Donor 7th Visit-Bonus</v>
      </c>
      <c r="M625" t="str">
        <f t="shared" si="68"/>
        <v>CP134-NEW DONOR -7th</v>
      </c>
    </row>
    <row r="626" spans="1:13" x14ac:dyDescent="0.25">
      <c r="A626" t="str">
        <f t="shared" si="69"/>
        <v>CP134-NEW DONOR -8th</v>
      </c>
      <c r="B626" t="s">
        <v>182</v>
      </c>
      <c r="C626" t="str">
        <f t="shared" si="63"/>
        <v>College Park</v>
      </c>
      <c r="D626" t="str">
        <f t="shared" si="64"/>
        <v>Y</v>
      </c>
      <c r="E626" t="s">
        <v>613</v>
      </c>
      <c r="F626" t="str">
        <f t="shared" si="65"/>
        <v>NEW DONOR -8th</v>
      </c>
      <c r="G626" t="str">
        <f t="shared" si="66"/>
        <v>Marketing</v>
      </c>
      <c r="H626" t="s">
        <v>562</v>
      </c>
      <c r="I626">
        <f t="shared" si="67"/>
        <v>8</v>
      </c>
      <c r="J626" t="s">
        <v>546</v>
      </c>
      <c r="K626" s="5">
        <v>40</v>
      </c>
      <c r="L626" t="str">
        <f>Table_DataFromNL[[#This Row],[PROFILECODE]]&amp;"-"&amp;Table_DataFromNL[[#This Row],[RULENAME]]</f>
        <v>CP134-New Donor 8th Visit-Bonus</v>
      </c>
      <c r="M626" t="str">
        <f t="shared" si="68"/>
        <v>CP134-NEW DONOR -8th</v>
      </c>
    </row>
    <row r="627" spans="1:13" x14ac:dyDescent="0.25">
      <c r="A627" t="str">
        <f t="shared" si="69"/>
        <v>CP134-Community</v>
      </c>
      <c r="B627" t="s">
        <v>182</v>
      </c>
      <c r="C627" t="str">
        <f t="shared" si="63"/>
        <v>College Park</v>
      </c>
      <c r="D627" t="str">
        <f t="shared" si="64"/>
        <v>Y</v>
      </c>
      <c r="E627" t="s">
        <v>613</v>
      </c>
      <c r="F627" t="str">
        <f t="shared" si="65"/>
        <v>Community</v>
      </c>
      <c r="G627">
        <f t="shared" si="66"/>
        <v>0</v>
      </c>
      <c r="H627" t="s">
        <v>563</v>
      </c>
      <c r="I627">
        <f t="shared" si="67"/>
        <v>0</v>
      </c>
      <c r="J627" t="s">
        <v>564</v>
      </c>
      <c r="K627" s="5">
        <v>5</v>
      </c>
      <c r="L627" t="str">
        <f>Table_DataFromNL[[#This Row],[PROFILECODE]]&amp;"-"&amp;Table_DataFromNL[[#This Row],[RULENAME]]</f>
        <v>CP134-Community</v>
      </c>
      <c r="M627" t="e">
        <f t="shared" si="68"/>
        <v>#N/A</v>
      </c>
    </row>
    <row r="628" spans="1:13" x14ac:dyDescent="0.25">
      <c r="A628" t="str">
        <f t="shared" si="69"/>
        <v>CP134-HANGER_RECRUIT_5USD_once</v>
      </c>
      <c r="B628" t="s">
        <v>182</v>
      </c>
      <c r="C628" t="str">
        <f t="shared" si="63"/>
        <v>College Park</v>
      </c>
      <c r="D628" t="str">
        <f t="shared" si="64"/>
        <v>Y</v>
      </c>
      <c r="E628" t="s">
        <v>613</v>
      </c>
      <c r="F628" t="str">
        <f t="shared" si="65"/>
        <v>HANGER_RECRUIT_5USD_once</v>
      </c>
      <c r="G628">
        <f t="shared" si="66"/>
        <v>0</v>
      </c>
      <c r="H628" t="s">
        <v>565</v>
      </c>
      <c r="I628">
        <f t="shared" si="67"/>
        <v>0</v>
      </c>
      <c r="J628" t="s">
        <v>564</v>
      </c>
      <c r="K628" s="5">
        <v>5</v>
      </c>
      <c r="L628" t="str">
        <f>Table_DataFromNL[[#This Row],[PROFILECODE]]&amp;"-"&amp;Table_DataFromNL[[#This Row],[RULENAME]]</f>
        <v>CP134-HANGER_RECRUIT_5USD_once</v>
      </c>
      <c r="M628" t="e">
        <f t="shared" si="68"/>
        <v>#N/A</v>
      </c>
    </row>
    <row r="629" spans="1:13" x14ac:dyDescent="0.25">
      <c r="A629" t="str">
        <f t="shared" si="69"/>
        <v>CP134-Immunization Boost Payment</v>
      </c>
      <c r="B629" t="s">
        <v>182</v>
      </c>
      <c r="C629" t="str">
        <f t="shared" si="63"/>
        <v>College Park</v>
      </c>
      <c r="D629" t="str">
        <f t="shared" si="64"/>
        <v>Y</v>
      </c>
      <c r="E629" t="s">
        <v>613</v>
      </c>
      <c r="F629" t="str">
        <f t="shared" si="65"/>
        <v>Immunization Boost Payment</v>
      </c>
      <c r="G629">
        <f t="shared" si="66"/>
        <v>0</v>
      </c>
      <c r="H629" t="s">
        <v>598</v>
      </c>
      <c r="I629">
        <f t="shared" si="67"/>
        <v>0</v>
      </c>
      <c r="J629" t="s">
        <v>564</v>
      </c>
      <c r="K629" s="5">
        <v>50</v>
      </c>
      <c r="L629" t="str">
        <f>Table_DataFromNL[[#This Row],[PROFILECODE]]&amp;"-"&amp;Table_DataFromNL[[#This Row],[RULENAME]]</f>
        <v>CP134-Immunization Boost Payment</v>
      </c>
      <c r="M629" t="e">
        <f t="shared" si="68"/>
        <v>#N/A</v>
      </c>
    </row>
    <row r="630" spans="1:13" x14ac:dyDescent="0.25">
      <c r="A630" t="str">
        <f t="shared" si="69"/>
        <v>CP134-Immunization Series Payment</v>
      </c>
      <c r="B630" t="s">
        <v>182</v>
      </c>
      <c r="C630" t="str">
        <f t="shared" si="63"/>
        <v>College Park</v>
      </c>
      <c r="D630" t="str">
        <f t="shared" si="64"/>
        <v>Y</v>
      </c>
      <c r="E630" t="s">
        <v>613</v>
      </c>
      <c r="F630" t="str">
        <f t="shared" si="65"/>
        <v>Immunization Series Payment</v>
      </c>
      <c r="G630">
        <f t="shared" si="66"/>
        <v>0</v>
      </c>
      <c r="H630" t="s">
        <v>599</v>
      </c>
      <c r="I630">
        <f t="shared" si="67"/>
        <v>0</v>
      </c>
      <c r="J630" t="s">
        <v>564</v>
      </c>
      <c r="K630" s="5">
        <v>100</v>
      </c>
      <c r="L630" t="str">
        <f>Table_DataFromNL[[#This Row],[PROFILECODE]]&amp;"-"&amp;Table_DataFromNL[[#This Row],[RULENAME]]</f>
        <v>CP134-Immunization Series Payment</v>
      </c>
      <c r="M630" t="e">
        <f t="shared" si="68"/>
        <v>#N/A</v>
      </c>
    </row>
    <row r="631" spans="1:13" x14ac:dyDescent="0.25">
      <c r="A631" t="str">
        <f t="shared" si="69"/>
        <v>CP134-Inconv Fee $20-$50-Comment Req'd</v>
      </c>
      <c r="B631" t="s">
        <v>182</v>
      </c>
      <c r="C631" t="str">
        <f t="shared" si="63"/>
        <v>College Park</v>
      </c>
      <c r="D631" t="str">
        <f t="shared" si="64"/>
        <v>Y</v>
      </c>
      <c r="E631" t="s">
        <v>613</v>
      </c>
      <c r="F631" t="str">
        <f t="shared" si="65"/>
        <v>Inconv Fee $20-$50-Comment Req'd</v>
      </c>
      <c r="G631">
        <f t="shared" si="66"/>
        <v>0</v>
      </c>
      <c r="H631" t="s">
        <v>566</v>
      </c>
      <c r="I631">
        <f t="shared" si="67"/>
        <v>0</v>
      </c>
      <c r="J631" t="s">
        <v>564</v>
      </c>
      <c r="K631" s="5">
        <v>50</v>
      </c>
      <c r="L631" t="str">
        <f>Table_DataFromNL[[#This Row],[PROFILECODE]]&amp;"-"&amp;Table_DataFromNL[[#This Row],[RULENAME]]</f>
        <v>CP134-Inconv Fee $20-$50-Comment Req'd</v>
      </c>
      <c r="M631" t="e">
        <f t="shared" si="68"/>
        <v>#N/A</v>
      </c>
    </row>
    <row r="632" spans="1:13" x14ac:dyDescent="0.25">
      <c r="A632" t="str">
        <f t="shared" si="69"/>
        <v>CP134-Inconv Fee $5-$20-Comment Req'd</v>
      </c>
      <c r="B632" t="s">
        <v>182</v>
      </c>
      <c r="C632" t="str">
        <f t="shared" si="63"/>
        <v>College Park</v>
      </c>
      <c r="D632" t="str">
        <f t="shared" si="64"/>
        <v>Y</v>
      </c>
      <c r="E632" t="s">
        <v>613</v>
      </c>
      <c r="F632" t="str">
        <f t="shared" si="65"/>
        <v>Inconv Fee $5-$20-Comment Req'd</v>
      </c>
      <c r="G632">
        <f t="shared" si="66"/>
        <v>0</v>
      </c>
      <c r="H632" t="s">
        <v>567</v>
      </c>
      <c r="I632">
        <f t="shared" si="67"/>
        <v>0</v>
      </c>
      <c r="J632" t="s">
        <v>564</v>
      </c>
      <c r="K632" s="5">
        <v>20</v>
      </c>
      <c r="L632" t="str">
        <f>Table_DataFromNL[[#This Row],[PROFILECODE]]&amp;"-"&amp;Table_DataFromNL[[#This Row],[RULENAME]]</f>
        <v>CP134-Inconv Fee $5-$20-Comment Req'd</v>
      </c>
      <c r="M632" t="e">
        <f t="shared" si="68"/>
        <v>#N/A</v>
      </c>
    </row>
    <row r="633" spans="1:13" x14ac:dyDescent="0.25">
      <c r="A633" t="str">
        <f t="shared" si="69"/>
        <v>CP134-Inconv Fee$50-$100-Comment Req'd</v>
      </c>
      <c r="B633" t="s">
        <v>182</v>
      </c>
      <c r="C633" t="str">
        <f t="shared" si="63"/>
        <v>College Park</v>
      </c>
      <c r="D633" t="str">
        <f t="shared" si="64"/>
        <v>Y</v>
      </c>
      <c r="E633" t="s">
        <v>613</v>
      </c>
      <c r="F633" t="str">
        <f t="shared" si="65"/>
        <v>Inconv Fee$50-$100-Comment Req'd</v>
      </c>
      <c r="G633">
        <f t="shared" si="66"/>
        <v>0</v>
      </c>
      <c r="H633" t="s">
        <v>568</v>
      </c>
      <c r="I633">
        <f t="shared" si="67"/>
        <v>0</v>
      </c>
      <c r="J633" t="s">
        <v>564</v>
      </c>
      <c r="K633" s="5">
        <v>100</v>
      </c>
      <c r="L633" t="str">
        <f>Table_DataFromNL[[#This Row],[PROFILECODE]]&amp;"-"&amp;Table_DataFromNL[[#This Row],[RULENAME]]</f>
        <v>CP134-Inconv Fee$50-$100-Comment Req'd</v>
      </c>
      <c r="M633" t="e">
        <f t="shared" si="68"/>
        <v>#N/A</v>
      </c>
    </row>
    <row r="634" spans="1:13" x14ac:dyDescent="0.25">
      <c r="A634" t="str">
        <f t="shared" si="69"/>
        <v>CP134-MONDAY_COUPON_RETENTION_10_once</v>
      </c>
      <c r="B634" t="s">
        <v>182</v>
      </c>
      <c r="C634" t="str">
        <f t="shared" si="63"/>
        <v>College Park</v>
      </c>
      <c r="D634" t="str">
        <f t="shared" si="64"/>
        <v>Y</v>
      </c>
      <c r="E634" t="s">
        <v>613</v>
      </c>
      <c r="F634" t="str">
        <f t="shared" si="65"/>
        <v>MONDAY_COUPON_RETENTION_10_once</v>
      </c>
      <c r="G634">
        <f t="shared" si="66"/>
        <v>0</v>
      </c>
      <c r="H634" t="s">
        <v>594</v>
      </c>
      <c r="I634">
        <f t="shared" si="67"/>
        <v>0</v>
      </c>
      <c r="J634" t="s">
        <v>564</v>
      </c>
      <c r="K634" s="5">
        <v>10</v>
      </c>
      <c r="L634" t="str">
        <f>Table_DataFromNL[[#This Row],[PROFILECODE]]&amp;"-"&amp;Table_DataFromNL[[#This Row],[RULENAME]]</f>
        <v>CP134-MONDAY_COUPON_RETENTION_10_once</v>
      </c>
      <c r="M634" t="e">
        <f t="shared" si="68"/>
        <v>#N/A</v>
      </c>
    </row>
    <row r="635" spans="1:13" x14ac:dyDescent="0.25">
      <c r="A635" t="str">
        <f t="shared" si="69"/>
        <v>CP134-NSP_ LAPSEDONOR_50_Twice</v>
      </c>
      <c r="B635" t="s">
        <v>182</v>
      </c>
      <c r="C635" t="str">
        <f t="shared" si="63"/>
        <v>College Park</v>
      </c>
      <c r="D635" t="str">
        <f t="shared" si="64"/>
        <v>Y</v>
      </c>
      <c r="E635" t="s">
        <v>613</v>
      </c>
      <c r="F635" t="str">
        <f t="shared" si="65"/>
        <v>NSP_ LAPSEDONOR_50_Twice</v>
      </c>
      <c r="G635">
        <f t="shared" si="66"/>
        <v>0</v>
      </c>
      <c r="H635" t="s">
        <v>569</v>
      </c>
      <c r="I635">
        <f t="shared" si="67"/>
        <v>0</v>
      </c>
      <c r="J635" t="s">
        <v>564</v>
      </c>
      <c r="K635" s="5">
        <v>50</v>
      </c>
      <c r="L635" t="str">
        <f>Table_DataFromNL[[#This Row],[PROFILECODE]]&amp;"-"&amp;Table_DataFromNL[[#This Row],[RULENAME]]</f>
        <v>CP134-NSP_ LAPSEDONOR_50_Twice</v>
      </c>
      <c r="M635" t="e">
        <f t="shared" si="68"/>
        <v>#N/A</v>
      </c>
    </row>
    <row r="636" spans="1:13" x14ac:dyDescent="0.25">
      <c r="A636" t="str">
        <f t="shared" si="69"/>
        <v>CP134-NSP_LD_25_2X</v>
      </c>
      <c r="B636" t="s">
        <v>182</v>
      </c>
      <c r="C636" t="str">
        <f t="shared" si="63"/>
        <v>College Park</v>
      </c>
      <c r="D636" t="str">
        <f t="shared" si="64"/>
        <v>Y</v>
      </c>
      <c r="E636" t="s">
        <v>613</v>
      </c>
      <c r="F636" t="str">
        <f t="shared" si="65"/>
        <v>NSP_LD_25_2X</v>
      </c>
      <c r="G636">
        <f t="shared" si="66"/>
        <v>0</v>
      </c>
      <c r="H636" t="s">
        <v>570</v>
      </c>
      <c r="I636">
        <f t="shared" si="67"/>
        <v>0</v>
      </c>
      <c r="J636" t="s">
        <v>564</v>
      </c>
      <c r="K636" s="5">
        <v>25</v>
      </c>
      <c r="L636" t="str">
        <f>Table_DataFromNL[[#This Row],[PROFILECODE]]&amp;"-"&amp;Table_DataFromNL[[#This Row],[RULENAME]]</f>
        <v>CP134-NSP_LD_25_2X</v>
      </c>
      <c r="M636" t="e">
        <f t="shared" si="68"/>
        <v>#N/A</v>
      </c>
    </row>
    <row r="637" spans="1:13" x14ac:dyDescent="0.25">
      <c r="A637" t="str">
        <f t="shared" si="69"/>
        <v>CP134-NSP_LD_50_1X</v>
      </c>
      <c r="B637" t="s">
        <v>182</v>
      </c>
      <c r="C637" t="str">
        <f t="shared" si="63"/>
        <v>College Park</v>
      </c>
      <c r="D637" t="str">
        <f t="shared" si="64"/>
        <v>Y</v>
      </c>
      <c r="E637" t="s">
        <v>613</v>
      </c>
      <c r="F637" t="str">
        <f t="shared" si="65"/>
        <v>NSP_LD_50_1X</v>
      </c>
      <c r="G637">
        <f t="shared" si="66"/>
        <v>0</v>
      </c>
      <c r="H637" t="s">
        <v>571</v>
      </c>
      <c r="I637">
        <f t="shared" si="67"/>
        <v>0</v>
      </c>
      <c r="J637" t="s">
        <v>564</v>
      </c>
      <c r="K637" s="5">
        <v>50</v>
      </c>
      <c r="L637" t="str">
        <f>Table_DataFromNL[[#This Row],[PROFILECODE]]&amp;"-"&amp;Table_DataFromNL[[#This Row],[RULENAME]]</f>
        <v>CP134-NSP_LD_50_1X</v>
      </c>
      <c r="M637" t="e">
        <f t="shared" si="68"/>
        <v>#N/A</v>
      </c>
    </row>
    <row r="638" spans="1:13" x14ac:dyDescent="0.25">
      <c r="A638" t="str">
        <f t="shared" si="69"/>
        <v>CP134-NSP_ORPHAN_100_once</v>
      </c>
      <c r="B638" t="s">
        <v>182</v>
      </c>
      <c r="C638" t="str">
        <f t="shared" si="63"/>
        <v>College Park</v>
      </c>
      <c r="D638" t="str">
        <f t="shared" si="64"/>
        <v>Y</v>
      </c>
      <c r="E638" t="s">
        <v>613</v>
      </c>
      <c r="F638" t="str">
        <f t="shared" si="65"/>
        <v>NSP_ORPHAN_100_once</v>
      </c>
      <c r="G638">
        <f t="shared" si="66"/>
        <v>0</v>
      </c>
      <c r="H638" t="s">
        <v>572</v>
      </c>
      <c r="I638">
        <f t="shared" si="67"/>
        <v>0</v>
      </c>
      <c r="J638" t="s">
        <v>564</v>
      </c>
      <c r="K638" s="5">
        <v>100</v>
      </c>
      <c r="L638" t="str">
        <f>Table_DataFromNL[[#This Row],[PROFILECODE]]&amp;"-"&amp;Table_DataFromNL[[#This Row],[RULENAME]]</f>
        <v>CP134-NSP_ORPHAN_100_once</v>
      </c>
      <c r="M638" t="e">
        <f t="shared" si="68"/>
        <v>#N/A</v>
      </c>
    </row>
    <row r="639" spans="1:13" x14ac:dyDescent="0.25">
      <c r="A639" t="str">
        <f t="shared" si="69"/>
        <v>CP134-Restick</v>
      </c>
      <c r="B639" t="s">
        <v>182</v>
      </c>
      <c r="C639" t="str">
        <f t="shared" si="63"/>
        <v>College Park</v>
      </c>
      <c r="D639" t="str">
        <f t="shared" si="64"/>
        <v>Y</v>
      </c>
      <c r="E639" t="s">
        <v>613</v>
      </c>
      <c r="F639" t="str">
        <f t="shared" si="65"/>
        <v>Restick</v>
      </c>
      <c r="G639">
        <f t="shared" si="66"/>
        <v>0</v>
      </c>
      <c r="H639" t="s">
        <v>573</v>
      </c>
      <c r="I639">
        <f t="shared" si="67"/>
        <v>0</v>
      </c>
      <c r="J639" t="s">
        <v>564</v>
      </c>
      <c r="K639" s="5">
        <v>5</v>
      </c>
      <c r="L639" t="str">
        <f>Table_DataFromNL[[#This Row],[PROFILECODE]]&amp;"-"&amp;Table_DataFromNL[[#This Row],[RULENAME]]</f>
        <v>CP134-Restick</v>
      </c>
      <c r="M639" t="e">
        <f t="shared" si="68"/>
        <v>#N/A</v>
      </c>
    </row>
    <row r="640" spans="1:13" x14ac:dyDescent="0.25">
      <c r="A640" t="str">
        <f t="shared" si="69"/>
        <v>CP134-SLOW_TEXT_5</v>
      </c>
      <c r="B640" t="s">
        <v>182</v>
      </c>
      <c r="C640" t="str">
        <f t="shared" si="63"/>
        <v>College Park</v>
      </c>
      <c r="D640" t="str">
        <f t="shared" si="64"/>
        <v>Y</v>
      </c>
      <c r="E640" t="s">
        <v>613</v>
      </c>
      <c r="F640" t="str">
        <f t="shared" si="65"/>
        <v>SLOW_TEXT_5</v>
      </c>
      <c r="G640">
        <f t="shared" si="66"/>
        <v>0</v>
      </c>
      <c r="H640" t="s">
        <v>574</v>
      </c>
      <c r="I640">
        <f t="shared" si="67"/>
        <v>0</v>
      </c>
      <c r="J640" t="s">
        <v>564</v>
      </c>
      <c r="K640" s="5">
        <v>5</v>
      </c>
      <c r="L640" t="str">
        <f>Table_DataFromNL[[#This Row],[PROFILECODE]]&amp;"-"&amp;Table_DataFromNL[[#This Row],[RULENAME]]</f>
        <v>CP134-SLOW_TEXT_5</v>
      </c>
      <c r="M640" t="e">
        <f t="shared" si="68"/>
        <v>#N/A</v>
      </c>
    </row>
    <row r="641" spans="1:13" x14ac:dyDescent="0.25">
      <c r="A641" t="str">
        <f t="shared" si="69"/>
        <v>CP134-Sample Only</v>
      </c>
      <c r="B641" t="s">
        <v>182</v>
      </c>
      <c r="C641" t="str">
        <f t="shared" si="63"/>
        <v>College Park</v>
      </c>
      <c r="D641" t="str">
        <f t="shared" si="64"/>
        <v>Y</v>
      </c>
      <c r="E641" t="s">
        <v>613</v>
      </c>
      <c r="F641" t="str">
        <f t="shared" si="65"/>
        <v>Sample Only</v>
      </c>
      <c r="G641">
        <f t="shared" si="66"/>
        <v>0</v>
      </c>
      <c r="H641" t="s">
        <v>575</v>
      </c>
      <c r="I641">
        <f t="shared" si="67"/>
        <v>0</v>
      </c>
      <c r="J641" t="s">
        <v>564</v>
      </c>
      <c r="K641" s="5">
        <v>5</v>
      </c>
      <c r="L641" t="str">
        <f>Table_DataFromNL[[#This Row],[PROFILECODE]]&amp;"-"&amp;Table_DataFromNL[[#This Row],[RULENAME]]</f>
        <v>CP134-Sample Only</v>
      </c>
      <c r="M641" t="e">
        <f t="shared" si="68"/>
        <v>#N/A</v>
      </c>
    </row>
    <row r="642" spans="1:13" x14ac:dyDescent="0.25">
      <c r="A642" t="str">
        <f t="shared" si="69"/>
        <v>CP134-Unit Below 250 mL</v>
      </c>
      <c r="B642" t="s">
        <v>182</v>
      </c>
      <c r="C642" t="str">
        <f t="shared" ref="C642:C705" si="70">VLOOKUP(B642,CenterLU,2,FALSE)</f>
        <v>College Park</v>
      </c>
      <c r="D642" t="str">
        <f t="shared" ref="D642:D705" si="71">VLOOKUP(B642,CenterLU,3,FALSE)</f>
        <v>Y</v>
      </c>
      <c r="E642" t="s">
        <v>613</v>
      </c>
      <c r="F642" t="str">
        <f t="shared" ref="F642:F705" si="72">IF(VLOOKUP(H642,RULENAMELU,3,FALSE)=0,H642,VLOOKUP(H642,RULENAMELU,3,FALSE))</f>
        <v>Unit Below 250 mL</v>
      </c>
      <c r="G642">
        <f t="shared" ref="G642:G705" si="73">VLOOKUP(H642,RULENAMELU,4,FALSE)</f>
        <v>0</v>
      </c>
      <c r="H642" t="s">
        <v>576</v>
      </c>
      <c r="I642">
        <f t="shared" ref="I642:I705" si="74">VLOOKUP(H642,RULENAMELU,5,FALSE)</f>
        <v>0</v>
      </c>
      <c r="J642" t="s">
        <v>564</v>
      </c>
      <c r="K642" s="5">
        <v>5</v>
      </c>
      <c r="L642" t="str">
        <f>Table_DataFromNL[[#This Row],[PROFILECODE]]&amp;"-"&amp;Table_DataFromNL[[#This Row],[RULENAME]]</f>
        <v>CP134-Unit Below 250 mL</v>
      </c>
      <c r="M642" t="e">
        <f t="shared" ref="M642:M705" si="75">IFERROR(VLOOKUP(A642,PaychangesLU,1,FALSE),VLOOKUP(A642,SpecialtyCheckLU,1,FALSE))</f>
        <v>#N/A</v>
      </c>
    </row>
    <row r="643" spans="1:13" x14ac:dyDescent="0.25">
      <c r="A643" t="str">
        <f t="shared" ref="A643:A706" si="76">B643&amp;"-"&amp;F643</f>
        <v>CP134-Unit above 250 mL/underdraw</v>
      </c>
      <c r="B643" t="s">
        <v>182</v>
      </c>
      <c r="C643" t="str">
        <f t="shared" si="70"/>
        <v>College Park</v>
      </c>
      <c r="D643" t="str">
        <f t="shared" si="71"/>
        <v>Y</v>
      </c>
      <c r="E643" t="s">
        <v>613</v>
      </c>
      <c r="F643" t="str">
        <f t="shared" si="72"/>
        <v>Unit above 250 mL/underdraw</v>
      </c>
      <c r="G643">
        <f t="shared" si="73"/>
        <v>0</v>
      </c>
      <c r="H643" t="s">
        <v>577</v>
      </c>
      <c r="I643">
        <f t="shared" si="74"/>
        <v>0</v>
      </c>
      <c r="J643" t="s">
        <v>564</v>
      </c>
      <c r="K643" s="5">
        <v>10</v>
      </c>
      <c r="L643" t="str">
        <f>Table_DataFromNL[[#This Row],[PROFILECODE]]&amp;"-"&amp;Table_DataFromNL[[#This Row],[RULENAME]]</f>
        <v>CP134-Unit above 250 mL/underdraw</v>
      </c>
      <c r="M643" t="e">
        <f t="shared" si="75"/>
        <v>#N/A</v>
      </c>
    </row>
    <row r="644" spans="1:13" x14ac:dyDescent="0.25">
      <c r="A644" t="str">
        <f t="shared" si="76"/>
        <v>CP134-RETURN - Buddy referral  -BONUS</v>
      </c>
      <c r="B644" t="s">
        <v>182</v>
      </c>
      <c r="C644" t="str">
        <f t="shared" si="70"/>
        <v>College Park</v>
      </c>
      <c r="D644" t="str">
        <f t="shared" si="71"/>
        <v>Y</v>
      </c>
      <c r="E644" t="s">
        <v>613</v>
      </c>
      <c r="F644" t="str">
        <f t="shared" si="72"/>
        <v>RETURN - Buddy referral  -BONUS</v>
      </c>
      <c r="G644" t="str">
        <f t="shared" si="73"/>
        <v>Marketing</v>
      </c>
      <c r="H644" t="s">
        <v>34</v>
      </c>
      <c r="I644">
        <f t="shared" si="74"/>
        <v>50</v>
      </c>
      <c r="J644" t="s">
        <v>578</v>
      </c>
      <c r="K644" s="5">
        <v>50</v>
      </c>
      <c r="L644" t="str">
        <f>Table_DataFromNL[[#This Row],[PROFILECODE]]&amp;"-"&amp;Table_DataFromNL[[#This Row],[RULENAME]]</f>
        <v>CP134-Referral</v>
      </c>
      <c r="M644" t="str">
        <f t="shared" si="75"/>
        <v>CP134-RETURN - Buddy referral  -BONUS</v>
      </c>
    </row>
    <row r="645" spans="1:13" x14ac:dyDescent="0.25">
      <c r="A645" t="str">
        <f t="shared" si="76"/>
        <v>CP134-P Anti-D Pre-Existing Standard</v>
      </c>
      <c r="B645" t="s">
        <v>182</v>
      </c>
      <c r="C645" t="str">
        <f t="shared" si="70"/>
        <v>College Park</v>
      </c>
      <c r="D645" t="str">
        <f t="shared" si="71"/>
        <v>Y</v>
      </c>
      <c r="E645" t="s">
        <v>613</v>
      </c>
      <c r="F645" t="str">
        <f t="shared" si="72"/>
        <v>P Anti-D Pre-Existing Standard</v>
      </c>
      <c r="G645" t="str">
        <f t="shared" si="73"/>
        <v>Specialty</v>
      </c>
      <c r="H645" t="s">
        <v>469</v>
      </c>
      <c r="I645" t="str">
        <f t="shared" si="74"/>
        <v>RETURN - 1st don of the week -STD</v>
      </c>
      <c r="J645" t="s">
        <v>579</v>
      </c>
      <c r="K645" s="5">
        <v>50</v>
      </c>
      <c r="L645" t="str">
        <f>Table_DataFromNL[[#This Row],[PROFILECODE]]&amp;"-"&amp;Table_DataFromNL[[#This Row],[RULENAME]]</f>
        <v>CP134-P Anti-D Pre-Existing Standard</v>
      </c>
      <c r="M645" t="str">
        <f t="shared" si="75"/>
        <v>CP134-P Anti-D Pre-Existing Standard</v>
      </c>
    </row>
    <row r="646" spans="1:13" x14ac:dyDescent="0.25">
      <c r="A646" t="str">
        <f t="shared" si="76"/>
        <v>CP134-P CMV Standard</v>
      </c>
      <c r="B646" t="s">
        <v>182</v>
      </c>
      <c r="C646" t="str">
        <f t="shared" si="70"/>
        <v>College Park</v>
      </c>
      <c r="D646" t="str">
        <f t="shared" si="71"/>
        <v>Y</v>
      </c>
      <c r="E646" t="s">
        <v>613</v>
      </c>
      <c r="F646" t="str">
        <f t="shared" si="72"/>
        <v>P CMV Standard</v>
      </c>
      <c r="G646" t="str">
        <f t="shared" si="73"/>
        <v>Specialty</v>
      </c>
      <c r="H646" t="s">
        <v>501</v>
      </c>
      <c r="I646" t="str">
        <f t="shared" si="74"/>
        <v>RETURN - 1st don of the week -STD</v>
      </c>
      <c r="J646" t="s">
        <v>579</v>
      </c>
      <c r="K646" s="5">
        <v>40</v>
      </c>
      <c r="L646" t="str">
        <f>Table_DataFromNL[[#This Row],[PROFILECODE]]&amp;"-"&amp;Table_DataFromNL[[#This Row],[RULENAME]]</f>
        <v>CP134-P CMV Standard</v>
      </c>
      <c r="M646" t="str">
        <f t="shared" si="75"/>
        <v>CP134-P CMV Standard</v>
      </c>
    </row>
    <row r="647" spans="1:13" x14ac:dyDescent="0.25">
      <c r="A647" t="str">
        <f t="shared" si="76"/>
        <v>CP134-P HBS Pre-Existing Standard</v>
      </c>
      <c r="B647" t="s">
        <v>182</v>
      </c>
      <c r="C647" t="str">
        <f t="shared" si="70"/>
        <v>College Park</v>
      </c>
      <c r="D647" t="str">
        <f t="shared" si="71"/>
        <v>Y</v>
      </c>
      <c r="E647" t="s">
        <v>613</v>
      </c>
      <c r="F647" t="str">
        <f t="shared" si="72"/>
        <v>P HBS Pre-Existing Standard</v>
      </c>
      <c r="G647" t="str">
        <f t="shared" si="73"/>
        <v>Specialty</v>
      </c>
      <c r="H647" t="s">
        <v>472</v>
      </c>
      <c r="I647" t="str">
        <f t="shared" si="74"/>
        <v>RETURN - 1st don of the week -STD</v>
      </c>
      <c r="J647" t="s">
        <v>579</v>
      </c>
      <c r="K647" s="5">
        <v>45</v>
      </c>
      <c r="L647" t="str">
        <f>Table_DataFromNL[[#This Row],[PROFILECODE]]&amp;"-"&amp;Table_DataFromNL[[#This Row],[RULENAME]]</f>
        <v>CP134-P HBS Pre-Existing Standard</v>
      </c>
      <c r="M647" t="str">
        <f t="shared" si="75"/>
        <v>CP134-P HBS Pre-Existing Standard</v>
      </c>
    </row>
    <row r="648" spans="1:13" x14ac:dyDescent="0.25">
      <c r="A648" t="str">
        <f t="shared" si="76"/>
        <v>CP134-P HBS TWINRIX Standard</v>
      </c>
      <c r="B648" t="s">
        <v>182</v>
      </c>
      <c r="C648" t="str">
        <f t="shared" si="70"/>
        <v>College Park</v>
      </c>
      <c r="D648" t="str">
        <f t="shared" si="71"/>
        <v>Y</v>
      </c>
      <c r="E648" t="s">
        <v>613</v>
      </c>
      <c r="F648" t="str">
        <f t="shared" si="72"/>
        <v>P HBS TWINRIX Standard</v>
      </c>
      <c r="G648" t="str">
        <f t="shared" si="73"/>
        <v>Specialty</v>
      </c>
      <c r="H648" t="s">
        <v>506</v>
      </c>
      <c r="I648" t="str">
        <f t="shared" si="74"/>
        <v>RETURN - 1st don of the week -STD</v>
      </c>
      <c r="J648" t="s">
        <v>579</v>
      </c>
      <c r="K648" s="5">
        <v>45</v>
      </c>
      <c r="L648" t="str">
        <f>Table_DataFromNL[[#This Row],[PROFILECODE]]&amp;"-"&amp;Table_DataFromNL[[#This Row],[RULENAME]]</f>
        <v>CP134-P HBS TWINRIX Standard</v>
      </c>
      <c r="M648" t="str">
        <f t="shared" si="75"/>
        <v>CP134-P HBS TWINRIX Standard</v>
      </c>
    </row>
    <row r="649" spans="1:13" x14ac:dyDescent="0.25">
      <c r="A649" t="str">
        <f t="shared" si="76"/>
        <v>CP134-P HBS TWINRIX-AP Standard</v>
      </c>
      <c r="B649" t="s">
        <v>182</v>
      </c>
      <c r="C649" t="str">
        <f t="shared" si="70"/>
        <v>College Park</v>
      </c>
      <c r="D649" t="str">
        <f t="shared" si="71"/>
        <v>Y</v>
      </c>
      <c r="E649" t="s">
        <v>613</v>
      </c>
      <c r="F649" t="str">
        <f t="shared" si="72"/>
        <v>P HBS TWINRIX-AP Standard</v>
      </c>
      <c r="G649" t="str">
        <f t="shared" si="73"/>
        <v>Specialty</v>
      </c>
      <c r="H649" t="s">
        <v>507</v>
      </c>
      <c r="I649" t="str">
        <f t="shared" si="74"/>
        <v>RETURN - 1st don of the week -STD</v>
      </c>
      <c r="J649" t="s">
        <v>579</v>
      </c>
      <c r="K649" s="5">
        <v>45</v>
      </c>
      <c r="L649" t="str">
        <f>Table_DataFromNL[[#This Row],[PROFILECODE]]&amp;"-"&amp;Table_DataFromNL[[#This Row],[RULENAME]]</f>
        <v>CP134-P HBS TWINRIX-AP Standard</v>
      </c>
      <c r="M649" t="str">
        <f t="shared" si="75"/>
        <v>CP134-P HBS TWINRIX-AP Standard</v>
      </c>
    </row>
    <row r="650" spans="1:13" x14ac:dyDescent="0.25">
      <c r="A650" t="str">
        <f t="shared" si="76"/>
        <v>CP134-RETURN - 1st don of the week -STD</v>
      </c>
      <c r="B650" t="s">
        <v>182</v>
      </c>
      <c r="C650" t="str">
        <f t="shared" si="70"/>
        <v>College Park</v>
      </c>
      <c r="D650" t="str">
        <f t="shared" si="71"/>
        <v>Y</v>
      </c>
      <c r="E650" t="s">
        <v>613</v>
      </c>
      <c r="F650" t="str">
        <f t="shared" si="72"/>
        <v>RETURN - 1st don of the week -STD</v>
      </c>
      <c r="G650" t="str">
        <f t="shared" si="73"/>
        <v>Marketing</v>
      </c>
      <c r="H650" t="s">
        <v>583</v>
      </c>
      <c r="I650">
        <f t="shared" si="74"/>
        <v>22</v>
      </c>
      <c r="J650" t="s">
        <v>579</v>
      </c>
      <c r="K650" s="5">
        <v>40</v>
      </c>
      <c r="L650" t="str">
        <f>Table_DataFromNL[[#This Row],[PROFILECODE]]&amp;"-"&amp;Table_DataFromNL[[#This Row],[RULENAME]]</f>
        <v>CP134-P NSP NS AP Standard</v>
      </c>
      <c r="M650" t="str">
        <f t="shared" si="75"/>
        <v>CP134-RETURN - 1st don of the week -STD</v>
      </c>
    </row>
    <row r="651" spans="1:13" x14ac:dyDescent="0.25">
      <c r="A651" t="str">
        <f t="shared" si="76"/>
        <v>CP134-RETURN - 1st don of the week -STD</v>
      </c>
      <c r="B651" t="s">
        <v>182</v>
      </c>
      <c r="C651" t="str">
        <f t="shared" si="70"/>
        <v>College Park</v>
      </c>
      <c r="D651" t="str">
        <f t="shared" si="71"/>
        <v>Y</v>
      </c>
      <c r="E651" t="s">
        <v>613</v>
      </c>
      <c r="F651" t="str">
        <f t="shared" si="72"/>
        <v>RETURN - 1st don of the week -STD</v>
      </c>
      <c r="G651" t="str">
        <f t="shared" si="73"/>
        <v>Marketing</v>
      </c>
      <c r="H651" t="s">
        <v>584</v>
      </c>
      <c r="I651">
        <f t="shared" si="74"/>
        <v>23</v>
      </c>
      <c r="J651" t="s">
        <v>579</v>
      </c>
      <c r="K651" s="5">
        <v>40</v>
      </c>
      <c r="L651" t="str">
        <f>Table_DataFromNL[[#This Row],[PROFILECODE]]&amp;"-"&amp;Table_DataFromNL[[#This Row],[RULENAME]]</f>
        <v>CP134-P NSP NS Standard</v>
      </c>
      <c r="M651" t="str">
        <f t="shared" si="75"/>
        <v>CP134-RETURN - 1st don of the week -STD</v>
      </c>
    </row>
    <row r="652" spans="1:13" x14ac:dyDescent="0.25">
      <c r="A652" t="str">
        <f t="shared" si="76"/>
        <v>CP134-P VIP A Standard</v>
      </c>
      <c r="B652" t="s">
        <v>182</v>
      </c>
      <c r="C652" t="str">
        <f t="shared" si="70"/>
        <v>College Park</v>
      </c>
      <c r="D652" t="str">
        <f t="shared" si="71"/>
        <v>Y</v>
      </c>
      <c r="E652" t="s">
        <v>613</v>
      </c>
      <c r="F652" t="str">
        <f t="shared" si="72"/>
        <v>P VIP A Standard</v>
      </c>
      <c r="G652" t="str">
        <f t="shared" si="73"/>
        <v>Specialty</v>
      </c>
      <c r="H652" t="s">
        <v>512</v>
      </c>
      <c r="I652" t="str">
        <f t="shared" si="74"/>
        <v>RETURN - 1st don of the week -STD</v>
      </c>
      <c r="J652" t="s">
        <v>579</v>
      </c>
      <c r="K652" s="5">
        <v>40</v>
      </c>
      <c r="L652" t="str">
        <f>Table_DataFromNL[[#This Row],[PROFILECODE]]&amp;"-"&amp;Table_DataFromNL[[#This Row],[RULENAME]]</f>
        <v>CP134-P VIP A Standard</v>
      </c>
      <c r="M652" t="str">
        <f t="shared" si="75"/>
        <v>CP134-P VIP A Standard</v>
      </c>
    </row>
    <row r="653" spans="1:13" x14ac:dyDescent="0.25">
      <c r="A653" t="str">
        <f t="shared" si="76"/>
        <v>CP134-P VIP AB Standard</v>
      </c>
      <c r="B653" t="s">
        <v>182</v>
      </c>
      <c r="C653" t="str">
        <f t="shared" si="70"/>
        <v>College Park</v>
      </c>
      <c r="D653" t="str">
        <f t="shared" si="71"/>
        <v>Y</v>
      </c>
      <c r="E653" t="s">
        <v>613</v>
      </c>
      <c r="F653" t="str">
        <f t="shared" si="72"/>
        <v>P VIP AB Standard</v>
      </c>
      <c r="G653" t="str">
        <f t="shared" si="73"/>
        <v>Specialty</v>
      </c>
      <c r="H653" t="s">
        <v>513</v>
      </c>
      <c r="I653" t="str">
        <f t="shared" si="74"/>
        <v>RETURN - 1st don of the week -STD</v>
      </c>
      <c r="J653" t="s">
        <v>579</v>
      </c>
      <c r="K653" s="5">
        <v>40</v>
      </c>
      <c r="L653" t="str">
        <f>Table_DataFromNL[[#This Row],[PROFILECODE]]&amp;"-"&amp;Table_DataFromNL[[#This Row],[RULENAME]]</f>
        <v>CP134-P VIP AB Standard</v>
      </c>
      <c r="M653" t="str">
        <f t="shared" si="75"/>
        <v>CP134-P VIP AB Standard</v>
      </c>
    </row>
    <row r="654" spans="1:13" x14ac:dyDescent="0.25">
      <c r="A654" t="str">
        <f t="shared" si="76"/>
        <v>CP134-P VZV Pre-Existing AP</v>
      </c>
      <c r="B654" t="s">
        <v>182</v>
      </c>
      <c r="C654" t="str">
        <f t="shared" si="70"/>
        <v>College Park</v>
      </c>
      <c r="D654" t="str">
        <f t="shared" si="71"/>
        <v>Y</v>
      </c>
      <c r="E654" t="s">
        <v>613</v>
      </c>
      <c r="F654" t="str">
        <f t="shared" si="72"/>
        <v>P VZV Pre-Existing AP</v>
      </c>
      <c r="G654" t="str">
        <f t="shared" si="73"/>
        <v>Specialty</v>
      </c>
      <c r="H654" t="s">
        <v>495</v>
      </c>
      <c r="I654" t="str">
        <f t="shared" si="74"/>
        <v>RETURN - 1st don of the week -STD</v>
      </c>
      <c r="J654" t="s">
        <v>579</v>
      </c>
      <c r="K654" s="5">
        <v>50</v>
      </c>
      <c r="L654" t="str">
        <f>Table_DataFromNL[[#This Row],[PROFILECODE]]&amp;"-"&amp;Table_DataFromNL[[#This Row],[RULENAME]]</f>
        <v>CP134-P VZV Pre-Existing AP</v>
      </c>
      <c r="M654" t="str">
        <f t="shared" si="75"/>
        <v>CP134-P VZV Pre-Existing AP</v>
      </c>
    </row>
    <row r="655" spans="1:13" x14ac:dyDescent="0.25">
      <c r="A655" t="str">
        <f t="shared" si="76"/>
        <v>CP134-P VZV Standard</v>
      </c>
      <c r="B655" t="s">
        <v>182</v>
      </c>
      <c r="C655" t="str">
        <f t="shared" si="70"/>
        <v>College Park</v>
      </c>
      <c r="D655" t="str">
        <f t="shared" si="71"/>
        <v>Y</v>
      </c>
      <c r="E655" t="s">
        <v>613</v>
      </c>
      <c r="F655" t="str">
        <f t="shared" si="72"/>
        <v>P VZV Standard</v>
      </c>
      <c r="G655" t="str">
        <f t="shared" si="73"/>
        <v>Specialty</v>
      </c>
      <c r="H655" t="s">
        <v>496</v>
      </c>
      <c r="I655" t="str">
        <f t="shared" si="74"/>
        <v>RETURN - 1st don of the week -STD</v>
      </c>
      <c r="J655" t="s">
        <v>579</v>
      </c>
      <c r="K655" s="5">
        <v>50</v>
      </c>
      <c r="L655" t="str">
        <f>Table_DataFromNL[[#This Row],[PROFILECODE]]&amp;"-"&amp;Table_DataFromNL[[#This Row],[RULENAME]]</f>
        <v>CP134-P VZV Standard</v>
      </c>
      <c r="M655" t="str">
        <f t="shared" si="75"/>
        <v>CP134-P VZV Standard</v>
      </c>
    </row>
    <row r="656" spans="1:13" x14ac:dyDescent="0.25">
      <c r="A656" t="str">
        <f t="shared" si="76"/>
        <v>CP134-PVZV Pre-Existing Standard</v>
      </c>
      <c r="B656" t="s">
        <v>182</v>
      </c>
      <c r="C656" t="str">
        <f t="shared" si="70"/>
        <v>College Park</v>
      </c>
      <c r="D656" t="str">
        <f t="shared" si="71"/>
        <v>Y</v>
      </c>
      <c r="E656" t="s">
        <v>613</v>
      </c>
      <c r="F656" t="str">
        <f t="shared" si="72"/>
        <v>PVZV Pre-Existing Standard</v>
      </c>
      <c r="G656" t="str">
        <f t="shared" si="73"/>
        <v>Specialty</v>
      </c>
      <c r="H656" t="s">
        <v>497</v>
      </c>
      <c r="I656" t="str">
        <f t="shared" si="74"/>
        <v>RETURN - 1st don of the week -STD</v>
      </c>
      <c r="J656" t="s">
        <v>579</v>
      </c>
      <c r="K656" s="5">
        <v>50</v>
      </c>
      <c r="L656" t="str">
        <f>Table_DataFromNL[[#This Row],[PROFILECODE]]&amp;"-"&amp;Table_DataFromNL[[#This Row],[RULENAME]]</f>
        <v>CP134-PVZV Pre-Existing Standard</v>
      </c>
      <c r="M656" t="str">
        <f t="shared" si="75"/>
        <v>CP134-PVZV Pre-Existing Standard</v>
      </c>
    </row>
    <row r="657" spans="1:13" x14ac:dyDescent="0.25">
      <c r="A657" t="str">
        <f t="shared" si="76"/>
        <v>CP685-1st Responder-Medical</v>
      </c>
      <c r="B657" t="s">
        <v>344</v>
      </c>
      <c r="C657" t="str">
        <f t="shared" si="70"/>
        <v>Columbia</v>
      </c>
      <c r="D657" t="str">
        <f t="shared" si="71"/>
        <v>Y</v>
      </c>
      <c r="E657" t="s">
        <v>614</v>
      </c>
      <c r="F657" t="str">
        <f t="shared" si="72"/>
        <v>1st Responder-Medical</v>
      </c>
      <c r="G657">
        <f t="shared" si="73"/>
        <v>0</v>
      </c>
      <c r="H657" t="s">
        <v>545</v>
      </c>
      <c r="I657">
        <f t="shared" si="74"/>
        <v>0</v>
      </c>
      <c r="J657" t="s">
        <v>546</v>
      </c>
      <c r="K657" s="5">
        <v>5</v>
      </c>
      <c r="L657" t="str">
        <f>Table_DataFromNL[[#This Row],[PROFILECODE]]&amp;"-"&amp;Table_DataFromNL[[#This Row],[RULENAME]]</f>
        <v>CP685-1st Responder-Medical</v>
      </c>
      <c r="M657" t="e">
        <f t="shared" si="75"/>
        <v>#N/A</v>
      </c>
    </row>
    <row r="658" spans="1:13" x14ac:dyDescent="0.25">
      <c r="A658" t="str">
        <f t="shared" si="76"/>
        <v>CP685-RETURN - 2nd don of the week -BONUS</v>
      </c>
      <c r="B658" t="s">
        <v>344</v>
      </c>
      <c r="C658" t="str">
        <f t="shared" si="70"/>
        <v>Columbia</v>
      </c>
      <c r="D658" t="str">
        <f t="shared" si="71"/>
        <v>Y</v>
      </c>
      <c r="E658" t="s">
        <v>614</v>
      </c>
      <c r="F658" t="str">
        <f t="shared" si="72"/>
        <v>RETURN - 2nd don of the week -BONUS</v>
      </c>
      <c r="G658" t="str">
        <f t="shared" si="73"/>
        <v>Marketing</v>
      </c>
      <c r="H658" t="s">
        <v>550</v>
      </c>
      <c r="I658">
        <f t="shared" si="74"/>
        <v>26</v>
      </c>
      <c r="J658" t="s">
        <v>546</v>
      </c>
      <c r="K658" s="5">
        <v>25</v>
      </c>
      <c r="L658" t="str">
        <f>Table_DataFromNL[[#This Row],[PROFILECODE]]&amp;"-"&amp;Table_DataFromNL[[#This Row],[RULENAME]]</f>
        <v>CP685-2X Week P NSP NS</v>
      </c>
      <c r="M658" t="str">
        <f t="shared" si="75"/>
        <v>CP685-RETURN - 2nd don of the week -BONUS</v>
      </c>
    </row>
    <row r="659" spans="1:13" x14ac:dyDescent="0.25">
      <c r="A659" t="str">
        <f t="shared" si="76"/>
        <v>CP685-RETURN - 2nd don of the week -BONUS</v>
      </c>
      <c r="B659" t="s">
        <v>344</v>
      </c>
      <c r="C659" t="str">
        <f t="shared" si="70"/>
        <v>Columbia</v>
      </c>
      <c r="D659" t="str">
        <f t="shared" si="71"/>
        <v>Y</v>
      </c>
      <c r="E659" t="s">
        <v>614</v>
      </c>
      <c r="F659" t="str">
        <f t="shared" si="72"/>
        <v>RETURN - 2nd don of the week -BONUS</v>
      </c>
      <c r="G659" t="str">
        <f t="shared" si="73"/>
        <v>Marketing</v>
      </c>
      <c r="H659" t="s">
        <v>551</v>
      </c>
      <c r="I659" t="str">
        <f t="shared" si="74"/>
        <v>RETURN - 2nd don of the week -BONUS</v>
      </c>
      <c r="J659" t="s">
        <v>546</v>
      </c>
      <c r="K659" s="5">
        <v>25</v>
      </c>
      <c r="L659" t="str">
        <f>Table_DataFromNL[[#This Row],[PROFILECODE]]&amp;"-"&amp;Table_DataFromNL[[#This Row],[RULENAME]]</f>
        <v>CP685-2X Week P NSP NS AP</v>
      </c>
      <c r="M659" t="str">
        <f t="shared" si="75"/>
        <v>CP685-RETURN - 2nd don of the week -BONUS</v>
      </c>
    </row>
    <row r="660" spans="1:13" x14ac:dyDescent="0.25">
      <c r="A660" t="str">
        <f t="shared" si="76"/>
        <v>CP685-RETURN - 5th don of the month -BONUS</v>
      </c>
      <c r="B660" t="s">
        <v>344</v>
      </c>
      <c r="C660" t="str">
        <f t="shared" si="70"/>
        <v>Columbia</v>
      </c>
      <c r="D660" t="str">
        <f t="shared" si="71"/>
        <v>Y</v>
      </c>
      <c r="E660" t="s">
        <v>614</v>
      </c>
      <c r="F660" t="str">
        <f t="shared" si="72"/>
        <v>RETURN - 5th don of the month -BONUS</v>
      </c>
      <c r="G660" t="str">
        <f t="shared" si="73"/>
        <v>Marketing</v>
      </c>
      <c r="H660" t="s">
        <v>609</v>
      </c>
      <c r="I660">
        <f t="shared" si="74"/>
        <v>27</v>
      </c>
      <c r="J660" t="s">
        <v>546</v>
      </c>
      <c r="K660" s="5">
        <v>30</v>
      </c>
      <c r="L660" t="str">
        <f>Table_DataFromNL[[#This Row],[PROFILECODE]]&amp;"-"&amp;Table_DataFromNL[[#This Row],[RULENAME]]</f>
        <v>CP685-5X Month</v>
      </c>
      <c r="M660" t="str">
        <f t="shared" si="75"/>
        <v>CP685-RETURN - 5th don of the month -BONUS</v>
      </c>
    </row>
    <row r="661" spans="1:13" x14ac:dyDescent="0.25">
      <c r="A661" t="str">
        <f t="shared" si="76"/>
        <v>CP685-College ID Standard Bonus</v>
      </c>
      <c r="B661" t="s">
        <v>344</v>
      </c>
      <c r="C661" t="str">
        <f t="shared" si="70"/>
        <v>Columbia</v>
      </c>
      <c r="D661" t="str">
        <f t="shared" si="71"/>
        <v>Y</v>
      </c>
      <c r="E661" t="s">
        <v>614</v>
      </c>
      <c r="F661" t="str">
        <f t="shared" si="72"/>
        <v>College ID Standard Bonus</v>
      </c>
      <c r="G661">
        <f t="shared" si="73"/>
        <v>0</v>
      </c>
      <c r="H661" t="s">
        <v>553</v>
      </c>
      <c r="I661">
        <f t="shared" si="74"/>
        <v>0</v>
      </c>
      <c r="J661" t="s">
        <v>546</v>
      </c>
      <c r="K661" s="5">
        <v>5</v>
      </c>
      <c r="L661" t="str">
        <f>Table_DataFromNL[[#This Row],[PROFILECODE]]&amp;"-"&amp;Table_DataFromNL[[#This Row],[RULENAME]]</f>
        <v>CP685-College ID Standard Bonus</v>
      </c>
      <c r="M661" t="e">
        <f t="shared" si="75"/>
        <v>#N/A</v>
      </c>
    </row>
    <row r="662" spans="1:13" x14ac:dyDescent="0.25">
      <c r="A662" t="str">
        <f t="shared" si="76"/>
        <v>CP685-Military ID</v>
      </c>
      <c r="B662" t="s">
        <v>344</v>
      </c>
      <c r="C662" t="str">
        <f t="shared" si="70"/>
        <v>Columbia</v>
      </c>
      <c r="D662" t="str">
        <f t="shared" si="71"/>
        <v>Y</v>
      </c>
      <c r="E662" t="s">
        <v>614</v>
      </c>
      <c r="F662" t="str">
        <f t="shared" si="72"/>
        <v>Military ID</v>
      </c>
      <c r="G662">
        <f t="shared" si="73"/>
        <v>0</v>
      </c>
      <c r="H662" t="s">
        <v>554</v>
      </c>
      <c r="I662">
        <f t="shared" si="74"/>
        <v>0</v>
      </c>
      <c r="J662" t="s">
        <v>546</v>
      </c>
      <c r="K662" s="5">
        <v>5</v>
      </c>
      <c r="L662" t="str">
        <f>Table_DataFromNL[[#This Row],[PROFILECODE]]&amp;"-"&amp;Table_DataFromNL[[#This Row],[RULENAME]]</f>
        <v>CP685-Military ID</v>
      </c>
      <c r="M662" t="e">
        <f t="shared" si="75"/>
        <v>#N/A</v>
      </c>
    </row>
    <row r="663" spans="1:13" x14ac:dyDescent="0.25">
      <c r="A663" t="str">
        <f t="shared" si="76"/>
        <v>CP685-NEW DONOR -1st</v>
      </c>
      <c r="B663" t="s">
        <v>344</v>
      </c>
      <c r="C663" t="str">
        <f t="shared" si="70"/>
        <v>Columbia</v>
      </c>
      <c r="D663" t="str">
        <f t="shared" si="71"/>
        <v>Y</v>
      </c>
      <c r="E663" t="s">
        <v>614</v>
      </c>
      <c r="F663" t="str">
        <f t="shared" si="72"/>
        <v>NEW DONOR -1st</v>
      </c>
      <c r="G663" t="str">
        <f t="shared" si="73"/>
        <v>Marketing</v>
      </c>
      <c r="H663" t="s">
        <v>555</v>
      </c>
      <c r="I663">
        <f t="shared" si="74"/>
        <v>1</v>
      </c>
      <c r="J663" t="s">
        <v>546</v>
      </c>
      <c r="K663" s="5">
        <v>100</v>
      </c>
      <c r="L663" t="str">
        <f>Table_DataFromNL[[#This Row],[PROFILECODE]]&amp;"-"&amp;Table_DataFromNL[[#This Row],[RULENAME]]</f>
        <v>CP685-New Donor 1st Visit-Bonus</v>
      </c>
      <c r="M663" t="str">
        <f t="shared" si="75"/>
        <v>CP685-NEW DONOR -1st</v>
      </c>
    </row>
    <row r="664" spans="1:13" x14ac:dyDescent="0.25">
      <c r="A664" t="str">
        <f t="shared" si="76"/>
        <v>CP685-NEW DONOR -2nd</v>
      </c>
      <c r="B664" t="s">
        <v>344</v>
      </c>
      <c r="C664" t="str">
        <f t="shared" si="70"/>
        <v>Columbia</v>
      </c>
      <c r="D664" t="str">
        <f t="shared" si="71"/>
        <v>Y</v>
      </c>
      <c r="E664" t="s">
        <v>614</v>
      </c>
      <c r="F664" t="str">
        <f t="shared" si="72"/>
        <v>NEW DONOR -2nd</v>
      </c>
      <c r="G664" t="str">
        <f t="shared" si="73"/>
        <v>Marketing</v>
      </c>
      <c r="H664" t="s">
        <v>556</v>
      </c>
      <c r="I664">
        <f t="shared" si="74"/>
        <v>2</v>
      </c>
      <c r="J664" t="s">
        <v>546</v>
      </c>
      <c r="K664" s="5">
        <v>100</v>
      </c>
      <c r="L664" t="str">
        <f>Table_DataFromNL[[#This Row],[PROFILECODE]]&amp;"-"&amp;Table_DataFromNL[[#This Row],[RULENAME]]</f>
        <v>CP685-New Donor 2nd Visit-Bonus</v>
      </c>
      <c r="M664" t="str">
        <f t="shared" si="75"/>
        <v>CP685-NEW DONOR -2nd</v>
      </c>
    </row>
    <row r="665" spans="1:13" x14ac:dyDescent="0.25">
      <c r="A665" t="str">
        <f t="shared" si="76"/>
        <v>CP685-NEW DONOR -3rd</v>
      </c>
      <c r="B665" t="s">
        <v>344</v>
      </c>
      <c r="C665" t="str">
        <f t="shared" si="70"/>
        <v>Columbia</v>
      </c>
      <c r="D665" t="str">
        <f t="shared" si="71"/>
        <v>Y</v>
      </c>
      <c r="E665" t="s">
        <v>614</v>
      </c>
      <c r="F665" t="str">
        <f t="shared" si="72"/>
        <v>NEW DONOR -3rd</v>
      </c>
      <c r="G665" t="str">
        <f t="shared" si="73"/>
        <v>Marketing</v>
      </c>
      <c r="H665" t="s">
        <v>557</v>
      </c>
      <c r="I665">
        <f t="shared" si="74"/>
        <v>3</v>
      </c>
      <c r="J665" t="s">
        <v>546</v>
      </c>
      <c r="K665" s="5">
        <v>100</v>
      </c>
      <c r="L665" t="str">
        <f>Table_DataFromNL[[#This Row],[PROFILECODE]]&amp;"-"&amp;Table_DataFromNL[[#This Row],[RULENAME]]</f>
        <v>CP685-New Donor 3rd Visit-Bonus</v>
      </c>
      <c r="M665" t="str">
        <f t="shared" si="75"/>
        <v>CP685-NEW DONOR -3rd</v>
      </c>
    </row>
    <row r="666" spans="1:13" x14ac:dyDescent="0.25">
      <c r="A666" t="str">
        <f t="shared" si="76"/>
        <v>CP685-NEW DONOR -4th</v>
      </c>
      <c r="B666" t="s">
        <v>344</v>
      </c>
      <c r="C666" t="str">
        <f t="shared" si="70"/>
        <v>Columbia</v>
      </c>
      <c r="D666" t="str">
        <f t="shared" si="71"/>
        <v>Y</v>
      </c>
      <c r="E666" t="s">
        <v>614</v>
      </c>
      <c r="F666" t="str">
        <f t="shared" si="72"/>
        <v>NEW DONOR -4th</v>
      </c>
      <c r="G666" t="str">
        <f t="shared" si="73"/>
        <v>Marketing</v>
      </c>
      <c r="H666" t="s">
        <v>558</v>
      </c>
      <c r="I666">
        <f t="shared" si="74"/>
        <v>4</v>
      </c>
      <c r="J666" t="s">
        <v>546</v>
      </c>
      <c r="K666" s="5">
        <v>45</v>
      </c>
      <c r="L666" t="str">
        <f>Table_DataFromNL[[#This Row],[PROFILECODE]]&amp;"-"&amp;Table_DataFromNL[[#This Row],[RULENAME]]</f>
        <v>CP685-New Donor 4th Visit-Bonus</v>
      </c>
      <c r="M666" t="str">
        <f t="shared" si="75"/>
        <v>CP685-NEW DONOR -4th</v>
      </c>
    </row>
    <row r="667" spans="1:13" x14ac:dyDescent="0.25">
      <c r="A667" t="str">
        <f t="shared" si="76"/>
        <v>CP685-NEW DONOR -5th</v>
      </c>
      <c r="B667" t="s">
        <v>344</v>
      </c>
      <c r="C667" t="str">
        <f t="shared" si="70"/>
        <v>Columbia</v>
      </c>
      <c r="D667" t="str">
        <f t="shared" si="71"/>
        <v>Y</v>
      </c>
      <c r="E667" t="s">
        <v>614</v>
      </c>
      <c r="F667" t="str">
        <f t="shared" si="72"/>
        <v>NEW DONOR -5th</v>
      </c>
      <c r="G667" t="str">
        <f t="shared" si="73"/>
        <v>Marketing</v>
      </c>
      <c r="H667" t="s">
        <v>559</v>
      </c>
      <c r="I667">
        <f t="shared" si="74"/>
        <v>5</v>
      </c>
      <c r="J667" t="s">
        <v>546</v>
      </c>
      <c r="K667" s="5">
        <v>45</v>
      </c>
      <c r="L667" t="str">
        <f>Table_DataFromNL[[#This Row],[PROFILECODE]]&amp;"-"&amp;Table_DataFromNL[[#This Row],[RULENAME]]</f>
        <v>CP685-New Donor 5th Visit-Bonus</v>
      </c>
      <c r="M667" t="str">
        <f t="shared" si="75"/>
        <v>CP685-NEW DONOR -5th</v>
      </c>
    </row>
    <row r="668" spans="1:13" x14ac:dyDescent="0.25">
      <c r="A668" t="str">
        <f t="shared" si="76"/>
        <v>CP685-NEW DONOR -6th</v>
      </c>
      <c r="B668" t="s">
        <v>344</v>
      </c>
      <c r="C668" t="str">
        <f t="shared" si="70"/>
        <v>Columbia</v>
      </c>
      <c r="D668" t="str">
        <f t="shared" si="71"/>
        <v>Y</v>
      </c>
      <c r="E668" t="s">
        <v>614</v>
      </c>
      <c r="F668" t="str">
        <f t="shared" si="72"/>
        <v>NEW DONOR -6th</v>
      </c>
      <c r="G668" t="str">
        <f t="shared" si="73"/>
        <v>Marketing</v>
      </c>
      <c r="H668" t="s">
        <v>560</v>
      </c>
      <c r="I668">
        <f t="shared" si="74"/>
        <v>6</v>
      </c>
      <c r="J668" t="s">
        <v>546</v>
      </c>
      <c r="K668" s="5">
        <v>45</v>
      </c>
      <c r="L668" t="str">
        <f>Table_DataFromNL[[#This Row],[PROFILECODE]]&amp;"-"&amp;Table_DataFromNL[[#This Row],[RULENAME]]</f>
        <v>CP685-New Donor 6th Visit-Bonus</v>
      </c>
      <c r="M668" t="str">
        <f t="shared" si="75"/>
        <v>CP685-NEW DONOR -6th</v>
      </c>
    </row>
    <row r="669" spans="1:13" x14ac:dyDescent="0.25">
      <c r="A669" t="str">
        <f t="shared" si="76"/>
        <v>CP685-NEW DONOR -7th</v>
      </c>
      <c r="B669" t="s">
        <v>344</v>
      </c>
      <c r="C669" t="str">
        <f t="shared" si="70"/>
        <v>Columbia</v>
      </c>
      <c r="D669" t="str">
        <f t="shared" si="71"/>
        <v>Y</v>
      </c>
      <c r="E669" t="s">
        <v>614</v>
      </c>
      <c r="F669" t="str">
        <f t="shared" si="72"/>
        <v>NEW DONOR -7th</v>
      </c>
      <c r="G669" t="str">
        <f t="shared" si="73"/>
        <v>Marketing</v>
      </c>
      <c r="H669" t="s">
        <v>561</v>
      </c>
      <c r="I669">
        <f t="shared" si="74"/>
        <v>7</v>
      </c>
      <c r="J669" t="s">
        <v>546</v>
      </c>
      <c r="K669" s="5">
        <v>45</v>
      </c>
      <c r="L669" t="str">
        <f>Table_DataFromNL[[#This Row],[PROFILECODE]]&amp;"-"&amp;Table_DataFromNL[[#This Row],[RULENAME]]</f>
        <v>CP685-New Donor 7th Visit-Bonus</v>
      </c>
      <c r="M669" t="str">
        <f t="shared" si="75"/>
        <v>CP685-NEW DONOR -7th</v>
      </c>
    </row>
    <row r="670" spans="1:13" x14ac:dyDescent="0.25">
      <c r="A670" t="str">
        <f t="shared" si="76"/>
        <v>CP685-NEW DONOR -8th</v>
      </c>
      <c r="B670" t="s">
        <v>344</v>
      </c>
      <c r="C670" t="str">
        <f t="shared" si="70"/>
        <v>Columbia</v>
      </c>
      <c r="D670" t="str">
        <f t="shared" si="71"/>
        <v>Y</v>
      </c>
      <c r="E670" t="s">
        <v>614</v>
      </c>
      <c r="F670" t="str">
        <f t="shared" si="72"/>
        <v>NEW DONOR -8th</v>
      </c>
      <c r="G670" t="str">
        <f t="shared" si="73"/>
        <v>Marketing</v>
      </c>
      <c r="H670" t="s">
        <v>562</v>
      </c>
      <c r="I670">
        <f t="shared" si="74"/>
        <v>8</v>
      </c>
      <c r="J670" t="s">
        <v>546</v>
      </c>
      <c r="K670" s="5">
        <v>45</v>
      </c>
      <c r="L670" t="str">
        <f>Table_DataFromNL[[#This Row],[PROFILECODE]]&amp;"-"&amp;Table_DataFromNL[[#This Row],[RULENAME]]</f>
        <v>CP685-New Donor 8th Visit-Bonus</v>
      </c>
      <c r="M670" t="str">
        <f t="shared" si="75"/>
        <v>CP685-NEW DONOR -8th</v>
      </c>
    </row>
    <row r="671" spans="1:13" x14ac:dyDescent="0.25">
      <c r="A671" t="str">
        <f t="shared" si="76"/>
        <v>CP685-Community</v>
      </c>
      <c r="B671" t="s">
        <v>344</v>
      </c>
      <c r="C671" t="str">
        <f t="shared" si="70"/>
        <v>Columbia</v>
      </c>
      <c r="D671" t="str">
        <f t="shared" si="71"/>
        <v>Y</v>
      </c>
      <c r="E671" t="s">
        <v>614</v>
      </c>
      <c r="F671" t="str">
        <f t="shared" si="72"/>
        <v>Community</v>
      </c>
      <c r="G671">
        <f t="shared" si="73"/>
        <v>0</v>
      </c>
      <c r="H671" t="s">
        <v>563</v>
      </c>
      <c r="I671">
        <f t="shared" si="74"/>
        <v>0</v>
      </c>
      <c r="J671" t="s">
        <v>564</v>
      </c>
      <c r="K671" s="5">
        <v>5</v>
      </c>
      <c r="L671" t="str">
        <f>Table_DataFromNL[[#This Row],[PROFILECODE]]&amp;"-"&amp;Table_DataFromNL[[#This Row],[RULENAME]]</f>
        <v>CP685-Community</v>
      </c>
      <c r="M671" t="e">
        <f t="shared" si="75"/>
        <v>#N/A</v>
      </c>
    </row>
    <row r="672" spans="1:13" x14ac:dyDescent="0.25">
      <c r="A672" t="str">
        <f t="shared" si="76"/>
        <v>CP685-HANGER_RECRUIT_5USD_once</v>
      </c>
      <c r="B672" t="s">
        <v>344</v>
      </c>
      <c r="C672" t="str">
        <f t="shared" si="70"/>
        <v>Columbia</v>
      </c>
      <c r="D672" t="str">
        <f t="shared" si="71"/>
        <v>Y</v>
      </c>
      <c r="E672" t="s">
        <v>614</v>
      </c>
      <c r="F672" t="str">
        <f t="shared" si="72"/>
        <v>HANGER_RECRUIT_5USD_once</v>
      </c>
      <c r="G672">
        <f t="shared" si="73"/>
        <v>0</v>
      </c>
      <c r="H672" t="s">
        <v>565</v>
      </c>
      <c r="I672">
        <f t="shared" si="74"/>
        <v>0</v>
      </c>
      <c r="J672" t="s">
        <v>564</v>
      </c>
      <c r="K672" s="5">
        <v>5</v>
      </c>
      <c r="L672" t="str">
        <f>Table_DataFromNL[[#This Row],[PROFILECODE]]&amp;"-"&amp;Table_DataFromNL[[#This Row],[RULENAME]]</f>
        <v>CP685-HANGER_RECRUIT_5USD_once</v>
      </c>
      <c r="M672" t="e">
        <f t="shared" si="75"/>
        <v>#N/A</v>
      </c>
    </row>
    <row r="673" spans="1:13" x14ac:dyDescent="0.25">
      <c r="A673" t="str">
        <f t="shared" si="76"/>
        <v>CP685-Inconv Fee $20-$50-Comment Req'd</v>
      </c>
      <c r="B673" t="s">
        <v>344</v>
      </c>
      <c r="C673" t="str">
        <f t="shared" si="70"/>
        <v>Columbia</v>
      </c>
      <c r="D673" t="str">
        <f t="shared" si="71"/>
        <v>Y</v>
      </c>
      <c r="E673" t="s">
        <v>614</v>
      </c>
      <c r="F673" t="str">
        <f t="shared" si="72"/>
        <v>Inconv Fee $20-$50-Comment Req'd</v>
      </c>
      <c r="G673">
        <f t="shared" si="73"/>
        <v>0</v>
      </c>
      <c r="H673" t="s">
        <v>566</v>
      </c>
      <c r="I673">
        <f t="shared" si="74"/>
        <v>0</v>
      </c>
      <c r="J673" t="s">
        <v>564</v>
      </c>
      <c r="K673" s="5">
        <v>50</v>
      </c>
      <c r="L673" t="str">
        <f>Table_DataFromNL[[#This Row],[PROFILECODE]]&amp;"-"&amp;Table_DataFromNL[[#This Row],[RULENAME]]</f>
        <v>CP685-Inconv Fee $20-$50-Comment Req'd</v>
      </c>
      <c r="M673" t="e">
        <f t="shared" si="75"/>
        <v>#N/A</v>
      </c>
    </row>
    <row r="674" spans="1:13" x14ac:dyDescent="0.25">
      <c r="A674" t="str">
        <f t="shared" si="76"/>
        <v>CP685-Inconv Fee $5-$20-Comment Req'd</v>
      </c>
      <c r="B674" t="s">
        <v>344</v>
      </c>
      <c r="C674" t="str">
        <f t="shared" si="70"/>
        <v>Columbia</v>
      </c>
      <c r="D674" t="str">
        <f t="shared" si="71"/>
        <v>Y</v>
      </c>
      <c r="E674" t="s">
        <v>614</v>
      </c>
      <c r="F674" t="str">
        <f t="shared" si="72"/>
        <v>Inconv Fee $5-$20-Comment Req'd</v>
      </c>
      <c r="G674">
        <f t="shared" si="73"/>
        <v>0</v>
      </c>
      <c r="H674" t="s">
        <v>567</v>
      </c>
      <c r="I674">
        <f t="shared" si="74"/>
        <v>0</v>
      </c>
      <c r="J674" t="s">
        <v>564</v>
      </c>
      <c r="K674" s="5">
        <v>20</v>
      </c>
      <c r="L674" t="str">
        <f>Table_DataFromNL[[#This Row],[PROFILECODE]]&amp;"-"&amp;Table_DataFromNL[[#This Row],[RULENAME]]</f>
        <v>CP685-Inconv Fee $5-$20-Comment Req'd</v>
      </c>
      <c r="M674" t="e">
        <f t="shared" si="75"/>
        <v>#N/A</v>
      </c>
    </row>
    <row r="675" spans="1:13" x14ac:dyDescent="0.25">
      <c r="A675" t="str">
        <f t="shared" si="76"/>
        <v>CP685-Inconv Fee$50-$100-Comment Req'd</v>
      </c>
      <c r="B675" t="s">
        <v>344</v>
      </c>
      <c r="C675" t="str">
        <f t="shared" si="70"/>
        <v>Columbia</v>
      </c>
      <c r="D675" t="str">
        <f t="shared" si="71"/>
        <v>Y</v>
      </c>
      <c r="E675" t="s">
        <v>614</v>
      </c>
      <c r="F675" t="str">
        <f t="shared" si="72"/>
        <v>Inconv Fee$50-$100-Comment Req'd</v>
      </c>
      <c r="G675">
        <f t="shared" si="73"/>
        <v>0</v>
      </c>
      <c r="H675" t="s">
        <v>568</v>
      </c>
      <c r="I675">
        <f t="shared" si="74"/>
        <v>0</v>
      </c>
      <c r="J675" t="s">
        <v>564</v>
      </c>
      <c r="K675" s="5">
        <v>100</v>
      </c>
      <c r="L675" t="str">
        <f>Table_DataFromNL[[#This Row],[PROFILECODE]]&amp;"-"&amp;Table_DataFromNL[[#This Row],[RULENAME]]</f>
        <v>CP685-Inconv Fee$50-$100-Comment Req'd</v>
      </c>
      <c r="M675" t="e">
        <f t="shared" si="75"/>
        <v>#N/A</v>
      </c>
    </row>
    <row r="676" spans="1:13" x14ac:dyDescent="0.25">
      <c r="A676" t="str">
        <f t="shared" si="76"/>
        <v>CP685-NSP_ LAPSEDONOR_50_Twice</v>
      </c>
      <c r="B676" t="s">
        <v>344</v>
      </c>
      <c r="C676" t="str">
        <f t="shared" si="70"/>
        <v>Columbia</v>
      </c>
      <c r="D676" t="str">
        <f t="shared" si="71"/>
        <v>Y</v>
      </c>
      <c r="E676" t="s">
        <v>614</v>
      </c>
      <c r="F676" t="str">
        <f t="shared" si="72"/>
        <v>NSP_ LAPSEDONOR_50_Twice</v>
      </c>
      <c r="G676">
        <f t="shared" si="73"/>
        <v>0</v>
      </c>
      <c r="H676" t="s">
        <v>569</v>
      </c>
      <c r="I676">
        <f t="shared" si="74"/>
        <v>0</v>
      </c>
      <c r="J676" t="s">
        <v>564</v>
      </c>
      <c r="K676" s="5">
        <v>50</v>
      </c>
      <c r="L676" t="str">
        <f>Table_DataFromNL[[#This Row],[PROFILECODE]]&amp;"-"&amp;Table_DataFromNL[[#This Row],[RULENAME]]</f>
        <v>CP685-NSP_ LAPSEDONOR_50_Twice</v>
      </c>
      <c r="M676" t="e">
        <f t="shared" si="75"/>
        <v>#N/A</v>
      </c>
    </row>
    <row r="677" spans="1:13" x14ac:dyDescent="0.25">
      <c r="A677" t="str">
        <f t="shared" si="76"/>
        <v>CP685-NSP_LD_25_2X</v>
      </c>
      <c r="B677" t="s">
        <v>344</v>
      </c>
      <c r="C677" t="str">
        <f t="shared" si="70"/>
        <v>Columbia</v>
      </c>
      <c r="D677" t="str">
        <f t="shared" si="71"/>
        <v>Y</v>
      </c>
      <c r="E677" t="s">
        <v>614</v>
      </c>
      <c r="F677" t="str">
        <f t="shared" si="72"/>
        <v>NSP_LD_25_2X</v>
      </c>
      <c r="G677">
        <f t="shared" si="73"/>
        <v>0</v>
      </c>
      <c r="H677" t="s">
        <v>570</v>
      </c>
      <c r="I677">
        <f t="shared" si="74"/>
        <v>0</v>
      </c>
      <c r="J677" t="s">
        <v>564</v>
      </c>
      <c r="K677" s="5">
        <v>25</v>
      </c>
      <c r="L677" t="str">
        <f>Table_DataFromNL[[#This Row],[PROFILECODE]]&amp;"-"&amp;Table_DataFromNL[[#This Row],[RULENAME]]</f>
        <v>CP685-NSP_LD_25_2X</v>
      </c>
      <c r="M677" t="e">
        <f t="shared" si="75"/>
        <v>#N/A</v>
      </c>
    </row>
    <row r="678" spans="1:13" x14ac:dyDescent="0.25">
      <c r="A678" t="str">
        <f t="shared" si="76"/>
        <v>CP685-NSP_LD_50_1X</v>
      </c>
      <c r="B678" t="s">
        <v>344</v>
      </c>
      <c r="C678" t="str">
        <f t="shared" si="70"/>
        <v>Columbia</v>
      </c>
      <c r="D678" t="str">
        <f t="shared" si="71"/>
        <v>Y</v>
      </c>
      <c r="E678" t="s">
        <v>614</v>
      </c>
      <c r="F678" t="str">
        <f t="shared" si="72"/>
        <v>NSP_LD_50_1X</v>
      </c>
      <c r="G678">
        <f t="shared" si="73"/>
        <v>0</v>
      </c>
      <c r="H678" t="s">
        <v>571</v>
      </c>
      <c r="I678">
        <f t="shared" si="74"/>
        <v>0</v>
      </c>
      <c r="J678" t="s">
        <v>564</v>
      </c>
      <c r="K678" s="5">
        <v>50</v>
      </c>
      <c r="L678" t="str">
        <f>Table_DataFromNL[[#This Row],[PROFILECODE]]&amp;"-"&amp;Table_DataFromNL[[#This Row],[RULENAME]]</f>
        <v>CP685-NSP_LD_50_1X</v>
      </c>
      <c r="M678" t="e">
        <f t="shared" si="75"/>
        <v>#N/A</v>
      </c>
    </row>
    <row r="679" spans="1:13" x14ac:dyDescent="0.25">
      <c r="A679" t="str">
        <f t="shared" si="76"/>
        <v>CP685-NSP_ORPHAN_100_once</v>
      </c>
      <c r="B679" t="s">
        <v>344</v>
      </c>
      <c r="C679" t="str">
        <f t="shared" si="70"/>
        <v>Columbia</v>
      </c>
      <c r="D679" t="str">
        <f t="shared" si="71"/>
        <v>Y</v>
      </c>
      <c r="E679" t="s">
        <v>614</v>
      </c>
      <c r="F679" t="str">
        <f t="shared" si="72"/>
        <v>NSP_ORPHAN_100_once</v>
      </c>
      <c r="G679">
        <f t="shared" si="73"/>
        <v>0</v>
      </c>
      <c r="H679" t="s">
        <v>572</v>
      </c>
      <c r="I679">
        <f t="shared" si="74"/>
        <v>0</v>
      </c>
      <c r="J679" t="s">
        <v>564</v>
      </c>
      <c r="K679" s="5">
        <v>100</v>
      </c>
      <c r="L679" t="str">
        <f>Table_DataFromNL[[#This Row],[PROFILECODE]]&amp;"-"&amp;Table_DataFromNL[[#This Row],[RULENAME]]</f>
        <v>CP685-NSP_ORPHAN_100_once</v>
      </c>
      <c r="M679" t="e">
        <f t="shared" si="75"/>
        <v>#N/A</v>
      </c>
    </row>
    <row r="680" spans="1:13" x14ac:dyDescent="0.25">
      <c r="A680" t="str">
        <f t="shared" si="76"/>
        <v>CP685-Restick</v>
      </c>
      <c r="B680" t="s">
        <v>344</v>
      </c>
      <c r="C680" t="str">
        <f t="shared" si="70"/>
        <v>Columbia</v>
      </c>
      <c r="D680" t="str">
        <f t="shared" si="71"/>
        <v>Y</v>
      </c>
      <c r="E680" t="s">
        <v>614</v>
      </c>
      <c r="F680" t="str">
        <f t="shared" si="72"/>
        <v>Restick</v>
      </c>
      <c r="G680">
        <f t="shared" si="73"/>
        <v>0</v>
      </c>
      <c r="H680" t="s">
        <v>573</v>
      </c>
      <c r="I680">
        <f t="shared" si="74"/>
        <v>0</v>
      </c>
      <c r="J680" t="s">
        <v>564</v>
      </c>
      <c r="K680" s="5">
        <v>5</v>
      </c>
      <c r="L680" t="str">
        <f>Table_DataFromNL[[#This Row],[PROFILECODE]]&amp;"-"&amp;Table_DataFromNL[[#This Row],[RULENAME]]</f>
        <v>CP685-Restick</v>
      </c>
      <c r="M680" t="e">
        <f t="shared" si="75"/>
        <v>#N/A</v>
      </c>
    </row>
    <row r="681" spans="1:13" x14ac:dyDescent="0.25">
      <c r="A681" t="str">
        <f t="shared" si="76"/>
        <v>CP685-SLOW_TEXT_5</v>
      </c>
      <c r="B681" t="s">
        <v>344</v>
      </c>
      <c r="C681" t="str">
        <f t="shared" si="70"/>
        <v>Columbia</v>
      </c>
      <c r="D681" t="str">
        <f t="shared" si="71"/>
        <v>Y</v>
      </c>
      <c r="E681" t="s">
        <v>614</v>
      </c>
      <c r="F681" t="str">
        <f t="shared" si="72"/>
        <v>SLOW_TEXT_5</v>
      </c>
      <c r="G681">
        <f t="shared" si="73"/>
        <v>0</v>
      </c>
      <c r="H681" t="s">
        <v>574</v>
      </c>
      <c r="I681">
        <f t="shared" si="74"/>
        <v>0</v>
      </c>
      <c r="J681" t="s">
        <v>564</v>
      </c>
      <c r="K681" s="5">
        <v>5</v>
      </c>
      <c r="L681" t="str">
        <f>Table_DataFromNL[[#This Row],[PROFILECODE]]&amp;"-"&amp;Table_DataFromNL[[#This Row],[RULENAME]]</f>
        <v>CP685-SLOW_TEXT_5</v>
      </c>
      <c r="M681" t="e">
        <f t="shared" si="75"/>
        <v>#N/A</v>
      </c>
    </row>
    <row r="682" spans="1:13" x14ac:dyDescent="0.25">
      <c r="A682" t="str">
        <f t="shared" si="76"/>
        <v>CP685-Sample Only</v>
      </c>
      <c r="B682" t="s">
        <v>344</v>
      </c>
      <c r="C682" t="str">
        <f t="shared" si="70"/>
        <v>Columbia</v>
      </c>
      <c r="D682" t="str">
        <f t="shared" si="71"/>
        <v>Y</v>
      </c>
      <c r="E682" t="s">
        <v>614</v>
      </c>
      <c r="F682" t="str">
        <f t="shared" si="72"/>
        <v>Sample Only</v>
      </c>
      <c r="G682">
        <f t="shared" si="73"/>
        <v>0</v>
      </c>
      <c r="H682" t="s">
        <v>575</v>
      </c>
      <c r="I682">
        <f t="shared" si="74"/>
        <v>0</v>
      </c>
      <c r="J682" t="s">
        <v>564</v>
      </c>
      <c r="K682" s="5">
        <v>5</v>
      </c>
      <c r="L682" t="str">
        <f>Table_DataFromNL[[#This Row],[PROFILECODE]]&amp;"-"&amp;Table_DataFromNL[[#This Row],[RULENAME]]</f>
        <v>CP685-Sample Only</v>
      </c>
      <c r="M682" t="e">
        <f t="shared" si="75"/>
        <v>#N/A</v>
      </c>
    </row>
    <row r="683" spans="1:13" x14ac:dyDescent="0.25">
      <c r="A683" t="str">
        <f t="shared" si="76"/>
        <v>CP685-Unit Below 250 mL</v>
      </c>
      <c r="B683" t="s">
        <v>344</v>
      </c>
      <c r="C683" t="str">
        <f t="shared" si="70"/>
        <v>Columbia</v>
      </c>
      <c r="D683" t="str">
        <f t="shared" si="71"/>
        <v>Y</v>
      </c>
      <c r="E683" t="s">
        <v>614</v>
      </c>
      <c r="F683" t="str">
        <f t="shared" si="72"/>
        <v>Unit Below 250 mL</v>
      </c>
      <c r="G683">
        <f t="shared" si="73"/>
        <v>0</v>
      </c>
      <c r="H683" t="s">
        <v>576</v>
      </c>
      <c r="I683">
        <f t="shared" si="74"/>
        <v>0</v>
      </c>
      <c r="J683" t="s">
        <v>564</v>
      </c>
      <c r="K683" s="5">
        <v>5</v>
      </c>
      <c r="L683" t="str">
        <f>Table_DataFromNL[[#This Row],[PROFILECODE]]&amp;"-"&amp;Table_DataFromNL[[#This Row],[RULENAME]]</f>
        <v>CP685-Unit Below 250 mL</v>
      </c>
      <c r="M683" t="e">
        <f t="shared" si="75"/>
        <v>#N/A</v>
      </c>
    </row>
    <row r="684" spans="1:13" x14ac:dyDescent="0.25">
      <c r="A684" t="str">
        <f t="shared" si="76"/>
        <v>CP685-Unit above 250 mL/underdraw</v>
      </c>
      <c r="B684" t="s">
        <v>344</v>
      </c>
      <c r="C684" t="str">
        <f t="shared" si="70"/>
        <v>Columbia</v>
      </c>
      <c r="D684" t="str">
        <f t="shared" si="71"/>
        <v>Y</v>
      </c>
      <c r="E684" t="s">
        <v>614</v>
      </c>
      <c r="F684" t="str">
        <f t="shared" si="72"/>
        <v>Unit above 250 mL/underdraw</v>
      </c>
      <c r="G684">
        <f t="shared" si="73"/>
        <v>0</v>
      </c>
      <c r="H684" t="s">
        <v>577</v>
      </c>
      <c r="I684">
        <f t="shared" si="74"/>
        <v>0</v>
      </c>
      <c r="J684" t="s">
        <v>564</v>
      </c>
      <c r="K684" s="5">
        <v>10</v>
      </c>
      <c r="L684" t="str">
        <f>Table_DataFromNL[[#This Row],[PROFILECODE]]&amp;"-"&amp;Table_DataFromNL[[#This Row],[RULENAME]]</f>
        <v>CP685-Unit above 250 mL/underdraw</v>
      </c>
      <c r="M684" t="e">
        <f t="shared" si="75"/>
        <v>#N/A</v>
      </c>
    </row>
    <row r="685" spans="1:13" x14ac:dyDescent="0.25">
      <c r="A685" t="str">
        <f t="shared" si="76"/>
        <v>CP685-RETURN - Buddy referral  -BONUS</v>
      </c>
      <c r="B685" t="s">
        <v>344</v>
      </c>
      <c r="C685" t="str">
        <f t="shared" si="70"/>
        <v>Columbia</v>
      </c>
      <c r="D685" t="str">
        <f t="shared" si="71"/>
        <v>Y</v>
      </c>
      <c r="E685" t="s">
        <v>614</v>
      </c>
      <c r="F685" t="str">
        <f t="shared" si="72"/>
        <v>RETURN - Buddy referral  -BONUS</v>
      </c>
      <c r="G685" t="str">
        <f t="shared" si="73"/>
        <v>Marketing</v>
      </c>
      <c r="H685" t="s">
        <v>34</v>
      </c>
      <c r="I685">
        <f t="shared" si="74"/>
        <v>50</v>
      </c>
      <c r="J685" t="s">
        <v>578</v>
      </c>
      <c r="K685" s="5">
        <v>50</v>
      </c>
      <c r="L685" t="str">
        <f>Table_DataFromNL[[#This Row],[PROFILECODE]]&amp;"-"&amp;Table_DataFromNL[[#This Row],[RULENAME]]</f>
        <v>CP685-Referral</v>
      </c>
      <c r="M685" t="str">
        <f t="shared" si="75"/>
        <v>CP685-RETURN - Buddy referral  -BONUS</v>
      </c>
    </row>
    <row r="686" spans="1:13" x14ac:dyDescent="0.25">
      <c r="A686" t="str">
        <f t="shared" si="76"/>
        <v>CP685-P Anti-D Pre-Existing Standard</v>
      </c>
      <c r="B686" t="s">
        <v>344</v>
      </c>
      <c r="C686" t="str">
        <f t="shared" si="70"/>
        <v>Columbia</v>
      </c>
      <c r="D686" t="str">
        <f t="shared" si="71"/>
        <v>Y</v>
      </c>
      <c r="E686" t="s">
        <v>614</v>
      </c>
      <c r="F686" t="str">
        <f t="shared" si="72"/>
        <v>P Anti-D Pre-Existing Standard</v>
      </c>
      <c r="G686" t="str">
        <f t="shared" si="73"/>
        <v>Specialty</v>
      </c>
      <c r="H686" t="s">
        <v>469</v>
      </c>
      <c r="I686" t="str">
        <f t="shared" si="74"/>
        <v>RETURN - 1st don of the week -STD</v>
      </c>
      <c r="J686" t="s">
        <v>579</v>
      </c>
      <c r="K686" s="5">
        <v>50</v>
      </c>
      <c r="L686" t="str">
        <f>Table_DataFromNL[[#This Row],[PROFILECODE]]&amp;"-"&amp;Table_DataFromNL[[#This Row],[RULENAME]]</f>
        <v>CP685-P Anti-D Pre-Existing Standard</v>
      </c>
      <c r="M686" t="str">
        <f t="shared" si="75"/>
        <v>CP685-P Anti-D Pre-Existing Standard</v>
      </c>
    </row>
    <row r="687" spans="1:13" x14ac:dyDescent="0.25">
      <c r="A687" t="str">
        <f t="shared" si="76"/>
        <v>CP685-RETURN - 1st don of the week -STD</v>
      </c>
      <c r="B687" t="s">
        <v>344</v>
      </c>
      <c r="C687" t="str">
        <f t="shared" si="70"/>
        <v>Columbia</v>
      </c>
      <c r="D687" t="str">
        <f t="shared" si="71"/>
        <v>Y</v>
      </c>
      <c r="E687" t="s">
        <v>614</v>
      </c>
      <c r="F687" t="str">
        <f t="shared" si="72"/>
        <v>RETURN - 1st don of the week -STD</v>
      </c>
      <c r="G687" t="str">
        <f t="shared" si="73"/>
        <v>Marketing</v>
      </c>
      <c r="H687" t="s">
        <v>583</v>
      </c>
      <c r="I687">
        <f t="shared" si="74"/>
        <v>22</v>
      </c>
      <c r="J687" t="s">
        <v>579</v>
      </c>
      <c r="K687" s="5">
        <v>45</v>
      </c>
      <c r="L687" t="str">
        <f>Table_DataFromNL[[#This Row],[PROFILECODE]]&amp;"-"&amp;Table_DataFromNL[[#This Row],[RULENAME]]</f>
        <v>CP685-P NSP NS AP Standard</v>
      </c>
      <c r="M687" t="str">
        <f t="shared" si="75"/>
        <v>CP685-RETURN - 1st don of the week -STD</v>
      </c>
    </row>
    <row r="688" spans="1:13" x14ac:dyDescent="0.25">
      <c r="A688" t="str">
        <f t="shared" si="76"/>
        <v>CP685-RETURN - 1st don of the week -STD</v>
      </c>
      <c r="B688" t="s">
        <v>344</v>
      </c>
      <c r="C688" t="str">
        <f t="shared" si="70"/>
        <v>Columbia</v>
      </c>
      <c r="D688" t="str">
        <f t="shared" si="71"/>
        <v>Y</v>
      </c>
      <c r="E688" t="s">
        <v>614</v>
      </c>
      <c r="F688" t="str">
        <f t="shared" si="72"/>
        <v>RETURN - 1st don of the week -STD</v>
      </c>
      <c r="G688" t="str">
        <f t="shared" si="73"/>
        <v>Marketing</v>
      </c>
      <c r="H688" t="s">
        <v>584</v>
      </c>
      <c r="I688">
        <f t="shared" si="74"/>
        <v>23</v>
      </c>
      <c r="J688" t="s">
        <v>579</v>
      </c>
      <c r="K688" s="5">
        <v>45</v>
      </c>
      <c r="L688" t="str">
        <f>Table_DataFromNL[[#This Row],[PROFILECODE]]&amp;"-"&amp;Table_DataFromNL[[#This Row],[RULENAME]]</f>
        <v>CP685-P NSP NS Standard</v>
      </c>
      <c r="M688" t="str">
        <f t="shared" si="75"/>
        <v>CP685-RETURN - 1st don of the week -STD</v>
      </c>
    </row>
    <row r="689" spans="1:13" x14ac:dyDescent="0.25">
      <c r="A689" t="str">
        <f t="shared" si="76"/>
        <v>CP179-1st Responder-Medical</v>
      </c>
      <c r="B689" t="s">
        <v>86</v>
      </c>
      <c r="C689" t="str">
        <f t="shared" si="70"/>
        <v>Commerce City</v>
      </c>
      <c r="D689" t="str">
        <f t="shared" si="71"/>
        <v>Y</v>
      </c>
      <c r="E689" t="s">
        <v>615</v>
      </c>
      <c r="F689" t="str">
        <f t="shared" si="72"/>
        <v>1st Responder-Medical</v>
      </c>
      <c r="G689">
        <f t="shared" si="73"/>
        <v>0</v>
      </c>
      <c r="H689" t="s">
        <v>545</v>
      </c>
      <c r="I689">
        <f t="shared" si="74"/>
        <v>0</v>
      </c>
      <c r="J689" t="s">
        <v>546</v>
      </c>
      <c r="K689" s="5">
        <v>5</v>
      </c>
      <c r="L689" t="str">
        <f>Table_DataFromNL[[#This Row],[PROFILECODE]]&amp;"-"&amp;Table_DataFromNL[[#This Row],[RULENAME]]</f>
        <v>CP179-1st Responder-Medical</v>
      </c>
      <c r="M689" t="e">
        <f t="shared" si="75"/>
        <v>#N/A</v>
      </c>
    </row>
    <row r="690" spans="1:13" x14ac:dyDescent="0.25">
      <c r="A690" t="str">
        <f t="shared" si="76"/>
        <v>CP179-RETURN - 2nd don of the week -BONUS</v>
      </c>
      <c r="B690" t="s">
        <v>86</v>
      </c>
      <c r="C690" t="str">
        <f t="shared" si="70"/>
        <v>Commerce City</v>
      </c>
      <c r="D690" t="str">
        <f t="shared" si="71"/>
        <v>Y</v>
      </c>
      <c r="E690" t="s">
        <v>615</v>
      </c>
      <c r="F690" t="str">
        <f t="shared" si="72"/>
        <v>RETURN - 2nd don of the week -BONUS</v>
      </c>
      <c r="G690" t="str">
        <f t="shared" si="73"/>
        <v>Marketing</v>
      </c>
      <c r="H690" t="s">
        <v>550</v>
      </c>
      <c r="I690">
        <f t="shared" si="74"/>
        <v>26</v>
      </c>
      <c r="J690" t="s">
        <v>546</v>
      </c>
      <c r="K690" s="5">
        <v>10</v>
      </c>
      <c r="L690" t="str">
        <f>Table_DataFromNL[[#This Row],[PROFILECODE]]&amp;"-"&amp;Table_DataFromNL[[#This Row],[RULENAME]]</f>
        <v>CP179-2X Week P NSP NS</v>
      </c>
      <c r="M690" t="str">
        <f t="shared" si="75"/>
        <v>CP179-RETURN - 2nd don of the week -BONUS</v>
      </c>
    </row>
    <row r="691" spans="1:13" x14ac:dyDescent="0.25">
      <c r="A691" t="str">
        <f t="shared" si="76"/>
        <v>CP179-RETURN - 2nd don of the week -BONUS</v>
      </c>
      <c r="B691" t="s">
        <v>86</v>
      </c>
      <c r="C691" t="str">
        <f t="shared" si="70"/>
        <v>Commerce City</v>
      </c>
      <c r="D691" t="str">
        <f t="shared" si="71"/>
        <v>Y</v>
      </c>
      <c r="E691" t="s">
        <v>615</v>
      </c>
      <c r="F691" t="str">
        <f t="shared" si="72"/>
        <v>RETURN - 2nd don of the week -BONUS</v>
      </c>
      <c r="G691" t="str">
        <f t="shared" si="73"/>
        <v>Marketing</v>
      </c>
      <c r="H691" t="s">
        <v>551</v>
      </c>
      <c r="I691" t="str">
        <f t="shared" si="74"/>
        <v>RETURN - 2nd don of the week -BONUS</v>
      </c>
      <c r="J691" t="s">
        <v>546</v>
      </c>
      <c r="K691" s="5">
        <v>10</v>
      </c>
      <c r="L691" t="str">
        <f>Table_DataFromNL[[#This Row],[PROFILECODE]]&amp;"-"&amp;Table_DataFromNL[[#This Row],[RULENAME]]</f>
        <v>CP179-2X Week P NSP NS AP</v>
      </c>
      <c r="M691" t="str">
        <f t="shared" si="75"/>
        <v>CP179-RETURN - 2nd don of the week -BONUS</v>
      </c>
    </row>
    <row r="692" spans="1:13" x14ac:dyDescent="0.25">
      <c r="A692" t="str">
        <f t="shared" si="76"/>
        <v>CP179-2X Week P VZV</v>
      </c>
      <c r="B692" t="s">
        <v>86</v>
      </c>
      <c r="C692" t="str">
        <f t="shared" si="70"/>
        <v>Commerce City</v>
      </c>
      <c r="D692" t="str">
        <f t="shared" si="71"/>
        <v>Y</v>
      </c>
      <c r="E692" t="s">
        <v>615</v>
      </c>
      <c r="F692" t="str">
        <f t="shared" si="72"/>
        <v>2X Week P VZV</v>
      </c>
      <c r="G692" t="str">
        <f t="shared" si="73"/>
        <v>Specialty</v>
      </c>
      <c r="H692" t="s">
        <v>488</v>
      </c>
      <c r="I692" t="str">
        <f t="shared" si="74"/>
        <v>RETURN - 2nd don of the week -BONUS</v>
      </c>
      <c r="J692" t="s">
        <v>546</v>
      </c>
      <c r="K692" s="5">
        <v>10</v>
      </c>
      <c r="L692" t="str">
        <f>Table_DataFromNL[[#This Row],[PROFILECODE]]&amp;"-"&amp;Table_DataFromNL[[#This Row],[RULENAME]]</f>
        <v>CP179-2X Week P VZV</v>
      </c>
      <c r="M692" t="str">
        <f t="shared" si="75"/>
        <v>CP179-2X Week P VZV</v>
      </c>
    </row>
    <row r="693" spans="1:13" x14ac:dyDescent="0.25">
      <c r="A693" t="str">
        <f t="shared" si="76"/>
        <v>CP179-2X Week P VZV AP</v>
      </c>
      <c r="B693" t="s">
        <v>86</v>
      </c>
      <c r="C693" t="str">
        <f t="shared" si="70"/>
        <v>Commerce City</v>
      </c>
      <c r="D693" t="str">
        <f t="shared" si="71"/>
        <v>Y</v>
      </c>
      <c r="E693" t="s">
        <v>615</v>
      </c>
      <c r="F693" t="str">
        <f t="shared" si="72"/>
        <v>2X Week P VZV AP</v>
      </c>
      <c r="G693" t="str">
        <f t="shared" si="73"/>
        <v>Specialty</v>
      </c>
      <c r="H693" t="s">
        <v>489</v>
      </c>
      <c r="I693" t="str">
        <f t="shared" si="74"/>
        <v>RETURN - 2nd don of the week -BONUS</v>
      </c>
      <c r="J693" t="s">
        <v>546</v>
      </c>
      <c r="K693" s="5">
        <v>10</v>
      </c>
      <c r="L693" t="str">
        <f>Table_DataFromNL[[#This Row],[PROFILECODE]]&amp;"-"&amp;Table_DataFromNL[[#This Row],[RULENAME]]</f>
        <v>CP179-2X Week P VZV AP</v>
      </c>
      <c r="M693" t="str">
        <f t="shared" si="75"/>
        <v>CP179-2X Week P VZV AP</v>
      </c>
    </row>
    <row r="694" spans="1:13" x14ac:dyDescent="0.25">
      <c r="A694" t="str">
        <f t="shared" si="76"/>
        <v>CP179-2X Week P VZV Pre-Existing</v>
      </c>
      <c r="B694" t="s">
        <v>86</v>
      </c>
      <c r="C694" t="str">
        <f t="shared" si="70"/>
        <v>Commerce City</v>
      </c>
      <c r="D694" t="str">
        <f t="shared" si="71"/>
        <v>Y</v>
      </c>
      <c r="E694" t="s">
        <v>615</v>
      </c>
      <c r="F694" t="str">
        <f t="shared" si="72"/>
        <v>2X Week P VZV Pre-Existing</v>
      </c>
      <c r="G694" t="str">
        <f t="shared" si="73"/>
        <v>Specialty</v>
      </c>
      <c r="H694" t="s">
        <v>490</v>
      </c>
      <c r="I694" t="str">
        <f t="shared" si="74"/>
        <v>RETURN - 2nd don of the week -BONUS</v>
      </c>
      <c r="J694" t="s">
        <v>546</v>
      </c>
      <c r="K694" s="5">
        <v>10</v>
      </c>
      <c r="L694" t="str">
        <f>Table_DataFromNL[[#This Row],[PROFILECODE]]&amp;"-"&amp;Table_DataFromNL[[#This Row],[RULENAME]]</f>
        <v>CP179-2X Week P VZV Pre-Existing</v>
      </c>
      <c r="M694" t="str">
        <f t="shared" si="75"/>
        <v>CP179-2X Week P VZV Pre-Existing</v>
      </c>
    </row>
    <row r="695" spans="1:13" x14ac:dyDescent="0.25">
      <c r="A695" t="str">
        <f t="shared" si="76"/>
        <v>CP179-2X Week P VZV Pre-Existing AP</v>
      </c>
      <c r="B695" t="s">
        <v>86</v>
      </c>
      <c r="C695" t="str">
        <f t="shared" si="70"/>
        <v>Commerce City</v>
      </c>
      <c r="D695" t="str">
        <f t="shared" si="71"/>
        <v>Y</v>
      </c>
      <c r="E695" t="s">
        <v>615</v>
      </c>
      <c r="F695" t="str">
        <f t="shared" si="72"/>
        <v>2X Week P VZV Pre-Existing AP</v>
      </c>
      <c r="G695" t="str">
        <f t="shared" si="73"/>
        <v>Specialty</v>
      </c>
      <c r="H695" t="s">
        <v>491</v>
      </c>
      <c r="I695" t="str">
        <f t="shared" si="74"/>
        <v>RETURN - 2nd don of the week -BONUS</v>
      </c>
      <c r="J695" t="s">
        <v>546</v>
      </c>
      <c r="K695" s="5">
        <v>10</v>
      </c>
      <c r="L695" t="str">
        <f>Table_DataFromNL[[#This Row],[PROFILECODE]]&amp;"-"&amp;Table_DataFromNL[[#This Row],[RULENAME]]</f>
        <v>CP179-2X Week P VZV Pre-Existing AP</v>
      </c>
      <c r="M695" t="str">
        <f t="shared" si="75"/>
        <v>CP179-2X Week P VZV Pre-Existing AP</v>
      </c>
    </row>
    <row r="696" spans="1:13" x14ac:dyDescent="0.25">
      <c r="A696" t="str">
        <f t="shared" si="76"/>
        <v>CP179-College ID Standard Bonus</v>
      </c>
      <c r="B696" t="s">
        <v>86</v>
      </c>
      <c r="C696" t="str">
        <f t="shared" si="70"/>
        <v>Commerce City</v>
      </c>
      <c r="D696" t="str">
        <f t="shared" si="71"/>
        <v>Y</v>
      </c>
      <c r="E696" t="s">
        <v>615</v>
      </c>
      <c r="F696" t="str">
        <f t="shared" si="72"/>
        <v>College ID Standard Bonus</v>
      </c>
      <c r="G696">
        <f t="shared" si="73"/>
        <v>0</v>
      </c>
      <c r="H696" t="s">
        <v>553</v>
      </c>
      <c r="I696">
        <f t="shared" si="74"/>
        <v>0</v>
      </c>
      <c r="J696" t="s">
        <v>546</v>
      </c>
      <c r="K696" s="5">
        <v>5</v>
      </c>
      <c r="L696" t="str">
        <f>Table_DataFromNL[[#This Row],[PROFILECODE]]&amp;"-"&amp;Table_DataFromNL[[#This Row],[RULENAME]]</f>
        <v>CP179-College ID Standard Bonus</v>
      </c>
      <c r="M696" t="e">
        <f t="shared" si="75"/>
        <v>#N/A</v>
      </c>
    </row>
    <row r="697" spans="1:13" x14ac:dyDescent="0.25">
      <c r="A697" t="str">
        <f t="shared" si="76"/>
        <v>CP179-Military ID</v>
      </c>
      <c r="B697" t="s">
        <v>86</v>
      </c>
      <c r="C697" t="str">
        <f t="shared" si="70"/>
        <v>Commerce City</v>
      </c>
      <c r="D697" t="str">
        <f t="shared" si="71"/>
        <v>Y</v>
      </c>
      <c r="E697" t="s">
        <v>615</v>
      </c>
      <c r="F697" t="str">
        <f t="shared" si="72"/>
        <v>Military ID</v>
      </c>
      <c r="G697">
        <f t="shared" si="73"/>
        <v>0</v>
      </c>
      <c r="H697" t="s">
        <v>554</v>
      </c>
      <c r="I697">
        <f t="shared" si="74"/>
        <v>0</v>
      </c>
      <c r="J697" t="s">
        <v>546</v>
      </c>
      <c r="K697" s="5">
        <v>5</v>
      </c>
      <c r="L697" t="str">
        <f>Table_DataFromNL[[#This Row],[PROFILECODE]]&amp;"-"&amp;Table_DataFromNL[[#This Row],[RULENAME]]</f>
        <v>CP179-Military ID</v>
      </c>
      <c r="M697" t="e">
        <f t="shared" si="75"/>
        <v>#N/A</v>
      </c>
    </row>
    <row r="698" spans="1:13" x14ac:dyDescent="0.25">
      <c r="A698" t="str">
        <f t="shared" si="76"/>
        <v>CP179-NEW DONOR -1st</v>
      </c>
      <c r="B698" t="s">
        <v>86</v>
      </c>
      <c r="C698" t="str">
        <f t="shared" si="70"/>
        <v>Commerce City</v>
      </c>
      <c r="D698" t="str">
        <f t="shared" si="71"/>
        <v>Y</v>
      </c>
      <c r="E698" t="s">
        <v>615</v>
      </c>
      <c r="F698" t="str">
        <f t="shared" si="72"/>
        <v>NEW DONOR -1st</v>
      </c>
      <c r="G698" t="str">
        <f t="shared" si="73"/>
        <v>Marketing</v>
      </c>
      <c r="H698" t="s">
        <v>555</v>
      </c>
      <c r="I698">
        <f t="shared" si="74"/>
        <v>1</v>
      </c>
      <c r="J698" t="s">
        <v>546</v>
      </c>
      <c r="K698" s="5">
        <v>55</v>
      </c>
      <c r="L698" t="str">
        <f>Table_DataFromNL[[#This Row],[PROFILECODE]]&amp;"-"&amp;Table_DataFromNL[[#This Row],[RULENAME]]</f>
        <v>CP179-New Donor 1st Visit-Bonus</v>
      </c>
      <c r="M698" t="str">
        <f t="shared" si="75"/>
        <v>CP179-NEW DONOR -1st</v>
      </c>
    </row>
    <row r="699" spans="1:13" x14ac:dyDescent="0.25">
      <c r="A699" t="str">
        <f t="shared" si="76"/>
        <v>CP179-NEW DONOR -2nd</v>
      </c>
      <c r="B699" t="s">
        <v>86</v>
      </c>
      <c r="C699" t="str">
        <f t="shared" si="70"/>
        <v>Commerce City</v>
      </c>
      <c r="D699" t="str">
        <f t="shared" si="71"/>
        <v>Y</v>
      </c>
      <c r="E699" t="s">
        <v>615</v>
      </c>
      <c r="F699" t="str">
        <f t="shared" si="72"/>
        <v>NEW DONOR -2nd</v>
      </c>
      <c r="G699" t="str">
        <f t="shared" si="73"/>
        <v>Marketing</v>
      </c>
      <c r="H699" t="s">
        <v>556</v>
      </c>
      <c r="I699">
        <f t="shared" si="74"/>
        <v>2</v>
      </c>
      <c r="J699" t="s">
        <v>546</v>
      </c>
      <c r="K699" s="5">
        <v>55</v>
      </c>
      <c r="L699" t="str">
        <f>Table_DataFromNL[[#This Row],[PROFILECODE]]&amp;"-"&amp;Table_DataFromNL[[#This Row],[RULENAME]]</f>
        <v>CP179-New Donor 2nd Visit-Bonus</v>
      </c>
      <c r="M699" t="str">
        <f t="shared" si="75"/>
        <v>CP179-NEW DONOR -2nd</v>
      </c>
    </row>
    <row r="700" spans="1:13" x14ac:dyDescent="0.25">
      <c r="A700" t="str">
        <f t="shared" si="76"/>
        <v>CP179-NEW DONOR -3rd</v>
      </c>
      <c r="B700" t="s">
        <v>86</v>
      </c>
      <c r="C700" t="str">
        <f t="shared" si="70"/>
        <v>Commerce City</v>
      </c>
      <c r="D700" t="str">
        <f t="shared" si="71"/>
        <v>Y</v>
      </c>
      <c r="E700" t="s">
        <v>615</v>
      </c>
      <c r="F700" t="str">
        <f t="shared" si="72"/>
        <v>NEW DONOR -3rd</v>
      </c>
      <c r="G700" t="str">
        <f t="shared" si="73"/>
        <v>Marketing</v>
      </c>
      <c r="H700" t="s">
        <v>557</v>
      </c>
      <c r="I700">
        <f t="shared" si="74"/>
        <v>3</v>
      </c>
      <c r="J700" t="s">
        <v>546</v>
      </c>
      <c r="K700" s="5">
        <v>55</v>
      </c>
      <c r="L700" t="str">
        <f>Table_DataFromNL[[#This Row],[PROFILECODE]]&amp;"-"&amp;Table_DataFromNL[[#This Row],[RULENAME]]</f>
        <v>CP179-New Donor 3rd Visit-Bonus</v>
      </c>
      <c r="M700" t="str">
        <f t="shared" si="75"/>
        <v>CP179-NEW DONOR -3rd</v>
      </c>
    </row>
    <row r="701" spans="1:13" x14ac:dyDescent="0.25">
      <c r="A701" t="str">
        <f t="shared" si="76"/>
        <v>CP179-NEW DONOR -4th</v>
      </c>
      <c r="B701" t="s">
        <v>86</v>
      </c>
      <c r="C701" t="str">
        <f t="shared" si="70"/>
        <v>Commerce City</v>
      </c>
      <c r="D701" t="str">
        <f t="shared" si="71"/>
        <v>Y</v>
      </c>
      <c r="E701" t="s">
        <v>615</v>
      </c>
      <c r="F701" t="str">
        <f t="shared" si="72"/>
        <v>NEW DONOR -4th</v>
      </c>
      <c r="G701" t="str">
        <f t="shared" si="73"/>
        <v>Marketing</v>
      </c>
      <c r="H701" t="s">
        <v>558</v>
      </c>
      <c r="I701">
        <f t="shared" si="74"/>
        <v>4</v>
      </c>
      <c r="J701" t="s">
        <v>546</v>
      </c>
      <c r="K701" s="5">
        <v>55</v>
      </c>
      <c r="L701" t="str">
        <f>Table_DataFromNL[[#This Row],[PROFILECODE]]&amp;"-"&amp;Table_DataFromNL[[#This Row],[RULENAME]]</f>
        <v>CP179-New Donor 4th Visit-Bonus</v>
      </c>
      <c r="M701" t="str">
        <f t="shared" si="75"/>
        <v>CP179-NEW DONOR -4th</v>
      </c>
    </row>
    <row r="702" spans="1:13" x14ac:dyDescent="0.25">
      <c r="A702" t="str">
        <f t="shared" si="76"/>
        <v>CP179-NEW DONOR -5th</v>
      </c>
      <c r="B702" t="s">
        <v>86</v>
      </c>
      <c r="C702" t="str">
        <f t="shared" si="70"/>
        <v>Commerce City</v>
      </c>
      <c r="D702" t="str">
        <f t="shared" si="71"/>
        <v>Y</v>
      </c>
      <c r="E702" t="s">
        <v>615</v>
      </c>
      <c r="F702" t="str">
        <f t="shared" si="72"/>
        <v>NEW DONOR -5th</v>
      </c>
      <c r="G702" t="str">
        <f t="shared" si="73"/>
        <v>Marketing</v>
      </c>
      <c r="H702" t="s">
        <v>559</v>
      </c>
      <c r="I702">
        <f t="shared" si="74"/>
        <v>5</v>
      </c>
      <c r="J702" t="s">
        <v>546</v>
      </c>
      <c r="K702" s="5">
        <v>55</v>
      </c>
      <c r="L702" t="str">
        <f>Table_DataFromNL[[#This Row],[PROFILECODE]]&amp;"-"&amp;Table_DataFromNL[[#This Row],[RULENAME]]</f>
        <v>CP179-New Donor 5th Visit-Bonus</v>
      </c>
      <c r="M702" t="str">
        <f t="shared" si="75"/>
        <v>CP179-NEW DONOR -5th</v>
      </c>
    </row>
    <row r="703" spans="1:13" x14ac:dyDescent="0.25">
      <c r="A703" t="str">
        <f t="shared" si="76"/>
        <v>CP179-NEW DONOR -6th</v>
      </c>
      <c r="B703" t="s">
        <v>86</v>
      </c>
      <c r="C703" t="str">
        <f t="shared" si="70"/>
        <v>Commerce City</v>
      </c>
      <c r="D703" t="str">
        <f t="shared" si="71"/>
        <v>Y</v>
      </c>
      <c r="E703" t="s">
        <v>615</v>
      </c>
      <c r="F703" t="str">
        <f t="shared" si="72"/>
        <v>NEW DONOR -6th</v>
      </c>
      <c r="G703" t="str">
        <f t="shared" si="73"/>
        <v>Marketing</v>
      </c>
      <c r="H703" t="s">
        <v>560</v>
      </c>
      <c r="I703">
        <f t="shared" si="74"/>
        <v>6</v>
      </c>
      <c r="J703" t="s">
        <v>546</v>
      </c>
      <c r="K703" s="5">
        <v>55</v>
      </c>
      <c r="L703" t="str">
        <f>Table_DataFromNL[[#This Row],[PROFILECODE]]&amp;"-"&amp;Table_DataFromNL[[#This Row],[RULENAME]]</f>
        <v>CP179-New Donor 6th Visit-Bonus</v>
      </c>
      <c r="M703" t="str">
        <f t="shared" si="75"/>
        <v>CP179-NEW DONOR -6th</v>
      </c>
    </row>
    <row r="704" spans="1:13" x14ac:dyDescent="0.25">
      <c r="A704" t="str">
        <f t="shared" si="76"/>
        <v>CP179-NEW DONOR -7th</v>
      </c>
      <c r="B704" t="s">
        <v>86</v>
      </c>
      <c r="C704" t="str">
        <f t="shared" si="70"/>
        <v>Commerce City</v>
      </c>
      <c r="D704" t="str">
        <f t="shared" si="71"/>
        <v>Y</v>
      </c>
      <c r="E704" t="s">
        <v>615</v>
      </c>
      <c r="F704" t="str">
        <f t="shared" si="72"/>
        <v>NEW DONOR -7th</v>
      </c>
      <c r="G704" t="str">
        <f t="shared" si="73"/>
        <v>Marketing</v>
      </c>
      <c r="H704" t="s">
        <v>561</v>
      </c>
      <c r="I704">
        <f t="shared" si="74"/>
        <v>7</v>
      </c>
      <c r="J704" t="s">
        <v>546</v>
      </c>
      <c r="K704" s="5">
        <v>55</v>
      </c>
      <c r="L704" t="str">
        <f>Table_DataFromNL[[#This Row],[PROFILECODE]]&amp;"-"&amp;Table_DataFromNL[[#This Row],[RULENAME]]</f>
        <v>CP179-New Donor 7th Visit-Bonus</v>
      </c>
      <c r="M704" t="str">
        <f t="shared" si="75"/>
        <v>CP179-NEW DONOR -7th</v>
      </c>
    </row>
    <row r="705" spans="1:13" x14ac:dyDescent="0.25">
      <c r="A705" t="str">
        <f t="shared" si="76"/>
        <v>CP179-NEW DONOR -8th</v>
      </c>
      <c r="B705" t="s">
        <v>86</v>
      </c>
      <c r="C705" t="str">
        <f t="shared" si="70"/>
        <v>Commerce City</v>
      </c>
      <c r="D705" t="str">
        <f t="shared" si="71"/>
        <v>Y</v>
      </c>
      <c r="E705" t="s">
        <v>615</v>
      </c>
      <c r="F705" t="str">
        <f t="shared" si="72"/>
        <v>NEW DONOR -8th</v>
      </c>
      <c r="G705" t="str">
        <f t="shared" si="73"/>
        <v>Marketing</v>
      </c>
      <c r="H705" t="s">
        <v>562</v>
      </c>
      <c r="I705">
        <f t="shared" si="74"/>
        <v>8</v>
      </c>
      <c r="J705" t="s">
        <v>546</v>
      </c>
      <c r="K705" s="5">
        <v>55</v>
      </c>
      <c r="L705" t="str">
        <f>Table_DataFromNL[[#This Row],[PROFILECODE]]&amp;"-"&amp;Table_DataFromNL[[#This Row],[RULENAME]]</f>
        <v>CP179-New Donor 8th Visit-Bonus</v>
      </c>
      <c r="M705" t="str">
        <f t="shared" si="75"/>
        <v>CP179-NEW DONOR -8th</v>
      </c>
    </row>
    <row r="706" spans="1:13" x14ac:dyDescent="0.25">
      <c r="A706" t="str">
        <f t="shared" si="76"/>
        <v>CP179-Community</v>
      </c>
      <c r="B706" t="s">
        <v>86</v>
      </c>
      <c r="C706" t="str">
        <f t="shared" ref="C706:C769" si="77">VLOOKUP(B706,CenterLU,2,FALSE)</f>
        <v>Commerce City</v>
      </c>
      <c r="D706" t="str">
        <f t="shared" ref="D706:D769" si="78">VLOOKUP(B706,CenterLU,3,FALSE)</f>
        <v>Y</v>
      </c>
      <c r="E706" t="s">
        <v>615</v>
      </c>
      <c r="F706" t="str">
        <f t="shared" ref="F706:F769" si="79">IF(VLOOKUP(H706,RULENAMELU,3,FALSE)=0,H706,VLOOKUP(H706,RULENAMELU,3,FALSE))</f>
        <v>Community</v>
      </c>
      <c r="G706">
        <f t="shared" ref="G706:G769" si="80">VLOOKUP(H706,RULENAMELU,4,FALSE)</f>
        <v>0</v>
      </c>
      <c r="H706" t="s">
        <v>563</v>
      </c>
      <c r="I706">
        <f t="shared" ref="I706:I769" si="81">VLOOKUP(H706,RULENAMELU,5,FALSE)</f>
        <v>0</v>
      </c>
      <c r="J706" t="s">
        <v>564</v>
      </c>
      <c r="K706" s="5">
        <v>5</v>
      </c>
      <c r="L706" t="str">
        <f>Table_DataFromNL[[#This Row],[PROFILECODE]]&amp;"-"&amp;Table_DataFromNL[[#This Row],[RULENAME]]</f>
        <v>CP179-Community</v>
      </c>
      <c r="M706" t="e">
        <f t="shared" ref="M706:M769" si="82">IFERROR(VLOOKUP(A706,PaychangesLU,1,FALSE),VLOOKUP(A706,SpecialtyCheckLU,1,FALSE))</f>
        <v>#N/A</v>
      </c>
    </row>
    <row r="707" spans="1:13" x14ac:dyDescent="0.25">
      <c r="A707" t="str">
        <f t="shared" ref="A707:A770" si="83">B707&amp;"-"&amp;F707</f>
        <v>CP179-HANGER_RECRUIT_5USD_once</v>
      </c>
      <c r="B707" t="s">
        <v>86</v>
      </c>
      <c r="C707" t="str">
        <f t="shared" si="77"/>
        <v>Commerce City</v>
      </c>
      <c r="D707" t="str">
        <f t="shared" si="78"/>
        <v>Y</v>
      </c>
      <c r="E707" t="s">
        <v>615</v>
      </c>
      <c r="F707" t="str">
        <f t="shared" si="79"/>
        <v>HANGER_RECRUIT_5USD_once</v>
      </c>
      <c r="G707">
        <f t="shared" si="80"/>
        <v>0</v>
      </c>
      <c r="H707" t="s">
        <v>565</v>
      </c>
      <c r="I707">
        <f t="shared" si="81"/>
        <v>0</v>
      </c>
      <c r="J707" t="s">
        <v>564</v>
      </c>
      <c r="K707" s="5">
        <v>5</v>
      </c>
      <c r="L707" t="str">
        <f>Table_DataFromNL[[#This Row],[PROFILECODE]]&amp;"-"&amp;Table_DataFromNL[[#This Row],[RULENAME]]</f>
        <v>CP179-HANGER_RECRUIT_5USD_once</v>
      </c>
      <c r="M707" t="e">
        <f t="shared" si="82"/>
        <v>#N/A</v>
      </c>
    </row>
    <row r="708" spans="1:13" x14ac:dyDescent="0.25">
      <c r="A708" t="str">
        <f t="shared" si="83"/>
        <v>CP179-Immunization Boost Payment</v>
      </c>
      <c r="B708" t="s">
        <v>86</v>
      </c>
      <c r="C708" t="str">
        <f t="shared" si="77"/>
        <v>Commerce City</v>
      </c>
      <c r="D708" t="str">
        <f t="shared" si="78"/>
        <v>Y</v>
      </c>
      <c r="E708" t="s">
        <v>615</v>
      </c>
      <c r="F708" t="str">
        <f t="shared" si="79"/>
        <v>Immunization Boost Payment</v>
      </c>
      <c r="G708">
        <f t="shared" si="80"/>
        <v>0</v>
      </c>
      <c r="H708" t="s">
        <v>598</v>
      </c>
      <c r="I708">
        <f t="shared" si="81"/>
        <v>0</v>
      </c>
      <c r="J708" t="s">
        <v>564</v>
      </c>
      <c r="K708" s="5">
        <v>50</v>
      </c>
      <c r="L708" t="str">
        <f>Table_DataFromNL[[#This Row],[PROFILECODE]]&amp;"-"&amp;Table_DataFromNL[[#This Row],[RULENAME]]</f>
        <v>CP179-Immunization Boost Payment</v>
      </c>
      <c r="M708" t="e">
        <f t="shared" si="82"/>
        <v>#N/A</v>
      </c>
    </row>
    <row r="709" spans="1:13" x14ac:dyDescent="0.25">
      <c r="A709" t="str">
        <f t="shared" si="83"/>
        <v>CP179-Immunization Series Payment</v>
      </c>
      <c r="B709" t="s">
        <v>86</v>
      </c>
      <c r="C709" t="str">
        <f t="shared" si="77"/>
        <v>Commerce City</v>
      </c>
      <c r="D709" t="str">
        <f t="shared" si="78"/>
        <v>Y</v>
      </c>
      <c r="E709" t="s">
        <v>615</v>
      </c>
      <c r="F709" t="str">
        <f t="shared" si="79"/>
        <v>Immunization Series Payment</v>
      </c>
      <c r="G709">
        <f t="shared" si="80"/>
        <v>0</v>
      </c>
      <c r="H709" t="s">
        <v>599</v>
      </c>
      <c r="I709">
        <f t="shared" si="81"/>
        <v>0</v>
      </c>
      <c r="J709" t="s">
        <v>564</v>
      </c>
      <c r="K709" s="5">
        <v>100</v>
      </c>
      <c r="L709" t="str">
        <f>Table_DataFromNL[[#This Row],[PROFILECODE]]&amp;"-"&amp;Table_DataFromNL[[#This Row],[RULENAME]]</f>
        <v>CP179-Immunization Series Payment</v>
      </c>
      <c r="M709" t="e">
        <f t="shared" si="82"/>
        <v>#N/A</v>
      </c>
    </row>
    <row r="710" spans="1:13" x14ac:dyDescent="0.25">
      <c r="A710" t="str">
        <f t="shared" si="83"/>
        <v>CP179-Inconv Fee $20-$50-Comment Req'd</v>
      </c>
      <c r="B710" t="s">
        <v>86</v>
      </c>
      <c r="C710" t="str">
        <f t="shared" si="77"/>
        <v>Commerce City</v>
      </c>
      <c r="D710" t="str">
        <f t="shared" si="78"/>
        <v>Y</v>
      </c>
      <c r="E710" t="s">
        <v>615</v>
      </c>
      <c r="F710" t="str">
        <f t="shared" si="79"/>
        <v>Inconv Fee $20-$50-Comment Req'd</v>
      </c>
      <c r="G710">
        <f t="shared" si="80"/>
        <v>0</v>
      </c>
      <c r="H710" t="s">
        <v>566</v>
      </c>
      <c r="I710">
        <f t="shared" si="81"/>
        <v>0</v>
      </c>
      <c r="J710" t="s">
        <v>564</v>
      </c>
      <c r="K710" s="5">
        <v>50</v>
      </c>
      <c r="L710" t="str">
        <f>Table_DataFromNL[[#This Row],[PROFILECODE]]&amp;"-"&amp;Table_DataFromNL[[#This Row],[RULENAME]]</f>
        <v>CP179-Inconv Fee $20-$50-Comment Req'd</v>
      </c>
      <c r="M710" t="e">
        <f t="shared" si="82"/>
        <v>#N/A</v>
      </c>
    </row>
    <row r="711" spans="1:13" x14ac:dyDescent="0.25">
      <c r="A711" t="str">
        <f t="shared" si="83"/>
        <v>CP179-Inconv Fee $5-$20-Comment Req'd</v>
      </c>
      <c r="B711" t="s">
        <v>86</v>
      </c>
      <c r="C711" t="str">
        <f t="shared" si="77"/>
        <v>Commerce City</v>
      </c>
      <c r="D711" t="str">
        <f t="shared" si="78"/>
        <v>Y</v>
      </c>
      <c r="E711" t="s">
        <v>615</v>
      </c>
      <c r="F711" t="str">
        <f t="shared" si="79"/>
        <v>Inconv Fee $5-$20-Comment Req'd</v>
      </c>
      <c r="G711">
        <f t="shared" si="80"/>
        <v>0</v>
      </c>
      <c r="H711" t="s">
        <v>567</v>
      </c>
      <c r="I711">
        <f t="shared" si="81"/>
        <v>0</v>
      </c>
      <c r="J711" t="s">
        <v>564</v>
      </c>
      <c r="K711" s="5">
        <v>20</v>
      </c>
      <c r="L711" t="str">
        <f>Table_DataFromNL[[#This Row],[PROFILECODE]]&amp;"-"&amp;Table_DataFromNL[[#This Row],[RULENAME]]</f>
        <v>CP179-Inconv Fee $5-$20-Comment Req'd</v>
      </c>
      <c r="M711" t="e">
        <f t="shared" si="82"/>
        <v>#N/A</v>
      </c>
    </row>
    <row r="712" spans="1:13" x14ac:dyDescent="0.25">
      <c r="A712" t="str">
        <f t="shared" si="83"/>
        <v>CP179-Inconv Fee$50-$100-Comment Req'd</v>
      </c>
      <c r="B712" t="s">
        <v>86</v>
      </c>
      <c r="C712" t="str">
        <f t="shared" si="77"/>
        <v>Commerce City</v>
      </c>
      <c r="D712" t="str">
        <f t="shared" si="78"/>
        <v>Y</v>
      </c>
      <c r="E712" t="s">
        <v>615</v>
      </c>
      <c r="F712" t="str">
        <f t="shared" si="79"/>
        <v>Inconv Fee$50-$100-Comment Req'd</v>
      </c>
      <c r="G712">
        <f t="shared" si="80"/>
        <v>0</v>
      </c>
      <c r="H712" t="s">
        <v>568</v>
      </c>
      <c r="I712">
        <f t="shared" si="81"/>
        <v>0</v>
      </c>
      <c r="J712" t="s">
        <v>564</v>
      </c>
      <c r="K712" s="5">
        <v>100</v>
      </c>
      <c r="L712" t="str">
        <f>Table_DataFromNL[[#This Row],[PROFILECODE]]&amp;"-"&amp;Table_DataFromNL[[#This Row],[RULENAME]]</f>
        <v>CP179-Inconv Fee$50-$100-Comment Req'd</v>
      </c>
      <c r="M712" t="e">
        <f t="shared" si="82"/>
        <v>#N/A</v>
      </c>
    </row>
    <row r="713" spans="1:13" x14ac:dyDescent="0.25">
      <c r="A713" t="str">
        <f t="shared" si="83"/>
        <v>CP179-NSP_ LAPSEDONOR_50_Twice</v>
      </c>
      <c r="B713" t="s">
        <v>86</v>
      </c>
      <c r="C713" t="str">
        <f t="shared" si="77"/>
        <v>Commerce City</v>
      </c>
      <c r="D713" t="str">
        <f t="shared" si="78"/>
        <v>Y</v>
      </c>
      <c r="E713" t="s">
        <v>615</v>
      </c>
      <c r="F713" t="str">
        <f t="shared" si="79"/>
        <v>NSP_ LAPSEDONOR_50_Twice</v>
      </c>
      <c r="G713">
        <f t="shared" si="80"/>
        <v>0</v>
      </c>
      <c r="H713" t="s">
        <v>569</v>
      </c>
      <c r="I713">
        <f t="shared" si="81"/>
        <v>0</v>
      </c>
      <c r="J713" t="s">
        <v>564</v>
      </c>
      <c r="K713" s="5">
        <v>50</v>
      </c>
      <c r="L713" t="str">
        <f>Table_DataFromNL[[#This Row],[PROFILECODE]]&amp;"-"&amp;Table_DataFromNL[[#This Row],[RULENAME]]</f>
        <v>CP179-NSP_ LAPSEDONOR_50_Twice</v>
      </c>
      <c r="M713" t="e">
        <f t="shared" si="82"/>
        <v>#N/A</v>
      </c>
    </row>
    <row r="714" spans="1:13" x14ac:dyDescent="0.25">
      <c r="A714" t="str">
        <f t="shared" si="83"/>
        <v>CP179-NSP_LD_25_2X</v>
      </c>
      <c r="B714" t="s">
        <v>86</v>
      </c>
      <c r="C714" t="str">
        <f t="shared" si="77"/>
        <v>Commerce City</v>
      </c>
      <c r="D714" t="str">
        <f t="shared" si="78"/>
        <v>Y</v>
      </c>
      <c r="E714" t="s">
        <v>615</v>
      </c>
      <c r="F714" t="str">
        <f t="shared" si="79"/>
        <v>NSP_LD_25_2X</v>
      </c>
      <c r="G714">
        <f t="shared" si="80"/>
        <v>0</v>
      </c>
      <c r="H714" t="s">
        <v>570</v>
      </c>
      <c r="I714">
        <f t="shared" si="81"/>
        <v>0</v>
      </c>
      <c r="J714" t="s">
        <v>564</v>
      </c>
      <c r="K714" s="5">
        <v>25</v>
      </c>
      <c r="L714" t="str">
        <f>Table_DataFromNL[[#This Row],[PROFILECODE]]&amp;"-"&amp;Table_DataFromNL[[#This Row],[RULENAME]]</f>
        <v>CP179-NSP_LD_25_2X</v>
      </c>
      <c r="M714" t="e">
        <f t="shared" si="82"/>
        <v>#N/A</v>
      </c>
    </row>
    <row r="715" spans="1:13" x14ac:dyDescent="0.25">
      <c r="A715" t="str">
        <f t="shared" si="83"/>
        <v>CP179-NSP_LD_50_1X</v>
      </c>
      <c r="B715" t="s">
        <v>86</v>
      </c>
      <c r="C715" t="str">
        <f t="shared" si="77"/>
        <v>Commerce City</v>
      </c>
      <c r="D715" t="str">
        <f t="shared" si="78"/>
        <v>Y</v>
      </c>
      <c r="E715" t="s">
        <v>615</v>
      </c>
      <c r="F715" t="str">
        <f t="shared" si="79"/>
        <v>NSP_LD_50_1X</v>
      </c>
      <c r="G715">
        <f t="shared" si="80"/>
        <v>0</v>
      </c>
      <c r="H715" t="s">
        <v>571</v>
      </c>
      <c r="I715">
        <f t="shared" si="81"/>
        <v>0</v>
      </c>
      <c r="J715" t="s">
        <v>564</v>
      </c>
      <c r="K715" s="5">
        <v>50</v>
      </c>
      <c r="L715" t="str">
        <f>Table_DataFromNL[[#This Row],[PROFILECODE]]&amp;"-"&amp;Table_DataFromNL[[#This Row],[RULENAME]]</f>
        <v>CP179-NSP_LD_50_1X</v>
      </c>
      <c r="M715" t="e">
        <f t="shared" si="82"/>
        <v>#N/A</v>
      </c>
    </row>
    <row r="716" spans="1:13" x14ac:dyDescent="0.25">
      <c r="A716" t="str">
        <f t="shared" si="83"/>
        <v>CP179-NSP_ORPHAN_100_once</v>
      </c>
      <c r="B716" t="s">
        <v>86</v>
      </c>
      <c r="C716" t="str">
        <f t="shared" si="77"/>
        <v>Commerce City</v>
      </c>
      <c r="D716" t="str">
        <f t="shared" si="78"/>
        <v>Y</v>
      </c>
      <c r="E716" t="s">
        <v>615</v>
      </c>
      <c r="F716" t="str">
        <f t="shared" si="79"/>
        <v>NSP_ORPHAN_100_once</v>
      </c>
      <c r="G716">
        <f t="shared" si="80"/>
        <v>0</v>
      </c>
      <c r="H716" t="s">
        <v>572</v>
      </c>
      <c r="I716">
        <f t="shared" si="81"/>
        <v>0</v>
      </c>
      <c r="J716" t="s">
        <v>564</v>
      </c>
      <c r="K716" s="5">
        <v>100</v>
      </c>
      <c r="L716" t="str">
        <f>Table_DataFromNL[[#This Row],[PROFILECODE]]&amp;"-"&amp;Table_DataFromNL[[#This Row],[RULENAME]]</f>
        <v>CP179-NSP_ORPHAN_100_once</v>
      </c>
      <c r="M716" t="e">
        <f t="shared" si="82"/>
        <v>#N/A</v>
      </c>
    </row>
    <row r="717" spans="1:13" x14ac:dyDescent="0.25">
      <c r="A717" t="str">
        <f t="shared" si="83"/>
        <v>CP179-Restick</v>
      </c>
      <c r="B717" t="s">
        <v>86</v>
      </c>
      <c r="C717" t="str">
        <f t="shared" si="77"/>
        <v>Commerce City</v>
      </c>
      <c r="D717" t="str">
        <f t="shared" si="78"/>
        <v>Y</v>
      </c>
      <c r="E717" t="s">
        <v>615</v>
      </c>
      <c r="F717" t="str">
        <f t="shared" si="79"/>
        <v>Restick</v>
      </c>
      <c r="G717">
        <f t="shared" si="80"/>
        <v>0</v>
      </c>
      <c r="H717" t="s">
        <v>573</v>
      </c>
      <c r="I717">
        <f t="shared" si="81"/>
        <v>0</v>
      </c>
      <c r="J717" t="s">
        <v>564</v>
      </c>
      <c r="K717" s="5">
        <v>5</v>
      </c>
      <c r="L717" t="str">
        <f>Table_DataFromNL[[#This Row],[PROFILECODE]]&amp;"-"&amp;Table_DataFromNL[[#This Row],[RULENAME]]</f>
        <v>CP179-Restick</v>
      </c>
      <c r="M717" t="e">
        <f t="shared" si="82"/>
        <v>#N/A</v>
      </c>
    </row>
    <row r="718" spans="1:13" x14ac:dyDescent="0.25">
      <c r="A718" t="str">
        <f t="shared" si="83"/>
        <v>CP179-SLOW_TEXT_5</v>
      </c>
      <c r="B718" t="s">
        <v>86</v>
      </c>
      <c r="C718" t="str">
        <f t="shared" si="77"/>
        <v>Commerce City</v>
      </c>
      <c r="D718" t="str">
        <f t="shared" si="78"/>
        <v>Y</v>
      </c>
      <c r="E718" t="s">
        <v>615</v>
      </c>
      <c r="F718" t="str">
        <f t="shared" si="79"/>
        <v>SLOW_TEXT_5</v>
      </c>
      <c r="G718">
        <f t="shared" si="80"/>
        <v>0</v>
      </c>
      <c r="H718" t="s">
        <v>574</v>
      </c>
      <c r="I718">
        <f t="shared" si="81"/>
        <v>0</v>
      </c>
      <c r="J718" t="s">
        <v>564</v>
      </c>
      <c r="K718" s="5">
        <v>5</v>
      </c>
      <c r="L718" t="str">
        <f>Table_DataFromNL[[#This Row],[PROFILECODE]]&amp;"-"&amp;Table_DataFromNL[[#This Row],[RULENAME]]</f>
        <v>CP179-SLOW_TEXT_5</v>
      </c>
      <c r="M718" t="e">
        <f t="shared" si="82"/>
        <v>#N/A</v>
      </c>
    </row>
    <row r="719" spans="1:13" x14ac:dyDescent="0.25">
      <c r="A719" t="str">
        <f t="shared" si="83"/>
        <v>CP179-Sample Only</v>
      </c>
      <c r="B719" t="s">
        <v>86</v>
      </c>
      <c r="C719" t="str">
        <f t="shared" si="77"/>
        <v>Commerce City</v>
      </c>
      <c r="D719" t="str">
        <f t="shared" si="78"/>
        <v>Y</v>
      </c>
      <c r="E719" t="s">
        <v>615</v>
      </c>
      <c r="F719" t="str">
        <f t="shared" si="79"/>
        <v>Sample Only</v>
      </c>
      <c r="G719">
        <f t="shared" si="80"/>
        <v>0</v>
      </c>
      <c r="H719" t="s">
        <v>575</v>
      </c>
      <c r="I719">
        <f t="shared" si="81"/>
        <v>0</v>
      </c>
      <c r="J719" t="s">
        <v>564</v>
      </c>
      <c r="K719" s="5">
        <v>5</v>
      </c>
      <c r="L719" t="str">
        <f>Table_DataFromNL[[#This Row],[PROFILECODE]]&amp;"-"&amp;Table_DataFromNL[[#This Row],[RULENAME]]</f>
        <v>CP179-Sample Only</v>
      </c>
      <c r="M719" t="e">
        <f t="shared" si="82"/>
        <v>#N/A</v>
      </c>
    </row>
    <row r="720" spans="1:13" x14ac:dyDescent="0.25">
      <c r="A720" t="str">
        <f t="shared" si="83"/>
        <v>CP179-Unit Below 250 mL</v>
      </c>
      <c r="B720" t="s">
        <v>86</v>
      </c>
      <c r="C720" t="str">
        <f t="shared" si="77"/>
        <v>Commerce City</v>
      </c>
      <c r="D720" t="str">
        <f t="shared" si="78"/>
        <v>Y</v>
      </c>
      <c r="E720" t="s">
        <v>615</v>
      </c>
      <c r="F720" t="str">
        <f t="shared" si="79"/>
        <v>Unit Below 250 mL</v>
      </c>
      <c r="G720">
        <f t="shared" si="80"/>
        <v>0</v>
      </c>
      <c r="H720" t="s">
        <v>576</v>
      </c>
      <c r="I720">
        <f t="shared" si="81"/>
        <v>0</v>
      </c>
      <c r="J720" t="s">
        <v>564</v>
      </c>
      <c r="K720" s="5">
        <v>5</v>
      </c>
      <c r="L720" t="str">
        <f>Table_DataFromNL[[#This Row],[PROFILECODE]]&amp;"-"&amp;Table_DataFromNL[[#This Row],[RULENAME]]</f>
        <v>CP179-Unit Below 250 mL</v>
      </c>
      <c r="M720" t="e">
        <f t="shared" si="82"/>
        <v>#N/A</v>
      </c>
    </row>
    <row r="721" spans="1:13" x14ac:dyDescent="0.25">
      <c r="A721" t="str">
        <f t="shared" si="83"/>
        <v>CP179-Unit above 250 mL/underdraw</v>
      </c>
      <c r="B721" t="s">
        <v>86</v>
      </c>
      <c r="C721" t="str">
        <f t="shared" si="77"/>
        <v>Commerce City</v>
      </c>
      <c r="D721" t="str">
        <f t="shared" si="78"/>
        <v>Y</v>
      </c>
      <c r="E721" t="s">
        <v>615</v>
      </c>
      <c r="F721" t="str">
        <f t="shared" si="79"/>
        <v>Unit above 250 mL/underdraw</v>
      </c>
      <c r="G721">
        <f t="shared" si="80"/>
        <v>0</v>
      </c>
      <c r="H721" t="s">
        <v>577</v>
      </c>
      <c r="I721">
        <f t="shared" si="81"/>
        <v>0</v>
      </c>
      <c r="J721" t="s">
        <v>564</v>
      </c>
      <c r="K721" s="5">
        <v>10</v>
      </c>
      <c r="L721" t="str">
        <f>Table_DataFromNL[[#This Row],[PROFILECODE]]&amp;"-"&amp;Table_DataFromNL[[#This Row],[RULENAME]]</f>
        <v>CP179-Unit above 250 mL/underdraw</v>
      </c>
      <c r="M721" t="e">
        <f t="shared" si="82"/>
        <v>#N/A</v>
      </c>
    </row>
    <row r="722" spans="1:13" x14ac:dyDescent="0.25">
      <c r="A722" t="str">
        <f t="shared" si="83"/>
        <v>CP179-RETURN - Buddy referral  -BONUS</v>
      </c>
      <c r="B722" t="s">
        <v>86</v>
      </c>
      <c r="C722" t="str">
        <f t="shared" si="77"/>
        <v>Commerce City</v>
      </c>
      <c r="D722" t="str">
        <f t="shared" si="78"/>
        <v>Y</v>
      </c>
      <c r="E722" t="s">
        <v>615</v>
      </c>
      <c r="F722" t="str">
        <f t="shared" si="79"/>
        <v>RETURN - Buddy referral  -BONUS</v>
      </c>
      <c r="G722" t="str">
        <f t="shared" si="80"/>
        <v>Marketing</v>
      </c>
      <c r="H722" t="s">
        <v>34</v>
      </c>
      <c r="I722">
        <f t="shared" si="81"/>
        <v>50</v>
      </c>
      <c r="J722" t="s">
        <v>578</v>
      </c>
      <c r="K722" s="5">
        <v>0</v>
      </c>
      <c r="L722" t="str">
        <f>Table_DataFromNL[[#This Row],[PROFILECODE]]&amp;"-"&amp;Table_DataFromNL[[#This Row],[RULENAME]]</f>
        <v>CP179-Referral</v>
      </c>
      <c r="M722" t="str">
        <f t="shared" si="82"/>
        <v>CP179-RETURN - Buddy referral  -BONUS</v>
      </c>
    </row>
    <row r="723" spans="1:13" x14ac:dyDescent="0.25">
      <c r="A723" t="str">
        <f t="shared" si="83"/>
        <v>CP179-P Anti-D Pre-Existing Standard</v>
      </c>
      <c r="B723" t="s">
        <v>86</v>
      </c>
      <c r="C723" t="str">
        <f t="shared" si="77"/>
        <v>Commerce City</v>
      </c>
      <c r="D723" t="str">
        <f t="shared" si="78"/>
        <v>Y</v>
      </c>
      <c r="E723" t="s">
        <v>615</v>
      </c>
      <c r="F723" t="str">
        <f t="shared" si="79"/>
        <v>P Anti-D Pre-Existing Standard</v>
      </c>
      <c r="G723" t="str">
        <f t="shared" si="80"/>
        <v>Specialty</v>
      </c>
      <c r="H723" t="s">
        <v>469</v>
      </c>
      <c r="I723" t="str">
        <f t="shared" si="81"/>
        <v>RETURN - 1st don of the week -STD</v>
      </c>
      <c r="J723" t="s">
        <v>579</v>
      </c>
      <c r="K723" s="5">
        <v>50</v>
      </c>
      <c r="L723" t="str">
        <f>Table_DataFromNL[[#This Row],[PROFILECODE]]&amp;"-"&amp;Table_DataFromNL[[#This Row],[RULENAME]]</f>
        <v>CP179-P Anti-D Pre-Existing Standard</v>
      </c>
      <c r="M723" t="str">
        <f t="shared" si="82"/>
        <v>CP179-P Anti-D Pre-Existing Standard</v>
      </c>
    </row>
    <row r="724" spans="1:13" x14ac:dyDescent="0.25">
      <c r="A724" t="str">
        <f t="shared" si="83"/>
        <v>CP179-RETURN - 1st don of the week -STD</v>
      </c>
      <c r="B724" t="s">
        <v>86</v>
      </c>
      <c r="C724" t="str">
        <f t="shared" si="77"/>
        <v>Commerce City</v>
      </c>
      <c r="D724" t="str">
        <f t="shared" si="78"/>
        <v>Y</v>
      </c>
      <c r="E724" t="s">
        <v>615</v>
      </c>
      <c r="F724" t="str">
        <f t="shared" si="79"/>
        <v>RETURN - 1st don of the week -STD</v>
      </c>
      <c r="G724" t="str">
        <f t="shared" si="80"/>
        <v>Marketing</v>
      </c>
      <c r="H724" t="s">
        <v>583</v>
      </c>
      <c r="I724">
        <f t="shared" si="81"/>
        <v>22</v>
      </c>
      <c r="J724" t="s">
        <v>579</v>
      </c>
      <c r="K724" s="5">
        <v>55</v>
      </c>
      <c r="L724" t="str">
        <f>Table_DataFromNL[[#This Row],[PROFILECODE]]&amp;"-"&amp;Table_DataFromNL[[#This Row],[RULENAME]]</f>
        <v>CP179-P NSP NS AP Standard</v>
      </c>
      <c r="M724" t="str">
        <f t="shared" si="82"/>
        <v>CP179-RETURN - 1st don of the week -STD</v>
      </c>
    </row>
    <row r="725" spans="1:13" x14ac:dyDescent="0.25">
      <c r="A725" t="str">
        <f t="shared" si="83"/>
        <v>CP179-RETURN - 1st don of the week -STD</v>
      </c>
      <c r="B725" t="s">
        <v>86</v>
      </c>
      <c r="C725" t="str">
        <f t="shared" si="77"/>
        <v>Commerce City</v>
      </c>
      <c r="D725" t="str">
        <f t="shared" si="78"/>
        <v>Y</v>
      </c>
      <c r="E725" t="s">
        <v>615</v>
      </c>
      <c r="F725" t="str">
        <f t="shared" si="79"/>
        <v>RETURN - 1st don of the week -STD</v>
      </c>
      <c r="G725" t="str">
        <f t="shared" si="80"/>
        <v>Marketing</v>
      </c>
      <c r="H725" t="s">
        <v>584</v>
      </c>
      <c r="I725">
        <f t="shared" si="81"/>
        <v>23</v>
      </c>
      <c r="J725" t="s">
        <v>579</v>
      </c>
      <c r="K725" s="5">
        <v>55</v>
      </c>
      <c r="L725" t="str">
        <f>Table_DataFromNL[[#This Row],[PROFILECODE]]&amp;"-"&amp;Table_DataFromNL[[#This Row],[RULENAME]]</f>
        <v>CP179-P NSP NS Standard</v>
      </c>
      <c r="M725" t="str">
        <f t="shared" si="82"/>
        <v>CP179-RETURN - 1st don of the week -STD</v>
      </c>
    </row>
    <row r="726" spans="1:13" x14ac:dyDescent="0.25">
      <c r="A726" t="str">
        <f t="shared" si="83"/>
        <v>CP179-P VZV Pre-Existing AP</v>
      </c>
      <c r="B726" t="s">
        <v>86</v>
      </c>
      <c r="C726" t="str">
        <f t="shared" si="77"/>
        <v>Commerce City</v>
      </c>
      <c r="D726" t="str">
        <f t="shared" si="78"/>
        <v>Y</v>
      </c>
      <c r="E726" t="s">
        <v>615</v>
      </c>
      <c r="F726" t="str">
        <f t="shared" si="79"/>
        <v>P VZV Pre-Existing AP</v>
      </c>
      <c r="G726" t="str">
        <f t="shared" si="80"/>
        <v>Specialty</v>
      </c>
      <c r="H726" t="s">
        <v>495</v>
      </c>
      <c r="I726" t="str">
        <f t="shared" si="81"/>
        <v>RETURN - 1st don of the week -STD</v>
      </c>
      <c r="J726" t="s">
        <v>579</v>
      </c>
      <c r="K726" s="5">
        <v>65</v>
      </c>
      <c r="L726" t="str">
        <f>Table_DataFromNL[[#This Row],[PROFILECODE]]&amp;"-"&amp;Table_DataFromNL[[#This Row],[RULENAME]]</f>
        <v>CP179-P VZV Pre-Existing AP</v>
      </c>
      <c r="M726" t="str">
        <f t="shared" si="82"/>
        <v>CP179-P VZV Pre-Existing AP</v>
      </c>
    </row>
    <row r="727" spans="1:13" x14ac:dyDescent="0.25">
      <c r="A727" t="str">
        <f t="shared" si="83"/>
        <v>CP179-P VZV Standard</v>
      </c>
      <c r="B727" t="s">
        <v>86</v>
      </c>
      <c r="C727" t="str">
        <f t="shared" si="77"/>
        <v>Commerce City</v>
      </c>
      <c r="D727" t="str">
        <f t="shared" si="78"/>
        <v>Y</v>
      </c>
      <c r="E727" t="s">
        <v>615</v>
      </c>
      <c r="F727" t="str">
        <f t="shared" si="79"/>
        <v>P VZV Standard</v>
      </c>
      <c r="G727" t="str">
        <f t="shared" si="80"/>
        <v>Specialty</v>
      </c>
      <c r="H727" t="s">
        <v>496</v>
      </c>
      <c r="I727" t="str">
        <f t="shared" si="81"/>
        <v>RETURN - 1st don of the week -STD</v>
      </c>
      <c r="J727" t="s">
        <v>579</v>
      </c>
      <c r="K727" s="5">
        <v>65</v>
      </c>
      <c r="L727" t="str">
        <f>Table_DataFromNL[[#This Row],[PROFILECODE]]&amp;"-"&amp;Table_DataFromNL[[#This Row],[RULENAME]]</f>
        <v>CP179-P VZV Standard</v>
      </c>
      <c r="M727" t="str">
        <f t="shared" si="82"/>
        <v>CP179-P VZV Standard</v>
      </c>
    </row>
    <row r="728" spans="1:13" x14ac:dyDescent="0.25">
      <c r="A728" t="str">
        <f t="shared" si="83"/>
        <v>CP179-PVZV Pre-Existing Standard</v>
      </c>
      <c r="B728" t="s">
        <v>86</v>
      </c>
      <c r="C728" t="str">
        <f t="shared" si="77"/>
        <v>Commerce City</v>
      </c>
      <c r="D728" t="str">
        <f t="shared" si="78"/>
        <v>Y</v>
      </c>
      <c r="E728" t="s">
        <v>615</v>
      </c>
      <c r="F728" t="str">
        <f t="shared" si="79"/>
        <v>PVZV Pre-Existing Standard</v>
      </c>
      <c r="G728" t="str">
        <f t="shared" si="80"/>
        <v>Specialty</v>
      </c>
      <c r="H728" t="s">
        <v>497</v>
      </c>
      <c r="I728" t="str">
        <f t="shared" si="81"/>
        <v>RETURN - 1st don of the week -STD</v>
      </c>
      <c r="J728" t="s">
        <v>579</v>
      </c>
      <c r="K728" s="5">
        <v>65</v>
      </c>
      <c r="L728" t="str">
        <f>Table_DataFromNL[[#This Row],[PROFILECODE]]&amp;"-"&amp;Table_DataFromNL[[#This Row],[RULENAME]]</f>
        <v>CP179-PVZV Pre-Existing Standard</v>
      </c>
      <c r="M728" t="str">
        <f t="shared" si="82"/>
        <v>CP179-PVZV Pre-Existing Standard</v>
      </c>
    </row>
    <row r="729" spans="1:13" x14ac:dyDescent="0.25">
      <c r="A729" t="str">
        <f t="shared" si="83"/>
        <v>CP184-1st Responder-Medical</v>
      </c>
      <c r="B729" t="s">
        <v>136</v>
      </c>
      <c r="C729" t="str">
        <f t="shared" si="77"/>
        <v>Copperas Cove</v>
      </c>
      <c r="D729" t="str">
        <f t="shared" si="78"/>
        <v>Y</v>
      </c>
      <c r="E729" t="s">
        <v>616</v>
      </c>
      <c r="F729" t="str">
        <f t="shared" si="79"/>
        <v>1st Responder-Medical</v>
      </c>
      <c r="G729">
        <f t="shared" si="80"/>
        <v>0</v>
      </c>
      <c r="H729" t="s">
        <v>545</v>
      </c>
      <c r="I729">
        <f t="shared" si="81"/>
        <v>0</v>
      </c>
      <c r="J729" t="s">
        <v>546</v>
      </c>
      <c r="K729" s="5">
        <v>5</v>
      </c>
      <c r="L729" t="str">
        <f>Table_DataFromNL[[#This Row],[PROFILECODE]]&amp;"-"&amp;Table_DataFromNL[[#This Row],[RULENAME]]</f>
        <v>CP184-1st Responder-Medical</v>
      </c>
      <c r="M729" t="e">
        <f t="shared" si="82"/>
        <v>#N/A</v>
      </c>
    </row>
    <row r="730" spans="1:13" x14ac:dyDescent="0.25">
      <c r="A730" t="str">
        <f t="shared" si="83"/>
        <v>CP184-RETURN - 2nd don of the week -BONUS</v>
      </c>
      <c r="B730" t="s">
        <v>136</v>
      </c>
      <c r="C730" t="str">
        <f t="shared" si="77"/>
        <v>Copperas Cove</v>
      </c>
      <c r="D730" t="str">
        <f t="shared" si="78"/>
        <v>Y</v>
      </c>
      <c r="E730" t="s">
        <v>616</v>
      </c>
      <c r="F730" t="str">
        <f t="shared" si="79"/>
        <v>RETURN - 2nd don of the week -BONUS</v>
      </c>
      <c r="G730" t="str">
        <f t="shared" si="80"/>
        <v>Marketing</v>
      </c>
      <c r="H730" t="s">
        <v>550</v>
      </c>
      <c r="I730">
        <f t="shared" si="81"/>
        <v>26</v>
      </c>
      <c r="J730" t="s">
        <v>546</v>
      </c>
      <c r="K730" s="5">
        <v>15</v>
      </c>
      <c r="L730" t="str">
        <f>Table_DataFromNL[[#This Row],[PROFILECODE]]&amp;"-"&amp;Table_DataFromNL[[#This Row],[RULENAME]]</f>
        <v>CP184-2X Week P NSP NS</v>
      </c>
      <c r="M730" t="str">
        <f t="shared" si="82"/>
        <v>CP184-RETURN - 2nd don of the week -BONUS</v>
      </c>
    </row>
    <row r="731" spans="1:13" x14ac:dyDescent="0.25">
      <c r="A731" t="str">
        <f t="shared" si="83"/>
        <v>CP184-RETURN - 2nd don of the week -BONUS</v>
      </c>
      <c r="B731" t="s">
        <v>136</v>
      </c>
      <c r="C731" t="str">
        <f t="shared" si="77"/>
        <v>Copperas Cove</v>
      </c>
      <c r="D731" t="str">
        <f t="shared" si="78"/>
        <v>Y</v>
      </c>
      <c r="E731" t="s">
        <v>616</v>
      </c>
      <c r="F731" t="str">
        <f t="shared" si="79"/>
        <v>RETURN - 2nd don of the week -BONUS</v>
      </c>
      <c r="G731" t="str">
        <f t="shared" si="80"/>
        <v>Marketing</v>
      </c>
      <c r="H731" t="s">
        <v>551</v>
      </c>
      <c r="I731" t="str">
        <f t="shared" si="81"/>
        <v>RETURN - 2nd don of the week -BONUS</v>
      </c>
      <c r="J731" t="s">
        <v>546</v>
      </c>
      <c r="K731" s="5">
        <v>15</v>
      </c>
      <c r="L731" t="str">
        <f>Table_DataFromNL[[#This Row],[PROFILECODE]]&amp;"-"&amp;Table_DataFromNL[[#This Row],[RULENAME]]</f>
        <v>CP184-2X Week P NSP NS AP</v>
      </c>
      <c r="M731" t="str">
        <f t="shared" si="82"/>
        <v>CP184-RETURN - 2nd don of the week -BONUS</v>
      </c>
    </row>
    <row r="732" spans="1:13" x14ac:dyDescent="0.25">
      <c r="A732" t="str">
        <f t="shared" si="83"/>
        <v>CP184-2X Week P VZV Pre-Existing</v>
      </c>
      <c r="B732" t="s">
        <v>136</v>
      </c>
      <c r="C732" t="str">
        <f t="shared" si="77"/>
        <v>Copperas Cove</v>
      </c>
      <c r="D732" t="str">
        <f t="shared" si="78"/>
        <v>Y</v>
      </c>
      <c r="E732" t="s">
        <v>616</v>
      </c>
      <c r="F732" t="str">
        <f t="shared" si="79"/>
        <v>2X Week P VZV Pre-Existing</v>
      </c>
      <c r="G732" t="str">
        <f t="shared" si="80"/>
        <v>Specialty</v>
      </c>
      <c r="H732" t="s">
        <v>490</v>
      </c>
      <c r="I732" t="str">
        <f t="shared" si="81"/>
        <v>RETURN - 2nd don of the week -BONUS</v>
      </c>
      <c r="J732" t="s">
        <v>546</v>
      </c>
      <c r="K732" s="5">
        <v>15</v>
      </c>
      <c r="L732" t="str">
        <f>Table_DataFromNL[[#This Row],[PROFILECODE]]&amp;"-"&amp;Table_DataFromNL[[#This Row],[RULENAME]]</f>
        <v>CP184-2X Week P VZV Pre-Existing</v>
      </c>
      <c r="M732" t="str">
        <f t="shared" si="82"/>
        <v>CP184-2X Week P VZV Pre-Existing</v>
      </c>
    </row>
    <row r="733" spans="1:13" x14ac:dyDescent="0.25">
      <c r="A733" t="str">
        <f t="shared" si="83"/>
        <v>CP184-2X Week P VZV Pre-Existing AP</v>
      </c>
      <c r="B733" t="s">
        <v>136</v>
      </c>
      <c r="C733" t="str">
        <f t="shared" si="77"/>
        <v>Copperas Cove</v>
      </c>
      <c r="D733" t="str">
        <f t="shared" si="78"/>
        <v>Y</v>
      </c>
      <c r="E733" t="s">
        <v>616</v>
      </c>
      <c r="F733" t="str">
        <f t="shared" si="79"/>
        <v>2X Week P VZV Pre-Existing AP</v>
      </c>
      <c r="G733" t="str">
        <f t="shared" si="80"/>
        <v>Specialty</v>
      </c>
      <c r="H733" t="s">
        <v>491</v>
      </c>
      <c r="I733" t="str">
        <f t="shared" si="81"/>
        <v>RETURN - 2nd don of the week -BONUS</v>
      </c>
      <c r="J733" t="s">
        <v>546</v>
      </c>
      <c r="K733" s="5">
        <v>15</v>
      </c>
      <c r="L733" t="str">
        <f>Table_DataFromNL[[#This Row],[PROFILECODE]]&amp;"-"&amp;Table_DataFromNL[[#This Row],[RULENAME]]</f>
        <v>CP184-2X Week P VZV Pre-Existing AP</v>
      </c>
      <c r="M733" t="str">
        <f t="shared" si="82"/>
        <v>CP184-2X Week P VZV Pre-Existing AP</v>
      </c>
    </row>
    <row r="734" spans="1:13" x14ac:dyDescent="0.25">
      <c r="A734" t="str">
        <f t="shared" si="83"/>
        <v>CP184-RETURN - 6th don of the month -BONUS</v>
      </c>
      <c r="B734" t="s">
        <v>136</v>
      </c>
      <c r="C734" t="str">
        <f t="shared" si="77"/>
        <v>Copperas Cove</v>
      </c>
      <c r="D734" t="str">
        <f t="shared" si="78"/>
        <v>Y</v>
      </c>
      <c r="E734" t="s">
        <v>616</v>
      </c>
      <c r="F734" t="str">
        <f t="shared" si="79"/>
        <v>RETURN - 6th don of the month -BONUS</v>
      </c>
      <c r="G734" t="str">
        <f t="shared" si="80"/>
        <v>Marketing</v>
      </c>
      <c r="H734" t="s">
        <v>552</v>
      </c>
      <c r="I734">
        <f t="shared" si="81"/>
        <v>28</v>
      </c>
      <c r="J734" t="s">
        <v>546</v>
      </c>
      <c r="K734" s="5">
        <v>30</v>
      </c>
      <c r="L734" t="str">
        <f>Table_DataFromNL[[#This Row],[PROFILECODE]]&amp;"-"&amp;Table_DataFromNL[[#This Row],[RULENAME]]</f>
        <v>CP184-6X Month</v>
      </c>
      <c r="M734" t="str">
        <f t="shared" si="82"/>
        <v>CP184-RETURN - 6th don of the month -BONUS</v>
      </c>
    </row>
    <row r="735" spans="1:13" x14ac:dyDescent="0.25">
      <c r="A735" t="str">
        <f t="shared" si="83"/>
        <v>CP184-College ID Standard Bonus</v>
      </c>
      <c r="B735" t="s">
        <v>136</v>
      </c>
      <c r="C735" t="str">
        <f t="shared" si="77"/>
        <v>Copperas Cove</v>
      </c>
      <c r="D735" t="str">
        <f t="shared" si="78"/>
        <v>Y</v>
      </c>
      <c r="E735" t="s">
        <v>616</v>
      </c>
      <c r="F735" t="str">
        <f t="shared" si="79"/>
        <v>College ID Standard Bonus</v>
      </c>
      <c r="G735">
        <f t="shared" si="80"/>
        <v>0</v>
      </c>
      <c r="H735" t="s">
        <v>553</v>
      </c>
      <c r="I735">
        <f t="shared" si="81"/>
        <v>0</v>
      </c>
      <c r="J735" t="s">
        <v>546</v>
      </c>
      <c r="K735" s="5">
        <v>5</v>
      </c>
      <c r="L735" t="str">
        <f>Table_DataFromNL[[#This Row],[PROFILECODE]]&amp;"-"&amp;Table_DataFromNL[[#This Row],[RULENAME]]</f>
        <v>CP184-College ID Standard Bonus</v>
      </c>
      <c r="M735" t="e">
        <f t="shared" si="82"/>
        <v>#N/A</v>
      </c>
    </row>
    <row r="736" spans="1:13" x14ac:dyDescent="0.25">
      <c r="A736" t="str">
        <f t="shared" si="83"/>
        <v>CP184-Military ID</v>
      </c>
      <c r="B736" t="s">
        <v>136</v>
      </c>
      <c r="C736" t="str">
        <f t="shared" si="77"/>
        <v>Copperas Cove</v>
      </c>
      <c r="D736" t="str">
        <f t="shared" si="78"/>
        <v>Y</v>
      </c>
      <c r="E736" t="s">
        <v>616</v>
      </c>
      <c r="F736" t="str">
        <f t="shared" si="79"/>
        <v>Military ID</v>
      </c>
      <c r="G736">
        <f t="shared" si="80"/>
        <v>0</v>
      </c>
      <c r="H736" t="s">
        <v>554</v>
      </c>
      <c r="I736">
        <f t="shared" si="81"/>
        <v>0</v>
      </c>
      <c r="J736" t="s">
        <v>546</v>
      </c>
      <c r="K736" s="5">
        <v>5</v>
      </c>
      <c r="L736" t="str">
        <f>Table_DataFromNL[[#This Row],[PROFILECODE]]&amp;"-"&amp;Table_DataFromNL[[#This Row],[RULENAME]]</f>
        <v>CP184-Military ID</v>
      </c>
      <c r="M736" t="e">
        <f t="shared" si="82"/>
        <v>#N/A</v>
      </c>
    </row>
    <row r="737" spans="1:13" x14ac:dyDescent="0.25">
      <c r="A737" t="str">
        <f t="shared" si="83"/>
        <v>CP184-NEW DONOR -1st</v>
      </c>
      <c r="B737" t="s">
        <v>136</v>
      </c>
      <c r="C737" t="str">
        <f t="shared" si="77"/>
        <v>Copperas Cove</v>
      </c>
      <c r="D737" t="str">
        <f t="shared" si="78"/>
        <v>Y</v>
      </c>
      <c r="E737" t="s">
        <v>616</v>
      </c>
      <c r="F737" t="str">
        <f t="shared" si="79"/>
        <v>NEW DONOR -1st</v>
      </c>
      <c r="G737" t="str">
        <f t="shared" si="80"/>
        <v>Marketing</v>
      </c>
      <c r="H737" t="s">
        <v>555</v>
      </c>
      <c r="I737">
        <f t="shared" si="81"/>
        <v>1</v>
      </c>
      <c r="J737" t="s">
        <v>546</v>
      </c>
      <c r="K737" s="5">
        <v>60</v>
      </c>
      <c r="L737" t="str">
        <f>Table_DataFromNL[[#This Row],[PROFILECODE]]&amp;"-"&amp;Table_DataFromNL[[#This Row],[RULENAME]]</f>
        <v>CP184-New Donor 1st Visit-Bonus</v>
      </c>
      <c r="M737" t="str">
        <f t="shared" si="82"/>
        <v>CP184-NEW DONOR -1st</v>
      </c>
    </row>
    <row r="738" spans="1:13" x14ac:dyDescent="0.25">
      <c r="A738" t="str">
        <f t="shared" si="83"/>
        <v>CP184-NEW DONOR -2nd</v>
      </c>
      <c r="B738" t="s">
        <v>136</v>
      </c>
      <c r="C738" t="str">
        <f t="shared" si="77"/>
        <v>Copperas Cove</v>
      </c>
      <c r="D738" t="str">
        <f t="shared" si="78"/>
        <v>Y</v>
      </c>
      <c r="E738" t="s">
        <v>616</v>
      </c>
      <c r="F738" t="str">
        <f t="shared" si="79"/>
        <v>NEW DONOR -2nd</v>
      </c>
      <c r="G738" t="str">
        <f t="shared" si="80"/>
        <v>Marketing</v>
      </c>
      <c r="H738" t="s">
        <v>556</v>
      </c>
      <c r="I738">
        <f t="shared" si="81"/>
        <v>2</v>
      </c>
      <c r="J738" t="s">
        <v>546</v>
      </c>
      <c r="K738" s="5">
        <v>60</v>
      </c>
      <c r="L738" t="str">
        <f>Table_DataFromNL[[#This Row],[PROFILECODE]]&amp;"-"&amp;Table_DataFromNL[[#This Row],[RULENAME]]</f>
        <v>CP184-New Donor 2nd Visit-Bonus</v>
      </c>
      <c r="M738" t="str">
        <f t="shared" si="82"/>
        <v>CP184-NEW DONOR -2nd</v>
      </c>
    </row>
    <row r="739" spans="1:13" x14ac:dyDescent="0.25">
      <c r="A739" t="str">
        <f t="shared" si="83"/>
        <v>CP184-NEW DONOR -3rd</v>
      </c>
      <c r="B739" t="s">
        <v>136</v>
      </c>
      <c r="C739" t="str">
        <f t="shared" si="77"/>
        <v>Copperas Cove</v>
      </c>
      <c r="D739" t="str">
        <f t="shared" si="78"/>
        <v>Y</v>
      </c>
      <c r="E739" t="s">
        <v>616</v>
      </c>
      <c r="F739" t="str">
        <f t="shared" si="79"/>
        <v>NEW DONOR -3rd</v>
      </c>
      <c r="G739" t="str">
        <f t="shared" si="80"/>
        <v>Marketing</v>
      </c>
      <c r="H739" t="s">
        <v>557</v>
      </c>
      <c r="I739">
        <f t="shared" si="81"/>
        <v>3</v>
      </c>
      <c r="J739" t="s">
        <v>546</v>
      </c>
      <c r="K739" s="5">
        <v>60</v>
      </c>
      <c r="L739" t="str">
        <f>Table_DataFromNL[[#This Row],[PROFILECODE]]&amp;"-"&amp;Table_DataFromNL[[#This Row],[RULENAME]]</f>
        <v>CP184-New Donor 3rd Visit-Bonus</v>
      </c>
      <c r="M739" t="str">
        <f t="shared" si="82"/>
        <v>CP184-NEW DONOR -3rd</v>
      </c>
    </row>
    <row r="740" spans="1:13" x14ac:dyDescent="0.25">
      <c r="A740" t="str">
        <f t="shared" si="83"/>
        <v>CP184-NEW DONOR -4th</v>
      </c>
      <c r="B740" t="s">
        <v>136</v>
      </c>
      <c r="C740" t="str">
        <f t="shared" si="77"/>
        <v>Copperas Cove</v>
      </c>
      <c r="D740" t="str">
        <f t="shared" si="78"/>
        <v>Y</v>
      </c>
      <c r="E740" t="s">
        <v>616</v>
      </c>
      <c r="F740" t="str">
        <f t="shared" si="79"/>
        <v>NEW DONOR -4th</v>
      </c>
      <c r="G740" t="str">
        <f t="shared" si="80"/>
        <v>Marketing</v>
      </c>
      <c r="H740" t="s">
        <v>558</v>
      </c>
      <c r="I740">
        <f t="shared" si="81"/>
        <v>4</v>
      </c>
      <c r="J740" t="s">
        <v>546</v>
      </c>
      <c r="K740" s="5">
        <v>60</v>
      </c>
      <c r="L740" t="str">
        <f>Table_DataFromNL[[#This Row],[PROFILECODE]]&amp;"-"&amp;Table_DataFromNL[[#This Row],[RULENAME]]</f>
        <v>CP184-New Donor 4th Visit-Bonus</v>
      </c>
      <c r="M740" t="str">
        <f t="shared" si="82"/>
        <v>CP184-NEW DONOR -4th</v>
      </c>
    </row>
    <row r="741" spans="1:13" x14ac:dyDescent="0.25">
      <c r="A741" t="str">
        <f t="shared" si="83"/>
        <v>CP184-NEW DONOR -5th</v>
      </c>
      <c r="B741" t="s">
        <v>136</v>
      </c>
      <c r="C741" t="str">
        <f t="shared" si="77"/>
        <v>Copperas Cove</v>
      </c>
      <c r="D741" t="str">
        <f t="shared" si="78"/>
        <v>Y</v>
      </c>
      <c r="E741" t="s">
        <v>616</v>
      </c>
      <c r="F741" t="str">
        <f t="shared" si="79"/>
        <v>NEW DONOR -5th</v>
      </c>
      <c r="G741" t="str">
        <f t="shared" si="80"/>
        <v>Marketing</v>
      </c>
      <c r="H741" t="s">
        <v>559</v>
      </c>
      <c r="I741">
        <f t="shared" si="81"/>
        <v>5</v>
      </c>
      <c r="J741" t="s">
        <v>546</v>
      </c>
      <c r="K741" s="5">
        <v>60</v>
      </c>
      <c r="L741" t="str">
        <f>Table_DataFromNL[[#This Row],[PROFILECODE]]&amp;"-"&amp;Table_DataFromNL[[#This Row],[RULENAME]]</f>
        <v>CP184-New Donor 5th Visit-Bonus</v>
      </c>
      <c r="M741" t="str">
        <f t="shared" si="82"/>
        <v>CP184-NEW DONOR -5th</v>
      </c>
    </row>
    <row r="742" spans="1:13" x14ac:dyDescent="0.25">
      <c r="A742" t="str">
        <f t="shared" si="83"/>
        <v>CP184-NEW DONOR -6th</v>
      </c>
      <c r="B742" t="s">
        <v>136</v>
      </c>
      <c r="C742" t="str">
        <f t="shared" si="77"/>
        <v>Copperas Cove</v>
      </c>
      <c r="D742" t="str">
        <f t="shared" si="78"/>
        <v>Y</v>
      </c>
      <c r="E742" t="s">
        <v>616</v>
      </c>
      <c r="F742" t="str">
        <f t="shared" si="79"/>
        <v>NEW DONOR -6th</v>
      </c>
      <c r="G742" t="str">
        <f t="shared" si="80"/>
        <v>Marketing</v>
      </c>
      <c r="H742" t="s">
        <v>560</v>
      </c>
      <c r="I742">
        <f t="shared" si="81"/>
        <v>6</v>
      </c>
      <c r="J742" t="s">
        <v>546</v>
      </c>
      <c r="K742" s="5">
        <v>60</v>
      </c>
      <c r="L742" t="str">
        <f>Table_DataFromNL[[#This Row],[PROFILECODE]]&amp;"-"&amp;Table_DataFromNL[[#This Row],[RULENAME]]</f>
        <v>CP184-New Donor 6th Visit-Bonus</v>
      </c>
      <c r="M742" t="str">
        <f t="shared" si="82"/>
        <v>CP184-NEW DONOR -6th</v>
      </c>
    </row>
    <row r="743" spans="1:13" x14ac:dyDescent="0.25">
      <c r="A743" t="str">
        <f t="shared" si="83"/>
        <v>CP184-NEW DONOR -7th</v>
      </c>
      <c r="B743" t="s">
        <v>136</v>
      </c>
      <c r="C743" t="str">
        <f t="shared" si="77"/>
        <v>Copperas Cove</v>
      </c>
      <c r="D743" t="str">
        <f t="shared" si="78"/>
        <v>Y</v>
      </c>
      <c r="E743" t="s">
        <v>616</v>
      </c>
      <c r="F743" t="str">
        <f t="shared" si="79"/>
        <v>NEW DONOR -7th</v>
      </c>
      <c r="G743" t="str">
        <f t="shared" si="80"/>
        <v>Marketing</v>
      </c>
      <c r="H743" t="s">
        <v>561</v>
      </c>
      <c r="I743">
        <f t="shared" si="81"/>
        <v>7</v>
      </c>
      <c r="J743" t="s">
        <v>546</v>
      </c>
      <c r="K743" s="5">
        <v>60</v>
      </c>
      <c r="L743" t="str">
        <f>Table_DataFromNL[[#This Row],[PROFILECODE]]&amp;"-"&amp;Table_DataFromNL[[#This Row],[RULENAME]]</f>
        <v>CP184-New Donor 7th Visit-Bonus</v>
      </c>
      <c r="M743" t="str">
        <f t="shared" si="82"/>
        <v>CP184-NEW DONOR -7th</v>
      </c>
    </row>
    <row r="744" spans="1:13" x14ac:dyDescent="0.25">
      <c r="A744" t="str">
        <f t="shared" si="83"/>
        <v>CP184-NEW DONOR -8th</v>
      </c>
      <c r="B744" t="s">
        <v>136</v>
      </c>
      <c r="C744" t="str">
        <f t="shared" si="77"/>
        <v>Copperas Cove</v>
      </c>
      <c r="D744" t="str">
        <f t="shared" si="78"/>
        <v>Y</v>
      </c>
      <c r="E744" t="s">
        <v>616</v>
      </c>
      <c r="F744" t="str">
        <f t="shared" si="79"/>
        <v>NEW DONOR -8th</v>
      </c>
      <c r="G744" t="str">
        <f t="shared" si="80"/>
        <v>Marketing</v>
      </c>
      <c r="H744" t="s">
        <v>562</v>
      </c>
      <c r="I744">
        <f t="shared" si="81"/>
        <v>8</v>
      </c>
      <c r="J744" t="s">
        <v>546</v>
      </c>
      <c r="K744" s="5">
        <v>60</v>
      </c>
      <c r="L744" t="str">
        <f>Table_DataFromNL[[#This Row],[PROFILECODE]]&amp;"-"&amp;Table_DataFromNL[[#This Row],[RULENAME]]</f>
        <v>CP184-New Donor 8th Visit-Bonus</v>
      </c>
      <c r="M744" t="str">
        <f t="shared" si="82"/>
        <v>CP184-NEW DONOR -8th</v>
      </c>
    </row>
    <row r="745" spans="1:13" x14ac:dyDescent="0.25">
      <c r="A745" t="str">
        <f t="shared" si="83"/>
        <v>CP184-Vaccinia - 1st Donation</v>
      </c>
      <c r="B745" t="s">
        <v>136</v>
      </c>
      <c r="C745" t="str">
        <f t="shared" si="77"/>
        <v>Copperas Cove</v>
      </c>
      <c r="D745" t="str">
        <f t="shared" si="78"/>
        <v>Y</v>
      </c>
      <c r="E745" t="s">
        <v>616</v>
      </c>
      <c r="F745" t="str">
        <f t="shared" si="79"/>
        <v>Vaccinia - 1st Donation</v>
      </c>
      <c r="G745" t="str">
        <f t="shared" si="80"/>
        <v>Specialty</v>
      </c>
      <c r="H745" t="s">
        <v>477</v>
      </c>
      <c r="I745">
        <f t="shared" si="81"/>
        <v>0</v>
      </c>
      <c r="J745" t="s">
        <v>546</v>
      </c>
      <c r="K745" s="5">
        <v>150</v>
      </c>
      <c r="L745" t="str">
        <f>Table_DataFromNL[[#This Row],[PROFILECODE]]&amp;"-"&amp;Table_DataFromNL[[#This Row],[RULENAME]]</f>
        <v>CP184-Vaccinia - 1st Donation</v>
      </c>
      <c r="M745" t="str">
        <f t="shared" si="82"/>
        <v>CP184-Vaccinia - 1st Donation</v>
      </c>
    </row>
    <row r="746" spans="1:13" x14ac:dyDescent="0.25">
      <c r="A746" t="str">
        <f t="shared" si="83"/>
        <v>CP184-Vaccinia - 2nd Donation</v>
      </c>
      <c r="B746" t="s">
        <v>136</v>
      </c>
      <c r="C746" t="str">
        <f t="shared" si="77"/>
        <v>Copperas Cove</v>
      </c>
      <c r="D746" t="str">
        <f t="shared" si="78"/>
        <v>Y</v>
      </c>
      <c r="E746" t="s">
        <v>616</v>
      </c>
      <c r="F746" t="str">
        <f t="shared" si="79"/>
        <v>Vaccinia - 2nd Donation</v>
      </c>
      <c r="G746" t="str">
        <f t="shared" si="80"/>
        <v>Specialty</v>
      </c>
      <c r="H746" t="s">
        <v>478</v>
      </c>
      <c r="I746">
        <f t="shared" si="81"/>
        <v>0</v>
      </c>
      <c r="J746" t="s">
        <v>546</v>
      </c>
      <c r="K746" s="5">
        <v>250</v>
      </c>
      <c r="L746" t="str">
        <f>Table_DataFromNL[[#This Row],[PROFILECODE]]&amp;"-"&amp;Table_DataFromNL[[#This Row],[RULENAME]]</f>
        <v>CP184-Vaccinia - 2nd Donation</v>
      </c>
      <c r="M746" t="str">
        <f t="shared" si="82"/>
        <v>CP184-Vaccinia - 2nd Donation</v>
      </c>
    </row>
    <row r="747" spans="1:13" x14ac:dyDescent="0.25">
      <c r="A747" t="str">
        <f t="shared" si="83"/>
        <v>CP184-Vaccinia - 3rd Donation</v>
      </c>
      <c r="B747" t="s">
        <v>136</v>
      </c>
      <c r="C747" t="str">
        <f t="shared" si="77"/>
        <v>Copperas Cove</v>
      </c>
      <c r="D747" t="str">
        <f t="shared" si="78"/>
        <v>Y</v>
      </c>
      <c r="E747" t="s">
        <v>616</v>
      </c>
      <c r="F747" t="str">
        <f t="shared" si="79"/>
        <v>Vaccinia - 3rd Donation</v>
      </c>
      <c r="G747" t="str">
        <f t="shared" si="80"/>
        <v>Specialty</v>
      </c>
      <c r="H747" t="s">
        <v>479</v>
      </c>
      <c r="I747">
        <f t="shared" si="81"/>
        <v>0</v>
      </c>
      <c r="J747" t="s">
        <v>546</v>
      </c>
      <c r="K747" s="5">
        <v>300</v>
      </c>
      <c r="L747" t="str">
        <f>Table_DataFromNL[[#This Row],[PROFILECODE]]&amp;"-"&amp;Table_DataFromNL[[#This Row],[RULENAME]]</f>
        <v>CP184-Vaccinia - 3rd Donation</v>
      </c>
      <c r="M747" t="str">
        <f t="shared" si="82"/>
        <v>CP184-Vaccinia - 3rd Donation</v>
      </c>
    </row>
    <row r="748" spans="1:13" x14ac:dyDescent="0.25">
      <c r="A748" t="str">
        <f t="shared" si="83"/>
        <v>CP184-Vaccinia - 4th Donation</v>
      </c>
      <c r="B748" t="s">
        <v>136</v>
      </c>
      <c r="C748" t="str">
        <f t="shared" si="77"/>
        <v>Copperas Cove</v>
      </c>
      <c r="D748" t="str">
        <f t="shared" si="78"/>
        <v>Y</v>
      </c>
      <c r="E748" t="s">
        <v>616</v>
      </c>
      <c r="F748" t="str">
        <f t="shared" si="79"/>
        <v>Vaccinia - 4th Donation</v>
      </c>
      <c r="G748" t="str">
        <f t="shared" si="80"/>
        <v>Specialty</v>
      </c>
      <c r="H748" t="s">
        <v>480</v>
      </c>
      <c r="I748">
        <f t="shared" si="81"/>
        <v>0</v>
      </c>
      <c r="J748" t="s">
        <v>546</v>
      </c>
      <c r="K748" s="5">
        <v>300</v>
      </c>
      <c r="L748" t="str">
        <f>Table_DataFromNL[[#This Row],[PROFILECODE]]&amp;"-"&amp;Table_DataFromNL[[#This Row],[RULENAME]]</f>
        <v>CP184-Vaccinia - 4th Donation</v>
      </c>
      <c r="M748" t="str">
        <f t="shared" si="82"/>
        <v>CP184-Vaccinia - 4th Donation</v>
      </c>
    </row>
    <row r="749" spans="1:13" x14ac:dyDescent="0.25">
      <c r="A749" t="str">
        <f t="shared" si="83"/>
        <v>CP184-Vaccinia AP - 1st Donation</v>
      </c>
      <c r="B749" t="s">
        <v>136</v>
      </c>
      <c r="C749" t="str">
        <f t="shared" si="77"/>
        <v>Copperas Cove</v>
      </c>
      <c r="D749" t="str">
        <f t="shared" si="78"/>
        <v>Y</v>
      </c>
      <c r="E749" t="s">
        <v>616</v>
      </c>
      <c r="F749" t="str">
        <f t="shared" si="79"/>
        <v>Vaccinia AP - 1st Donation</v>
      </c>
      <c r="G749" t="str">
        <f t="shared" si="80"/>
        <v>Specialty</v>
      </c>
      <c r="H749" t="s">
        <v>481</v>
      </c>
      <c r="I749">
        <f t="shared" si="81"/>
        <v>0</v>
      </c>
      <c r="J749" t="s">
        <v>546</v>
      </c>
      <c r="K749" s="5">
        <v>150</v>
      </c>
      <c r="L749" t="str">
        <f>Table_DataFromNL[[#This Row],[PROFILECODE]]&amp;"-"&amp;Table_DataFromNL[[#This Row],[RULENAME]]</f>
        <v>CP184-Vaccinia AP - 1st Donation</v>
      </c>
      <c r="M749" t="str">
        <f t="shared" si="82"/>
        <v>CP184-Vaccinia AP - 1st Donation</v>
      </c>
    </row>
    <row r="750" spans="1:13" x14ac:dyDescent="0.25">
      <c r="A750" t="str">
        <f t="shared" si="83"/>
        <v>CP184-Vaccinia AP - 2nd Donation</v>
      </c>
      <c r="B750" t="s">
        <v>136</v>
      </c>
      <c r="C750" t="str">
        <f t="shared" si="77"/>
        <v>Copperas Cove</v>
      </c>
      <c r="D750" t="str">
        <f t="shared" si="78"/>
        <v>Y</v>
      </c>
      <c r="E750" t="s">
        <v>616</v>
      </c>
      <c r="F750" t="str">
        <f t="shared" si="79"/>
        <v>Vaccinia AP - 2nd Donation</v>
      </c>
      <c r="G750" t="str">
        <f t="shared" si="80"/>
        <v>Specialty</v>
      </c>
      <c r="H750" t="s">
        <v>482</v>
      </c>
      <c r="I750">
        <f t="shared" si="81"/>
        <v>0</v>
      </c>
      <c r="J750" t="s">
        <v>546</v>
      </c>
      <c r="K750" s="5">
        <v>250</v>
      </c>
      <c r="L750" t="str">
        <f>Table_DataFromNL[[#This Row],[PROFILECODE]]&amp;"-"&amp;Table_DataFromNL[[#This Row],[RULENAME]]</f>
        <v>CP184-Vaccinia AP - 2nd Donation</v>
      </c>
      <c r="M750" t="str">
        <f t="shared" si="82"/>
        <v>CP184-Vaccinia AP - 2nd Donation</v>
      </c>
    </row>
    <row r="751" spans="1:13" x14ac:dyDescent="0.25">
      <c r="A751" t="str">
        <f t="shared" si="83"/>
        <v>CP184-Vaccinia AP - 3rd Donation</v>
      </c>
      <c r="B751" t="s">
        <v>136</v>
      </c>
      <c r="C751" t="str">
        <f t="shared" si="77"/>
        <v>Copperas Cove</v>
      </c>
      <c r="D751" t="str">
        <f t="shared" si="78"/>
        <v>Y</v>
      </c>
      <c r="E751" t="s">
        <v>616</v>
      </c>
      <c r="F751" t="str">
        <f t="shared" si="79"/>
        <v>Vaccinia AP - 3rd Donation</v>
      </c>
      <c r="G751" t="str">
        <f t="shared" si="80"/>
        <v>Specialty</v>
      </c>
      <c r="H751" t="s">
        <v>483</v>
      </c>
      <c r="I751">
        <f t="shared" si="81"/>
        <v>0</v>
      </c>
      <c r="J751" t="s">
        <v>546</v>
      </c>
      <c r="K751" s="5">
        <v>300</v>
      </c>
      <c r="L751" t="str">
        <f>Table_DataFromNL[[#This Row],[PROFILECODE]]&amp;"-"&amp;Table_DataFromNL[[#This Row],[RULENAME]]</f>
        <v>CP184-Vaccinia AP - 3rd Donation</v>
      </c>
      <c r="M751" t="str">
        <f t="shared" si="82"/>
        <v>CP184-Vaccinia AP - 3rd Donation</v>
      </c>
    </row>
    <row r="752" spans="1:13" x14ac:dyDescent="0.25">
      <c r="A752" t="str">
        <f t="shared" si="83"/>
        <v>CP184-Vaccinia AP - 4th Donation</v>
      </c>
      <c r="B752" t="s">
        <v>136</v>
      </c>
      <c r="C752" t="str">
        <f t="shared" si="77"/>
        <v>Copperas Cove</v>
      </c>
      <c r="D752" t="str">
        <f t="shared" si="78"/>
        <v>Y</v>
      </c>
      <c r="E752" t="s">
        <v>616</v>
      </c>
      <c r="F752" t="str">
        <f t="shared" si="79"/>
        <v>Vaccinia AP - 4th Donation</v>
      </c>
      <c r="G752" t="str">
        <f t="shared" si="80"/>
        <v>Specialty</v>
      </c>
      <c r="H752" t="s">
        <v>484</v>
      </c>
      <c r="I752">
        <f t="shared" si="81"/>
        <v>0</v>
      </c>
      <c r="J752" t="s">
        <v>546</v>
      </c>
      <c r="K752" s="5">
        <v>300</v>
      </c>
      <c r="L752" t="str">
        <f>Table_DataFromNL[[#This Row],[PROFILECODE]]&amp;"-"&amp;Table_DataFromNL[[#This Row],[RULENAME]]</f>
        <v>CP184-Vaccinia AP - 4th Donation</v>
      </c>
      <c r="M752" t="str">
        <f t="shared" si="82"/>
        <v>CP184-Vaccinia AP - 4th Donation</v>
      </c>
    </row>
    <row r="753" spans="1:13" x14ac:dyDescent="0.25">
      <c r="A753" t="str">
        <f t="shared" si="83"/>
        <v>CP184-Community</v>
      </c>
      <c r="B753" t="s">
        <v>136</v>
      </c>
      <c r="C753" t="str">
        <f t="shared" si="77"/>
        <v>Copperas Cove</v>
      </c>
      <c r="D753" t="str">
        <f t="shared" si="78"/>
        <v>Y</v>
      </c>
      <c r="E753" t="s">
        <v>616</v>
      </c>
      <c r="F753" t="str">
        <f t="shared" si="79"/>
        <v>Community</v>
      </c>
      <c r="G753">
        <f t="shared" si="80"/>
        <v>0</v>
      </c>
      <c r="H753" t="s">
        <v>563</v>
      </c>
      <c r="I753">
        <f t="shared" si="81"/>
        <v>0</v>
      </c>
      <c r="J753" t="s">
        <v>564</v>
      </c>
      <c r="K753" s="5">
        <v>5</v>
      </c>
      <c r="L753" t="str">
        <f>Table_DataFromNL[[#This Row],[PROFILECODE]]&amp;"-"&amp;Table_DataFromNL[[#This Row],[RULENAME]]</f>
        <v>CP184-Community</v>
      </c>
      <c r="M753" t="e">
        <f t="shared" si="82"/>
        <v>#N/A</v>
      </c>
    </row>
    <row r="754" spans="1:13" x14ac:dyDescent="0.25">
      <c r="A754" t="str">
        <f t="shared" si="83"/>
        <v>CP184-HANGER_RECRUIT_5USD_once</v>
      </c>
      <c r="B754" t="s">
        <v>136</v>
      </c>
      <c r="C754" t="str">
        <f t="shared" si="77"/>
        <v>Copperas Cove</v>
      </c>
      <c r="D754" t="str">
        <f t="shared" si="78"/>
        <v>Y</v>
      </c>
      <c r="E754" t="s">
        <v>616</v>
      </c>
      <c r="F754" t="str">
        <f t="shared" si="79"/>
        <v>HANGER_RECRUIT_5USD_once</v>
      </c>
      <c r="G754">
        <f t="shared" si="80"/>
        <v>0</v>
      </c>
      <c r="H754" t="s">
        <v>565</v>
      </c>
      <c r="I754">
        <f t="shared" si="81"/>
        <v>0</v>
      </c>
      <c r="J754" t="s">
        <v>564</v>
      </c>
      <c r="K754" s="5">
        <v>5</v>
      </c>
      <c r="L754" t="str">
        <f>Table_DataFromNL[[#This Row],[PROFILECODE]]&amp;"-"&amp;Table_DataFromNL[[#This Row],[RULENAME]]</f>
        <v>CP184-HANGER_RECRUIT_5USD_once</v>
      </c>
      <c r="M754" t="e">
        <f t="shared" si="82"/>
        <v>#N/A</v>
      </c>
    </row>
    <row r="755" spans="1:13" x14ac:dyDescent="0.25">
      <c r="A755" t="str">
        <f t="shared" si="83"/>
        <v>CP184-Immunization Boost Payment</v>
      </c>
      <c r="B755" t="s">
        <v>136</v>
      </c>
      <c r="C755" t="str">
        <f t="shared" si="77"/>
        <v>Copperas Cove</v>
      </c>
      <c r="D755" t="str">
        <f t="shared" si="78"/>
        <v>Y</v>
      </c>
      <c r="E755" t="s">
        <v>616</v>
      </c>
      <c r="F755" t="str">
        <f t="shared" si="79"/>
        <v>Immunization Boost Payment</v>
      </c>
      <c r="G755">
        <f t="shared" si="80"/>
        <v>0</v>
      </c>
      <c r="H755" t="s">
        <v>598</v>
      </c>
      <c r="I755">
        <f t="shared" si="81"/>
        <v>0</v>
      </c>
      <c r="J755" t="s">
        <v>564</v>
      </c>
      <c r="K755" s="5">
        <v>50</v>
      </c>
      <c r="L755" t="str">
        <f>Table_DataFromNL[[#This Row],[PROFILECODE]]&amp;"-"&amp;Table_DataFromNL[[#This Row],[RULENAME]]</f>
        <v>CP184-Immunization Boost Payment</v>
      </c>
      <c r="M755" t="e">
        <f t="shared" si="82"/>
        <v>#N/A</v>
      </c>
    </row>
    <row r="756" spans="1:13" x14ac:dyDescent="0.25">
      <c r="A756" t="str">
        <f t="shared" si="83"/>
        <v>CP184-Immunization Series Payment</v>
      </c>
      <c r="B756" t="s">
        <v>136</v>
      </c>
      <c r="C756" t="str">
        <f t="shared" si="77"/>
        <v>Copperas Cove</v>
      </c>
      <c r="D756" t="str">
        <f t="shared" si="78"/>
        <v>Y</v>
      </c>
      <c r="E756" t="s">
        <v>616</v>
      </c>
      <c r="F756" t="str">
        <f t="shared" si="79"/>
        <v>Immunization Series Payment</v>
      </c>
      <c r="G756">
        <f t="shared" si="80"/>
        <v>0</v>
      </c>
      <c r="H756" t="s">
        <v>599</v>
      </c>
      <c r="I756">
        <f t="shared" si="81"/>
        <v>0</v>
      </c>
      <c r="J756" t="s">
        <v>564</v>
      </c>
      <c r="K756" s="5">
        <v>100</v>
      </c>
      <c r="L756" t="str">
        <f>Table_DataFromNL[[#This Row],[PROFILECODE]]&amp;"-"&amp;Table_DataFromNL[[#This Row],[RULENAME]]</f>
        <v>CP184-Immunization Series Payment</v>
      </c>
      <c r="M756" t="e">
        <f t="shared" si="82"/>
        <v>#N/A</v>
      </c>
    </row>
    <row r="757" spans="1:13" x14ac:dyDescent="0.25">
      <c r="A757" t="str">
        <f t="shared" si="83"/>
        <v>CP184-Inconv Fee $20-$50-Comment Req'd</v>
      </c>
      <c r="B757" t="s">
        <v>136</v>
      </c>
      <c r="C757" t="str">
        <f t="shared" si="77"/>
        <v>Copperas Cove</v>
      </c>
      <c r="D757" t="str">
        <f t="shared" si="78"/>
        <v>Y</v>
      </c>
      <c r="E757" t="s">
        <v>616</v>
      </c>
      <c r="F757" t="str">
        <f t="shared" si="79"/>
        <v>Inconv Fee $20-$50-Comment Req'd</v>
      </c>
      <c r="G757">
        <f t="shared" si="80"/>
        <v>0</v>
      </c>
      <c r="H757" t="s">
        <v>566</v>
      </c>
      <c r="I757">
        <f t="shared" si="81"/>
        <v>0</v>
      </c>
      <c r="J757" t="s">
        <v>564</v>
      </c>
      <c r="K757" s="5">
        <v>50</v>
      </c>
      <c r="L757" t="str">
        <f>Table_DataFromNL[[#This Row],[PROFILECODE]]&amp;"-"&amp;Table_DataFromNL[[#This Row],[RULENAME]]</f>
        <v>CP184-Inconv Fee $20-$50-Comment Req'd</v>
      </c>
      <c r="M757" t="e">
        <f t="shared" si="82"/>
        <v>#N/A</v>
      </c>
    </row>
    <row r="758" spans="1:13" x14ac:dyDescent="0.25">
      <c r="A758" t="str">
        <f t="shared" si="83"/>
        <v>CP184-Inconv Fee $5-$20-Comment Req'd</v>
      </c>
      <c r="B758" t="s">
        <v>136</v>
      </c>
      <c r="C758" t="str">
        <f t="shared" si="77"/>
        <v>Copperas Cove</v>
      </c>
      <c r="D758" t="str">
        <f t="shared" si="78"/>
        <v>Y</v>
      </c>
      <c r="E758" t="s">
        <v>616</v>
      </c>
      <c r="F758" t="str">
        <f t="shared" si="79"/>
        <v>Inconv Fee $5-$20-Comment Req'd</v>
      </c>
      <c r="G758">
        <f t="shared" si="80"/>
        <v>0</v>
      </c>
      <c r="H758" t="s">
        <v>567</v>
      </c>
      <c r="I758">
        <f t="shared" si="81"/>
        <v>0</v>
      </c>
      <c r="J758" t="s">
        <v>564</v>
      </c>
      <c r="K758" s="5">
        <v>20</v>
      </c>
      <c r="L758" t="str">
        <f>Table_DataFromNL[[#This Row],[PROFILECODE]]&amp;"-"&amp;Table_DataFromNL[[#This Row],[RULENAME]]</f>
        <v>CP184-Inconv Fee $5-$20-Comment Req'd</v>
      </c>
      <c r="M758" t="e">
        <f t="shared" si="82"/>
        <v>#N/A</v>
      </c>
    </row>
    <row r="759" spans="1:13" x14ac:dyDescent="0.25">
      <c r="A759" t="str">
        <f t="shared" si="83"/>
        <v>CP184-Inconv Fee$50-$100-Comment Req'd</v>
      </c>
      <c r="B759" t="s">
        <v>136</v>
      </c>
      <c r="C759" t="str">
        <f t="shared" si="77"/>
        <v>Copperas Cove</v>
      </c>
      <c r="D759" t="str">
        <f t="shared" si="78"/>
        <v>Y</v>
      </c>
      <c r="E759" t="s">
        <v>616</v>
      </c>
      <c r="F759" t="str">
        <f t="shared" si="79"/>
        <v>Inconv Fee$50-$100-Comment Req'd</v>
      </c>
      <c r="G759">
        <f t="shared" si="80"/>
        <v>0</v>
      </c>
      <c r="H759" t="s">
        <v>568</v>
      </c>
      <c r="I759">
        <f t="shared" si="81"/>
        <v>0</v>
      </c>
      <c r="J759" t="s">
        <v>564</v>
      </c>
      <c r="K759" s="5">
        <v>100</v>
      </c>
      <c r="L759" t="str">
        <f>Table_DataFromNL[[#This Row],[PROFILECODE]]&amp;"-"&amp;Table_DataFromNL[[#This Row],[RULENAME]]</f>
        <v>CP184-Inconv Fee$50-$100-Comment Req'd</v>
      </c>
      <c r="M759" t="e">
        <f t="shared" si="82"/>
        <v>#N/A</v>
      </c>
    </row>
    <row r="760" spans="1:13" x14ac:dyDescent="0.25">
      <c r="A760" t="str">
        <f t="shared" si="83"/>
        <v>CP184-NSP_ LAPSEDONOR_50_Twice</v>
      </c>
      <c r="B760" t="s">
        <v>136</v>
      </c>
      <c r="C760" t="str">
        <f t="shared" si="77"/>
        <v>Copperas Cove</v>
      </c>
      <c r="D760" t="str">
        <f t="shared" si="78"/>
        <v>Y</v>
      </c>
      <c r="E760" t="s">
        <v>616</v>
      </c>
      <c r="F760" t="str">
        <f t="shared" si="79"/>
        <v>NSP_ LAPSEDONOR_50_Twice</v>
      </c>
      <c r="G760">
        <f t="shared" si="80"/>
        <v>0</v>
      </c>
      <c r="H760" t="s">
        <v>569</v>
      </c>
      <c r="I760">
        <f t="shared" si="81"/>
        <v>0</v>
      </c>
      <c r="J760" t="s">
        <v>564</v>
      </c>
      <c r="K760" s="5">
        <v>50</v>
      </c>
      <c r="L760" t="str">
        <f>Table_DataFromNL[[#This Row],[PROFILECODE]]&amp;"-"&amp;Table_DataFromNL[[#This Row],[RULENAME]]</f>
        <v>CP184-NSP_ LAPSEDONOR_50_Twice</v>
      </c>
      <c r="M760" t="e">
        <f t="shared" si="82"/>
        <v>#N/A</v>
      </c>
    </row>
    <row r="761" spans="1:13" x14ac:dyDescent="0.25">
      <c r="A761" t="str">
        <f t="shared" si="83"/>
        <v>CP184-NSP_LD_25_2X</v>
      </c>
      <c r="B761" t="s">
        <v>136</v>
      </c>
      <c r="C761" t="str">
        <f t="shared" si="77"/>
        <v>Copperas Cove</v>
      </c>
      <c r="D761" t="str">
        <f t="shared" si="78"/>
        <v>Y</v>
      </c>
      <c r="E761" t="s">
        <v>616</v>
      </c>
      <c r="F761" t="str">
        <f t="shared" si="79"/>
        <v>NSP_LD_25_2X</v>
      </c>
      <c r="G761">
        <f t="shared" si="80"/>
        <v>0</v>
      </c>
      <c r="H761" t="s">
        <v>570</v>
      </c>
      <c r="I761">
        <f t="shared" si="81"/>
        <v>0</v>
      </c>
      <c r="J761" t="s">
        <v>564</v>
      </c>
      <c r="K761" s="5">
        <v>25</v>
      </c>
      <c r="L761" t="str">
        <f>Table_DataFromNL[[#This Row],[PROFILECODE]]&amp;"-"&amp;Table_DataFromNL[[#This Row],[RULENAME]]</f>
        <v>CP184-NSP_LD_25_2X</v>
      </c>
      <c r="M761" t="e">
        <f t="shared" si="82"/>
        <v>#N/A</v>
      </c>
    </row>
    <row r="762" spans="1:13" x14ac:dyDescent="0.25">
      <c r="A762" t="str">
        <f t="shared" si="83"/>
        <v>CP184-NSP_LD_50_1X</v>
      </c>
      <c r="B762" t="s">
        <v>136</v>
      </c>
      <c r="C762" t="str">
        <f t="shared" si="77"/>
        <v>Copperas Cove</v>
      </c>
      <c r="D762" t="str">
        <f t="shared" si="78"/>
        <v>Y</v>
      </c>
      <c r="E762" t="s">
        <v>616</v>
      </c>
      <c r="F762" t="str">
        <f t="shared" si="79"/>
        <v>NSP_LD_50_1X</v>
      </c>
      <c r="G762">
        <f t="shared" si="80"/>
        <v>0</v>
      </c>
      <c r="H762" t="s">
        <v>571</v>
      </c>
      <c r="I762">
        <f t="shared" si="81"/>
        <v>0</v>
      </c>
      <c r="J762" t="s">
        <v>564</v>
      </c>
      <c r="K762" s="5">
        <v>50</v>
      </c>
      <c r="L762" t="str">
        <f>Table_DataFromNL[[#This Row],[PROFILECODE]]&amp;"-"&amp;Table_DataFromNL[[#This Row],[RULENAME]]</f>
        <v>CP184-NSP_LD_50_1X</v>
      </c>
      <c r="M762" t="e">
        <f t="shared" si="82"/>
        <v>#N/A</v>
      </c>
    </row>
    <row r="763" spans="1:13" x14ac:dyDescent="0.25">
      <c r="A763" t="str">
        <f t="shared" si="83"/>
        <v>CP184-NSP_ORPHAN_100_once</v>
      </c>
      <c r="B763" t="s">
        <v>136</v>
      </c>
      <c r="C763" t="str">
        <f t="shared" si="77"/>
        <v>Copperas Cove</v>
      </c>
      <c r="D763" t="str">
        <f t="shared" si="78"/>
        <v>Y</v>
      </c>
      <c r="E763" t="s">
        <v>616</v>
      </c>
      <c r="F763" t="str">
        <f t="shared" si="79"/>
        <v>NSP_ORPHAN_100_once</v>
      </c>
      <c r="G763">
        <f t="shared" si="80"/>
        <v>0</v>
      </c>
      <c r="H763" t="s">
        <v>572</v>
      </c>
      <c r="I763">
        <f t="shared" si="81"/>
        <v>0</v>
      </c>
      <c r="J763" t="s">
        <v>564</v>
      </c>
      <c r="K763" s="5">
        <v>100</v>
      </c>
      <c r="L763" t="str">
        <f>Table_DataFromNL[[#This Row],[PROFILECODE]]&amp;"-"&amp;Table_DataFromNL[[#This Row],[RULENAME]]</f>
        <v>CP184-NSP_ORPHAN_100_once</v>
      </c>
      <c r="M763" t="e">
        <f t="shared" si="82"/>
        <v>#N/A</v>
      </c>
    </row>
    <row r="764" spans="1:13" x14ac:dyDescent="0.25">
      <c r="A764" t="str">
        <f t="shared" si="83"/>
        <v>CP184-Referral - Vaccinia</v>
      </c>
      <c r="B764" t="s">
        <v>136</v>
      </c>
      <c r="C764" t="str">
        <f t="shared" si="77"/>
        <v>Copperas Cove</v>
      </c>
      <c r="D764" t="str">
        <f t="shared" si="78"/>
        <v>Y</v>
      </c>
      <c r="E764" t="s">
        <v>616</v>
      </c>
      <c r="F764" t="str">
        <f t="shared" si="79"/>
        <v>Referral - Vaccinia</v>
      </c>
      <c r="G764">
        <f t="shared" si="80"/>
        <v>0</v>
      </c>
      <c r="H764" t="s">
        <v>595</v>
      </c>
      <c r="I764">
        <f t="shared" si="81"/>
        <v>0</v>
      </c>
      <c r="J764" t="s">
        <v>564</v>
      </c>
      <c r="K764" s="5">
        <v>200</v>
      </c>
      <c r="L764" t="str">
        <f>Table_DataFromNL[[#This Row],[PROFILECODE]]&amp;"-"&amp;Table_DataFromNL[[#This Row],[RULENAME]]</f>
        <v>CP184-Referral - Vaccinia</v>
      </c>
      <c r="M764" t="e">
        <f t="shared" si="82"/>
        <v>#N/A</v>
      </c>
    </row>
    <row r="765" spans="1:13" x14ac:dyDescent="0.25">
      <c r="A765" t="str">
        <f t="shared" si="83"/>
        <v>CP184-Restick</v>
      </c>
      <c r="B765" t="s">
        <v>136</v>
      </c>
      <c r="C765" t="str">
        <f t="shared" si="77"/>
        <v>Copperas Cove</v>
      </c>
      <c r="D765" t="str">
        <f t="shared" si="78"/>
        <v>Y</v>
      </c>
      <c r="E765" t="s">
        <v>616</v>
      </c>
      <c r="F765" t="str">
        <f t="shared" si="79"/>
        <v>Restick</v>
      </c>
      <c r="G765">
        <f t="shared" si="80"/>
        <v>0</v>
      </c>
      <c r="H765" t="s">
        <v>573</v>
      </c>
      <c r="I765">
        <f t="shared" si="81"/>
        <v>0</v>
      </c>
      <c r="J765" t="s">
        <v>564</v>
      </c>
      <c r="K765" s="5">
        <v>5</v>
      </c>
      <c r="L765" t="str">
        <f>Table_DataFromNL[[#This Row],[PROFILECODE]]&amp;"-"&amp;Table_DataFromNL[[#This Row],[RULENAME]]</f>
        <v>CP184-Restick</v>
      </c>
      <c r="M765" t="e">
        <f t="shared" si="82"/>
        <v>#N/A</v>
      </c>
    </row>
    <row r="766" spans="1:13" x14ac:dyDescent="0.25">
      <c r="A766" t="str">
        <f t="shared" si="83"/>
        <v>CP184-SCRATCH_100_USD</v>
      </c>
      <c r="B766" t="s">
        <v>136</v>
      </c>
      <c r="C766" t="str">
        <f t="shared" si="77"/>
        <v>Copperas Cove</v>
      </c>
      <c r="D766" t="str">
        <f t="shared" si="78"/>
        <v>Y</v>
      </c>
      <c r="E766" t="s">
        <v>616</v>
      </c>
      <c r="F766" t="str">
        <f t="shared" si="79"/>
        <v>SCRATCH_100_USD</v>
      </c>
      <c r="G766">
        <f t="shared" si="80"/>
        <v>0</v>
      </c>
      <c r="H766" t="s">
        <v>586</v>
      </c>
      <c r="I766">
        <f t="shared" si="81"/>
        <v>0</v>
      </c>
      <c r="J766" t="s">
        <v>564</v>
      </c>
      <c r="K766" s="5">
        <v>100</v>
      </c>
      <c r="L766" t="str">
        <f>Table_DataFromNL[[#This Row],[PROFILECODE]]&amp;"-"&amp;Table_DataFromNL[[#This Row],[RULENAME]]</f>
        <v>CP184-SCRATCH_100_USD</v>
      </c>
      <c r="M766" t="e">
        <f t="shared" si="82"/>
        <v>#N/A</v>
      </c>
    </row>
    <row r="767" spans="1:13" x14ac:dyDescent="0.25">
      <c r="A767" t="str">
        <f t="shared" si="83"/>
        <v>CP184-SCRATCH_10_USD</v>
      </c>
      <c r="B767" t="s">
        <v>136</v>
      </c>
      <c r="C767" t="str">
        <f t="shared" si="77"/>
        <v>Copperas Cove</v>
      </c>
      <c r="D767" t="str">
        <f t="shared" si="78"/>
        <v>Y</v>
      </c>
      <c r="E767" t="s">
        <v>616</v>
      </c>
      <c r="F767" t="str">
        <f t="shared" si="79"/>
        <v>SCRATCH_10_USD</v>
      </c>
      <c r="G767">
        <f t="shared" si="80"/>
        <v>0</v>
      </c>
      <c r="H767" t="s">
        <v>587</v>
      </c>
      <c r="I767">
        <f t="shared" si="81"/>
        <v>0</v>
      </c>
      <c r="J767" t="s">
        <v>564</v>
      </c>
      <c r="K767" s="5">
        <v>10</v>
      </c>
      <c r="L767" t="str">
        <f>Table_DataFromNL[[#This Row],[PROFILECODE]]&amp;"-"&amp;Table_DataFromNL[[#This Row],[RULENAME]]</f>
        <v>CP184-SCRATCH_10_USD</v>
      </c>
      <c r="M767" t="e">
        <f t="shared" si="82"/>
        <v>#N/A</v>
      </c>
    </row>
    <row r="768" spans="1:13" x14ac:dyDescent="0.25">
      <c r="A768" t="str">
        <f t="shared" si="83"/>
        <v>CP184-SCRATCH_20_USD</v>
      </c>
      <c r="B768" t="s">
        <v>136</v>
      </c>
      <c r="C768" t="str">
        <f t="shared" si="77"/>
        <v>Copperas Cove</v>
      </c>
      <c r="D768" t="str">
        <f t="shared" si="78"/>
        <v>Y</v>
      </c>
      <c r="E768" t="s">
        <v>616</v>
      </c>
      <c r="F768" t="str">
        <f t="shared" si="79"/>
        <v>SCRATCH_20_USD</v>
      </c>
      <c r="G768">
        <f t="shared" si="80"/>
        <v>0</v>
      </c>
      <c r="H768" t="s">
        <v>588</v>
      </c>
      <c r="I768">
        <f t="shared" si="81"/>
        <v>0</v>
      </c>
      <c r="J768" t="s">
        <v>564</v>
      </c>
      <c r="K768" s="5">
        <v>20</v>
      </c>
      <c r="L768" t="str">
        <f>Table_DataFromNL[[#This Row],[PROFILECODE]]&amp;"-"&amp;Table_DataFromNL[[#This Row],[RULENAME]]</f>
        <v>CP184-SCRATCH_20_USD</v>
      </c>
      <c r="M768" t="e">
        <f t="shared" si="82"/>
        <v>#N/A</v>
      </c>
    </row>
    <row r="769" spans="1:13" x14ac:dyDescent="0.25">
      <c r="A769" t="str">
        <f t="shared" si="83"/>
        <v>CP184-SCRATCH_25_USD</v>
      </c>
      <c r="B769" t="s">
        <v>136</v>
      </c>
      <c r="C769" t="str">
        <f t="shared" si="77"/>
        <v>Copperas Cove</v>
      </c>
      <c r="D769" t="str">
        <f t="shared" si="78"/>
        <v>Y</v>
      </c>
      <c r="E769" t="s">
        <v>616</v>
      </c>
      <c r="F769" t="str">
        <f t="shared" si="79"/>
        <v>SCRATCH_25_USD</v>
      </c>
      <c r="G769">
        <f t="shared" si="80"/>
        <v>0</v>
      </c>
      <c r="H769" t="s">
        <v>589</v>
      </c>
      <c r="I769">
        <f t="shared" si="81"/>
        <v>0</v>
      </c>
      <c r="J769" t="s">
        <v>564</v>
      </c>
      <c r="K769" s="5">
        <v>25</v>
      </c>
      <c r="L769" t="str">
        <f>Table_DataFromNL[[#This Row],[PROFILECODE]]&amp;"-"&amp;Table_DataFromNL[[#This Row],[RULENAME]]</f>
        <v>CP184-SCRATCH_25_USD</v>
      </c>
      <c r="M769" t="e">
        <f t="shared" si="82"/>
        <v>#N/A</v>
      </c>
    </row>
    <row r="770" spans="1:13" x14ac:dyDescent="0.25">
      <c r="A770" t="str">
        <f t="shared" si="83"/>
        <v>CP184-SCRATCH_50_USD</v>
      </c>
      <c r="B770" t="s">
        <v>136</v>
      </c>
      <c r="C770" t="str">
        <f t="shared" ref="C770:C833" si="84">VLOOKUP(B770,CenterLU,2,FALSE)</f>
        <v>Copperas Cove</v>
      </c>
      <c r="D770" t="str">
        <f t="shared" ref="D770:D833" si="85">VLOOKUP(B770,CenterLU,3,FALSE)</f>
        <v>Y</v>
      </c>
      <c r="E770" t="s">
        <v>616</v>
      </c>
      <c r="F770" t="str">
        <f t="shared" ref="F770:F833" si="86">IF(VLOOKUP(H770,RULENAMELU,3,FALSE)=0,H770,VLOOKUP(H770,RULENAMELU,3,FALSE))</f>
        <v>SCRATCH_50_USD</v>
      </c>
      <c r="G770">
        <f t="shared" ref="G770:G833" si="87">VLOOKUP(H770,RULENAMELU,4,FALSE)</f>
        <v>0</v>
      </c>
      <c r="H770" t="s">
        <v>590</v>
      </c>
      <c r="I770">
        <f t="shared" ref="I770:I833" si="88">VLOOKUP(H770,RULENAMELU,5,FALSE)</f>
        <v>0</v>
      </c>
      <c r="J770" t="s">
        <v>564</v>
      </c>
      <c r="K770" s="5">
        <v>50</v>
      </c>
      <c r="L770" t="str">
        <f>Table_DataFromNL[[#This Row],[PROFILECODE]]&amp;"-"&amp;Table_DataFromNL[[#This Row],[RULENAME]]</f>
        <v>CP184-SCRATCH_50_USD</v>
      </c>
      <c r="M770" t="e">
        <f t="shared" ref="M770:M833" si="89">IFERROR(VLOOKUP(A770,PaychangesLU,1,FALSE),VLOOKUP(A770,SpecialtyCheckLU,1,FALSE))</f>
        <v>#N/A</v>
      </c>
    </row>
    <row r="771" spans="1:13" x14ac:dyDescent="0.25">
      <c r="A771" t="str">
        <f t="shared" ref="A771:A834" si="90">B771&amp;"-"&amp;F771</f>
        <v>CP184-SCRATCH_5_USD</v>
      </c>
      <c r="B771" t="s">
        <v>136</v>
      </c>
      <c r="C771" t="str">
        <f t="shared" si="84"/>
        <v>Copperas Cove</v>
      </c>
      <c r="D771" t="str">
        <f t="shared" si="85"/>
        <v>Y</v>
      </c>
      <c r="E771" t="s">
        <v>616</v>
      </c>
      <c r="F771" t="str">
        <f t="shared" si="86"/>
        <v>SCRATCH_5_USD</v>
      </c>
      <c r="G771">
        <f t="shared" si="87"/>
        <v>0</v>
      </c>
      <c r="H771" t="s">
        <v>591</v>
      </c>
      <c r="I771">
        <f t="shared" si="88"/>
        <v>0</v>
      </c>
      <c r="J771" t="s">
        <v>564</v>
      </c>
      <c r="K771" s="5">
        <v>5</v>
      </c>
      <c r="L771" t="str">
        <f>Table_DataFromNL[[#This Row],[PROFILECODE]]&amp;"-"&amp;Table_DataFromNL[[#This Row],[RULENAME]]</f>
        <v>CP184-SCRATCH_5_USD</v>
      </c>
      <c r="M771" t="e">
        <f t="shared" si="89"/>
        <v>#N/A</v>
      </c>
    </row>
    <row r="772" spans="1:13" x14ac:dyDescent="0.25">
      <c r="A772" t="str">
        <f t="shared" si="90"/>
        <v>CP184-SLOW_TEXT_5</v>
      </c>
      <c r="B772" t="s">
        <v>136</v>
      </c>
      <c r="C772" t="str">
        <f t="shared" si="84"/>
        <v>Copperas Cove</v>
      </c>
      <c r="D772" t="str">
        <f t="shared" si="85"/>
        <v>Y</v>
      </c>
      <c r="E772" t="s">
        <v>616</v>
      </c>
      <c r="F772" t="str">
        <f t="shared" si="86"/>
        <v>SLOW_TEXT_5</v>
      </c>
      <c r="G772">
        <f t="shared" si="87"/>
        <v>0</v>
      </c>
      <c r="H772" t="s">
        <v>574</v>
      </c>
      <c r="I772">
        <f t="shared" si="88"/>
        <v>0</v>
      </c>
      <c r="J772" t="s">
        <v>564</v>
      </c>
      <c r="K772" s="5">
        <v>5</v>
      </c>
      <c r="L772" t="str">
        <f>Table_DataFromNL[[#This Row],[PROFILECODE]]&amp;"-"&amp;Table_DataFromNL[[#This Row],[RULENAME]]</f>
        <v>CP184-SLOW_TEXT_5</v>
      </c>
      <c r="M772" t="e">
        <f t="shared" si="89"/>
        <v>#N/A</v>
      </c>
    </row>
    <row r="773" spans="1:13" x14ac:dyDescent="0.25">
      <c r="A773" t="str">
        <f t="shared" si="90"/>
        <v>CP184-Sample Only</v>
      </c>
      <c r="B773" t="s">
        <v>136</v>
      </c>
      <c r="C773" t="str">
        <f t="shared" si="84"/>
        <v>Copperas Cove</v>
      </c>
      <c r="D773" t="str">
        <f t="shared" si="85"/>
        <v>Y</v>
      </c>
      <c r="E773" t="s">
        <v>616</v>
      </c>
      <c r="F773" t="str">
        <f t="shared" si="86"/>
        <v>Sample Only</v>
      </c>
      <c r="G773">
        <f t="shared" si="87"/>
        <v>0</v>
      </c>
      <c r="H773" t="s">
        <v>575</v>
      </c>
      <c r="I773">
        <f t="shared" si="88"/>
        <v>0</v>
      </c>
      <c r="J773" t="s">
        <v>564</v>
      </c>
      <c r="K773" s="5">
        <v>5</v>
      </c>
      <c r="L773" t="str">
        <f>Table_DataFromNL[[#This Row],[PROFILECODE]]&amp;"-"&amp;Table_DataFromNL[[#This Row],[RULENAME]]</f>
        <v>CP184-Sample Only</v>
      </c>
      <c r="M773" t="e">
        <f t="shared" si="89"/>
        <v>#N/A</v>
      </c>
    </row>
    <row r="774" spans="1:13" x14ac:dyDescent="0.25">
      <c r="A774" t="str">
        <f t="shared" si="90"/>
        <v>CP184-Unit Below 250 mL</v>
      </c>
      <c r="B774" t="s">
        <v>136</v>
      </c>
      <c r="C774" t="str">
        <f t="shared" si="84"/>
        <v>Copperas Cove</v>
      </c>
      <c r="D774" t="str">
        <f t="shared" si="85"/>
        <v>Y</v>
      </c>
      <c r="E774" t="s">
        <v>616</v>
      </c>
      <c r="F774" t="str">
        <f t="shared" si="86"/>
        <v>Unit Below 250 mL</v>
      </c>
      <c r="G774">
        <f t="shared" si="87"/>
        <v>0</v>
      </c>
      <c r="H774" t="s">
        <v>576</v>
      </c>
      <c r="I774">
        <f t="shared" si="88"/>
        <v>0</v>
      </c>
      <c r="J774" t="s">
        <v>564</v>
      </c>
      <c r="K774" s="5">
        <v>5</v>
      </c>
      <c r="L774" t="str">
        <f>Table_DataFromNL[[#This Row],[PROFILECODE]]&amp;"-"&amp;Table_DataFromNL[[#This Row],[RULENAME]]</f>
        <v>CP184-Unit Below 250 mL</v>
      </c>
      <c r="M774" t="e">
        <f t="shared" si="89"/>
        <v>#N/A</v>
      </c>
    </row>
    <row r="775" spans="1:13" x14ac:dyDescent="0.25">
      <c r="A775" t="str">
        <f t="shared" si="90"/>
        <v>CP184-Unit above 250 mL/underdraw</v>
      </c>
      <c r="B775" t="s">
        <v>136</v>
      </c>
      <c r="C775" t="str">
        <f t="shared" si="84"/>
        <v>Copperas Cove</v>
      </c>
      <c r="D775" t="str">
        <f t="shared" si="85"/>
        <v>Y</v>
      </c>
      <c r="E775" t="s">
        <v>616</v>
      </c>
      <c r="F775" t="str">
        <f t="shared" si="86"/>
        <v>Unit above 250 mL/underdraw</v>
      </c>
      <c r="G775">
        <f t="shared" si="87"/>
        <v>0</v>
      </c>
      <c r="H775" t="s">
        <v>577</v>
      </c>
      <c r="I775">
        <f t="shared" si="88"/>
        <v>0</v>
      </c>
      <c r="J775" t="s">
        <v>564</v>
      </c>
      <c r="K775" s="5">
        <v>10</v>
      </c>
      <c r="L775" t="str">
        <f>Table_DataFromNL[[#This Row],[PROFILECODE]]&amp;"-"&amp;Table_DataFromNL[[#This Row],[RULENAME]]</f>
        <v>CP184-Unit above 250 mL/underdraw</v>
      </c>
      <c r="M775" t="e">
        <f t="shared" si="89"/>
        <v>#N/A</v>
      </c>
    </row>
    <row r="776" spans="1:13" x14ac:dyDescent="0.25">
      <c r="A776" t="str">
        <f t="shared" si="90"/>
        <v>CP184-Vaccinia Immunization</v>
      </c>
      <c r="B776" t="s">
        <v>136</v>
      </c>
      <c r="C776" t="str">
        <f t="shared" si="84"/>
        <v>Copperas Cove</v>
      </c>
      <c r="D776" t="str">
        <f t="shared" si="85"/>
        <v>Y</v>
      </c>
      <c r="E776" t="s">
        <v>616</v>
      </c>
      <c r="F776" t="str">
        <f t="shared" si="86"/>
        <v>Vaccinia Immunization</v>
      </c>
      <c r="G776">
        <f t="shared" si="87"/>
        <v>0</v>
      </c>
      <c r="H776" t="s">
        <v>596</v>
      </c>
      <c r="I776">
        <f t="shared" si="88"/>
        <v>0</v>
      </c>
      <c r="J776" t="s">
        <v>564</v>
      </c>
      <c r="K776" s="5">
        <v>100</v>
      </c>
      <c r="L776" t="str">
        <f>Table_DataFromNL[[#This Row],[PROFILECODE]]&amp;"-"&amp;Table_DataFromNL[[#This Row],[RULENAME]]</f>
        <v>CP184-Vaccinia Immunization</v>
      </c>
      <c r="M776" t="e">
        <f t="shared" si="89"/>
        <v>#N/A</v>
      </c>
    </row>
    <row r="777" spans="1:13" x14ac:dyDescent="0.25">
      <c r="A777" t="str">
        <f t="shared" si="90"/>
        <v>CP184-RETURN - Buddy referral  -BONUS</v>
      </c>
      <c r="B777" t="s">
        <v>136</v>
      </c>
      <c r="C777" t="str">
        <f t="shared" si="84"/>
        <v>Copperas Cove</v>
      </c>
      <c r="D777" t="str">
        <f t="shared" si="85"/>
        <v>Y</v>
      </c>
      <c r="E777" t="s">
        <v>616</v>
      </c>
      <c r="F777" t="str">
        <f t="shared" si="86"/>
        <v>RETURN - Buddy referral  -BONUS</v>
      </c>
      <c r="G777" t="str">
        <f t="shared" si="87"/>
        <v>Marketing</v>
      </c>
      <c r="H777" t="s">
        <v>34</v>
      </c>
      <c r="I777">
        <f t="shared" si="88"/>
        <v>50</v>
      </c>
      <c r="J777" t="s">
        <v>578</v>
      </c>
      <c r="K777" s="5">
        <v>50</v>
      </c>
      <c r="L777" t="str">
        <f>Table_DataFromNL[[#This Row],[PROFILECODE]]&amp;"-"&amp;Table_DataFromNL[[#This Row],[RULENAME]]</f>
        <v>CP184-Referral</v>
      </c>
      <c r="M777" t="str">
        <f t="shared" si="89"/>
        <v>CP184-RETURN - Buddy referral  -BONUS</v>
      </c>
    </row>
    <row r="778" spans="1:13" x14ac:dyDescent="0.25">
      <c r="A778" t="str">
        <f t="shared" si="90"/>
        <v>CP184-P Anti-D Pre-Existing Standard</v>
      </c>
      <c r="B778" t="s">
        <v>136</v>
      </c>
      <c r="C778" t="str">
        <f t="shared" si="84"/>
        <v>Copperas Cove</v>
      </c>
      <c r="D778" t="str">
        <f t="shared" si="85"/>
        <v>Y</v>
      </c>
      <c r="E778" t="s">
        <v>616</v>
      </c>
      <c r="F778" t="str">
        <f t="shared" si="86"/>
        <v>P Anti-D Pre-Existing Standard</v>
      </c>
      <c r="G778" t="str">
        <f t="shared" si="87"/>
        <v>Specialty</v>
      </c>
      <c r="H778" t="s">
        <v>469</v>
      </c>
      <c r="I778" t="str">
        <f t="shared" si="88"/>
        <v>RETURN - 1st don of the week -STD</v>
      </c>
      <c r="J778" t="s">
        <v>579</v>
      </c>
      <c r="K778" s="5">
        <v>50</v>
      </c>
      <c r="L778" t="str">
        <f>Table_DataFromNL[[#This Row],[PROFILECODE]]&amp;"-"&amp;Table_DataFromNL[[#This Row],[RULENAME]]</f>
        <v>CP184-P Anti-D Pre-Existing Standard</v>
      </c>
      <c r="M778" t="str">
        <f t="shared" si="89"/>
        <v>CP184-P Anti-D Pre-Existing Standard</v>
      </c>
    </row>
    <row r="779" spans="1:13" x14ac:dyDescent="0.25">
      <c r="A779" t="str">
        <f t="shared" si="90"/>
        <v>CP184-RETURN - 1st don of the week -STD</v>
      </c>
      <c r="B779" t="s">
        <v>136</v>
      </c>
      <c r="C779" t="str">
        <f t="shared" si="84"/>
        <v>Copperas Cove</v>
      </c>
      <c r="D779" t="str">
        <f t="shared" si="85"/>
        <v>Y</v>
      </c>
      <c r="E779" t="s">
        <v>616</v>
      </c>
      <c r="F779" t="str">
        <f t="shared" si="86"/>
        <v>RETURN - 1st don of the week -STD</v>
      </c>
      <c r="G779" t="str">
        <f t="shared" si="87"/>
        <v>Marketing</v>
      </c>
      <c r="H779" t="s">
        <v>583</v>
      </c>
      <c r="I779">
        <f t="shared" si="88"/>
        <v>22</v>
      </c>
      <c r="J779" t="s">
        <v>579</v>
      </c>
      <c r="K779" s="5">
        <v>60</v>
      </c>
      <c r="L779" t="str">
        <f>Table_DataFromNL[[#This Row],[PROFILECODE]]&amp;"-"&amp;Table_DataFromNL[[#This Row],[RULENAME]]</f>
        <v>CP184-P NSP NS AP Standard</v>
      </c>
      <c r="M779" t="str">
        <f t="shared" si="89"/>
        <v>CP184-RETURN - 1st don of the week -STD</v>
      </c>
    </row>
    <row r="780" spans="1:13" x14ac:dyDescent="0.25">
      <c r="A780" t="str">
        <f t="shared" si="90"/>
        <v>CP184-RETURN - 1st don of the week -STD</v>
      </c>
      <c r="B780" t="s">
        <v>136</v>
      </c>
      <c r="C780" t="str">
        <f t="shared" si="84"/>
        <v>Copperas Cove</v>
      </c>
      <c r="D780" t="str">
        <f t="shared" si="85"/>
        <v>Y</v>
      </c>
      <c r="E780" t="s">
        <v>616</v>
      </c>
      <c r="F780" t="str">
        <f t="shared" si="86"/>
        <v>RETURN - 1st don of the week -STD</v>
      </c>
      <c r="G780" t="str">
        <f t="shared" si="87"/>
        <v>Marketing</v>
      </c>
      <c r="H780" t="s">
        <v>584</v>
      </c>
      <c r="I780">
        <f t="shared" si="88"/>
        <v>23</v>
      </c>
      <c r="J780" t="s">
        <v>579</v>
      </c>
      <c r="K780" s="5">
        <v>60</v>
      </c>
      <c r="L780" t="str">
        <f>Table_DataFromNL[[#This Row],[PROFILECODE]]&amp;"-"&amp;Table_DataFromNL[[#This Row],[RULENAME]]</f>
        <v>CP184-P NSP NS Standard</v>
      </c>
      <c r="M780" t="str">
        <f t="shared" si="89"/>
        <v>CP184-RETURN - 1st don of the week -STD</v>
      </c>
    </row>
    <row r="781" spans="1:13" x14ac:dyDescent="0.25">
      <c r="A781" t="str">
        <f t="shared" si="90"/>
        <v>CP184-P VZV Pre-Existing AP</v>
      </c>
      <c r="B781" t="s">
        <v>136</v>
      </c>
      <c r="C781" t="str">
        <f t="shared" si="84"/>
        <v>Copperas Cove</v>
      </c>
      <c r="D781" t="str">
        <f t="shared" si="85"/>
        <v>Y</v>
      </c>
      <c r="E781" t="s">
        <v>616</v>
      </c>
      <c r="F781" t="str">
        <f t="shared" si="86"/>
        <v>P VZV Pre-Existing AP</v>
      </c>
      <c r="G781" t="str">
        <f t="shared" si="87"/>
        <v>Specialty</v>
      </c>
      <c r="H781" t="s">
        <v>495</v>
      </c>
      <c r="I781" t="str">
        <f t="shared" si="88"/>
        <v>RETURN - 1st don of the week -STD</v>
      </c>
      <c r="J781" t="s">
        <v>579</v>
      </c>
      <c r="K781" s="5">
        <v>70</v>
      </c>
      <c r="L781" t="str">
        <f>Table_DataFromNL[[#This Row],[PROFILECODE]]&amp;"-"&amp;Table_DataFromNL[[#This Row],[RULENAME]]</f>
        <v>CP184-P VZV Pre-Existing AP</v>
      </c>
      <c r="M781" t="str">
        <f t="shared" si="89"/>
        <v>CP184-P VZV Pre-Existing AP</v>
      </c>
    </row>
    <row r="782" spans="1:13" x14ac:dyDescent="0.25">
      <c r="A782" t="str">
        <f t="shared" si="90"/>
        <v>CP184-P Vaccinia AP Standard</v>
      </c>
      <c r="B782" t="s">
        <v>136</v>
      </c>
      <c r="C782" t="str">
        <f t="shared" si="84"/>
        <v>Copperas Cove</v>
      </c>
      <c r="D782" t="str">
        <f t="shared" si="85"/>
        <v>Y</v>
      </c>
      <c r="E782" t="s">
        <v>616</v>
      </c>
      <c r="F782" t="str">
        <f t="shared" si="86"/>
        <v>P Vaccinia AP Standard</v>
      </c>
      <c r="G782" t="str">
        <f t="shared" si="87"/>
        <v>Specialty</v>
      </c>
      <c r="H782" t="s">
        <v>475</v>
      </c>
      <c r="I782">
        <f t="shared" si="88"/>
        <v>0</v>
      </c>
      <c r="J782" t="s">
        <v>579</v>
      </c>
      <c r="K782" s="5">
        <v>100</v>
      </c>
      <c r="L782" t="str">
        <f>Table_DataFromNL[[#This Row],[PROFILECODE]]&amp;"-"&amp;Table_DataFromNL[[#This Row],[RULENAME]]</f>
        <v>CP184-P Vaccinia AP Standard</v>
      </c>
      <c r="M782" t="str">
        <f t="shared" si="89"/>
        <v>CP184-P Vaccinia AP Standard</v>
      </c>
    </row>
    <row r="783" spans="1:13" x14ac:dyDescent="0.25">
      <c r="A783" t="str">
        <f t="shared" si="90"/>
        <v>CP184-P Vaccinia Standard</v>
      </c>
      <c r="B783" t="s">
        <v>136</v>
      </c>
      <c r="C783" t="str">
        <f t="shared" si="84"/>
        <v>Copperas Cove</v>
      </c>
      <c r="D783" t="str">
        <f t="shared" si="85"/>
        <v>Y</v>
      </c>
      <c r="E783" t="s">
        <v>616</v>
      </c>
      <c r="F783" t="str">
        <f t="shared" si="86"/>
        <v>P Vaccinia Standard</v>
      </c>
      <c r="G783" t="str">
        <f t="shared" si="87"/>
        <v>Specialty</v>
      </c>
      <c r="H783" t="s">
        <v>476</v>
      </c>
      <c r="I783">
        <f t="shared" si="88"/>
        <v>0</v>
      </c>
      <c r="J783" t="s">
        <v>579</v>
      </c>
      <c r="K783" s="5">
        <v>100</v>
      </c>
      <c r="L783" t="str">
        <f>Table_DataFromNL[[#This Row],[PROFILECODE]]&amp;"-"&amp;Table_DataFromNL[[#This Row],[RULENAME]]</f>
        <v>CP184-P Vaccinia Standard</v>
      </c>
      <c r="M783" t="str">
        <f t="shared" si="89"/>
        <v>CP184-P Vaccinia Standard</v>
      </c>
    </row>
    <row r="784" spans="1:13" x14ac:dyDescent="0.25">
      <c r="A784" t="str">
        <f t="shared" si="90"/>
        <v>CP184-PVZV Pre-Existing Standard</v>
      </c>
      <c r="B784" t="s">
        <v>136</v>
      </c>
      <c r="C784" t="str">
        <f t="shared" si="84"/>
        <v>Copperas Cove</v>
      </c>
      <c r="D784" t="str">
        <f t="shared" si="85"/>
        <v>Y</v>
      </c>
      <c r="E784" t="s">
        <v>616</v>
      </c>
      <c r="F784" t="str">
        <f t="shared" si="86"/>
        <v>PVZV Pre-Existing Standard</v>
      </c>
      <c r="G784" t="str">
        <f t="shared" si="87"/>
        <v>Specialty</v>
      </c>
      <c r="H784" t="s">
        <v>497</v>
      </c>
      <c r="I784" t="str">
        <f t="shared" si="88"/>
        <v>RETURN - 1st don of the week -STD</v>
      </c>
      <c r="J784" t="s">
        <v>579</v>
      </c>
      <c r="K784" s="5">
        <v>70</v>
      </c>
      <c r="L784" t="str">
        <f>Table_DataFromNL[[#This Row],[PROFILECODE]]&amp;"-"&amp;Table_DataFromNL[[#This Row],[RULENAME]]</f>
        <v>CP184-PVZV Pre-Existing Standard</v>
      </c>
      <c r="M784" t="str">
        <f t="shared" si="89"/>
        <v>CP184-PVZV Pre-Existing Standard</v>
      </c>
    </row>
    <row r="785" spans="1:13" x14ac:dyDescent="0.25">
      <c r="A785" t="str">
        <f t="shared" si="90"/>
        <v>CP530-1st Responder-Medical</v>
      </c>
      <c r="B785" t="s">
        <v>158</v>
      </c>
      <c r="C785" t="str">
        <f t="shared" si="84"/>
        <v>Duncanville</v>
      </c>
      <c r="D785" t="str">
        <f t="shared" si="85"/>
        <v>Y</v>
      </c>
      <c r="E785" t="s">
        <v>617</v>
      </c>
      <c r="F785" t="str">
        <f t="shared" si="86"/>
        <v>1st Responder-Medical</v>
      </c>
      <c r="G785">
        <f t="shared" si="87"/>
        <v>0</v>
      </c>
      <c r="H785" t="s">
        <v>545</v>
      </c>
      <c r="I785">
        <f t="shared" si="88"/>
        <v>0</v>
      </c>
      <c r="J785" t="s">
        <v>546</v>
      </c>
      <c r="K785" s="5">
        <v>5</v>
      </c>
      <c r="L785" t="str">
        <f>Table_DataFromNL[[#This Row],[PROFILECODE]]&amp;"-"&amp;Table_DataFromNL[[#This Row],[RULENAME]]</f>
        <v>CP530-1st Responder-Medical</v>
      </c>
      <c r="M785" t="e">
        <f t="shared" si="89"/>
        <v>#N/A</v>
      </c>
    </row>
    <row r="786" spans="1:13" x14ac:dyDescent="0.25">
      <c r="A786" t="str">
        <f t="shared" si="90"/>
        <v>CP530-RETURN - 2nd don of the week -BONUS</v>
      </c>
      <c r="B786" t="s">
        <v>158</v>
      </c>
      <c r="C786" t="str">
        <f t="shared" si="84"/>
        <v>Duncanville</v>
      </c>
      <c r="D786" t="str">
        <f t="shared" si="85"/>
        <v>Y</v>
      </c>
      <c r="E786" t="s">
        <v>617</v>
      </c>
      <c r="F786" t="str">
        <f t="shared" si="86"/>
        <v>RETURN - 2nd don of the week -BONUS</v>
      </c>
      <c r="G786" t="str">
        <f t="shared" si="87"/>
        <v>Marketing</v>
      </c>
      <c r="H786" t="s">
        <v>550</v>
      </c>
      <c r="I786">
        <f t="shared" si="88"/>
        <v>26</v>
      </c>
      <c r="J786" t="s">
        <v>546</v>
      </c>
      <c r="K786" s="5">
        <v>15</v>
      </c>
      <c r="L786" t="str">
        <f>Table_DataFromNL[[#This Row],[PROFILECODE]]&amp;"-"&amp;Table_DataFromNL[[#This Row],[RULENAME]]</f>
        <v>CP530-2X Week P NSP NS</v>
      </c>
      <c r="M786" t="str">
        <f t="shared" si="89"/>
        <v>CP530-RETURN - 2nd don of the week -BONUS</v>
      </c>
    </row>
    <row r="787" spans="1:13" x14ac:dyDescent="0.25">
      <c r="A787" t="str">
        <f t="shared" si="90"/>
        <v>CP530-RETURN - 2nd don of the week -BONUS</v>
      </c>
      <c r="B787" t="s">
        <v>158</v>
      </c>
      <c r="C787" t="str">
        <f t="shared" si="84"/>
        <v>Duncanville</v>
      </c>
      <c r="D787" t="str">
        <f t="shared" si="85"/>
        <v>Y</v>
      </c>
      <c r="E787" t="s">
        <v>617</v>
      </c>
      <c r="F787" t="str">
        <f t="shared" si="86"/>
        <v>RETURN - 2nd don of the week -BONUS</v>
      </c>
      <c r="G787" t="str">
        <f t="shared" si="87"/>
        <v>Marketing</v>
      </c>
      <c r="H787" t="s">
        <v>551</v>
      </c>
      <c r="I787" t="str">
        <f t="shared" si="88"/>
        <v>RETURN - 2nd don of the week -BONUS</v>
      </c>
      <c r="J787" t="s">
        <v>546</v>
      </c>
      <c r="K787" s="5">
        <v>15</v>
      </c>
      <c r="L787" t="str">
        <f>Table_DataFromNL[[#This Row],[PROFILECODE]]&amp;"-"&amp;Table_DataFromNL[[#This Row],[RULENAME]]</f>
        <v>CP530-2X Week P NSP NS AP</v>
      </c>
      <c r="M787" t="str">
        <f t="shared" si="89"/>
        <v>CP530-RETURN - 2nd don of the week -BONUS</v>
      </c>
    </row>
    <row r="788" spans="1:13" x14ac:dyDescent="0.25">
      <c r="A788" t="str">
        <f t="shared" si="90"/>
        <v>CP530-RETURN - 2nd don of the week -BONUS</v>
      </c>
      <c r="B788" t="s">
        <v>158</v>
      </c>
      <c r="C788" t="str">
        <f t="shared" si="84"/>
        <v>Duncanville</v>
      </c>
      <c r="D788" t="str">
        <f t="shared" si="85"/>
        <v>Y</v>
      </c>
      <c r="E788" t="s">
        <v>617</v>
      </c>
      <c r="F788" t="str">
        <f t="shared" si="86"/>
        <v>RETURN - 2nd don of the week -BONUS</v>
      </c>
      <c r="G788" t="str">
        <f t="shared" si="87"/>
        <v>Specialty</v>
      </c>
      <c r="H788" t="s">
        <v>606</v>
      </c>
      <c r="I788" t="str">
        <f t="shared" si="88"/>
        <v>RETURN - 2nd don of the week -BONUS</v>
      </c>
      <c r="J788" t="s">
        <v>546</v>
      </c>
      <c r="K788" s="5">
        <v>15</v>
      </c>
      <c r="L788" t="str">
        <f>Table_DataFromNL[[#This Row],[PROFILECODE]]&amp;"-"&amp;Table_DataFromNL[[#This Row],[RULENAME]]</f>
        <v>CP530-2X Week P Normal Source PL</v>
      </c>
      <c r="M788" t="str">
        <f t="shared" si="89"/>
        <v>CP530-RETURN - 2nd don of the week -BONUS</v>
      </c>
    </row>
    <row r="789" spans="1:13" x14ac:dyDescent="0.25">
      <c r="A789" t="str">
        <f t="shared" si="90"/>
        <v>CP530-College ID Standard Bonus</v>
      </c>
      <c r="B789" t="s">
        <v>158</v>
      </c>
      <c r="C789" t="str">
        <f t="shared" si="84"/>
        <v>Duncanville</v>
      </c>
      <c r="D789" t="str">
        <f t="shared" si="85"/>
        <v>Y</v>
      </c>
      <c r="E789" t="s">
        <v>617</v>
      </c>
      <c r="F789" t="str">
        <f t="shared" si="86"/>
        <v>College ID Standard Bonus</v>
      </c>
      <c r="G789">
        <f t="shared" si="87"/>
        <v>0</v>
      </c>
      <c r="H789" t="s">
        <v>553</v>
      </c>
      <c r="I789">
        <f t="shared" si="88"/>
        <v>0</v>
      </c>
      <c r="J789" t="s">
        <v>546</v>
      </c>
      <c r="K789" s="5">
        <v>5</v>
      </c>
      <c r="L789" t="str">
        <f>Table_DataFromNL[[#This Row],[PROFILECODE]]&amp;"-"&amp;Table_DataFromNL[[#This Row],[RULENAME]]</f>
        <v>CP530-College ID Standard Bonus</v>
      </c>
      <c r="M789" t="e">
        <f t="shared" si="89"/>
        <v>#N/A</v>
      </c>
    </row>
    <row r="790" spans="1:13" x14ac:dyDescent="0.25">
      <c r="A790" t="str">
        <f t="shared" si="90"/>
        <v>CP530-Military ID</v>
      </c>
      <c r="B790" t="s">
        <v>158</v>
      </c>
      <c r="C790" t="str">
        <f t="shared" si="84"/>
        <v>Duncanville</v>
      </c>
      <c r="D790" t="str">
        <f t="shared" si="85"/>
        <v>Y</v>
      </c>
      <c r="E790" t="s">
        <v>617</v>
      </c>
      <c r="F790" t="str">
        <f t="shared" si="86"/>
        <v>Military ID</v>
      </c>
      <c r="G790">
        <f t="shared" si="87"/>
        <v>0</v>
      </c>
      <c r="H790" t="s">
        <v>554</v>
      </c>
      <c r="I790">
        <f t="shared" si="88"/>
        <v>0</v>
      </c>
      <c r="J790" t="s">
        <v>546</v>
      </c>
      <c r="K790" s="5">
        <v>5</v>
      </c>
      <c r="L790" t="str">
        <f>Table_DataFromNL[[#This Row],[PROFILECODE]]&amp;"-"&amp;Table_DataFromNL[[#This Row],[RULENAME]]</f>
        <v>CP530-Military ID</v>
      </c>
      <c r="M790" t="e">
        <f t="shared" si="89"/>
        <v>#N/A</v>
      </c>
    </row>
    <row r="791" spans="1:13" x14ac:dyDescent="0.25">
      <c r="A791" t="str">
        <f t="shared" si="90"/>
        <v>CP530-NEW DONOR -1st</v>
      </c>
      <c r="B791" t="s">
        <v>158</v>
      </c>
      <c r="C791" t="str">
        <f t="shared" si="84"/>
        <v>Duncanville</v>
      </c>
      <c r="D791" t="str">
        <f t="shared" si="85"/>
        <v>Y</v>
      </c>
      <c r="E791" t="s">
        <v>617</v>
      </c>
      <c r="F791" t="str">
        <f t="shared" si="86"/>
        <v>NEW DONOR -1st</v>
      </c>
      <c r="G791" t="str">
        <f t="shared" si="87"/>
        <v>Marketing</v>
      </c>
      <c r="H791" t="s">
        <v>555</v>
      </c>
      <c r="I791">
        <f t="shared" si="88"/>
        <v>1</v>
      </c>
      <c r="J791" t="s">
        <v>546</v>
      </c>
      <c r="K791" s="5">
        <v>125</v>
      </c>
      <c r="L791" t="str">
        <f>Table_DataFromNL[[#This Row],[PROFILECODE]]&amp;"-"&amp;Table_DataFromNL[[#This Row],[RULENAME]]</f>
        <v>CP530-New Donor 1st Visit-Bonus</v>
      </c>
      <c r="M791" t="str">
        <f t="shared" si="89"/>
        <v>CP530-NEW DONOR -1st</v>
      </c>
    </row>
    <row r="792" spans="1:13" x14ac:dyDescent="0.25">
      <c r="A792" t="str">
        <f t="shared" si="90"/>
        <v>CP530-NEW DONOR -2nd</v>
      </c>
      <c r="B792" t="s">
        <v>158</v>
      </c>
      <c r="C792" t="str">
        <f t="shared" si="84"/>
        <v>Duncanville</v>
      </c>
      <c r="D792" t="str">
        <f t="shared" si="85"/>
        <v>Y</v>
      </c>
      <c r="E792" t="s">
        <v>617</v>
      </c>
      <c r="F792" t="str">
        <f t="shared" si="86"/>
        <v>NEW DONOR -2nd</v>
      </c>
      <c r="G792" t="str">
        <f t="shared" si="87"/>
        <v>Marketing</v>
      </c>
      <c r="H792" t="s">
        <v>556</v>
      </c>
      <c r="I792">
        <f t="shared" si="88"/>
        <v>2</v>
      </c>
      <c r="J792" t="s">
        <v>546</v>
      </c>
      <c r="K792" s="5">
        <v>125</v>
      </c>
      <c r="L792" t="str">
        <f>Table_DataFromNL[[#This Row],[PROFILECODE]]&amp;"-"&amp;Table_DataFromNL[[#This Row],[RULENAME]]</f>
        <v>CP530-New Donor 2nd Visit-Bonus</v>
      </c>
      <c r="M792" t="str">
        <f t="shared" si="89"/>
        <v>CP530-NEW DONOR -2nd</v>
      </c>
    </row>
    <row r="793" spans="1:13" x14ac:dyDescent="0.25">
      <c r="A793" t="str">
        <f t="shared" si="90"/>
        <v>CP530-NEW DONOR -3rd</v>
      </c>
      <c r="B793" t="s">
        <v>158</v>
      </c>
      <c r="C793" t="str">
        <f t="shared" si="84"/>
        <v>Duncanville</v>
      </c>
      <c r="D793" t="str">
        <f t="shared" si="85"/>
        <v>Y</v>
      </c>
      <c r="E793" t="s">
        <v>617</v>
      </c>
      <c r="F793" t="str">
        <f t="shared" si="86"/>
        <v>NEW DONOR -3rd</v>
      </c>
      <c r="G793" t="str">
        <f t="shared" si="87"/>
        <v>Marketing</v>
      </c>
      <c r="H793" t="s">
        <v>557</v>
      </c>
      <c r="I793">
        <f t="shared" si="88"/>
        <v>3</v>
      </c>
      <c r="J793" t="s">
        <v>546</v>
      </c>
      <c r="K793" s="5">
        <v>125</v>
      </c>
      <c r="L793" t="str">
        <f>Table_DataFromNL[[#This Row],[PROFILECODE]]&amp;"-"&amp;Table_DataFromNL[[#This Row],[RULENAME]]</f>
        <v>CP530-New Donor 3rd Visit-Bonus</v>
      </c>
      <c r="M793" t="str">
        <f t="shared" si="89"/>
        <v>CP530-NEW DONOR -3rd</v>
      </c>
    </row>
    <row r="794" spans="1:13" x14ac:dyDescent="0.25">
      <c r="A794" t="str">
        <f t="shared" si="90"/>
        <v>CP530-NEW DONOR -4th</v>
      </c>
      <c r="B794" t="s">
        <v>158</v>
      </c>
      <c r="C794" t="str">
        <f t="shared" si="84"/>
        <v>Duncanville</v>
      </c>
      <c r="D794" t="str">
        <f t="shared" si="85"/>
        <v>Y</v>
      </c>
      <c r="E794" t="s">
        <v>617</v>
      </c>
      <c r="F794" t="str">
        <f t="shared" si="86"/>
        <v>NEW DONOR -4th</v>
      </c>
      <c r="G794" t="str">
        <f t="shared" si="87"/>
        <v>Marketing</v>
      </c>
      <c r="H794" t="s">
        <v>558</v>
      </c>
      <c r="I794">
        <f t="shared" si="88"/>
        <v>4</v>
      </c>
      <c r="J794" t="s">
        <v>546</v>
      </c>
      <c r="K794" s="5">
        <v>125</v>
      </c>
      <c r="L794" t="str">
        <f>Table_DataFromNL[[#This Row],[PROFILECODE]]&amp;"-"&amp;Table_DataFromNL[[#This Row],[RULENAME]]</f>
        <v>CP530-New Donor 4th Visit-Bonus</v>
      </c>
      <c r="M794" t="str">
        <f t="shared" si="89"/>
        <v>CP530-NEW DONOR -4th</v>
      </c>
    </row>
    <row r="795" spans="1:13" x14ac:dyDescent="0.25">
      <c r="A795" t="str">
        <f t="shared" si="90"/>
        <v>CP530-NEW DONOR -5th</v>
      </c>
      <c r="B795" t="s">
        <v>158</v>
      </c>
      <c r="C795" t="str">
        <f t="shared" si="84"/>
        <v>Duncanville</v>
      </c>
      <c r="D795" t="str">
        <f t="shared" si="85"/>
        <v>Y</v>
      </c>
      <c r="E795" t="s">
        <v>617</v>
      </c>
      <c r="F795" t="str">
        <f t="shared" si="86"/>
        <v>NEW DONOR -5th</v>
      </c>
      <c r="G795" t="str">
        <f t="shared" si="87"/>
        <v>Marketing</v>
      </c>
      <c r="H795" t="s">
        <v>559</v>
      </c>
      <c r="I795">
        <f t="shared" si="88"/>
        <v>5</v>
      </c>
      <c r="J795" t="s">
        <v>546</v>
      </c>
      <c r="K795" s="5">
        <v>125</v>
      </c>
      <c r="L795" t="str">
        <f>Table_DataFromNL[[#This Row],[PROFILECODE]]&amp;"-"&amp;Table_DataFromNL[[#This Row],[RULENAME]]</f>
        <v>CP530-New Donor 5th Visit-Bonus</v>
      </c>
      <c r="M795" t="str">
        <f t="shared" si="89"/>
        <v>CP530-NEW DONOR -5th</v>
      </c>
    </row>
    <row r="796" spans="1:13" x14ac:dyDescent="0.25">
      <c r="A796" t="str">
        <f t="shared" si="90"/>
        <v>CP530-NEW DONOR -6th</v>
      </c>
      <c r="B796" t="s">
        <v>158</v>
      </c>
      <c r="C796" t="str">
        <f t="shared" si="84"/>
        <v>Duncanville</v>
      </c>
      <c r="D796" t="str">
        <f t="shared" si="85"/>
        <v>Y</v>
      </c>
      <c r="E796" t="s">
        <v>617</v>
      </c>
      <c r="F796" t="str">
        <f t="shared" si="86"/>
        <v>NEW DONOR -6th</v>
      </c>
      <c r="G796" t="str">
        <f t="shared" si="87"/>
        <v>Marketing</v>
      </c>
      <c r="H796" t="s">
        <v>560</v>
      </c>
      <c r="I796">
        <f t="shared" si="88"/>
        <v>6</v>
      </c>
      <c r="J796" t="s">
        <v>546</v>
      </c>
      <c r="K796" s="5">
        <v>45</v>
      </c>
      <c r="L796" t="str">
        <f>Table_DataFromNL[[#This Row],[PROFILECODE]]&amp;"-"&amp;Table_DataFromNL[[#This Row],[RULENAME]]</f>
        <v>CP530-New Donor 6th Visit-Bonus</v>
      </c>
      <c r="M796" t="str">
        <f t="shared" si="89"/>
        <v>CP530-NEW DONOR -6th</v>
      </c>
    </row>
    <row r="797" spans="1:13" x14ac:dyDescent="0.25">
      <c r="A797" t="str">
        <f t="shared" si="90"/>
        <v>CP530-NEW DONOR -7th</v>
      </c>
      <c r="B797" t="s">
        <v>158</v>
      </c>
      <c r="C797" t="str">
        <f t="shared" si="84"/>
        <v>Duncanville</v>
      </c>
      <c r="D797" t="str">
        <f t="shared" si="85"/>
        <v>Y</v>
      </c>
      <c r="E797" t="s">
        <v>617</v>
      </c>
      <c r="F797" t="str">
        <f t="shared" si="86"/>
        <v>NEW DONOR -7th</v>
      </c>
      <c r="G797" t="str">
        <f t="shared" si="87"/>
        <v>Marketing</v>
      </c>
      <c r="H797" t="s">
        <v>561</v>
      </c>
      <c r="I797">
        <f t="shared" si="88"/>
        <v>7</v>
      </c>
      <c r="J797" t="s">
        <v>546</v>
      </c>
      <c r="K797" s="5">
        <v>45</v>
      </c>
      <c r="L797" t="str">
        <f>Table_DataFromNL[[#This Row],[PROFILECODE]]&amp;"-"&amp;Table_DataFromNL[[#This Row],[RULENAME]]</f>
        <v>CP530-New Donor 7th Visit-Bonus</v>
      </c>
      <c r="M797" t="str">
        <f t="shared" si="89"/>
        <v>CP530-NEW DONOR -7th</v>
      </c>
    </row>
    <row r="798" spans="1:13" x14ac:dyDescent="0.25">
      <c r="A798" t="str">
        <f t="shared" si="90"/>
        <v>CP530-NEW DONOR -8th</v>
      </c>
      <c r="B798" t="s">
        <v>158</v>
      </c>
      <c r="C798" t="str">
        <f t="shared" si="84"/>
        <v>Duncanville</v>
      </c>
      <c r="D798" t="str">
        <f t="shared" si="85"/>
        <v>Y</v>
      </c>
      <c r="E798" t="s">
        <v>617</v>
      </c>
      <c r="F798" t="str">
        <f t="shared" si="86"/>
        <v>NEW DONOR -8th</v>
      </c>
      <c r="G798" t="str">
        <f t="shared" si="87"/>
        <v>Marketing</v>
      </c>
      <c r="H798" t="s">
        <v>562</v>
      </c>
      <c r="I798">
        <f t="shared" si="88"/>
        <v>8</v>
      </c>
      <c r="J798" t="s">
        <v>546</v>
      </c>
      <c r="K798" s="5">
        <v>45</v>
      </c>
      <c r="L798" t="str">
        <f>Table_DataFromNL[[#This Row],[PROFILECODE]]&amp;"-"&amp;Table_DataFromNL[[#This Row],[RULENAME]]</f>
        <v>CP530-New Donor 8th Visit-Bonus</v>
      </c>
      <c r="M798" t="str">
        <f t="shared" si="89"/>
        <v>CP530-NEW DONOR -8th</v>
      </c>
    </row>
    <row r="799" spans="1:13" x14ac:dyDescent="0.25">
      <c r="A799" t="str">
        <f t="shared" si="90"/>
        <v>CP530-Community</v>
      </c>
      <c r="B799" t="s">
        <v>158</v>
      </c>
      <c r="C799" t="str">
        <f t="shared" si="84"/>
        <v>Duncanville</v>
      </c>
      <c r="D799" t="str">
        <f t="shared" si="85"/>
        <v>Y</v>
      </c>
      <c r="E799" t="s">
        <v>617</v>
      </c>
      <c r="F799" t="str">
        <f t="shared" si="86"/>
        <v>Community</v>
      </c>
      <c r="G799">
        <f t="shared" si="87"/>
        <v>0</v>
      </c>
      <c r="H799" t="s">
        <v>563</v>
      </c>
      <c r="I799">
        <f t="shared" si="88"/>
        <v>0</v>
      </c>
      <c r="J799" t="s">
        <v>564</v>
      </c>
      <c r="K799" s="5">
        <v>5</v>
      </c>
      <c r="L799" t="str">
        <f>Table_DataFromNL[[#This Row],[PROFILECODE]]&amp;"-"&amp;Table_DataFromNL[[#This Row],[RULENAME]]</f>
        <v>CP530-Community</v>
      </c>
      <c r="M799" t="e">
        <f t="shared" si="89"/>
        <v>#N/A</v>
      </c>
    </row>
    <row r="800" spans="1:13" x14ac:dyDescent="0.25">
      <c r="A800" t="str">
        <f t="shared" si="90"/>
        <v>CP530-HANGER_RECRUIT_5USD_once</v>
      </c>
      <c r="B800" t="s">
        <v>158</v>
      </c>
      <c r="C800" t="str">
        <f t="shared" si="84"/>
        <v>Duncanville</v>
      </c>
      <c r="D800" t="str">
        <f t="shared" si="85"/>
        <v>Y</v>
      </c>
      <c r="E800" t="s">
        <v>617</v>
      </c>
      <c r="F800" t="str">
        <f t="shared" si="86"/>
        <v>HANGER_RECRUIT_5USD_once</v>
      </c>
      <c r="G800">
        <f t="shared" si="87"/>
        <v>0</v>
      </c>
      <c r="H800" t="s">
        <v>565</v>
      </c>
      <c r="I800">
        <f t="shared" si="88"/>
        <v>0</v>
      </c>
      <c r="J800" t="s">
        <v>564</v>
      </c>
      <c r="K800" s="5">
        <v>5</v>
      </c>
      <c r="L800" t="str">
        <f>Table_DataFromNL[[#This Row],[PROFILECODE]]&amp;"-"&amp;Table_DataFromNL[[#This Row],[RULENAME]]</f>
        <v>CP530-HANGER_RECRUIT_5USD_once</v>
      </c>
      <c r="M800" t="e">
        <f t="shared" si="89"/>
        <v>#N/A</v>
      </c>
    </row>
    <row r="801" spans="1:13" x14ac:dyDescent="0.25">
      <c r="A801" t="str">
        <f t="shared" si="90"/>
        <v>CP530-Inconv Fee $20-$50-Comment Req'd</v>
      </c>
      <c r="B801" t="s">
        <v>158</v>
      </c>
      <c r="C801" t="str">
        <f t="shared" si="84"/>
        <v>Duncanville</v>
      </c>
      <c r="D801" t="str">
        <f t="shared" si="85"/>
        <v>Y</v>
      </c>
      <c r="E801" t="s">
        <v>617</v>
      </c>
      <c r="F801" t="str">
        <f t="shared" si="86"/>
        <v>Inconv Fee $20-$50-Comment Req'd</v>
      </c>
      <c r="G801">
        <f t="shared" si="87"/>
        <v>0</v>
      </c>
      <c r="H801" t="s">
        <v>566</v>
      </c>
      <c r="I801">
        <f t="shared" si="88"/>
        <v>0</v>
      </c>
      <c r="J801" t="s">
        <v>564</v>
      </c>
      <c r="K801" s="5">
        <v>50</v>
      </c>
      <c r="L801" t="str">
        <f>Table_DataFromNL[[#This Row],[PROFILECODE]]&amp;"-"&amp;Table_DataFromNL[[#This Row],[RULENAME]]</f>
        <v>CP530-Inconv Fee $20-$50-Comment Req'd</v>
      </c>
      <c r="M801" t="e">
        <f t="shared" si="89"/>
        <v>#N/A</v>
      </c>
    </row>
    <row r="802" spans="1:13" x14ac:dyDescent="0.25">
      <c r="A802" t="str">
        <f t="shared" si="90"/>
        <v>CP530-Inconv Fee $5-$20-Comment Req'd</v>
      </c>
      <c r="B802" t="s">
        <v>158</v>
      </c>
      <c r="C802" t="str">
        <f t="shared" si="84"/>
        <v>Duncanville</v>
      </c>
      <c r="D802" t="str">
        <f t="shared" si="85"/>
        <v>Y</v>
      </c>
      <c r="E802" t="s">
        <v>617</v>
      </c>
      <c r="F802" t="str">
        <f t="shared" si="86"/>
        <v>Inconv Fee $5-$20-Comment Req'd</v>
      </c>
      <c r="G802">
        <f t="shared" si="87"/>
        <v>0</v>
      </c>
      <c r="H802" t="s">
        <v>567</v>
      </c>
      <c r="I802">
        <f t="shared" si="88"/>
        <v>0</v>
      </c>
      <c r="J802" t="s">
        <v>564</v>
      </c>
      <c r="K802" s="5">
        <v>20</v>
      </c>
      <c r="L802" t="str">
        <f>Table_DataFromNL[[#This Row],[PROFILECODE]]&amp;"-"&amp;Table_DataFromNL[[#This Row],[RULENAME]]</f>
        <v>CP530-Inconv Fee $5-$20-Comment Req'd</v>
      </c>
      <c r="M802" t="e">
        <f t="shared" si="89"/>
        <v>#N/A</v>
      </c>
    </row>
    <row r="803" spans="1:13" x14ac:dyDescent="0.25">
      <c r="A803" t="str">
        <f t="shared" si="90"/>
        <v>CP530-Inconv Fee$50-$100-Comment Req'd</v>
      </c>
      <c r="B803" t="s">
        <v>158</v>
      </c>
      <c r="C803" t="str">
        <f t="shared" si="84"/>
        <v>Duncanville</v>
      </c>
      <c r="D803" t="str">
        <f t="shared" si="85"/>
        <v>Y</v>
      </c>
      <c r="E803" t="s">
        <v>617</v>
      </c>
      <c r="F803" t="str">
        <f t="shared" si="86"/>
        <v>Inconv Fee$50-$100-Comment Req'd</v>
      </c>
      <c r="G803">
        <f t="shared" si="87"/>
        <v>0</v>
      </c>
      <c r="H803" t="s">
        <v>568</v>
      </c>
      <c r="I803">
        <f t="shared" si="88"/>
        <v>0</v>
      </c>
      <c r="J803" t="s">
        <v>564</v>
      </c>
      <c r="K803" s="5">
        <v>100</v>
      </c>
      <c r="L803" t="str">
        <f>Table_DataFromNL[[#This Row],[PROFILECODE]]&amp;"-"&amp;Table_DataFromNL[[#This Row],[RULENAME]]</f>
        <v>CP530-Inconv Fee$50-$100-Comment Req'd</v>
      </c>
      <c r="M803" t="e">
        <f t="shared" si="89"/>
        <v>#N/A</v>
      </c>
    </row>
    <row r="804" spans="1:13" x14ac:dyDescent="0.25">
      <c r="A804" t="str">
        <f t="shared" si="90"/>
        <v>CP530-NSP_ LAPSEDONOR_50_Twice</v>
      </c>
      <c r="B804" t="s">
        <v>158</v>
      </c>
      <c r="C804" t="str">
        <f t="shared" si="84"/>
        <v>Duncanville</v>
      </c>
      <c r="D804" t="str">
        <f t="shared" si="85"/>
        <v>Y</v>
      </c>
      <c r="E804" t="s">
        <v>617</v>
      </c>
      <c r="F804" t="str">
        <f t="shared" si="86"/>
        <v>NSP_ LAPSEDONOR_50_Twice</v>
      </c>
      <c r="G804">
        <f t="shared" si="87"/>
        <v>0</v>
      </c>
      <c r="H804" t="s">
        <v>569</v>
      </c>
      <c r="I804">
        <f t="shared" si="88"/>
        <v>0</v>
      </c>
      <c r="J804" t="s">
        <v>564</v>
      </c>
      <c r="K804" s="5">
        <v>50</v>
      </c>
      <c r="L804" t="str">
        <f>Table_DataFromNL[[#This Row],[PROFILECODE]]&amp;"-"&amp;Table_DataFromNL[[#This Row],[RULENAME]]</f>
        <v>CP530-NSP_ LAPSEDONOR_50_Twice</v>
      </c>
      <c r="M804" t="e">
        <f t="shared" si="89"/>
        <v>#N/A</v>
      </c>
    </row>
    <row r="805" spans="1:13" x14ac:dyDescent="0.25">
      <c r="A805" t="str">
        <f t="shared" si="90"/>
        <v>CP530-NSP_LD_25_2X</v>
      </c>
      <c r="B805" t="s">
        <v>158</v>
      </c>
      <c r="C805" t="str">
        <f t="shared" si="84"/>
        <v>Duncanville</v>
      </c>
      <c r="D805" t="str">
        <f t="shared" si="85"/>
        <v>Y</v>
      </c>
      <c r="E805" t="s">
        <v>617</v>
      </c>
      <c r="F805" t="str">
        <f t="shared" si="86"/>
        <v>NSP_LD_25_2X</v>
      </c>
      <c r="G805">
        <f t="shared" si="87"/>
        <v>0</v>
      </c>
      <c r="H805" t="s">
        <v>570</v>
      </c>
      <c r="I805">
        <f t="shared" si="88"/>
        <v>0</v>
      </c>
      <c r="J805" t="s">
        <v>564</v>
      </c>
      <c r="K805" s="5">
        <v>25</v>
      </c>
      <c r="L805" t="str">
        <f>Table_DataFromNL[[#This Row],[PROFILECODE]]&amp;"-"&amp;Table_DataFromNL[[#This Row],[RULENAME]]</f>
        <v>CP530-NSP_LD_25_2X</v>
      </c>
      <c r="M805" t="e">
        <f t="shared" si="89"/>
        <v>#N/A</v>
      </c>
    </row>
    <row r="806" spans="1:13" x14ac:dyDescent="0.25">
      <c r="A806" t="str">
        <f t="shared" si="90"/>
        <v>CP530-NSP_LD_50_1X</v>
      </c>
      <c r="B806" t="s">
        <v>158</v>
      </c>
      <c r="C806" t="str">
        <f t="shared" si="84"/>
        <v>Duncanville</v>
      </c>
      <c r="D806" t="str">
        <f t="shared" si="85"/>
        <v>Y</v>
      </c>
      <c r="E806" t="s">
        <v>617</v>
      </c>
      <c r="F806" t="str">
        <f t="shared" si="86"/>
        <v>NSP_LD_50_1X</v>
      </c>
      <c r="G806">
        <f t="shared" si="87"/>
        <v>0</v>
      </c>
      <c r="H806" t="s">
        <v>571</v>
      </c>
      <c r="I806">
        <f t="shared" si="88"/>
        <v>0</v>
      </c>
      <c r="J806" t="s">
        <v>564</v>
      </c>
      <c r="K806" s="5">
        <v>50</v>
      </c>
      <c r="L806" t="str">
        <f>Table_DataFromNL[[#This Row],[PROFILECODE]]&amp;"-"&amp;Table_DataFromNL[[#This Row],[RULENAME]]</f>
        <v>CP530-NSP_LD_50_1X</v>
      </c>
      <c r="M806" t="e">
        <f t="shared" si="89"/>
        <v>#N/A</v>
      </c>
    </row>
    <row r="807" spans="1:13" x14ac:dyDescent="0.25">
      <c r="A807" t="str">
        <f t="shared" si="90"/>
        <v>CP530-NSP_ORPHAN_100_once</v>
      </c>
      <c r="B807" t="s">
        <v>158</v>
      </c>
      <c r="C807" t="str">
        <f t="shared" si="84"/>
        <v>Duncanville</v>
      </c>
      <c r="D807" t="str">
        <f t="shared" si="85"/>
        <v>Y</v>
      </c>
      <c r="E807" t="s">
        <v>617</v>
      </c>
      <c r="F807" t="str">
        <f t="shared" si="86"/>
        <v>NSP_ORPHAN_100_once</v>
      </c>
      <c r="G807">
        <f t="shared" si="87"/>
        <v>0</v>
      </c>
      <c r="H807" t="s">
        <v>572</v>
      </c>
      <c r="I807">
        <f t="shared" si="88"/>
        <v>0</v>
      </c>
      <c r="J807" t="s">
        <v>564</v>
      </c>
      <c r="K807" s="5">
        <v>100</v>
      </c>
      <c r="L807" t="str">
        <f>Table_DataFromNL[[#This Row],[PROFILECODE]]&amp;"-"&amp;Table_DataFromNL[[#This Row],[RULENAME]]</f>
        <v>CP530-NSP_ORPHAN_100_once</v>
      </c>
      <c r="M807" t="e">
        <f t="shared" si="89"/>
        <v>#N/A</v>
      </c>
    </row>
    <row r="808" spans="1:13" x14ac:dyDescent="0.25">
      <c r="A808" t="str">
        <f t="shared" si="90"/>
        <v>CP530-Restick</v>
      </c>
      <c r="B808" t="s">
        <v>158</v>
      </c>
      <c r="C808" t="str">
        <f t="shared" si="84"/>
        <v>Duncanville</v>
      </c>
      <c r="D808" t="str">
        <f t="shared" si="85"/>
        <v>Y</v>
      </c>
      <c r="E808" t="s">
        <v>617</v>
      </c>
      <c r="F808" t="str">
        <f t="shared" si="86"/>
        <v>Restick</v>
      </c>
      <c r="G808">
        <f t="shared" si="87"/>
        <v>0</v>
      </c>
      <c r="H808" t="s">
        <v>573</v>
      </c>
      <c r="I808">
        <f t="shared" si="88"/>
        <v>0</v>
      </c>
      <c r="J808" t="s">
        <v>564</v>
      </c>
      <c r="K808" s="5">
        <v>5</v>
      </c>
      <c r="L808" t="str">
        <f>Table_DataFromNL[[#This Row],[PROFILECODE]]&amp;"-"&amp;Table_DataFromNL[[#This Row],[RULENAME]]</f>
        <v>CP530-Restick</v>
      </c>
      <c r="M808" t="e">
        <f t="shared" si="89"/>
        <v>#N/A</v>
      </c>
    </row>
    <row r="809" spans="1:13" x14ac:dyDescent="0.25">
      <c r="A809" t="str">
        <f t="shared" si="90"/>
        <v>CP530-SLOW_TEXT_5</v>
      </c>
      <c r="B809" t="s">
        <v>158</v>
      </c>
      <c r="C809" t="str">
        <f t="shared" si="84"/>
        <v>Duncanville</v>
      </c>
      <c r="D809" t="str">
        <f t="shared" si="85"/>
        <v>Y</v>
      </c>
      <c r="E809" t="s">
        <v>617</v>
      </c>
      <c r="F809" t="str">
        <f t="shared" si="86"/>
        <v>SLOW_TEXT_5</v>
      </c>
      <c r="G809">
        <f t="shared" si="87"/>
        <v>0</v>
      </c>
      <c r="H809" t="s">
        <v>574</v>
      </c>
      <c r="I809">
        <f t="shared" si="88"/>
        <v>0</v>
      </c>
      <c r="J809" t="s">
        <v>564</v>
      </c>
      <c r="K809" s="5">
        <v>5</v>
      </c>
      <c r="L809" t="str">
        <f>Table_DataFromNL[[#This Row],[PROFILECODE]]&amp;"-"&amp;Table_DataFromNL[[#This Row],[RULENAME]]</f>
        <v>CP530-SLOW_TEXT_5</v>
      </c>
      <c r="M809" t="e">
        <f t="shared" si="89"/>
        <v>#N/A</v>
      </c>
    </row>
    <row r="810" spans="1:13" x14ac:dyDescent="0.25">
      <c r="A810" t="str">
        <f t="shared" si="90"/>
        <v>CP530-Unit Below 250 mL</v>
      </c>
      <c r="B810" t="s">
        <v>158</v>
      </c>
      <c r="C810" t="str">
        <f t="shared" si="84"/>
        <v>Duncanville</v>
      </c>
      <c r="D810" t="str">
        <f t="shared" si="85"/>
        <v>Y</v>
      </c>
      <c r="E810" t="s">
        <v>617</v>
      </c>
      <c r="F810" t="str">
        <f t="shared" si="86"/>
        <v>Unit Below 250 mL</v>
      </c>
      <c r="G810">
        <f t="shared" si="87"/>
        <v>0</v>
      </c>
      <c r="H810" t="s">
        <v>576</v>
      </c>
      <c r="I810">
        <f t="shared" si="88"/>
        <v>0</v>
      </c>
      <c r="J810" t="s">
        <v>564</v>
      </c>
      <c r="K810" s="5">
        <v>5</v>
      </c>
      <c r="L810" t="str">
        <f>Table_DataFromNL[[#This Row],[PROFILECODE]]&amp;"-"&amp;Table_DataFromNL[[#This Row],[RULENAME]]</f>
        <v>CP530-Unit Below 250 mL</v>
      </c>
      <c r="M810" t="e">
        <f t="shared" si="89"/>
        <v>#N/A</v>
      </c>
    </row>
    <row r="811" spans="1:13" x14ac:dyDescent="0.25">
      <c r="A811" t="str">
        <f t="shared" si="90"/>
        <v>CP530-Unit above 250 mL/underdraw</v>
      </c>
      <c r="B811" t="s">
        <v>158</v>
      </c>
      <c r="C811" t="str">
        <f t="shared" si="84"/>
        <v>Duncanville</v>
      </c>
      <c r="D811" t="str">
        <f t="shared" si="85"/>
        <v>Y</v>
      </c>
      <c r="E811" t="s">
        <v>617</v>
      </c>
      <c r="F811" t="str">
        <f t="shared" si="86"/>
        <v>Unit above 250 mL/underdraw</v>
      </c>
      <c r="G811">
        <f t="shared" si="87"/>
        <v>0</v>
      </c>
      <c r="H811" t="s">
        <v>577</v>
      </c>
      <c r="I811">
        <f t="shared" si="88"/>
        <v>0</v>
      </c>
      <c r="J811" t="s">
        <v>564</v>
      </c>
      <c r="K811" s="5">
        <v>10</v>
      </c>
      <c r="L811" t="str">
        <f>Table_DataFromNL[[#This Row],[PROFILECODE]]&amp;"-"&amp;Table_DataFromNL[[#This Row],[RULENAME]]</f>
        <v>CP530-Unit above 250 mL/underdraw</v>
      </c>
      <c r="M811" t="e">
        <f t="shared" si="89"/>
        <v>#N/A</v>
      </c>
    </row>
    <row r="812" spans="1:13" x14ac:dyDescent="0.25">
      <c r="A812" t="str">
        <f t="shared" si="90"/>
        <v>CP530-RETURN - Buddy referral  -BONUS</v>
      </c>
      <c r="B812" t="s">
        <v>158</v>
      </c>
      <c r="C812" t="str">
        <f t="shared" si="84"/>
        <v>Duncanville</v>
      </c>
      <c r="D812" t="str">
        <f t="shared" si="85"/>
        <v>Y</v>
      </c>
      <c r="E812" t="s">
        <v>617</v>
      </c>
      <c r="F812" t="str">
        <f t="shared" si="86"/>
        <v>RETURN - Buddy referral  -BONUS</v>
      </c>
      <c r="G812" t="str">
        <f t="shared" si="87"/>
        <v>Marketing</v>
      </c>
      <c r="H812" t="s">
        <v>34</v>
      </c>
      <c r="I812">
        <f t="shared" si="88"/>
        <v>50</v>
      </c>
      <c r="J812" t="s">
        <v>578</v>
      </c>
      <c r="K812" s="5">
        <v>50</v>
      </c>
      <c r="L812" t="str">
        <f>Table_DataFromNL[[#This Row],[PROFILECODE]]&amp;"-"&amp;Table_DataFromNL[[#This Row],[RULENAME]]</f>
        <v>CP530-Referral</v>
      </c>
      <c r="M812" t="str">
        <f t="shared" si="89"/>
        <v>CP530-RETURN - Buddy referral  -BONUS</v>
      </c>
    </row>
    <row r="813" spans="1:13" x14ac:dyDescent="0.25">
      <c r="A813" t="str">
        <f t="shared" si="90"/>
        <v>CP530-P Anti-D Pre-Existing Standard</v>
      </c>
      <c r="B813" t="s">
        <v>158</v>
      </c>
      <c r="C813" t="str">
        <f t="shared" si="84"/>
        <v>Duncanville</v>
      </c>
      <c r="D813" t="str">
        <f t="shared" si="85"/>
        <v>Y</v>
      </c>
      <c r="E813" t="s">
        <v>617</v>
      </c>
      <c r="F813" t="str">
        <f t="shared" si="86"/>
        <v>P Anti-D Pre-Existing Standard</v>
      </c>
      <c r="G813" t="str">
        <f t="shared" si="87"/>
        <v>Specialty</v>
      </c>
      <c r="H813" t="s">
        <v>469</v>
      </c>
      <c r="I813" t="str">
        <f t="shared" si="88"/>
        <v>RETURN - 1st don of the week -STD</v>
      </c>
      <c r="J813" t="s">
        <v>579</v>
      </c>
      <c r="K813" s="5">
        <v>50</v>
      </c>
      <c r="L813" t="str">
        <f>Table_DataFromNL[[#This Row],[PROFILECODE]]&amp;"-"&amp;Table_DataFromNL[[#This Row],[RULENAME]]</f>
        <v>CP530-P Anti-D Pre-Existing Standard</v>
      </c>
      <c r="M813" t="str">
        <f t="shared" si="89"/>
        <v>CP530-P Anti-D Pre-Existing Standard</v>
      </c>
    </row>
    <row r="814" spans="1:13" x14ac:dyDescent="0.25">
      <c r="A814" t="str">
        <f t="shared" si="90"/>
        <v>CP530-RETURN - 1st don of the week -STD</v>
      </c>
      <c r="B814" t="s">
        <v>158</v>
      </c>
      <c r="C814" t="str">
        <f t="shared" si="84"/>
        <v>Duncanville</v>
      </c>
      <c r="D814" t="str">
        <f t="shared" si="85"/>
        <v>Y</v>
      </c>
      <c r="E814" t="s">
        <v>617</v>
      </c>
      <c r="F814" t="str">
        <f t="shared" si="86"/>
        <v>RETURN - 1st don of the week -STD</v>
      </c>
      <c r="G814" t="str">
        <f t="shared" si="87"/>
        <v>Marketing</v>
      </c>
      <c r="H814" t="s">
        <v>583</v>
      </c>
      <c r="I814">
        <f t="shared" si="88"/>
        <v>22</v>
      </c>
      <c r="J814" t="s">
        <v>579</v>
      </c>
      <c r="K814" s="5">
        <v>45</v>
      </c>
      <c r="L814" t="str">
        <f>Table_DataFromNL[[#This Row],[PROFILECODE]]&amp;"-"&amp;Table_DataFromNL[[#This Row],[RULENAME]]</f>
        <v>CP530-P NSP NS AP Standard</v>
      </c>
      <c r="M814" t="str">
        <f t="shared" si="89"/>
        <v>CP530-RETURN - 1st don of the week -STD</v>
      </c>
    </row>
    <row r="815" spans="1:13" x14ac:dyDescent="0.25">
      <c r="A815" t="str">
        <f t="shared" si="90"/>
        <v>CP530-RETURN - 1st don of the week -STD</v>
      </c>
      <c r="B815" t="s">
        <v>158</v>
      </c>
      <c r="C815" t="str">
        <f t="shared" si="84"/>
        <v>Duncanville</v>
      </c>
      <c r="D815" t="str">
        <f t="shared" si="85"/>
        <v>Y</v>
      </c>
      <c r="E815" t="s">
        <v>617</v>
      </c>
      <c r="F815" t="str">
        <f t="shared" si="86"/>
        <v>RETURN - 1st don of the week -STD</v>
      </c>
      <c r="G815" t="str">
        <f t="shared" si="87"/>
        <v>Marketing</v>
      </c>
      <c r="H815" t="s">
        <v>584</v>
      </c>
      <c r="I815">
        <f t="shared" si="88"/>
        <v>23</v>
      </c>
      <c r="J815" t="s">
        <v>579</v>
      </c>
      <c r="K815" s="5">
        <v>45</v>
      </c>
      <c r="L815" t="str">
        <f>Table_DataFromNL[[#This Row],[PROFILECODE]]&amp;"-"&amp;Table_DataFromNL[[#This Row],[RULENAME]]</f>
        <v>CP530-P NSP NS Standard</v>
      </c>
      <c r="M815" t="str">
        <f t="shared" si="89"/>
        <v>CP530-RETURN - 1st don of the week -STD</v>
      </c>
    </row>
    <row r="816" spans="1:13" x14ac:dyDescent="0.25">
      <c r="A816" t="str">
        <f t="shared" si="90"/>
        <v>CP530-RETURN - 1st don of the week -STD</v>
      </c>
      <c r="B816" t="s">
        <v>158</v>
      </c>
      <c r="C816" t="str">
        <f t="shared" si="84"/>
        <v>Duncanville</v>
      </c>
      <c r="D816" t="str">
        <f t="shared" si="85"/>
        <v>Y</v>
      </c>
      <c r="E816" t="s">
        <v>617</v>
      </c>
      <c r="F816" t="str">
        <f t="shared" si="86"/>
        <v>RETURN - 1st don of the week -STD</v>
      </c>
      <c r="G816" t="str">
        <f t="shared" si="87"/>
        <v>Marketing</v>
      </c>
      <c r="H816" t="s">
        <v>607</v>
      </c>
      <c r="I816">
        <f t="shared" si="88"/>
        <v>21</v>
      </c>
      <c r="J816" t="s">
        <v>579</v>
      </c>
      <c r="K816" s="5">
        <v>45</v>
      </c>
      <c r="L816" t="str">
        <f>Table_DataFromNL[[#This Row],[PROFILECODE]]&amp;"-"&amp;Table_DataFromNL[[#This Row],[RULENAME]]</f>
        <v>CP530-P Normal Source PL Standard</v>
      </c>
      <c r="M816" t="str">
        <f t="shared" si="89"/>
        <v>CP530-RETURN - 1st don of the week -STD</v>
      </c>
    </row>
    <row r="817" spans="1:13" x14ac:dyDescent="0.25">
      <c r="A817" t="str">
        <f t="shared" si="90"/>
        <v>CP185-1st Responder-Medical</v>
      </c>
      <c r="B817" t="s">
        <v>96</v>
      </c>
      <c r="C817" t="str">
        <f t="shared" si="84"/>
        <v>El Paso Dyer</v>
      </c>
      <c r="D817" t="str">
        <f t="shared" si="85"/>
        <v>Y</v>
      </c>
      <c r="E817" t="s">
        <v>618</v>
      </c>
      <c r="F817" t="str">
        <f t="shared" si="86"/>
        <v>1st Responder-Medical</v>
      </c>
      <c r="G817">
        <f t="shared" si="87"/>
        <v>0</v>
      </c>
      <c r="H817" t="s">
        <v>545</v>
      </c>
      <c r="I817">
        <f t="shared" si="88"/>
        <v>0</v>
      </c>
      <c r="J817" t="s">
        <v>546</v>
      </c>
      <c r="K817" s="5">
        <v>5</v>
      </c>
      <c r="L817" t="str">
        <f>Table_DataFromNL[[#This Row],[PROFILECODE]]&amp;"-"&amp;Table_DataFromNL[[#This Row],[RULENAME]]</f>
        <v>CP185-1st Responder-Medical</v>
      </c>
      <c r="M817" t="e">
        <f t="shared" si="89"/>
        <v>#N/A</v>
      </c>
    </row>
    <row r="818" spans="1:13" x14ac:dyDescent="0.25">
      <c r="A818" t="str">
        <f t="shared" si="90"/>
        <v>CP185-RETURN - 2nd don of the week -BONUS</v>
      </c>
      <c r="B818" t="s">
        <v>96</v>
      </c>
      <c r="C818" t="str">
        <f t="shared" si="84"/>
        <v>El Paso Dyer</v>
      </c>
      <c r="D818" t="str">
        <f t="shared" si="85"/>
        <v>Y</v>
      </c>
      <c r="E818" t="s">
        <v>618</v>
      </c>
      <c r="F818" t="str">
        <f t="shared" si="86"/>
        <v>RETURN - 2nd don of the week -BONUS</v>
      </c>
      <c r="G818" t="str">
        <f t="shared" si="87"/>
        <v>Marketing</v>
      </c>
      <c r="H818" t="s">
        <v>550</v>
      </c>
      <c r="I818">
        <f t="shared" si="88"/>
        <v>26</v>
      </c>
      <c r="J818" t="s">
        <v>546</v>
      </c>
      <c r="K818" s="5">
        <v>5</v>
      </c>
      <c r="L818" t="str">
        <f>Table_DataFromNL[[#This Row],[PROFILECODE]]&amp;"-"&amp;Table_DataFromNL[[#This Row],[RULENAME]]</f>
        <v>CP185-2X Week P NSP NS</v>
      </c>
      <c r="M818" t="str">
        <f t="shared" si="89"/>
        <v>CP185-RETURN - 2nd don of the week -BONUS</v>
      </c>
    </row>
    <row r="819" spans="1:13" x14ac:dyDescent="0.25">
      <c r="A819" t="str">
        <f t="shared" si="90"/>
        <v>CP185-RETURN - 2nd don of the week -BONUS</v>
      </c>
      <c r="B819" t="s">
        <v>96</v>
      </c>
      <c r="C819" t="str">
        <f t="shared" si="84"/>
        <v>El Paso Dyer</v>
      </c>
      <c r="D819" t="str">
        <f t="shared" si="85"/>
        <v>Y</v>
      </c>
      <c r="E819" t="s">
        <v>618</v>
      </c>
      <c r="F819" t="str">
        <f t="shared" si="86"/>
        <v>RETURN - 2nd don of the week -BONUS</v>
      </c>
      <c r="G819" t="str">
        <f t="shared" si="87"/>
        <v>Marketing</v>
      </c>
      <c r="H819" t="s">
        <v>551</v>
      </c>
      <c r="I819" t="str">
        <f t="shared" si="88"/>
        <v>RETURN - 2nd don of the week -BONUS</v>
      </c>
      <c r="J819" t="s">
        <v>546</v>
      </c>
      <c r="K819" s="5">
        <v>5</v>
      </c>
      <c r="L819" t="str">
        <f>Table_DataFromNL[[#This Row],[PROFILECODE]]&amp;"-"&amp;Table_DataFromNL[[#This Row],[RULENAME]]</f>
        <v>CP185-2X Week P NSP NS AP</v>
      </c>
      <c r="M819" t="str">
        <f t="shared" si="89"/>
        <v>CP185-RETURN - 2nd don of the week -BONUS</v>
      </c>
    </row>
    <row r="820" spans="1:13" x14ac:dyDescent="0.25">
      <c r="A820" t="str">
        <f t="shared" si="90"/>
        <v>CP185-2X Week P VZV Pre-Existing</v>
      </c>
      <c r="B820" t="s">
        <v>96</v>
      </c>
      <c r="C820" t="str">
        <f t="shared" si="84"/>
        <v>El Paso Dyer</v>
      </c>
      <c r="D820" t="str">
        <f t="shared" si="85"/>
        <v>Y</v>
      </c>
      <c r="E820" t="s">
        <v>618</v>
      </c>
      <c r="F820" t="str">
        <f t="shared" si="86"/>
        <v>2X Week P VZV Pre-Existing</v>
      </c>
      <c r="G820" t="str">
        <f t="shared" si="87"/>
        <v>Specialty</v>
      </c>
      <c r="H820" t="s">
        <v>490</v>
      </c>
      <c r="I820" t="str">
        <f t="shared" si="88"/>
        <v>RETURN - 2nd don of the week -BONUS</v>
      </c>
      <c r="J820" t="s">
        <v>546</v>
      </c>
      <c r="K820" s="5">
        <v>5</v>
      </c>
      <c r="L820" t="str">
        <f>Table_DataFromNL[[#This Row],[PROFILECODE]]&amp;"-"&amp;Table_DataFromNL[[#This Row],[RULENAME]]</f>
        <v>CP185-2X Week P VZV Pre-Existing</v>
      </c>
      <c r="M820" t="str">
        <f t="shared" si="89"/>
        <v>CP185-2X Week P VZV Pre-Existing</v>
      </c>
    </row>
    <row r="821" spans="1:13" x14ac:dyDescent="0.25">
      <c r="A821" t="str">
        <f t="shared" si="90"/>
        <v>CP185-2X Week P VZV Pre-Existing AP</v>
      </c>
      <c r="B821" t="s">
        <v>96</v>
      </c>
      <c r="C821" t="str">
        <f t="shared" si="84"/>
        <v>El Paso Dyer</v>
      </c>
      <c r="D821" t="str">
        <f t="shared" si="85"/>
        <v>Y</v>
      </c>
      <c r="E821" t="s">
        <v>618</v>
      </c>
      <c r="F821" t="str">
        <f t="shared" si="86"/>
        <v>2X Week P VZV Pre-Existing AP</v>
      </c>
      <c r="G821" t="str">
        <f t="shared" si="87"/>
        <v>Specialty</v>
      </c>
      <c r="H821" t="s">
        <v>491</v>
      </c>
      <c r="I821" t="str">
        <f t="shared" si="88"/>
        <v>RETURN - 2nd don of the week -BONUS</v>
      </c>
      <c r="J821" t="s">
        <v>546</v>
      </c>
      <c r="K821" s="5">
        <v>5</v>
      </c>
      <c r="L821" t="str">
        <f>Table_DataFromNL[[#This Row],[PROFILECODE]]&amp;"-"&amp;Table_DataFromNL[[#This Row],[RULENAME]]</f>
        <v>CP185-2X Week P VZV Pre-Existing AP</v>
      </c>
      <c r="M821" t="str">
        <f t="shared" si="89"/>
        <v>CP185-2X Week P VZV Pre-Existing AP</v>
      </c>
    </row>
    <row r="822" spans="1:13" x14ac:dyDescent="0.25">
      <c r="A822" t="str">
        <f t="shared" si="90"/>
        <v>CP185-RETURN - 6th don of the month -BONUS</v>
      </c>
      <c r="B822" t="s">
        <v>96</v>
      </c>
      <c r="C822" t="str">
        <f t="shared" si="84"/>
        <v>El Paso Dyer</v>
      </c>
      <c r="D822" t="str">
        <f t="shared" si="85"/>
        <v>Y</v>
      </c>
      <c r="E822" t="s">
        <v>618</v>
      </c>
      <c r="F822" t="str">
        <f t="shared" si="86"/>
        <v>RETURN - 6th don of the month -BONUS</v>
      </c>
      <c r="G822" t="str">
        <f t="shared" si="87"/>
        <v>Marketing</v>
      </c>
      <c r="H822" t="s">
        <v>552</v>
      </c>
      <c r="I822">
        <f t="shared" si="88"/>
        <v>28</v>
      </c>
      <c r="J822" t="s">
        <v>546</v>
      </c>
      <c r="K822" s="5">
        <v>30</v>
      </c>
      <c r="L822" t="str">
        <f>Table_DataFromNL[[#This Row],[PROFILECODE]]&amp;"-"&amp;Table_DataFromNL[[#This Row],[RULENAME]]</f>
        <v>CP185-6X Month</v>
      </c>
      <c r="M822" t="str">
        <f t="shared" si="89"/>
        <v>CP185-RETURN - 6th don of the month -BONUS</v>
      </c>
    </row>
    <row r="823" spans="1:13" x14ac:dyDescent="0.25">
      <c r="A823" t="str">
        <f t="shared" si="90"/>
        <v>CP185-College ID Standard Bonus</v>
      </c>
      <c r="B823" t="s">
        <v>96</v>
      </c>
      <c r="C823" t="str">
        <f t="shared" si="84"/>
        <v>El Paso Dyer</v>
      </c>
      <c r="D823" t="str">
        <f t="shared" si="85"/>
        <v>Y</v>
      </c>
      <c r="E823" t="s">
        <v>618</v>
      </c>
      <c r="F823" t="str">
        <f t="shared" si="86"/>
        <v>College ID Standard Bonus</v>
      </c>
      <c r="G823">
        <f t="shared" si="87"/>
        <v>0</v>
      </c>
      <c r="H823" t="s">
        <v>553</v>
      </c>
      <c r="I823">
        <f t="shared" si="88"/>
        <v>0</v>
      </c>
      <c r="J823" t="s">
        <v>546</v>
      </c>
      <c r="K823" s="5">
        <v>5</v>
      </c>
      <c r="L823" t="str">
        <f>Table_DataFromNL[[#This Row],[PROFILECODE]]&amp;"-"&amp;Table_DataFromNL[[#This Row],[RULENAME]]</f>
        <v>CP185-College ID Standard Bonus</v>
      </c>
      <c r="M823" t="e">
        <f t="shared" si="89"/>
        <v>#N/A</v>
      </c>
    </row>
    <row r="824" spans="1:13" x14ac:dyDescent="0.25">
      <c r="A824" t="str">
        <f t="shared" si="90"/>
        <v>CP185-Military ID</v>
      </c>
      <c r="B824" t="s">
        <v>96</v>
      </c>
      <c r="C824" t="str">
        <f t="shared" si="84"/>
        <v>El Paso Dyer</v>
      </c>
      <c r="D824" t="str">
        <f t="shared" si="85"/>
        <v>Y</v>
      </c>
      <c r="E824" t="s">
        <v>618</v>
      </c>
      <c r="F824" t="str">
        <f t="shared" si="86"/>
        <v>Military ID</v>
      </c>
      <c r="G824">
        <f t="shared" si="87"/>
        <v>0</v>
      </c>
      <c r="H824" t="s">
        <v>554</v>
      </c>
      <c r="I824">
        <f t="shared" si="88"/>
        <v>0</v>
      </c>
      <c r="J824" t="s">
        <v>546</v>
      </c>
      <c r="K824" s="5">
        <v>5</v>
      </c>
      <c r="L824" t="str">
        <f>Table_DataFromNL[[#This Row],[PROFILECODE]]&amp;"-"&amp;Table_DataFromNL[[#This Row],[RULENAME]]</f>
        <v>CP185-Military ID</v>
      </c>
      <c r="M824" t="e">
        <f t="shared" si="89"/>
        <v>#N/A</v>
      </c>
    </row>
    <row r="825" spans="1:13" x14ac:dyDescent="0.25">
      <c r="A825" t="str">
        <f t="shared" si="90"/>
        <v>CP185-NEW DONOR -1st</v>
      </c>
      <c r="B825" t="s">
        <v>96</v>
      </c>
      <c r="C825" t="str">
        <f t="shared" si="84"/>
        <v>El Paso Dyer</v>
      </c>
      <c r="D825" t="str">
        <f t="shared" si="85"/>
        <v>Y</v>
      </c>
      <c r="E825" t="s">
        <v>618</v>
      </c>
      <c r="F825" t="str">
        <f t="shared" si="86"/>
        <v>NEW DONOR -1st</v>
      </c>
      <c r="G825" t="str">
        <f t="shared" si="87"/>
        <v>Marketing</v>
      </c>
      <c r="H825" t="s">
        <v>555</v>
      </c>
      <c r="I825">
        <f t="shared" si="88"/>
        <v>1</v>
      </c>
      <c r="J825" t="s">
        <v>546</v>
      </c>
      <c r="K825" s="5">
        <v>65</v>
      </c>
      <c r="L825" t="str">
        <f>Table_DataFromNL[[#This Row],[PROFILECODE]]&amp;"-"&amp;Table_DataFromNL[[#This Row],[RULENAME]]</f>
        <v>CP185-New Donor 1st Visit-Bonus</v>
      </c>
      <c r="M825" t="str">
        <f t="shared" si="89"/>
        <v>CP185-NEW DONOR -1st</v>
      </c>
    </row>
    <row r="826" spans="1:13" x14ac:dyDescent="0.25">
      <c r="A826" t="str">
        <f t="shared" si="90"/>
        <v>CP185-NEW DONOR -2nd</v>
      </c>
      <c r="B826" t="s">
        <v>96</v>
      </c>
      <c r="C826" t="str">
        <f t="shared" si="84"/>
        <v>El Paso Dyer</v>
      </c>
      <c r="D826" t="str">
        <f t="shared" si="85"/>
        <v>Y</v>
      </c>
      <c r="E826" t="s">
        <v>618</v>
      </c>
      <c r="F826" t="str">
        <f t="shared" si="86"/>
        <v>NEW DONOR -2nd</v>
      </c>
      <c r="G826" t="str">
        <f t="shared" si="87"/>
        <v>Marketing</v>
      </c>
      <c r="H826" t="s">
        <v>556</v>
      </c>
      <c r="I826">
        <f t="shared" si="88"/>
        <v>2</v>
      </c>
      <c r="J826" t="s">
        <v>546</v>
      </c>
      <c r="K826" s="5">
        <v>65</v>
      </c>
      <c r="L826" t="str">
        <f>Table_DataFromNL[[#This Row],[PROFILECODE]]&amp;"-"&amp;Table_DataFromNL[[#This Row],[RULENAME]]</f>
        <v>CP185-New Donor 2nd Visit-Bonus</v>
      </c>
      <c r="M826" t="str">
        <f t="shared" si="89"/>
        <v>CP185-NEW DONOR -2nd</v>
      </c>
    </row>
    <row r="827" spans="1:13" x14ac:dyDescent="0.25">
      <c r="A827" t="str">
        <f t="shared" si="90"/>
        <v>CP185-NEW DONOR -3rd</v>
      </c>
      <c r="B827" t="s">
        <v>96</v>
      </c>
      <c r="C827" t="str">
        <f t="shared" si="84"/>
        <v>El Paso Dyer</v>
      </c>
      <c r="D827" t="str">
        <f t="shared" si="85"/>
        <v>Y</v>
      </c>
      <c r="E827" t="s">
        <v>618</v>
      </c>
      <c r="F827" t="str">
        <f t="shared" si="86"/>
        <v>NEW DONOR -3rd</v>
      </c>
      <c r="G827" t="str">
        <f t="shared" si="87"/>
        <v>Marketing</v>
      </c>
      <c r="H827" t="s">
        <v>557</v>
      </c>
      <c r="I827">
        <f t="shared" si="88"/>
        <v>3</v>
      </c>
      <c r="J827" t="s">
        <v>546</v>
      </c>
      <c r="K827" s="5">
        <v>65</v>
      </c>
      <c r="L827" t="str">
        <f>Table_DataFromNL[[#This Row],[PROFILECODE]]&amp;"-"&amp;Table_DataFromNL[[#This Row],[RULENAME]]</f>
        <v>CP185-New Donor 3rd Visit-Bonus</v>
      </c>
      <c r="M827" t="str">
        <f t="shared" si="89"/>
        <v>CP185-NEW DONOR -3rd</v>
      </c>
    </row>
    <row r="828" spans="1:13" x14ac:dyDescent="0.25">
      <c r="A828" t="str">
        <f t="shared" si="90"/>
        <v>CP185-NEW DONOR -4th</v>
      </c>
      <c r="B828" t="s">
        <v>96</v>
      </c>
      <c r="C828" t="str">
        <f t="shared" si="84"/>
        <v>El Paso Dyer</v>
      </c>
      <c r="D828" t="str">
        <f t="shared" si="85"/>
        <v>Y</v>
      </c>
      <c r="E828" t="s">
        <v>618</v>
      </c>
      <c r="F828" t="str">
        <f t="shared" si="86"/>
        <v>NEW DONOR -4th</v>
      </c>
      <c r="G828" t="str">
        <f t="shared" si="87"/>
        <v>Marketing</v>
      </c>
      <c r="H828" t="s">
        <v>558</v>
      </c>
      <c r="I828">
        <f t="shared" si="88"/>
        <v>4</v>
      </c>
      <c r="J828" t="s">
        <v>546</v>
      </c>
      <c r="K828" s="5">
        <v>65</v>
      </c>
      <c r="L828" t="str">
        <f>Table_DataFromNL[[#This Row],[PROFILECODE]]&amp;"-"&amp;Table_DataFromNL[[#This Row],[RULENAME]]</f>
        <v>CP185-New Donor 4th Visit-Bonus</v>
      </c>
      <c r="M828" t="str">
        <f t="shared" si="89"/>
        <v>CP185-NEW DONOR -4th</v>
      </c>
    </row>
    <row r="829" spans="1:13" x14ac:dyDescent="0.25">
      <c r="A829" t="str">
        <f t="shared" si="90"/>
        <v>CP185-NEW DONOR -5th</v>
      </c>
      <c r="B829" t="s">
        <v>96</v>
      </c>
      <c r="C829" t="str">
        <f t="shared" si="84"/>
        <v>El Paso Dyer</v>
      </c>
      <c r="D829" t="str">
        <f t="shared" si="85"/>
        <v>Y</v>
      </c>
      <c r="E829" t="s">
        <v>618</v>
      </c>
      <c r="F829" t="str">
        <f t="shared" si="86"/>
        <v>NEW DONOR -5th</v>
      </c>
      <c r="G829" t="str">
        <f t="shared" si="87"/>
        <v>Marketing</v>
      </c>
      <c r="H829" t="s">
        <v>559</v>
      </c>
      <c r="I829">
        <f t="shared" si="88"/>
        <v>5</v>
      </c>
      <c r="J829" t="s">
        <v>546</v>
      </c>
      <c r="K829" s="5">
        <v>65</v>
      </c>
      <c r="L829" t="str">
        <f>Table_DataFromNL[[#This Row],[PROFILECODE]]&amp;"-"&amp;Table_DataFromNL[[#This Row],[RULENAME]]</f>
        <v>CP185-New Donor 5th Visit-Bonus</v>
      </c>
      <c r="M829" t="str">
        <f t="shared" si="89"/>
        <v>CP185-NEW DONOR -5th</v>
      </c>
    </row>
    <row r="830" spans="1:13" x14ac:dyDescent="0.25">
      <c r="A830" t="str">
        <f t="shared" si="90"/>
        <v>CP185-NEW DONOR -6th</v>
      </c>
      <c r="B830" t="s">
        <v>96</v>
      </c>
      <c r="C830" t="str">
        <f t="shared" si="84"/>
        <v>El Paso Dyer</v>
      </c>
      <c r="D830" t="str">
        <f t="shared" si="85"/>
        <v>Y</v>
      </c>
      <c r="E830" t="s">
        <v>618</v>
      </c>
      <c r="F830" t="str">
        <f t="shared" si="86"/>
        <v>NEW DONOR -6th</v>
      </c>
      <c r="G830" t="str">
        <f t="shared" si="87"/>
        <v>Marketing</v>
      </c>
      <c r="H830" t="s">
        <v>560</v>
      </c>
      <c r="I830">
        <f t="shared" si="88"/>
        <v>6</v>
      </c>
      <c r="J830" t="s">
        <v>546</v>
      </c>
      <c r="K830" s="5">
        <v>65</v>
      </c>
      <c r="L830" t="str">
        <f>Table_DataFromNL[[#This Row],[PROFILECODE]]&amp;"-"&amp;Table_DataFromNL[[#This Row],[RULENAME]]</f>
        <v>CP185-New Donor 6th Visit-Bonus</v>
      </c>
      <c r="M830" t="str">
        <f t="shared" si="89"/>
        <v>CP185-NEW DONOR -6th</v>
      </c>
    </row>
    <row r="831" spans="1:13" x14ac:dyDescent="0.25">
      <c r="A831" t="str">
        <f t="shared" si="90"/>
        <v>CP185-NEW DONOR -7th</v>
      </c>
      <c r="B831" t="s">
        <v>96</v>
      </c>
      <c r="C831" t="str">
        <f t="shared" si="84"/>
        <v>El Paso Dyer</v>
      </c>
      <c r="D831" t="str">
        <f t="shared" si="85"/>
        <v>Y</v>
      </c>
      <c r="E831" t="s">
        <v>618</v>
      </c>
      <c r="F831" t="str">
        <f t="shared" si="86"/>
        <v>NEW DONOR -7th</v>
      </c>
      <c r="G831" t="str">
        <f t="shared" si="87"/>
        <v>Marketing</v>
      </c>
      <c r="H831" t="s">
        <v>561</v>
      </c>
      <c r="I831">
        <f t="shared" si="88"/>
        <v>7</v>
      </c>
      <c r="J831" t="s">
        <v>546</v>
      </c>
      <c r="K831" s="5">
        <v>65</v>
      </c>
      <c r="L831" t="str">
        <f>Table_DataFromNL[[#This Row],[PROFILECODE]]&amp;"-"&amp;Table_DataFromNL[[#This Row],[RULENAME]]</f>
        <v>CP185-New Donor 7th Visit-Bonus</v>
      </c>
      <c r="M831" t="str">
        <f t="shared" si="89"/>
        <v>CP185-NEW DONOR -7th</v>
      </c>
    </row>
    <row r="832" spans="1:13" x14ac:dyDescent="0.25">
      <c r="A832" t="str">
        <f t="shared" si="90"/>
        <v>CP185-NEW DONOR -8th</v>
      </c>
      <c r="B832" t="s">
        <v>96</v>
      </c>
      <c r="C832" t="str">
        <f t="shared" si="84"/>
        <v>El Paso Dyer</v>
      </c>
      <c r="D832" t="str">
        <f t="shared" si="85"/>
        <v>Y</v>
      </c>
      <c r="E832" t="s">
        <v>618</v>
      </c>
      <c r="F832" t="str">
        <f t="shared" si="86"/>
        <v>NEW DONOR -8th</v>
      </c>
      <c r="G832" t="str">
        <f t="shared" si="87"/>
        <v>Marketing</v>
      </c>
      <c r="H832" t="s">
        <v>562</v>
      </c>
      <c r="I832">
        <f t="shared" si="88"/>
        <v>8</v>
      </c>
      <c r="J832" t="s">
        <v>546</v>
      </c>
      <c r="K832" s="5">
        <v>65</v>
      </c>
      <c r="L832" t="str">
        <f>Table_DataFromNL[[#This Row],[PROFILECODE]]&amp;"-"&amp;Table_DataFromNL[[#This Row],[RULENAME]]</f>
        <v>CP185-New Donor 8th Visit-Bonus</v>
      </c>
      <c r="M832" t="str">
        <f t="shared" si="89"/>
        <v>CP185-NEW DONOR -8th</v>
      </c>
    </row>
    <row r="833" spans="1:13" x14ac:dyDescent="0.25">
      <c r="A833" t="str">
        <f t="shared" si="90"/>
        <v>CP185-Vaccinia - 1st Donation</v>
      </c>
      <c r="B833" t="s">
        <v>96</v>
      </c>
      <c r="C833" t="str">
        <f t="shared" si="84"/>
        <v>El Paso Dyer</v>
      </c>
      <c r="D833" t="str">
        <f t="shared" si="85"/>
        <v>Y</v>
      </c>
      <c r="E833" t="s">
        <v>618</v>
      </c>
      <c r="F833" t="str">
        <f t="shared" si="86"/>
        <v>Vaccinia - 1st Donation</v>
      </c>
      <c r="G833" t="str">
        <f t="shared" si="87"/>
        <v>Specialty</v>
      </c>
      <c r="H833" t="s">
        <v>477</v>
      </c>
      <c r="I833">
        <f t="shared" si="88"/>
        <v>0</v>
      </c>
      <c r="J833" t="s">
        <v>546</v>
      </c>
      <c r="K833" s="5">
        <v>150</v>
      </c>
      <c r="L833" t="str">
        <f>Table_DataFromNL[[#This Row],[PROFILECODE]]&amp;"-"&amp;Table_DataFromNL[[#This Row],[RULENAME]]</f>
        <v>CP185-Vaccinia - 1st Donation</v>
      </c>
      <c r="M833" t="str">
        <f t="shared" si="89"/>
        <v>CP185-Vaccinia - 1st Donation</v>
      </c>
    </row>
    <row r="834" spans="1:13" x14ac:dyDescent="0.25">
      <c r="A834" t="str">
        <f t="shared" si="90"/>
        <v>CP185-Vaccinia - 2nd Donation</v>
      </c>
      <c r="B834" t="s">
        <v>96</v>
      </c>
      <c r="C834" t="str">
        <f t="shared" ref="C834:C897" si="91">VLOOKUP(B834,CenterLU,2,FALSE)</f>
        <v>El Paso Dyer</v>
      </c>
      <c r="D834" t="str">
        <f t="shared" ref="D834:D897" si="92">VLOOKUP(B834,CenterLU,3,FALSE)</f>
        <v>Y</v>
      </c>
      <c r="E834" t="s">
        <v>618</v>
      </c>
      <c r="F834" t="str">
        <f t="shared" ref="F834:F897" si="93">IF(VLOOKUP(H834,RULENAMELU,3,FALSE)=0,H834,VLOOKUP(H834,RULENAMELU,3,FALSE))</f>
        <v>Vaccinia - 2nd Donation</v>
      </c>
      <c r="G834" t="str">
        <f t="shared" ref="G834:G897" si="94">VLOOKUP(H834,RULENAMELU,4,FALSE)</f>
        <v>Specialty</v>
      </c>
      <c r="H834" t="s">
        <v>478</v>
      </c>
      <c r="I834">
        <f t="shared" ref="I834:I897" si="95">VLOOKUP(H834,RULENAMELU,5,FALSE)</f>
        <v>0</v>
      </c>
      <c r="J834" t="s">
        <v>546</v>
      </c>
      <c r="K834" s="5">
        <v>250</v>
      </c>
      <c r="L834" t="str">
        <f>Table_DataFromNL[[#This Row],[PROFILECODE]]&amp;"-"&amp;Table_DataFromNL[[#This Row],[RULENAME]]</f>
        <v>CP185-Vaccinia - 2nd Donation</v>
      </c>
      <c r="M834" t="str">
        <f t="shared" ref="M834:M897" si="96">IFERROR(VLOOKUP(A834,PaychangesLU,1,FALSE),VLOOKUP(A834,SpecialtyCheckLU,1,FALSE))</f>
        <v>CP185-Vaccinia - 2nd Donation</v>
      </c>
    </row>
    <row r="835" spans="1:13" x14ac:dyDescent="0.25">
      <c r="A835" t="str">
        <f t="shared" ref="A835:A898" si="97">B835&amp;"-"&amp;F835</f>
        <v>CP185-Vaccinia - 3rd Donation</v>
      </c>
      <c r="B835" t="s">
        <v>96</v>
      </c>
      <c r="C835" t="str">
        <f t="shared" si="91"/>
        <v>El Paso Dyer</v>
      </c>
      <c r="D835" t="str">
        <f t="shared" si="92"/>
        <v>Y</v>
      </c>
      <c r="E835" t="s">
        <v>618</v>
      </c>
      <c r="F835" t="str">
        <f t="shared" si="93"/>
        <v>Vaccinia - 3rd Donation</v>
      </c>
      <c r="G835" t="str">
        <f t="shared" si="94"/>
        <v>Specialty</v>
      </c>
      <c r="H835" t="s">
        <v>479</v>
      </c>
      <c r="I835">
        <f t="shared" si="95"/>
        <v>0</v>
      </c>
      <c r="J835" t="s">
        <v>546</v>
      </c>
      <c r="K835" s="5">
        <v>300</v>
      </c>
      <c r="L835" t="str">
        <f>Table_DataFromNL[[#This Row],[PROFILECODE]]&amp;"-"&amp;Table_DataFromNL[[#This Row],[RULENAME]]</f>
        <v>CP185-Vaccinia - 3rd Donation</v>
      </c>
      <c r="M835" t="str">
        <f t="shared" si="96"/>
        <v>CP185-Vaccinia - 3rd Donation</v>
      </c>
    </row>
    <row r="836" spans="1:13" x14ac:dyDescent="0.25">
      <c r="A836" t="str">
        <f t="shared" si="97"/>
        <v>CP185-Vaccinia - 4th Donation</v>
      </c>
      <c r="B836" t="s">
        <v>96</v>
      </c>
      <c r="C836" t="str">
        <f t="shared" si="91"/>
        <v>El Paso Dyer</v>
      </c>
      <c r="D836" t="str">
        <f t="shared" si="92"/>
        <v>Y</v>
      </c>
      <c r="E836" t="s">
        <v>618</v>
      </c>
      <c r="F836" t="str">
        <f t="shared" si="93"/>
        <v>Vaccinia - 4th Donation</v>
      </c>
      <c r="G836" t="str">
        <f t="shared" si="94"/>
        <v>Specialty</v>
      </c>
      <c r="H836" t="s">
        <v>480</v>
      </c>
      <c r="I836">
        <f t="shared" si="95"/>
        <v>0</v>
      </c>
      <c r="J836" t="s">
        <v>546</v>
      </c>
      <c r="K836" s="5">
        <v>300</v>
      </c>
      <c r="L836" t="str">
        <f>Table_DataFromNL[[#This Row],[PROFILECODE]]&amp;"-"&amp;Table_DataFromNL[[#This Row],[RULENAME]]</f>
        <v>CP185-Vaccinia - 4th Donation</v>
      </c>
      <c r="M836" t="str">
        <f t="shared" si="96"/>
        <v>CP185-Vaccinia - 4th Donation</v>
      </c>
    </row>
    <row r="837" spans="1:13" x14ac:dyDescent="0.25">
      <c r="A837" t="str">
        <f t="shared" si="97"/>
        <v>CP185-Vaccinia AP - 1st Donation</v>
      </c>
      <c r="B837" t="s">
        <v>96</v>
      </c>
      <c r="C837" t="str">
        <f t="shared" si="91"/>
        <v>El Paso Dyer</v>
      </c>
      <c r="D837" t="str">
        <f t="shared" si="92"/>
        <v>Y</v>
      </c>
      <c r="E837" t="s">
        <v>618</v>
      </c>
      <c r="F837" t="str">
        <f t="shared" si="93"/>
        <v>Vaccinia AP - 1st Donation</v>
      </c>
      <c r="G837" t="str">
        <f t="shared" si="94"/>
        <v>Specialty</v>
      </c>
      <c r="H837" t="s">
        <v>481</v>
      </c>
      <c r="I837">
        <f t="shared" si="95"/>
        <v>0</v>
      </c>
      <c r="J837" t="s">
        <v>546</v>
      </c>
      <c r="K837" s="5">
        <v>150</v>
      </c>
      <c r="L837" t="str">
        <f>Table_DataFromNL[[#This Row],[PROFILECODE]]&amp;"-"&amp;Table_DataFromNL[[#This Row],[RULENAME]]</f>
        <v>CP185-Vaccinia AP - 1st Donation</v>
      </c>
      <c r="M837" t="str">
        <f t="shared" si="96"/>
        <v>CP185-Vaccinia AP - 1st Donation</v>
      </c>
    </row>
    <row r="838" spans="1:13" x14ac:dyDescent="0.25">
      <c r="A838" t="str">
        <f t="shared" si="97"/>
        <v>CP185-Vaccinia AP - 2nd Donation</v>
      </c>
      <c r="B838" t="s">
        <v>96</v>
      </c>
      <c r="C838" t="str">
        <f t="shared" si="91"/>
        <v>El Paso Dyer</v>
      </c>
      <c r="D838" t="str">
        <f t="shared" si="92"/>
        <v>Y</v>
      </c>
      <c r="E838" t="s">
        <v>618</v>
      </c>
      <c r="F838" t="str">
        <f t="shared" si="93"/>
        <v>Vaccinia AP - 2nd Donation</v>
      </c>
      <c r="G838" t="str">
        <f t="shared" si="94"/>
        <v>Specialty</v>
      </c>
      <c r="H838" t="s">
        <v>482</v>
      </c>
      <c r="I838">
        <f t="shared" si="95"/>
        <v>0</v>
      </c>
      <c r="J838" t="s">
        <v>546</v>
      </c>
      <c r="K838" s="5">
        <v>250</v>
      </c>
      <c r="L838" t="str">
        <f>Table_DataFromNL[[#This Row],[PROFILECODE]]&amp;"-"&amp;Table_DataFromNL[[#This Row],[RULENAME]]</f>
        <v>CP185-Vaccinia AP - 2nd Donation</v>
      </c>
      <c r="M838" t="str">
        <f t="shared" si="96"/>
        <v>CP185-Vaccinia AP - 2nd Donation</v>
      </c>
    </row>
    <row r="839" spans="1:13" x14ac:dyDescent="0.25">
      <c r="A839" t="str">
        <f t="shared" si="97"/>
        <v>CP185-Vaccinia AP - 3rd Donation</v>
      </c>
      <c r="B839" t="s">
        <v>96</v>
      </c>
      <c r="C839" t="str">
        <f t="shared" si="91"/>
        <v>El Paso Dyer</v>
      </c>
      <c r="D839" t="str">
        <f t="shared" si="92"/>
        <v>Y</v>
      </c>
      <c r="E839" t="s">
        <v>618</v>
      </c>
      <c r="F839" t="str">
        <f t="shared" si="93"/>
        <v>Vaccinia AP - 3rd Donation</v>
      </c>
      <c r="G839" t="str">
        <f t="shared" si="94"/>
        <v>Specialty</v>
      </c>
      <c r="H839" t="s">
        <v>483</v>
      </c>
      <c r="I839">
        <f t="shared" si="95"/>
        <v>0</v>
      </c>
      <c r="J839" t="s">
        <v>546</v>
      </c>
      <c r="K839" s="5">
        <v>300</v>
      </c>
      <c r="L839" t="str">
        <f>Table_DataFromNL[[#This Row],[PROFILECODE]]&amp;"-"&amp;Table_DataFromNL[[#This Row],[RULENAME]]</f>
        <v>CP185-Vaccinia AP - 3rd Donation</v>
      </c>
      <c r="M839" t="str">
        <f t="shared" si="96"/>
        <v>CP185-Vaccinia AP - 3rd Donation</v>
      </c>
    </row>
    <row r="840" spans="1:13" x14ac:dyDescent="0.25">
      <c r="A840" t="str">
        <f t="shared" si="97"/>
        <v>CP185-Vaccinia AP - 4th Donation</v>
      </c>
      <c r="B840" t="s">
        <v>96</v>
      </c>
      <c r="C840" t="str">
        <f t="shared" si="91"/>
        <v>El Paso Dyer</v>
      </c>
      <c r="D840" t="str">
        <f t="shared" si="92"/>
        <v>Y</v>
      </c>
      <c r="E840" t="s">
        <v>618</v>
      </c>
      <c r="F840" t="str">
        <f t="shared" si="93"/>
        <v>Vaccinia AP - 4th Donation</v>
      </c>
      <c r="G840" t="str">
        <f t="shared" si="94"/>
        <v>Specialty</v>
      </c>
      <c r="H840" t="s">
        <v>484</v>
      </c>
      <c r="I840">
        <f t="shared" si="95"/>
        <v>0</v>
      </c>
      <c r="J840" t="s">
        <v>546</v>
      </c>
      <c r="K840" s="5">
        <v>300</v>
      </c>
      <c r="L840" t="str">
        <f>Table_DataFromNL[[#This Row],[PROFILECODE]]&amp;"-"&amp;Table_DataFromNL[[#This Row],[RULENAME]]</f>
        <v>CP185-Vaccinia AP - 4th Donation</v>
      </c>
      <c r="M840" t="str">
        <f t="shared" si="96"/>
        <v>CP185-Vaccinia AP - 4th Donation</v>
      </c>
    </row>
    <row r="841" spans="1:13" x14ac:dyDescent="0.25">
      <c r="A841" t="str">
        <f t="shared" si="97"/>
        <v>CP185-Community</v>
      </c>
      <c r="B841" t="s">
        <v>96</v>
      </c>
      <c r="C841" t="str">
        <f t="shared" si="91"/>
        <v>El Paso Dyer</v>
      </c>
      <c r="D841" t="str">
        <f t="shared" si="92"/>
        <v>Y</v>
      </c>
      <c r="E841" t="s">
        <v>618</v>
      </c>
      <c r="F841" t="str">
        <f t="shared" si="93"/>
        <v>Community</v>
      </c>
      <c r="G841">
        <f t="shared" si="94"/>
        <v>0</v>
      </c>
      <c r="H841" t="s">
        <v>563</v>
      </c>
      <c r="I841">
        <f t="shared" si="95"/>
        <v>0</v>
      </c>
      <c r="J841" t="s">
        <v>564</v>
      </c>
      <c r="K841" s="5">
        <v>5</v>
      </c>
      <c r="L841" t="str">
        <f>Table_DataFromNL[[#This Row],[PROFILECODE]]&amp;"-"&amp;Table_DataFromNL[[#This Row],[RULENAME]]</f>
        <v>CP185-Community</v>
      </c>
      <c r="M841" t="e">
        <f t="shared" si="96"/>
        <v>#N/A</v>
      </c>
    </row>
    <row r="842" spans="1:13" x14ac:dyDescent="0.25">
      <c r="A842" t="str">
        <f t="shared" si="97"/>
        <v>CP185-HANGER_RECRUIT_5USD_once</v>
      </c>
      <c r="B842" t="s">
        <v>96</v>
      </c>
      <c r="C842" t="str">
        <f t="shared" si="91"/>
        <v>El Paso Dyer</v>
      </c>
      <c r="D842" t="str">
        <f t="shared" si="92"/>
        <v>Y</v>
      </c>
      <c r="E842" t="s">
        <v>618</v>
      </c>
      <c r="F842" t="str">
        <f t="shared" si="93"/>
        <v>HANGER_RECRUIT_5USD_once</v>
      </c>
      <c r="G842">
        <f t="shared" si="94"/>
        <v>0</v>
      </c>
      <c r="H842" t="s">
        <v>565</v>
      </c>
      <c r="I842">
        <f t="shared" si="95"/>
        <v>0</v>
      </c>
      <c r="J842" t="s">
        <v>564</v>
      </c>
      <c r="K842" s="5">
        <v>5</v>
      </c>
      <c r="L842" t="str">
        <f>Table_DataFromNL[[#This Row],[PROFILECODE]]&amp;"-"&amp;Table_DataFromNL[[#This Row],[RULENAME]]</f>
        <v>CP185-HANGER_RECRUIT_5USD_once</v>
      </c>
      <c r="M842" t="e">
        <f t="shared" si="96"/>
        <v>#N/A</v>
      </c>
    </row>
    <row r="843" spans="1:13" x14ac:dyDescent="0.25">
      <c r="A843" t="str">
        <f t="shared" si="97"/>
        <v>CP185-Inconv Fee $20-$50-Comment Req'd</v>
      </c>
      <c r="B843" t="s">
        <v>96</v>
      </c>
      <c r="C843" t="str">
        <f t="shared" si="91"/>
        <v>El Paso Dyer</v>
      </c>
      <c r="D843" t="str">
        <f t="shared" si="92"/>
        <v>Y</v>
      </c>
      <c r="E843" t="s">
        <v>618</v>
      </c>
      <c r="F843" t="str">
        <f t="shared" si="93"/>
        <v>Inconv Fee $20-$50-Comment Req'd</v>
      </c>
      <c r="G843">
        <f t="shared" si="94"/>
        <v>0</v>
      </c>
      <c r="H843" t="s">
        <v>566</v>
      </c>
      <c r="I843">
        <f t="shared" si="95"/>
        <v>0</v>
      </c>
      <c r="J843" t="s">
        <v>564</v>
      </c>
      <c r="K843" s="5">
        <v>50</v>
      </c>
      <c r="L843" t="str">
        <f>Table_DataFromNL[[#This Row],[PROFILECODE]]&amp;"-"&amp;Table_DataFromNL[[#This Row],[RULENAME]]</f>
        <v>CP185-Inconv Fee $20-$50-Comment Req'd</v>
      </c>
      <c r="M843" t="e">
        <f t="shared" si="96"/>
        <v>#N/A</v>
      </c>
    </row>
    <row r="844" spans="1:13" x14ac:dyDescent="0.25">
      <c r="A844" t="str">
        <f t="shared" si="97"/>
        <v>CP185-Inconv Fee $5-$20-Comment Req'd</v>
      </c>
      <c r="B844" t="s">
        <v>96</v>
      </c>
      <c r="C844" t="str">
        <f t="shared" si="91"/>
        <v>El Paso Dyer</v>
      </c>
      <c r="D844" t="str">
        <f t="shared" si="92"/>
        <v>Y</v>
      </c>
      <c r="E844" t="s">
        <v>618</v>
      </c>
      <c r="F844" t="str">
        <f t="shared" si="93"/>
        <v>Inconv Fee $5-$20-Comment Req'd</v>
      </c>
      <c r="G844">
        <f t="shared" si="94"/>
        <v>0</v>
      </c>
      <c r="H844" t="s">
        <v>567</v>
      </c>
      <c r="I844">
        <f t="shared" si="95"/>
        <v>0</v>
      </c>
      <c r="J844" t="s">
        <v>564</v>
      </c>
      <c r="K844" s="5">
        <v>20</v>
      </c>
      <c r="L844" t="str">
        <f>Table_DataFromNL[[#This Row],[PROFILECODE]]&amp;"-"&amp;Table_DataFromNL[[#This Row],[RULENAME]]</f>
        <v>CP185-Inconv Fee $5-$20-Comment Req'd</v>
      </c>
      <c r="M844" t="e">
        <f t="shared" si="96"/>
        <v>#N/A</v>
      </c>
    </row>
    <row r="845" spans="1:13" x14ac:dyDescent="0.25">
      <c r="A845" t="str">
        <f t="shared" si="97"/>
        <v>CP185-Inconv Fee$50-$100-Comment Req'd</v>
      </c>
      <c r="B845" t="s">
        <v>96</v>
      </c>
      <c r="C845" t="str">
        <f t="shared" si="91"/>
        <v>El Paso Dyer</v>
      </c>
      <c r="D845" t="str">
        <f t="shared" si="92"/>
        <v>Y</v>
      </c>
      <c r="E845" t="s">
        <v>618</v>
      </c>
      <c r="F845" t="str">
        <f t="shared" si="93"/>
        <v>Inconv Fee$50-$100-Comment Req'd</v>
      </c>
      <c r="G845">
        <f t="shared" si="94"/>
        <v>0</v>
      </c>
      <c r="H845" t="s">
        <v>568</v>
      </c>
      <c r="I845">
        <f t="shared" si="95"/>
        <v>0</v>
      </c>
      <c r="J845" t="s">
        <v>564</v>
      </c>
      <c r="K845" s="5">
        <v>100</v>
      </c>
      <c r="L845" t="str">
        <f>Table_DataFromNL[[#This Row],[PROFILECODE]]&amp;"-"&amp;Table_DataFromNL[[#This Row],[RULENAME]]</f>
        <v>CP185-Inconv Fee$50-$100-Comment Req'd</v>
      </c>
      <c r="M845" t="e">
        <f t="shared" si="96"/>
        <v>#N/A</v>
      </c>
    </row>
    <row r="846" spans="1:13" x14ac:dyDescent="0.25">
      <c r="A846" t="str">
        <f t="shared" si="97"/>
        <v>CP185-MONDAY_COUPON_RETENTION_10_once</v>
      </c>
      <c r="B846" t="s">
        <v>96</v>
      </c>
      <c r="C846" t="str">
        <f t="shared" si="91"/>
        <v>El Paso Dyer</v>
      </c>
      <c r="D846" t="str">
        <f t="shared" si="92"/>
        <v>Y</v>
      </c>
      <c r="E846" t="s">
        <v>618</v>
      </c>
      <c r="F846" t="str">
        <f t="shared" si="93"/>
        <v>MONDAY_COUPON_RETENTION_10_once</v>
      </c>
      <c r="G846">
        <f t="shared" si="94"/>
        <v>0</v>
      </c>
      <c r="H846" t="s">
        <v>594</v>
      </c>
      <c r="I846">
        <f t="shared" si="95"/>
        <v>0</v>
      </c>
      <c r="J846" t="s">
        <v>564</v>
      </c>
      <c r="K846" s="5">
        <v>10</v>
      </c>
      <c r="L846" t="str">
        <f>Table_DataFromNL[[#This Row],[PROFILECODE]]&amp;"-"&amp;Table_DataFromNL[[#This Row],[RULENAME]]</f>
        <v>CP185-MONDAY_COUPON_RETENTION_10_once</v>
      </c>
      <c r="M846" t="e">
        <f t="shared" si="96"/>
        <v>#N/A</v>
      </c>
    </row>
    <row r="847" spans="1:13" x14ac:dyDescent="0.25">
      <c r="A847" t="str">
        <f t="shared" si="97"/>
        <v>CP185-NSP_ LAPSEDONOR_50_Twice</v>
      </c>
      <c r="B847" t="s">
        <v>96</v>
      </c>
      <c r="C847" t="str">
        <f t="shared" si="91"/>
        <v>El Paso Dyer</v>
      </c>
      <c r="D847" t="str">
        <f t="shared" si="92"/>
        <v>Y</v>
      </c>
      <c r="E847" t="s">
        <v>618</v>
      </c>
      <c r="F847" t="str">
        <f t="shared" si="93"/>
        <v>NSP_ LAPSEDONOR_50_Twice</v>
      </c>
      <c r="G847">
        <f t="shared" si="94"/>
        <v>0</v>
      </c>
      <c r="H847" t="s">
        <v>569</v>
      </c>
      <c r="I847">
        <f t="shared" si="95"/>
        <v>0</v>
      </c>
      <c r="J847" t="s">
        <v>564</v>
      </c>
      <c r="K847" s="5">
        <v>50</v>
      </c>
      <c r="L847" t="str">
        <f>Table_DataFromNL[[#This Row],[PROFILECODE]]&amp;"-"&amp;Table_DataFromNL[[#This Row],[RULENAME]]</f>
        <v>CP185-NSP_ LAPSEDONOR_50_Twice</v>
      </c>
      <c r="M847" t="e">
        <f t="shared" si="96"/>
        <v>#N/A</v>
      </c>
    </row>
    <row r="848" spans="1:13" x14ac:dyDescent="0.25">
      <c r="A848" t="str">
        <f t="shared" si="97"/>
        <v>CP185-NSP_LD_25_2X</v>
      </c>
      <c r="B848" t="s">
        <v>96</v>
      </c>
      <c r="C848" t="str">
        <f t="shared" si="91"/>
        <v>El Paso Dyer</v>
      </c>
      <c r="D848" t="str">
        <f t="shared" si="92"/>
        <v>Y</v>
      </c>
      <c r="E848" t="s">
        <v>618</v>
      </c>
      <c r="F848" t="str">
        <f t="shared" si="93"/>
        <v>NSP_LD_25_2X</v>
      </c>
      <c r="G848">
        <f t="shared" si="94"/>
        <v>0</v>
      </c>
      <c r="H848" t="s">
        <v>570</v>
      </c>
      <c r="I848">
        <f t="shared" si="95"/>
        <v>0</v>
      </c>
      <c r="J848" t="s">
        <v>564</v>
      </c>
      <c r="K848" s="5">
        <v>25</v>
      </c>
      <c r="L848" t="str">
        <f>Table_DataFromNL[[#This Row],[PROFILECODE]]&amp;"-"&amp;Table_DataFromNL[[#This Row],[RULENAME]]</f>
        <v>CP185-NSP_LD_25_2X</v>
      </c>
      <c r="M848" t="e">
        <f t="shared" si="96"/>
        <v>#N/A</v>
      </c>
    </row>
    <row r="849" spans="1:13" x14ac:dyDescent="0.25">
      <c r="A849" t="str">
        <f t="shared" si="97"/>
        <v>CP185-NSP_LD_50_1X</v>
      </c>
      <c r="B849" t="s">
        <v>96</v>
      </c>
      <c r="C849" t="str">
        <f t="shared" si="91"/>
        <v>El Paso Dyer</v>
      </c>
      <c r="D849" t="str">
        <f t="shared" si="92"/>
        <v>Y</v>
      </c>
      <c r="E849" t="s">
        <v>618</v>
      </c>
      <c r="F849" t="str">
        <f t="shared" si="93"/>
        <v>NSP_LD_50_1X</v>
      </c>
      <c r="G849">
        <f t="shared" si="94"/>
        <v>0</v>
      </c>
      <c r="H849" t="s">
        <v>571</v>
      </c>
      <c r="I849">
        <f t="shared" si="95"/>
        <v>0</v>
      </c>
      <c r="J849" t="s">
        <v>564</v>
      </c>
      <c r="K849" s="5">
        <v>50</v>
      </c>
      <c r="L849" t="str">
        <f>Table_DataFromNL[[#This Row],[PROFILECODE]]&amp;"-"&amp;Table_DataFromNL[[#This Row],[RULENAME]]</f>
        <v>CP185-NSP_LD_50_1X</v>
      </c>
      <c r="M849" t="e">
        <f t="shared" si="96"/>
        <v>#N/A</v>
      </c>
    </row>
    <row r="850" spans="1:13" x14ac:dyDescent="0.25">
      <c r="A850" t="str">
        <f t="shared" si="97"/>
        <v>CP185-NSP_ORPHAN_100_once</v>
      </c>
      <c r="B850" t="s">
        <v>96</v>
      </c>
      <c r="C850" t="str">
        <f t="shared" si="91"/>
        <v>El Paso Dyer</v>
      </c>
      <c r="D850" t="str">
        <f t="shared" si="92"/>
        <v>Y</v>
      </c>
      <c r="E850" t="s">
        <v>618</v>
      </c>
      <c r="F850" t="str">
        <f t="shared" si="93"/>
        <v>NSP_ORPHAN_100_once</v>
      </c>
      <c r="G850">
        <f t="shared" si="94"/>
        <v>0</v>
      </c>
      <c r="H850" t="s">
        <v>572</v>
      </c>
      <c r="I850">
        <f t="shared" si="95"/>
        <v>0</v>
      </c>
      <c r="J850" t="s">
        <v>564</v>
      </c>
      <c r="K850" s="5">
        <v>100</v>
      </c>
      <c r="L850" t="str">
        <f>Table_DataFromNL[[#This Row],[PROFILECODE]]&amp;"-"&amp;Table_DataFromNL[[#This Row],[RULENAME]]</f>
        <v>CP185-NSP_ORPHAN_100_once</v>
      </c>
      <c r="M850" t="e">
        <f t="shared" si="96"/>
        <v>#N/A</v>
      </c>
    </row>
    <row r="851" spans="1:13" x14ac:dyDescent="0.25">
      <c r="A851" t="str">
        <f t="shared" si="97"/>
        <v>CP185-Referral - Vaccinia</v>
      </c>
      <c r="B851" t="s">
        <v>96</v>
      </c>
      <c r="C851" t="str">
        <f t="shared" si="91"/>
        <v>El Paso Dyer</v>
      </c>
      <c r="D851" t="str">
        <f t="shared" si="92"/>
        <v>Y</v>
      </c>
      <c r="E851" t="s">
        <v>618</v>
      </c>
      <c r="F851" t="str">
        <f t="shared" si="93"/>
        <v>Referral - Vaccinia</v>
      </c>
      <c r="G851">
        <f t="shared" si="94"/>
        <v>0</v>
      </c>
      <c r="H851" t="s">
        <v>595</v>
      </c>
      <c r="I851">
        <f t="shared" si="95"/>
        <v>0</v>
      </c>
      <c r="J851" t="s">
        <v>564</v>
      </c>
      <c r="K851" s="5">
        <v>200</v>
      </c>
      <c r="L851" t="str">
        <f>Table_DataFromNL[[#This Row],[PROFILECODE]]&amp;"-"&amp;Table_DataFromNL[[#This Row],[RULENAME]]</f>
        <v>CP185-Referral - Vaccinia</v>
      </c>
      <c r="M851" t="e">
        <f t="shared" si="96"/>
        <v>#N/A</v>
      </c>
    </row>
    <row r="852" spans="1:13" x14ac:dyDescent="0.25">
      <c r="A852" t="str">
        <f t="shared" si="97"/>
        <v>CP185-Restick</v>
      </c>
      <c r="B852" t="s">
        <v>96</v>
      </c>
      <c r="C852" t="str">
        <f t="shared" si="91"/>
        <v>El Paso Dyer</v>
      </c>
      <c r="D852" t="str">
        <f t="shared" si="92"/>
        <v>Y</v>
      </c>
      <c r="E852" t="s">
        <v>618</v>
      </c>
      <c r="F852" t="str">
        <f t="shared" si="93"/>
        <v>Restick</v>
      </c>
      <c r="G852">
        <f t="shared" si="94"/>
        <v>0</v>
      </c>
      <c r="H852" t="s">
        <v>573</v>
      </c>
      <c r="I852">
        <f t="shared" si="95"/>
        <v>0</v>
      </c>
      <c r="J852" t="s">
        <v>564</v>
      </c>
      <c r="K852" s="5">
        <v>5</v>
      </c>
      <c r="L852" t="str">
        <f>Table_DataFromNL[[#This Row],[PROFILECODE]]&amp;"-"&amp;Table_DataFromNL[[#This Row],[RULENAME]]</f>
        <v>CP185-Restick</v>
      </c>
      <c r="M852" t="e">
        <f t="shared" si="96"/>
        <v>#N/A</v>
      </c>
    </row>
    <row r="853" spans="1:13" x14ac:dyDescent="0.25">
      <c r="A853" t="str">
        <f t="shared" si="97"/>
        <v>CP185-SLOW_TEXT_5</v>
      </c>
      <c r="B853" t="s">
        <v>96</v>
      </c>
      <c r="C853" t="str">
        <f t="shared" si="91"/>
        <v>El Paso Dyer</v>
      </c>
      <c r="D853" t="str">
        <f t="shared" si="92"/>
        <v>Y</v>
      </c>
      <c r="E853" t="s">
        <v>618</v>
      </c>
      <c r="F853" t="str">
        <f t="shared" si="93"/>
        <v>SLOW_TEXT_5</v>
      </c>
      <c r="G853">
        <f t="shared" si="94"/>
        <v>0</v>
      </c>
      <c r="H853" t="s">
        <v>574</v>
      </c>
      <c r="I853">
        <f t="shared" si="95"/>
        <v>0</v>
      </c>
      <c r="J853" t="s">
        <v>564</v>
      </c>
      <c r="K853" s="5">
        <v>5</v>
      </c>
      <c r="L853" t="str">
        <f>Table_DataFromNL[[#This Row],[PROFILECODE]]&amp;"-"&amp;Table_DataFromNL[[#This Row],[RULENAME]]</f>
        <v>CP185-SLOW_TEXT_5</v>
      </c>
      <c r="M853" t="e">
        <f t="shared" si="96"/>
        <v>#N/A</v>
      </c>
    </row>
    <row r="854" spans="1:13" x14ac:dyDescent="0.25">
      <c r="A854" t="str">
        <f t="shared" si="97"/>
        <v>CP185-Sample Only</v>
      </c>
      <c r="B854" t="s">
        <v>96</v>
      </c>
      <c r="C854" t="str">
        <f t="shared" si="91"/>
        <v>El Paso Dyer</v>
      </c>
      <c r="D854" t="str">
        <f t="shared" si="92"/>
        <v>Y</v>
      </c>
      <c r="E854" t="s">
        <v>618</v>
      </c>
      <c r="F854" t="str">
        <f t="shared" si="93"/>
        <v>Sample Only</v>
      </c>
      <c r="G854">
        <f t="shared" si="94"/>
        <v>0</v>
      </c>
      <c r="H854" t="s">
        <v>575</v>
      </c>
      <c r="I854">
        <f t="shared" si="95"/>
        <v>0</v>
      </c>
      <c r="J854" t="s">
        <v>564</v>
      </c>
      <c r="K854" s="5">
        <v>5</v>
      </c>
      <c r="L854" t="str">
        <f>Table_DataFromNL[[#This Row],[PROFILECODE]]&amp;"-"&amp;Table_DataFromNL[[#This Row],[RULENAME]]</f>
        <v>CP185-Sample Only</v>
      </c>
      <c r="M854" t="e">
        <f t="shared" si="96"/>
        <v>#N/A</v>
      </c>
    </row>
    <row r="855" spans="1:13" x14ac:dyDescent="0.25">
      <c r="A855" t="str">
        <f t="shared" si="97"/>
        <v>CP185-Unit Below 250 mL</v>
      </c>
      <c r="B855" t="s">
        <v>96</v>
      </c>
      <c r="C855" t="str">
        <f t="shared" si="91"/>
        <v>El Paso Dyer</v>
      </c>
      <c r="D855" t="str">
        <f t="shared" si="92"/>
        <v>Y</v>
      </c>
      <c r="E855" t="s">
        <v>618</v>
      </c>
      <c r="F855" t="str">
        <f t="shared" si="93"/>
        <v>Unit Below 250 mL</v>
      </c>
      <c r="G855">
        <f t="shared" si="94"/>
        <v>0</v>
      </c>
      <c r="H855" t="s">
        <v>576</v>
      </c>
      <c r="I855">
        <f t="shared" si="95"/>
        <v>0</v>
      </c>
      <c r="J855" t="s">
        <v>564</v>
      </c>
      <c r="K855" s="5">
        <v>5</v>
      </c>
      <c r="L855" t="str">
        <f>Table_DataFromNL[[#This Row],[PROFILECODE]]&amp;"-"&amp;Table_DataFromNL[[#This Row],[RULENAME]]</f>
        <v>CP185-Unit Below 250 mL</v>
      </c>
      <c r="M855" t="e">
        <f t="shared" si="96"/>
        <v>#N/A</v>
      </c>
    </row>
    <row r="856" spans="1:13" x14ac:dyDescent="0.25">
      <c r="A856" t="str">
        <f t="shared" si="97"/>
        <v>CP185-Unit above 250 mL/underdraw</v>
      </c>
      <c r="B856" t="s">
        <v>96</v>
      </c>
      <c r="C856" t="str">
        <f t="shared" si="91"/>
        <v>El Paso Dyer</v>
      </c>
      <c r="D856" t="str">
        <f t="shared" si="92"/>
        <v>Y</v>
      </c>
      <c r="E856" t="s">
        <v>618</v>
      </c>
      <c r="F856" t="str">
        <f t="shared" si="93"/>
        <v>Unit above 250 mL/underdraw</v>
      </c>
      <c r="G856">
        <f t="shared" si="94"/>
        <v>0</v>
      </c>
      <c r="H856" t="s">
        <v>577</v>
      </c>
      <c r="I856">
        <f t="shared" si="95"/>
        <v>0</v>
      </c>
      <c r="J856" t="s">
        <v>564</v>
      </c>
      <c r="K856" s="5">
        <v>10</v>
      </c>
      <c r="L856" t="str">
        <f>Table_DataFromNL[[#This Row],[PROFILECODE]]&amp;"-"&amp;Table_DataFromNL[[#This Row],[RULENAME]]</f>
        <v>CP185-Unit above 250 mL/underdraw</v>
      </c>
      <c r="M856" t="e">
        <f t="shared" si="96"/>
        <v>#N/A</v>
      </c>
    </row>
    <row r="857" spans="1:13" x14ac:dyDescent="0.25">
      <c r="A857" t="str">
        <f t="shared" si="97"/>
        <v>CP185-Vaccinia Immunization</v>
      </c>
      <c r="B857" t="s">
        <v>96</v>
      </c>
      <c r="C857" t="str">
        <f t="shared" si="91"/>
        <v>El Paso Dyer</v>
      </c>
      <c r="D857" t="str">
        <f t="shared" si="92"/>
        <v>Y</v>
      </c>
      <c r="E857" t="s">
        <v>618</v>
      </c>
      <c r="F857" t="str">
        <f t="shared" si="93"/>
        <v>Vaccinia Immunization</v>
      </c>
      <c r="G857">
        <f t="shared" si="94"/>
        <v>0</v>
      </c>
      <c r="H857" t="s">
        <v>596</v>
      </c>
      <c r="I857">
        <f t="shared" si="95"/>
        <v>0</v>
      </c>
      <c r="J857" t="s">
        <v>564</v>
      </c>
      <c r="K857" s="5">
        <v>100</v>
      </c>
      <c r="L857" t="str">
        <f>Table_DataFromNL[[#This Row],[PROFILECODE]]&amp;"-"&amp;Table_DataFromNL[[#This Row],[RULENAME]]</f>
        <v>CP185-Vaccinia Immunization</v>
      </c>
      <c r="M857" t="e">
        <f t="shared" si="96"/>
        <v>#N/A</v>
      </c>
    </row>
    <row r="858" spans="1:13" x14ac:dyDescent="0.25">
      <c r="A858" t="str">
        <f t="shared" si="97"/>
        <v>CP185-RETURN - Buddy referral  -BONUS</v>
      </c>
      <c r="B858" t="s">
        <v>96</v>
      </c>
      <c r="C858" t="str">
        <f t="shared" si="91"/>
        <v>El Paso Dyer</v>
      </c>
      <c r="D858" t="str">
        <f t="shared" si="92"/>
        <v>Y</v>
      </c>
      <c r="E858" t="s">
        <v>618</v>
      </c>
      <c r="F858" t="str">
        <f t="shared" si="93"/>
        <v>RETURN - Buddy referral  -BONUS</v>
      </c>
      <c r="G858" t="str">
        <f t="shared" si="94"/>
        <v>Marketing</v>
      </c>
      <c r="H858" t="s">
        <v>34</v>
      </c>
      <c r="I858">
        <f t="shared" si="95"/>
        <v>50</v>
      </c>
      <c r="J858" t="s">
        <v>578</v>
      </c>
      <c r="K858" s="5">
        <v>50</v>
      </c>
      <c r="L858" t="str">
        <f>Table_DataFromNL[[#This Row],[PROFILECODE]]&amp;"-"&amp;Table_DataFromNL[[#This Row],[RULENAME]]</f>
        <v>CP185-Referral</v>
      </c>
      <c r="M858" t="str">
        <f t="shared" si="96"/>
        <v>CP185-RETURN - Buddy referral  -BONUS</v>
      </c>
    </row>
    <row r="859" spans="1:13" x14ac:dyDescent="0.25">
      <c r="A859" t="str">
        <f t="shared" si="97"/>
        <v>CP185-P Anti-D Pre-Existing Standard</v>
      </c>
      <c r="B859" t="s">
        <v>96</v>
      </c>
      <c r="C859" t="str">
        <f t="shared" si="91"/>
        <v>El Paso Dyer</v>
      </c>
      <c r="D859" t="str">
        <f t="shared" si="92"/>
        <v>Y</v>
      </c>
      <c r="E859" t="s">
        <v>618</v>
      </c>
      <c r="F859" t="str">
        <f t="shared" si="93"/>
        <v>P Anti-D Pre-Existing Standard</v>
      </c>
      <c r="G859" t="str">
        <f t="shared" si="94"/>
        <v>Specialty</v>
      </c>
      <c r="H859" t="s">
        <v>469</v>
      </c>
      <c r="I859" t="str">
        <f t="shared" si="95"/>
        <v>RETURN - 1st don of the week -STD</v>
      </c>
      <c r="J859" t="s">
        <v>579</v>
      </c>
      <c r="K859" s="5">
        <v>50</v>
      </c>
      <c r="L859" t="str">
        <f>Table_DataFromNL[[#This Row],[PROFILECODE]]&amp;"-"&amp;Table_DataFromNL[[#This Row],[RULENAME]]</f>
        <v>CP185-P Anti-D Pre-Existing Standard</v>
      </c>
      <c r="M859" t="str">
        <f t="shared" si="96"/>
        <v>CP185-P Anti-D Pre-Existing Standard</v>
      </c>
    </row>
    <row r="860" spans="1:13" x14ac:dyDescent="0.25">
      <c r="A860" t="str">
        <f t="shared" si="97"/>
        <v>CP185-RETURN - 1st don of the week -STD</v>
      </c>
      <c r="B860" t="s">
        <v>96</v>
      </c>
      <c r="C860" t="str">
        <f t="shared" si="91"/>
        <v>El Paso Dyer</v>
      </c>
      <c r="D860" t="str">
        <f t="shared" si="92"/>
        <v>Y</v>
      </c>
      <c r="E860" t="s">
        <v>618</v>
      </c>
      <c r="F860" t="str">
        <f t="shared" si="93"/>
        <v>RETURN - 1st don of the week -STD</v>
      </c>
      <c r="G860" t="str">
        <f t="shared" si="94"/>
        <v>Marketing</v>
      </c>
      <c r="H860" t="s">
        <v>583</v>
      </c>
      <c r="I860">
        <f t="shared" si="95"/>
        <v>22</v>
      </c>
      <c r="J860" t="s">
        <v>579</v>
      </c>
      <c r="K860" s="5">
        <v>65</v>
      </c>
      <c r="L860" t="str">
        <f>Table_DataFromNL[[#This Row],[PROFILECODE]]&amp;"-"&amp;Table_DataFromNL[[#This Row],[RULENAME]]</f>
        <v>CP185-P NSP NS AP Standard</v>
      </c>
      <c r="M860" t="str">
        <f t="shared" si="96"/>
        <v>CP185-RETURN - 1st don of the week -STD</v>
      </c>
    </row>
    <row r="861" spans="1:13" x14ac:dyDescent="0.25">
      <c r="A861" t="str">
        <f t="shared" si="97"/>
        <v>CP185-RETURN - 1st don of the week -STD</v>
      </c>
      <c r="B861" t="s">
        <v>96</v>
      </c>
      <c r="C861" t="str">
        <f t="shared" si="91"/>
        <v>El Paso Dyer</v>
      </c>
      <c r="D861" t="str">
        <f t="shared" si="92"/>
        <v>Y</v>
      </c>
      <c r="E861" t="s">
        <v>618</v>
      </c>
      <c r="F861" t="str">
        <f t="shared" si="93"/>
        <v>RETURN - 1st don of the week -STD</v>
      </c>
      <c r="G861" t="str">
        <f t="shared" si="94"/>
        <v>Marketing</v>
      </c>
      <c r="H861" t="s">
        <v>584</v>
      </c>
      <c r="I861">
        <f t="shared" si="95"/>
        <v>23</v>
      </c>
      <c r="J861" t="s">
        <v>579</v>
      </c>
      <c r="K861" s="5">
        <v>65</v>
      </c>
      <c r="L861" t="str">
        <f>Table_DataFromNL[[#This Row],[PROFILECODE]]&amp;"-"&amp;Table_DataFromNL[[#This Row],[RULENAME]]</f>
        <v>CP185-P NSP NS Standard</v>
      </c>
      <c r="M861" t="str">
        <f t="shared" si="96"/>
        <v>CP185-RETURN - 1st don of the week -STD</v>
      </c>
    </row>
    <row r="862" spans="1:13" x14ac:dyDescent="0.25">
      <c r="A862" t="str">
        <f t="shared" si="97"/>
        <v>CP185-P VZV Pre-Existing AP</v>
      </c>
      <c r="B862" t="s">
        <v>96</v>
      </c>
      <c r="C862" t="str">
        <f t="shared" si="91"/>
        <v>El Paso Dyer</v>
      </c>
      <c r="D862" t="str">
        <f t="shared" si="92"/>
        <v>Y</v>
      </c>
      <c r="E862" t="s">
        <v>618</v>
      </c>
      <c r="F862" t="str">
        <f t="shared" si="93"/>
        <v>P VZV Pre-Existing AP</v>
      </c>
      <c r="G862" t="str">
        <f t="shared" si="94"/>
        <v>Specialty</v>
      </c>
      <c r="H862" t="s">
        <v>495</v>
      </c>
      <c r="I862" t="str">
        <f t="shared" si="95"/>
        <v>RETURN - 1st don of the week -STD</v>
      </c>
      <c r="J862" t="s">
        <v>579</v>
      </c>
      <c r="K862" s="5">
        <v>75</v>
      </c>
      <c r="L862" t="str">
        <f>Table_DataFromNL[[#This Row],[PROFILECODE]]&amp;"-"&amp;Table_DataFromNL[[#This Row],[RULENAME]]</f>
        <v>CP185-P VZV Pre-Existing AP</v>
      </c>
      <c r="M862" t="str">
        <f t="shared" si="96"/>
        <v>CP185-P VZV Pre-Existing AP</v>
      </c>
    </row>
    <row r="863" spans="1:13" x14ac:dyDescent="0.25">
      <c r="A863" t="str">
        <f t="shared" si="97"/>
        <v>CP185-P Vaccinia AP Standard</v>
      </c>
      <c r="B863" t="s">
        <v>96</v>
      </c>
      <c r="C863" t="str">
        <f t="shared" si="91"/>
        <v>El Paso Dyer</v>
      </c>
      <c r="D863" t="str">
        <f t="shared" si="92"/>
        <v>Y</v>
      </c>
      <c r="E863" t="s">
        <v>618</v>
      </c>
      <c r="F863" t="str">
        <f t="shared" si="93"/>
        <v>P Vaccinia AP Standard</v>
      </c>
      <c r="G863" t="str">
        <f t="shared" si="94"/>
        <v>Specialty</v>
      </c>
      <c r="H863" t="s">
        <v>475</v>
      </c>
      <c r="I863">
        <f t="shared" si="95"/>
        <v>0</v>
      </c>
      <c r="J863" t="s">
        <v>579</v>
      </c>
      <c r="K863" s="5">
        <v>100</v>
      </c>
      <c r="L863" t="str">
        <f>Table_DataFromNL[[#This Row],[PROFILECODE]]&amp;"-"&amp;Table_DataFromNL[[#This Row],[RULENAME]]</f>
        <v>CP185-P Vaccinia AP Standard</v>
      </c>
      <c r="M863" t="str">
        <f t="shared" si="96"/>
        <v>CP185-P Vaccinia AP Standard</v>
      </c>
    </row>
    <row r="864" spans="1:13" x14ac:dyDescent="0.25">
      <c r="A864" t="str">
        <f t="shared" si="97"/>
        <v>CP185-P Vaccinia Standard</v>
      </c>
      <c r="B864" t="s">
        <v>96</v>
      </c>
      <c r="C864" t="str">
        <f t="shared" si="91"/>
        <v>El Paso Dyer</v>
      </c>
      <c r="D864" t="str">
        <f t="shared" si="92"/>
        <v>Y</v>
      </c>
      <c r="E864" t="s">
        <v>618</v>
      </c>
      <c r="F864" t="str">
        <f t="shared" si="93"/>
        <v>P Vaccinia Standard</v>
      </c>
      <c r="G864" t="str">
        <f t="shared" si="94"/>
        <v>Specialty</v>
      </c>
      <c r="H864" t="s">
        <v>476</v>
      </c>
      <c r="I864">
        <f t="shared" si="95"/>
        <v>0</v>
      </c>
      <c r="J864" t="s">
        <v>579</v>
      </c>
      <c r="K864" s="5">
        <v>100</v>
      </c>
      <c r="L864" t="str">
        <f>Table_DataFromNL[[#This Row],[PROFILECODE]]&amp;"-"&amp;Table_DataFromNL[[#This Row],[RULENAME]]</f>
        <v>CP185-P Vaccinia Standard</v>
      </c>
      <c r="M864" t="str">
        <f t="shared" si="96"/>
        <v>CP185-P Vaccinia Standard</v>
      </c>
    </row>
    <row r="865" spans="1:13" x14ac:dyDescent="0.25">
      <c r="A865" t="str">
        <f t="shared" si="97"/>
        <v>CP185-PVZV Pre-Existing Standard</v>
      </c>
      <c r="B865" t="s">
        <v>96</v>
      </c>
      <c r="C865" t="str">
        <f t="shared" si="91"/>
        <v>El Paso Dyer</v>
      </c>
      <c r="D865" t="str">
        <f t="shared" si="92"/>
        <v>Y</v>
      </c>
      <c r="E865" t="s">
        <v>618</v>
      </c>
      <c r="F865" t="str">
        <f t="shared" si="93"/>
        <v>PVZV Pre-Existing Standard</v>
      </c>
      <c r="G865" t="str">
        <f t="shared" si="94"/>
        <v>Specialty</v>
      </c>
      <c r="H865" t="s">
        <v>497</v>
      </c>
      <c r="I865" t="str">
        <f t="shared" si="95"/>
        <v>RETURN - 1st don of the week -STD</v>
      </c>
      <c r="J865" t="s">
        <v>579</v>
      </c>
      <c r="K865" s="5">
        <v>75</v>
      </c>
      <c r="L865" t="str">
        <f>Table_DataFromNL[[#This Row],[PROFILECODE]]&amp;"-"&amp;Table_DataFromNL[[#This Row],[RULENAME]]</f>
        <v>CP185-PVZV Pre-Existing Standard</v>
      </c>
      <c r="M865" t="str">
        <f t="shared" si="96"/>
        <v>CP185-PVZV Pre-Existing Standard</v>
      </c>
    </row>
    <row r="866" spans="1:13" x14ac:dyDescent="0.25">
      <c r="A866" t="str">
        <f t="shared" si="97"/>
        <v>CP528-1st Responder-Medical</v>
      </c>
      <c r="B866" t="s">
        <v>107</v>
      </c>
      <c r="C866" t="str">
        <f t="shared" si="91"/>
        <v>EP Alameda</v>
      </c>
      <c r="D866" t="str">
        <f t="shared" si="92"/>
        <v>Y</v>
      </c>
      <c r="E866" t="s">
        <v>619</v>
      </c>
      <c r="F866" t="str">
        <f t="shared" si="93"/>
        <v>1st Responder-Medical</v>
      </c>
      <c r="G866">
        <f t="shared" si="94"/>
        <v>0</v>
      </c>
      <c r="H866" t="s">
        <v>545</v>
      </c>
      <c r="I866">
        <f t="shared" si="95"/>
        <v>0</v>
      </c>
      <c r="J866" t="s">
        <v>546</v>
      </c>
      <c r="K866" s="5">
        <v>5</v>
      </c>
      <c r="L866" t="str">
        <f>Table_DataFromNL[[#This Row],[PROFILECODE]]&amp;"-"&amp;Table_DataFromNL[[#This Row],[RULENAME]]</f>
        <v>CP528-1st Responder-Medical</v>
      </c>
      <c r="M866" t="e">
        <f t="shared" si="96"/>
        <v>#N/A</v>
      </c>
    </row>
    <row r="867" spans="1:13" x14ac:dyDescent="0.25">
      <c r="A867" t="str">
        <f t="shared" si="97"/>
        <v>CP528-RETURN - 2nd don of the week -BONUS</v>
      </c>
      <c r="B867" t="s">
        <v>107</v>
      </c>
      <c r="C867" t="str">
        <f t="shared" si="91"/>
        <v>EP Alameda</v>
      </c>
      <c r="D867" t="str">
        <f t="shared" si="92"/>
        <v>Y</v>
      </c>
      <c r="E867" t="s">
        <v>619</v>
      </c>
      <c r="F867" t="str">
        <f t="shared" si="93"/>
        <v>RETURN - 2nd don of the week -BONUS</v>
      </c>
      <c r="G867" t="str">
        <f t="shared" si="94"/>
        <v>Marketing</v>
      </c>
      <c r="H867" t="s">
        <v>550</v>
      </c>
      <c r="I867">
        <f t="shared" si="95"/>
        <v>26</v>
      </c>
      <c r="J867" t="s">
        <v>546</v>
      </c>
      <c r="K867" s="5">
        <v>5</v>
      </c>
      <c r="L867" t="str">
        <f>Table_DataFromNL[[#This Row],[PROFILECODE]]&amp;"-"&amp;Table_DataFromNL[[#This Row],[RULENAME]]</f>
        <v>CP528-2X Week P NSP NS</v>
      </c>
      <c r="M867" t="str">
        <f t="shared" si="96"/>
        <v>CP528-RETURN - 2nd don of the week -BONUS</v>
      </c>
    </row>
    <row r="868" spans="1:13" x14ac:dyDescent="0.25">
      <c r="A868" t="str">
        <f t="shared" si="97"/>
        <v>CP528-RETURN - 2nd don of the week -BONUS</v>
      </c>
      <c r="B868" t="s">
        <v>107</v>
      </c>
      <c r="C868" t="str">
        <f t="shared" si="91"/>
        <v>EP Alameda</v>
      </c>
      <c r="D868" t="str">
        <f t="shared" si="92"/>
        <v>Y</v>
      </c>
      <c r="E868" t="s">
        <v>619</v>
      </c>
      <c r="F868" t="str">
        <f t="shared" si="93"/>
        <v>RETURN - 2nd don of the week -BONUS</v>
      </c>
      <c r="G868" t="str">
        <f t="shared" si="94"/>
        <v>Marketing</v>
      </c>
      <c r="H868" t="s">
        <v>551</v>
      </c>
      <c r="I868" t="str">
        <f t="shared" si="95"/>
        <v>RETURN - 2nd don of the week -BONUS</v>
      </c>
      <c r="J868" t="s">
        <v>546</v>
      </c>
      <c r="K868" s="5">
        <v>5</v>
      </c>
      <c r="L868" t="str">
        <f>Table_DataFromNL[[#This Row],[PROFILECODE]]&amp;"-"&amp;Table_DataFromNL[[#This Row],[RULENAME]]</f>
        <v>CP528-2X Week P NSP NS AP</v>
      </c>
      <c r="M868" t="str">
        <f t="shared" si="96"/>
        <v>CP528-RETURN - 2nd don of the week -BONUS</v>
      </c>
    </row>
    <row r="869" spans="1:13" x14ac:dyDescent="0.25">
      <c r="A869" t="str">
        <f t="shared" si="97"/>
        <v>CP528-College ID Standard Bonus</v>
      </c>
      <c r="B869" t="s">
        <v>107</v>
      </c>
      <c r="C869" t="str">
        <f t="shared" si="91"/>
        <v>EP Alameda</v>
      </c>
      <c r="D869" t="str">
        <f t="shared" si="92"/>
        <v>Y</v>
      </c>
      <c r="E869" t="s">
        <v>619</v>
      </c>
      <c r="F869" t="str">
        <f t="shared" si="93"/>
        <v>College ID Standard Bonus</v>
      </c>
      <c r="G869">
        <f t="shared" si="94"/>
        <v>0</v>
      </c>
      <c r="H869" t="s">
        <v>553</v>
      </c>
      <c r="I869">
        <f t="shared" si="95"/>
        <v>0</v>
      </c>
      <c r="J869" t="s">
        <v>546</v>
      </c>
      <c r="K869" s="5">
        <v>5</v>
      </c>
      <c r="L869" t="str">
        <f>Table_DataFromNL[[#This Row],[PROFILECODE]]&amp;"-"&amp;Table_DataFromNL[[#This Row],[RULENAME]]</f>
        <v>CP528-College ID Standard Bonus</v>
      </c>
      <c r="M869" t="e">
        <f t="shared" si="96"/>
        <v>#N/A</v>
      </c>
    </row>
    <row r="870" spans="1:13" x14ac:dyDescent="0.25">
      <c r="A870" t="str">
        <f t="shared" si="97"/>
        <v>CP528-Military ID</v>
      </c>
      <c r="B870" t="s">
        <v>107</v>
      </c>
      <c r="C870" t="str">
        <f t="shared" si="91"/>
        <v>EP Alameda</v>
      </c>
      <c r="D870" t="str">
        <f t="shared" si="92"/>
        <v>Y</v>
      </c>
      <c r="E870" t="s">
        <v>619</v>
      </c>
      <c r="F870" t="str">
        <f t="shared" si="93"/>
        <v>Military ID</v>
      </c>
      <c r="G870">
        <f t="shared" si="94"/>
        <v>0</v>
      </c>
      <c r="H870" t="s">
        <v>554</v>
      </c>
      <c r="I870">
        <f t="shared" si="95"/>
        <v>0</v>
      </c>
      <c r="J870" t="s">
        <v>546</v>
      </c>
      <c r="K870" s="5">
        <v>5</v>
      </c>
      <c r="L870" t="str">
        <f>Table_DataFromNL[[#This Row],[PROFILECODE]]&amp;"-"&amp;Table_DataFromNL[[#This Row],[RULENAME]]</f>
        <v>CP528-Military ID</v>
      </c>
      <c r="M870" t="e">
        <f t="shared" si="96"/>
        <v>#N/A</v>
      </c>
    </row>
    <row r="871" spans="1:13" x14ac:dyDescent="0.25">
      <c r="A871" t="str">
        <f t="shared" si="97"/>
        <v>CP528-NEW DONOR -1st</v>
      </c>
      <c r="B871" t="s">
        <v>107</v>
      </c>
      <c r="C871" t="str">
        <f t="shared" si="91"/>
        <v>EP Alameda</v>
      </c>
      <c r="D871" t="str">
        <f t="shared" si="92"/>
        <v>Y</v>
      </c>
      <c r="E871" t="s">
        <v>619</v>
      </c>
      <c r="F871" t="str">
        <f t="shared" si="93"/>
        <v>NEW DONOR -1st</v>
      </c>
      <c r="G871" t="str">
        <f t="shared" si="94"/>
        <v>Marketing</v>
      </c>
      <c r="H871" t="s">
        <v>555</v>
      </c>
      <c r="I871">
        <f t="shared" si="95"/>
        <v>1</v>
      </c>
      <c r="J871" t="s">
        <v>546</v>
      </c>
      <c r="K871" s="5">
        <v>65</v>
      </c>
      <c r="L871" t="str">
        <f>Table_DataFromNL[[#This Row],[PROFILECODE]]&amp;"-"&amp;Table_DataFromNL[[#This Row],[RULENAME]]</f>
        <v>CP528-New Donor 1st Visit-Bonus</v>
      </c>
      <c r="M871" t="str">
        <f t="shared" si="96"/>
        <v>CP528-NEW DONOR -1st</v>
      </c>
    </row>
    <row r="872" spans="1:13" x14ac:dyDescent="0.25">
      <c r="A872" t="str">
        <f t="shared" si="97"/>
        <v>CP528-NEW DONOR -2nd</v>
      </c>
      <c r="B872" t="s">
        <v>107</v>
      </c>
      <c r="C872" t="str">
        <f t="shared" si="91"/>
        <v>EP Alameda</v>
      </c>
      <c r="D872" t="str">
        <f t="shared" si="92"/>
        <v>Y</v>
      </c>
      <c r="E872" t="s">
        <v>619</v>
      </c>
      <c r="F872" t="str">
        <f t="shared" si="93"/>
        <v>NEW DONOR -2nd</v>
      </c>
      <c r="G872" t="str">
        <f t="shared" si="94"/>
        <v>Marketing</v>
      </c>
      <c r="H872" t="s">
        <v>556</v>
      </c>
      <c r="I872">
        <f t="shared" si="95"/>
        <v>2</v>
      </c>
      <c r="J872" t="s">
        <v>546</v>
      </c>
      <c r="K872" s="5">
        <v>65</v>
      </c>
      <c r="L872" t="str">
        <f>Table_DataFromNL[[#This Row],[PROFILECODE]]&amp;"-"&amp;Table_DataFromNL[[#This Row],[RULENAME]]</f>
        <v>CP528-New Donor 2nd Visit-Bonus</v>
      </c>
      <c r="M872" t="str">
        <f t="shared" si="96"/>
        <v>CP528-NEW DONOR -2nd</v>
      </c>
    </row>
    <row r="873" spans="1:13" x14ac:dyDescent="0.25">
      <c r="A873" t="str">
        <f t="shared" si="97"/>
        <v>CP528-NEW DONOR -3rd</v>
      </c>
      <c r="B873" t="s">
        <v>107</v>
      </c>
      <c r="C873" t="str">
        <f t="shared" si="91"/>
        <v>EP Alameda</v>
      </c>
      <c r="D873" t="str">
        <f t="shared" si="92"/>
        <v>Y</v>
      </c>
      <c r="E873" t="s">
        <v>619</v>
      </c>
      <c r="F873" t="str">
        <f t="shared" si="93"/>
        <v>NEW DONOR -3rd</v>
      </c>
      <c r="G873" t="str">
        <f t="shared" si="94"/>
        <v>Marketing</v>
      </c>
      <c r="H873" t="s">
        <v>557</v>
      </c>
      <c r="I873">
        <f t="shared" si="95"/>
        <v>3</v>
      </c>
      <c r="J873" t="s">
        <v>546</v>
      </c>
      <c r="K873" s="5">
        <v>65</v>
      </c>
      <c r="L873" t="str">
        <f>Table_DataFromNL[[#This Row],[PROFILECODE]]&amp;"-"&amp;Table_DataFromNL[[#This Row],[RULENAME]]</f>
        <v>CP528-New Donor 3rd Visit-Bonus</v>
      </c>
      <c r="M873" t="str">
        <f t="shared" si="96"/>
        <v>CP528-NEW DONOR -3rd</v>
      </c>
    </row>
    <row r="874" spans="1:13" x14ac:dyDescent="0.25">
      <c r="A874" t="str">
        <f t="shared" si="97"/>
        <v>CP528-NEW DONOR -4th</v>
      </c>
      <c r="B874" t="s">
        <v>107</v>
      </c>
      <c r="C874" t="str">
        <f t="shared" si="91"/>
        <v>EP Alameda</v>
      </c>
      <c r="D874" t="str">
        <f t="shared" si="92"/>
        <v>Y</v>
      </c>
      <c r="E874" t="s">
        <v>619</v>
      </c>
      <c r="F874" t="str">
        <f t="shared" si="93"/>
        <v>NEW DONOR -4th</v>
      </c>
      <c r="G874" t="str">
        <f t="shared" si="94"/>
        <v>Marketing</v>
      </c>
      <c r="H874" t="s">
        <v>558</v>
      </c>
      <c r="I874">
        <f t="shared" si="95"/>
        <v>4</v>
      </c>
      <c r="J874" t="s">
        <v>546</v>
      </c>
      <c r="K874" s="5">
        <v>65</v>
      </c>
      <c r="L874" t="str">
        <f>Table_DataFromNL[[#This Row],[PROFILECODE]]&amp;"-"&amp;Table_DataFromNL[[#This Row],[RULENAME]]</f>
        <v>CP528-New Donor 4th Visit-Bonus</v>
      </c>
      <c r="M874" t="str">
        <f t="shared" si="96"/>
        <v>CP528-NEW DONOR -4th</v>
      </c>
    </row>
    <row r="875" spans="1:13" x14ac:dyDescent="0.25">
      <c r="A875" t="str">
        <f t="shared" si="97"/>
        <v>CP528-NEW DONOR -5th</v>
      </c>
      <c r="B875" t="s">
        <v>107</v>
      </c>
      <c r="C875" t="str">
        <f t="shared" si="91"/>
        <v>EP Alameda</v>
      </c>
      <c r="D875" t="str">
        <f t="shared" si="92"/>
        <v>Y</v>
      </c>
      <c r="E875" t="s">
        <v>619</v>
      </c>
      <c r="F875" t="str">
        <f t="shared" si="93"/>
        <v>NEW DONOR -5th</v>
      </c>
      <c r="G875" t="str">
        <f t="shared" si="94"/>
        <v>Marketing</v>
      </c>
      <c r="H875" t="s">
        <v>559</v>
      </c>
      <c r="I875">
        <f t="shared" si="95"/>
        <v>5</v>
      </c>
      <c r="J875" t="s">
        <v>546</v>
      </c>
      <c r="K875" s="5">
        <v>65</v>
      </c>
      <c r="L875" t="str">
        <f>Table_DataFromNL[[#This Row],[PROFILECODE]]&amp;"-"&amp;Table_DataFromNL[[#This Row],[RULENAME]]</f>
        <v>CP528-New Donor 5th Visit-Bonus</v>
      </c>
      <c r="M875" t="str">
        <f t="shared" si="96"/>
        <v>CP528-NEW DONOR -5th</v>
      </c>
    </row>
    <row r="876" spans="1:13" x14ac:dyDescent="0.25">
      <c r="A876" t="str">
        <f t="shared" si="97"/>
        <v>CP528-NEW DONOR -6th</v>
      </c>
      <c r="B876" t="s">
        <v>107</v>
      </c>
      <c r="C876" t="str">
        <f t="shared" si="91"/>
        <v>EP Alameda</v>
      </c>
      <c r="D876" t="str">
        <f t="shared" si="92"/>
        <v>Y</v>
      </c>
      <c r="E876" t="s">
        <v>619</v>
      </c>
      <c r="F876" t="str">
        <f t="shared" si="93"/>
        <v>NEW DONOR -6th</v>
      </c>
      <c r="G876" t="str">
        <f t="shared" si="94"/>
        <v>Marketing</v>
      </c>
      <c r="H876" t="s">
        <v>560</v>
      </c>
      <c r="I876">
        <f t="shared" si="95"/>
        <v>6</v>
      </c>
      <c r="J876" t="s">
        <v>546</v>
      </c>
      <c r="K876" s="5">
        <v>65</v>
      </c>
      <c r="L876" t="str">
        <f>Table_DataFromNL[[#This Row],[PROFILECODE]]&amp;"-"&amp;Table_DataFromNL[[#This Row],[RULENAME]]</f>
        <v>CP528-New Donor 6th Visit-Bonus</v>
      </c>
      <c r="M876" t="str">
        <f t="shared" si="96"/>
        <v>CP528-NEW DONOR -6th</v>
      </c>
    </row>
    <row r="877" spans="1:13" x14ac:dyDescent="0.25">
      <c r="A877" t="str">
        <f t="shared" si="97"/>
        <v>CP528-NEW DONOR -7th</v>
      </c>
      <c r="B877" t="s">
        <v>107</v>
      </c>
      <c r="C877" t="str">
        <f t="shared" si="91"/>
        <v>EP Alameda</v>
      </c>
      <c r="D877" t="str">
        <f t="shared" si="92"/>
        <v>Y</v>
      </c>
      <c r="E877" t="s">
        <v>619</v>
      </c>
      <c r="F877" t="str">
        <f t="shared" si="93"/>
        <v>NEW DONOR -7th</v>
      </c>
      <c r="G877" t="str">
        <f t="shared" si="94"/>
        <v>Marketing</v>
      </c>
      <c r="H877" t="s">
        <v>561</v>
      </c>
      <c r="I877">
        <f t="shared" si="95"/>
        <v>7</v>
      </c>
      <c r="J877" t="s">
        <v>546</v>
      </c>
      <c r="K877" s="5">
        <v>65</v>
      </c>
      <c r="L877" t="str">
        <f>Table_DataFromNL[[#This Row],[PROFILECODE]]&amp;"-"&amp;Table_DataFromNL[[#This Row],[RULENAME]]</f>
        <v>CP528-New Donor 7th Visit-Bonus</v>
      </c>
      <c r="M877" t="str">
        <f t="shared" si="96"/>
        <v>CP528-NEW DONOR -7th</v>
      </c>
    </row>
    <row r="878" spans="1:13" x14ac:dyDescent="0.25">
      <c r="A878" t="str">
        <f t="shared" si="97"/>
        <v>CP528-NEW DONOR -8th</v>
      </c>
      <c r="B878" t="s">
        <v>107</v>
      </c>
      <c r="C878" t="str">
        <f t="shared" si="91"/>
        <v>EP Alameda</v>
      </c>
      <c r="D878" t="str">
        <f t="shared" si="92"/>
        <v>Y</v>
      </c>
      <c r="E878" t="s">
        <v>619</v>
      </c>
      <c r="F878" t="str">
        <f t="shared" si="93"/>
        <v>NEW DONOR -8th</v>
      </c>
      <c r="G878" t="str">
        <f t="shared" si="94"/>
        <v>Marketing</v>
      </c>
      <c r="H878" t="s">
        <v>562</v>
      </c>
      <c r="I878">
        <f t="shared" si="95"/>
        <v>8</v>
      </c>
      <c r="J878" t="s">
        <v>546</v>
      </c>
      <c r="K878" s="5">
        <v>65</v>
      </c>
      <c r="L878" t="str">
        <f>Table_DataFromNL[[#This Row],[PROFILECODE]]&amp;"-"&amp;Table_DataFromNL[[#This Row],[RULENAME]]</f>
        <v>CP528-New Donor 8th Visit-Bonus</v>
      </c>
      <c r="M878" t="str">
        <f t="shared" si="96"/>
        <v>CP528-NEW DONOR -8th</v>
      </c>
    </row>
    <row r="879" spans="1:13" x14ac:dyDescent="0.25">
      <c r="A879" t="str">
        <f t="shared" si="97"/>
        <v>CP528-Community</v>
      </c>
      <c r="B879" t="s">
        <v>107</v>
      </c>
      <c r="C879" t="str">
        <f t="shared" si="91"/>
        <v>EP Alameda</v>
      </c>
      <c r="D879" t="str">
        <f t="shared" si="92"/>
        <v>Y</v>
      </c>
      <c r="E879" t="s">
        <v>619</v>
      </c>
      <c r="F879" t="str">
        <f t="shared" si="93"/>
        <v>Community</v>
      </c>
      <c r="G879">
        <f t="shared" si="94"/>
        <v>0</v>
      </c>
      <c r="H879" t="s">
        <v>563</v>
      </c>
      <c r="I879">
        <f t="shared" si="95"/>
        <v>0</v>
      </c>
      <c r="J879" t="s">
        <v>564</v>
      </c>
      <c r="K879" s="5">
        <v>5</v>
      </c>
      <c r="L879" t="str">
        <f>Table_DataFromNL[[#This Row],[PROFILECODE]]&amp;"-"&amp;Table_DataFromNL[[#This Row],[RULENAME]]</f>
        <v>CP528-Community</v>
      </c>
      <c r="M879" t="e">
        <f t="shared" si="96"/>
        <v>#N/A</v>
      </c>
    </row>
    <row r="880" spans="1:13" x14ac:dyDescent="0.25">
      <c r="A880" t="str">
        <f t="shared" si="97"/>
        <v>CP528-HANGER_RECRUIT_5USD_once</v>
      </c>
      <c r="B880" t="s">
        <v>107</v>
      </c>
      <c r="C880" t="str">
        <f t="shared" si="91"/>
        <v>EP Alameda</v>
      </c>
      <c r="D880" t="str">
        <f t="shared" si="92"/>
        <v>Y</v>
      </c>
      <c r="E880" t="s">
        <v>619</v>
      </c>
      <c r="F880" t="str">
        <f t="shared" si="93"/>
        <v>HANGER_RECRUIT_5USD_once</v>
      </c>
      <c r="G880">
        <f t="shared" si="94"/>
        <v>0</v>
      </c>
      <c r="H880" t="s">
        <v>565</v>
      </c>
      <c r="I880">
        <f t="shared" si="95"/>
        <v>0</v>
      </c>
      <c r="J880" t="s">
        <v>564</v>
      </c>
      <c r="K880" s="5">
        <v>5</v>
      </c>
      <c r="L880" t="str">
        <f>Table_DataFromNL[[#This Row],[PROFILECODE]]&amp;"-"&amp;Table_DataFromNL[[#This Row],[RULENAME]]</f>
        <v>CP528-HANGER_RECRUIT_5USD_once</v>
      </c>
      <c r="M880" t="e">
        <f t="shared" si="96"/>
        <v>#N/A</v>
      </c>
    </row>
    <row r="881" spans="1:13" x14ac:dyDescent="0.25">
      <c r="A881" t="str">
        <f t="shared" si="97"/>
        <v>CP528-Inconv Fee $20-$50-Comment Req'd</v>
      </c>
      <c r="B881" t="s">
        <v>107</v>
      </c>
      <c r="C881" t="str">
        <f t="shared" si="91"/>
        <v>EP Alameda</v>
      </c>
      <c r="D881" t="str">
        <f t="shared" si="92"/>
        <v>Y</v>
      </c>
      <c r="E881" t="s">
        <v>619</v>
      </c>
      <c r="F881" t="str">
        <f t="shared" si="93"/>
        <v>Inconv Fee $20-$50-Comment Req'd</v>
      </c>
      <c r="G881">
        <f t="shared" si="94"/>
        <v>0</v>
      </c>
      <c r="H881" t="s">
        <v>566</v>
      </c>
      <c r="I881">
        <f t="shared" si="95"/>
        <v>0</v>
      </c>
      <c r="J881" t="s">
        <v>564</v>
      </c>
      <c r="K881" s="5">
        <v>50</v>
      </c>
      <c r="L881" t="str">
        <f>Table_DataFromNL[[#This Row],[PROFILECODE]]&amp;"-"&amp;Table_DataFromNL[[#This Row],[RULENAME]]</f>
        <v>CP528-Inconv Fee $20-$50-Comment Req'd</v>
      </c>
      <c r="M881" t="e">
        <f t="shared" si="96"/>
        <v>#N/A</v>
      </c>
    </row>
    <row r="882" spans="1:13" x14ac:dyDescent="0.25">
      <c r="A882" t="str">
        <f t="shared" si="97"/>
        <v>CP528-Inconv Fee $5-$20-Comment Req'd</v>
      </c>
      <c r="B882" t="s">
        <v>107</v>
      </c>
      <c r="C882" t="str">
        <f t="shared" si="91"/>
        <v>EP Alameda</v>
      </c>
      <c r="D882" t="str">
        <f t="shared" si="92"/>
        <v>Y</v>
      </c>
      <c r="E882" t="s">
        <v>619</v>
      </c>
      <c r="F882" t="str">
        <f t="shared" si="93"/>
        <v>Inconv Fee $5-$20-Comment Req'd</v>
      </c>
      <c r="G882">
        <f t="shared" si="94"/>
        <v>0</v>
      </c>
      <c r="H882" t="s">
        <v>567</v>
      </c>
      <c r="I882">
        <f t="shared" si="95"/>
        <v>0</v>
      </c>
      <c r="J882" t="s">
        <v>564</v>
      </c>
      <c r="K882" s="5">
        <v>20</v>
      </c>
      <c r="L882" t="str">
        <f>Table_DataFromNL[[#This Row],[PROFILECODE]]&amp;"-"&amp;Table_DataFromNL[[#This Row],[RULENAME]]</f>
        <v>CP528-Inconv Fee $5-$20-Comment Req'd</v>
      </c>
      <c r="M882" t="e">
        <f t="shared" si="96"/>
        <v>#N/A</v>
      </c>
    </row>
    <row r="883" spans="1:13" x14ac:dyDescent="0.25">
      <c r="A883" t="str">
        <f t="shared" si="97"/>
        <v>CP528-Inconv Fee$50-$100-Comment Req'd</v>
      </c>
      <c r="B883" t="s">
        <v>107</v>
      </c>
      <c r="C883" t="str">
        <f t="shared" si="91"/>
        <v>EP Alameda</v>
      </c>
      <c r="D883" t="str">
        <f t="shared" si="92"/>
        <v>Y</v>
      </c>
      <c r="E883" t="s">
        <v>619</v>
      </c>
      <c r="F883" t="str">
        <f t="shared" si="93"/>
        <v>Inconv Fee$50-$100-Comment Req'd</v>
      </c>
      <c r="G883">
        <f t="shared" si="94"/>
        <v>0</v>
      </c>
      <c r="H883" t="s">
        <v>568</v>
      </c>
      <c r="I883">
        <f t="shared" si="95"/>
        <v>0</v>
      </c>
      <c r="J883" t="s">
        <v>564</v>
      </c>
      <c r="K883" s="5">
        <v>100</v>
      </c>
      <c r="L883" t="str">
        <f>Table_DataFromNL[[#This Row],[PROFILECODE]]&amp;"-"&amp;Table_DataFromNL[[#This Row],[RULENAME]]</f>
        <v>CP528-Inconv Fee$50-$100-Comment Req'd</v>
      </c>
      <c r="M883" t="e">
        <f t="shared" si="96"/>
        <v>#N/A</v>
      </c>
    </row>
    <row r="884" spans="1:13" x14ac:dyDescent="0.25">
      <c r="A884" t="str">
        <f t="shared" si="97"/>
        <v>CP528-NSP_ LAPSEDONOR_50_Twice</v>
      </c>
      <c r="B884" t="s">
        <v>107</v>
      </c>
      <c r="C884" t="str">
        <f t="shared" si="91"/>
        <v>EP Alameda</v>
      </c>
      <c r="D884" t="str">
        <f t="shared" si="92"/>
        <v>Y</v>
      </c>
      <c r="E884" t="s">
        <v>619</v>
      </c>
      <c r="F884" t="str">
        <f t="shared" si="93"/>
        <v>NSP_ LAPSEDONOR_50_Twice</v>
      </c>
      <c r="G884">
        <f t="shared" si="94"/>
        <v>0</v>
      </c>
      <c r="H884" t="s">
        <v>569</v>
      </c>
      <c r="I884">
        <f t="shared" si="95"/>
        <v>0</v>
      </c>
      <c r="J884" t="s">
        <v>564</v>
      </c>
      <c r="K884" s="5">
        <v>50</v>
      </c>
      <c r="L884" t="str">
        <f>Table_DataFromNL[[#This Row],[PROFILECODE]]&amp;"-"&amp;Table_DataFromNL[[#This Row],[RULENAME]]</f>
        <v>CP528-NSP_ LAPSEDONOR_50_Twice</v>
      </c>
      <c r="M884" t="e">
        <f t="shared" si="96"/>
        <v>#N/A</v>
      </c>
    </row>
    <row r="885" spans="1:13" x14ac:dyDescent="0.25">
      <c r="A885" t="str">
        <f t="shared" si="97"/>
        <v>CP528-NSP_LD_25_2X</v>
      </c>
      <c r="B885" t="s">
        <v>107</v>
      </c>
      <c r="C885" t="str">
        <f t="shared" si="91"/>
        <v>EP Alameda</v>
      </c>
      <c r="D885" t="str">
        <f t="shared" si="92"/>
        <v>Y</v>
      </c>
      <c r="E885" t="s">
        <v>619</v>
      </c>
      <c r="F885" t="str">
        <f t="shared" si="93"/>
        <v>NSP_LD_25_2X</v>
      </c>
      <c r="G885">
        <f t="shared" si="94"/>
        <v>0</v>
      </c>
      <c r="H885" t="s">
        <v>570</v>
      </c>
      <c r="I885">
        <f t="shared" si="95"/>
        <v>0</v>
      </c>
      <c r="J885" t="s">
        <v>564</v>
      </c>
      <c r="K885" s="5">
        <v>25</v>
      </c>
      <c r="L885" t="str">
        <f>Table_DataFromNL[[#This Row],[PROFILECODE]]&amp;"-"&amp;Table_DataFromNL[[#This Row],[RULENAME]]</f>
        <v>CP528-NSP_LD_25_2X</v>
      </c>
      <c r="M885" t="e">
        <f t="shared" si="96"/>
        <v>#N/A</v>
      </c>
    </row>
    <row r="886" spans="1:13" x14ac:dyDescent="0.25">
      <c r="A886" t="str">
        <f t="shared" si="97"/>
        <v>CP528-NSP_LD_50_1X</v>
      </c>
      <c r="B886" t="s">
        <v>107</v>
      </c>
      <c r="C886" t="str">
        <f t="shared" si="91"/>
        <v>EP Alameda</v>
      </c>
      <c r="D886" t="str">
        <f t="shared" si="92"/>
        <v>Y</v>
      </c>
      <c r="E886" t="s">
        <v>619</v>
      </c>
      <c r="F886" t="str">
        <f t="shared" si="93"/>
        <v>NSP_LD_50_1X</v>
      </c>
      <c r="G886">
        <f t="shared" si="94"/>
        <v>0</v>
      </c>
      <c r="H886" t="s">
        <v>571</v>
      </c>
      <c r="I886">
        <f t="shared" si="95"/>
        <v>0</v>
      </c>
      <c r="J886" t="s">
        <v>564</v>
      </c>
      <c r="K886" s="5">
        <v>50</v>
      </c>
      <c r="L886" t="str">
        <f>Table_DataFromNL[[#This Row],[PROFILECODE]]&amp;"-"&amp;Table_DataFromNL[[#This Row],[RULENAME]]</f>
        <v>CP528-NSP_LD_50_1X</v>
      </c>
      <c r="M886" t="e">
        <f t="shared" si="96"/>
        <v>#N/A</v>
      </c>
    </row>
    <row r="887" spans="1:13" x14ac:dyDescent="0.25">
      <c r="A887" t="str">
        <f t="shared" si="97"/>
        <v>CP528-NSP_ORPHAN_100_once</v>
      </c>
      <c r="B887" t="s">
        <v>107</v>
      </c>
      <c r="C887" t="str">
        <f t="shared" si="91"/>
        <v>EP Alameda</v>
      </c>
      <c r="D887" t="str">
        <f t="shared" si="92"/>
        <v>Y</v>
      </c>
      <c r="E887" t="s">
        <v>619</v>
      </c>
      <c r="F887" t="str">
        <f t="shared" si="93"/>
        <v>NSP_ORPHAN_100_once</v>
      </c>
      <c r="G887">
        <f t="shared" si="94"/>
        <v>0</v>
      </c>
      <c r="H887" t="s">
        <v>572</v>
      </c>
      <c r="I887">
        <f t="shared" si="95"/>
        <v>0</v>
      </c>
      <c r="J887" t="s">
        <v>564</v>
      </c>
      <c r="K887" s="5">
        <v>100</v>
      </c>
      <c r="L887" t="str">
        <f>Table_DataFromNL[[#This Row],[PROFILECODE]]&amp;"-"&amp;Table_DataFromNL[[#This Row],[RULENAME]]</f>
        <v>CP528-NSP_ORPHAN_100_once</v>
      </c>
      <c r="M887" t="e">
        <f t="shared" si="96"/>
        <v>#N/A</v>
      </c>
    </row>
    <row r="888" spans="1:13" x14ac:dyDescent="0.25">
      <c r="A888" t="str">
        <f t="shared" si="97"/>
        <v>CP528-Restick</v>
      </c>
      <c r="B888" t="s">
        <v>107</v>
      </c>
      <c r="C888" t="str">
        <f t="shared" si="91"/>
        <v>EP Alameda</v>
      </c>
      <c r="D888" t="str">
        <f t="shared" si="92"/>
        <v>Y</v>
      </c>
      <c r="E888" t="s">
        <v>619</v>
      </c>
      <c r="F888" t="str">
        <f t="shared" si="93"/>
        <v>Restick</v>
      </c>
      <c r="G888">
        <f t="shared" si="94"/>
        <v>0</v>
      </c>
      <c r="H888" t="s">
        <v>573</v>
      </c>
      <c r="I888">
        <f t="shared" si="95"/>
        <v>0</v>
      </c>
      <c r="J888" t="s">
        <v>564</v>
      </c>
      <c r="K888" s="5">
        <v>5</v>
      </c>
      <c r="L888" t="str">
        <f>Table_DataFromNL[[#This Row],[PROFILECODE]]&amp;"-"&amp;Table_DataFromNL[[#This Row],[RULENAME]]</f>
        <v>CP528-Restick</v>
      </c>
      <c r="M888" t="e">
        <f t="shared" si="96"/>
        <v>#N/A</v>
      </c>
    </row>
    <row r="889" spans="1:13" x14ac:dyDescent="0.25">
      <c r="A889" t="str">
        <f t="shared" si="97"/>
        <v>CP528-SLOW_TEXT_5</v>
      </c>
      <c r="B889" t="s">
        <v>107</v>
      </c>
      <c r="C889" t="str">
        <f t="shared" si="91"/>
        <v>EP Alameda</v>
      </c>
      <c r="D889" t="str">
        <f t="shared" si="92"/>
        <v>Y</v>
      </c>
      <c r="E889" t="s">
        <v>619</v>
      </c>
      <c r="F889" t="str">
        <f t="shared" si="93"/>
        <v>SLOW_TEXT_5</v>
      </c>
      <c r="G889">
        <f t="shared" si="94"/>
        <v>0</v>
      </c>
      <c r="H889" t="s">
        <v>574</v>
      </c>
      <c r="I889">
        <f t="shared" si="95"/>
        <v>0</v>
      </c>
      <c r="J889" t="s">
        <v>564</v>
      </c>
      <c r="K889" s="5">
        <v>5</v>
      </c>
      <c r="L889" t="str">
        <f>Table_DataFromNL[[#This Row],[PROFILECODE]]&amp;"-"&amp;Table_DataFromNL[[#This Row],[RULENAME]]</f>
        <v>CP528-SLOW_TEXT_5</v>
      </c>
      <c r="M889" t="e">
        <f t="shared" si="96"/>
        <v>#N/A</v>
      </c>
    </row>
    <row r="890" spans="1:13" x14ac:dyDescent="0.25">
      <c r="A890" t="str">
        <f t="shared" si="97"/>
        <v>CP528-Sample Only</v>
      </c>
      <c r="B890" t="s">
        <v>107</v>
      </c>
      <c r="C890" t="str">
        <f t="shared" si="91"/>
        <v>EP Alameda</v>
      </c>
      <c r="D890" t="str">
        <f t="shared" si="92"/>
        <v>Y</v>
      </c>
      <c r="E890" t="s">
        <v>619</v>
      </c>
      <c r="F890" t="str">
        <f t="shared" si="93"/>
        <v>Sample Only</v>
      </c>
      <c r="G890">
        <f t="shared" si="94"/>
        <v>0</v>
      </c>
      <c r="H890" t="s">
        <v>575</v>
      </c>
      <c r="I890">
        <f t="shared" si="95"/>
        <v>0</v>
      </c>
      <c r="J890" t="s">
        <v>564</v>
      </c>
      <c r="K890" s="5">
        <v>5</v>
      </c>
      <c r="L890" t="str">
        <f>Table_DataFromNL[[#This Row],[PROFILECODE]]&amp;"-"&amp;Table_DataFromNL[[#This Row],[RULENAME]]</f>
        <v>CP528-Sample Only</v>
      </c>
      <c r="M890" t="e">
        <f t="shared" si="96"/>
        <v>#N/A</v>
      </c>
    </row>
    <row r="891" spans="1:13" x14ac:dyDescent="0.25">
      <c r="A891" t="str">
        <f t="shared" si="97"/>
        <v>CP528-Unit Below 250 mL</v>
      </c>
      <c r="B891" t="s">
        <v>107</v>
      </c>
      <c r="C891" t="str">
        <f t="shared" si="91"/>
        <v>EP Alameda</v>
      </c>
      <c r="D891" t="str">
        <f t="shared" si="92"/>
        <v>Y</v>
      </c>
      <c r="E891" t="s">
        <v>619</v>
      </c>
      <c r="F891" t="str">
        <f t="shared" si="93"/>
        <v>Unit Below 250 mL</v>
      </c>
      <c r="G891">
        <f t="shared" si="94"/>
        <v>0</v>
      </c>
      <c r="H891" t="s">
        <v>576</v>
      </c>
      <c r="I891">
        <f t="shared" si="95"/>
        <v>0</v>
      </c>
      <c r="J891" t="s">
        <v>564</v>
      </c>
      <c r="K891" s="5">
        <v>5</v>
      </c>
      <c r="L891" t="str">
        <f>Table_DataFromNL[[#This Row],[PROFILECODE]]&amp;"-"&amp;Table_DataFromNL[[#This Row],[RULENAME]]</f>
        <v>CP528-Unit Below 250 mL</v>
      </c>
      <c r="M891" t="e">
        <f t="shared" si="96"/>
        <v>#N/A</v>
      </c>
    </row>
    <row r="892" spans="1:13" x14ac:dyDescent="0.25">
      <c r="A892" t="str">
        <f t="shared" si="97"/>
        <v>CP528-Unit above 250 mL/underdraw</v>
      </c>
      <c r="B892" t="s">
        <v>107</v>
      </c>
      <c r="C892" t="str">
        <f t="shared" si="91"/>
        <v>EP Alameda</v>
      </c>
      <c r="D892" t="str">
        <f t="shared" si="92"/>
        <v>Y</v>
      </c>
      <c r="E892" t="s">
        <v>619</v>
      </c>
      <c r="F892" t="str">
        <f t="shared" si="93"/>
        <v>Unit above 250 mL/underdraw</v>
      </c>
      <c r="G892">
        <f t="shared" si="94"/>
        <v>0</v>
      </c>
      <c r="H892" t="s">
        <v>577</v>
      </c>
      <c r="I892">
        <f t="shared" si="95"/>
        <v>0</v>
      </c>
      <c r="J892" t="s">
        <v>564</v>
      </c>
      <c r="K892" s="5">
        <v>10</v>
      </c>
      <c r="L892" t="str">
        <f>Table_DataFromNL[[#This Row],[PROFILECODE]]&amp;"-"&amp;Table_DataFromNL[[#This Row],[RULENAME]]</f>
        <v>CP528-Unit above 250 mL/underdraw</v>
      </c>
      <c r="M892" t="e">
        <f t="shared" si="96"/>
        <v>#N/A</v>
      </c>
    </row>
    <row r="893" spans="1:13" x14ac:dyDescent="0.25">
      <c r="A893" t="str">
        <f t="shared" si="97"/>
        <v>CP528-RETURN - Buddy referral  -BONUS</v>
      </c>
      <c r="B893" t="s">
        <v>107</v>
      </c>
      <c r="C893" t="str">
        <f t="shared" si="91"/>
        <v>EP Alameda</v>
      </c>
      <c r="D893" t="str">
        <f t="shared" si="92"/>
        <v>Y</v>
      </c>
      <c r="E893" t="s">
        <v>619</v>
      </c>
      <c r="F893" t="str">
        <f t="shared" si="93"/>
        <v>RETURN - Buddy referral  -BONUS</v>
      </c>
      <c r="G893" t="str">
        <f t="shared" si="94"/>
        <v>Marketing</v>
      </c>
      <c r="H893" t="s">
        <v>34</v>
      </c>
      <c r="I893">
        <f t="shared" si="95"/>
        <v>50</v>
      </c>
      <c r="J893" t="s">
        <v>578</v>
      </c>
      <c r="K893" s="5">
        <v>50</v>
      </c>
      <c r="L893" t="str">
        <f>Table_DataFromNL[[#This Row],[PROFILECODE]]&amp;"-"&amp;Table_DataFromNL[[#This Row],[RULENAME]]</f>
        <v>CP528-Referral</v>
      </c>
      <c r="M893" t="str">
        <f t="shared" si="96"/>
        <v>CP528-RETURN - Buddy referral  -BONUS</v>
      </c>
    </row>
    <row r="894" spans="1:13" x14ac:dyDescent="0.25">
      <c r="A894" t="str">
        <f t="shared" si="97"/>
        <v>CP528-P Anti-D Pre-Existing Standard</v>
      </c>
      <c r="B894" t="s">
        <v>107</v>
      </c>
      <c r="C894" t="str">
        <f t="shared" si="91"/>
        <v>EP Alameda</v>
      </c>
      <c r="D894" t="str">
        <f t="shared" si="92"/>
        <v>Y</v>
      </c>
      <c r="E894" t="s">
        <v>619</v>
      </c>
      <c r="F894" t="str">
        <f t="shared" si="93"/>
        <v>P Anti-D Pre-Existing Standard</v>
      </c>
      <c r="G894" t="str">
        <f t="shared" si="94"/>
        <v>Specialty</v>
      </c>
      <c r="H894" t="s">
        <v>469</v>
      </c>
      <c r="I894" t="str">
        <f t="shared" si="95"/>
        <v>RETURN - 1st don of the week -STD</v>
      </c>
      <c r="J894" t="s">
        <v>579</v>
      </c>
      <c r="K894" s="5">
        <v>50</v>
      </c>
      <c r="L894" t="str">
        <f>Table_DataFromNL[[#This Row],[PROFILECODE]]&amp;"-"&amp;Table_DataFromNL[[#This Row],[RULENAME]]</f>
        <v>CP528-P Anti-D Pre-Existing Standard</v>
      </c>
      <c r="M894" t="str">
        <f t="shared" si="96"/>
        <v>CP528-P Anti-D Pre-Existing Standard</v>
      </c>
    </row>
    <row r="895" spans="1:13" x14ac:dyDescent="0.25">
      <c r="A895" t="str">
        <f t="shared" si="97"/>
        <v>CP528-RETURN - 1st don of the week -STD</v>
      </c>
      <c r="B895" t="s">
        <v>107</v>
      </c>
      <c r="C895" t="str">
        <f t="shared" si="91"/>
        <v>EP Alameda</v>
      </c>
      <c r="D895" t="str">
        <f t="shared" si="92"/>
        <v>Y</v>
      </c>
      <c r="E895" t="s">
        <v>619</v>
      </c>
      <c r="F895" t="str">
        <f t="shared" si="93"/>
        <v>RETURN - 1st don of the week -STD</v>
      </c>
      <c r="G895" t="str">
        <f t="shared" si="94"/>
        <v>Marketing</v>
      </c>
      <c r="H895" t="s">
        <v>583</v>
      </c>
      <c r="I895">
        <f t="shared" si="95"/>
        <v>22</v>
      </c>
      <c r="J895" t="s">
        <v>579</v>
      </c>
      <c r="K895" s="5">
        <v>65</v>
      </c>
      <c r="L895" t="str">
        <f>Table_DataFromNL[[#This Row],[PROFILECODE]]&amp;"-"&amp;Table_DataFromNL[[#This Row],[RULENAME]]</f>
        <v>CP528-P NSP NS AP Standard</v>
      </c>
      <c r="M895" t="str">
        <f t="shared" si="96"/>
        <v>CP528-RETURN - 1st don of the week -STD</v>
      </c>
    </row>
    <row r="896" spans="1:13" x14ac:dyDescent="0.25">
      <c r="A896" t="str">
        <f t="shared" si="97"/>
        <v>CP528-RETURN - 1st don of the week -STD</v>
      </c>
      <c r="B896" t="s">
        <v>107</v>
      </c>
      <c r="C896" t="str">
        <f t="shared" si="91"/>
        <v>EP Alameda</v>
      </c>
      <c r="D896" t="str">
        <f t="shared" si="92"/>
        <v>Y</v>
      </c>
      <c r="E896" t="s">
        <v>619</v>
      </c>
      <c r="F896" t="str">
        <f t="shared" si="93"/>
        <v>RETURN - 1st don of the week -STD</v>
      </c>
      <c r="G896" t="str">
        <f t="shared" si="94"/>
        <v>Marketing</v>
      </c>
      <c r="H896" t="s">
        <v>584</v>
      </c>
      <c r="I896">
        <f t="shared" si="95"/>
        <v>23</v>
      </c>
      <c r="J896" t="s">
        <v>579</v>
      </c>
      <c r="K896" s="5">
        <v>65</v>
      </c>
      <c r="L896" t="str">
        <f>Table_DataFromNL[[#This Row],[PROFILECODE]]&amp;"-"&amp;Table_DataFromNL[[#This Row],[RULENAME]]</f>
        <v>CP528-P NSP NS Standard</v>
      </c>
      <c r="M896" t="str">
        <f t="shared" si="96"/>
        <v>CP528-RETURN - 1st don of the week -STD</v>
      </c>
    </row>
    <row r="897" spans="1:13" x14ac:dyDescent="0.25">
      <c r="A897" t="str">
        <f t="shared" si="97"/>
        <v>CP206-1st Responder-Medical</v>
      </c>
      <c r="B897" t="s">
        <v>114</v>
      </c>
      <c r="C897" t="str">
        <f t="shared" si="91"/>
        <v>EP Stanton</v>
      </c>
      <c r="D897" t="str">
        <f t="shared" si="92"/>
        <v>Y</v>
      </c>
      <c r="E897" t="s">
        <v>620</v>
      </c>
      <c r="F897" t="str">
        <f t="shared" si="93"/>
        <v>1st Responder-Medical</v>
      </c>
      <c r="G897">
        <f t="shared" si="94"/>
        <v>0</v>
      </c>
      <c r="H897" t="s">
        <v>545</v>
      </c>
      <c r="I897">
        <f t="shared" si="95"/>
        <v>0</v>
      </c>
      <c r="J897" t="s">
        <v>546</v>
      </c>
      <c r="K897" s="5">
        <v>5</v>
      </c>
      <c r="L897" t="str">
        <f>Table_DataFromNL[[#This Row],[PROFILECODE]]&amp;"-"&amp;Table_DataFromNL[[#This Row],[RULENAME]]</f>
        <v>CP206-1st Responder-Medical</v>
      </c>
      <c r="M897" t="e">
        <f t="shared" si="96"/>
        <v>#N/A</v>
      </c>
    </row>
    <row r="898" spans="1:13" x14ac:dyDescent="0.25">
      <c r="A898" t="str">
        <f t="shared" si="97"/>
        <v>CP206-2X Week P HBS Pre-Existing</v>
      </c>
      <c r="B898" t="s">
        <v>114</v>
      </c>
      <c r="C898" t="str">
        <f t="shared" ref="C898:C961" si="98">VLOOKUP(B898,CenterLU,2,FALSE)</f>
        <v>EP Stanton</v>
      </c>
      <c r="D898" t="str">
        <f t="shared" ref="D898:D961" si="99">VLOOKUP(B898,CenterLU,3,FALSE)</f>
        <v>Y</v>
      </c>
      <c r="E898" t="s">
        <v>620</v>
      </c>
      <c r="F898" t="str">
        <f t="shared" ref="F898:F961" si="100">IF(VLOOKUP(H898,RULENAMELU,3,FALSE)=0,H898,VLOOKUP(H898,RULENAMELU,3,FALSE))</f>
        <v>2X Week P HBS Pre-Existing</v>
      </c>
      <c r="G898" t="str">
        <f t="shared" ref="G898:G961" si="101">VLOOKUP(H898,RULENAMELU,4,FALSE)</f>
        <v>Specialty</v>
      </c>
      <c r="H898" t="s">
        <v>471</v>
      </c>
      <c r="I898" t="str">
        <f t="shared" ref="I898:I961" si="102">VLOOKUP(H898,RULENAMELU,5,FALSE)</f>
        <v>RETURN - 2nd don of the week -BONUS</v>
      </c>
      <c r="J898" t="s">
        <v>546</v>
      </c>
      <c r="K898" s="5">
        <v>5</v>
      </c>
      <c r="L898" t="str">
        <f>Table_DataFromNL[[#This Row],[PROFILECODE]]&amp;"-"&amp;Table_DataFromNL[[#This Row],[RULENAME]]</f>
        <v>CP206-2X Week P HBS Pre-Existing</v>
      </c>
      <c r="M898" t="str">
        <f t="shared" ref="M898:M961" si="103">IFERROR(VLOOKUP(A898,PaychangesLU,1,FALSE),VLOOKUP(A898,SpecialtyCheckLU,1,FALSE))</f>
        <v>CP206-2X Week P HBS Pre-Existing</v>
      </c>
    </row>
    <row r="899" spans="1:13" x14ac:dyDescent="0.25">
      <c r="A899" t="str">
        <f t="shared" ref="A899:A962" si="104">B899&amp;"-"&amp;F899</f>
        <v>CP206-2X Week P HBS TWINRX</v>
      </c>
      <c r="B899" t="s">
        <v>114</v>
      </c>
      <c r="C899" t="str">
        <f t="shared" si="98"/>
        <v>EP Stanton</v>
      </c>
      <c r="D899" t="str">
        <f t="shared" si="99"/>
        <v>Y</v>
      </c>
      <c r="E899" t="s">
        <v>620</v>
      </c>
      <c r="F899" t="str">
        <f t="shared" si="100"/>
        <v>2X Week P HBS TWINRX</v>
      </c>
      <c r="G899" t="str">
        <f t="shared" si="101"/>
        <v>Specialty</v>
      </c>
      <c r="H899" t="s">
        <v>504</v>
      </c>
      <c r="I899" t="str">
        <f t="shared" si="102"/>
        <v>RETURN - 2nd don of the week -BONUS</v>
      </c>
      <c r="J899" t="s">
        <v>546</v>
      </c>
      <c r="K899" s="5">
        <v>5</v>
      </c>
      <c r="L899" t="str">
        <f>Table_DataFromNL[[#This Row],[PROFILECODE]]&amp;"-"&amp;Table_DataFromNL[[#This Row],[RULENAME]]</f>
        <v>CP206-2X Week P HBS TWINRX</v>
      </c>
      <c r="M899" t="str">
        <f t="shared" si="103"/>
        <v>CP206-2X Week P HBS TWINRX</v>
      </c>
    </row>
    <row r="900" spans="1:13" x14ac:dyDescent="0.25">
      <c r="A900" t="str">
        <f t="shared" si="104"/>
        <v>CP206-2X Week P HBS TWINRX-AP</v>
      </c>
      <c r="B900" t="s">
        <v>114</v>
      </c>
      <c r="C900" t="str">
        <f t="shared" si="98"/>
        <v>EP Stanton</v>
      </c>
      <c r="D900" t="str">
        <f t="shared" si="99"/>
        <v>Y</v>
      </c>
      <c r="E900" t="s">
        <v>620</v>
      </c>
      <c r="F900" t="str">
        <f t="shared" si="100"/>
        <v>2X Week P HBS TWINRX-AP</v>
      </c>
      <c r="G900" t="str">
        <f t="shared" si="101"/>
        <v>Specialty</v>
      </c>
      <c r="H900" t="s">
        <v>505</v>
      </c>
      <c r="I900" t="str">
        <f t="shared" si="102"/>
        <v>RETURN - 2nd don of the week -BONUS</v>
      </c>
      <c r="J900" t="s">
        <v>546</v>
      </c>
      <c r="K900" s="5">
        <v>5</v>
      </c>
      <c r="L900" t="str">
        <f>Table_DataFromNL[[#This Row],[PROFILECODE]]&amp;"-"&amp;Table_DataFromNL[[#This Row],[RULENAME]]</f>
        <v>CP206-2X Week P HBS TWINRX-AP</v>
      </c>
      <c r="M900" t="str">
        <f t="shared" si="103"/>
        <v>CP206-2X Week P HBS TWINRX-AP</v>
      </c>
    </row>
    <row r="901" spans="1:13" x14ac:dyDescent="0.25">
      <c r="A901" t="str">
        <f t="shared" si="104"/>
        <v>CP206-RETURN - 2nd don of the week -BONUS</v>
      </c>
      <c r="B901" t="s">
        <v>114</v>
      </c>
      <c r="C901" t="str">
        <f t="shared" si="98"/>
        <v>EP Stanton</v>
      </c>
      <c r="D901" t="str">
        <f t="shared" si="99"/>
        <v>Y</v>
      </c>
      <c r="E901" t="s">
        <v>620</v>
      </c>
      <c r="F901" t="str">
        <f t="shared" si="100"/>
        <v>RETURN - 2nd don of the week -BONUS</v>
      </c>
      <c r="G901" t="str">
        <f t="shared" si="101"/>
        <v>Marketing</v>
      </c>
      <c r="H901" t="s">
        <v>550</v>
      </c>
      <c r="I901">
        <f t="shared" si="102"/>
        <v>26</v>
      </c>
      <c r="J901" t="s">
        <v>546</v>
      </c>
      <c r="K901" s="5">
        <v>5</v>
      </c>
      <c r="L901" t="str">
        <f>Table_DataFromNL[[#This Row],[PROFILECODE]]&amp;"-"&amp;Table_DataFromNL[[#This Row],[RULENAME]]</f>
        <v>CP206-2X Week P NSP NS</v>
      </c>
      <c r="M901" t="str">
        <f t="shared" si="103"/>
        <v>CP206-RETURN - 2nd don of the week -BONUS</v>
      </c>
    </row>
    <row r="902" spans="1:13" x14ac:dyDescent="0.25">
      <c r="A902" t="str">
        <f t="shared" si="104"/>
        <v>CP206-RETURN - 2nd don of the week -BONUS</v>
      </c>
      <c r="B902" t="s">
        <v>114</v>
      </c>
      <c r="C902" t="str">
        <f t="shared" si="98"/>
        <v>EP Stanton</v>
      </c>
      <c r="D902" t="str">
        <f t="shared" si="99"/>
        <v>Y</v>
      </c>
      <c r="E902" t="s">
        <v>620</v>
      </c>
      <c r="F902" t="str">
        <f t="shared" si="100"/>
        <v>RETURN - 2nd don of the week -BONUS</v>
      </c>
      <c r="G902" t="str">
        <f t="shared" si="101"/>
        <v>Marketing</v>
      </c>
      <c r="H902" t="s">
        <v>551</v>
      </c>
      <c r="I902" t="str">
        <f t="shared" si="102"/>
        <v>RETURN - 2nd don of the week -BONUS</v>
      </c>
      <c r="J902" t="s">
        <v>546</v>
      </c>
      <c r="K902" s="5">
        <v>5</v>
      </c>
      <c r="L902" t="str">
        <f>Table_DataFromNL[[#This Row],[PROFILECODE]]&amp;"-"&amp;Table_DataFromNL[[#This Row],[RULENAME]]</f>
        <v>CP206-2X Week P NSP NS AP</v>
      </c>
      <c r="M902" t="str">
        <f t="shared" si="103"/>
        <v>CP206-RETURN - 2nd don of the week -BONUS</v>
      </c>
    </row>
    <row r="903" spans="1:13" x14ac:dyDescent="0.25">
      <c r="A903" t="str">
        <f t="shared" si="104"/>
        <v>CP206-2X Week P VZV</v>
      </c>
      <c r="B903" t="s">
        <v>114</v>
      </c>
      <c r="C903" t="str">
        <f t="shared" si="98"/>
        <v>EP Stanton</v>
      </c>
      <c r="D903" t="str">
        <f t="shared" si="99"/>
        <v>Y</v>
      </c>
      <c r="E903" t="s">
        <v>620</v>
      </c>
      <c r="F903" t="str">
        <f t="shared" si="100"/>
        <v>2X Week P VZV</v>
      </c>
      <c r="G903" t="str">
        <f t="shared" si="101"/>
        <v>Specialty</v>
      </c>
      <c r="H903" t="s">
        <v>488</v>
      </c>
      <c r="I903" t="str">
        <f t="shared" si="102"/>
        <v>RETURN - 2nd don of the week -BONUS</v>
      </c>
      <c r="J903" t="s">
        <v>546</v>
      </c>
      <c r="K903" s="5">
        <v>5</v>
      </c>
      <c r="L903" t="str">
        <f>Table_DataFromNL[[#This Row],[PROFILECODE]]&amp;"-"&amp;Table_DataFromNL[[#This Row],[RULENAME]]</f>
        <v>CP206-2X Week P VZV</v>
      </c>
      <c r="M903" t="str">
        <f t="shared" si="103"/>
        <v>CP206-2X Week P VZV</v>
      </c>
    </row>
    <row r="904" spans="1:13" x14ac:dyDescent="0.25">
      <c r="A904" t="str">
        <f t="shared" si="104"/>
        <v>CP206-2X Week P VZV AP</v>
      </c>
      <c r="B904" t="s">
        <v>114</v>
      </c>
      <c r="C904" t="str">
        <f t="shared" si="98"/>
        <v>EP Stanton</v>
      </c>
      <c r="D904" t="str">
        <f t="shared" si="99"/>
        <v>Y</v>
      </c>
      <c r="E904" t="s">
        <v>620</v>
      </c>
      <c r="F904" t="str">
        <f t="shared" si="100"/>
        <v>2X Week P VZV AP</v>
      </c>
      <c r="G904" t="str">
        <f t="shared" si="101"/>
        <v>Specialty</v>
      </c>
      <c r="H904" t="s">
        <v>489</v>
      </c>
      <c r="I904" t="str">
        <f t="shared" si="102"/>
        <v>RETURN - 2nd don of the week -BONUS</v>
      </c>
      <c r="J904" t="s">
        <v>546</v>
      </c>
      <c r="K904" s="5">
        <v>5</v>
      </c>
      <c r="L904" t="str">
        <f>Table_DataFromNL[[#This Row],[PROFILECODE]]&amp;"-"&amp;Table_DataFromNL[[#This Row],[RULENAME]]</f>
        <v>CP206-2X Week P VZV AP</v>
      </c>
      <c r="M904" t="str">
        <f t="shared" si="103"/>
        <v>CP206-2X Week P VZV AP</v>
      </c>
    </row>
    <row r="905" spans="1:13" x14ac:dyDescent="0.25">
      <c r="A905" t="str">
        <f t="shared" si="104"/>
        <v>CP206-2X Week P VZV Pre-Existing</v>
      </c>
      <c r="B905" t="s">
        <v>114</v>
      </c>
      <c r="C905" t="str">
        <f t="shared" si="98"/>
        <v>EP Stanton</v>
      </c>
      <c r="D905" t="str">
        <f t="shared" si="99"/>
        <v>Y</v>
      </c>
      <c r="E905" t="s">
        <v>620</v>
      </c>
      <c r="F905" t="str">
        <f t="shared" si="100"/>
        <v>2X Week P VZV Pre-Existing</v>
      </c>
      <c r="G905" t="str">
        <f t="shared" si="101"/>
        <v>Specialty</v>
      </c>
      <c r="H905" t="s">
        <v>490</v>
      </c>
      <c r="I905" t="str">
        <f t="shared" si="102"/>
        <v>RETURN - 2nd don of the week -BONUS</v>
      </c>
      <c r="J905" t="s">
        <v>546</v>
      </c>
      <c r="K905" s="5">
        <v>5</v>
      </c>
      <c r="L905" t="str">
        <f>Table_DataFromNL[[#This Row],[PROFILECODE]]&amp;"-"&amp;Table_DataFromNL[[#This Row],[RULENAME]]</f>
        <v>CP206-2X Week P VZV Pre-Existing</v>
      </c>
      <c r="M905" t="str">
        <f t="shared" si="103"/>
        <v>CP206-2X Week P VZV Pre-Existing</v>
      </c>
    </row>
    <row r="906" spans="1:13" x14ac:dyDescent="0.25">
      <c r="A906" t="str">
        <f t="shared" si="104"/>
        <v>CP206-2X Week P VZV Pre-Existing AP</v>
      </c>
      <c r="B906" t="s">
        <v>114</v>
      </c>
      <c r="C906" t="str">
        <f t="shared" si="98"/>
        <v>EP Stanton</v>
      </c>
      <c r="D906" t="str">
        <f t="shared" si="99"/>
        <v>Y</v>
      </c>
      <c r="E906" t="s">
        <v>620</v>
      </c>
      <c r="F906" t="str">
        <f t="shared" si="100"/>
        <v>2X Week P VZV Pre-Existing AP</v>
      </c>
      <c r="G906" t="str">
        <f t="shared" si="101"/>
        <v>Specialty</v>
      </c>
      <c r="H906" t="s">
        <v>491</v>
      </c>
      <c r="I906" t="str">
        <f t="shared" si="102"/>
        <v>RETURN - 2nd don of the week -BONUS</v>
      </c>
      <c r="J906" t="s">
        <v>546</v>
      </c>
      <c r="K906" s="5">
        <v>5</v>
      </c>
      <c r="L906" t="str">
        <f>Table_DataFromNL[[#This Row],[PROFILECODE]]&amp;"-"&amp;Table_DataFromNL[[#This Row],[RULENAME]]</f>
        <v>CP206-2X Week P VZV Pre-Existing AP</v>
      </c>
      <c r="M906" t="str">
        <f t="shared" si="103"/>
        <v>CP206-2X Week P VZV Pre-Existing AP</v>
      </c>
    </row>
    <row r="907" spans="1:13" x14ac:dyDescent="0.25">
      <c r="A907" t="str">
        <f t="shared" si="104"/>
        <v>CP206-College ID Standard Bonus</v>
      </c>
      <c r="B907" t="s">
        <v>114</v>
      </c>
      <c r="C907" t="str">
        <f t="shared" si="98"/>
        <v>EP Stanton</v>
      </c>
      <c r="D907" t="str">
        <f t="shared" si="99"/>
        <v>Y</v>
      </c>
      <c r="E907" t="s">
        <v>620</v>
      </c>
      <c r="F907" t="str">
        <f t="shared" si="100"/>
        <v>College ID Standard Bonus</v>
      </c>
      <c r="G907">
        <f t="shared" si="101"/>
        <v>0</v>
      </c>
      <c r="H907" t="s">
        <v>553</v>
      </c>
      <c r="I907">
        <f t="shared" si="102"/>
        <v>0</v>
      </c>
      <c r="J907" t="s">
        <v>546</v>
      </c>
      <c r="K907" s="5">
        <v>5</v>
      </c>
      <c r="L907" t="str">
        <f>Table_DataFromNL[[#This Row],[PROFILECODE]]&amp;"-"&amp;Table_DataFromNL[[#This Row],[RULENAME]]</f>
        <v>CP206-College ID Standard Bonus</v>
      </c>
      <c r="M907" t="e">
        <f t="shared" si="103"/>
        <v>#N/A</v>
      </c>
    </row>
    <row r="908" spans="1:13" x14ac:dyDescent="0.25">
      <c r="A908" t="str">
        <f t="shared" si="104"/>
        <v>CP206-Military ID</v>
      </c>
      <c r="B908" t="s">
        <v>114</v>
      </c>
      <c r="C908" t="str">
        <f t="shared" si="98"/>
        <v>EP Stanton</v>
      </c>
      <c r="D908" t="str">
        <f t="shared" si="99"/>
        <v>Y</v>
      </c>
      <c r="E908" t="s">
        <v>620</v>
      </c>
      <c r="F908" t="str">
        <f t="shared" si="100"/>
        <v>Military ID</v>
      </c>
      <c r="G908">
        <f t="shared" si="101"/>
        <v>0</v>
      </c>
      <c r="H908" t="s">
        <v>554</v>
      </c>
      <c r="I908">
        <f t="shared" si="102"/>
        <v>0</v>
      </c>
      <c r="J908" t="s">
        <v>546</v>
      </c>
      <c r="K908" s="5">
        <v>5</v>
      </c>
      <c r="L908" t="str">
        <f>Table_DataFromNL[[#This Row],[PROFILECODE]]&amp;"-"&amp;Table_DataFromNL[[#This Row],[RULENAME]]</f>
        <v>CP206-Military ID</v>
      </c>
      <c r="M908" t="e">
        <f t="shared" si="103"/>
        <v>#N/A</v>
      </c>
    </row>
    <row r="909" spans="1:13" x14ac:dyDescent="0.25">
      <c r="A909" t="str">
        <f t="shared" si="104"/>
        <v>CP206-NEW DONOR -1st</v>
      </c>
      <c r="B909" t="s">
        <v>114</v>
      </c>
      <c r="C909" t="str">
        <f t="shared" si="98"/>
        <v>EP Stanton</v>
      </c>
      <c r="D909" t="str">
        <f t="shared" si="99"/>
        <v>Y</v>
      </c>
      <c r="E909" t="s">
        <v>620</v>
      </c>
      <c r="F909" t="str">
        <f t="shared" si="100"/>
        <v>NEW DONOR -1st</v>
      </c>
      <c r="G909" t="str">
        <f t="shared" si="101"/>
        <v>Marketing</v>
      </c>
      <c r="H909" t="s">
        <v>555</v>
      </c>
      <c r="I909">
        <f t="shared" si="102"/>
        <v>1</v>
      </c>
      <c r="J909" t="s">
        <v>546</v>
      </c>
      <c r="K909" s="5">
        <v>65</v>
      </c>
      <c r="L909" t="str">
        <f>Table_DataFromNL[[#This Row],[PROFILECODE]]&amp;"-"&amp;Table_DataFromNL[[#This Row],[RULENAME]]</f>
        <v>CP206-New Donor 1st Visit-Bonus</v>
      </c>
      <c r="M909" t="str">
        <f t="shared" si="103"/>
        <v>CP206-NEW DONOR -1st</v>
      </c>
    </row>
    <row r="910" spans="1:13" x14ac:dyDescent="0.25">
      <c r="A910" t="str">
        <f t="shared" si="104"/>
        <v>CP206-NEW DONOR -2nd</v>
      </c>
      <c r="B910" t="s">
        <v>114</v>
      </c>
      <c r="C910" t="str">
        <f t="shared" si="98"/>
        <v>EP Stanton</v>
      </c>
      <c r="D910" t="str">
        <f t="shared" si="99"/>
        <v>Y</v>
      </c>
      <c r="E910" t="s">
        <v>620</v>
      </c>
      <c r="F910" t="str">
        <f t="shared" si="100"/>
        <v>NEW DONOR -2nd</v>
      </c>
      <c r="G910" t="str">
        <f t="shared" si="101"/>
        <v>Marketing</v>
      </c>
      <c r="H910" t="s">
        <v>556</v>
      </c>
      <c r="I910">
        <f t="shared" si="102"/>
        <v>2</v>
      </c>
      <c r="J910" t="s">
        <v>546</v>
      </c>
      <c r="K910" s="5">
        <v>65</v>
      </c>
      <c r="L910" t="str">
        <f>Table_DataFromNL[[#This Row],[PROFILECODE]]&amp;"-"&amp;Table_DataFromNL[[#This Row],[RULENAME]]</f>
        <v>CP206-New Donor 2nd Visit-Bonus</v>
      </c>
      <c r="M910" t="str">
        <f t="shared" si="103"/>
        <v>CP206-NEW DONOR -2nd</v>
      </c>
    </row>
    <row r="911" spans="1:13" x14ac:dyDescent="0.25">
      <c r="A911" t="str">
        <f t="shared" si="104"/>
        <v>CP206-NEW DONOR -3rd</v>
      </c>
      <c r="B911" t="s">
        <v>114</v>
      </c>
      <c r="C911" t="str">
        <f t="shared" si="98"/>
        <v>EP Stanton</v>
      </c>
      <c r="D911" t="str">
        <f t="shared" si="99"/>
        <v>Y</v>
      </c>
      <c r="E911" t="s">
        <v>620</v>
      </c>
      <c r="F911" t="str">
        <f t="shared" si="100"/>
        <v>NEW DONOR -3rd</v>
      </c>
      <c r="G911" t="str">
        <f t="shared" si="101"/>
        <v>Marketing</v>
      </c>
      <c r="H911" t="s">
        <v>557</v>
      </c>
      <c r="I911">
        <f t="shared" si="102"/>
        <v>3</v>
      </c>
      <c r="J911" t="s">
        <v>546</v>
      </c>
      <c r="K911" s="5">
        <v>65</v>
      </c>
      <c r="L911" t="str">
        <f>Table_DataFromNL[[#This Row],[PROFILECODE]]&amp;"-"&amp;Table_DataFromNL[[#This Row],[RULENAME]]</f>
        <v>CP206-New Donor 3rd Visit-Bonus</v>
      </c>
      <c r="M911" t="str">
        <f t="shared" si="103"/>
        <v>CP206-NEW DONOR -3rd</v>
      </c>
    </row>
    <row r="912" spans="1:13" x14ac:dyDescent="0.25">
      <c r="A912" t="str">
        <f t="shared" si="104"/>
        <v>CP206-NEW DONOR -4th</v>
      </c>
      <c r="B912" t="s">
        <v>114</v>
      </c>
      <c r="C912" t="str">
        <f t="shared" si="98"/>
        <v>EP Stanton</v>
      </c>
      <c r="D912" t="str">
        <f t="shared" si="99"/>
        <v>Y</v>
      </c>
      <c r="E912" t="s">
        <v>620</v>
      </c>
      <c r="F912" t="str">
        <f t="shared" si="100"/>
        <v>NEW DONOR -4th</v>
      </c>
      <c r="G912" t="str">
        <f t="shared" si="101"/>
        <v>Marketing</v>
      </c>
      <c r="H912" t="s">
        <v>558</v>
      </c>
      <c r="I912">
        <f t="shared" si="102"/>
        <v>4</v>
      </c>
      <c r="J912" t="s">
        <v>546</v>
      </c>
      <c r="K912" s="5">
        <v>65</v>
      </c>
      <c r="L912" t="str">
        <f>Table_DataFromNL[[#This Row],[PROFILECODE]]&amp;"-"&amp;Table_DataFromNL[[#This Row],[RULENAME]]</f>
        <v>CP206-New Donor 4th Visit-Bonus</v>
      </c>
      <c r="M912" t="str">
        <f t="shared" si="103"/>
        <v>CP206-NEW DONOR -4th</v>
      </c>
    </row>
    <row r="913" spans="1:13" x14ac:dyDescent="0.25">
      <c r="A913" t="str">
        <f t="shared" si="104"/>
        <v>CP206-NEW DONOR -5th</v>
      </c>
      <c r="B913" t="s">
        <v>114</v>
      </c>
      <c r="C913" t="str">
        <f t="shared" si="98"/>
        <v>EP Stanton</v>
      </c>
      <c r="D913" t="str">
        <f t="shared" si="99"/>
        <v>Y</v>
      </c>
      <c r="E913" t="s">
        <v>620</v>
      </c>
      <c r="F913" t="str">
        <f t="shared" si="100"/>
        <v>NEW DONOR -5th</v>
      </c>
      <c r="G913" t="str">
        <f t="shared" si="101"/>
        <v>Marketing</v>
      </c>
      <c r="H913" t="s">
        <v>559</v>
      </c>
      <c r="I913">
        <f t="shared" si="102"/>
        <v>5</v>
      </c>
      <c r="J913" t="s">
        <v>546</v>
      </c>
      <c r="K913" s="5">
        <v>65</v>
      </c>
      <c r="L913" t="str">
        <f>Table_DataFromNL[[#This Row],[PROFILECODE]]&amp;"-"&amp;Table_DataFromNL[[#This Row],[RULENAME]]</f>
        <v>CP206-New Donor 5th Visit-Bonus</v>
      </c>
      <c r="M913" t="str">
        <f t="shared" si="103"/>
        <v>CP206-NEW DONOR -5th</v>
      </c>
    </row>
    <row r="914" spans="1:13" x14ac:dyDescent="0.25">
      <c r="A914" t="str">
        <f t="shared" si="104"/>
        <v>CP206-NEW DONOR -6th</v>
      </c>
      <c r="B914" t="s">
        <v>114</v>
      </c>
      <c r="C914" t="str">
        <f t="shared" si="98"/>
        <v>EP Stanton</v>
      </c>
      <c r="D914" t="str">
        <f t="shared" si="99"/>
        <v>Y</v>
      </c>
      <c r="E914" t="s">
        <v>620</v>
      </c>
      <c r="F914" t="str">
        <f t="shared" si="100"/>
        <v>NEW DONOR -6th</v>
      </c>
      <c r="G914" t="str">
        <f t="shared" si="101"/>
        <v>Marketing</v>
      </c>
      <c r="H914" t="s">
        <v>560</v>
      </c>
      <c r="I914">
        <f t="shared" si="102"/>
        <v>6</v>
      </c>
      <c r="J914" t="s">
        <v>546</v>
      </c>
      <c r="K914" s="5">
        <v>65</v>
      </c>
      <c r="L914" t="str">
        <f>Table_DataFromNL[[#This Row],[PROFILECODE]]&amp;"-"&amp;Table_DataFromNL[[#This Row],[RULENAME]]</f>
        <v>CP206-New Donor 6th Visit-Bonus</v>
      </c>
      <c r="M914" t="str">
        <f t="shared" si="103"/>
        <v>CP206-NEW DONOR -6th</v>
      </c>
    </row>
    <row r="915" spans="1:13" x14ac:dyDescent="0.25">
      <c r="A915" t="str">
        <f t="shared" si="104"/>
        <v>CP206-NEW DONOR -7th</v>
      </c>
      <c r="B915" t="s">
        <v>114</v>
      </c>
      <c r="C915" t="str">
        <f t="shared" si="98"/>
        <v>EP Stanton</v>
      </c>
      <c r="D915" t="str">
        <f t="shared" si="99"/>
        <v>Y</v>
      </c>
      <c r="E915" t="s">
        <v>620</v>
      </c>
      <c r="F915" t="str">
        <f t="shared" si="100"/>
        <v>NEW DONOR -7th</v>
      </c>
      <c r="G915" t="str">
        <f t="shared" si="101"/>
        <v>Marketing</v>
      </c>
      <c r="H915" t="s">
        <v>561</v>
      </c>
      <c r="I915">
        <f t="shared" si="102"/>
        <v>7</v>
      </c>
      <c r="J915" t="s">
        <v>546</v>
      </c>
      <c r="K915" s="5">
        <v>65</v>
      </c>
      <c r="L915" t="str">
        <f>Table_DataFromNL[[#This Row],[PROFILECODE]]&amp;"-"&amp;Table_DataFromNL[[#This Row],[RULENAME]]</f>
        <v>CP206-New Donor 7th Visit-Bonus</v>
      </c>
      <c r="M915" t="str">
        <f t="shared" si="103"/>
        <v>CP206-NEW DONOR -7th</v>
      </c>
    </row>
    <row r="916" spans="1:13" x14ac:dyDescent="0.25">
      <c r="A916" t="str">
        <f t="shared" si="104"/>
        <v>CP206-NEW DONOR -8th</v>
      </c>
      <c r="B916" t="s">
        <v>114</v>
      </c>
      <c r="C916" t="str">
        <f t="shared" si="98"/>
        <v>EP Stanton</v>
      </c>
      <c r="D916" t="str">
        <f t="shared" si="99"/>
        <v>Y</v>
      </c>
      <c r="E916" t="s">
        <v>620</v>
      </c>
      <c r="F916" t="str">
        <f t="shared" si="100"/>
        <v>NEW DONOR -8th</v>
      </c>
      <c r="G916" t="str">
        <f t="shared" si="101"/>
        <v>Marketing</v>
      </c>
      <c r="H916" t="s">
        <v>562</v>
      </c>
      <c r="I916">
        <f t="shared" si="102"/>
        <v>8</v>
      </c>
      <c r="J916" t="s">
        <v>546</v>
      </c>
      <c r="K916" s="5">
        <v>65</v>
      </c>
      <c r="L916" t="str">
        <f>Table_DataFromNL[[#This Row],[PROFILECODE]]&amp;"-"&amp;Table_DataFromNL[[#This Row],[RULENAME]]</f>
        <v>CP206-New Donor 8th Visit-Bonus</v>
      </c>
      <c r="M916" t="str">
        <f t="shared" si="103"/>
        <v>CP206-NEW DONOR -8th</v>
      </c>
    </row>
    <row r="917" spans="1:13" x14ac:dyDescent="0.25">
      <c r="A917" t="str">
        <f t="shared" si="104"/>
        <v>CP206-Community</v>
      </c>
      <c r="B917" t="s">
        <v>114</v>
      </c>
      <c r="C917" t="str">
        <f t="shared" si="98"/>
        <v>EP Stanton</v>
      </c>
      <c r="D917" t="str">
        <f t="shared" si="99"/>
        <v>Y</v>
      </c>
      <c r="E917" t="s">
        <v>620</v>
      </c>
      <c r="F917" t="str">
        <f t="shared" si="100"/>
        <v>Community</v>
      </c>
      <c r="G917">
        <f t="shared" si="101"/>
        <v>0</v>
      </c>
      <c r="H917" t="s">
        <v>563</v>
      </c>
      <c r="I917">
        <f t="shared" si="102"/>
        <v>0</v>
      </c>
      <c r="J917" t="s">
        <v>564</v>
      </c>
      <c r="K917" s="5">
        <v>5</v>
      </c>
      <c r="L917" t="str">
        <f>Table_DataFromNL[[#This Row],[PROFILECODE]]&amp;"-"&amp;Table_DataFromNL[[#This Row],[RULENAME]]</f>
        <v>CP206-Community</v>
      </c>
      <c r="M917" t="e">
        <f t="shared" si="103"/>
        <v>#N/A</v>
      </c>
    </row>
    <row r="918" spans="1:13" x14ac:dyDescent="0.25">
      <c r="A918" t="str">
        <f t="shared" si="104"/>
        <v>CP206-HANGER_RECRUIT_5USD_once</v>
      </c>
      <c r="B918" t="s">
        <v>114</v>
      </c>
      <c r="C918" t="str">
        <f t="shared" si="98"/>
        <v>EP Stanton</v>
      </c>
      <c r="D918" t="str">
        <f t="shared" si="99"/>
        <v>Y</v>
      </c>
      <c r="E918" t="s">
        <v>620</v>
      </c>
      <c r="F918" t="str">
        <f t="shared" si="100"/>
        <v>HANGER_RECRUIT_5USD_once</v>
      </c>
      <c r="G918">
        <f t="shared" si="101"/>
        <v>0</v>
      </c>
      <c r="H918" t="s">
        <v>565</v>
      </c>
      <c r="I918">
        <f t="shared" si="102"/>
        <v>0</v>
      </c>
      <c r="J918" t="s">
        <v>564</v>
      </c>
      <c r="K918" s="5">
        <v>5</v>
      </c>
      <c r="L918" t="str">
        <f>Table_DataFromNL[[#This Row],[PROFILECODE]]&amp;"-"&amp;Table_DataFromNL[[#This Row],[RULENAME]]</f>
        <v>CP206-HANGER_RECRUIT_5USD_once</v>
      </c>
      <c r="M918" t="e">
        <f t="shared" si="103"/>
        <v>#N/A</v>
      </c>
    </row>
    <row r="919" spans="1:13" x14ac:dyDescent="0.25">
      <c r="A919" t="str">
        <f t="shared" si="104"/>
        <v>CP206-Inconv Fee $20-$50-Comment Req'd</v>
      </c>
      <c r="B919" t="s">
        <v>114</v>
      </c>
      <c r="C919" t="str">
        <f t="shared" si="98"/>
        <v>EP Stanton</v>
      </c>
      <c r="D919" t="str">
        <f t="shared" si="99"/>
        <v>Y</v>
      </c>
      <c r="E919" t="s">
        <v>620</v>
      </c>
      <c r="F919" t="str">
        <f t="shared" si="100"/>
        <v>Inconv Fee $20-$50-Comment Req'd</v>
      </c>
      <c r="G919">
        <f t="shared" si="101"/>
        <v>0</v>
      </c>
      <c r="H919" t="s">
        <v>566</v>
      </c>
      <c r="I919">
        <f t="shared" si="102"/>
        <v>0</v>
      </c>
      <c r="J919" t="s">
        <v>564</v>
      </c>
      <c r="K919" s="5">
        <v>50</v>
      </c>
      <c r="L919" t="str">
        <f>Table_DataFromNL[[#This Row],[PROFILECODE]]&amp;"-"&amp;Table_DataFromNL[[#This Row],[RULENAME]]</f>
        <v>CP206-Inconv Fee $20-$50-Comment Req'd</v>
      </c>
      <c r="M919" t="e">
        <f t="shared" si="103"/>
        <v>#N/A</v>
      </c>
    </row>
    <row r="920" spans="1:13" x14ac:dyDescent="0.25">
      <c r="A920" t="str">
        <f t="shared" si="104"/>
        <v>CP206-Inconv Fee $5-$20-Comment Req'd</v>
      </c>
      <c r="B920" t="s">
        <v>114</v>
      </c>
      <c r="C920" t="str">
        <f t="shared" si="98"/>
        <v>EP Stanton</v>
      </c>
      <c r="D920" t="str">
        <f t="shared" si="99"/>
        <v>Y</v>
      </c>
      <c r="E920" t="s">
        <v>620</v>
      </c>
      <c r="F920" t="str">
        <f t="shared" si="100"/>
        <v>Inconv Fee $5-$20-Comment Req'd</v>
      </c>
      <c r="G920">
        <f t="shared" si="101"/>
        <v>0</v>
      </c>
      <c r="H920" t="s">
        <v>567</v>
      </c>
      <c r="I920">
        <f t="shared" si="102"/>
        <v>0</v>
      </c>
      <c r="J920" t="s">
        <v>564</v>
      </c>
      <c r="K920" s="5">
        <v>20</v>
      </c>
      <c r="L920" t="str">
        <f>Table_DataFromNL[[#This Row],[PROFILECODE]]&amp;"-"&amp;Table_DataFromNL[[#This Row],[RULENAME]]</f>
        <v>CP206-Inconv Fee $5-$20-Comment Req'd</v>
      </c>
      <c r="M920" t="e">
        <f t="shared" si="103"/>
        <v>#N/A</v>
      </c>
    </row>
    <row r="921" spans="1:13" x14ac:dyDescent="0.25">
      <c r="A921" t="str">
        <f t="shared" si="104"/>
        <v>CP206-Inconv Fee$50-$100-Comment Req'd</v>
      </c>
      <c r="B921" t="s">
        <v>114</v>
      </c>
      <c r="C921" t="str">
        <f t="shared" si="98"/>
        <v>EP Stanton</v>
      </c>
      <c r="D921" t="str">
        <f t="shared" si="99"/>
        <v>Y</v>
      </c>
      <c r="E921" t="s">
        <v>620</v>
      </c>
      <c r="F921" t="str">
        <f t="shared" si="100"/>
        <v>Inconv Fee$50-$100-Comment Req'd</v>
      </c>
      <c r="G921">
        <f t="shared" si="101"/>
        <v>0</v>
      </c>
      <c r="H921" t="s">
        <v>568</v>
      </c>
      <c r="I921">
        <f t="shared" si="102"/>
        <v>0</v>
      </c>
      <c r="J921" t="s">
        <v>564</v>
      </c>
      <c r="K921" s="5">
        <v>100</v>
      </c>
      <c r="L921" t="str">
        <f>Table_DataFromNL[[#This Row],[PROFILECODE]]&amp;"-"&amp;Table_DataFromNL[[#This Row],[RULENAME]]</f>
        <v>CP206-Inconv Fee$50-$100-Comment Req'd</v>
      </c>
      <c r="M921" t="e">
        <f t="shared" si="103"/>
        <v>#N/A</v>
      </c>
    </row>
    <row r="922" spans="1:13" x14ac:dyDescent="0.25">
      <c r="A922" t="str">
        <f t="shared" si="104"/>
        <v>CP206-NSP_ LAPSEDONOR_50_Twice</v>
      </c>
      <c r="B922" t="s">
        <v>114</v>
      </c>
      <c r="C922" t="str">
        <f t="shared" si="98"/>
        <v>EP Stanton</v>
      </c>
      <c r="D922" t="str">
        <f t="shared" si="99"/>
        <v>Y</v>
      </c>
      <c r="E922" t="s">
        <v>620</v>
      </c>
      <c r="F922" t="str">
        <f t="shared" si="100"/>
        <v>NSP_ LAPSEDONOR_50_Twice</v>
      </c>
      <c r="G922">
        <f t="shared" si="101"/>
        <v>0</v>
      </c>
      <c r="H922" t="s">
        <v>569</v>
      </c>
      <c r="I922">
        <f t="shared" si="102"/>
        <v>0</v>
      </c>
      <c r="J922" t="s">
        <v>564</v>
      </c>
      <c r="K922" s="5">
        <v>50</v>
      </c>
      <c r="L922" t="str">
        <f>Table_DataFromNL[[#This Row],[PROFILECODE]]&amp;"-"&amp;Table_DataFromNL[[#This Row],[RULENAME]]</f>
        <v>CP206-NSP_ LAPSEDONOR_50_Twice</v>
      </c>
      <c r="M922" t="e">
        <f t="shared" si="103"/>
        <v>#N/A</v>
      </c>
    </row>
    <row r="923" spans="1:13" x14ac:dyDescent="0.25">
      <c r="A923" t="str">
        <f t="shared" si="104"/>
        <v>CP206-NSP_LD_25_2X</v>
      </c>
      <c r="B923" t="s">
        <v>114</v>
      </c>
      <c r="C923" t="str">
        <f t="shared" si="98"/>
        <v>EP Stanton</v>
      </c>
      <c r="D923" t="str">
        <f t="shared" si="99"/>
        <v>Y</v>
      </c>
      <c r="E923" t="s">
        <v>620</v>
      </c>
      <c r="F923" t="str">
        <f t="shared" si="100"/>
        <v>NSP_LD_25_2X</v>
      </c>
      <c r="G923">
        <f t="shared" si="101"/>
        <v>0</v>
      </c>
      <c r="H923" t="s">
        <v>570</v>
      </c>
      <c r="I923">
        <f t="shared" si="102"/>
        <v>0</v>
      </c>
      <c r="J923" t="s">
        <v>564</v>
      </c>
      <c r="K923" s="5">
        <v>25</v>
      </c>
      <c r="L923" t="str">
        <f>Table_DataFromNL[[#This Row],[PROFILECODE]]&amp;"-"&amp;Table_DataFromNL[[#This Row],[RULENAME]]</f>
        <v>CP206-NSP_LD_25_2X</v>
      </c>
      <c r="M923" t="e">
        <f t="shared" si="103"/>
        <v>#N/A</v>
      </c>
    </row>
    <row r="924" spans="1:13" x14ac:dyDescent="0.25">
      <c r="A924" t="str">
        <f t="shared" si="104"/>
        <v>CP206-NSP_LD_50_1X</v>
      </c>
      <c r="B924" t="s">
        <v>114</v>
      </c>
      <c r="C924" t="str">
        <f t="shared" si="98"/>
        <v>EP Stanton</v>
      </c>
      <c r="D924" t="str">
        <f t="shared" si="99"/>
        <v>Y</v>
      </c>
      <c r="E924" t="s">
        <v>620</v>
      </c>
      <c r="F924" t="str">
        <f t="shared" si="100"/>
        <v>NSP_LD_50_1X</v>
      </c>
      <c r="G924">
        <f t="shared" si="101"/>
        <v>0</v>
      </c>
      <c r="H924" t="s">
        <v>571</v>
      </c>
      <c r="I924">
        <f t="shared" si="102"/>
        <v>0</v>
      </c>
      <c r="J924" t="s">
        <v>564</v>
      </c>
      <c r="K924" s="5">
        <v>50</v>
      </c>
      <c r="L924" t="str">
        <f>Table_DataFromNL[[#This Row],[PROFILECODE]]&amp;"-"&amp;Table_DataFromNL[[#This Row],[RULENAME]]</f>
        <v>CP206-NSP_LD_50_1X</v>
      </c>
      <c r="M924" t="e">
        <f t="shared" si="103"/>
        <v>#N/A</v>
      </c>
    </row>
    <row r="925" spans="1:13" x14ac:dyDescent="0.25">
      <c r="A925" t="str">
        <f t="shared" si="104"/>
        <v>CP206-NSP_ORPHAN_100_once</v>
      </c>
      <c r="B925" t="s">
        <v>114</v>
      </c>
      <c r="C925" t="str">
        <f t="shared" si="98"/>
        <v>EP Stanton</v>
      </c>
      <c r="D925" t="str">
        <f t="shared" si="99"/>
        <v>Y</v>
      </c>
      <c r="E925" t="s">
        <v>620</v>
      </c>
      <c r="F925" t="str">
        <f t="shared" si="100"/>
        <v>NSP_ORPHAN_100_once</v>
      </c>
      <c r="G925">
        <f t="shared" si="101"/>
        <v>0</v>
      </c>
      <c r="H925" t="s">
        <v>572</v>
      </c>
      <c r="I925">
        <f t="shared" si="102"/>
        <v>0</v>
      </c>
      <c r="J925" t="s">
        <v>564</v>
      </c>
      <c r="K925" s="5">
        <v>100</v>
      </c>
      <c r="L925" t="str">
        <f>Table_DataFromNL[[#This Row],[PROFILECODE]]&amp;"-"&amp;Table_DataFromNL[[#This Row],[RULENAME]]</f>
        <v>CP206-NSP_ORPHAN_100_once</v>
      </c>
      <c r="M925" t="e">
        <f t="shared" si="103"/>
        <v>#N/A</v>
      </c>
    </row>
    <row r="926" spans="1:13" x14ac:dyDescent="0.25">
      <c r="A926" t="str">
        <f t="shared" si="104"/>
        <v>CP206-Restick</v>
      </c>
      <c r="B926" t="s">
        <v>114</v>
      </c>
      <c r="C926" t="str">
        <f t="shared" si="98"/>
        <v>EP Stanton</v>
      </c>
      <c r="D926" t="str">
        <f t="shared" si="99"/>
        <v>Y</v>
      </c>
      <c r="E926" t="s">
        <v>620</v>
      </c>
      <c r="F926" t="str">
        <f t="shared" si="100"/>
        <v>Restick</v>
      </c>
      <c r="G926">
        <f t="shared" si="101"/>
        <v>0</v>
      </c>
      <c r="H926" t="s">
        <v>573</v>
      </c>
      <c r="I926">
        <f t="shared" si="102"/>
        <v>0</v>
      </c>
      <c r="J926" t="s">
        <v>564</v>
      </c>
      <c r="K926" s="5">
        <v>5</v>
      </c>
      <c r="L926" t="str">
        <f>Table_DataFromNL[[#This Row],[PROFILECODE]]&amp;"-"&amp;Table_DataFromNL[[#This Row],[RULENAME]]</f>
        <v>CP206-Restick</v>
      </c>
      <c r="M926" t="e">
        <f t="shared" si="103"/>
        <v>#N/A</v>
      </c>
    </row>
    <row r="927" spans="1:13" x14ac:dyDescent="0.25">
      <c r="A927" t="str">
        <f t="shared" si="104"/>
        <v>CP206-SCRATCH_100_USD</v>
      </c>
      <c r="B927" t="s">
        <v>114</v>
      </c>
      <c r="C927" t="str">
        <f t="shared" si="98"/>
        <v>EP Stanton</v>
      </c>
      <c r="D927" t="str">
        <f t="shared" si="99"/>
        <v>Y</v>
      </c>
      <c r="E927" t="s">
        <v>620</v>
      </c>
      <c r="F927" t="str">
        <f t="shared" si="100"/>
        <v>SCRATCH_100_USD</v>
      </c>
      <c r="G927">
        <f t="shared" si="101"/>
        <v>0</v>
      </c>
      <c r="H927" t="s">
        <v>586</v>
      </c>
      <c r="I927">
        <f t="shared" si="102"/>
        <v>0</v>
      </c>
      <c r="J927" t="s">
        <v>564</v>
      </c>
      <c r="K927" s="5">
        <v>100</v>
      </c>
      <c r="L927" t="str">
        <f>Table_DataFromNL[[#This Row],[PROFILECODE]]&amp;"-"&amp;Table_DataFromNL[[#This Row],[RULENAME]]</f>
        <v>CP206-SCRATCH_100_USD</v>
      </c>
      <c r="M927" t="e">
        <f t="shared" si="103"/>
        <v>#N/A</v>
      </c>
    </row>
    <row r="928" spans="1:13" x14ac:dyDescent="0.25">
      <c r="A928" t="str">
        <f t="shared" si="104"/>
        <v>CP206-SCRATCH_10_USD</v>
      </c>
      <c r="B928" t="s">
        <v>114</v>
      </c>
      <c r="C928" t="str">
        <f t="shared" si="98"/>
        <v>EP Stanton</v>
      </c>
      <c r="D928" t="str">
        <f t="shared" si="99"/>
        <v>Y</v>
      </c>
      <c r="E928" t="s">
        <v>620</v>
      </c>
      <c r="F928" t="str">
        <f t="shared" si="100"/>
        <v>SCRATCH_10_USD</v>
      </c>
      <c r="G928">
        <f t="shared" si="101"/>
        <v>0</v>
      </c>
      <c r="H928" t="s">
        <v>587</v>
      </c>
      <c r="I928">
        <f t="shared" si="102"/>
        <v>0</v>
      </c>
      <c r="J928" t="s">
        <v>564</v>
      </c>
      <c r="K928" s="5">
        <v>10</v>
      </c>
      <c r="L928" t="str">
        <f>Table_DataFromNL[[#This Row],[PROFILECODE]]&amp;"-"&amp;Table_DataFromNL[[#This Row],[RULENAME]]</f>
        <v>CP206-SCRATCH_10_USD</v>
      </c>
      <c r="M928" t="e">
        <f t="shared" si="103"/>
        <v>#N/A</v>
      </c>
    </row>
    <row r="929" spans="1:13" x14ac:dyDescent="0.25">
      <c r="A929" t="str">
        <f t="shared" si="104"/>
        <v>CP206-SCRATCH_20_USD</v>
      </c>
      <c r="B929" t="s">
        <v>114</v>
      </c>
      <c r="C929" t="str">
        <f t="shared" si="98"/>
        <v>EP Stanton</v>
      </c>
      <c r="D929" t="str">
        <f t="shared" si="99"/>
        <v>Y</v>
      </c>
      <c r="E929" t="s">
        <v>620</v>
      </c>
      <c r="F929" t="str">
        <f t="shared" si="100"/>
        <v>SCRATCH_20_USD</v>
      </c>
      <c r="G929">
        <f t="shared" si="101"/>
        <v>0</v>
      </c>
      <c r="H929" t="s">
        <v>588</v>
      </c>
      <c r="I929">
        <f t="shared" si="102"/>
        <v>0</v>
      </c>
      <c r="J929" t="s">
        <v>564</v>
      </c>
      <c r="K929" s="5">
        <v>20</v>
      </c>
      <c r="L929" t="str">
        <f>Table_DataFromNL[[#This Row],[PROFILECODE]]&amp;"-"&amp;Table_DataFromNL[[#This Row],[RULENAME]]</f>
        <v>CP206-SCRATCH_20_USD</v>
      </c>
      <c r="M929" t="e">
        <f t="shared" si="103"/>
        <v>#N/A</v>
      </c>
    </row>
    <row r="930" spans="1:13" x14ac:dyDescent="0.25">
      <c r="A930" t="str">
        <f t="shared" si="104"/>
        <v>CP206-SCRATCH_25_USD</v>
      </c>
      <c r="B930" t="s">
        <v>114</v>
      </c>
      <c r="C930" t="str">
        <f t="shared" si="98"/>
        <v>EP Stanton</v>
      </c>
      <c r="D930" t="str">
        <f t="shared" si="99"/>
        <v>Y</v>
      </c>
      <c r="E930" t="s">
        <v>620</v>
      </c>
      <c r="F930" t="str">
        <f t="shared" si="100"/>
        <v>SCRATCH_25_USD</v>
      </c>
      <c r="G930">
        <f t="shared" si="101"/>
        <v>0</v>
      </c>
      <c r="H930" t="s">
        <v>589</v>
      </c>
      <c r="I930">
        <f t="shared" si="102"/>
        <v>0</v>
      </c>
      <c r="J930" t="s">
        <v>564</v>
      </c>
      <c r="K930" s="5">
        <v>25</v>
      </c>
      <c r="L930" t="str">
        <f>Table_DataFromNL[[#This Row],[PROFILECODE]]&amp;"-"&amp;Table_DataFromNL[[#This Row],[RULENAME]]</f>
        <v>CP206-SCRATCH_25_USD</v>
      </c>
      <c r="M930" t="e">
        <f t="shared" si="103"/>
        <v>#N/A</v>
      </c>
    </row>
    <row r="931" spans="1:13" x14ac:dyDescent="0.25">
      <c r="A931" t="str">
        <f t="shared" si="104"/>
        <v>CP206-SCRATCH_50_USD</v>
      </c>
      <c r="B931" t="s">
        <v>114</v>
      </c>
      <c r="C931" t="str">
        <f t="shared" si="98"/>
        <v>EP Stanton</v>
      </c>
      <c r="D931" t="str">
        <f t="shared" si="99"/>
        <v>Y</v>
      </c>
      <c r="E931" t="s">
        <v>620</v>
      </c>
      <c r="F931" t="str">
        <f t="shared" si="100"/>
        <v>SCRATCH_50_USD</v>
      </c>
      <c r="G931">
        <f t="shared" si="101"/>
        <v>0</v>
      </c>
      <c r="H931" t="s">
        <v>590</v>
      </c>
      <c r="I931">
        <f t="shared" si="102"/>
        <v>0</v>
      </c>
      <c r="J931" t="s">
        <v>564</v>
      </c>
      <c r="K931" s="5">
        <v>50</v>
      </c>
      <c r="L931" t="str">
        <f>Table_DataFromNL[[#This Row],[PROFILECODE]]&amp;"-"&amp;Table_DataFromNL[[#This Row],[RULENAME]]</f>
        <v>CP206-SCRATCH_50_USD</v>
      </c>
      <c r="M931" t="e">
        <f t="shared" si="103"/>
        <v>#N/A</v>
      </c>
    </row>
    <row r="932" spans="1:13" x14ac:dyDescent="0.25">
      <c r="A932" t="str">
        <f t="shared" si="104"/>
        <v>CP206-SCRATCH_5_USD</v>
      </c>
      <c r="B932" t="s">
        <v>114</v>
      </c>
      <c r="C932" t="str">
        <f t="shared" si="98"/>
        <v>EP Stanton</v>
      </c>
      <c r="D932" t="str">
        <f t="shared" si="99"/>
        <v>Y</v>
      </c>
      <c r="E932" t="s">
        <v>620</v>
      </c>
      <c r="F932" t="str">
        <f t="shared" si="100"/>
        <v>SCRATCH_5_USD</v>
      </c>
      <c r="G932">
        <f t="shared" si="101"/>
        <v>0</v>
      </c>
      <c r="H932" t="s">
        <v>591</v>
      </c>
      <c r="I932">
        <f t="shared" si="102"/>
        <v>0</v>
      </c>
      <c r="J932" t="s">
        <v>564</v>
      </c>
      <c r="K932" s="5">
        <v>5</v>
      </c>
      <c r="L932" t="str">
        <f>Table_DataFromNL[[#This Row],[PROFILECODE]]&amp;"-"&amp;Table_DataFromNL[[#This Row],[RULENAME]]</f>
        <v>CP206-SCRATCH_5_USD</v>
      </c>
      <c r="M932" t="e">
        <f t="shared" si="103"/>
        <v>#N/A</v>
      </c>
    </row>
    <row r="933" spans="1:13" x14ac:dyDescent="0.25">
      <c r="A933" t="str">
        <f t="shared" si="104"/>
        <v>CP206-SLOW_TEXT_5</v>
      </c>
      <c r="B933" t="s">
        <v>114</v>
      </c>
      <c r="C933" t="str">
        <f t="shared" si="98"/>
        <v>EP Stanton</v>
      </c>
      <c r="D933" t="str">
        <f t="shared" si="99"/>
        <v>Y</v>
      </c>
      <c r="E933" t="s">
        <v>620</v>
      </c>
      <c r="F933" t="str">
        <f t="shared" si="100"/>
        <v>SLOW_TEXT_5</v>
      </c>
      <c r="G933">
        <f t="shared" si="101"/>
        <v>0</v>
      </c>
      <c r="H933" t="s">
        <v>574</v>
      </c>
      <c r="I933">
        <f t="shared" si="102"/>
        <v>0</v>
      </c>
      <c r="J933" t="s">
        <v>564</v>
      </c>
      <c r="K933" s="5">
        <v>5</v>
      </c>
      <c r="L933" t="str">
        <f>Table_DataFromNL[[#This Row],[PROFILECODE]]&amp;"-"&amp;Table_DataFromNL[[#This Row],[RULENAME]]</f>
        <v>CP206-SLOW_TEXT_5</v>
      </c>
      <c r="M933" t="e">
        <f t="shared" si="103"/>
        <v>#N/A</v>
      </c>
    </row>
    <row r="934" spans="1:13" x14ac:dyDescent="0.25">
      <c r="A934" t="str">
        <f t="shared" si="104"/>
        <v>CP206-Sample Only</v>
      </c>
      <c r="B934" t="s">
        <v>114</v>
      </c>
      <c r="C934" t="str">
        <f t="shared" si="98"/>
        <v>EP Stanton</v>
      </c>
      <c r="D934" t="str">
        <f t="shared" si="99"/>
        <v>Y</v>
      </c>
      <c r="E934" t="s">
        <v>620</v>
      </c>
      <c r="F934" t="str">
        <f t="shared" si="100"/>
        <v>Sample Only</v>
      </c>
      <c r="G934">
        <f t="shared" si="101"/>
        <v>0</v>
      </c>
      <c r="H934" t="s">
        <v>575</v>
      </c>
      <c r="I934">
        <f t="shared" si="102"/>
        <v>0</v>
      </c>
      <c r="J934" t="s">
        <v>564</v>
      </c>
      <c r="K934" s="5">
        <v>5</v>
      </c>
      <c r="L934" t="str">
        <f>Table_DataFromNL[[#This Row],[PROFILECODE]]&amp;"-"&amp;Table_DataFromNL[[#This Row],[RULENAME]]</f>
        <v>CP206-Sample Only</v>
      </c>
      <c r="M934" t="e">
        <f t="shared" si="103"/>
        <v>#N/A</v>
      </c>
    </row>
    <row r="935" spans="1:13" x14ac:dyDescent="0.25">
      <c r="A935" t="str">
        <f t="shared" si="104"/>
        <v>CP206-Unit Below 250 mL</v>
      </c>
      <c r="B935" t="s">
        <v>114</v>
      </c>
      <c r="C935" t="str">
        <f t="shared" si="98"/>
        <v>EP Stanton</v>
      </c>
      <c r="D935" t="str">
        <f t="shared" si="99"/>
        <v>Y</v>
      </c>
      <c r="E935" t="s">
        <v>620</v>
      </c>
      <c r="F935" t="str">
        <f t="shared" si="100"/>
        <v>Unit Below 250 mL</v>
      </c>
      <c r="G935">
        <f t="shared" si="101"/>
        <v>0</v>
      </c>
      <c r="H935" t="s">
        <v>576</v>
      </c>
      <c r="I935">
        <f t="shared" si="102"/>
        <v>0</v>
      </c>
      <c r="J935" t="s">
        <v>564</v>
      </c>
      <c r="K935" s="5">
        <v>5</v>
      </c>
      <c r="L935" t="str">
        <f>Table_DataFromNL[[#This Row],[PROFILECODE]]&amp;"-"&amp;Table_DataFromNL[[#This Row],[RULENAME]]</f>
        <v>CP206-Unit Below 250 mL</v>
      </c>
      <c r="M935" t="e">
        <f t="shared" si="103"/>
        <v>#N/A</v>
      </c>
    </row>
    <row r="936" spans="1:13" x14ac:dyDescent="0.25">
      <c r="A936" t="str">
        <f t="shared" si="104"/>
        <v>CP206-Unit above 250 mL/underdraw</v>
      </c>
      <c r="B936" t="s">
        <v>114</v>
      </c>
      <c r="C936" t="str">
        <f t="shared" si="98"/>
        <v>EP Stanton</v>
      </c>
      <c r="D936" t="str">
        <f t="shared" si="99"/>
        <v>Y</v>
      </c>
      <c r="E936" t="s">
        <v>620</v>
      </c>
      <c r="F936" t="str">
        <f t="shared" si="100"/>
        <v>Unit above 250 mL/underdraw</v>
      </c>
      <c r="G936">
        <f t="shared" si="101"/>
        <v>0</v>
      </c>
      <c r="H936" t="s">
        <v>577</v>
      </c>
      <c r="I936">
        <f t="shared" si="102"/>
        <v>0</v>
      </c>
      <c r="J936" t="s">
        <v>564</v>
      </c>
      <c r="K936" s="5">
        <v>10</v>
      </c>
      <c r="L936" t="str">
        <f>Table_DataFromNL[[#This Row],[PROFILECODE]]&amp;"-"&amp;Table_DataFromNL[[#This Row],[RULENAME]]</f>
        <v>CP206-Unit above 250 mL/underdraw</v>
      </c>
      <c r="M936" t="e">
        <f t="shared" si="103"/>
        <v>#N/A</v>
      </c>
    </row>
    <row r="937" spans="1:13" x14ac:dyDescent="0.25">
      <c r="A937" t="str">
        <f t="shared" si="104"/>
        <v>CP206-RETURN - Buddy referral  -BONUS</v>
      </c>
      <c r="B937" t="s">
        <v>114</v>
      </c>
      <c r="C937" t="str">
        <f t="shared" si="98"/>
        <v>EP Stanton</v>
      </c>
      <c r="D937" t="str">
        <f t="shared" si="99"/>
        <v>Y</v>
      </c>
      <c r="E937" t="s">
        <v>620</v>
      </c>
      <c r="F937" t="str">
        <f t="shared" si="100"/>
        <v>RETURN - Buddy referral  -BONUS</v>
      </c>
      <c r="G937" t="str">
        <f t="shared" si="101"/>
        <v>Marketing</v>
      </c>
      <c r="H937" t="s">
        <v>34</v>
      </c>
      <c r="I937">
        <f t="shared" si="102"/>
        <v>50</v>
      </c>
      <c r="J937" t="s">
        <v>578</v>
      </c>
      <c r="K937" s="5">
        <v>50</v>
      </c>
      <c r="L937" t="str">
        <f>Table_DataFromNL[[#This Row],[PROFILECODE]]&amp;"-"&amp;Table_DataFromNL[[#This Row],[RULENAME]]</f>
        <v>CP206-Referral</v>
      </c>
      <c r="M937" t="str">
        <f t="shared" si="103"/>
        <v>CP206-RETURN - Buddy referral  -BONUS</v>
      </c>
    </row>
    <row r="938" spans="1:13" x14ac:dyDescent="0.25">
      <c r="A938" t="str">
        <f t="shared" si="104"/>
        <v>CP206-P Anti-D Pre-Existing Standard</v>
      </c>
      <c r="B938" t="s">
        <v>114</v>
      </c>
      <c r="C938" t="str">
        <f t="shared" si="98"/>
        <v>EP Stanton</v>
      </c>
      <c r="D938" t="str">
        <f t="shared" si="99"/>
        <v>Y</v>
      </c>
      <c r="E938" t="s">
        <v>620</v>
      </c>
      <c r="F938" t="str">
        <f t="shared" si="100"/>
        <v>P Anti-D Pre-Existing Standard</v>
      </c>
      <c r="G938" t="str">
        <f t="shared" si="101"/>
        <v>Specialty</v>
      </c>
      <c r="H938" t="s">
        <v>469</v>
      </c>
      <c r="I938" t="str">
        <f t="shared" si="102"/>
        <v>RETURN - 1st don of the week -STD</v>
      </c>
      <c r="J938" t="s">
        <v>579</v>
      </c>
      <c r="K938" s="5">
        <v>50</v>
      </c>
      <c r="L938" t="str">
        <f>Table_DataFromNL[[#This Row],[PROFILECODE]]&amp;"-"&amp;Table_DataFromNL[[#This Row],[RULENAME]]</f>
        <v>CP206-P Anti-D Pre-Existing Standard</v>
      </c>
      <c r="M938" t="str">
        <f t="shared" si="103"/>
        <v>CP206-P Anti-D Pre-Existing Standard</v>
      </c>
    </row>
    <row r="939" spans="1:13" x14ac:dyDescent="0.25">
      <c r="A939" t="str">
        <f t="shared" si="104"/>
        <v>CP206-P HBS Pre-Existing Standard</v>
      </c>
      <c r="B939" t="s">
        <v>114</v>
      </c>
      <c r="C939" t="str">
        <f t="shared" si="98"/>
        <v>EP Stanton</v>
      </c>
      <c r="D939" t="str">
        <f t="shared" si="99"/>
        <v>Y</v>
      </c>
      <c r="E939" t="s">
        <v>620</v>
      </c>
      <c r="F939" t="str">
        <f t="shared" si="100"/>
        <v>P HBS Pre-Existing Standard</v>
      </c>
      <c r="G939" t="str">
        <f t="shared" si="101"/>
        <v>Specialty</v>
      </c>
      <c r="H939" t="s">
        <v>472</v>
      </c>
      <c r="I939" t="str">
        <f t="shared" si="102"/>
        <v>RETURN - 1st don of the week -STD</v>
      </c>
      <c r="J939" t="s">
        <v>579</v>
      </c>
      <c r="K939" s="5">
        <v>85</v>
      </c>
      <c r="L939" t="str">
        <f>Table_DataFromNL[[#This Row],[PROFILECODE]]&amp;"-"&amp;Table_DataFromNL[[#This Row],[RULENAME]]</f>
        <v>CP206-P HBS Pre-Existing Standard</v>
      </c>
      <c r="M939" t="str">
        <f t="shared" si="103"/>
        <v>CP206-P HBS Pre-Existing Standard</v>
      </c>
    </row>
    <row r="940" spans="1:13" x14ac:dyDescent="0.25">
      <c r="A940" t="str">
        <f t="shared" si="104"/>
        <v>CP206-P HBS TWINRIX Standard</v>
      </c>
      <c r="B940" t="s">
        <v>114</v>
      </c>
      <c r="C940" t="str">
        <f t="shared" si="98"/>
        <v>EP Stanton</v>
      </c>
      <c r="D940" t="str">
        <f t="shared" si="99"/>
        <v>Y</v>
      </c>
      <c r="E940" t="s">
        <v>620</v>
      </c>
      <c r="F940" t="str">
        <f t="shared" si="100"/>
        <v>P HBS TWINRIX Standard</v>
      </c>
      <c r="G940" t="str">
        <f t="shared" si="101"/>
        <v>Specialty</v>
      </c>
      <c r="H940" t="s">
        <v>506</v>
      </c>
      <c r="I940" t="str">
        <f t="shared" si="102"/>
        <v>RETURN - 1st don of the week -STD</v>
      </c>
      <c r="J940" t="s">
        <v>579</v>
      </c>
      <c r="K940" s="5">
        <v>85</v>
      </c>
      <c r="L940" t="str">
        <f>Table_DataFromNL[[#This Row],[PROFILECODE]]&amp;"-"&amp;Table_DataFromNL[[#This Row],[RULENAME]]</f>
        <v>CP206-P HBS TWINRIX Standard</v>
      </c>
      <c r="M940" t="str">
        <f t="shared" si="103"/>
        <v>CP206-P HBS TWINRIX Standard</v>
      </c>
    </row>
    <row r="941" spans="1:13" x14ac:dyDescent="0.25">
      <c r="A941" t="str">
        <f t="shared" si="104"/>
        <v>CP206-P HBS TWINRIX-AP Standard</v>
      </c>
      <c r="B941" t="s">
        <v>114</v>
      </c>
      <c r="C941" t="str">
        <f t="shared" si="98"/>
        <v>EP Stanton</v>
      </c>
      <c r="D941" t="str">
        <f t="shared" si="99"/>
        <v>Y</v>
      </c>
      <c r="E941" t="s">
        <v>620</v>
      </c>
      <c r="F941" t="str">
        <f t="shared" si="100"/>
        <v>P HBS TWINRIX-AP Standard</v>
      </c>
      <c r="G941" t="str">
        <f t="shared" si="101"/>
        <v>Specialty</v>
      </c>
      <c r="H941" t="s">
        <v>507</v>
      </c>
      <c r="I941" t="str">
        <f t="shared" si="102"/>
        <v>RETURN - 1st don of the week -STD</v>
      </c>
      <c r="J941" t="s">
        <v>579</v>
      </c>
      <c r="K941" s="5">
        <v>85</v>
      </c>
      <c r="L941" t="str">
        <f>Table_DataFromNL[[#This Row],[PROFILECODE]]&amp;"-"&amp;Table_DataFromNL[[#This Row],[RULENAME]]</f>
        <v>CP206-P HBS TWINRIX-AP Standard</v>
      </c>
      <c r="M941" t="str">
        <f t="shared" si="103"/>
        <v>CP206-P HBS TWINRIX-AP Standard</v>
      </c>
    </row>
    <row r="942" spans="1:13" x14ac:dyDescent="0.25">
      <c r="A942" t="str">
        <f t="shared" si="104"/>
        <v>CP206-RETURN - 1st don of the week -STD</v>
      </c>
      <c r="B942" t="s">
        <v>114</v>
      </c>
      <c r="C942" t="str">
        <f t="shared" si="98"/>
        <v>EP Stanton</v>
      </c>
      <c r="D942" t="str">
        <f t="shared" si="99"/>
        <v>Y</v>
      </c>
      <c r="E942" t="s">
        <v>620</v>
      </c>
      <c r="F942" t="str">
        <f t="shared" si="100"/>
        <v>RETURN - 1st don of the week -STD</v>
      </c>
      <c r="G942" t="str">
        <f t="shared" si="101"/>
        <v>Marketing</v>
      </c>
      <c r="H942" t="s">
        <v>583</v>
      </c>
      <c r="I942">
        <f t="shared" si="102"/>
        <v>22</v>
      </c>
      <c r="J942" t="s">
        <v>579</v>
      </c>
      <c r="K942" s="5">
        <v>65</v>
      </c>
      <c r="L942" t="str">
        <f>Table_DataFromNL[[#This Row],[PROFILECODE]]&amp;"-"&amp;Table_DataFromNL[[#This Row],[RULENAME]]</f>
        <v>CP206-P NSP NS AP Standard</v>
      </c>
      <c r="M942" t="str">
        <f t="shared" si="103"/>
        <v>CP206-RETURN - 1st don of the week -STD</v>
      </c>
    </row>
    <row r="943" spans="1:13" x14ac:dyDescent="0.25">
      <c r="A943" t="str">
        <f t="shared" si="104"/>
        <v>CP206-RETURN - 1st don of the week -STD</v>
      </c>
      <c r="B943" t="s">
        <v>114</v>
      </c>
      <c r="C943" t="str">
        <f t="shared" si="98"/>
        <v>EP Stanton</v>
      </c>
      <c r="D943" t="str">
        <f t="shared" si="99"/>
        <v>Y</v>
      </c>
      <c r="E943" t="s">
        <v>620</v>
      </c>
      <c r="F943" t="str">
        <f t="shared" si="100"/>
        <v>RETURN - 1st don of the week -STD</v>
      </c>
      <c r="G943" t="str">
        <f t="shared" si="101"/>
        <v>Marketing</v>
      </c>
      <c r="H943" t="s">
        <v>584</v>
      </c>
      <c r="I943">
        <f t="shared" si="102"/>
        <v>23</v>
      </c>
      <c r="J943" t="s">
        <v>579</v>
      </c>
      <c r="K943" s="5">
        <v>65</v>
      </c>
      <c r="L943" t="str">
        <f>Table_DataFromNL[[#This Row],[PROFILECODE]]&amp;"-"&amp;Table_DataFromNL[[#This Row],[RULENAME]]</f>
        <v>CP206-P NSP NS Standard</v>
      </c>
      <c r="M943" t="str">
        <f t="shared" si="103"/>
        <v>CP206-RETURN - 1st don of the week -STD</v>
      </c>
    </row>
    <row r="944" spans="1:13" x14ac:dyDescent="0.25">
      <c r="A944" t="str">
        <f t="shared" si="104"/>
        <v>CP206-P VZV Pre-Existing AP</v>
      </c>
      <c r="B944" t="s">
        <v>114</v>
      </c>
      <c r="C944" t="str">
        <f t="shared" si="98"/>
        <v>EP Stanton</v>
      </c>
      <c r="D944" t="str">
        <f t="shared" si="99"/>
        <v>Y</v>
      </c>
      <c r="E944" t="s">
        <v>620</v>
      </c>
      <c r="F944" t="str">
        <f t="shared" si="100"/>
        <v>P VZV Pre-Existing AP</v>
      </c>
      <c r="G944" t="str">
        <f t="shared" si="101"/>
        <v>Specialty</v>
      </c>
      <c r="H944" t="s">
        <v>495</v>
      </c>
      <c r="I944" t="str">
        <f t="shared" si="102"/>
        <v>RETURN - 1st don of the week -STD</v>
      </c>
      <c r="J944" t="s">
        <v>579</v>
      </c>
      <c r="K944" s="5">
        <v>75</v>
      </c>
      <c r="L944" t="str">
        <f>Table_DataFromNL[[#This Row],[PROFILECODE]]&amp;"-"&amp;Table_DataFromNL[[#This Row],[RULENAME]]</f>
        <v>CP206-P VZV Pre-Existing AP</v>
      </c>
      <c r="M944" t="str">
        <f t="shared" si="103"/>
        <v>CP206-P VZV Pre-Existing AP</v>
      </c>
    </row>
    <row r="945" spans="1:13" x14ac:dyDescent="0.25">
      <c r="A945" t="str">
        <f t="shared" si="104"/>
        <v>CP206-P VZV Standard</v>
      </c>
      <c r="B945" t="s">
        <v>114</v>
      </c>
      <c r="C945" t="str">
        <f t="shared" si="98"/>
        <v>EP Stanton</v>
      </c>
      <c r="D945" t="str">
        <f t="shared" si="99"/>
        <v>Y</v>
      </c>
      <c r="E945" t="s">
        <v>620</v>
      </c>
      <c r="F945" t="str">
        <f t="shared" si="100"/>
        <v>P VZV Standard</v>
      </c>
      <c r="G945" t="str">
        <f t="shared" si="101"/>
        <v>Specialty</v>
      </c>
      <c r="H945" t="s">
        <v>496</v>
      </c>
      <c r="I945" t="str">
        <f t="shared" si="102"/>
        <v>RETURN - 1st don of the week -STD</v>
      </c>
      <c r="J945" t="s">
        <v>579</v>
      </c>
      <c r="K945" s="5">
        <v>75</v>
      </c>
      <c r="L945" t="str">
        <f>Table_DataFromNL[[#This Row],[PROFILECODE]]&amp;"-"&amp;Table_DataFromNL[[#This Row],[RULENAME]]</f>
        <v>CP206-P VZV Standard</v>
      </c>
      <c r="M945" t="str">
        <f t="shared" si="103"/>
        <v>CP206-P VZV Standard</v>
      </c>
    </row>
    <row r="946" spans="1:13" x14ac:dyDescent="0.25">
      <c r="A946" t="str">
        <f t="shared" si="104"/>
        <v>CP206-PVZV Pre-Existing Standard</v>
      </c>
      <c r="B946" t="s">
        <v>114</v>
      </c>
      <c r="C946" t="str">
        <f t="shared" si="98"/>
        <v>EP Stanton</v>
      </c>
      <c r="D946" t="str">
        <f t="shared" si="99"/>
        <v>Y</v>
      </c>
      <c r="E946" t="s">
        <v>620</v>
      </c>
      <c r="F946" t="str">
        <f t="shared" si="100"/>
        <v>PVZV Pre-Existing Standard</v>
      </c>
      <c r="G946" t="str">
        <f t="shared" si="101"/>
        <v>Specialty</v>
      </c>
      <c r="H946" t="s">
        <v>497</v>
      </c>
      <c r="I946" t="str">
        <f t="shared" si="102"/>
        <v>RETURN - 1st don of the week -STD</v>
      </c>
      <c r="J946" t="s">
        <v>579</v>
      </c>
      <c r="K946" s="5">
        <v>75</v>
      </c>
      <c r="L946" t="str">
        <f>Table_DataFromNL[[#This Row],[PROFILECODE]]&amp;"-"&amp;Table_DataFromNL[[#This Row],[RULENAME]]</f>
        <v>CP206-PVZV Pre-Existing Standard</v>
      </c>
      <c r="M946" t="str">
        <f t="shared" si="103"/>
        <v>CP206-PVZV Pre-Existing Standard</v>
      </c>
    </row>
    <row r="947" spans="1:13" x14ac:dyDescent="0.25">
      <c r="A947" t="str">
        <f t="shared" si="104"/>
        <v>CP527-1st Responder-Medical</v>
      </c>
      <c r="B947" t="s">
        <v>109</v>
      </c>
      <c r="C947" t="str">
        <f t="shared" si="98"/>
        <v>EP Zaragoza</v>
      </c>
      <c r="D947" t="str">
        <f t="shared" si="99"/>
        <v>Y</v>
      </c>
      <c r="E947" t="s">
        <v>621</v>
      </c>
      <c r="F947" t="str">
        <f t="shared" si="100"/>
        <v>1st Responder-Medical</v>
      </c>
      <c r="G947">
        <f t="shared" si="101"/>
        <v>0</v>
      </c>
      <c r="H947" t="s">
        <v>545</v>
      </c>
      <c r="I947">
        <f t="shared" si="102"/>
        <v>0</v>
      </c>
      <c r="J947" t="s">
        <v>546</v>
      </c>
      <c r="K947" s="5">
        <v>5</v>
      </c>
      <c r="L947" t="str">
        <f>Table_DataFromNL[[#This Row],[PROFILECODE]]&amp;"-"&amp;Table_DataFromNL[[#This Row],[RULENAME]]</f>
        <v>CP527-1st Responder-Medical</v>
      </c>
      <c r="M947" t="e">
        <f t="shared" si="103"/>
        <v>#N/A</v>
      </c>
    </row>
    <row r="948" spans="1:13" x14ac:dyDescent="0.25">
      <c r="A948" t="str">
        <f t="shared" si="104"/>
        <v>CP527-RETURN - 2nd don of the week -BONUS</v>
      </c>
      <c r="B948" t="s">
        <v>109</v>
      </c>
      <c r="C948" t="str">
        <f t="shared" si="98"/>
        <v>EP Zaragoza</v>
      </c>
      <c r="D948" t="str">
        <f t="shared" si="99"/>
        <v>Y</v>
      </c>
      <c r="E948" t="s">
        <v>621</v>
      </c>
      <c r="F948" t="str">
        <f t="shared" si="100"/>
        <v>RETURN - 2nd don of the week -BONUS</v>
      </c>
      <c r="G948" t="str">
        <f t="shared" si="101"/>
        <v>Marketing</v>
      </c>
      <c r="H948" t="s">
        <v>550</v>
      </c>
      <c r="I948">
        <f t="shared" si="102"/>
        <v>26</v>
      </c>
      <c r="J948" t="s">
        <v>546</v>
      </c>
      <c r="K948" s="5">
        <v>5</v>
      </c>
      <c r="L948" t="str">
        <f>Table_DataFromNL[[#This Row],[PROFILECODE]]&amp;"-"&amp;Table_DataFromNL[[#This Row],[RULENAME]]</f>
        <v>CP527-2X Week P NSP NS</v>
      </c>
      <c r="M948" t="str">
        <f t="shared" si="103"/>
        <v>CP527-RETURN - 2nd don of the week -BONUS</v>
      </c>
    </row>
    <row r="949" spans="1:13" x14ac:dyDescent="0.25">
      <c r="A949" t="str">
        <f t="shared" si="104"/>
        <v>CP527-RETURN - 2nd don of the week -BONUS</v>
      </c>
      <c r="B949" t="s">
        <v>109</v>
      </c>
      <c r="C949" t="str">
        <f t="shared" si="98"/>
        <v>EP Zaragoza</v>
      </c>
      <c r="D949" t="str">
        <f t="shared" si="99"/>
        <v>Y</v>
      </c>
      <c r="E949" t="s">
        <v>621</v>
      </c>
      <c r="F949" t="str">
        <f t="shared" si="100"/>
        <v>RETURN - 2nd don of the week -BONUS</v>
      </c>
      <c r="G949" t="str">
        <f t="shared" si="101"/>
        <v>Marketing</v>
      </c>
      <c r="H949" t="s">
        <v>551</v>
      </c>
      <c r="I949" t="str">
        <f t="shared" si="102"/>
        <v>RETURN - 2nd don of the week -BONUS</v>
      </c>
      <c r="J949" t="s">
        <v>546</v>
      </c>
      <c r="K949" s="5">
        <v>5</v>
      </c>
      <c r="L949" t="str">
        <f>Table_DataFromNL[[#This Row],[PROFILECODE]]&amp;"-"&amp;Table_DataFromNL[[#This Row],[RULENAME]]</f>
        <v>CP527-2X Week P NSP NS AP</v>
      </c>
      <c r="M949" t="str">
        <f t="shared" si="103"/>
        <v>CP527-RETURN - 2nd don of the week -BONUS</v>
      </c>
    </row>
    <row r="950" spans="1:13" x14ac:dyDescent="0.25">
      <c r="A950" t="str">
        <f t="shared" si="104"/>
        <v>CP527-College ID Standard Bonus</v>
      </c>
      <c r="B950" t="s">
        <v>109</v>
      </c>
      <c r="C950" t="str">
        <f t="shared" si="98"/>
        <v>EP Zaragoza</v>
      </c>
      <c r="D950" t="str">
        <f t="shared" si="99"/>
        <v>Y</v>
      </c>
      <c r="E950" t="s">
        <v>621</v>
      </c>
      <c r="F950" t="str">
        <f t="shared" si="100"/>
        <v>College ID Standard Bonus</v>
      </c>
      <c r="G950">
        <f t="shared" si="101"/>
        <v>0</v>
      </c>
      <c r="H950" t="s">
        <v>553</v>
      </c>
      <c r="I950">
        <f t="shared" si="102"/>
        <v>0</v>
      </c>
      <c r="J950" t="s">
        <v>546</v>
      </c>
      <c r="K950" s="5">
        <v>5</v>
      </c>
      <c r="L950" t="str">
        <f>Table_DataFromNL[[#This Row],[PROFILECODE]]&amp;"-"&amp;Table_DataFromNL[[#This Row],[RULENAME]]</f>
        <v>CP527-College ID Standard Bonus</v>
      </c>
      <c r="M950" t="e">
        <f t="shared" si="103"/>
        <v>#N/A</v>
      </c>
    </row>
    <row r="951" spans="1:13" x14ac:dyDescent="0.25">
      <c r="A951" t="str">
        <f t="shared" si="104"/>
        <v>CP527-Military ID</v>
      </c>
      <c r="B951" t="s">
        <v>109</v>
      </c>
      <c r="C951" t="str">
        <f t="shared" si="98"/>
        <v>EP Zaragoza</v>
      </c>
      <c r="D951" t="str">
        <f t="shared" si="99"/>
        <v>Y</v>
      </c>
      <c r="E951" t="s">
        <v>621</v>
      </c>
      <c r="F951" t="str">
        <f t="shared" si="100"/>
        <v>Military ID</v>
      </c>
      <c r="G951">
        <f t="shared" si="101"/>
        <v>0</v>
      </c>
      <c r="H951" t="s">
        <v>554</v>
      </c>
      <c r="I951">
        <f t="shared" si="102"/>
        <v>0</v>
      </c>
      <c r="J951" t="s">
        <v>546</v>
      </c>
      <c r="K951" s="5">
        <v>5</v>
      </c>
      <c r="L951" t="str">
        <f>Table_DataFromNL[[#This Row],[PROFILECODE]]&amp;"-"&amp;Table_DataFromNL[[#This Row],[RULENAME]]</f>
        <v>CP527-Military ID</v>
      </c>
      <c r="M951" t="e">
        <f t="shared" si="103"/>
        <v>#N/A</v>
      </c>
    </row>
    <row r="952" spans="1:13" x14ac:dyDescent="0.25">
      <c r="A952" t="str">
        <f t="shared" si="104"/>
        <v>CP527-NEW DONOR -1st</v>
      </c>
      <c r="B952" t="s">
        <v>109</v>
      </c>
      <c r="C952" t="str">
        <f t="shared" si="98"/>
        <v>EP Zaragoza</v>
      </c>
      <c r="D952" t="str">
        <f t="shared" si="99"/>
        <v>Y</v>
      </c>
      <c r="E952" t="s">
        <v>621</v>
      </c>
      <c r="F952" t="str">
        <f t="shared" si="100"/>
        <v>NEW DONOR -1st</v>
      </c>
      <c r="G952" t="str">
        <f t="shared" si="101"/>
        <v>Marketing</v>
      </c>
      <c r="H952" t="s">
        <v>555</v>
      </c>
      <c r="I952">
        <f t="shared" si="102"/>
        <v>1</v>
      </c>
      <c r="J952" t="s">
        <v>546</v>
      </c>
      <c r="K952" s="5">
        <v>65</v>
      </c>
      <c r="L952" t="str">
        <f>Table_DataFromNL[[#This Row],[PROFILECODE]]&amp;"-"&amp;Table_DataFromNL[[#This Row],[RULENAME]]</f>
        <v>CP527-New Donor 1st Visit-Bonus</v>
      </c>
      <c r="M952" t="str">
        <f t="shared" si="103"/>
        <v>CP527-NEW DONOR -1st</v>
      </c>
    </row>
    <row r="953" spans="1:13" x14ac:dyDescent="0.25">
      <c r="A953" t="str">
        <f t="shared" si="104"/>
        <v>CP527-NEW DONOR -2nd</v>
      </c>
      <c r="B953" t="s">
        <v>109</v>
      </c>
      <c r="C953" t="str">
        <f t="shared" si="98"/>
        <v>EP Zaragoza</v>
      </c>
      <c r="D953" t="str">
        <f t="shared" si="99"/>
        <v>Y</v>
      </c>
      <c r="E953" t="s">
        <v>621</v>
      </c>
      <c r="F953" t="str">
        <f t="shared" si="100"/>
        <v>NEW DONOR -2nd</v>
      </c>
      <c r="G953" t="str">
        <f t="shared" si="101"/>
        <v>Marketing</v>
      </c>
      <c r="H953" t="s">
        <v>556</v>
      </c>
      <c r="I953">
        <f t="shared" si="102"/>
        <v>2</v>
      </c>
      <c r="J953" t="s">
        <v>546</v>
      </c>
      <c r="K953" s="5">
        <v>65</v>
      </c>
      <c r="L953" t="str">
        <f>Table_DataFromNL[[#This Row],[PROFILECODE]]&amp;"-"&amp;Table_DataFromNL[[#This Row],[RULENAME]]</f>
        <v>CP527-New Donor 2nd Visit-Bonus</v>
      </c>
      <c r="M953" t="str">
        <f t="shared" si="103"/>
        <v>CP527-NEW DONOR -2nd</v>
      </c>
    </row>
    <row r="954" spans="1:13" x14ac:dyDescent="0.25">
      <c r="A954" t="str">
        <f t="shared" si="104"/>
        <v>CP527-NEW DONOR -3rd</v>
      </c>
      <c r="B954" t="s">
        <v>109</v>
      </c>
      <c r="C954" t="str">
        <f t="shared" si="98"/>
        <v>EP Zaragoza</v>
      </c>
      <c r="D954" t="str">
        <f t="shared" si="99"/>
        <v>Y</v>
      </c>
      <c r="E954" t="s">
        <v>621</v>
      </c>
      <c r="F954" t="str">
        <f t="shared" si="100"/>
        <v>NEW DONOR -3rd</v>
      </c>
      <c r="G954" t="str">
        <f t="shared" si="101"/>
        <v>Marketing</v>
      </c>
      <c r="H954" t="s">
        <v>557</v>
      </c>
      <c r="I954">
        <f t="shared" si="102"/>
        <v>3</v>
      </c>
      <c r="J954" t="s">
        <v>546</v>
      </c>
      <c r="K954" s="5">
        <v>65</v>
      </c>
      <c r="L954" t="str">
        <f>Table_DataFromNL[[#This Row],[PROFILECODE]]&amp;"-"&amp;Table_DataFromNL[[#This Row],[RULENAME]]</f>
        <v>CP527-New Donor 3rd Visit-Bonus</v>
      </c>
      <c r="M954" t="str">
        <f t="shared" si="103"/>
        <v>CP527-NEW DONOR -3rd</v>
      </c>
    </row>
    <row r="955" spans="1:13" x14ac:dyDescent="0.25">
      <c r="A955" t="str">
        <f t="shared" si="104"/>
        <v>CP527-NEW DONOR -4th</v>
      </c>
      <c r="B955" t="s">
        <v>109</v>
      </c>
      <c r="C955" t="str">
        <f t="shared" si="98"/>
        <v>EP Zaragoza</v>
      </c>
      <c r="D955" t="str">
        <f t="shared" si="99"/>
        <v>Y</v>
      </c>
      <c r="E955" t="s">
        <v>621</v>
      </c>
      <c r="F955" t="str">
        <f t="shared" si="100"/>
        <v>NEW DONOR -4th</v>
      </c>
      <c r="G955" t="str">
        <f t="shared" si="101"/>
        <v>Marketing</v>
      </c>
      <c r="H955" t="s">
        <v>558</v>
      </c>
      <c r="I955">
        <f t="shared" si="102"/>
        <v>4</v>
      </c>
      <c r="J955" t="s">
        <v>546</v>
      </c>
      <c r="K955" s="5">
        <v>65</v>
      </c>
      <c r="L955" t="str">
        <f>Table_DataFromNL[[#This Row],[PROFILECODE]]&amp;"-"&amp;Table_DataFromNL[[#This Row],[RULENAME]]</f>
        <v>CP527-New Donor 4th Visit-Bonus</v>
      </c>
      <c r="M955" t="str">
        <f t="shared" si="103"/>
        <v>CP527-NEW DONOR -4th</v>
      </c>
    </row>
    <row r="956" spans="1:13" x14ac:dyDescent="0.25">
      <c r="A956" t="str">
        <f t="shared" si="104"/>
        <v>CP527-NEW DONOR -5th</v>
      </c>
      <c r="B956" t="s">
        <v>109</v>
      </c>
      <c r="C956" t="str">
        <f t="shared" si="98"/>
        <v>EP Zaragoza</v>
      </c>
      <c r="D956" t="str">
        <f t="shared" si="99"/>
        <v>Y</v>
      </c>
      <c r="E956" t="s">
        <v>621</v>
      </c>
      <c r="F956" t="str">
        <f t="shared" si="100"/>
        <v>NEW DONOR -5th</v>
      </c>
      <c r="G956" t="str">
        <f t="shared" si="101"/>
        <v>Marketing</v>
      </c>
      <c r="H956" t="s">
        <v>559</v>
      </c>
      <c r="I956">
        <f t="shared" si="102"/>
        <v>5</v>
      </c>
      <c r="J956" t="s">
        <v>546</v>
      </c>
      <c r="K956" s="5">
        <v>65</v>
      </c>
      <c r="L956" t="str">
        <f>Table_DataFromNL[[#This Row],[PROFILECODE]]&amp;"-"&amp;Table_DataFromNL[[#This Row],[RULENAME]]</f>
        <v>CP527-New Donor 5th Visit-Bonus</v>
      </c>
      <c r="M956" t="str">
        <f t="shared" si="103"/>
        <v>CP527-NEW DONOR -5th</v>
      </c>
    </row>
    <row r="957" spans="1:13" x14ac:dyDescent="0.25">
      <c r="A957" t="str">
        <f t="shared" si="104"/>
        <v>CP527-NEW DONOR -6th</v>
      </c>
      <c r="B957" t="s">
        <v>109</v>
      </c>
      <c r="C957" t="str">
        <f t="shared" si="98"/>
        <v>EP Zaragoza</v>
      </c>
      <c r="D957" t="str">
        <f t="shared" si="99"/>
        <v>Y</v>
      </c>
      <c r="E957" t="s">
        <v>621</v>
      </c>
      <c r="F957" t="str">
        <f t="shared" si="100"/>
        <v>NEW DONOR -6th</v>
      </c>
      <c r="G957" t="str">
        <f t="shared" si="101"/>
        <v>Marketing</v>
      </c>
      <c r="H957" t="s">
        <v>560</v>
      </c>
      <c r="I957">
        <f t="shared" si="102"/>
        <v>6</v>
      </c>
      <c r="J957" t="s">
        <v>546</v>
      </c>
      <c r="K957" s="5">
        <v>65</v>
      </c>
      <c r="L957" t="str">
        <f>Table_DataFromNL[[#This Row],[PROFILECODE]]&amp;"-"&amp;Table_DataFromNL[[#This Row],[RULENAME]]</f>
        <v>CP527-New Donor 6th Visit-Bonus</v>
      </c>
      <c r="M957" t="str">
        <f t="shared" si="103"/>
        <v>CP527-NEW DONOR -6th</v>
      </c>
    </row>
    <row r="958" spans="1:13" x14ac:dyDescent="0.25">
      <c r="A958" t="str">
        <f t="shared" si="104"/>
        <v>CP527-NEW DONOR -7th</v>
      </c>
      <c r="B958" t="s">
        <v>109</v>
      </c>
      <c r="C958" t="str">
        <f t="shared" si="98"/>
        <v>EP Zaragoza</v>
      </c>
      <c r="D958" t="str">
        <f t="shared" si="99"/>
        <v>Y</v>
      </c>
      <c r="E958" t="s">
        <v>621</v>
      </c>
      <c r="F958" t="str">
        <f t="shared" si="100"/>
        <v>NEW DONOR -7th</v>
      </c>
      <c r="G958" t="str">
        <f t="shared" si="101"/>
        <v>Marketing</v>
      </c>
      <c r="H958" t="s">
        <v>561</v>
      </c>
      <c r="I958">
        <f t="shared" si="102"/>
        <v>7</v>
      </c>
      <c r="J958" t="s">
        <v>546</v>
      </c>
      <c r="K958" s="5">
        <v>65</v>
      </c>
      <c r="L958" t="str">
        <f>Table_DataFromNL[[#This Row],[PROFILECODE]]&amp;"-"&amp;Table_DataFromNL[[#This Row],[RULENAME]]</f>
        <v>CP527-New Donor 7th Visit-Bonus</v>
      </c>
      <c r="M958" t="str">
        <f t="shared" si="103"/>
        <v>CP527-NEW DONOR -7th</v>
      </c>
    </row>
    <row r="959" spans="1:13" x14ac:dyDescent="0.25">
      <c r="A959" t="str">
        <f t="shared" si="104"/>
        <v>CP527-NEW DONOR -8th</v>
      </c>
      <c r="B959" t="s">
        <v>109</v>
      </c>
      <c r="C959" t="str">
        <f t="shared" si="98"/>
        <v>EP Zaragoza</v>
      </c>
      <c r="D959" t="str">
        <f t="shared" si="99"/>
        <v>Y</v>
      </c>
      <c r="E959" t="s">
        <v>621</v>
      </c>
      <c r="F959" t="str">
        <f t="shared" si="100"/>
        <v>NEW DONOR -8th</v>
      </c>
      <c r="G959" t="str">
        <f t="shared" si="101"/>
        <v>Marketing</v>
      </c>
      <c r="H959" t="s">
        <v>562</v>
      </c>
      <c r="I959">
        <f t="shared" si="102"/>
        <v>8</v>
      </c>
      <c r="J959" t="s">
        <v>546</v>
      </c>
      <c r="K959" s="5">
        <v>65</v>
      </c>
      <c r="L959" t="str">
        <f>Table_DataFromNL[[#This Row],[PROFILECODE]]&amp;"-"&amp;Table_DataFromNL[[#This Row],[RULENAME]]</f>
        <v>CP527-New Donor 8th Visit-Bonus</v>
      </c>
      <c r="M959" t="str">
        <f t="shared" si="103"/>
        <v>CP527-NEW DONOR -8th</v>
      </c>
    </row>
    <row r="960" spans="1:13" x14ac:dyDescent="0.25">
      <c r="A960" t="str">
        <f t="shared" si="104"/>
        <v>CP527-Community</v>
      </c>
      <c r="B960" t="s">
        <v>109</v>
      </c>
      <c r="C960" t="str">
        <f t="shared" si="98"/>
        <v>EP Zaragoza</v>
      </c>
      <c r="D960" t="str">
        <f t="shared" si="99"/>
        <v>Y</v>
      </c>
      <c r="E960" t="s">
        <v>621</v>
      </c>
      <c r="F960" t="str">
        <f t="shared" si="100"/>
        <v>Community</v>
      </c>
      <c r="G960">
        <f t="shared" si="101"/>
        <v>0</v>
      </c>
      <c r="H960" t="s">
        <v>563</v>
      </c>
      <c r="I960">
        <f t="shared" si="102"/>
        <v>0</v>
      </c>
      <c r="J960" t="s">
        <v>564</v>
      </c>
      <c r="K960" s="5">
        <v>5</v>
      </c>
      <c r="L960" t="str">
        <f>Table_DataFromNL[[#This Row],[PROFILECODE]]&amp;"-"&amp;Table_DataFromNL[[#This Row],[RULENAME]]</f>
        <v>CP527-Community</v>
      </c>
      <c r="M960" t="e">
        <f t="shared" si="103"/>
        <v>#N/A</v>
      </c>
    </row>
    <row r="961" spans="1:13" x14ac:dyDescent="0.25">
      <c r="A961" t="str">
        <f t="shared" si="104"/>
        <v>CP527-HANGER_RECRUIT_5USD_once</v>
      </c>
      <c r="B961" t="s">
        <v>109</v>
      </c>
      <c r="C961" t="str">
        <f t="shared" si="98"/>
        <v>EP Zaragoza</v>
      </c>
      <c r="D961" t="str">
        <f t="shared" si="99"/>
        <v>Y</v>
      </c>
      <c r="E961" t="s">
        <v>621</v>
      </c>
      <c r="F961" t="str">
        <f t="shared" si="100"/>
        <v>HANGER_RECRUIT_5USD_once</v>
      </c>
      <c r="G961">
        <f t="shared" si="101"/>
        <v>0</v>
      </c>
      <c r="H961" t="s">
        <v>565</v>
      </c>
      <c r="I961">
        <f t="shared" si="102"/>
        <v>0</v>
      </c>
      <c r="J961" t="s">
        <v>564</v>
      </c>
      <c r="K961" s="5">
        <v>5</v>
      </c>
      <c r="L961" t="str">
        <f>Table_DataFromNL[[#This Row],[PROFILECODE]]&amp;"-"&amp;Table_DataFromNL[[#This Row],[RULENAME]]</f>
        <v>CP527-HANGER_RECRUIT_5USD_once</v>
      </c>
      <c r="M961" t="e">
        <f t="shared" si="103"/>
        <v>#N/A</v>
      </c>
    </row>
    <row r="962" spans="1:13" x14ac:dyDescent="0.25">
      <c r="A962" t="str">
        <f t="shared" si="104"/>
        <v>CP527-Inconv Fee $20-$50-Comment Req'd</v>
      </c>
      <c r="B962" t="s">
        <v>109</v>
      </c>
      <c r="C962" t="str">
        <f t="shared" ref="C962:C1025" si="105">VLOOKUP(B962,CenterLU,2,FALSE)</f>
        <v>EP Zaragoza</v>
      </c>
      <c r="D962" t="str">
        <f t="shared" ref="D962:D1025" si="106">VLOOKUP(B962,CenterLU,3,FALSE)</f>
        <v>Y</v>
      </c>
      <c r="E962" t="s">
        <v>621</v>
      </c>
      <c r="F962" t="str">
        <f t="shared" ref="F962:F1025" si="107">IF(VLOOKUP(H962,RULENAMELU,3,FALSE)=0,H962,VLOOKUP(H962,RULENAMELU,3,FALSE))</f>
        <v>Inconv Fee $20-$50-Comment Req'd</v>
      </c>
      <c r="G962">
        <f t="shared" ref="G962:G1025" si="108">VLOOKUP(H962,RULENAMELU,4,FALSE)</f>
        <v>0</v>
      </c>
      <c r="H962" t="s">
        <v>566</v>
      </c>
      <c r="I962">
        <f t="shared" ref="I962:I1025" si="109">VLOOKUP(H962,RULENAMELU,5,FALSE)</f>
        <v>0</v>
      </c>
      <c r="J962" t="s">
        <v>564</v>
      </c>
      <c r="K962" s="5">
        <v>50</v>
      </c>
      <c r="L962" t="str">
        <f>Table_DataFromNL[[#This Row],[PROFILECODE]]&amp;"-"&amp;Table_DataFromNL[[#This Row],[RULENAME]]</f>
        <v>CP527-Inconv Fee $20-$50-Comment Req'd</v>
      </c>
      <c r="M962" t="e">
        <f t="shared" ref="M962:M1025" si="110">IFERROR(VLOOKUP(A962,PaychangesLU,1,FALSE),VLOOKUP(A962,SpecialtyCheckLU,1,FALSE))</f>
        <v>#N/A</v>
      </c>
    </row>
    <row r="963" spans="1:13" x14ac:dyDescent="0.25">
      <c r="A963" t="str">
        <f t="shared" ref="A963:A1026" si="111">B963&amp;"-"&amp;F963</f>
        <v>CP527-Inconv Fee $5-$20-Comment Req'd</v>
      </c>
      <c r="B963" t="s">
        <v>109</v>
      </c>
      <c r="C963" t="str">
        <f t="shared" si="105"/>
        <v>EP Zaragoza</v>
      </c>
      <c r="D963" t="str">
        <f t="shared" si="106"/>
        <v>Y</v>
      </c>
      <c r="E963" t="s">
        <v>621</v>
      </c>
      <c r="F963" t="str">
        <f t="shared" si="107"/>
        <v>Inconv Fee $5-$20-Comment Req'd</v>
      </c>
      <c r="G963">
        <f t="shared" si="108"/>
        <v>0</v>
      </c>
      <c r="H963" t="s">
        <v>567</v>
      </c>
      <c r="I963">
        <f t="shared" si="109"/>
        <v>0</v>
      </c>
      <c r="J963" t="s">
        <v>564</v>
      </c>
      <c r="K963" s="5">
        <v>20</v>
      </c>
      <c r="L963" t="str">
        <f>Table_DataFromNL[[#This Row],[PROFILECODE]]&amp;"-"&amp;Table_DataFromNL[[#This Row],[RULENAME]]</f>
        <v>CP527-Inconv Fee $5-$20-Comment Req'd</v>
      </c>
      <c r="M963" t="e">
        <f t="shared" si="110"/>
        <v>#N/A</v>
      </c>
    </row>
    <row r="964" spans="1:13" x14ac:dyDescent="0.25">
      <c r="A964" t="str">
        <f t="shared" si="111"/>
        <v>CP527-Inconv Fee$50-$100-Comment Req'd</v>
      </c>
      <c r="B964" t="s">
        <v>109</v>
      </c>
      <c r="C964" t="str">
        <f t="shared" si="105"/>
        <v>EP Zaragoza</v>
      </c>
      <c r="D964" t="str">
        <f t="shared" si="106"/>
        <v>Y</v>
      </c>
      <c r="E964" t="s">
        <v>621</v>
      </c>
      <c r="F964" t="str">
        <f t="shared" si="107"/>
        <v>Inconv Fee$50-$100-Comment Req'd</v>
      </c>
      <c r="G964">
        <f t="shared" si="108"/>
        <v>0</v>
      </c>
      <c r="H964" t="s">
        <v>568</v>
      </c>
      <c r="I964">
        <f t="shared" si="109"/>
        <v>0</v>
      </c>
      <c r="J964" t="s">
        <v>564</v>
      </c>
      <c r="K964" s="5">
        <v>100</v>
      </c>
      <c r="L964" t="str">
        <f>Table_DataFromNL[[#This Row],[PROFILECODE]]&amp;"-"&amp;Table_DataFromNL[[#This Row],[RULENAME]]</f>
        <v>CP527-Inconv Fee$50-$100-Comment Req'd</v>
      </c>
      <c r="M964" t="e">
        <f t="shared" si="110"/>
        <v>#N/A</v>
      </c>
    </row>
    <row r="965" spans="1:13" x14ac:dyDescent="0.25">
      <c r="A965" t="str">
        <f t="shared" si="111"/>
        <v>CP527-NSP_ LAPSEDONOR_50_Twice</v>
      </c>
      <c r="B965" t="s">
        <v>109</v>
      </c>
      <c r="C965" t="str">
        <f t="shared" si="105"/>
        <v>EP Zaragoza</v>
      </c>
      <c r="D965" t="str">
        <f t="shared" si="106"/>
        <v>Y</v>
      </c>
      <c r="E965" t="s">
        <v>621</v>
      </c>
      <c r="F965" t="str">
        <f t="shared" si="107"/>
        <v>NSP_ LAPSEDONOR_50_Twice</v>
      </c>
      <c r="G965">
        <f t="shared" si="108"/>
        <v>0</v>
      </c>
      <c r="H965" t="s">
        <v>569</v>
      </c>
      <c r="I965">
        <f t="shared" si="109"/>
        <v>0</v>
      </c>
      <c r="J965" t="s">
        <v>564</v>
      </c>
      <c r="K965" s="5">
        <v>50</v>
      </c>
      <c r="L965" t="str">
        <f>Table_DataFromNL[[#This Row],[PROFILECODE]]&amp;"-"&amp;Table_DataFromNL[[#This Row],[RULENAME]]</f>
        <v>CP527-NSP_ LAPSEDONOR_50_Twice</v>
      </c>
      <c r="M965" t="e">
        <f t="shared" si="110"/>
        <v>#N/A</v>
      </c>
    </row>
    <row r="966" spans="1:13" x14ac:dyDescent="0.25">
      <c r="A966" t="str">
        <f t="shared" si="111"/>
        <v>CP527-NSP_LD_25_2X</v>
      </c>
      <c r="B966" t="s">
        <v>109</v>
      </c>
      <c r="C966" t="str">
        <f t="shared" si="105"/>
        <v>EP Zaragoza</v>
      </c>
      <c r="D966" t="str">
        <f t="shared" si="106"/>
        <v>Y</v>
      </c>
      <c r="E966" t="s">
        <v>621</v>
      </c>
      <c r="F966" t="str">
        <f t="shared" si="107"/>
        <v>NSP_LD_25_2X</v>
      </c>
      <c r="G966">
        <f t="shared" si="108"/>
        <v>0</v>
      </c>
      <c r="H966" t="s">
        <v>570</v>
      </c>
      <c r="I966">
        <f t="shared" si="109"/>
        <v>0</v>
      </c>
      <c r="J966" t="s">
        <v>564</v>
      </c>
      <c r="K966" s="5">
        <v>25</v>
      </c>
      <c r="L966" t="str">
        <f>Table_DataFromNL[[#This Row],[PROFILECODE]]&amp;"-"&amp;Table_DataFromNL[[#This Row],[RULENAME]]</f>
        <v>CP527-NSP_LD_25_2X</v>
      </c>
      <c r="M966" t="e">
        <f t="shared" si="110"/>
        <v>#N/A</v>
      </c>
    </row>
    <row r="967" spans="1:13" x14ac:dyDescent="0.25">
      <c r="A967" t="str">
        <f t="shared" si="111"/>
        <v>CP527-NSP_LD_50_1X</v>
      </c>
      <c r="B967" t="s">
        <v>109</v>
      </c>
      <c r="C967" t="str">
        <f t="shared" si="105"/>
        <v>EP Zaragoza</v>
      </c>
      <c r="D967" t="str">
        <f t="shared" si="106"/>
        <v>Y</v>
      </c>
      <c r="E967" t="s">
        <v>621</v>
      </c>
      <c r="F967" t="str">
        <f t="shared" si="107"/>
        <v>NSP_LD_50_1X</v>
      </c>
      <c r="G967">
        <f t="shared" si="108"/>
        <v>0</v>
      </c>
      <c r="H967" t="s">
        <v>571</v>
      </c>
      <c r="I967">
        <f t="shared" si="109"/>
        <v>0</v>
      </c>
      <c r="J967" t="s">
        <v>564</v>
      </c>
      <c r="K967" s="5">
        <v>50</v>
      </c>
      <c r="L967" t="str">
        <f>Table_DataFromNL[[#This Row],[PROFILECODE]]&amp;"-"&amp;Table_DataFromNL[[#This Row],[RULENAME]]</f>
        <v>CP527-NSP_LD_50_1X</v>
      </c>
      <c r="M967" t="e">
        <f t="shared" si="110"/>
        <v>#N/A</v>
      </c>
    </row>
    <row r="968" spans="1:13" x14ac:dyDescent="0.25">
      <c r="A968" t="str">
        <f t="shared" si="111"/>
        <v>CP527-NSP_ORPHAN_100_once</v>
      </c>
      <c r="B968" t="s">
        <v>109</v>
      </c>
      <c r="C968" t="str">
        <f t="shared" si="105"/>
        <v>EP Zaragoza</v>
      </c>
      <c r="D968" t="str">
        <f t="shared" si="106"/>
        <v>Y</v>
      </c>
      <c r="E968" t="s">
        <v>621</v>
      </c>
      <c r="F968" t="str">
        <f t="shared" si="107"/>
        <v>NSP_ORPHAN_100_once</v>
      </c>
      <c r="G968">
        <f t="shared" si="108"/>
        <v>0</v>
      </c>
      <c r="H968" t="s">
        <v>572</v>
      </c>
      <c r="I968">
        <f t="shared" si="109"/>
        <v>0</v>
      </c>
      <c r="J968" t="s">
        <v>564</v>
      </c>
      <c r="K968" s="5">
        <v>100</v>
      </c>
      <c r="L968" t="str">
        <f>Table_DataFromNL[[#This Row],[PROFILECODE]]&amp;"-"&amp;Table_DataFromNL[[#This Row],[RULENAME]]</f>
        <v>CP527-NSP_ORPHAN_100_once</v>
      </c>
      <c r="M968" t="e">
        <f t="shared" si="110"/>
        <v>#N/A</v>
      </c>
    </row>
    <row r="969" spans="1:13" x14ac:dyDescent="0.25">
      <c r="A969" t="str">
        <f t="shared" si="111"/>
        <v>CP527-Restick</v>
      </c>
      <c r="B969" t="s">
        <v>109</v>
      </c>
      <c r="C969" t="str">
        <f t="shared" si="105"/>
        <v>EP Zaragoza</v>
      </c>
      <c r="D969" t="str">
        <f t="shared" si="106"/>
        <v>Y</v>
      </c>
      <c r="E969" t="s">
        <v>621</v>
      </c>
      <c r="F969" t="str">
        <f t="shared" si="107"/>
        <v>Restick</v>
      </c>
      <c r="G969">
        <f t="shared" si="108"/>
        <v>0</v>
      </c>
      <c r="H969" t="s">
        <v>573</v>
      </c>
      <c r="I969">
        <f t="shared" si="109"/>
        <v>0</v>
      </c>
      <c r="J969" t="s">
        <v>564</v>
      </c>
      <c r="K969" s="5">
        <v>5</v>
      </c>
      <c r="L969" t="str">
        <f>Table_DataFromNL[[#This Row],[PROFILECODE]]&amp;"-"&amp;Table_DataFromNL[[#This Row],[RULENAME]]</f>
        <v>CP527-Restick</v>
      </c>
      <c r="M969" t="e">
        <f t="shared" si="110"/>
        <v>#N/A</v>
      </c>
    </row>
    <row r="970" spans="1:13" x14ac:dyDescent="0.25">
      <c r="A970" t="str">
        <f t="shared" si="111"/>
        <v>CP527-SLOW_TEXT_5</v>
      </c>
      <c r="B970" t="s">
        <v>109</v>
      </c>
      <c r="C970" t="str">
        <f t="shared" si="105"/>
        <v>EP Zaragoza</v>
      </c>
      <c r="D970" t="str">
        <f t="shared" si="106"/>
        <v>Y</v>
      </c>
      <c r="E970" t="s">
        <v>621</v>
      </c>
      <c r="F970" t="str">
        <f t="shared" si="107"/>
        <v>SLOW_TEXT_5</v>
      </c>
      <c r="G970">
        <f t="shared" si="108"/>
        <v>0</v>
      </c>
      <c r="H970" t="s">
        <v>574</v>
      </c>
      <c r="I970">
        <f t="shared" si="109"/>
        <v>0</v>
      </c>
      <c r="J970" t="s">
        <v>564</v>
      </c>
      <c r="K970" s="5">
        <v>5</v>
      </c>
      <c r="L970" t="str">
        <f>Table_DataFromNL[[#This Row],[PROFILECODE]]&amp;"-"&amp;Table_DataFromNL[[#This Row],[RULENAME]]</f>
        <v>CP527-SLOW_TEXT_5</v>
      </c>
      <c r="M970" t="e">
        <f t="shared" si="110"/>
        <v>#N/A</v>
      </c>
    </row>
    <row r="971" spans="1:13" x14ac:dyDescent="0.25">
      <c r="A971" t="str">
        <f t="shared" si="111"/>
        <v>CP527-Sample Only</v>
      </c>
      <c r="B971" t="s">
        <v>109</v>
      </c>
      <c r="C971" t="str">
        <f t="shared" si="105"/>
        <v>EP Zaragoza</v>
      </c>
      <c r="D971" t="str">
        <f t="shared" si="106"/>
        <v>Y</v>
      </c>
      <c r="E971" t="s">
        <v>621</v>
      </c>
      <c r="F971" t="str">
        <f t="shared" si="107"/>
        <v>Sample Only</v>
      </c>
      <c r="G971">
        <f t="shared" si="108"/>
        <v>0</v>
      </c>
      <c r="H971" t="s">
        <v>575</v>
      </c>
      <c r="I971">
        <f t="shared" si="109"/>
        <v>0</v>
      </c>
      <c r="J971" t="s">
        <v>564</v>
      </c>
      <c r="K971" s="5">
        <v>5</v>
      </c>
      <c r="L971" t="str">
        <f>Table_DataFromNL[[#This Row],[PROFILECODE]]&amp;"-"&amp;Table_DataFromNL[[#This Row],[RULENAME]]</f>
        <v>CP527-Sample Only</v>
      </c>
      <c r="M971" t="e">
        <f t="shared" si="110"/>
        <v>#N/A</v>
      </c>
    </row>
    <row r="972" spans="1:13" x14ac:dyDescent="0.25">
      <c r="A972" t="str">
        <f t="shared" si="111"/>
        <v>CP527-Unit Below 250 mL</v>
      </c>
      <c r="B972" t="s">
        <v>109</v>
      </c>
      <c r="C972" t="str">
        <f t="shared" si="105"/>
        <v>EP Zaragoza</v>
      </c>
      <c r="D972" t="str">
        <f t="shared" si="106"/>
        <v>Y</v>
      </c>
      <c r="E972" t="s">
        <v>621</v>
      </c>
      <c r="F972" t="str">
        <f t="shared" si="107"/>
        <v>Unit Below 250 mL</v>
      </c>
      <c r="G972">
        <f t="shared" si="108"/>
        <v>0</v>
      </c>
      <c r="H972" t="s">
        <v>576</v>
      </c>
      <c r="I972">
        <f t="shared" si="109"/>
        <v>0</v>
      </c>
      <c r="J972" t="s">
        <v>564</v>
      </c>
      <c r="K972" s="5">
        <v>5</v>
      </c>
      <c r="L972" t="str">
        <f>Table_DataFromNL[[#This Row],[PROFILECODE]]&amp;"-"&amp;Table_DataFromNL[[#This Row],[RULENAME]]</f>
        <v>CP527-Unit Below 250 mL</v>
      </c>
      <c r="M972" t="e">
        <f t="shared" si="110"/>
        <v>#N/A</v>
      </c>
    </row>
    <row r="973" spans="1:13" x14ac:dyDescent="0.25">
      <c r="A973" t="str">
        <f t="shared" si="111"/>
        <v>CP527-Unit above 250 mL/underdraw</v>
      </c>
      <c r="B973" t="s">
        <v>109</v>
      </c>
      <c r="C973" t="str">
        <f t="shared" si="105"/>
        <v>EP Zaragoza</v>
      </c>
      <c r="D973" t="str">
        <f t="shared" si="106"/>
        <v>Y</v>
      </c>
      <c r="E973" t="s">
        <v>621</v>
      </c>
      <c r="F973" t="str">
        <f t="shared" si="107"/>
        <v>Unit above 250 mL/underdraw</v>
      </c>
      <c r="G973">
        <f t="shared" si="108"/>
        <v>0</v>
      </c>
      <c r="H973" t="s">
        <v>577</v>
      </c>
      <c r="I973">
        <f t="shared" si="109"/>
        <v>0</v>
      </c>
      <c r="J973" t="s">
        <v>564</v>
      </c>
      <c r="K973" s="5">
        <v>10</v>
      </c>
      <c r="L973" t="str">
        <f>Table_DataFromNL[[#This Row],[PROFILECODE]]&amp;"-"&amp;Table_DataFromNL[[#This Row],[RULENAME]]</f>
        <v>CP527-Unit above 250 mL/underdraw</v>
      </c>
      <c r="M973" t="e">
        <f t="shared" si="110"/>
        <v>#N/A</v>
      </c>
    </row>
    <row r="974" spans="1:13" x14ac:dyDescent="0.25">
      <c r="A974" t="str">
        <f t="shared" si="111"/>
        <v>CP527-RETURN - Buddy referral  -BONUS</v>
      </c>
      <c r="B974" t="s">
        <v>109</v>
      </c>
      <c r="C974" t="str">
        <f t="shared" si="105"/>
        <v>EP Zaragoza</v>
      </c>
      <c r="D974" t="str">
        <f t="shared" si="106"/>
        <v>Y</v>
      </c>
      <c r="E974" t="s">
        <v>621</v>
      </c>
      <c r="F974" t="str">
        <f t="shared" si="107"/>
        <v>RETURN - Buddy referral  -BONUS</v>
      </c>
      <c r="G974" t="str">
        <f t="shared" si="108"/>
        <v>Marketing</v>
      </c>
      <c r="H974" t="s">
        <v>34</v>
      </c>
      <c r="I974">
        <f t="shared" si="109"/>
        <v>50</v>
      </c>
      <c r="J974" t="s">
        <v>578</v>
      </c>
      <c r="K974" s="5">
        <v>50</v>
      </c>
      <c r="L974" t="str">
        <f>Table_DataFromNL[[#This Row],[PROFILECODE]]&amp;"-"&amp;Table_DataFromNL[[#This Row],[RULENAME]]</f>
        <v>CP527-Referral</v>
      </c>
      <c r="M974" t="str">
        <f t="shared" si="110"/>
        <v>CP527-RETURN - Buddy referral  -BONUS</v>
      </c>
    </row>
    <row r="975" spans="1:13" x14ac:dyDescent="0.25">
      <c r="A975" t="str">
        <f t="shared" si="111"/>
        <v>CP527-P Anti-D Pre-Existing Standard</v>
      </c>
      <c r="B975" t="s">
        <v>109</v>
      </c>
      <c r="C975" t="str">
        <f t="shared" si="105"/>
        <v>EP Zaragoza</v>
      </c>
      <c r="D975" t="str">
        <f t="shared" si="106"/>
        <v>Y</v>
      </c>
      <c r="E975" t="s">
        <v>621</v>
      </c>
      <c r="F975" t="str">
        <f t="shared" si="107"/>
        <v>P Anti-D Pre-Existing Standard</v>
      </c>
      <c r="G975" t="str">
        <f t="shared" si="108"/>
        <v>Specialty</v>
      </c>
      <c r="H975" t="s">
        <v>469</v>
      </c>
      <c r="I975" t="str">
        <f t="shared" si="109"/>
        <v>RETURN - 1st don of the week -STD</v>
      </c>
      <c r="J975" t="s">
        <v>579</v>
      </c>
      <c r="K975" s="5">
        <v>50</v>
      </c>
      <c r="L975" t="str">
        <f>Table_DataFromNL[[#This Row],[PROFILECODE]]&amp;"-"&amp;Table_DataFromNL[[#This Row],[RULENAME]]</f>
        <v>CP527-P Anti-D Pre-Existing Standard</v>
      </c>
      <c r="M975" t="str">
        <f t="shared" si="110"/>
        <v>CP527-P Anti-D Pre-Existing Standard</v>
      </c>
    </row>
    <row r="976" spans="1:13" x14ac:dyDescent="0.25">
      <c r="A976" t="str">
        <f t="shared" si="111"/>
        <v>CP527-RETURN - 1st don of the week -STD</v>
      </c>
      <c r="B976" t="s">
        <v>109</v>
      </c>
      <c r="C976" t="str">
        <f t="shared" si="105"/>
        <v>EP Zaragoza</v>
      </c>
      <c r="D976" t="str">
        <f t="shared" si="106"/>
        <v>Y</v>
      </c>
      <c r="E976" t="s">
        <v>621</v>
      </c>
      <c r="F976" t="str">
        <f t="shared" si="107"/>
        <v>RETURN - 1st don of the week -STD</v>
      </c>
      <c r="G976" t="str">
        <f t="shared" si="108"/>
        <v>Marketing</v>
      </c>
      <c r="H976" t="s">
        <v>583</v>
      </c>
      <c r="I976">
        <f t="shared" si="109"/>
        <v>22</v>
      </c>
      <c r="J976" t="s">
        <v>579</v>
      </c>
      <c r="K976" s="5">
        <v>65</v>
      </c>
      <c r="L976" t="str">
        <f>Table_DataFromNL[[#This Row],[PROFILECODE]]&amp;"-"&amp;Table_DataFromNL[[#This Row],[RULENAME]]</f>
        <v>CP527-P NSP NS AP Standard</v>
      </c>
      <c r="M976" t="str">
        <f t="shared" si="110"/>
        <v>CP527-RETURN - 1st don of the week -STD</v>
      </c>
    </row>
    <row r="977" spans="1:13" x14ac:dyDescent="0.25">
      <c r="A977" t="str">
        <f t="shared" si="111"/>
        <v>CP527-RETURN - 1st don of the week -STD</v>
      </c>
      <c r="B977" t="s">
        <v>109</v>
      </c>
      <c r="C977" t="str">
        <f t="shared" si="105"/>
        <v>EP Zaragoza</v>
      </c>
      <c r="D977" t="str">
        <f t="shared" si="106"/>
        <v>Y</v>
      </c>
      <c r="E977" t="s">
        <v>621</v>
      </c>
      <c r="F977" t="str">
        <f t="shared" si="107"/>
        <v>RETURN - 1st don of the week -STD</v>
      </c>
      <c r="G977" t="str">
        <f t="shared" si="108"/>
        <v>Marketing</v>
      </c>
      <c r="H977" t="s">
        <v>584</v>
      </c>
      <c r="I977">
        <f t="shared" si="109"/>
        <v>23</v>
      </c>
      <c r="J977" t="s">
        <v>579</v>
      </c>
      <c r="K977" s="5">
        <v>65</v>
      </c>
      <c r="L977" t="str">
        <f>Table_DataFromNL[[#This Row],[PROFILECODE]]&amp;"-"&amp;Table_DataFromNL[[#This Row],[RULENAME]]</f>
        <v>CP527-P NSP NS Standard</v>
      </c>
      <c r="M977" t="str">
        <f t="shared" si="110"/>
        <v>CP527-RETURN - 1st don of the week -STD</v>
      </c>
    </row>
    <row r="978" spans="1:13" x14ac:dyDescent="0.25">
      <c r="A978" t="str">
        <f t="shared" si="111"/>
        <v>CP207-1st Responder-Medical</v>
      </c>
      <c r="B978" t="s">
        <v>146</v>
      </c>
      <c r="C978" t="str">
        <f t="shared" si="105"/>
        <v>Farmington</v>
      </c>
      <c r="D978" t="str">
        <f t="shared" si="106"/>
        <v>Y</v>
      </c>
      <c r="E978" t="s">
        <v>622</v>
      </c>
      <c r="F978" t="str">
        <f t="shared" si="107"/>
        <v>1st Responder-Medical</v>
      </c>
      <c r="G978">
        <f t="shared" si="108"/>
        <v>0</v>
      </c>
      <c r="H978" t="s">
        <v>545</v>
      </c>
      <c r="I978">
        <f t="shared" si="109"/>
        <v>0</v>
      </c>
      <c r="J978" t="s">
        <v>546</v>
      </c>
      <c r="K978" s="5">
        <v>5</v>
      </c>
      <c r="L978" t="str">
        <f>Table_DataFromNL[[#This Row],[PROFILECODE]]&amp;"-"&amp;Table_DataFromNL[[#This Row],[RULENAME]]</f>
        <v>CP207-1st Responder-Medical</v>
      </c>
      <c r="M978" t="e">
        <f t="shared" si="110"/>
        <v>#N/A</v>
      </c>
    </row>
    <row r="979" spans="1:13" x14ac:dyDescent="0.25">
      <c r="A979" t="str">
        <f t="shared" si="111"/>
        <v>CP207-College ID Standard Bonus</v>
      </c>
      <c r="B979" t="s">
        <v>146</v>
      </c>
      <c r="C979" t="str">
        <f t="shared" si="105"/>
        <v>Farmington</v>
      </c>
      <c r="D979" t="str">
        <f t="shared" si="106"/>
        <v>Y</v>
      </c>
      <c r="E979" t="s">
        <v>622</v>
      </c>
      <c r="F979" t="str">
        <f t="shared" si="107"/>
        <v>College ID Standard Bonus</v>
      </c>
      <c r="G979">
        <f t="shared" si="108"/>
        <v>0</v>
      </c>
      <c r="H979" t="s">
        <v>553</v>
      </c>
      <c r="I979">
        <f t="shared" si="109"/>
        <v>0</v>
      </c>
      <c r="J979" t="s">
        <v>546</v>
      </c>
      <c r="K979" s="5">
        <v>5</v>
      </c>
      <c r="L979" t="str">
        <f>Table_DataFromNL[[#This Row],[PROFILECODE]]&amp;"-"&amp;Table_DataFromNL[[#This Row],[RULENAME]]</f>
        <v>CP207-College ID Standard Bonus</v>
      </c>
      <c r="M979" t="e">
        <f t="shared" si="110"/>
        <v>#N/A</v>
      </c>
    </row>
    <row r="980" spans="1:13" x14ac:dyDescent="0.25">
      <c r="A980" t="str">
        <f t="shared" si="111"/>
        <v>CP207-Military ID</v>
      </c>
      <c r="B980" t="s">
        <v>146</v>
      </c>
      <c r="C980" t="str">
        <f t="shared" si="105"/>
        <v>Farmington</v>
      </c>
      <c r="D980" t="str">
        <f t="shared" si="106"/>
        <v>Y</v>
      </c>
      <c r="E980" t="s">
        <v>622</v>
      </c>
      <c r="F980" t="str">
        <f t="shared" si="107"/>
        <v>Military ID</v>
      </c>
      <c r="G980">
        <f t="shared" si="108"/>
        <v>0</v>
      </c>
      <c r="H980" t="s">
        <v>554</v>
      </c>
      <c r="I980">
        <f t="shared" si="109"/>
        <v>0</v>
      </c>
      <c r="J980" t="s">
        <v>546</v>
      </c>
      <c r="K980" s="5">
        <v>5</v>
      </c>
      <c r="L980" t="str">
        <f>Table_DataFromNL[[#This Row],[PROFILECODE]]&amp;"-"&amp;Table_DataFromNL[[#This Row],[RULENAME]]</f>
        <v>CP207-Military ID</v>
      </c>
      <c r="M980" t="e">
        <f t="shared" si="110"/>
        <v>#N/A</v>
      </c>
    </row>
    <row r="981" spans="1:13" x14ac:dyDescent="0.25">
      <c r="A981" t="str">
        <f t="shared" si="111"/>
        <v>CP207-NEW DONOR -1st</v>
      </c>
      <c r="B981" t="s">
        <v>146</v>
      </c>
      <c r="C981" t="str">
        <f t="shared" si="105"/>
        <v>Farmington</v>
      </c>
      <c r="D981" t="str">
        <f t="shared" si="106"/>
        <v>Y</v>
      </c>
      <c r="E981" t="s">
        <v>622</v>
      </c>
      <c r="F981" t="str">
        <f t="shared" si="107"/>
        <v>NEW DONOR -1st</v>
      </c>
      <c r="G981" t="str">
        <f t="shared" si="108"/>
        <v>Marketing</v>
      </c>
      <c r="H981" t="s">
        <v>555</v>
      </c>
      <c r="I981">
        <f t="shared" si="109"/>
        <v>1</v>
      </c>
      <c r="J981" t="s">
        <v>546</v>
      </c>
      <c r="K981" s="5">
        <v>53</v>
      </c>
      <c r="L981" t="str">
        <f>Table_DataFromNL[[#This Row],[PROFILECODE]]&amp;"-"&amp;Table_DataFromNL[[#This Row],[RULENAME]]</f>
        <v>CP207-New Donor 1st Visit-Bonus</v>
      </c>
      <c r="M981" t="str">
        <f t="shared" si="110"/>
        <v>CP207-NEW DONOR -1st</v>
      </c>
    </row>
    <row r="982" spans="1:13" x14ac:dyDescent="0.25">
      <c r="A982" t="str">
        <f t="shared" si="111"/>
        <v>CP207-NEW DONOR -2nd</v>
      </c>
      <c r="B982" t="s">
        <v>146</v>
      </c>
      <c r="C982" t="str">
        <f t="shared" si="105"/>
        <v>Farmington</v>
      </c>
      <c r="D982" t="str">
        <f t="shared" si="106"/>
        <v>Y</v>
      </c>
      <c r="E982" t="s">
        <v>622</v>
      </c>
      <c r="F982" t="str">
        <f t="shared" si="107"/>
        <v>NEW DONOR -2nd</v>
      </c>
      <c r="G982" t="str">
        <f t="shared" si="108"/>
        <v>Marketing</v>
      </c>
      <c r="H982" t="s">
        <v>556</v>
      </c>
      <c r="I982">
        <f t="shared" si="109"/>
        <v>2</v>
      </c>
      <c r="J982" t="s">
        <v>546</v>
      </c>
      <c r="K982" s="5">
        <v>53</v>
      </c>
      <c r="L982" t="str">
        <f>Table_DataFromNL[[#This Row],[PROFILECODE]]&amp;"-"&amp;Table_DataFromNL[[#This Row],[RULENAME]]</f>
        <v>CP207-New Donor 2nd Visit-Bonus</v>
      </c>
      <c r="M982" t="str">
        <f t="shared" si="110"/>
        <v>CP207-NEW DONOR -2nd</v>
      </c>
    </row>
    <row r="983" spans="1:13" x14ac:dyDescent="0.25">
      <c r="A983" t="str">
        <f t="shared" si="111"/>
        <v>CP207-NEW DONOR -3rd</v>
      </c>
      <c r="B983" t="s">
        <v>146</v>
      </c>
      <c r="C983" t="str">
        <f t="shared" si="105"/>
        <v>Farmington</v>
      </c>
      <c r="D983" t="str">
        <f t="shared" si="106"/>
        <v>Y</v>
      </c>
      <c r="E983" t="s">
        <v>622</v>
      </c>
      <c r="F983" t="str">
        <f t="shared" si="107"/>
        <v>NEW DONOR -3rd</v>
      </c>
      <c r="G983" t="str">
        <f t="shared" si="108"/>
        <v>Marketing</v>
      </c>
      <c r="H983" t="s">
        <v>557</v>
      </c>
      <c r="I983">
        <f t="shared" si="109"/>
        <v>3</v>
      </c>
      <c r="J983" t="s">
        <v>546</v>
      </c>
      <c r="K983" s="5">
        <v>53</v>
      </c>
      <c r="L983" t="str">
        <f>Table_DataFromNL[[#This Row],[PROFILECODE]]&amp;"-"&amp;Table_DataFromNL[[#This Row],[RULENAME]]</f>
        <v>CP207-New Donor 3rd Visit-Bonus</v>
      </c>
      <c r="M983" t="str">
        <f t="shared" si="110"/>
        <v>CP207-NEW DONOR -3rd</v>
      </c>
    </row>
    <row r="984" spans="1:13" x14ac:dyDescent="0.25">
      <c r="A984" t="str">
        <f t="shared" si="111"/>
        <v>CP207-NEW DONOR -4th</v>
      </c>
      <c r="B984" t="s">
        <v>146</v>
      </c>
      <c r="C984" t="str">
        <f t="shared" si="105"/>
        <v>Farmington</v>
      </c>
      <c r="D984" t="str">
        <f t="shared" si="106"/>
        <v>Y</v>
      </c>
      <c r="E984" t="s">
        <v>622</v>
      </c>
      <c r="F984" t="str">
        <f t="shared" si="107"/>
        <v>NEW DONOR -4th</v>
      </c>
      <c r="G984" t="str">
        <f t="shared" si="108"/>
        <v>Marketing</v>
      </c>
      <c r="H984" t="s">
        <v>558</v>
      </c>
      <c r="I984">
        <f t="shared" si="109"/>
        <v>4</v>
      </c>
      <c r="J984" t="s">
        <v>546</v>
      </c>
      <c r="K984" s="5">
        <v>53</v>
      </c>
      <c r="L984" t="str">
        <f>Table_DataFromNL[[#This Row],[PROFILECODE]]&amp;"-"&amp;Table_DataFromNL[[#This Row],[RULENAME]]</f>
        <v>CP207-New Donor 4th Visit-Bonus</v>
      </c>
      <c r="M984" t="str">
        <f t="shared" si="110"/>
        <v>CP207-NEW DONOR -4th</v>
      </c>
    </row>
    <row r="985" spans="1:13" x14ac:dyDescent="0.25">
      <c r="A985" t="str">
        <f t="shared" si="111"/>
        <v>CP207-NEW DONOR -5th</v>
      </c>
      <c r="B985" t="s">
        <v>146</v>
      </c>
      <c r="C985" t="str">
        <f t="shared" si="105"/>
        <v>Farmington</v>
      </c>
      <c r="D985" t="str">
        <f t="shared" si="106"/>
        <v>Y</v>
      </c>
      <c r="E985" t="s">
        <v>622</v>
      </c>
      <c r="F985" t="str">
        <f t="shared" si="107"/>
        <v>NEW DONOR -5th</v>
      </c>
      <c r="G985" t="str">
        <f t="shared" si="108"/>
        <v>Marketing</v>
      </c>
      <c r="H985" t="s">
        <v>559</v>
      </c>
      <c r="I985">
        <f t="shared" si="109"/>
        <v>5</v>
      </c>
      <c r="J985" t="s">
        <v>546</v>
      </c>
      <c r="K985" s="5">
        <v>53</v>
      </c>
      <c r="L985" t="str">
        <f>Table_DataFromNL[[#This Row],[PROFILECODE]]&amp;"-"&amp;Table_DataFromNL[[#This Row],[RULENAME]]</f>
        <v>CP207-New Donor 5th Visit-Bonus</v>
      </c>
      <c r="M985" t="str">
        <f t="shared" si="110"/>
        <v>CP207-NEW DONOR -5th</v>
      </c>
    </row>
    <row r="986" spans="1:13" x14ac:dyDescent="0.25">
      <c r="A986" t="str">
        <f t="shared" si="111"/>
        <v>CP207-NEW DONOR -6th</v>
      </c>
      <c r="B986" t="s">
        <v>146</v>
      </c>
      <c r="C986" t="str">
        <f t="shared" si="105"/>
        <v>Farmington</v>
      </c>
      <c r="D986" t="str">
        <f t="shared" si="106"/>
        <v>Y</v>
      </c>
      <c r="E986" t="s">
        <v>622</v>
      </c>
      <c r="F986" t="str">
        <f t="shared" si="107"/>
        <v>NEW DONOR -6th</v>
      </c>
      <c r="G986" t="str">
        <f t="shared" si="108"/>
        <v>Marketing</v>
      </c>
      <c r="H986" t="s">
        <v>560</v>
      </c>
      <c r="I986">
        <f t="shared" si="109"/>
        <v>6</v>
      </c>
      <c r="J986" t="s">
        <v>546</v>
      </c>
      <c r="K986" s="5">
        <v>53</v>
      </c>
      <c r="L986" t="str">
        <f>Table_DataFromNL[[#This Row],[PROFILECODE]]&amp;"-"&amp;Table_DataFromNL[[#This Row],[RULENAME]]</f>
        <v>CP207-New Donor 6th Visit-Bonus</v>
      </c>
      <c r="M986" t="str">
        <f t="shared" si="110"/>
        <v>CP207-NEW DONOR -6th</v>
      </c>
    </row>
    <row r="987" spans="1:13" x14ac:dyDescent="0.25">
      <c r="A987" t="str">
        <f t="shared" si="111"/>
        <v>CP207-NEW DONOR -7th</v>
      </c>
      <c r="B987" t="s">
        <v>146</v>
      </c>
      <c r="C987" t="str">
        <f t="shared" si="105"/>
        <v>Farmington</v>
      </c>
      <c r="D987" t="str">
        <f t="shared" si="106"/>
        <v>Y</v>
      </c>
      <c r="E987" t="s">
        <v>622</v>
      </c>
      <c r="F987" t="str">
        <f t="shared" si="107"/>
        <v>NEW DONOR -7th</v>
      </c>
      <c r="G987" t="str">
        <f t="shared" si="108"/>
        <v>Marketing</v>
      </c>
      <c r="H987" t="s">
        <v>561</v>
      </c>
      <c r="I987">
        <f t="shared" si="109"/>
        <v>7</v>
      </c>
      <c r="J987" t="s">
        <v>546</v>
      </c>
      <c r="K987" s="5">
        <v>53</v>
      </c>
      <c r="L987" t="str">
        <f>Table_DataFromNL[[#This Row],[PROFILECODE]]&amp;"-"&amp;Table_DataFromNL[[#This Row],[RULENAME]]</f>
        <v>CP207-New Donor 7th Visit-Bonus</v>
      </c>
      <c r="M987" t="str">
        <f t="shared" si="110"/>
        <v>CP207-NEW DONOR -7th</v>
      </c>
    </row>
    <row r="988" spans="1:13" x14ac:dyDescent="0.25">
      <c r="A988" t="str">
        <f t="shared" si="111"/>
        <v>CP207-NEW DONOR -8th</v>
      </c>
      <c r="B988" t="s">
        <v>146</v>
      </c>
      <c r="C988" t="str">
        <f t="shared" si="105"/>
        <v>Farmington</v>
      </c>
      <c r="D988" t="str">
        <f t="shared" si="106"/>
        <v>Y</v>
      </c>
      <c r="E988" t="s">
        <v>622</v>
      </c>
      <c r="F988" t="str">
        <f t="shared" si="107"/>
        <v>NEW DONOR -8th</v>
      </c>
      <c r="G988" t="str">
        <f t="shared" si="108"/>
        <v>Marketing</v>
      </c>
      <c r="H988" t="s">
        <v>562</v>
      </c>
      <c r="I988">
        <f t="shared" si="109"/>
        <v>8</v>
      </c>
      <c r="J988" t="s">
        <v>546</v>
      </c>
      <c r="K988" s="5">
        <v>53</v>
      </c>
      <c r="L988" t="str">
        <f>Table_DataFromNL[[#This Row],[PROFILECODE]]&amp;"-"&amp;Table_DataFromNL[[#This Row],[RULENAME]]</f>
        <v>CP207-New Donor 8th Visit-Bonus</v>
      </c>
      <c r="M988" t="str">
        <f t="shared" si="110"/>
        <v>CP207-NEW DONOR -8th</v>
      </c>
    </row>
    <row r="989" spans="1:13" x14ac:dyDescent="0.25">
      <c r="A989" t="str">
        <f t="shared" si="111"/>
        <v>CP207-Community</v>
      </c>
      <c r="B989" t="s">
        <v>146</v>
      </c>
      <c r="C989" t="str">
        <f t="shared" si="105"/>
        <v>Farmington</v>
      </c>
      <c r="D989" t="str">
        <f t="shared" si="106"/>
        <v>Y</v>
      </c>
      <c r="E989" t="s">
        <v>622</v>
      </c>
      <c r="F989" t="str">
        <f t="shared" si="107"/>
        <v>Community</v>
      </c>
      <c r="G989">
        <f t="shared" si="108"/>
        <v>0</v>
      </c>
      <c r="H989" t="s">
        <v>563</v>
      </c>
      <c r="I989">
        <f t="shared" si="109"/>
        <v>0</v>
      </c>
      <c r="J989" t="s">
        <v>564</v>
      </c>
      <c r="K989" s="5">
        <v>5</v>
      </c>
      <c r="L989" t="str">
        <f>Table_DataFromNL[[#This Row],[PROFILECODE]]&amp;"-"&amp;Table_DataFromNL[[#This Row],[RULENAME]]</f>
        <v>CP207-Community</v>
      </c>
      <c r="M989" t="e">
        <f t="shared" si="110"/>
        <v>#N/A</v>
      </c>
    </row>
    <row r="990" spans="1:13" x14ac:dyDescent="0.25">
      <c r="A990" t="str">
        <f t="shared" si="111"/>
        <v>CP207-HANGER_RECRUIT_5USD_once</v>
      </c>
      <c r="B990" t="s">
        <v>146</v>
      </c>
      <c r="C990" t="str">
        <f t="shared" si="105"/>
        <v>Farmington</v>
      </c>
      <c r="D990" t="str">
        <f t="shared" si="106"/>
        <v>Y</v>
      </c>
      <c r="E990" t="s">
        <v>622</v>
      </c>
      <c r="F990" t="str">
        <f t="shared" si="107"/>
        <v>HANGER_RECRUIT_5USD_once</v>
      </c>
      <c r="G990">
        <f t="shared" si="108"/>
        <v>0</v>
      </c>
      <c r="H990" t="s">
        <v>565</v>
      </c>
      <c r="I990">
        <f t="shared" si="109"/>
        <v>0</v>
      </c>
      <c r="J990" t="s">
        <v>564</v>
      </c>
      <c r="K990" s="5">
        <v>5</v>
      </c>
      <c r="L990" t="str">
        <f>Table_DataFromNL[[#This Row],[PROFILECODE]]&amp;"-"&amp;Table_DataFromNL[[#This Row],[RULENAME]]</f>
        <v>CP207-HANGER_RECRUIT_5USD_once</v>
      </c>
      <c r="M990" t="e">
        <f t="shared" si="110"/>
        <v>#N/A</v>
      </c>
    </row>
    <row r="991" spans="1:13" x14ac:dyDescent="0.25">
      <c r="A991" t="str">
        <f t="shared" si="111"/>
        <v>CP207-Immunization Boost Payment</v>
      </c>
      <c r="B991" t="s">
        <v>146</v>
      </c>
      <c r="C991" t="str">
        <f t="shared" si="105"/>
        <v>Farmington</v>
      </c>
      <c r="D991" t="str">
        <f t="shared" si="106"/>
        <v>Y</v>
      </c>
      <c r="E991" t="s">
        <v>622</v>
      </c>
      <c r="F991" t="str">
        <f t="shared" si="107"/>
        <v>Immunization Boost Payment</v>
      </c>
      <c r="G991">
        <f t="shared" si="108"/>
        <v>0</v>
      </c>
      <c r="H991" t="s">
        <v>598</v>
      </c>
      <c r="I991">
        <f t="shared" si="109"/>
        <v>0</v>
      </c>
      <c r="J991" t="s">
        <v>564</v>
      </c>
      <c r="K991" s="5">
        <v>50</v>
      </c>
      <c r="L991" t="str">
        <f>Table_DataFromNL[[#This Row],[PROFILECODE]]&amp;"-"&amp;Table_DataFromNL[[#This Row],[RULENAME]]</f>
        <v>CP207-Immunization Boost Payment</v>
      </c>
      <c r="M991" t="e">
        <f t="shared" si="110"/>
        <v>#N/A</v>
      </c>
    </row>
    <row r="992" spans="1:13" x14ac:dyDescent="0.25">
      <c r="A992" t="str">
        <f t="shared" si="111"/>
        <v>CP207-Immunization Series Payment</v>
      </c>
      <c r="B992" t="s">
        <v>146</v>
      </c>
      <c r="C992" t="str">
        <f t="shared" si="105"/>
        <v>Farmington</v>
      </c>
      <c r="D992" t="str">
        <f t="shared" si="106"/>
        <v>Y</v>
      </c>
      <c r="E992" t="s">
        <v>622</v>
      </c>
      <c r="F992" t="str">
        <f t="shared" si="107"/>
        <v>Immunization Series Payment</v>
      </c>
      <c r="G992">
        <f t="shared" si="108"/>
        <v>0</v>
      </c>
      <c r="H992" t="s">
        <v>599</v>
      </c>
      <c r="I992">
        <f t="shared" si="109"/>
        <v>0</v>
      </c>
      <c r="J992" t="s">
        <v>564</v>
      </c>
      <c r="K992" s="5">
        <v>100</v>
      </c>
      <c r="L992" t="str">
        <f>Table_DataFromNL[[#This Row],[PROFILECODE]]&amp;"-"&amp;Table_DataFromNL[[#This Row],[RULENAME]]</f>
        <v>CP207-Immunization Series Payment</v>
      </c>
      <c r="M992" t="e">
        <f t="shared" si="110"/>
        <v>#N/A</v>
      </c>
    </row>
    <row r="993" spans="1:13" x14ac:dyDescent="0.25">
      <c r="A993" t="str">
        <f t="shared" si="111"/>
        <v>CP207-Inconv Fee $20-$50-Comment Req'd</v>
      </c>
      <c r="B993" t="s">
        <v>146</v>
      </c>
      <c r="C993" t="str">
        <f t="shared" si="105"/>
        <v>Farmington</v>
      </c>
      <c r="D993" t="str">
        <f t="shared" si="106"/>
        <v>Y</v>
      </c>
      <c r="E993" t="s">
        <v>622</v>
      </c>
      <c r="F993" t="str">
        <f t="shared" si="107"/>
        <v>Inconv Fee $20-$50-Comment Req'd</v>
      </c>
      <c r="G993">
        <f t="shared" si="108"/>
        <v>0</v>
      </c>
      <c r="H993" t="s">
        <v>566</v>
      </c>
      <c r="I993">
        <f t="shared" si="109"/>
        <v>0</v>
      </c>
      <c r="J993" t="s">
        <v>564</v>
      </c>
      <c r="K993" s="5">
        <v>50</v>
      </c>
      <c r="L993" t="str">
        <f>Table_DataFromNL[[#This Row],[PROFILECODE]]&amp;"-"&amp;Table_DataFromNL[[#This Row],[RULENAME]]</f>
        <v>CP207-Inconv Fee $20-$50-Comment Req'd</v>
      </c>
      <c r="M993" t="e">
        <f t="shared" si="110"/>
        <v>#N/A</v>
      </c>
    </row>
    <row r="994" spans="1:13" x14ac:dyDescent="0.25">
      <c r="A994" t="str">
        <f t="shared" si="111"/>
        <v>CP207-Inconv Fee $5-$20-Comment Req'd</v>
      </c>
      <c r="B994" t="s">
        <v>146</v>
      </c>
      <c r="C994" t="str">
        <f t="shared" si="105"/>
        <v>Farmington</v>
      </c>
      <c r="D994" t="str">
        <f t="shared" si="106"/>
        <v>Y</v>
      </c>
      <c r="E994" t="s">
        <v>622</v>
      </c>
      <c r="F994" t="str">
        <f t="shared" si="107"/>
        <v>Inconv Fee $5-$20-Comment Req'd</v>
      </c>
      <c r="G994">
        <f t="shared" si="108"/>
        <v>0</v>
      </c>
      <c r="H994" t="s">
        <v>567</v>
      </c>
      <c r="I994">
        <f t="shared" si="109"/>
        <v>0</v>
      </c>
      <c r="J994" t="s">
        <v>564</v>
      </c>
      <c r="K994" s="5">
        <v>20</v>
      </c>
      <c r="L994" t="str">
        <f>Table_DataFromNL[[#This Row],[PROFILECODE]]&amp;"-"&amp;Table_DataFromNL[[#This Row],[RULENAME]]</f>
        <v>CP207-Inconv Fee $5-$20-Comment Req'd</v>
      </c>
      <c r="M994" t="e">
        <f t="shared" si="110"/>
        <v>#N/A</v>
      </c>
    </row>
    <row r="995" spans="1:13" x14ac:dyDescent="0.25">
      <c r="A995" t="str">
        <f t="shared" si="111"/>
        <v>CP207-Inconv Fee$50-$100-Comment Req'd</v>
      </c>
      <c r="B995" t="s">
        <v>146</v>
      </c>
      <c r="C995" t="str">
        <f t="shared" si="105"/>
        <v>Farmington</v>
      </c>
      <c r="D995" t="str">
        <f t="shared" si="106"/>
        <v>Y</v>
      </c>
      <c r="E995" t="s">
        <v>622</v>
      </c>
      <c r="F995" t="str">
        <f t="shared" si="107"/>
        <v>Inconv Fee$50-$100-Comment Req'd</v>
      </c>
      <c r="G995">
        <f t="shared" si="108"/>
        <v>0</v>
      </c>
      <c r="H995" t="s">
        <v>568</v>
      </c>
      <c r="I995">
        <f t="shared" si="109"/>
        <v>0</v>
      </c>
      <c r="J995" t="s">
        <v>564</v>
      </c>
      <c r="K995" s="5">
        <v>100</v>
      </c>
      <c r="L995" t="str">
        <f>Table_DataFromNL[[#This Row],[PROFILECODE]]&amp;"-"&amp;Table_DataFromNL[[#This Row],[RULENAME]]</f>
        <v>CP207-Inconv Fee$50-$100-Comment Req'd</v>
      </c>
      <c r="M995" t="e">
        <f t="shared" si="110"/>
        <v>#N/A</v>
      </c>
    </row>
    <row r="996" spans="1:13" x14ac:dyDescent="0.25">
      <c r="A996" t="str">
        <f t="shared" si="111"/>
        <v>CP207-NSP_ LAPSEDONOR_50_Twice</v>
      </c>
      <c r="B996" t="s">
        <v>146</v>
      </c>
      <c r="C996" t="str">
        <f t="shared" si="105"/>
        <v>Farmington</v>
      </c>
      <c r="D996" t="str">
        <f t="shared" si="106"/>
        <v>Y</v>
      </c>
      <c r="E996" t="s">
        <v>622</v>
      </c>
      <c r="F996" t="str">
        <f t="shared" si="107"/>
        <v>NSP_ LAPSEDONOR_50_Twice</v>
      </c>
      <c r="G996">
        <f t="shared" si="108"/>
        <v>0</v>
      </c>
      <c r="H996" t="s">
        <v>569</v>
      </c>
      <c r="I996">
        <f t="shared" si="109"/>
        <v>0</v>
      </c>
      <c r="J996" t="s">
        <v>564</v>
      </c>
      <c r="K996" s="5">
        <v>50</v>
      </c>
      <c r="L996" t="str">
        <f>Table_DataFromNL[[#This Row],[PROFILECODE]]&amp;"-"&amp;Table_DataFromNL[[#This Row],[RULENAME]]</f>
        <v>CP207-NSP_ LAPSEDONOR_50_Twice</v>
      </c>
      <c r="M996" t="e">
        <f t="shared" si="110"/>
        <v>#N/A</v>
      </c>
    </row>
    <row r="997" spans="1:13" x14ac:dyDescent="0.25">
      <c r="A997" t="str">
        <f t="shared" si="111"/>
        <v>CP207-NSP_LD_25_2X</v>
      </c>
      <c r="B997" t="s">
        <v>146</v>
      </c>
      <c r="C997" t="str">
        <f t="shared" si="105"/>
        <v>Farmington</v>
      </c>
      <c r="D997" t="str">
        <f t="shared" si="106"/>
        <v>Y</v>
      </c>
      <c r="E997" t="s">
        <v>622</v>
      </c>
      <c r="F997" t="str">
        <f t="shared" si="107"/>
        <v>NSP_LD_25_2X</v>
      </c>
      <c r="G997">
        <f t="shared" si="108"/>
        <v>0</v>
      </c>
      <c r="H997" t="s">
        <v>570</v>
      </c>
      <c r="I997">
        <f t="shared" si="109"/>
        <v>0</v>
      </c>
      <c r="J997" t="s">
        <v>564</v>
      </c>
      <c r="K997" s="5">
        <v>25</v>
      </c>
      <c r="L997" t="str">
        <f>Table_DataFromNL[[#This Row],[PROFILECODE]]&amp;"-"&amp;Table_DataFromNL[[#This Row],[RULENAME]]</f>
        <v>CP207-NSP_LD_25_2X</v>
      </c>
      <c r="M997" t="e">
        <f t="shared" si="110"/>
        <v>#N/A</v>
      </c>
    </row>
    <row r="998" spans="1:13" x14ac:dyDescent="0.25">
      <c r="A998" t="str">
        <f t="shared" si="111"/>
        <v>CP207-NSP_LD_50_1X</v>
      </c>
      <c r="B998" t="s">
        <v>146</v>
      </c>
      <c r="C998" t="str">
        <f t="shared" si="105"/>
        <v>Farmington</v>
      </c>
      <c r="D998" t="str">
        <f t="shared" si="106"/>
        <v>Y</v>
      </c>
      <c r="E998" t="s">
        <v>622</v>
      </c>
      <c r="F998" t="str">
        <f t="shared" si="107"/>
        <v>NSP_LD_50_1X</v>
      </c>
      <c r="G998">
        <f t="shared" si="108"/>
        <v>0</v>
      </c>
      <c r="H998" t="s">
        <v>571</v>
      </c>
      <c r="I998">
        <f t="shared" si="109"/>
        <v>0</v>
      </c>
      <c r="J998" t="s">
        <v>564</v>
      </c>
      <c r="K998" s="5">
        <v>50</v>
      </c>
      <c r="L998" t="str">
        <f>Table_DataFromNL[[#This Row],[PROFILECODE]]&amp;"-"&amp;Table_DataFromNL[[#This Row],[RULENAME]]</f>
        <v>CP207-NSP_LD_50_1X</v>
      </c>
      <c r="M998" t="e">
        <f t="shared" si="110"/>
        <v>#N/A</v>
      </c>
    </row>
    <row r="999" spans="1:13" x14ac:dyDescent="0.25">
      <c r="A999" t="str">
        <f t="shared" si="111"/>
        <v>CP207-NSP_ORPHAN_100_once</v>
      </c>
      <c r="B999" t="s">
        <v>146</v>
      </c>
      <c r="C999" t="str">
        <f t="shared" si="105"/>
        <v>Farmington</v>
      </c>
      <c r="D999" t="str">
        <f t="shared" si="106"/>
        <v>Y</v>
      </c>
      <c r="E999" t="s">
        <v>622</v>
      </c>
      <c r="F999" t="str">
        <f t="shared" si="107"/>
        <v>NSP_ORPHAN_100_once</v>
      </c>
      <c r="G999">
        <f t="shared" si="108"/>
        <v>0</v>
      </c>
      <c r="H999" t="s">
        <v>572</v>
      </c>
      <c r="I999">
        <f t="shared" si="109"/>
        <v>0</v>
      </c>
      <c r="J999" t="s">
        <v>564</v>
      </c>
      <c r="K999" s="5">
        <v>100</v>
      </c>
      <c r="L999" t="str">
        <f>Table_DataFromNL[[#This Row],[PROFILECODE]]&amp;"-"&amp;Table_DataFromNL[[#This Row],[RULENAME]]</f>
        <v>CP207-NSP_ORPHAN_100_once</v>
      </c>
      <c r="M999" t="e">
        <f t="shared" si="110"/>
        <v>#N/A</v>
      </c>
    </row>
    <row r="1000" spans="1:13" x14ac:dyDescent="0.25">
      <c r="A1000" t="str">
        <f t="shared" si="111"/>
        <v>CP207-Restick</v>
      </c>
      <c r="B1000" t="s">
        <v>146</v>
      </c>
      <c r="C1000" t="str">
        <f t="shared" si="105"/>
        <v>Farmington</v>
      </c>
      <c r="D1000" t="str">
        <f t="shared" si="106"/>
        <v>Y</v>
      </c>
      <c r="E1000" t="s">
        <v>622</v>
      </c>
      <c r="F1000" t="str">
        <f t="shared" si="107"/>
        <v>Restick</v>
      </c>
      <c r="G1000">
        <f t="shared" si="108"/>
        <v>0</v>
      </c>
      <c r="H1000" t="s">
        <v>573</v>
      </c>
      <c r="I1000">
        <f t="shared" si="109"/>
        <v>0</v>
      </c>
      <c r="J1000" t="s">
        <v>564</v>
      </c>
      <c r="K1000" s="5">
        <v>5</v>
      </c>
      <c r="L1000" t="str">
        <f>Table_DataFromNL[[#This Row],[PROFILECODE]]&amp;"-"&amp;Table_DataFromNL[[#This Row],[RULENAME]]</f>
        <v>CP207-Restick</v>
      </c>
      <c r="M1000" t="e">
        <f t="shared" si="110"/>
        <v>#N/A</v>
      </c>
    </row>
    <row r="1001" spans="1:13" x14ac:dyDescent="0.25">
      <c r="A1001" t="str">
        <f t="shared" si="111"/>
        <v>CP207-SLOW_TEXT_5</v>
      </c>
      <c r="B1001" t="s">
        <v>146</v>
      </c>
      <c r="C1001" t="str">
        <f t="shared" si="105"/>
        <v>Farmington</v>
      </c>
      <c r="D1001" t="str">
        <f t="shared" si="106"/>
        <v>Y</v>
      </c>
      <c r="E1001" t="s">
        <v>622</v>
      </c>
      <c r="F1001" t="str">
        <f t="shared" si="107"/>
        <v>SLOW_TEXT_5</v>
      </c>
      <c r="G1001">
        <f t="shared" si="108"/>
        <v>0</v>
      </c>
      <c r="H1001" t="s">
        <v>574</v>
      </c>
      <c r="I1001">
        <f t="shared" si="109"/>
        <v>0</v>
      </c>
      <c r="J1001" t="s">
        <v>564</v>
      </c>
      <c r="K1001" s="5">
        <v>5</v>
      </c>
      <c r="L1001" t="str">
        <f>Table_DataFromNL[[#This Row],[PROFILECODE]]&amp;"-"&amp;Table_DataFromNL[[#This Row],[RULENAME]]</f>
        <v>CP207-SLOW_TEXT_5</v>
      </c>
      <c r="M1001" t="e">
        <f t="shared" si="110"/>
        <v>#N/A</v>
      </c>
    </row>
    <row r="1002" spans="1:13" x14ac:dyDescent="0.25">
      <c r="A1002" t="str">
        <f t="shared" si="111"/>
        <v>CP207-Sample Only</v>
      </c>
      <c r="B1002" t="s">
        <v>146</v>
      </c>
      <c r="C1002" t="str">
        <f t="shared" si="105"/>
        <v>Farmington</v>
      </c>
      <c r="D1002" t="str">
        <f t="shared" si="106"/>
        <v>Y</v>
      </c>
      <c r="E1002" t="s">
        <v>622</v>
      </c>
      <c r="F1002" t="str">
        <f t="shared" si="107"/>
        <v>Sample Only</v>
      </c>
      <c r="G1002">
        <f t="shared" si="108"/>
        <v>0</v>
      </c>
      <c r="H1002" t="s">
        <v>575</v>
      </c>
      <c r="I1002">
        <f t="shared" si="109"/>
        <v>0</v>
      </c>
      <c r="J1002" t="s">
        <v>564</v>
      </c>
      <c r="K1002" s="5">
        <v>5</v>
      </c>
      <c r="L1002" t="str">
        <f>Table_DataFromNL[[#This Row],[PROFILECODE]]&amp;"-"&amp;Table_DataFromNL[[#This Row],[RULENAME]]</f>
        <v>CP207-Sample Only</v>
      </c>
      <c r="M1002" t="e">
        <f t="shared" si="110"/>
        <v>#N/A</v>
      </c>
    </row>
    <row r="1003" spans="1:13" x14ac:dyDescent="0.25">
      <c r="A1003" t="str">
        <f t="shared" si="111"/>
        <v>CP207-Unit Below 250 mL</v>
      </c>
      <c r="B1003" t="s">
        <v>146</v>
      </c>
      <c r="C1003" t="str">
        <f t="shared" si="105"/>
        <v>Farmington</v>
      </c>
      <c r="D1003" t="str">
        <f t="shared" si="106"/>
        <v>Y</v>
      </c>
      <c r="E1003" t="s">
        <v>622</v>
      </c>
      <c r="F1003" t="str">
        <f t="shared" si="107"/>
        <v>Unit Below 250 mL</v>
      </c>
      <c r="G1003">
        <f t="shared" si="108"/>
        <v>0</v>
      </c>
      <c r="H1003" t="s">
        <v>576</v>
      </c>
      <c r="I1003">
        <f t="shared" si="109"/>
        <v>0</v>
      </c>
      <c r="J1003" t="s">
        <v>564</v>
      </c>
      <c r="K1003" s="5">
        <v>5</v>
      </c>
      <c r="L1003" t="str">
        <f>Table_DataFromNL[[#This Row],[PROFILECODE]]&amp;"-"&amp;Table_DataFromNL[[#This Row],[RULENAME]]</f>
        <v>CP207-Unit Below 250 mL</v>
      </c>
      <c r="M1003" t="e">
        <f t="shared" si="110"/>
        <v>#N/A</v>
      </c>
    </row>
    <row r="1004" spans="1:13" x14ac:dyDescent="0.25">
      <c r="A1004" t="str">
        <f t="shared" si="111"/>
        <v>CP207-Unit above 250 mL/underdraw</v>
      </c>
      <c r="B1004" t="s">
        <v>146</v>
      </c>
      <c r="C1004" t="str">
        <f t="shared" si="105"/>
        <v>Farmington</v>
      </c>
      <c r="D1004" t="str">
        <f t="shared" si="106"/>
        <v>Y</v>
      </c>
      <c r="E1004" t="s">
        <v>622</v>
      </c>
      <c r="F1004" t="str">
        <f t="shared" si="107"/>
        <v>Unit above 250 mL/underdraw</v>
      </c>
      <c r="G1004">
        <f t="shared" si="108"/>
        <v>0</v>
      </c>
      <c r="H1004" t="s">
        <v>577</v>
      </c>
      <c r="I1004">
        <f t="shared" si="109"/>
        <v>0</v>
      </c>
      <c r="J1004" t="s">
        <v>564</v>
      </c>
      <c r="K1004" s="5">
        <v>10</v>
      </c>
      <c r="L1004" t="str">
        <f>Table_DataFromNL[[#This Row],[PROFILECODE]]&amp;"-"&amp;Table_DataFromNL[[#This Row],[RULENAME]]</f>
        <v>CP207-Unit above 250 mL/underdraw</v>
      </c>
      <c r="M1004" t="e">
        <f t="shared" si="110"/>
        <v>#N/A</v>
      </c>
    </row>
    <row r="1005" spans="1:13" x14ac:dyDescent="0.25">
      <c r="A1005" t="str">
        <f t="shared" si="111"/>
        <v>CP207-RETURN - Buddy referral  -BONUS</v>
      </c>
      <c r="B1005" t="s">
        <v>146</v>
      </c>
      <c r="C1005" t="str">
        <f t="shared" si="105"/>
        <v>Farmington</v>
      </c>
      <c r="D1005" t="str">
        <f t="shared" si="106"/>
        <v>Y</v>
      </c>
      <c r="E1005" t="s">
        <v>622</v>
      </c>
      <c r="F1005" t="str">
        <f t="shared" si="107"/>
        <v>RETURN - Buddy referral  -BONUS</v>
      </c>
      <c r="G1005" t="str">
        <f t="shared" si="108"/>
        <v>Marketing</v>
      </c>
      <c r="H1005" t="s">
        <v>34</v>
      </c>
      <c r="I1005">
        <f t="shared" si="109"/>
        <v>50</v>
      </c>
      <c r="J1005" t="s">
        <v>578</v>
      </c>
      <c r="K1005" s="5">
        <v>50</v>
      </c>
      <c r="L1005" t="str">
        <f>Table_DataFromNL[[#This Row],[PROFILECODE]]&amp;"-"&amp;Table_DataFromNL[[#This Row],[RULENAME]]</f>
        <v>CP207-Referral</v>
      </c>
      <c r="M1005" t="str">
        <f t="shared" si="110"/>
        <v>CP207-RETURN - Buddy referral  -BONUS</v>
      </c>
    </row>
    <row r="1006" spans="1:13" x14ac:dyDescent="0.25">
      <c r="A1006" t="str">
        <f t="shared" si="111"/>
        <v>CP207-P Anti-D Pre-Existing Standard</v>
      </c>
      <c r="B1006" t="s">
        <v>146</v>
      </c>
      <c r="C1006" t="str">
        <f t="shared" si="105"/>
        <v>Farmington</v>
      </c>
      <c r="D1006" t="str">
        <f t="shared" si="106"/>
        <v>Y</v>
      </c>
      <c r="E1006" t="s">
        <v>622</v>
      </c>
      <c r="F1006" t="str">
        <f t="shared" si="107"/>
        <v>P Anti-D Pre-Existing Standard</v>
      </c>
      <c r="G1006" t="str">
        <f t="shared" si="108"/>
        <v>Specialty</v>
      </c>
      <c r="H1006" t="s">
        <v>469</v>
      </c>
      <c r="I1006" t="str">
        <f t="shared" si="109"/>
        <v>RETURN - 1st don of the week -STD</v>
      </c>
      <c r="J1006" t="s">
        <v>579</v>
      </c>
      <c r="K1006" s="5">
        <v>50</v>
      </c>
      <c r="L1006" t="str">
        <f>Table_DataFromNL[[#This Row],[PROFILECODE]]&amp;"-"&amp;Table_DataFromNL[[#This Row],[RULENAME]]</f>
        <v>CP207-P Anti-D Pre-Existing Standard</v>
      </c>
      <c r="M1006" t="str">
        <f t="shared" si="110"/>
        <v>CP207-P Anti-D Pre-Existing Standard</v>
      </c>
    </row>
    <row r="1007" spans="1:13" x14ac:dyDescent="0.25">
      <c r="A1007" t="str">
        <f t="shared" si="111"/>
        <v>CP207-P HBS Pre-Existing Standard</v>
      </c>
      <c r="B1007" t="s">
        <v>146</v>
      </c>
      <c r="C1007" t="str">
        <f t="shared" si="105"/>
        <v>Farmington</v>
      </c>
      <c r="D1007" t="str">
        <f t="shared" si="106"/>
        <v>Y</v>
      </c>
      <c r="E1007" t="s">
        <v>622</v>
      </c>
      <c r="F1007" t="str">
        <f t="shared" si="107"/>
        <v>P HBS Pre-Existing Standard</v>
      </c>
      <c r="G1007" t="str">
        <f t="shared" si="108"/>
        <v>Specialty</v>
      </c>
      <c r="H1007" t="s">
        <v>472</v>
      </c>
      <c r="I1007" t="str">
        <f t="shared" si="109"/>
        <v>RETURN - 1st don of the week -STD</v>
      </c>
      <c r="J1007" t="s">
        <v>579</v>
      </c>
      <c r="K1007" s="5">
        <v>73</v>
      </c>
      <c r="L1007" t="str">
        <f>Table_DataFromNL[[#This Row],[PROFILECODE]]&amp;"-"&amp;Table_DataFromNL[[#This Row],[RULENAME]]</f>
        <v>CP207-P HBS Pre-Existing Standard</v>
      </c>
      <c r="M1007" t="str">
        <f t="shared" si="110"/>
        <v>CP207-P HBS Pre-Existing Standard</v>
      </c>
    </row>
    <row r="1008" spans="1:13" x14ac:dyDescent="0.25">
      <c r="A1008" t="str">
        <f t="shared" si="111"/>
        <v>CP207-P HBS TWINRIX Standard</v>
      </c>
      <c r="B1008" t="s">
        <v>146</v>
      </c>
      <c r="C1008" t="str">
        <f t="shared" si="105"/>
        <v>Farmington</v>
      </c>
      <c r="D1008" t="str">
        <f t="shared" si="106"/>
        <v>Y</v>
      </c>
      <c r="E1008" t="s">
        <v>622</v>
      </c>
      <c r="F1008" t="str">
        <f t="shared" si="107"/>
        <v>P HBS TWINRIX Standard</v>
      </c>
      <c r="G1008" t="str">
        <f t="shared" si="108"/>
        <v>Specialty</v>
      </c>
      <c r="H1008" t="s">
        <v>506</v>
      </c>
      <c r="I1008" t="str">
        <f t="shared" si="109"/>
        <v>RETURN - 1st don of the week -STD</v>
      </c>
      <c r="J1008" t="s">
        <v>579</v>
      </c>
      <c r="K1008" s="5">
        <v>73</v>
      </c>
      <c r="L1008" t="str">
        <f>Table_DataFromNL[[#This Row],[PROFILECODE]]&amp;"-"&amp;Table_DataFromNL[[#This Row],[RULENAME]]</f>
        <v>CP207-P HBS TWINRIX Standard</v>
      </c>
      <c r="M1008" t="str">
        <f t="shared" si="110"/>
        <v>CP207-P HBS TWINRIX Standard</v>
      </c>
    </row>
    <row r="1009" spans="1:13" x14ac:dyDescent="0.25">
      <c r="A1009" t="str">
        <f t="shared" si="111"/>
        <v>CP207-P HBS TWINRIX-AP Standard</v>
      </c>
      <c r="B1009" t="s">
        <v>146</v>
      </c>
      <c r="C1009" t="str">
        <f t="shared" si="105"/>
        <v>Farmington</v>
      </c>
      <c r="D1009" t="str">
        <f t="shared" si="106"/>
        <v>Y</v>
      </c>
      <c r="E1009" t="s">
        <v>622</v>
      </c>
      <c r="F1009" t="str">
        <f t="shared" si="107"/>
        <v>P HBS TWINRIX-AP Standard</v>
      </c>
      <c r="G1009" t="str">
        <f t="shared" si="108"/>
        <v>Specialty</v>
      </c>
      <c r="H1009" t="s">
        <v>507</v>
      </c>
      <c r="I1009" t="str">
        <f t="shared" si="109"/>
        <v>RETURN - 1st don of the week -STD</v>
      </c>
      <c r="J1009" t="s">
        <v>579</v>
      </c>
      <c r="K1009" s="5">
        <v>73</v>
      </c>
      <c r="L1009" t="str">
        <f>Table_DataFromNL[[#This Row],[PROFILECODE]]&amp;"-"&amp;Table_DataFromNL[[#This Row],[RULENAME]]</f>
        <v>CP207-P HBS TWINRIX-AP Standard</v>
      </c>
      <c r="M1009" t="str">
        <f t="shared" si="110"/>
        <v>CP207-P HBS TWINRIX-AP Standard</v>
      </c>
    </row>
    <row r="1010" spans="1:13" x14ac:dyDescent="0.25">
      <c r="A1010" t="str">
        <f t="shared" si="111"/>
        <v>CP207-RETURN - 1st don of the week -STD</v>
      </c>
      <c r="B1010" t="s">
        <v>146</v>
      </c>
      <c r="C1010" t="str">
        <f t="shared" si="105"/>
        <v>Farmington</v>
      </c>
      <c r="D1010" t="str">
        <f t="shared" si="106"/>
        <v>Y</v>
      </c>
      <c r="E1010" t="s">
        <v>622</v>
      </c>
      <c r="F1010" t="str">
        <f t="shared" si="107"/>
        <v>RETURN - 1st don of the week -STD</v>
      </c>
      <c r="G1010" t="str">
        <f t="shared" si="108"/>
        <v>Marketing</v>
      </c>
      <c r="H1010" t="s">
        <v>583</v>
      </c>
      <c r="I1010">
        <f t="shared" si="109"/>
        <v>22</v>
      </c>
      <c r="J1010" t="s">
        <v>579</v>
      </c>
      <c r="K1010" s="5">
        <v>53</v>
      </c>
      <c r="L1010" t="str">
        <f>Table_DataFromNL[[#This Row],[PROFILECODE]]&amp;"-"&amp;Table_DataFromNL[[#This Row],[RULENAME]]</f>
        <v>CP207-P NSP NS AP Standard</v>
      </c>
      <c r="M1010" t="str">
        <f t="shared" si="110"/>
        <v>CP207-RETURN - 1st don of the week -STD</v>
      </c>
    </row>
    <row r="1011" spans="1:13" x14ac:dyDescent="0.25">
      <c r="A1011" t="str">
        <f t="shared" si="111"/>
        <v>CP207-RETURN - 1st don of the week -STD</v>
      </c>
      <c r="B1011" t="s">
        <v>146</v>
      </c>
      <c r="C1011" t="str">
        <f t="shared" si="105"/>
        <v>Farmington</v>
      </c>
      <c r="D1011" t="str">
        <f t="shared" si="106"/>
        <v>Y</v>
      </c>
      <c r="E1011" t="s">
        <v>622</v>
      </c>
      <c r="F1011" t="str">
        <f t="shared" si="107"/>
        <v>RETURN - 1st don of the week -STD</v>
      </c>
      <c r="G1011" t="str">
        <f t="shared" si="108"/>
        <v>Marketing</v>
      </c>
      <c r="H1011" t="s">
        <v>584</v>
      </c>
      <c r="I1011">
        <f t="shared" si="109"/>
        <v>23</v>
      </c>
      <c r="J1011" t="s">
        <v>579</v>
      </c>
      <c r="K1011" s="5">
        <v>53</v>
      </c>
      <c r="L1011" t="str">
        <f>Table_DataFromNL[[#This Row],[PROFILECODE]]&amp;"-"&amp;Table_DataFromNL[[#This Row],[RULENAME]]</f>
        <v>CP207-P NSP NS Standard</v>
      </c>
      <c r="M1011" t="str">
        <f t="shared" si="110"/>
        <v>CP207-RETURN - 1st don of the week -STD</v>
      </c>
    </row>
    <row r="1012" spans="1:13" x14ac:dyDescent="0.25">
      <c r="A1012" t="str">
        <f t="shared" si="111"/>
        <v>CP207-P VZV Pre-Existing AP</v>
      </c>
      <c r="B1012" t="s">
        <v>146</v>
      </c>
      <c r="C1012" t="str">
        <f t="shared" si="105"/>
        <v>Farmington</v>
      </c>
      <c r="D1012" t="str">
        <f t="shared" si="106"/>
        <v>Y</v>
      </c>
      <c r="E1012" t="s">
        <v>622</v>
      </c>
      <c r="F1012" t="str">
        <f t="shared" si="107"/>
        <v>P VZV Pre-Existing AP</v>
      </c>
      <c r="G1012" t="str">
        <f t="shared" si="108"/>
        <v>Specialty</v>
      </c>
      <c r="H1012" t="s">
        <v>495</v>
      </c>
      <c r="I1012" t="str">
        <f t="shared" si="109"/>
        <v>RETURN - 1st don of the week -STD</v>
      </c>
      <c r="J1012" t="s">
        <v>579</v>
      </c>
      <c r="K1012" s="5">
        <v>63</v>
      </c>
      <c r="L1012" t="str">
        <f>Table_DataFromNL[[#This Row],[PROFILECODE]]&amp;"-"&amp;Table_DataFromNL[[#This Row],[RULENAME]]</f>
        <v>CP207-P VZV Pre-Existing AP</v>
      </c>
      <c r="M1012" t="str">
        <f t="shared" si="110"/>
        <v>CP207-P VZV Pre-Existing AP</v>
      </c>
    </row>
    <row r="1013" spans="1:13" x14ac:dyDescent="0.25">
      <c r="A1013" t="str">
        <f t="shared" si="111"/>
        <v>CP207-P VZV Standard</v>
      </c>
      <c r="B1013" t="s">
        <v>146</v>
      </c>
      <c r="C1013" t="str">
        <f t="shared" si="105"/>
        <v>Farmington</v>
      </c>
      <c r="D1013" t="str">
        <f t="shared" si="106"/>
        <v>Y</v>
      </c>
      <c r="E1013" t="s">
        <v>622</v>
      </c>
      <c r="F1013" t="str">
        <f t="shared" si="107"/>
        <v>P VZV Standard</v>
      </c>
      <c r="G1013" t="str">
        <f t="shared" si="108"/>
        <v>Specialty</v>
      </c>
      <c r="H1013" t="s">
        <v>496</v>
      </c>
      <c r="I1013" t="str">
        <f t="shared" si="109"/>
        <v>RETURN - 1st don of the week -STD</v>
      </c>
      <c r="J1013" t="s">
        <v>579</v>
      </c>
      <c r="K1013" s="5">
        <v>63</v>
      </c>
      <c r="L1013" t="str">
        <f>Table_DataFromNL[[#This Row],[PROFILECODE]]&amp;"-"&amp;Table_DataFromNL[[#This Row],[RULENAME]]</f>
        <v>CP207-P VZV Standard</v>
      </c>
      <c r="M1013" t="str">
        <f t="shared" si="110"/>
        <v>CP207-P VZV Standard</v>
      </c>
    </row>
    <row r="1014" spans="1:13" x14ac:dyDescent="0.25">
      <c r="A1014" t="str">
        <f t="shared" si="111"/>
        <v>CP207-PVZV Pre-Existing Standard</v>
      </c>
      <c r="B1014" t="s">
        <v>146</v>
      </c>
      <c r="C1014" t="str">
        <f t="shared" si="105"/>
        <v>Farmington</v>
      </c>
      <c r="D1014" t="str">
        <f t="shared" si="106"/>
        <v>Y</v>
      </c>
      <c r="E1014" t="s">
        <v>622</v>
      </c>
      <c r="F1014" t="str">
        <f t="shared" si="107"/>
        <v>PVZV Pre-Existing Standard</v>
      </c>
      <c r="G1014" t="str">
        <f t="shared" si="108"/>
        <v>Specialty</v>
      </c>
      <c r="H1014" t="s">
        <v>497</v>
      </c>
      <c r="I1014" t="str">
        <f t="shared" si="109"/>
        <v>RETURN - 1st don of the week -STD</v>
      </c>
      <c r="J1014" t="s">
        <v>579</v>
      </c>
      <c r="K1014" s="5">
        <v>63</v>
      </c>
      <c r="L1014" t="str">
        <f>Table_DataFromNL[[#This Row],[PROFILECODE]]&amp;"-"&amp;Table_DataFromNL[[#This Row],[RULENAME]]</f>
        <v>CP207-PVZV Pre-Existing Standard</v>
      </c>
      <c r="M1014" t="str">
        <f t="shared" si="110"/>
        <v>CP207-PVZV Pre-Existing Standard</v>
      </c>
    </row>
    <row r="1015" spans="1:13" x14ac:dyDescent="0.25">
      <c r="A1015" t="str">
        <f t="shared" si="111"/>
        <v>CP208-1st Responder-Medical</v>
      </c>
      <c r="B1015" t="s">
        <v>304</v>
      </c>
      <c r="C1015" t="str">
        <f t="shared" si="105"/>
        <v>Flagstaff</v>
      </c>
      <c r="D1015" t="str">
        <f t="shared" si="106"/>
        <v>Y</v>
      </c>
      <c r="E1015" t="s">
        <v>623</v>
      </c>
      <c r="F1015" t="str">
        <f t="shared" si="107"/>
        <v>1st Responder-Medical</v>
      </c>
      <c r="G1015">
        <f t="shared" si="108"/>
        <v>0</v>
      </c>
      <c r="H1015" t="s">
        <v>545</v>
      </c>
      <c r="I1015">
        <f t="shared" si="109"/>
        <v>0</v>
      </c>
      <c r="J1015" t="s">
        <v>546</v>
      </c>
      <c r="K1015" s="5">
        <v>5</v>
      </c>
      <c r="L1015" t="str">
        <f>Table_DataFromNL[[#This Row],[PROFILECODE]]&amp;"-"&amp;Table_DataFromNL[[#This Row],[RULENAME]]</f>
        <v>CP208-1st Responder-Medical</v>
      </c>
      <c r="M1015" t="e">
        <f t="shared" si="110"/>
        <v>#N/A</v>
      </c>
    </row>
    <row r="1016" spans="1:13" x14ac:dyDescent="0.25">
      <c r="A1016" t="str">
        <f t="shared" si="111"/>
        <v>CP208-College ID Standard Bonus</v>
      </c>
      <c r="B1016" t="s">
        <v>304</v>
      </c>
      <c r="C1016" t="str">
        <f t="shared" si="105"/>
        <v>Flagstaff</v>
      </c>
      <c r="D1016" t="str">
        <f t="shared" si="106"/>
        <v>Y</v>
      </c>
      <c r="E1016" t="s">
        <v>623</v>
      </c>
      <c r="F1016" t="str">
        <f t="shared" si="107"/>
        <v>College ID Standard Bonus</v>
      </c>
      <c r="G1016">
        <f t="shared" si="108"/>
        <v>0</v>
      </c>
      <c r="H1016" t="s">
        <v>553</v>
      </c>
      <c r="I1016">
        <f t="shared" si="109"/>
        <v>0</v>
      </c>
      <c r="J1016" t="s">
        <v>546</v>
      </c>
      <c r="K1016" s="5">
        <v>5</v>
      </c>
      <c r="L1016" t="str">
        <f>Table_DataFromNL[[#This Row],[PROFILECODE]]&amp;"-"&amp;Table_DataFromNL[[#This Row],[RULENAME]]</f>
        <v>CP208-College ID Standard Bonus</v>
      </c>
      <c r="M1016" t="e">
        <f t="shared" si="110"/>
        <v>#N/A</v>
      </c>
    </row>
    <row r="1017" spans="1:13" x14ac:dyDescent="0.25">
      <c r="A1017" t="str">
        <f t="shared" si="111"/>
        <v>CP208-Military ID</v>
      </c>
      <c r="B1017" t="s">
        <v>304</v>
      </c>
      <c r="C1017" t="str">
        <f t="shared" si="105"/>
        <v>Flagstaff</v>
      </c>
      <c r="D1017" t="str">
        <f t="shared" si="106"/>
        <v>Y</v>
      </c>
      <c r="E1017" t="s">
        <v>623</v>
      </c>
      <c r="F1017" t="str">
        <f t="shared" si="107"/>
        <v>Military ID</v>
      </c>
      <c r="G1017">
        <f t="shared" si="108"/>
        <v>0</v>
      </c>
      <c r="H1017" t="s">
        <v>554</v>
      </c>
      <c r="I1017">
        <f t="shared" si="109"/>
        <v>0</v>
      </c>
      <c r="J1017" t="s">
        <v>546</v>
      </c>
      <c r="K1017" s="5">
        <v>5</v>
      </c>
      <c r="L1017" t="str">
        <f>Table_DataFromNL[[#This Row],[PROFILECODE]]&amp;"-"&amp;Table_DataFromNL[[#This Row],[RULENAME]]</f>
        <v>CP208-Military ID</v>
      </c>
      <c r="M1017" t="e">
        <f t="shared" si="110"/>
        <v>#N/A</v>
      </c>
    </row>
    <row r="1018" spans="1:13" x14ac:dyDescent="0.25">
      <c r="A1018" t="str">
        <f t="shared" si="111"/>
        <v>CP208-NEW DONOR -1st</v>
      </c>
      <c r="B1018" t="s">
        <v>304</v>
      </c>
      <c r="C1018" t="str">
        <f t="shared" si="105"/>
        <v>Flagstaff</v>
      </c>
      <c r="D1018" t="str">
        <f t="shared" si="106"/>
        <v>Y</v>
      </c>
      <c r="E1018" t="s">
        <v>623</v>
      </c>
      <c r="F1018" t="str">
        <f t="shared" si="107"/>
        <v>NEW DONOR -1st</v>
      </c>
      <c r="G1018" t="str">
        <f t="shared" si="108"/>
        <v>Marketing</v>
      </c>
      <c r="H1018" t="s">
        <v>555</v>
      </c>
      <c r="I1018">
        <f t="shared" si="109"/>
        <v>1</v>
      </c>
      <c r="J1018" t="s">
        <v>546</v>
      </c>
      <c r="K1018" s="5">
        <v>45</v>
      </c>
      <c r="L1018" t="str">
        <f>Table_DataFromNL[[#This Row],[PROFILECODE]]&amp;"-"&amp;Table_DataFromNL[[#This Row],[RULENAME]]</f>
        <v>CP208-New Donor 1st Visit-Bonus</v>
      </c>
      <c r="M1018" t="str">
        <f t="shared" si="110"/>
        <v>CP208-NEW DONOR -1st</v>
      </c>
    </row>
    <row r="1019" spans="1:13" x14ac:dyDescent="0.25">
      <c r="A1019" t="str">
        <f t="shared" si="111"/>
        <v>CP208-NEW DONOR -2nd</v>
      </c>
      <c r="B1019" t="s">
        <v>304</v>
      </c>
      <c r="C1019" t="str">
        <f t="shared" si="105"/>
        <v>Flagstaff</v>
      </c>
      <c r="D1019" t="str">
        <f t="shared" si="106"/>
        <v>Y</v>
      </c>
      <c r="E1019" t="s">
        <v>623</v>
      </c>
      <c r="F1019" t="str">
        <f t="shared" si="107"/>
        <v>NEW DONOR -2nd</v>
      </c>
      <c r="G1019" t="str">
        <f t="shared" si="108"/>
        <v>Marketing</v>
      </c>
      <c r="H1019" t="s">
        <v>556</v>
      </c>
      <c r="I1019">
        <f t="shared" si="109"/>
        <v>2</v>
      </c>
      <c r="J1019" t="s">
        <v>546</v>
      </c>
      <c r="K1019" s="5">
        <v>45</v>
      </c>
      <c r="L1019" t="str">
        <f>Table_DataFromNL[[#This Row],[PROFILECODE]]&amp;"-"&amp;Table_DataFromNL[[#This Row],[RULENAME]]</f>
        <v>CP208-New Donor 2nd Visit-Bonus</v>
      </c>
      <c r="M1019" t="str">
        <f t="shared" si="110"/>
        <v>CP208-NEW DONOR -2nd</v>
      </c>
    </row>
    <row r="1020" spans="1:13" x14ac:dyDescent="0.25">
      <c r="A1020" t="str">
        <f t="shared" si="111"/>
        <v>CP208-NEW DONOR -3rd</v>
      </c>
      <c r="B1020" t="s">
        <v>304</v>
      </c>
      <c r="C1020" t="str">
        <f t="shared" si="105"/>
        <v>Flagstaff</v>
      </c>
      <c r="D1020" t="str">
        <f t="shared" si="106"/>
        <v>Y</v>
      </c>
      <c r="E1020" t="s">
        <v>623</v>
      </c>
      <c r="F1020" t="str">
        <f t="shared" si="107"/>
        <v>NEW DONOR -3rd</v>
      </c>
      <c r="G1020" t="str">
        <f t="shared" si="108"/>
        <v>Marketing</v>
      </c>
      <c r="H1020" t="s">
        <v>557</v>
      </c>
      <c r="I1020">
        <f t="shared" si="109"/>
        <v>3</v>
      </c>
      <c r="J1020" t="s">
        <v>546</v>
      </c>
      <c r="K1020" s="5">
        <v>45</v>
      </c>
      <c r="L1020" t="str">
        <f>Table_DataFromNL[[#This Row],[PROFILECODE]]&amp;"-"&amp;Table_DataFromNL[[#This Row],[RULENAME]]</f>
        <v>CP208-New Donor 3rd Visit-Bonus</v>
      </c>
      <c r="M1020" t="str">
        <f t="shared" si="110"/>
        <v>CP208-NEW DONOR -3rd</v>
      </c>
    </row>
    <row r="1021" spans="1:13" x14ac:dyDescent="0.25">
      <c r="A1021" t="str">
        <f t="shared" si="111"/>
        <v>CP208-NEW DONOR -4th</v>
      </c>
      <c r="B1021" t="s">
        <v>304</v>
      </c>
      <c r="C1021" t="str">
        <f t="shared" si="105"/>
        <v>Flagstaff</v>
      </c>
      <c r="D1021" t="str">
        <f t="shared" si="106"/>
        <v>Y</v>
      </c>
      <c r="E1021" t="s">
        <v>623</v>
      </c>
      <c r="F1021" t="str">
        <f t="shared" si="107"/>
        <v>NEW DONOR -4th</v>
      </c>
      <c r="G1021" t="str">
        <f t="shared" si="108"/>
        <v>Marketing</v>
      </c>
      <c r="H1021" t="s">
        <v>558</v>
      </c>
      <c r="I1021">
        <f t="shared" si="109"/>
        <v>4</v>
      </c>
      <c r="J1021" t="s">
        <v>546</v>
      </c>
      <c r="K1021" s="5">
        <v>45</v>
      </c>
      <c r="L1021" t="str">
        <f>Table_DataFromNL[[#This Row],[PROFILECODE]]&amp;"-"&amp;Table_DataFromNL[[#This Row],[RULENAME]]</f>
        <v>CP208-New Donor 4th Visit-Bonus</v>
      </c>
      <c r="M1021" t="str">
        <f t="shared" si="110"/>
        <v>CP208-NEW DONOR -4th</v>
      </c>
    </row>
    <row r="1022" spans="1:13" x14ac:dyDescent="0.25">
      <c r="A1022" t="str">
        <f t="shared" si="111"/>
        <v>CP208-NEW DONOR -5th</v>
      </c>
      <c r="B1022" t="s">
        <v>304</v>
      </c>
      <c r="C1022" t="str">
        <f t="shared" si="105"/>
        <v>Flagstaff</v>
      </c>
      <c r="D1022" t="str">
        <f t="shared" si="106"/>
        <v>Y</v>
      </c>
      <c r="E1022" t="s">
        <v>623</v>
      </c>
      <c r="F1022" t="str">
        <f t="shared" si="107"/>
        <v>NEW DONOR -5th</v>
      </c>
      <c r="G1022" t="str">
        <f t="shared" si="108"/>
        <v>Marketing</v>
      </c>
      <c r="H1022" t="s">
        <v>559</v>
      </c>
      <c r="I1022">
        <f t="shared" si="109"/>
        <v>5</v>
      </c>
      <c r="J1022" t="s">
        <v>546</v>
      </c>
      <c r="K1022" s="5">
        <v>45</v>
      </c>
      <c r="L1022" t="str">
        <f>Table_DataFromNL[[#This Row],[PROFILECODE]]&amp;"-"&amp;Table_DataFromNL[[#This Row],[RULENAME]]</f>
        <v>CP208-New Donor 5th Visit-Bonus</v>
      </c>
      <c r="M1022" t="str">
        <f t="shared" si="110"/>
        <v>CP208-NEW DONOR -5th</v>
      </c>
    </row>
    <row r="1023" spans="1:13" x14ac:dyDescent="0.25">
      <c r="A1023" t="str">
        <f t="shared" si="111"/>
        <v>CP208-NEW DONOR -6th</v>
      </c>
      <c r="B1023" t="s">
        <v>304</v>
      </c>
      <c r="C1023" t="str">
        <f t="shared" si="105"/>
        <v>Flagstaff</v>
      </c>
      <c r="D1023" t="str">
        <f t="shared" si="106"/>
        <v>Y</v>
      </c>
      <c r="E1023" t="s">
        <v>623</v>
      </c>
      <c r="F1023" t="str">
        <f t="shared" si="107"/>
        <v>NEW DONOR -6th</v>
      </c>
      <c r="G1023" t="str">
        <f t="shared" si="108"/>
        <v>Marketing</v>
      </c>
      <c r="H1023" t="s">
        <v>560</v>
      </c>
      <c r="I1023">
        <f t="shared" si="109"/>
        <v>6</v>
      </c>
      <c r="J1023" t="s">
        <v>546</v>
      </c>
      <c r="K1023" s="5">
        <v>45</v>
      </c>
      <c r="L1023" t="str">
        <f>Table_DataFromNL[[#This Row],[PROFILECODE]]&amp;"-"&amp;Table_DataFromNL[[#This Row],[RULENAME]]</f>
        <v>CP208-New Donor 6th Visit-Bonus</v>
      </c>
      <c r="M1023" t="str">
        <f t="shared" si="110"/>
        <v>CP208-NEW DONOR -6th</v>
      </c>
    </row>
    <row r="1024" spans="1:13" x14ac:dyDescent="0.25">
      <c r="A1024" t="str">
        <f t="shared" si="111"/>
        <v>CP208-NEW DONOR -7th</v>
      </c>
      <c r="B1024" t="s">
        <v>304</v>
      </c>
      <c r="C1024" t="str">
        <f t="shared" si="105"/>
        <v>Flagstaff</v>
      </c>
      <c r="D1024" t="str">
        <f t="shared" si="106"/>
        <v>Y</v>
      </c>
      <c r="E1024" t="s">
        <v>623</v>
      </c>
      <c r="F1024" t="str">
        <f t="shared" si="107"/>
        <v>NEW DONOR -7th</v>
      </c>
      <c r="G1024" t="str">
        <f t="shared" si="108"/>
        <v>Marketing</v>
      </c>
      <c r="H1024" t="s">
        <v>561</v>
      </c>
      <c r="I1024">
        <f t="shared" si="109"/>
        <v>7</v>
      </c>
      <c r="J1024" t="s">
        <v>546</v>
      </c>
      <c r="K1024" s="5">
        <v>45</v>
      </c>
      <c r="L1024" t="str">
        <f>Table_DataFromNL[[#This Row],[PROFILECODE]]&amp;"-"&amp;Table_DataFromNL[[#This Row],[RULENAME]]</f>
        <v>CP208-New Donor 7th Visit-Bonus</v>
      </c>
      <c r="M1024" t="str">
        <f t="shared" si="110"/>
        <v>CP208-NEW DONOR -7th</v>
      </c>
    </row>
    <row r="1025" spans="1:13" x14ac:dyDescent="0.25">
      <c r="A1025" t="str">
        <f t="shared" si="111"/>
        <v>CP208-NEW DONOR -8th</v>
      </c>
      <c r="B1025" t="s">
        <v>304</v>
      </c>
      <c r="C1025" t="str">
        <f t="shared" si="105"/>
        <v>Flagstaff</v>
      </c>
      <c r="D1025" t="str">
        <f t="shared" si="106"/>
        <v>Y</v>
      </c>
      <c r="E1025" t="s">
        <v>623</v>
      </c>
      <c r="F1025" t="str">
        <f t="shared" si="107"/>
        <v>NEW DONOR -8th</v>
      </c>
      <c r="G1025" t="str">
        <f t="shared" si="108"/>
        <v>Marketing</v>
      </c>
      <c r="H1025" t="s">
        <v>562</v>
      </c>
      <c r="I1025">
        <f t="shared" si="109"/>
        <v>8</v>
      </c>
      <c r="J1025" t="s">
        <v>546</v>
      </c>
      <c r="K1025" s="5">
        <v>45</v>
      </c>
      <c r="L1025" t="str">
        <f>Table_DataFromNL[[#This Row],[PROFILECODE]]&amp;"-"&amp;Table_DataFromNL[[#This Row],[RULENAME]]</f>
        <v>CP208-New Donor 8th Visit-Bonus</v>
      </c>
      <c r="M1025" t="str">
        <f t="shared" si="110"/>
        <v>CP208-NEW DONOR -8th</v>
      </c>
    </row>
    <row r="1026" spans="1:13" x14ac:dyDescent="0.25">
      <c r="A1026" t="str">
        <f t="shared" si="111"/>
        <v>CP208-Vaccinia - 1st Donation</v>
      </c>
      <c r="B1026" t="s">
        <v>304</v>
      </c>
      <c r="C1026" t="str">
        <f t="shared" ref="C1026:C1089" si="112">VLOOKUP(B1026,CenterLU,2,FALSE)</f>
        <v>Flagstaff</v>
      </c>
      <c r="D1026" t="str">
        <f t="shared" ref="D1026:D1089" si="113">VLOOKUP(B1026,CenterLU,3,FALSE)</f>
        <v>Y</v>
      </c>
      <c r="E1026" t="s">
        <v>623</v>
      </c>
      <c r="F1026" t="str">
        <f t="shared" ref="F1026:F1089" si="114">IF(VLOOKUP(H1026,RULENAMELU,3,FALSE)=0,H1026,VLOOKUP(H1026,RULENAMELU,3,FALSE))</f>
        <v>Vaccinia - 1st Donation</v>
      </c>
      <c r="G1026" t="str">
        <f t="shared" ref="G1026:G1089" si="115">VLOOKUP(H1026,RULENAMELU,4,FALSE)</f>
        <v>Specialty</v>
      </c>
      <c r="H1026" t="s">
        <v>477</v>
      </c>
      <c r="I1026">
        <f t="shared" ref="I1026:I1089" si="116">VLOOKUP(H1026,RULENAMELU,5,FALSE)</f>
        <v>0</v>
      </c>
      <c r="J1026" t="s">
        <v>546</v>
      </c>
      <c r="K1026" s="5">
        <v>150</v>
      </c>
      <c r="L1026" t="str">
        <f>Table_DataFromNL[[#This Row],[PROFILECODE]]&amp;"-"&amp;Table_DataFromNL[[#This Row],[RULENAME]]</f>
        <v>CP208-Vaccinia - 1st Donation</v>
      </c>
      <c r="M1026" t="str">
        <f t="shared" ref="M1026:M1089" si="117">IFERROR(VLOOKUP(A1026,PaychangesLU,1,FALSE),VLOOKUP(A1026,SpecialtyCheckLU,1,FALSE))</f>
        <v>CP208-Vaccinia - 1st Donation</v>
      </c>
    </row>
    <row r="1027" spans="1:13" x14ac:dyDescent="0.25">
      <c r="A1027" t="str">
        <f t="shared" ref="A1027:A1090" si="118">B1027&amp;"-"&amp;F1027</f>
        <v>CP208-Vaccinia - 2nd Donation</v>
      </c>
      <c r="B1027" t="s">
        <v>304</v>
      </c>
      <c r="C1027" t="str">
        <f t="shared" si="112"/>
        <v>Flagstaff</v>
      </c>
      <c r="D1027" t="str">
        <f t="shared" si="113"/>
        <v>Y</v>
      </c>
      <c r="E1027" t="s">
        <v>623</v>
      </c>
      <c r="F1027" t="str">
        <f t="shared" si="114"/>
        <v>Vaccinia - 2nd Donation</v>
      </c>
      <c r="G1027" t="str">
        <f t="shared" si="115"/>
        <v>Specialty</v>
      </c>
      <c r="H1027" t="s">
        <v>478</v>
      </c>
      <c r="I1027">
        <f t="shared" si="116"/>
        <v>0</v>
      </c>
      <c r="J1027" t="s">
        <v>546</v>
      </c>
      <c r="K1027" s="5">
        <v>250</v>
      </c>
      <c r="L1027" t="str">
        <f>Table_DataFromNL[[#This Row],[PROFILECODE]]&amp;"-"&amp;Table_DataFromNL[[#This Row],[RULENAME]]</f>
        <v>CP208-Vaccinia - 2nd Donation</v>
      </c>
      <c r="M1027" t="str">
        <f t="shared" si="117"/>
        <v>CP208-Vaccinia - 2nd Donation</v>
      </c>
    </row>
    <row r="1028" spans="1:13" x14ac:dyDescent="0.25">
      <c r="A1028" t="str">
        <f t="shared" si="118"/>
        <v>CP208-Vaccinia - 3rd Donation</v>
      </c>
      <c r="B1028" t="s">
        <v>304</v>
      </c>
      <c r="C1028" t="str">
        <f t="shared" si="112"/>
        <v>Flagstaff</v>
      </c>
      <c r="D1028" t="str">
        <f t="shared" si="113"/>
        <v>Y</v>
      </c>
      <c r="E1028" t="s">
        <v>623</v>
      </c>
      <c r="F1028" t="str">
        <f t="shared" si="114"/>
        <v>Vaccinia - 3rd Donation</v>
      </c>
      <c r="G1028" t="str">
        <f t="shared" si="115"/>
        <v>Specialty</v>
      </c>
      <c r="H1028" t="s">
        <v>479</v>
      </c>
      <c r="I1028">
        <f t="shared" si="116"/>
        <v>0</v>
      </c>
      <c r="J1028" t="s">
        <v>546</v>
      </c>
      <c r="K1028" s="5">
        <v>300</v>
      </c>
      <c r="L1028" t="str">
        <f>Table_DataFromNL[[#This Row],[PROFILECODE]]&amp;"-"&amp;Table_DataFromNL[[#This Row],[RULENAME]]</f>
        <v>CP208-Vaccinia - 3rd Donation</v>
      </c>
      <c r="M1028" t="str">
        <f t="shared" si="117"/>
        <v>CP208-Vaccinia - 3rd Donation</v>
      </c>
    </row>
    <row r="1029" spans="1:13" x14ac:dyDescent="0.25">
      <c r="A1029" t="str">
        <f t="shared" si="118"/>
        <v>CP208-Vaccinia - 4th Donation</v>
      </c>
      <c r="B1029" t="s">
        <v>304</v>
      </c>
      <c r="C1029" t="str">
        <f t="shared" si="112"/>
        <v>Flagstaff</v>
      </c>
      <c r="D1029" t="str">
        <f t="shared" si="113"/>
        <v>Y</v>
      </c>
      <c r="E1029" t="s">
        <v>623</v>
      </c>
      <c r="F1029" t="str">
        <f t="shared" si="114"/>
        <v>Vaccinia - 4th Donation</v>
      </c>
      <c r="G1029" t="str">
        <f t="shared" si="115"/>
        <v>Specialty</v>
      </c>
      <c r="H1029" t="s">
        <v>480</v>
      </c>
      <c r="I1029">
        <f t="shared" si="116"/>
        <v>0</v>
      </c>
      <c r="J1029" t="s">
        <v>546</v>
      </c>
      <c r="K1029" s="5">
        <v>300</v>
      </c>
      <c r="L1029" t="str">
        <f>Table_DataFromNL[[#This Row],[PROFILECODE]]&amp;"-"&amp;Table_DataFromNL[[#This Row],[RULENAME]]</f>
        <v>CP208-Vaccinia - 4th Donation</v>
      </c>
      <c r="M1029" t="str">
        <f t="shared" si="117"/>
        <v>CP208-Vaccinia - 4th Donation</v>
      </c>
    </row>
    <row r="1030" spans="1:13" x14ac:dyDescent="0.25">
      <c r="A1030" t="str">
        <f t="shared" si="118"/>
        <v>CP208-Vaccinia AP - 1st Donation</v>
      </c>
      <c r="B1030" t="s">
        <v>304</v>
      </c>
      <c r="C1030" t="str">
        <f t="shared" si="112"/>
        <v>Flagstaff</v>
      </c>
      <c r="D1030" t="str">
        <f t="shared" si="113"/>
        <v>Y</v>
      </c>
      <c r="E1030" t="s">
        <v>623</v>
      </c>
      <c r="F1030" t="str">
        <f t="shared" si="114"/>
        <v>Vaccinia AP - 1st Donation</v>
      </c>
      <c r="G1030" t="str">
        <f t="shared" si="115"/>
        <v>Specialty</v>
      </c>
      <c r="H1030" t="s">
        <v>481</v>
      </c>
      <c r="I1030">
        <f t="shared" si="116"/>
        <v>0</v>
      </c>
      <c r="J1030" t="s">
        <v>546</v>
      </c>
      <c r="K1030" s="5">
        <v>150</v>
      </c>
      <c r="L1030" t="str">
        <f>Table_DataFromNL[[#This Row],[PROFILECODE]]&amp;"-"&amp;Table_DataFromNL[[#This Row],[RULENAME]]</f>
        <v>CP208-Vaccinia AP - 1st Donation</v>
      </c>
      <c r="M1030" t="str">
        <f t="shared" si="117"/>
        <v>CP208-Vaccinia AP - 1st Donation</v>
      </c>
    </row>
    <row r="1031" spans="1:13" x14ac:dyDescent="0.25">
      <c r="A1031" t="str">
        <f t="shared" si="118"/>
        <v>CP208-Vaccinia AP - 2nd Donation</v>
      </c>
      <c r="B1031" t="s">
        <v>304</v>
      </c>
      <c r="C1031" t="str">
        <f t="shared" si="112"/>
        <v>Flagstaff</v>
      </c>
      <c r="D1031" t="str">
        <f t="shared" si="113"/>
        <v>Y</v>
      </c>
      <c r="E1031" t="s">
        <v>623</v>
      </c>
      <c r="F1031" t="str">
        <f t="shared" si="114"/>
        <v>Vaccinia AP - 2nd Donation</v>
      </c>
      <c r="G1031" t="str">
        <f t="shared" si="115"/>
        <v>Specialty</v>
      </c>
      <c r="H1031" t="s">
        <v>482</v>
      </c>
      <c r="I1031">
        <f t="shared" si="116"/>
        <v>0</v>
      </c>
      <c r="J1031" t="s">
        <v>546</v>
      </c>
      <c r="K1031" s="5">
        <v>250</v>
      </c>
      <c r="L1031" t="str">
        <f>Table_DataFromNL[[#This Row],[PROFILECODE]]&amp;"-"&amp;Table_DataFromNL[[#This Row],[RULENAME]]</f>
        <v>CP208-Vaccinia AP - 2nd Donation</v>
      </c>
      <c r="M1031" t="str">
        <f t="shared" si="117"/>
        <v>CP208-Vaccinia AP - 2nd Donation</v>
      </c>
    </row>
    <row r="1032" spans="1:13" x14ac:dyDescent="0.25">
      <c r="A1032" t="str">
        <f t="shared" si="118"/>
        <v>CP208-Vaccinia AP - 3rd Donation</v>
      </c>
      <c r="B1032" t="s">
        <v>304</v>
      </c>
      <c r="C1032" t="str">
        <f t="shared" si="112"/>
        <v>Flagstaff</v>
      </c>
      <c r="D1032" t="str">
        <f t="shared" si="113"/>
        <v>Y</v>
      </c>
      <c r="E1032" t="s">
        <v>623</v>
      </c>
      <c r="F1032" t="str">
        <f t="shared" si="114"/>
        <v>Vaccinia AP - 3rd Donation</v>
      </c>
      <c r="G1032" t="str">
        <f t="shared" si="115"/>
        <v>Specialty</v>
      </c>
      <c r="H1032" t="s">
        <v>483</v>
      </c>
      <c r="I1032">
        <f t="shared" si="116"/>
        <v>0</v>
      </c>
      <c r="J1032" t="s">
        <v>546</v>
      </c>
      <c r="K1032" s="5">
        <v>300</v>
      </c>
      <c r="L1032" t="str">
        <f>Table_DataFromNL[[#This Row],[PROFILECODE]]&amp;"-"&amp;Table_DataFromNL[[#This Row],[RULENAME]]</f>
        <v>CP208-Vaccinia AP - 3rd Donation</v>
      </c>
      <c r="M1032" t="str">
        <f t="shared" si="117"/>
        <v>CP208-Vaccinia AP - 3rd Donation</v>
      </c>
    </row>
    <row r="1033" spans="1:13" x14ac:dyDescent="0.25">
      <c r="A1033" t="str">
        <f t="shared" si="118"/>
        <v>CP208-Vaccinia AP - 4th Donation</v>
      </c>
      <c r="B1033" t="s">
        <v>304</v>
      </c>
      <c r="C1033" t="str">
        <f t="shared" si="112"/>
        <v>Flagstaff</v>
      </c>
      <c r="D1033" t="str">
        <f t="shared" si="113"/>
        <v>Y</v>
      </c>
      <c r="E1033" t="s">
        <v>623</v>
      </c>
      <c r="F1033" t="str">
        <f t="shared" si="114"/>
        <v>Vaccinia AP - 4th Donation</v>
      </c>
      <c r="G1033" t="str">
        <f t="shared" si="115"/>
        <v>Specialty</v>
      </c>
      <c r="H1033" t="s">
        <v>484</v>
      </c>
      <c r="I1033">
        <f t="shared" si="116"/>
        <v>0</v>
      </c>
      <c r="J1033" t="s">
        <v>546</v>
      </c>
      <c r="K1033" s="5">
        <v>300</v>
      </c>
      <c r="L1033" t="str">
        <f>Table_DataFromNL[[#This Row],[PROFILECODE]]&amp;"-"&amp;Table_DataFromNL[[#This Row],[RULENAME]]</f>
        <v>CP208-Vaccinia AP - 4th Donation</v>
      </c>
      <c r="M1033" t="str">
        <f t="shared" si="117"/>
        <v>CP208-Vaccinia AP - 4th Donation</v>
      </c>
    </row>
    <row r="1034" spans="1:13" x14ac:dyDescent="0.25">
      <c r="A1034" t="str">
        <f t="shared" si="118"/>
        <v>CP208-Community</v>
      </c>
      <c r="B1034" t="s">
        <v>304</v>
      </c>
      <c r="C1034" t="str">
        <f t="shared" si="112"/>
        <v>Flagstaff</v>
      </c>
      <c r="D1034" t="str">
        <f t="shared" si="113"/>
        <v>Y</v>
      </c>
      <c r="E1034" t="s">
        <v>623</v>
      </c>
      <c r="F1034" t="str">
        <f t="shared" si="114"/>
        <v>Community</v>
      </c>
      <c r="G1034">
        <f t="shared" si="115"/>
        <v>0</v>
      </c>
      <c r="H1034" t="s">
        <v>563</v>
      </c>
      <c r="I1034">
        <f t="shared" si="116"/>
        <v>0</v>
      </c>
      <c r="J1034" t="s">
        <v>564</v>
      </c>
      <c r="K1034" s="5">
        <v>5</v>
      </c>
      <c r="L1034" t="str">
        <f>Table_DataFromNL[[#This Row],[PROFILECODE]]&amp;"-"&amp;Table_DataFromNL[[#This Row],[RULENAME]]</f>
        <v>CP208-Community</v>
      </c>
      <c r="M1034" t="e">
        <f t="shared" si="117"/>
        <v>#N/A</v>
      </c>
    </row>
    <row r="1035" spans="1:13" x14ac:dyDescent="0.25">
      <c r="A1035" t="str">
        <f t="shared" si="118"/>
        <v>CP208-HANGER_RECRUIT_5USD_once</v>
      </c>
      <c r="B1035" t="s">
        <v>304</v>
      </c>
      <c r="C1035" t="str">
        <f t="shared" si="112"/>
        <v>Flagstaff</v>
      </c>
      <c r="D1035" t="str">
        <f t="shared" si="113"/>
        <v>Y</v>
      </c>
      <c r="E1035" t="s">
        <v>623</v>
      </c>
      <c r="F1035" t="str">
        <f t="shared" si="114"/>
        <v>HANGER_RECRUIT_5USD_once</v>
      </c>
      <c r="G1035">
        <f t="shared" si="115"/>
        <v>0</v>
      </c>
      <c r="H1035" t="s">
        <v>565</v>
      </c>
      <c r="I1035">
        <f t="shared" si="116"/>
        <v>0</v>
      </c>
      <c r="J1035" t="s">
        <v>564</v>
      </c>
      <c r="K1035" s="5">
        <v>5</v>
      </c>
      <c r="L1035" t="str">
        <f>Table_DataFromNL[[#This Row],[PROFILECODE]]&amp;"-"&amp;Table_DataFromNL[[#This Row],[RULENAME]]</f>
        <v>CP208-HANGER_RECRUIT_5USD_once</v>
      </c>
      <c r="M1035" t="e">
        <f t="shared" si="117"/>
        <v>#N/A</v>
      </c>
    </row>
    <row r="1036" spans="1:13" x14ac:dyDescent="0.25">
      <c r="A1036" t="str">
        <f t="shared" si="118"/>
        <v>CP208-Immunization Boost Payment</v>
      </c>
      <c r="B1036" t="s">
        <v>304</v>
      </c>
      <c r="C1036" t="str">
        <f t="shared" si="112"/>
        <v>Flagstaff</v>
      </c>
      <c r="D1036" t="str">
        <f t="shared" si="113"/>
        <v>Y</v>
      </c>
      <c r="E1036" t="s">
        <v>623</v>
      </c>
      <c r="F1036" t="str">
        <f t="shared" si="114"/>
        <v>Immunization Boost Payment</v>
      </c>
      <c r="G1036">
        <f t="shared" si="115"/>
        <v>0</v>
      </c>
      <c r="H1036" t="s">
        <v>598</v>
      </c>
      <c r="I1036">
        <f t="shared" si="116"/>
        <v>0</v>
      </c>
      <c r="J1036" t="s">
        <v>564</v>
      </c>
      <c r="K1036" s="5">
        <v>50</v>
      </c>
      <c r="L1036" t="str">
        <f>Table_DataFromNL[[#This Row],[PROFILECODE]]&amp;"-"&amp;Table_DataFromNL[[#This Row],[RULENAME]]</f>
        <v>CP208-Immunization Boost Payment</v>
      </c>
      <c r="M1036" t="e">
        <f t="shared" si="117"/>
        <v>#N/A</v>
      </c>
    </row>
    <row r="1037" spans="1:13" x14ac:dyDescent="0.25">
      <c r="A1037" t="str">
        <f t="shared" si="118"/>
        <v>CP208-Immunization Series Payment</v>
      </c>
      <c r="B1037" t="s">
        <v>304</v>
      </c>
      <c r="C1037" t="str">
        <f t="shared" si="112"/>
        <v>Flagstaff</v>
      </c>
      <c r="D1037" t="str">
        <f t="shared" si="113"/>
        <v>Y</v>
      </c>
      <c r="E1037" t="s">
        <v>623</v>
      </c>
      <c r="F1037" t="str">
        <f t="shared" si="114"/>
        <v>Immunization Series Payment</v>
      </c>
      <c r="G1037">
        <f t="shared" si="115"/>
        <v>0</v>
      </c>
      <c r="H1037" t="s">
        <v>599</v>
      </c>
      <c r="I1037">
        <f t="shared" si="116"/>
        <v>0</v>
      </c>
      <c r="J1037" t="s">
        <v>564</v>
      </c>
      <c r="K1037" s="5">
        <v>100</v>
      </c>
      <c r="L1037" t="str">
        <f>Table_DataFromNL[[#This Row],[PROFILECODE]]&amp;"-"&amp;Table_DataFromNL[[#This Row],[RULENAME]]</f>
        <v>CP208-Immunization Series Payment</v>
      </c>
      <c r="M1037" t="e">
        <f t="shared" si="117"/>
        <v>#N/A</v>
      </c>
    </row>
    <row r="1038" spans="1:13" x14ac:dyDescent="0.25">
      <c r="A1038" t="str">
        <f t="shared" si="118"/>
        <v>CP208-Inconv Fee $20-$50-Comment Req'd</v>
      </c>
      <c r="B1038" t="s">
        <v>304</v>
      </c>
      <c r="C1038" t="str">
        <f t="shared" si="112"/>
        <v>Flagstaff</v>
      </c>
      <c r="D1038" t="str">
        <f t="shared" si="113"/>
        <v>Y</v>
      </c>
      <c r="E1038" t="s">
        <v>623</v>
      </c>
      <c r="F1038" t="str">
        <f t="shared" si="114"/>
        <v>Inconv Fee $20-$50-Comment Req'd</v>
      </c>
      <c r="G1038">
        <f t="shared" si="115"/>
        <v>0</v>
      </c>
      <c r="H1038" t="s">
        <v>566</v>
      </c>
      <c r="I1038">
        <f t="shared" si="116"/>
        <v>0</v>
      </c>
      <c r="J1038" t="s">
        <v>564</v>
      </c>
      <c r="K1038" s="5">
        <v>50</v>
      </c>
      <c r="L1038" t="str">
        <f>Table_DataFromNL[[#This Row],[PROFILECODE]]&amp;"-"&amp;Table_DataFromNL[[#This Row],[RULENAME]]</f>
        <v>CP208-Inconv Fee $20-$50-Comment Req'd</v>
      </c>
      <c r="M1038" t="e">
        <f t="shared" si="117"/>
        <v>#N/A</v>
      </c>
    </row>
    <row r="1039" spans="1:13" x14ac:dyDescent="0.25">
      <c r="A1039" t="str">
        <f t="shared" si="118"/>
        <v>CP208-Inconv Fee $5-$20-Comment Req'd</v>
      </c>
      <c r="B1039" t="s">
        <v>304</v>
      </c>
      <c r="C1039" t="str">
        <f t="shared" si="112"/>
        <v>Flagstaff</v>
      </c>
      <c r="D1039" t="str">
        <f t="shared" si="113"/>
        <v>Y</v>
      </c>
      <c r="E1039" t="s">
        <v>623</v>
      </c>
      <c r="F1039" t="str">
        <f t="shared" si="114"/>
        <v>Inconv Fee $5-$20-Comment Req'd</v>
      </c>
      <c r="G1039">
        <f t="shared" si="115"/>
        <v>0</v>
      </c>
      <c r="H1039" t="s">
        <v>567</v>
      </c>
      <c r="I1039">
        <f t="shared" si="116"/>
        <v>0</v>
      </c>
      <c r="J1039" t="s">
        <v>564</v>
      </c>
      <c r="K1039" s="5">
        <v>20</v>
      </c>
      <c r="L1039" t="str">
        <f>Table_DataFromNL[[#This Row],[PROFILECODE]]&amp;"-"&amp;Table_DataFromNL[[#This Row],[RULENAME]]</f>
        <v>CP208-Inconv Fee $5-$20-Comment Req'd</v>
      </c>
      <c r="M1039" t="e">
        <f t="shared" si="117"/>
        <v>#N/A</v>
      </c>
    </row>
    <row r="1040" spans="1:13" x14ac:dyDescent="0.25">
      <c r="A1040" t="str">
        <f t="shared" si="118"/>
        <v>CP208-Inconv Fee$50-$100-Comment Req'd</v>
      </c>
      <c r="B1040" t="s">
        <v>304</v>
      </c>
      <c r="C1040" t="str">
        <f t="shared" si="112"/>
        <v>Flagstaff</v>
      </c>
      <c r="D1040" t="str">
        <f t="shared" si="113"/>
        <v>Y</v>
      </c>
      <c r="E1040" t="s">
        <v>623</v>
      </c>
      <c r="F1040" t="str">
        <f t="shared" si="114"/>
        <v>Inconv Fee$50-$100-Comment Req'd</v>
      </c>
      <c r="G1040">
        <f t="shared" si="115"/>
        <v>0</v>
      </c>
      <c r="H1040" t="s">
        <v>568</v>
      </c>
      <c r="I1040">
        <f t="shared" si="116"/>
        <v>0</v>
      </c>
      <c r="J1040" t="s">
        <v>564</v>
      </c>
      <c r="K1040" s="5">
        <v>100</v>
      </c>
      <c r="L1040" t="str">
        <f>Table_DataFromNL[[#This Row],[PROFILECODE]]&amp;"-"&amp;Table_DataFromNL[[#This Row],[RULENAME]]</f>
        <v>CP208-Inconv Fee$50-$100-Comment Req'd</v>
      </c>
      <c r="M1040" t="e">
        <f t="shared" si="117"/>
        <v>#N/A</v>
      </c>
    </row>
    <row r="1041" spans="1:13" x14ac:dyDescent="0.25">
      <c r="A1041" t="str">
        <f t="shared" si="118"/>
        <v>CP208-NSP_ LAPSEDONOR_50_Twice</v>
      </c>
      <c r="B1041" t="s">
        <v>304</v>
      </c>
      <c r="C1041" t="str">
        <f t="shared" si="112"/>
        <v>Flagstaff</v>
      </c>
      <c r="D1041" t="str">
        <f t="shared" si="113"/>
        <v>Y</v>
      </c>
      <c r="E1041" t="s">
        <v>623</v>
      </c>
      <c r="F1041" t="str">
        <f t="shared" si="114"/>
        <v>NSP_ LAPSEDONOR_50_Twice</v>
      </c>
      <c r="G1041">
        <f t="shared" si="115"/>
        <v>0</v>
      </c>
      <c r="H1041" t="s">
        <v>569</v>
      </c>
      <c r="I1041">
        <f t="shared" si="116"/>
        <v>0</v>
      </c>
      <c r="J1041" t="s">
        <v>564</v>
      </c>
      <c r="K1041" s="5">
        <v>50</v>
      </c>
      <c r="L1041" t="str">
        <f>Table_DataFromNL[[#This Row],[PROFILECODE]]&amp;"-"&amp;Table_DataFromNL[[#This Row],[RULENAME]]</f>
        <v>CP208-NSP_ LAPSEDONOR_50_Twice</v>
      </c>
      <c r="M1041" t="e">
        <f t="shared" si="117"/>
        <v>#N/A</v>
      </c>
    </row>
    <row r="1042" spans="1:13" x14ac:dyDescent="0.25">
      <c r="A1042" t="str">
        <f t="shared" si="118"/>
        <v>CP208-NSP_LD_25_2X</v>
      </c>
      <c r="B1042" t="s">
        <v>304</v>
      </c>
      <c r="C1042" t="str">
        <f t="shared" si="112"/>
        <v>Flagstaff</v>
      </c>
      <c r="D1042" t="str">
        <f t="shared" si="113"/>
        <v>Y</v>
      </c>
      <c r="E1042" t="s">
        <v>623</v>
      </c>
      <c r="F1042" t="str">
        <f t="shared" si="114"/>
        <v>NSP_LD_25_2X</v>
      </c>
      <c r="G1042">
        <f t="shared" si="115"/>
        <v>0</v>
      </c>
      <c r="H1042" t="s">
        <v>570</v>
      </c>
      <c r="I1042">
        <f t="shared" si="116"/>
        <v>0</v>
      </c>
      <c r="J1042" t="s">
        <v>564</v>
      </c>
      <c r="K1042" s="5">
        <v>25</v>
      </c>
      <c r="L1042" t="str">
        <f>Table_DataFromNL[[#This Row],[PROFILECODE]]&amp;"-"&amp;Table_DataFromNL[[#This Row],[RULENAME]]</f>
        <v>CP208-NSP_LD_25_2X</v>
      </c>
      <c r="M1042" t="e">
        <f t="shared" si="117"/>
        <v>#N/A</v>
      </c>
    </row>
    <row r="1043" spans="1:13" x14ac:dyDescent="0.25">
      <c r="A1043" t="str">
        <f t="shared" si="118"/>
        <v>CP208-NSP_LD_50_1X</v>
      </c>
      <c r="B1043" t="s">
        <v>304</v>
      </c>
      <c r="C1043" t="str">
        <f t="shared" si="112"/>
        <v>Flagstaff</v>
      </c>
      <c r="D1043" t="str">
        <f t="shared" si="113"/>
        <v>Y</v>
      </c>
      <c r="E1043" t="s">
        <v>623</v>
      </c>
      <c r="F1043" t="str">
        <f t="shared" si="114"/>
        <v>NSP_LD_50_1X</v>
      </c>
      <c r="G1043">
        <f t="shared" si="115"/>
        <v>0</v>
      </c>
      <c r="H1043" t="s">
        <v>571</v>
      </c>
      <c r="I1043">
        <f t="shared" si="116"/>
        <v>0</v>
      </c>
      <c r="J1043" t="s">
        <v>564</v>
      </c>
      <c r="K1043" s="5">
        <v>50</v>
      </c>
      <c r="L1043" t="str">
        <f>Table_DataFromNL[[#This Row],[PROFILECODE]]&amp;"-"&amp;Table_DataFromNL[[#This Row],[RULENAME]]</f>
        <v>CP208-NSP_LD_50_1X</v>
      </c>
      <c r="M1043" t="e">
        <f t="shared" si="117"/>
        <v>#N/A</v>
      </c>
    </row>
    <row r="1044" spans="1:13" x14ac:dyDescent="0.25">
      <c r="A1044" t="str">
        <f t="shared" si="118"/>
        <v>CP208-NSP_ORPHAN_100_once</v>
      </c>
      <c r="B1044" t="s">
        <v>304</v>
      </c>
      <c r="C1044" t="str">
        <f t="shared" si="112"/>
        <v>Flagstaff</v>
      </c>
      <c r="D1044" t="str">
        <f t="shared" si="113"/>
        <v>Y</v>
      </c>
      <c r="E1044" t="s">
        <v>623</v>
      </c>
      <c r="F1044" t="str">
        <f t="shared" si="114"/>
        <v>NSP_ORPHAN_100_once</v>
      </c>
      <c r="G1044">
        <f t="shared" si="115"/>
        <v>0</v>
      </c>
      <c r="H1044" t="s">
        <v>572</v>
      </c>
      <c r="I1044">
        <f t="shared" si="116"/>
        <v>0</v>
      </c>
      <c r="J1044" t="s">
        <v>564</v>
      </c>
      <c r="K1044" s="5">
        <v>100</v>
      </c>
      <c r="L1044" t="str">
        <f>Table_DataFromNL[[#This Row],[PROFILECODE]]&amp;"-"&amp;Table_DataFromNL[[#This Row],[RULENAME]]</f>
        <v>CP208-NSP_ORPHAN_100_once</v>
      </c>
      <c r="M1044" t="e">
        <f t="shared" si="117"/>
        <v>#N/A</v>
      </c>
    </row>
    <row r="1045" spans="1:13" x14ac:dyDescent="0.25">
      <c r="A1045" t="str">
        <f t="shared" si="118"/>
        <v>CP208-Referral - Vaccinia</v>
      </c>
      <c r="B1045" t="s">
        <v>304</v>
      </c>
      <c r="C1045" t="str">
        <f t="shared" si="112"/>
        <v>Flagstaff</v>
      </c>
      <c r="D1045" t="str">
        <f t="shared" si="113"/>
        <v>Y</v>
      </c>
      <c r="E1045" t="s">
        <v>623</v>
      </c>
      <c r="F1045" t="str">
        <f t="shared" si="114"/>
        <v>Referral - Vaccinia</v>
      </c>
      <c r="G1045">
        <f t="shared" si="115"/>
        <v>0</v>
      </c>
      <c r="H1045" t="s">
        <v>595</v>
      </c>
      <c r="I1045">
        <f t="shared" si="116"/>
        <v>0</v>
      </c>
      <c r="J1045" t="s">
        <v>564</v>
      </c>
      <c r="K1045" s="5">
        <v>250</v>
      </c>
      <c r="L1045" t="str">
        <f>Table_DataFromNL[[#This Row],[PROFILECODE]]&amp;"-"&amp;Table_DataFromNL[[#This Row],[RULENAME]]</f>
        <v>CP208-Referral - Vaccinia</v>
      </c>
      <c r="M1045" t="e">
        <f t="shared" si="117"/>
        <v>#N/A</v>
      </c>
    </row>
    <row r="1046" spans="1:13" x14ac:dyDescent="0.25">
      <c r="A1046" t="str">
        <f t="shared" si="118"/>
        <v>CP208-Restick</v>
      </c>
      <c r="B1046" t="s">
        <v>304</v>
      </c>
      <c r="C1046" t="str">
        <f t="shared" si="112"/>
        <v>Flagstaff</v>
      </c>
      <c r="D1046" t="str">
        <f t="shared" si="113"/>
        <v>Y</v>
      </c>
      <c r="E1046" t="s">
        <v>623</v>
      </c>
      <c r="F1046" t="str">
        <f t="shared" si="114"/>
        <v>Restick</v>
      </c>
      <c r="G1046">
        <f t="shared" si="115"/>
        <v>0</v>
      </c>
      <c r="H1046" t="s">
        <v>573</v>
      </c>
      <c r="I1046">
        <f t="shared" si="116"/>
        <v>0</v>
      </c>
      <c r="J1046" t="s">
        <v>564</v>
      </c>
      <c r="K1046" s="5">
        <v>5</v>
      </c>
      <c r="L1046" t="str">
        <f>Table_DataFromNL[[#This Row],[PROFILECODE]]&amp;"-"&amp;Table_DataFromNL[[#This Row],[RULENAME]]</f>
        <v>CP208-Restick</v>
      </c>
      <c r="M1046" t="e">
        <f t="shared" si="117"/>
        <v>#N/A</v>
      </c>
    </row>
    <row r="1047" spans="1:13" x14ac:dyDescent="0.25">
      <c r="A1047" t="str">
        <f t="shared" si="118"/>
        <v>CP208-SLOW_TEXT_5</v>
      </c>
      <c r="B1047" t="s">
        <v>304</v>
      </c>
      <c r="C1047" t="str">
        <f t="shared" si="112"/>
        <v>Flagstaff</v>
      </c>
      <c r="D1047" t="str">
        <f t="shared" si="113"/>
        <v>Y</v>
      </c>
      <c r="E1047" t="s">
        <v>623</v>
      </c>
      <c r="F1047" t="str">
        <f t="shared" si="114"/>
        <v>SLOW_TEXT_5</v>
      </c>
      <c r="G1047">
        <f t="shared" si="115"/>
        <v>0</v>
      </c>
      <c r="H1047" t="s">
        <v>574</v>
      </c>
      <c r="I1047">
        <f t="shared" si="116"/>
        <v>0</v>
      </c>
      <c r="J1047" t="s">
        <v>564</v>
      </c>
      <c r="K1047" s="5">
        <v>5</v>
      </c>
      <c r="L1047" t="str">
        <f>Table_DataFromNL[[#This Row],[PROFILECODE]]&amp;"-"&amp;Table_DataFromNL[[#This Row],[RULENAME]]</f>
        <v>CP208-SLOW_TEXT_5</v>
      </c>
      <c r="M1047" t="e">
        <f t="shared" si="117"/>
        <v>#N/A</v>
      </c>
    </row>
    <row r="1048" spans="1:13" x14ac:dyDescent="0.25">
      <c r="A1048" t="str">
        <f t="shared" si="118"/>
        <v>CP208-Sample Only</v>
      </c>
      <c r="B1048" t="s">
        <v>304</v>
      </c>
      <c r="C1048" t="str">
        <f t="shared" si="112"/>
        <v>Flagstaff</v>
      </c>
      <c r="D1048" t="str">
        <f t="shared" si="113"/>
        <v>Y</v>
      </c>
      <c r="E1048" t="s">
        <v>623</v>
      </c>
      <c r="F1048" t="str">
        <f t="shared" si="114"/>
        <v>Sample Only</v>
      </c>
      <c r="G1048">
        <f t="shared" si="115"/>
        <v>0</v>
      </c>
      <c r="H1048" t="s">
        <v>575</v>
      </c>
      <c r="I1048">
        <f t="shared" si="116"/>
        <v>0</v>
      </c>
      <c r="J1048" t="s">
        <v>564</v>
      </c>
      <c r="K1048" s="5">
        <v>5</v>
      </c>
      <c r="L1048" t="str">
        <f>Table_DataFromNL[[#This Row],[PROFILECODE]]&amp;"-"&amp;Table_DataFromNL[[#This Row],[RULENAME]]</f>
        <v>CP208-Sample Only</v>
      </c>
      <c r="M1048" t="e">
        <f t="shared" si="117"/>
        <v>#N/A</v>
      </c>
    </row>
    <row r="1049" spans="1:13" x14ac:dyDescent="0.25">
      <c r="A1049" t="str">
        <f t="shared" si="118"/>
        <v>CP208-Unit Below 250 mL</v>
      </c>
      <c r="B1049" t="s">
        <v>304</v>
      </c>
      <c r="C1049" t="str">
        <f t="shared" si="112"/>
        <v>Flagstaff</v>
      </c>
      <c r="D1049" t="str">
        <f t="shared" si="113"/>
        <v>Y</v>
      </c>
      <c r="E1049" t="s">
        <v>623</v>
      </c>
      <c r="F1049" t="str">
        <f t="shared" si="114"/>
        <v>Unit Below 250 mL</v>
      </c>
      <c r="G1049">
        <f t="shared" si="115"/>
        <v>0</v>
      </c>
      <c r="H1049" t="s">
        <v>576</v>
      </c>
      <c r="I1049">
        <f t="shared" si="116"/>
        <v>0</v>
      </c>
      <c r="J1049" t="s">
        <v>564</v>
      </c>
      <c r="K1049" s="5">
        <v>5</v>
      </c>
      <c r="L1049" t="str">
        <f>Table_DataFromNL[[#This Row],[PROFILECODE]]&amp;"-"&amp;Table_DataFromNL[[#This Row],[RULENAME]]</f>
        <v>CP208-Unit Below 250 mL</v>
      </c>
      <c r="M1049" t="e">
        <f t="shared" si="117"/>
        <v>#N/A</v>
      </c>
    </row>
    <row r="1050" spans="1:13" x14ac:dyDescent="0.25">
      <c r="A1050" t="str">
        <f t="shared" si="118"/>
        <v>CP208-Unit above 250 mL/underdraw</v>
      </c>
      <c r="B1050" t="s">
        <v>304</v>
      </c>
      <c r="C1050" t="str">
        <f t="shared" si="112"/>
        <v>Flagstaff</v>
      </c>
      <c r="D1050" t="str">
        <f t="shared" si="113"/>
        <v>Y</v>
      </c>
      <c r="E1050" t="s">
        <v>623</v>
      </c>
      <c r="F1050" t="str">
        <f t="shared" si="114"/>
        <v>Unit above 250 mL/underdraw</v>
      </c>
      <c r="G1050">
        <f t="shared" si="115"/>
        <v>0</v>
      </c>
      <c r="H1050" t="s">
        <v>577</v>
      </c>
      <c r="I1050">
        <f t="shared" si="116"/>
        <v>0</v>
      </c>
      <c r="J1050" t="s">
        <v>564</v>
      </c>
      <c r="K1050" s="5">
        <v>10</v>
      </c>
      <c r="L1050" t="str">
        <f>Table_DataFromNL[[#This Row],[PROFILECODE]]&amp;"-"&amp;Table_DataFromNL[[#This Row],[RULENAME]]</f>
        <v>CP208-Unit above 250 mL/underdraw</v>
      </c>
      <c r="M1050" t="e">
        <f t="shared" si="117"/>
        <v>#N/A</v>
      </c>
    </row>
    <row r="1051" spans="1:13" x14ac:dyDescent="0.25">
      <c r="A1051" t="str">
        <f t="shared" si="118"/>
        <v>CP208-Vaccinia Immunization</v>
      </c>
      <c r="B1051" t="s">
        <v>304</v>
      </c>
      <c r="C1051" t="str">
        <f t="shared" si="112"/>
        <v>Flagstaff</v>
      </c>
      <c r="D1051" t="str">
        <f t="shared" si="113"/>
        <v>Y</v>
      </c>
      <c r="E1051" t="s">
        <v>623</v>
      </c>
      <c r="F1051" t="str">
        <f t="shared" si="114"/>
        <v>Vaccinia Immunization</v>
      </c>
      <c r="G1051">
        <f t="shared" si="115"/>
        <v>0</v>
      </c>
      <c r="H1051" t="s">
        <v>596</v>
      </c>
      <c r="I1051">
        <f t="shared" si="116"/>
        <v>0</v>
      </c>
      <c r="J1051" t="s">
        <v>564</v>
      </c>
      <c r="K1051" s="5">
        <v>100</v>
      </c>
      <c r="L1051" t="str">
        <f>Table_DataFromNL[[#This Row],[PROFILECODE]]&amp;"-"&amp;Table_DataFromNL[[#This Row],[RULENAME]]</f>
        <v>CP208-Vaccinia Immunization</v>
      </c>
      <c r="M1051" t="e">
        <f t="shared" si="117"/>
        <v>#N/A</v>
      </c>
    </row>
    <row r="1052" spans="1:13" x14ac:dyDescent="0.25">
      <c r="A1052" t="str">
        <f t="shared" si="118"/>
        <v>CP208-RETURN - Buddy referral  -BONUS</v>
      </c>
      <c r="B1052" t="s">
        <v>304</v>
      </c>
      <c r="C1052" t="str">
        <f t="shared" si="112"/>
        <v>Flagstaff</v>
      </c>
      <c r="D1052" t="str">
        <f t="shared" si="113"/>
        <v>Y</v>
      </c>
      <c r="E1052" t="s">
        <v>623</v>
      </c>
      <c r="F1052" t="str">
        <f t="shared" si="114"/>
        <v>RETURN - Buddy referral  -BONUS</v>
      </c>
      <c r="G1052" t="str">
        <f t="shared" si="115"/>
        <v>Marketing</v>
      </c>
      <c r="H1052" t="s">
        <v>34</v>
      </c>
      <c r="I1052">
        <f t="shared" si="116"/>
        <v>50</v>
      </c>
      <c r="J1052" t="s">
        <v>578</v>
      </c>
      <c r="K1052" s="5">
        <v>0</v>
      </c>
      <c r="L1052" t="str">
        <f>Table_DataFromNL[[#This Row],[PROFILECODE]]&amp;"-"&amp;Table_DataFromNL[[#This Row],[RULENAME]]</f>
        <v>CP208-Referral</v>
      </c>
      <c r="M1052" t="str">
        <f t="shared" si="117"/>
        <v>CP208-RETURN - Buddy referral  -BONUS</v>
      </c>
    </row>
    <row r="1053" spans="1:13" x14ac:dyDescent="0.25">
      <c r="A1053" t="str">
        <f t="shared" si="118"/>
        <v>CP208-P Anti-D Pre-Existing Standard</v>
      </c>
      <c r="B1053" t="s">
        <v>304</v>
      </c>
      <c r="C1053" t="str">
        <f t="shared" si="112"/>
        <v>Flagstaff</v>
      </c>
      <c r="D1053" t="str">
        <f t="shared" si="113"/>
        <v>Y</v>
      </c>
      <c r="E1053" t="s">
        <v>623</v>
      </c>
      <c r="F1053" t="str">
        <f t="shared" si="114"/>
        <v>P Anti-D Pre-Existing Standard</v>
      </c>
      <c r="G1053" t="str">
        <f t="shared" si="115"/>
        <v>Specialty</v>
      </c>
      <c r="H1053" t="s">
        <v>469</v>
      </c>
      <c r="I1053" t="str">
        <f t="shared" si="116"/>
        <v>RETURN - 1st don of the week -STD</v>
      </c>
      <c r="J1053" t="s">
        <v>579</v>
      </c>
      <c r="K1053" s="5">
        <v>50</v>
      </c>
      <c r="L1053" t="str">
        <f>Table_DataFromNL[[#This Row],[PROFILECODE]]&amp;"-"&amp;Table_DataFromNL[[#This Row],[RULENAME]]</f>
        <v>CP208-P Anti-D Pre-Existing Standard</v>
      </c>
      <c r="M1053" t="str">
        <f t="shared" si="117"/>
        <v>CP208-P Anti-D Pre-Existing Standard</v>
      </c>
    </row>
    <row r="1054" spans="1:13" x14ac:dyDescent="0.25">
      <c r="A1054" t="str">
        <f t="shared" si="118"/>
        <v>CP208-RETURN - 1st don of the week -STD</v>
      </c>
      <c r="B1054" t="s">
        <v>304</v>
      </c>
      <c r="C1054" t="str">
        <f t="shared" si="112"/>
        <v>Flagstaff</v>
      </c>
      <c r="D1054" t="str">
        <f t="shared" si="113"/>
        <v>Y</v>
      </c>
      <c r="E1054" t="s">
        <v>623</v>
      </c>
      <c r="F1054" t="str">
        <f t="shared" si="114"/>
        <v>RETURN - 1st don of the week -STD</v>
      </c>
      <c r="G1054" t="str">
        <f t="shared" si="115"/>
        <v>Marketing</v>
      </c>
      <c r="H1054" t="s">
        <v>583</v>
      </c>
      <c r="I1054">
        <f t="shared" si="116"/>
        <v>22</v>
      </c>
      <c r="J1054" t="s">
        <v>579</v>
      </c>
      <c r="K1054" s="5">
        <v>45</v>
      </c>
      <c r="L1054" t="str">
        <f>Table_DataFromNL[[#This Row],[PROFILECODE]]&amp;"-"&amp;Table_DataFromNL[[#This Row],[RULENAME]]</f>
        <v>CP208-P NSP NS AP Standard</v>
      </c>
      <c r="M1054" t="str">
        <f t="shared" si="117"/>
        <v>CP208-RETURN - 1st don of the week -STD</v>
      </c>
    </row>
    <row r="1055" spans="1:13" x14ac:dyDescent="0.25">
      <c r="A1055" t="str">
        <f t="shared" si="118"/>
        <v>CP208-RETURN - 1st don of the week -STD</v>
      </c>
      <c r="B1055" t="s">
        <v>304</v>
      </c>
      <c r="C1055" t="str">
        <f t="shared" si="112"/>
        <v>Flagstaff</v>
      </c>
      <c r="D1055" t="str">
        <f t="shared" si="113"/>
        <v>Y</v>
      </c>
      <c r="E1055" t="s">
        <v>623</v>
      </c>
      <c r="F1055" t="str">
        <f t="shared" si="114"/>
        <v>RETURN - 1st don of the week -STD</v>
      </c>
      <c r="G1055" t="str">
        <f t="shared" si="115"/>
        <v>Marketing</v>
      </c>
      <c r="H1055" t="s">
        <v>584</v>
      </c>
      <c r="I1055">
        <f t="shared" si="116"/>
        <v>23</v>
      </c>
      <c r="J1055" t="s">
        <v>579</v>
      </c>
      <c r="K1055" s="5">
        <v>45</v>
      </c>
      <c r="L1055" t="str">
        <f>Table_DataFromNL[[#This Row],[PROFILECODE]]&amp;"-"&amp;Table_DataFromNL[[#This Row],[RULENAME]]</f>
        <v>CP208-P NSP NS Standard</v>
      </c>
      <c r="M1055" t="str">
        <f t="shared" si="117"/>
        <v>CP208-RETURN - 1st don of the week -STD</v>
      </c>
    </row>
    <row r="1056" spans="1:13" x14ac:dyDescent="0.25">
      <c r="A1056" t="str">
        <f t="shared" si="118"/>
        <v>CP208-P VZV Pre-Existing AP</v>
      </c>
      <c r="B1056" t="s">
        <v>304</v>
      </c>
      <c r="C1056" t="str">
        <f t="shared" si="112"/>
        <v>Flagstaff</v>
      </c>
      <c r="D1056" t="str">
        <f t="shared" si="113"/>
        <v>Y</v>
      </c>
      <c r="E1056" t="s">
        <v>623</v>
      </c>
      <c r="F1056" t="str">
        <f t="shared" si="114"/>
        <v>P VZV Pre-Existing AP</v>
      </c>
      <c r="G1056" t="str">
        <f t="shared" si="115"/>
        <v>Specialty</v>
      </c>
      <c r="H1056" t="s">
        <v>495</v>
      </c>
      <c r="I1056" t="str">
        <f t="shared" si="116"/>
        <v>RETURN - 1st don of the week -STD</v>
      </c>
      <c r="J1056" t="s">
        <v>579</v>
      </c>
      <c r="K1056" s="5">
        <v>55</v>
      </c>
      <c r="L1056" t="str">
        <f>Table_DataFromNL[[#This Row],[PROFILECODE]]&amp;"-"&amp;Table_DataFromNL[[#This Row],[RULENAME]]</f>
        <v>CP208-P VZV Pre-Existing AP</v>
      </c>
      <c r="M1056" t="str">
        <f t="shared" si="117"/>
        <v>CP208-P VZV Pre-Existing AP</v>
      </c>
    </row>
    <row r="1057" spans="1:13" x14ac:dyDescent="0.25">
      <c r="A1057" t="str">
        <f t="shared" si="118"/>
        <v>CP208-P VZV Standard</v>
      </c>
      <c r="B1057" t="s">
        <v>304</v>
      </c>
      <c r="C1057" t="str">
        <f t="shared" si="112"/>
        <v>Flagstaff</v>
      </c>
      <c r="D1057" t="str">
        <f t="shared" si="113"/>
        <v>Y</v>
      </c>
      <c r="E1057" t="s">
        <v>623</v>
      </c>
      <c r="F1057" t="str">
        <f t="shared" si="114"/>
        <v>P VZV Standard</v>
      </c>
      <c r="G1057" t="str">
        <f t="shared" si="115"/>
        <v>Specialty</v>
      </c>
      <c r="H1057" t="s">
        <v>496</v>
      </c>
      <c r="I1057" t="str">
        <f t="shared" si="116"/>
        <v>RETURN - 1st don of the week -STD</v>
      </c>
      <c r="J1057" t="s">
        <v>579</v>
      </c>
      <c r="K1057" s="5">
        <v>55</v>
      </c>
      <c r="L1057" t="str">
        <f>Table_DataFromNL[[#This Row],[PROFILECODE]]&amp;"-"&amp;Table_DataFromNL[[#This Row],[RULENAME]]</f>
        <v>CP208-P VZV Standard</v>
      </c>
      <c r="M1057" t="str">
        <f t="shared" si="117"/>
        <v>CP208-P VZV Standard</v>
      </c>
    </row>
    <row r="1058" spans="1:13" x14ac:dyDescent="0.25">
      <c r="A1058" t="str">
        <f t="shared" si="118"/>
        <v>CP208-P Vaccinia AP Standard</v>
      </c>
      <c r="B1058" t="s">
        <v>304</v>
      </c>
      <c r="C1058" t="str">
        <f t="shared" si="112"/>
        <v>Flagstaff</v>
      </c>
      <c r="D1058" t="str">
        <f t="shared" si="113"/>
        <v>Y</v>
      </c>
      <c r="E1058" t="s">
        <v>623</v>
      </c>
      <c r="F1058" t="str">
        <f t="shared" si="114"/>
        <v>P Vaccinia AP Standard</v>
      </c>
      <c r="G1058" t="str">
        <f t="shared" si="115"/>
        <v>Specialty</v>
      </c>
      <c r="H1058" t="s">
        <v>475</v>
      </c>
      <c r="I1058">
        <f t="shared" si="116"/>
        <v>0</v>
      </c>
      <c r="J1058" t="s">
        <v>579</v>
      </c>
      <c r="K1058" s="5">
        <v>100</v>
      </c>
      <c r="L1058" t="str">
        <f>Table_DataFromNL[[#This Row],[PROFILECODE]]&amp;"-"&amp;Table_DataFromNL[[#This Row],[RULENAME]]</f>
        <v>CP208-P Vaccinia AP Standard</v>
      </c>
      <c r="M1058" t="str">
        <f t="shared" si="117"/>
        <v>CP208-P Vaccinia AP Standard</v>
      </c>
    </row>
    <row r="1059" spans="1:13" x14ac:dyDescent="0.25">
      <c r="A1059" t="str">
        <f t="shared" si="118"/>
        <v>CP208-P Vaccinia Standard</v>
      </c>
      <c r="B1059" t="s">
        <v>304</v>
      </c>
      <c r="C1059" t="str">
        <f t="shared" si="112"/>
        <v>Flagstaff</v>
      </c>
      <c r="D1059" t="str">
        <f t="shared" si="113"/>
        <v>Y</v>
      </c>
      <c r="E1059" t="s">
        <v>623</v>
      </c>
      <c r="F1059" t="str">
        <f t="shared" si="114"/>
        <v>P Vaccinia Standard</v>
      </c>
      <c r="G1059" t="str">
        <f t="shared" si="115"/>
        <v>Specialty</v>
      </c>
      <c r="H1059" t="s">
        <v>476</v>
      </c>
      <c r="I1059">
        <f t="shared" si="116"/>
        <v>0</v>
      </c>
      <c r="J1059" t="s">
        <v>579</v>
      </c>
      <c r="K1059" s="5">
        <v>100</v>
      </c>
      <c r="L1059" t="str">
        <f>Table_DataFromNL[[#This Row],[PROFILECODE]]&amp;"-"&amp;Table_DataFromNL[[#This Row],[RULENAME]]</f>
        <v>CP208-P Vaccinia Standard</v>
      </c>
      <c r="M1059" t="str">
        <f t="shared" si="117"/>
        <v>CP208-P Vaccinia Standard</v>
      </c>
    </row>
    <row r="1060" spans="1:13" x14ac:dyDescent="0.25">
      <c r="A1060" t="str">
        <f t="shared" si="118"/>
        <v>CP208-PVZV Pre-Existing Standard</v>
      </c>
      <c r="B1060" t="s">
        <v>304</v>
      </c>
      <c r="C1060" t="str">
        <f t="shared" si="112"/>
        <v>Flagstaff</v>
      </c>
      <c r="D1060" t="str">
        <f t="shared" si="113"/>
        <v>Y</v>
      </c>
      <c r="E1060" t="s">
        <v>623</v>
      </c>
      <c r="F1060" t="str">
        <f t="shared" si="114"/>
        <v>PVZV Pre-Existing Standard</v>
      </c>
      <c r="G1060" t="str">
        <f t="shared" si="115"/>
        <v>Specialty</v>
      </c>
      <c r="H1060" t="s">
        <v>497</v>
      </c>
      <c r="I1060" t="str">
        <f t="shared" si="116"/>
        <v>RETURN - 1st don of the week -STD</v>
      </c>
      <c r="J1060" t="s">
        <v>579</v>
      </c>
      <c r="K1060" s="5">
        <v>55</v>
      </c>
      <c r="L1060" t="str">
        <f>Table_DataFromNL[[#This Row],[PROFILECODE]]&amp;"-"&amp;Table_DataFromNL[[#This Row],[RULENAME]]</f>
        <v>CP208-PVZV Pre-Existing Standard</v>
      </c>
      <c r="M1060" t="str">
        <f t="shared" si="117"/>
        <v>CP208-PVZV Pre-Existing Standard</v>
      </c>
    </row>
    <row r="1061" spans="1:13" x14ac:dyDescent="0.25">
      <c r="A1061" t="str">
        <f t="shared" si="118"/>
        <v>CP894-1st Responder-Medical</v>
      </c>
      <c r="B1061" t="s">
        <v>231</v>
      </c>
      <c r="C1061" t="str">
        <f t="shared" si="112"/>
        <v>Forest Lane</v>
      </c>
      <c r="D1061" t="str">
        <f t="shared" si="113"/>
        <v>Y</v>
      </c>
      <c r="E1061" t="s">
        <v>624</v>
      </c>
      <c r="F1061" t="str">
        <f t="shared" si="114"/>
        <v>1st Responder-Medical</v>
      </c>
      <c r="G1061">
        <f t="shared" si="115"/>
        <v>0</v>
      </c>
      <c r="H1061" t="s">
        <v>545</v>
      </c>
      <c r="I1061">
        <f t="shared" si="116"/>
        <v>0</v>
      </c>
      <c r="J1061" t="s">
        <v>546</v>
      </c>
      <c r="K1061" s="5">
        <v>5</v>
      </c>
      <c r="L1061" t="str">
        <f>Table_DataFromNL[[#This Row],[PROFILECODE]]&amp;"-"&amp;Table_DataFromNL[[#This Row],[RULENAME]]</f>
        <v>CP894-1st Responder-Medical</v>
      </c>
      <c r="M1061" t="e">
        <f t="shared" si="117"/>
        <v>#N/A</v>
      </c>
    </row>
    <row r="1062" spans="1:13" x14ac:dyDescent="0.25">
      <c r="A1062" t="str">
        <f t="shared" si="118"/>
        <v>CP894-RETURN - 2nd don of the week -BONUS</v>
      </c>
      <c r="B1062" t="s">
        <v>231</v>
      </c>
      <c r="C1062" t="str">
        <f t="shared" si="112"/>
        <v>Forest Lane</v>
      </c>
      <c r="D1062" t="str">
        <f t="shared" si="113"/>
        <v>Y</v>
      </c>
      <c r="E1062" t="s">
        <v>624</v>
      </c>
      <c r="F1062" t="str">
        <f t="shared" si="114"/>
        <v>RETURN - 2nd don of the week -BONUS</v>
      </c>
      <c r="G1062" t="str">
        <f t="shared" si="115"/>
        <v>Marketing</v>
      </c>
      <c r="H1062" t="s">
        <v>550</v>
      </c>
      <c r="I1062">
        <f t="shared" si="116"/>
        <v>26</v>
      </c>
      <c r="J1062" t="s">
        <v>546</v>
      </c>
      <c r="K1062" s="5">
        <v>25</v>
      </c>
      <c r="L1062" t="str">
        <f>Table_DataFromNL[[#This Row],[PROFILECODE]]&amp;"-"&amp;Table_DataFromNL[[#This Row],[RULENAME]]</f>
        <v>CP894-2X Week P NSP NS</v>
      </c>
      <c r="M1062" t="str">
        <f t="shared" si="117"/>
        <v>CP894-RETURN - 2nd don of the week -BONUS</v>
      </c>
    </row>
    <row r="1063" spans="1:13" x14ac:dyDescent="0.25">
      <c r="A1063" t="str">
        <f t="shared" si="118"/>
        <v>CP894-RETURN - 2nd don of the week -BONUS</v>
      </c>
      <c r="B1063" t="s">
        <v>231</v>
      </c>
      <c r="C1063" t="str">
        <f t="shared" si="112"/>
        <v>Forest Lane</v>
      </c>
      <c r="D1063" t="str">
        <f t="shared" si="113"/>
        <v>Y</v>
      </c>
      <c r="E1063" t="s">
        <v>624</v>
      </c>
      <c r="F1063" t="str">
        <f t="shared" si="114"/>
        <v>RETURN - 2nd don of the week -BONUS</v>
      </c>
      <c r="G1063" t="str">
        <f t="shared" si="115"/>
        <v>Marketing</v>
      </c>
      <c r="H1063" t="s">
        <v>551</v>
      </c>
      <c r="I1063" t="str">
        <f t="shared" si="116"/>
        <v>RETURN - 2nd don of the week -BONUS</v>
      </c>
      <c r="J1063" t="s">
        <v>546</v>
      </c>
      <c r="K1063" s="5">
        <v>25</v>
      </c>
      <c r="L1063" t="str">
        <f>Table_DataFromNL[[#This Row],[PROFILECODE]]&amp;"-"&amp;Table_DataFromNL[[#This Row],[RULENAME]]</f>
        <v>CP894-2X Week P NSP NS AP</v>
      </c>
      <c r="M1063" t="str">
        <f t="shared" si="117"/>
        <v>CP894-RETURN - 2nd don of the week -BONUS</v>
      </c>
    </row>
    <row r="1064" spans="1:13" x14ac:dyDescent="0.25">
      <c r="A1064" t="str">
        <f t="shared" si="118"/>
        <v>CP894-RETURN - 6th don of the month -BONUS</v>
      </c>
      <c r="B1064" t="s">
        <v>231</v>
      </c>
      <c r="C1064" t="str">
        <f t="shared" si="112"/>
        <v>Forest Lane</v>
      </c>
      <c r="D1064" t="str">
        <f t="shared" si="113"/>
        <v>Y</v>
      </c>
      <c r="E1064" t="s">
        <v>624</v>
      </c>
      <c r="F1064" t="str">
        <f t="shared" si="114"/>
        <v>RETURN - 6th don of the month -BONUS</v>
      </c>
      <c r="G1064" t="str">
        <f t="shared" si="115"/>
        <v>Marketing</v>
      </c>
      <c r="H1064" t="s">
        <v>552</v>
      </c>
      <c r="I1064">
        <f t="shared" si="116"/>
        <v>28</v>
      </c>
      <c r="J1064" t="s">
        <v>546</v>
      </c>
      <c r="K1064" s="5">
        <v>30</v>
      </c>
      <c r="L1064" t="str">
        <f>Table_DataFromNL[[#This Row],[PROFILECODE]]&amp;"-"&amp;Table_DataFromNL[[#This Row],[RULENAME]]</f>
        <v>CP894-6X Month</v>
      </c>
      <c r="M1064" t="str">
        <f t="shared" si="117"/>
        <v>CP894-RETURN - 6th don of the month -BONUS</v>
      </c>
    </row>
    <row r="1065" spans="1:13" x14ac:dyDescent="0.25">
      <c r="A1065" t="str">
        <f t="shared" si="118"/>
        <v>CP894-College ID Standard Bonus</v>
      </c>
      <c r="B1065" t="s">
        <v>231</v>
      </c>
      <c r="C1065" t="str">
        <f t="shared" si="112"/>
        <v>Forest Lane</v>
      </c>
      <c r="D1065" t="str">
        <f t="shared" si="113"/>
        <v>Y</v>
      </c>
      <c r="E1065" t="s">
        <v>624</v>
      </c>
      <c r="F1065" t="str">
        <f t="shared" si="114"/>
        <v>College ID Standard Bonus</v>
      </c>
      <c r="G1065">
        <f t="shared" si="115"/>
        <v>0</v>
      </c>
      <c r="H1065" t="s">
        <v>553</v>
      </c>
      <c r="I1065">
        <f t="shared" si="116"/>
        <v>0</v>
      </c>
      <c r="J1065" t="s">
        <v>546</v>
      </c>
      <c r="K1065" s="5">
        <v>5</v>
      </c>
      <c r="L1065" t="str">
        <f>Table_DataFromNL[[#This Row],[PROFILECODE]]&amp;"-"&amp;Table_DataFromNL[[#This Row],[RULENAME]]</f>
        <v>CP894-College ID Standard Bonus</v>
      </c>
      <c r="M1065" t="e">
        <f t="shared" si="117"/>
        <v>#N/A</v>
      </c>
    </row>
    <row r="1066" spans="1:13" x14ac:dyDescent="0.25">
      <c r="A1066" t="str">
        <f t="shared" si="118"/>
        <v>CP894-Military ID</v>
      </c>
      <c r="B1066" t="s">
        <v>231</v>
      </c>
      <c r="C1066" t="str">
        <f t="shared" si="112"/>
        <v>Forest Lane</v>
      </c>
      <c r="D1066" t="str">
        <f t="shared" si="113"/>
        <v>Y</v>
      </c>
      <c r="E1066" t="s">
        <v>624</v>
      </c>
      <c r="F1066" t="str">
        <f t="shared" si="114"/>
        <v>Military ID</v>
      </c>
      <c r="G1066">
        <f t="shared" si="115"/>
        <v>0</v>
      </c>
      <c r="H1066" t="s">
        <v>554</v>
      </c>
      <c r="I1066">
        <f t="shared" si="116"/>
        <v>0</v>
      </c>
      <c r="J1066" t="s">
        <v>546</v>
      </c>
      <c r="K1066" s="5">
        <v>5</v>
      </c>
      <c r="L1066" t="str">
        <f>Table_DataFromNL[[#This Row],[PROFILECODE]]&amp;"-"&amp;Table_DataFromNL[[#This Row],[RULENAME]]</f>
        <v>CP894-Military ID</v>
      </c>
      <c r="M1066" t="e">
        <f t="shared" si="117"/>
        <v>#N/A</v>
      </c>
    </row>
    <row r="1067" spans="1:13" x14ac:dyDescent="0.25">
      <c r="A1067" t="str">
        <f t="shared" si="118"/>
        <v>CP894-NEW DONOR -1st</v>
      </c>
      <c r="B1067" t="s">
        <v>231</v>
      </c>
      <c r="C1067" t="str">
        <f t="shared" si="112"/>
        <v>Forest Lane</v>
      </c>
      <c r="D1067" t="str">
        <f t="shared" si="113"/>
        <v>Y</v>
      </c>
      <c r="E1067" t="s">
        <v>624</v>
      </c>
      <c r="F1067" t="str">
        <f t="shared" si="114"/>
        <v>NEW DONOR -1st</v>
      </c>
      <c r="G1067" t="str">
        <f t="shared" si="115"/>
        <v>Marketing</v>
      </c>
      <c r="H1067" t="s">
        <v>555</v>
      </c>
      <c r="I1067">
        <f t="shared" si="116"/>
        <v>1</v>
      </c>
      <c r="J1067" t="s">
        <v>546</v>
      </c>
      <c r="K1067" s="5">
        <v>100</v>
      </c>
      <c r="L1067" t="str">
        <f>Table_DataFromNL[[#This Row],[PROFILECODE]]&amp;"-"&amp;Table_DataFromNL[[#This Row],[RULENAME]]</f>
        <v>CP894-New Donor 1st Visit-Bonus</v>
      </c>
      <c r="M1067" t="str">
        <f t="shared" si="117"/>
        <v>CP894-NEW DONOR -1st</v>
      </c>
    </row>
    <row r="1068" spans="1:13" x14ac:dyDescent="0.25">
      <c r="A1068" t="str">
        <f t="shared" si="118"/>
        <v>CP894-NEW DONOR -2nd</v>
      </c>
      <c r="B1068" t="s">
        <v>231</v>
      </c>
      <c r="C1068" t="str">
        <f t="shared" si="112"/>
        <v>Forest Lane</v>
      </c>
      <c r="D1068" t="str">
        <f t="shared" si="113"/>
        <v>Y</v>
      </c>
      <c r="E1068" t="s">
        <v>624</v>
      </c>
      <c r="F1068" t="str">
        <f t="shared" si="114"/>
        <v>NEW DONOR -2nd</v>
      </c>
      <c r="G1068" t="str">
        <f t="shared" si="115"/>
        <v>Marketing</v>
      </c>
      <c r="H1068" t="s">
        <v>556</v>
      </c>
      <c r="I1068">
        <f t="shared" si="116"/>
        <v>2</v>
      </c>
      <c r="J1068" t="s">
        <v>546</v>
      </c>
      <c r="K1068" s="5">
        <v>100</v>
      </c>
      <c r="L1068" t="str">
        <f>Table_DataFromNL[[#This Row],[PROFILECODE]]&amp;"-"&amp;Table_DataFromNL[[#This Row],[RULENAME]]</f>
        <v>CP894-New Donor 2nd Visit-Bonus</v>
      </c>
      <c r="M1068" t="str">
        <f t="shared" si="117"/>
        <v>CP894-NEW DONOR -2nd</v>
      </c>
    </row>
    <row r="1069" spans="1:13" x14ac:dyDescent="0.25">
      <c r="A1069" t="str">
        <f t="shared" si="118"/>
        <v>CP894-NEW DONOR -3rd</v>
      </c>
      <c r="B1069" t="s">
        <v>231</v>
      </c>
      <c r="C1069" t="str">
        <f t="shared" si="112"/>
        <v>Forest Lane</v>
      </c>
      <c r="D1069" t="str">
        <f t="shared" si="113"/>
        <v>Y</v>
      </c>
      <c r="E1069" t="s">
        <v>624</v>
      </c>
      <c r="F1069" t="str">
        <f t="shared" si="114"/>
        <v>NEW DONOR -3rd</v>
      </c>
      <c r="G1069" t="str">
        <f t="shared" si="115"/>
        <v>Marketing</v>
      </c>
      <c r="H1069" t="s">
        <v>557</v>
      </c>
      <c r="I1069">
        <f t="shared" si="116"/>
        <v>3</v>
      </c>
      <c r="J1069" t="s">
        <v>546</v>
      </c>
      <c r="K1069" s="5">
        <v>100</v>
      </c>
      <c r="L1069" t="str">
        <f>Table_DataFromNL[[#This Row],[PROFILECODE]]&amp;"-"&amp;Table_DataFromNL[[#This Row],[RULENAME]]</f>
        <v>CP894-New Donor 3rd Visit-Bonus</v>
      </c>
      <c r="M1069" t="str">
        <f t="shared" si="117"/>
        <v>CP894-NEW DONOR -3rd</v>
      </c>
    </row>
    <row r="1070" spans="1:13" x14ac:dyDescent="0.25">
      <c r="A1070" t="str">
        <f t="shared" si="118"/>
        <v>CP894-NEW DONOR -4th</v>
      </c>
      <c r="B1070" t="s">
        <v>231</v>
      </c>
      <c r="C1070" t="str">
        <f t="shared" si="112"/>
        <v>Forest Lane</v>
      </c>
      <c r="D1070" t="str">
        <f t="shared" si="113"/>
        <v>Y</v>
      </c>
      <c r="E1070" t="s">
        <v>624</v>
      </c>
      <c r="F1070" t="str">
        <f t="shared" si="114"/>
        <v>NEW DONOR -4th</v>
      </c>
      <c r="G1070" t="str">
        <f t="shared" si="115"/>
        <v>Marketing</v>
      </c>
      <c r="H1070" t="s">
        <v>558</v>
      </c>
      <c r="I1070">
        <f t="shared" si="116"/>
        <v>4</v>
      </c>
      <c r="J1070" t="s">
        <v>546</v>
      </c>
      <c r="K1070" s="5">
        <v>100</v>
      </c>
      <c r="L1070" t="str">
        <f>Table_DataFromNL[[#This Row],[PROFILECODE]]&amp;"-"&amp;Table_DataFromNL[[#This Row],[RULENAME]]</f>
        <v>CP894-New Donor 4th Visit-Bonus</v>
      </c>
      <c r="M1070" t="str">
        <f t="shared" si="117"/>
        <v>CP894-NEW DONOR -4th</v>
      </c>
    </row>
    <row r="1071" spans="1:13" x14ac:dyDescent="0.25">
      <c r="A1071" t="str">
        <f t="shared" si="118"/>
        <v>CP894-NEW DONOR -5th</v>
      </c>
      <c r="B1071" t="s">
        <v>231</v>
      </c>
      <c r="C1071" t="str">
        <f t="shared" si="112"/>
        <v>Forest Lane</v>
      </c>
      <c r="D1071" t="str">
        <f t="shared" si="113"/>
        <v>Y</v>
      </c>
      <c r="E1071" t="s">
        <v>624</v>
      </c>
      <c r="F1071" t="str">
        <f t="shared" si="114"/>
        <v>NEW DONOR -5th</v>
      </c>
      <c r="G1071" t="str">
        <f t="shared" si="115"/>
        <v>Marketing</v>
      </c>
      <c r="H1071" t="s">
        <v>559</v>
      </c>
      <c r="I1071">
        <f t="shared" si="116"/>
        <v>5</v>
      </c>
      <c r="J1071" t="s">
        <v>546</v>
      </c>
      <c r="K1071" s="5">
        <v>100</v>
      </c>
      <c r="L1071" t="str">
        <f>Table_DataFromNL[[#This Row],[PROFILECODE]]&amp;"-"&amp;Table_DataFromNL[[#This Row],[RULENAME]]</f>
        <v>CP894-New Donor 5th Visit-Bonus</v>
      </c>
      <c r="M1071" t="str">
        <f t="shared" si="117"/>
        <v>CP894-NEW DONOR -5th</v>
      </c>
    </row>
    <row r="1072" spans="1:13" x14ac:dyDescent="0.25">
      <c r="A1072" t="str">
        <f t="shared" si="118"/>
        <v>CP894-NEW DONOR -6th</v>
      </c>
      <c r="B1072" t="s">
        <v>231</v>
      </c>
      <c r="C1072" t="str">
        <f t="shared" si="112"/>
        <v>Forest Lane</v>
      </c>
      <c r="D1072" t="str">
        <f t="shared" si="113"/>
        <v>Y</v>
      </c>
      <c r="E1072" t="s">
        <v>624</v>
      </c>
      <c r="F1072" t="str">
        <f t="shared" si="114"/>
        <v>NEW DONOR -6th</v>
      </c>
      <c r="G1072" t="str">
        <f t="shared" si="115"/>
        <v>Marketing</v>
      </c>
      <c r="H1072" t="s">
        <v>560</v>
      </c>
      <c r="I1072">
        <f t="shared" si="116"/>
        <v>6</v>
      </c>
      <c r="J1072" t="s">
        <v>546</v>
      </c>
      <c r="K1072" s="5">
        <v>100</v>
      </c>
      <c r="L1072" t="str">
        <f>Table_DataFromNL[[#This Row],[PROFILECODE]]&amp;"-"&amp;Table_DataFromNL[[#This Row],[RULENAME]]</f>
        <v>CP894-New Donor 6th Visit-Bonus</v>
      </c>
      <c r="M1072" t="str">
        <f t="shared" si="117"/>
        <v>CP894-NEW DONOR -6th</v>
      </c>
    </row>
    <row r="1073" spans="1:13" x14ac:dyDescent="0.25">
      <c r="A1073" t="str">
        <f t="shared" si="118"/>
        <v>CP894-NEW DONOR -7th</v>
      </c>
      <c r="B1073" t="s">
        <v>231</v>
      </c>
      <c r="C1073" t="str">
        <f t="shared" si="112"/>
        <v>Forest Lane</v>
      </c>
      <c r="D1073" t="str">
        <f t="shared" si="113"/>
        <v>Y</v>
      </c>
      <c r="E1073" t="s">
        <v>624</v>
      </c>
      <c r="F1073" t="str">
        <f t="shared" si="114"/>
        <v>NEW DONOR -7th</v>
      </c>
      <c r="G1073" t="str">
        <f t="shared" si="115"/>
        <v>Marketing</v>
      </c>
      <c r="H1073" t="s">
        <v>561</v>
      </c>
      <c r="I1073">
        <f t="shared" si="116"/>
        <v>7</v>
      </c>
      <c r="J1073" t="s">
        <v>546</v>
      </c>
      <c r="K1073" s="5">
        <v>100</v>
      </c>
      <c r="L1073" t="str">
        <f>Table_DataFromNL[[#This Row],[PROFILECODE]]&amp;"-"&amp;Table_DataFromNL[[#This Row],[RULENAME]]</f>
        <v>CP894-New Donor 7th Visit-Bonus</v>
      </c>
      <c r="M1073" t="str">
        <f t="shared" si="117"/>
        <v>CP894-NEW DONOR -7th</v>
      </c>
    </row>
    <row r="1074" spans="1:13" x14ac:dyDescent="0.25">
      <c r="A1074" t="str">
        <f t="shared" si="118"/>
        <v>CP894-NEW DONOR -8th</v>
      </c>
      <c r="B1074" t="s">
        <v>231</v>
      </c>
      <c r="C1074" t="str">
        <f t="shared" si="112"/>
        <v>Forest Lane</v>
      </c>
      <c r="D1074" t="str">
        <f t="shared" si="113"/>
        <v>Y</v>
      </c>
      <c r="E1074" t="s">
        <v>624</v>
      </c>
      <c r="F1074" t="str">
        <f t="shared" si="114"/>
        <v>NEW DONOR -8th</v>
      </c>
      <c r="G1074" t="str">
        <f t="shared" si="115"/>
        <v>Marketing</v>
      </c>
      <c r="H1074" t="s">
        <v>562</v>
      </c>
      <c r="I1074">
        <f t="shared" si="116"/>
        <v>8</v>
      </c>
      <c r="J1074" t="s">
        <v>546</v>
      </c>
      <c r="K1074" s="5">
        <v>45</v>
      </c>
      <c r="L1074" t="str">
        <f>Table_DataFromNL[[#This Row],[PROFILECODE]]&amp;"-"&amp;Table_DataFromNL[[#This Row],[RULENAME]]</f>
        <v>CP894-New Donor 8th Visit-Bonus</v>
      </c>
      <c r="M1074" t="str">
        <f t="shared" si="117"/>
        <v>CP894-NEW DONOR -8th</v>
      </c>
    </row>
    <row r="1075" spans="1:13" x14ac:dyDescent="0.25">
      <c r="A1075" t="str">
        <f t="shared" si="118"/>
        <v>CP894-Community</v>
      </c>
      <c r="B1075" t="s">
        <v>231</v>
      </c>
      <c r="C1075" t="str">
        <f t="shared" si="112"/>
        <v>Forest Lane</v>
      </c>
      <c r="D1075" t="str">
        <f t="shared" si="113"/>
        <v>Y</v>
      </c>
      <c r="E1075" t="s">
        <v>624</v>
      </c>
      <c r="F1075" t="str">
        <f t="shared" si="114"/>
        <v>Community</v>
      </c>
      <c r="G1075">
        <f t="shared" si="115"/>
        <v>0</v>
      </c>
      <c r="H1075" t="s">
        <v>563</v>
      </c>
      <c r="I1075">
        <f t="shared" si="116"/>
        <v>0</v>
      </c>
      <c r="J1075" t="s">
        <v>564</v>
      </c>
      <c r="K1075" s="5">
        <v>5</v>
      </c>
      <c r="L1075" t="str">
        <f>Table_DataFromNL[[#This Row],[PROFILECODE]]&amp;"-"&amp;Table_DataFromNL[[#This Row],[RULENAME]]</f>
        <v>CP894-Community</v>
      </c>
      <c r="M1075" t="e">
        <f t="shared" si="117"/>
        <v>#N/A</v>
      </c>
    </row>
    <row r="1076" spans="1:13" x14ac:dyDescent="0.25">
      <c r="A1076" t="str">
        <f t="shared" si="118"/>
        <v>CP894-HANGER_RECRUIT_5USD_once</v>
      </c>
      <c r="B1076" t="s">
        <v>231</v>
      </c>
      <c r="C1076" t="str">
        <f t="shared" si="112"/>
        <v>Forest Lane</v>
      </c>
      <c r="D1076" t="str">
        <f t="shared" si="113"/>
        <v>Y</v>
      </c>
      <c r="E1076" t="s">
        <v>624</v>
      </c>
      <c r="F1076" t="str">
        <f t="shared" si="114"/>
        <v>HANGER_RECRUIT_5USD_once</v>
      </c>
      <c r="G1076">
        <f t="shared" si="115"/>
        <v>0</v>
      </c>
      <c r="H1076" t="s">
        <v>565</v>
      </c>
      <c r="I1076">
        <f t="shared" si="116"/>
        <v>0</v>
      </c>
      <c r="J1076" t="s">
        <v>564</v>
      </c>
      <c r="K1076" s="5">
        <v>5</v>
      </c>
      <c r="L1076" t="str">
        <f>Table_DataFromNL[[#This Row],[PROFILECODE]]&amp;"-"&amp;Table_DataFromNL[[#This Row],[RULENAME]]</f>
        <v>CP894-HANGER_RECRUIT_5USD_once</v>
      </c>
      <c r="M1076" t="e">
        <f t="shared" si="117"/>
        <v>#N/A</v>
      </c>
    </row>
    <row r="1077" spans="1:13" x14ac:dyDescent="0.25">
      <c r="A1077" t="str">
        <f t="shared" si="118"/>
        <v>CP894-Inconv Fee $20-$50-Comment Req'd</v>
      </c>
      <c r="B1077" t="s">
        <v>231</v>
      </c>
      <c r="C1077" t="str">
        <f t="shared" si="112"/>
        <v>Forest Lane</v>
      </c>
      <c r="D1077" t="str">
        <f t="shared" si="113"/>
        <v>Y</v>
      </c>
      <c r="E1077" t="s">
        <v>624</v>
      </c>
      <c r="F1077" t="str">
        <f t="shared" si="114"/>
        <v>Inconv Fee $20-$50-Comment Req'd</v>
      </c>
      <c r="G1077">
        <f t="shared" si="115"/>
        <v>0</v>
      </c>
      <c r="H1077" t="s">
        <v>566</v>
      </c>
      <c r="I1077">
        <f t="shared" si="116"/>
        <v>0</v>
      </c>
      <c r="J1077" t="s">
        <v>564</v>
      </c>
      <c r="K1077" s="5">
        <v>50</v>
      </c>
      <c r="L1077" t="str">
        <f>Table_DataFromNL[[#This Row],[PROFILECODE]]&amp;"-"&amp;Table_DataFromNL[[#This Row],[RULENAME]]</f>
        <v>CP894-Inconv Fee $20-$50-Comment Req'd</v>
      </c>
      <c r="M1077" t="e">
        <f t="shared" si="117"/>
        <v>#N/A</v>
      </c>
    </row>
    <row r="1078" spans="1:13" x14ac:dyDescent="0.25">
      <c r="A1078" t="str">
        <f t="shared" si="118"/>
        <v>CP894-Inconv Fee $5-$20-Comment Req'd</v>
      </c>
      <c r="B1078" t="s">
        <v>231</v>
      </c>
      <c r="C1078" t="str">
        <f t="shared" si="112"/>
        <v>Forest Lane</v>
      </c>
      <c r="D1078" t="str">
        <f t="shared" si="113"/>
        <v>Y</v>
      </c>
      <c r="E1078" t="s">
        <v>624</v>
      </c>
      <c r="F1078" t="str">
        <f t="shared" si="114"/>
        <v>Inconv Fee $5-$20-Comment Req'd</v>
      </c>
      <c r="G1078">
        <f t="shared" si="115"/>
        <v>0</v>
      </c>
      <c r="H1078" t="s">
        <v>567</v>
      </c>
      <c r="I1078">
        <f t="shared" si="116"/>
        <v>0</v>
      </c>
      <c r="J1078" t="s">
        <v>564</v>
      </c>
      <c r="K1078" s="5">
        <v>20</v>
      </c>
      <c r="L1078" t="str">
        <f>Table_DataFromNL[[#This Row],[PROFILECODE]]&amp;"-"&amp;Table_DataFromNL[[#This Row],[RULENAME]]</f>
        <v>CP894-Inconv Fee $5-$20-Comment Req'd</v>
      </c>
      <c r="M1078" t="e">
        <f t="shared" si="117"/>
        <v>#N/A</v>
      </c>
    </row>
    <row r="1079" spans="1:13" x14ac:dyDescent="0.25">
      <c r="A1079" t="str">
        <f t="shared" si="118"/>
        <v>CP894-Inconv Fee$50-$100-Comment Req'd</v>
      </c>
      <c r="B1079" t="s">
        <v>231</v>
      </c>
      <c r="C1079" t="str">
        <f t="shared" si="112"/>
        <v>Forest Lane</v>
      </c>
      <c r="D1079" t="str">
        <f t="shared" si="113"/>
        <v>Y</v>
      </c>
      <c r="E1079" t="s">
        <v>624</v>
      </c>
      <c r="F1079" t="str">
        <f t="shared" si="114"/>
        <v>Inconv Fee$50-$100-Comment Req'd</v>
      </c>
      <c r="G1079">
        <f t="shared" si="115"/>
        <v>0</v>
      </c>
      <c r="H1079" t="s">
        <v>568</v>
      </c>
      <c r="I1079">
        <f t="shared" si="116"/>
        <v>0</v>
      </c>
      <c r="J1079" t="s">
        <v>564</v>
      </c>
      <c r="K1079" s="5">
        <v>100</v>
      </c>
      <c r="L1079" t="str">
        <f>Table_DataFromNL[[#This Row],[PROFILECODE]]&amp;"-"&amp;Table_DataFromNL[[#This Row],[RULENAME]]</f>
        <v>CP894-Inconv Fee$50-$100-Comment Req'd</v>
      </c>
      <c r="M1079" t="e">
        <f t="shared" si="117"/>
        <v>#N/A</v>
      </c>
    </row>
    <row r="1080" spans="1:13" x14ac:dyDescent="0.25">
      <c r="A1080" t="str">
        <f t="shared" si="118"/>
        <v>CP894-NSP_ LAPSEDONOR_50_Twice</v>
      </c>
      <c r="B1080" t="s">
        <v>231</v>
      </c>
      <c r="C1080" t="str">
        <f t="shared" si="112"/>
        <v>Forest Lane</v>
      </c>
      <c r="D1080" t="str">
        <f t="shared" si="113"/>
        <v>Y</v>
      </c>
      <c r="E1080" t="s">
        <v>624</v>
      </c>
      <c r="F1080" t="str">
        <f t="shared" si="114"/>
        <v>NSP_ LAPSEDONOR_50_Twice</v>
      </c>
      <c r="G1080">
        <f t="shared" si="115"/>
        <v>0</v>
      </c>
      <c r="H1080" t="s">
        <v>569</v>
      </c>
      <c r="I1080">
        <f t="shared" si="116"/>
        <v>0</v>
      </c>
      <c r="J1080" t="s">
        <v>564</v>
      </c>
      <c r="K1080" s="5">
        <v>50</v>
      </c>
      <c r="L1080" t="str">
        <f>Table_DataFromNL[[#This Row],[PROFILECODE]]&amp;"-"&amp;Table_DataFromNL[[#This Row],[RULENAME]]</f>
        <v>CP894-NSP_ LAPSEDONOR_50_Twice</v>
      </c>
      <c r="M1080" t="e">
        <f t="shared" si="117"/>
        <v>#N/A</v>
      </c>
    </row>
    <row r="1081" spans="1:13" x14ac:dyDescent="0.25">
      <c r="A1081" t="str">
        <f t="shared" si="118"/>
        <v>CP894-NSP_LD_25_2X</v>
      </c>
      <c r="B1081" t="s">
        <v>231</v>
      </c>
      <c r="C1081" t="str">
        <f t="shared" si="112"/>
        <v>Forest Lane</v>
      </c>
      <c r="D1081" t="str">
        <f t="shared" si="113"/>
        <v>Y</v>
      </c>
      <c r="E1081" t="s">
        <v>624</v>
      </c>
      <c r="F1081" t="str">
        <f t="shared" si="114"/>
        <v>NSP_LD_25_2X</v>
      </c>
      <c r="G1081">
        <f t="shared" si="115"/>
        <v>0</v>
      </c>
      <c r="H1081" t="s">
        <v>570</v>
      </c>
      <c r="I1081">
        <f t="shared" si="116"/>
        <v>0</v>
      </c>
      <c r="J1081" t="s">
        <v>564</v>
      </c>
      <c r="K1081" s="5">
        <v>25</v>
      </c>
      <c r="L1081" t="str">
        <f>Table_DataFromNL[[#This Row],[PROFILECODE]]&amp;"-"&amp;Table_DataFromNL[[#This Row],[RULENAME]]</f>
        <v>CP894-NSP_LD_25_2X</v>
      </c>
      <c r="M1081" t="e">
        <f t="shared" si="117"/>
        <v>#N/A</v>
      </c>
    </row>
    <row r="1082" spans="1:13" x14ac:dyDescent="0.25">
      <c r="A1082" t="str">
        <f t="shared" si="118"/>
        <v>CP894-NSP_LD_50_1X</v>
      </c>
      <c r="B1082" t="s">
        <v>231</v>
      </c>
      <c r="C1082" t="str">
        <f t="shared" si="112"/>
        <v>Forest Lane</v>
      </c>
      <c r="D1082" t="str">
        <f t="shared" si="113"/>
        <v>Y</v>
      </c>
      <c r="E1082" t="s">
        <v>624</v>
      </c>
      <c r="F1082" t="str">
        <f t="shared" si="114"/>
        <v>NSP_LD_50_1X</v>
      </c>
      <c r="G1082">
        <f t="shared" si="115"/>
        <v>0</v>
      </c>
      <c r="H1082" t="s">
        <v>571</v>
      </c>
      <c r="I1082">
        <f t="shared" si="116"/>
        <v>0</v>
      </c>
      <c r="J1082" t="s">
        <v>564</v>
      </c>
      <c r="K1082" s="5">
        <v>50</v>
      </c>
      <c r="L1082" t="str">
        <f>Table_DataFromNL[[#This Row],[PROFILECODE]]&amp;"-"&amp;Table_DataFromNL[[#This Row],[RULENAME]]</f>
        <v>CP894-NSP_LD_50_1X</v>
      </c>
      <c r="M1082" t="e">
        <f t="shared" si="117"/>
        <v>#N/A</v>
      </c>
    </row>
    <row r="1083" spans="1:13" x14ac:dyDescent="0.25">
      <c r="A1083" t="str">
        <f t="shared" si="118"/>
        <v>CP894-NSP_ORPHAN_100_once</v>
      </c>
      <c r="B1083" t="s">
        <v>231</v>
      </c>
      <c r="C1083" t="str">
        <f t="shared" si="112"/>
        <v>Forest Lane</v>
      </c>
      <c r="D1083" t="str">
        <f t="shared" si="113"/>
        <v>Y</v>
      </c>
      <c r="E1083" t="s">
        <v>624</v>
      </c>
      <c r="F1083" t="str">
        <f t="shared" si="114"/>
        <v>NSP_ORPHAN_100_once</v>
      </c>
      <c r="G1083">
        <f t="shared" si="115"/>
        <v>0</v>
      </c>
      <c r="H1083" t="s">
        <v>572</v>
      </c>
      <c r="I1083">
        <f t="shared" si="116"/>
        <v>0</v>
      </c>
      <c r="J1083" t="s">
        <v>564</v>
      </c>
      <c r="K1083" s="5">
        <v>100</v>
      </c>
      <c r="L1083" t="str">
        <f>Table_DataFromNL[[#This Row],[PROFILECODE]]&amp;"-"&amp;Table_DataFromNL[[#This Row],[RULENAME]]</f>
        <v>CP894-NSP_ORPHAN_100_once</v>
      </c>
      <c r="M1083" t="e">
        <f t="shared" si="117"/>
        <v>#N/A</v>
      </c>
    </row>
    <row r="1084" spans="1:13" x14ac:dyDescent="0.25">
      <c r="A1084" t="str">
        <f t="shared" si="118"/>
        <v>CP894-Restick</v>
      </c>
      <c r="B1084" t="s">
        <v>231</v>
      </c>
      <c r="C1084" t="str">
        <f t="shared" si="112"/>
        <v>Forest Lane</v>
      </c>
      <c r="D1084" t="str">
        <f t="shared" si="113"/>
        <v>Y</v>
      </c>
      <c r="E1084" t="s">
        <v>624</v>
      </c>
      <c r="F1084" t="str">
        <f t="shared" si="114"/>
        <v>Restick</v>
      </c>
      <c r="G1084">
        <f t="shared" si="115"/>
        <v>0</v>
      </c>
      <c r="H1084" t="s">
        <v>573</v>
      </c>
      <c r="I1084">
        <f t="shared" si="116"/>
        <v>0</v>
      </c>
      <c r="J1084" t="s">
        <v>564</v>
      </c>
      <c r="K1084" s="5">
        <v>5</v>
      </c>
      <c r="L1084" t="str">
        <f>Table_DataFromNL[[#This Row],[PROFILECODE]]&amp;"-"&amp;Table_DataFromNL[[#This Row],[RULENAME]]</f>
        <v>CP894-Restick</v>
      </c>
      <c r="M1084" t="e">
        <f t="shared" si="117"/>
        <v>#N/A</v>
      </c>
    </row>
    <row r="1085" spans="1:13" x14ac:dyDescent="0.25">
      <c r="A1085" t="str">
        <f t="shared" si="118"/>
        <v>CP894-SLOW_TEXT_5</v>
      </c>
      <c r="B1085" t="s">
        <v>231</v>
      </c>
      <c r="C1085" t="str">
        <f t="shared" si="112"/>
        <v>Forest Lane</v>
      </c>
      <c r="D1085" t="str">
        <f t="shared" si="113"/>
        <v>Y</v>
      </c>
      <c r="E1085" t="s">
        <v>624</v>
      </c>
      <c r="F1085" t="str">
        <f t="shared" si="114"/>
        <v>SLOW_TEXT_5</v>
      </c>
      <c r="G1085">
        <f t="shared" si="115"/>
        <v>0</v>
      </c>
      <c r="H1085" t="s">
        <v>574</v>
      </c>
      <c r="I1085">
        <f t="shared" si="116"/>
        <v>0</v>
      </c>
      <c r="J1085" t="s">
        <v>564</v>
      </c>
      <c r="K1085" s="5">
        <v>5</v>
      </c>
      <c r="L1085" t="str">
        <f>Table_DataFromNL[[#This Row],[PROFILECODE]]&amp;"-"&amp;Table_DataFromNL[[#This Row],[RULENAME]]</f>
        <v>CP894-SLOW_TEXT_5</v>
      </c>
      <c r="M1085" t="e">
        <f t="shared" si="117"/>
        <v>#N/A</v>
      </c>
    </row>
    <row r="1086" spans="1:13" x14ac:dyDescent="0.25">
      <c r="A1086" t="str">
        <f t="shared" si="118"/>
        <v>CP894-Sample Only</v>
      </c>
      <c r="B1086" t="s">
        <v>231</v>
      </c>
      <c r="C1086" t="str">
        <f t="shared" si="112"/>
        <v>Forest Lane</v>
      </c>
      <c r="D1086" t="str">
        <f t="shared" si="113"/>
        <v>Y</v>
      </c>
      <c r="E1086" t="s">
        <v>624</v>
      </c>
      <c r="F1086" t="str">
        <f t="shared" si="114"/>
        <v>Sample Only</v>
      </c>
      <c r="G1086">
        <f t="shared" si="115"/>
        <v>0</v>
      </c>
      <c r="H1086" t="s">
        <v>575</v>
      </c>
      <c r="I1086">
        <f t="shared" si="116"/>
        <v>0</v>
      </c>
      <c r="J1086" t="s">
        <v>564</v>
      </c>
      <c r="K1086" s="5">
        <v>5</v>
      </c>
      <c r="L1086" t="str">
        <f>Table_DataFromNL[[#This Row],[PROFILECODE]]&amp;"-"&amp;Table_DataFromNL[[#This Row],[RULENAME]]</f>
        <v>CP894-Sample Only</v>
      </c>
      <c r="M1086" t="e">
        <f t="shared" si="117"/>
        <v>#N/A</v>
      </c>
    </row>
    <row r="1087" spans="1:13" x14ac:dyDescent="0.25">
      <c r="A1087" t="str">
        <f t="shared" si="118"/>
        <v>CP894-Unit Below 250 mL</v>
      </c>
      <c r="B1087" t="s">
        <v>231</v>
      </c>
      <c r="C1087" t="str">
        <f t="shared" si="112"/>
        <v>Forest Lane</v>
      </c>
      <c r="D1087" t="str">
        <f t="shared" si="113"/>
        <v>Y</v>
      </c>
      <c r="E1087" t="s">
        <v>624</v>
      </c>
      <c r="F1087" t="str">
        <f t="shared" si="114"/>
        <v>Unit Below 250 mL</v>
      </c>
      <c r="G1087">
        <f t="shared" si="115"/>
        <v>0</v>
      </c>
      <c r="H1087" t="s">
        <v>576</v>
      </c>
      <c r="I1087">
        <f t="shared" si="116"/>
        <v>0</v>
      </c>
      <c r="J1087" t="s">
        <v>564</v>
      </c>
      <c r="K1087" s="5">
        <v>5</v>
      </c>
      <c r="L1087" t="str">
        <f>Table_DataFromNL[[#This Row],[PROFILECODE]]&amp;"-"&amp;Table_DataFromNL[[#This Row],[RULENAME]]</f>
        <v>CP894-Unit Below 250 mL</v>
      </c>
      <c r="M1087" t="e">
        <f t="shared" si="117"/>
        <v>#N/A</v>
      </c>
    </row>
    <row r="1088" spans="1:13" x14ac:dyDescent="0.25">
      <c r="A1088" t="str">
        <f t="shared" si="118"/>
        <v>CP894-Unit above 250 mL/underdraw</v>
      </c>
      <c r="B1088" t="s">
        <v>231</v>
      </c>
      <c r="C1088" t="str">
        <f t="shared" si="112"/>
        <v>Forest Lane</v>
      </c>
      <c r="D1088" t="str">
        <f t="shared" si="113"/>
        <v>Y</v>
      </c>
      <c r="E1088" t="s">
        <v>624</v>
      </c>
      <c r="F1088" t="str">
        <f t="shared" si="114"/>
        <v>Unit above 250 mL/underdraw</v>
      </c>
      <c r="G1088">
        <f t="shared" si="115"/>
        <v>0</v>
      </c>
      <c r="H1088" t="s">
        <v>577</v>
      </c>
      <c r="I1088">
        <f t="shared" si="116"/>
        <v>0</v>
      </c>
      <c r="J1088" t="s">
        <v>564</v>
      </c>
      <c r="K1088" s="5">
        <v>10</v>
      </c>
      <c r="L1088" t="str">
        <f>Table_DataFromNL[[#This Row],[PROFILECODE]]&amp;"-"&amp;Table_DataFromNL[[#This Row],[RULENAME]]</f>
        <v>CP894-Unit above 250 mL/underdraw</v>
      </c>
      <c r="M1088" t="e">
        <f t="shared" si="117"/>
        <v>#N/A</v>
      </c>
    </row>
    <row r="1089" spans="1:13" x14ac:dyDescent="0.25">
      <c r="A1089" t="str">
        <f t="shared" si="118"/>
        <v>CP894-RETURN - Buddy referral  -BONUS</v>
      </c>
      <c r="B1089" t="s">
        <v>231</v>
      </c>
      <c r="C1089" t="str">
        <f t="shared" si="112"/>
        <v>Forest Lane</v>
      </c>
      <c r="D1089" t="str">
        <f t="shared" si="113"/>
        <v>Y</v>
      </c>
      <c r="E1089" t="s">
        <v>624</v>
      </c>
      <c r="F1089" t="str">
        <f t="shared" si="114"/>
        <v>RETURN - Buddy referral  -BONUS</v>
      </c>
      <c r="G1089" t="str">
        <f t="shared" si="115"/>
        <v>Marketing</v>
      </c>
      <c r="H1089" t="s">
        <v>34</v>
      </c>
      <c r="I1089">
        <f t="shared" si="116"/>
        <v>50</v>
      </c>
      <c r="J1089" t="s">
        <v>578</v>
      </c>
      <c r="K1089" s="5">
        <v>50</v>
      </c>
      <c r="L1089" t="str">
        <f>Table_DataFromNL[[#This Row],[PROFILECODE]]&amp;"-"&amp;Table_DataFromNL[[#This Row],[RULENAME]]</f>
        <v>CP894-Referral</v>
      </c>
      <c r="M1089" t="str">
        <f t="shared" si="117"/>
        <v>CP894-RETURN - Buddy referral  -BONUS</v>
      </c>
    </row>
    <row r="1090" spans="1:13" x14ac:dyDescent="0.25">
      <c r="A1090" t="str">
        <f t="shared" si="118"/>
        <v>CP894-P Anti-D Pre-Existing Standard</v>
      </c>
      <c r="B1090" t="s">
        <v>231</v>
      </c>
      <c r="C1090" t="str">
        <f t="shared" ref="C1090:C1153" si="119">VLOOKUP(B1090,CenterLU,2,FALSE)</f>
        <v>Forest Lane</v>
      </c>
      <c r="D1090" t="str">
        <f t="shared" ref="D1090:D1153" si="120">VLOOKUP(B1090,CenterLU,3,FALSE)</f>
        <v>Y</v>
      </c>
      <c r="E1090" t="s">
        <v>624</v>
      </c>
      <c r="F1090" t="str">
        <f t="shared" ref="F1090:F1153" si="121">IF(VLOOKUP(H1090,RULENAMELU,3,FALSE)=0,H1090,VLOOKUP(H1090,RULENAMELU,3,FALSE))</f>
        <v>P Anti-D Pre-Existing Standard</v>
      </c>
      <c r="G1090" t="str">
        <f t="shared" ref="G1090:G1153" si="122">VLOOKUP(H1090,RULENAMELU,4,FALSE)</f>
        <v>Specialty</v>
      </c>
      <c r="H1090" t="s">
        <v>469</v>
      </c>
      <c r="I1090" t="str">
        <f t="shared" ref="I1090:I1153" si="123">VLOOKUP(H1090,RULENAMELU,5,FALSE)</f>
        <v>RETURN - 1st don of the week -STD</v>
      </c>
      <c r="J1090" t="s">
        <v>579</v>
      </c>
      <c r="K1090" s="5">
        <v>50</v>
      </c>
      <c r="L1090" t="str">
        <f>Table_DataFromNL[[#This Row],[PROFILECODE]]&amp;"-"&amp;Table_DataFromNL[[#This Row],[RULENAME]]</f>
        <v>CP894-P Anti-D Pre-Existing Standard</v>
      </c>
      <c r="M1090" t="str">
        <f t="shared" ref="M1090:M1153" si="124">IFERROR(VLOOKUP(A1090,PaychangesLU,1,FALSE),VLOOKUP(A1090,SpecialtyCheckLU,1,FALSE))</f>
        <v>CP894-P Anti-D Pre-Existing Standard</v>
      </c>
    </row>
    <row r="1091" spans="1:13" x14ac:dyDescent="0.25">
      <c r="A1091" t="str">
        <f t="shared" ref="A1091:A1154" si="125">B1091&amp;"-"&amp;F1091</f>
        <v>CP894-RETURN - 1st don of the week -STD</v>
      </c>
      <c r="B1091" t="s">
        <v>231</v>
      </c>
      <c r="C1091" t="str">
        <f t="shared" si="119"/>
        <v>Forest Lane</v>
      </c>
      <c r="D1091" t="str">
        <f t="shared" si="120"/>
        <v>Y</v>
      </c>
      <c r="E1091" t="s">
        <v>624</v>
      </c>
      <c r="F1091" t="str">
        <f t="shared" si="121"/>
        <v>RETURN - 1st don of the week -STD</v>
      </c>
      <c r="G1091" t="str">
        <f t="shared" si="122"/>
        <v>Marketing</v>
      </c>
      <c r="H1091" t="s">
        <v>583</v>
      </c>
      <c r="I1091">
        <f t="shared" si="123"/>
        <v>22</v>
      </c>
      <c r="J1091" t="s">
        <v>579</v>
      </c>
      <c r="K1091" s="5">
        <v>45</v>
      </c>
      <c r="L1091" t="str">
        <f>Table_DataFromNL[[#This Row],[PROFILECODE]]&amp;"-"&amp;Table_DataFromNL[[#This Row],[RULENAME]]</f>
        <v>CP894-P NSP NS AP Standard</v>
      </c>
      <c r="M1091" t="str">
        <f t="shared" si="124"/>
        <v>CP894-RETURN - 1st don of the week -STD</v>
      </c>
    </row>
    <row r="1092" spans="1:13" x14ac:dyDescent="0.25">
      <c r="A1092" t="str">
        <f t="shared" si="125"/>
        <v>CP894-RETURN - 1st don of the week -STD</v>
      </c>
      <c r="B1092" t="s">
        <v>231</v>
      </c>
      <c r="C1092" t="str">
        <f t="shared" si="119"/>
        <v>Forest Lane</v>
      </c>
      <c r="D1092" t="str">
        <f t="shared" si="120"/>
        <v>Y</v>
      </c>
      <c r="E1092" t="s">
        <v>624</v>
      </c>
      <c r="F1092" t="str">
        <f t="shared" si="121"/>
        <v>RETURN - 1st don of the week -STD</v>
      </c>
      <c r="G1092" t="str">
        <f t="shared" si="122"/>
        <v>Marketing</v>
      </c>
      <c r="H1092" t="s">
        <v>584</v>
      </c>
      <c r="I1092">
        <f t="shared" si="123"/>
        <v>23</v>
      </c>
      <c r="J1092" t="s">
        <v>579</v>
      </c>
      <c r="K1092" s="5">
        <v>45</v>
      </c>
      <c r="L1092" t="str">
        <f>Table_DataFromNL[[#This Row],[PROFILECODE]]&amp;"-"&amp;Table_DataFromNL[[#This Row],[RULENAME]]</f>
        <v>CP894-P NSP NS Standard</v>
      </c>
      <c r="M1092" t="str">
        <f t="shared" si="124"/>
        <v>CP894-RETURN - 1st don of the week -STD</v>
      </c>
    </row>
    <row r="1093" spans="1:13" x14ac:dyDescent="0.25">
      <c r="A1093" t="str">
        <f t="shared" si="125"/>
        <v>CP214-1st Responder-Medical</v>
      </c>
      <c r="B1093" t="s">
        <v>118</v>
      </c>
      <c r="C1093" t="str">
        <f t="shared" si="119"/>
        <v>Gainesville</v>
      </c>
      <c r="D1093" t="str">
        <f t="shared" si="120"/>
        <v>Y</v>
      </c>
      <c r="E1093" t="s">
        <v>625</v>
      </c>
      <c r="F1093" t="str">
        <f t="shared" si="121"/>
        <v>1st Responder-Medical</v>
      </c>
      <c r="G1093">
        <f t="shared" si="122"/>
        <v>0</v>
      </c>
      <c r="H1093" t="s">
        <v>545</v>
      </c>
      <c r="I1093">
        <f t="shared" si="123"/>
        <v>0</v>
      </c>
      <c r="J1093" t="s">
        <v>546</v>
      </c>
      <c r="K1093" s="5">
        <v>5</v>
      </c>
      <c r="L1093" t="str">
        <f>Table_DataFromNL[[#This Row],[PROFILECODE]]&amp;"-"&amp;Table_DataFromNL[[#This Row],[RULENAME]]</f>
        <v>CP214-1st Responder-Medical</v>
      </c>
      <c r="M1093" t="e">
        <f t="shared" si="124"/>
        <v>#N/A</v>
      </c>
    </row>
    <row r="1094" spans="1:13" x14ac:dyDescent="0.25">
      <c r="A1094" t="str">
        <f t="shared" si="125"/>
        <v>CP214-2X Week P HBS Pre-Existing</v>
      </c>
      <c r="B1094" t="s">
        <v>118</v>
      </c>
      <c r="C1094" t="str">
        <f t="shared" si="119"/>
        <v>Gainesville</v>
      </c>
      <c r="D1094" t="str">
        <f t="shared" si="120"/>
        <v>Y</v>
      </c>
      <c r="E1094" t="s">
        <v>625</v>
      </c>
      <c r="F1094" t="str">
        <f t="shared" si="121"/>
        <v>2X Week P HBS Pre-Existing</v>
      </c>
      <c r="G1094" t="str">
        <f t="shared" si="122"/>
        <v>Specialty</v>
      </c>
      <c r="H1094" t="s">
        <v>471</v>
      </c>
      <c r="I1094" t="str">
        <f t="shared" si="123"/>
        <v>RETURN - 2nd don of the week -BONUS</v>
      </c>
      <c r="J1094" t="s">
        <v>546</v>
      </c>
      <c r="K1094" s="5">
        <v>20</v>
      </c>
      <c r="L1094" t="str">
        <f>Table_DataFromNL[[#This Row],[PROFILECODE]]&amp;"-"&amp;Table_DataFromNL[[#This Row],[RULENAME]]</f>
        <v>CP214-2X Week P HBS Pre-Existing</v>
      </c>
      <c r="M1094" t="str">
        <f t="shared" si="124"/>
        <v>CP214-2X Week P HBS Pre-Existing</v>
      </c>
    </row>
    <row r="1095" spans="1:13" x14ac:dyDescent="0.25">
      <c r="A1095" t="str">
        <f t="shared" si="125"/>
        <v>CP214-2X Week P HBS TWINRX</v>
      </c>
      <c r="B1095" t="s">
        <v>118</v>
      </c>
      <c r="C1095" t="str">
        <f t="shared" si="119"/>
        <v>Gainesville</v>
      </c>
      <c r="D1095" t="str">
        <f t="shared" si="120"/>
        <v>Y</v>
      </c>
      <c r="E1095" t="s">
        <v>625</v>
      </c>
      <c r="F1095" t="str">
        <f t="shared" si="121"/>
        <v>2X Week P HBS TWINRX</v>
      </c>
      <c r="G1095" t="str">
        <f t="shared" si="122"/>
        <v>Specialty</v>
      </c>
      <c r="H1095" t="s">
        <v>504</v>
      </c>
      <c r="I1095" t="str">
        <f t="shared" si="123"/>
        <v>RETURN - 2nd don of the week -BONUS</v>
      </c>
      <c r="J1095" t="s">
        <v>546</v>
      </c>
      <c r="K1095" s="5">
        <v>20</v>
      </c>
      <c r="L1095" t="str">
        <f>Table_DataFromNL[[#This Row],[PROFILECODE]]&amp;"-"&amp;Table_DataFromNL[[#This Row],[RULENAME]]</f>
        <v>CP214-2X Week P HBS TWINRX</v>
      </c>
      <c r="M1095" t="str">
        <f t="shared" si="124"/>
        <v>CP214-2X Week P HBS TWINRX</v>
      </c>
    </row>
    <row r="1096" spans="1:13" x14ac:dyDescent="0.25">
      <c r="A1096" t="str">
        <f t="shared" si="125"/>
        <v>CP214-2X Week P HBS TWINRX-AP</v>
      </c>
      <c r="B1096" t="s">
        <v>118</v>
      </c>
      <c r="C1096" t="str">
        <f t="shared" si="119"/>
        <v>Gainesville</v>
      </c>
      <c r="D1096" t="str">
        <f t="shared" si="120"/>
        <v>Y</v>
      </c>
      <c r="E1096" t="s">
        <v>625</v>
      </c>
      <c r="F1096" t="str">
        <f t="shared" si="121"/>
        <v>2X Week P HBS TWINRX-AP</v>
      </c>
      <c r="G1096" t="str">
        <f t="shared" si="122"/>
        <v>Specialty</v>
      </c>
      <c r="H1096" t="s">
        <v>505</v>
      </c>
      <c r="I1096" t="str">
        <f t="shared" si="123"/>
        <v>RETURN - 2nd don of the week -BONUS</v>
      </c>
      <c r="J1096" t="s">
        <v>546</v>
      </c>
      <c r="K1096" s="5">
        <v>20</v>
      </c>
      <c r="L1096" t="str">
        <f>Table_DataFromNL[[#This Row],[PROFILECODE]]&amp;"-"&amp;Table_DataFromNL[[#This Row],[RULENAME]]</f>
        <v>CP214-2X Week P HBS TWINRX-AP</v>
      </c>
      <c r="M1096" t="str">
        <f t="shared" si="124"/>
        <v>CP214-2X Week P HBS TWINRX-AP</v>
      </c>
    </row>
    <row r="1097" spans="1:13" x14ac:dyDescent="0.25">
      <c r="A1097" t="str">
        <f t="shared" si="125"/>
        <v>CP214-RETURN - 2nd don of the week -BONUS</v>
      </c>
      <c r="B1097" t="s">
        <v>118</v>
      </c>
      <c r="C1097" t="str">
        <f t="shared" si="119"/>
        <v>Gainesville</v>
      </c>
      <c r="D1097" t="str">
        <f t="shared" si="120"/>
        <v>Y</v>
      </c>
      <c r="E1097" t="s">
        <v>625</v>
      </c>
      <c r="F1097" t="str">
        <f t="shared" si="121"/>
        <v>RETURN - 2nd don of the week -BONUS</v>
      </c>
      <c r="G1097" t="str">
        <f t="shared" si="122"/>
        <v>Marketing</v>
      </c>
      <c r="H1097" t="s">
        <v>550</v>
      </c>
      <c r="I1097">
        <f t="shared" si="123"/>
        <v>26</v>
      </c>
      <c r="J1097" t="s">
        <v>546</v>
      </c>
      <c r="K1097" s="5">
        <v>20</v>
      </c>
      <c r="L1097" t="str">
        <f>Table_DataFromNL[[#This Row],[PROFILECODE]]&amp;"-"&amp;Table_DataFromNL[[#This Row],[RULENAME]]</f>
        <v>CP214-2X Week P NSP NS</v>
      </c>
      <c r="M1097" t="str">
        <f t="shared" si="124"/>
        <v>CP214-RETURN - 2nd don of the week -BONUS</v>
      </c>
    </row>
    <row r="1098" spans="1:13" x14ac:dyDescent="0.25">
      <c r="A1098" t="str">
        <f t="shared" si="125"/>
        <v>CP214-RETURN - 2nd don of the week -BONUS</v>
      </c>
      <c r="B1098" t="s">
        <v>118</v>
      </c>
      <c r="C1098" t="str">
        <f t="shared" si="119"/>
        <v>Gainesville</v>
      </c>
      <c r="D1098" t="str">
        <f t="shared" si="120"/>
        <v>Y</v>
      </c>
      <c r="E1098" t="s">
        <v>625</v>
      </c>
      <c r="F1098" t="str">
        <f t="shared" si="121"/>
        <v>RETURN - 2nd don of the week -BONUS</v>
      </c>
      <c r="G1098" t="str">
        <f t="shared" si="122"/>
        <v>Marketing</v>
      </c>
      <c r="H1098" t="s">
        <v>551</v>
      </c>
      <c r="I1098" t="str">
        <f t="shared" si="123"/>
        <v>RETURN - 2nd don of the week -BONUS</v>
      </c>
      <c r="J1098" t="s">
        <v>546</v>
      </c>
      <c r="K1098" s="5">
        <v>20</v>
      </c>
      <c r="L1098" t="str">
        <f>Table_DataFromNL[[#This Row],[PROFILECODE]]&amp;"-"&amp;Table_DataFromNL[[#This Row],[RULENAME]]</f>
        <v>CP214-2X Week P NSP NS AP</v>
      </c>
      <c r="M1098" t="str">
        <f t="shared" si="124"/>
        <v>CP214-RETURN - 2nd don of the week -BONUS</v>
      </c>
    </row>
    <row r="1099" spans="1:13" x14ac:dyDescent="0.25">
      <c r="A1099" t="str">
        <f t="shared" si="125"/>
        <v>CP214-2X Week P VZV</v>
      </c>
      <c r="B1099" t="s">
        <v>118</v>
      </c>
      <c r="C1099" t="str">
        <f t="shared" si="119"/>
        <v>Gainesville</v>
      </c>
      <c r="D1099" t="str">
        <f t="shared" si="120"/>
        <v>Y</v>
      </c>
      <c r="E1099" t="s">
        <v>625</v>
      </c>
      <c r="F1099" t="str">
        <f t="shared" si="121"/>
        <v>2X Week P VZV</v>
      </c>
      <c r="G1099" t="str">
        <f t="shared" si="122"/>
        <v>Specialty</v>
      </c>
      <c r="H1099" t="s">
        <v>488</v>
      </c>
      <c r="I1099" t="str">
        <f t="shared" si="123"/>
        <v>RETURN - 2nd don of the week -BONUS</v>
      </c>
      <c r="J1099" t="s">
        <v>546</v>
      </c>
      <c r="K1099" s="5">
        <v>20</v>
      </c>
      <c r="L1099" t="str">
        <f>Table_DataFromNL[[#This Row],[PROFILECODE]]&amp;"-"&amp;Table_DataFromNL[[#This Row],[RULENAME]]</f>
        <v>CP214-2X Week P VZV</v>
      </c>
      <c r="M1099" t="str">
        <f t="shared" si="124"/>
        <v>CP214-2X Week P VZV</v>
      </c>
    </row>
    <row r="1100" spans="1:13" x14ac:dyDescent="0.25">
      <c r="A1100" t="str">
        <f t="shared" si="125"/>
        <v>CP214-2X Week P VZV AP</v>
      </c>
      <c r="B1100" t="s">
        <v>118</v>
      </c>
      <c r="C1100" t="str">
        <f t="shared" si="119"/>
        <v>Gainesville</v>
      </c>
      <c r="D1100" t="str">
        <f t="shared" si="120"/>
        <v>Y</v>
      </c>
      <c r="E1100" t="s">
        <v>625</v>
      </c>
      <c r="F1100" t="str">
        <f t="shared" si="121"/>
        <v>2X Week P VZV AP</v>
      </c>
      <c r="G1100" t="str">
        <f t="shared" si="122"/>
        <v>Specialty</v>
      </c>
      <c r="H1100" t="s">
        <v>489</v>
      </c>
      <c r="I1100" t="str">
        <f t="shared" si="123"/>
        <v>RETURN - 2nd don of the week -BONUS</v>
      </c>
      <c r="J1100" t="s">
        <v>546</v>
      </c>
      <c r="K1100" s="5">
        <v>20</v>
      </c>
      <c r="L1100" t="str">
        <f>Table_DataFromNL[[#This Row],[PROFILECODE]]&amp;"-"&amp;Table_DataFromNL[[#This Row],[RULENAME]]</f>
        <v>CP214-2X Week P VZV AP</v>
      </c>
      <c r="M1100" t="str">
        <f t="shared" si="124"/>
        <v>CP214-2X Week P VZV AP</v>
      </c>
    </row>
    <row r="1101" spans="1:13" x14ac:dyDescent="0.25">
      <c r="A1101" t="str">
        <f t="shared" si="125"/>
        <v>CP214-2X Week P VZV Pre-Existing</v>
      </c>
      <c r="B1101" t="s">
        <v>118</v>
      </c>
      <c r="C1101" t="str">
        <f t="shared" si="119"/>
        <v>Gainesville</v>
      </c>
      <c r="D1101" t="str">
        <f t="shared" si="120"/>
        <v>Y</v>
      </c>
      <c r="E1101" t="s">
        <v>625</v>
      </c>
      <c r="F1101" t="str">
        <f t="shared" si="121"/>
        <v>2X Week P VZV Pre-Existing</v>
      </c>
      <c r="G1101" t="str">
        <f t="shared" si="122"/>
        <v>Specialty</v>
      </c>
      <c r="H1101" t="s">
        <v>490</v>
      </c>
      <c r="I1101" t="str">
        <f t="shared" si="123"/>
        <v>RETURN - 2nd don of the week -BONUS</v>
      </c>
      <c r="J1101" t="s">
        <v>546</v>
      </c>
      <c r="K1101" s="5">
        <v>20</v>
      </c>
      <c r="L1101" t="str">
        <f>Table_DataFromNL[[#This Row],[PROFILECODE]]&amp;"-"&amp;Table_DataFromNL[[#This Row],[RULENAME]]</f>
        <v>CP214-2X Week P VZV Pre-Existing</v>
      </c>
      <c r="M1101" t="str">
        <f t="shared" si="124"/>
        <v>CP214-2X Week P VZV Pre-Existing</v>
      </c>
    </row>
    <row r="1102" spans="1:13" x14ac:dyDescent="0.25">
      <c r="A1102" t="str">
        <f t="shared" si="125"/>
        <v>CP214-2X Week P VZV Pre-Existing AP</v>
      </c>
      <c r="B1102" t="s">
        <v>118</v>
      </c>
      <c r="C1102" t="str">
        <f t="shared" si="119"/>
        <v>Gainesville</v>
      </c>
      <c r="D1102" t="str">
        <f t="shared" si="120"/>
        <v>Y</v>
      </c>
      <c r="E1102" t="s">
        <v>625</v>
      </c>
      <c r="F1102" t="str">
        <f t="shared" si="121"/>
        <v>2X Week P VZV Pre-Existing AP</v>
      </c>
      <c r="G1102" t="str">
        <f t="shared" si="122"/>
        <v>Specialty</v>
      </c>
      <c r="H1102" t="s">
        <v>491</v>
      </c>
      <c r="I1102" t="str">
        <f t="shared" si="123"/>
        <v>RETURN - 2nd don of the week -BONUS</v>
      </c>
      <c r="J1102" t="s">
        <v>546</v>
      </c>
      <c r="K1102" s="5">
        <v>20</v>
      </c>
      <c r="L1102" t="str">
        <f>Table_DataFromNL[[#This Row],[PROFILECODE]]&amp;"-"&amp;Table_DataFromNL[[#This Row],[RULENAME]]</f>
        <v>CP214-2X Week P VZV Pre-Existing AP</v>
      </c>
      <c r="M1102" t="str">
        <f t="shared" si="124"/>
        <v>CP214-2X Week P VZV Pre-Existing AP</v>
      </c>
    </row>
    <row r="1103" spans="1:13" x14ac:dyDescent="0.25">
      <c r="A1103" t="str">
        <f t="shared" si="125"/>
        <v>CP214-College ID Standard Bonus</v>
      </c>
      <c r="B1103" t="s">
        <v>118</v>
      </c>
      <c r="C1103" t="str">
        <f t="shared" si="119"/>
        <v>Gainesville</v>
      </c>
      <c r="D1103" t="str">
        <f t="shared" si="120"/>
        <v>Y</v>
      </c>
      <c r="E1103" t="s">
        <v>625</v>
      </c>
      <c r="F1103" t="str">
        <f t="shared" si="121"/>
        <v>College ID Standard Bonus</v>
      </c>
      <c r="G1103">
        <f t="shared" si="122"/>
        <v>0</v>
      </c>
      <c r="H1103" t="s">
        <v>553</v>
      </c>
      <c r="I1103">
        <f t="shared" si="123"/>
        <v>0</v>
      </c>
      <c r="J1103" t="s">
        <v>546</v>
      </c>
      <c r="K1103" s="5">
        <v>5</v>
      </c>
      <c r="L1103" t="str">
        <f>Table_DataFromNL[[#This Row],[PROFILECODE]]&amp;"-"&amp;Table_DataFromNL[[#This Row],[RULENAME]]</f>
        <v>CP214-College ID Standard Bonus</v>
      </c>
      <c r="M1103" t="e">
        <f t="shared" si="124"/>
        <v>#N/A</v>
      </c>
    </row>
    <row r="1104" spans="1:13" x14ac:dyDescent="0.25">
      <c r="A1104" t="str">
        <f t="shared" si="125"/>
        <v>CP214-Military ID</v>
      </c>
      <c r="B1104" t="s">
        <v>118</v>
      </c>
      <c r="C1104" t="str">
        <f t="shared" si="119"/>
        <v>Gainesville</v>
      </c>
      <c r="D1104" t="str">
        <f t="shared" si="120"/>
        <v>Y</v>
      </c>
      <c r="E1104" t="s">
        <v>625</v>
      </c>
      <c r="F1104" t="str">
        <f t="shared" si="121"/>
        <v>Military ID</v>
      </c>
      <c r="G1104">
        <f t="shared" si="122"/>
        <v>0</v>
      </c>
      <c r="H1104" t="s">
        <v>554</v>
      </c>
      <c r="I1104">
        <f t="shared" si="123"/>
        <v>0</v>
      </c>
      <c r="J1104" t="s">
        <v>546</v>
      </c>
      <c r="K1104" s="5">
        <v>5</v>
      </c>
      <c r="L1104" t="str">
        <f>Table_DataFromNL[[#This Row],[PROFILECODE]]&amp;"-"&amp;Table_DataFromNL[[#This Row],[RULENAME]]</f>
        <v>CP214-Military ID</v>
      </c>
      <c r="M1104" t="e">
        <f t="shared" si="124"/>
        <v>#N/A</v>
      </c>
    </row>
    <row r="1105" spans="1:13" x14ac:dyDescent="0.25">
      <c r="A1105" t="str">
        <f t="shared" si="125"/>
        <v>CP214-NEW DONOR -1st</v>
      </c>
      <c r="B1105" t="s">
        <v>118</v>
      </c>
      <c r="C1105" t="str">
        <f t="shared" si="119"/>
        <v>Gainesville</v>
      </c>
      <c r="D1105" t="str">
        <f t="shared" si="120"/>
        <v>Y</v>
      </c>
      <c r="E1105" t="s">
        <v>625</v>
      </c>
      <c r="F1105" t="str">
        <f t="shared" si="121"/>
        <v>NEW DONOR -1st</v>
      </c>
      <c r="G1105" t="str">
        <f t="shared" si="122"/>
        <v>Marketing</v>
      </c>
      <c r="H1105" t="s">
        <v>555</v>
      </c>
      <c r="I1105">
        <f t="shared" si="123"/>
        <v>1</v>
      </c>
      <c r="J1105" t="s">
        <v>546</v>
      </c>
      <c r="K1105" s="5">
        <v>100</v>
      </c>
      <c r="L1105" t="str">
        <f>Table_DataFromNL[[#This Row],[PROFILECODE]]&amp;"-"&amp;Table_DataFromNL[[#This Row],[RULENAME]]</f>
        <v>CP214-New Donor 1st Visit-Bonus</v>
      </c>
      <c r="M1105" t="str">
        <f t="shared" si="124"/>
        <v>CP214-NEW DONOR -1st</v>
      </c>
    </row>
    <row r="1106" spans="1:13" x14ac:dyDescent="0.25">
      <c r="A1106" t="str">
        <f t="shared" si="125"/>
        <v>CP214-NEW DONOR -2nd</v>
      </c>
      <c r="B1106" t="s">
        <v>118</v>
      </c>
      <c r="C1106" t="str">
        <f t="shared" si="119"/>
        <v>Gainesville</v>
      </c>
      <c r="D1106" t="str">
        <f t="shared" si="120"/>
        <v>Y</v>
      </c>
      <c r="E1106" t="s">
        <v>625</v>
      </c>
      <c r="F1106" t="str">
        <f t="shared" si="121"/>
        <v>NEW DONOR -2nd</v>
      </c>
      <c r="G1106" t="str">
        <f t="shared" si="122"/>
        <v>Marketing</v>
      </c>
      <c r="H1106" t="s">
        <v>556</v>
      </c>
      <c r="I1106">
        <f t="shared" si="123"/>
        <v>2</v>
      </c>
      <c r="J1106" t="s">
        <v>546</v>
      </c>
      <c r="K1106" s="5">
        <v>100</v>
      </c>
      <c r="L1106" t="str">
        <f>Table_DataFromNL[[#This Row],[PROFILECODE]]&amp;"-"&amp;Table_DataFromNL[[#This Row],[RULENAME]]</f>
        <v>CP214-New Donor 2nd Visit-Bonus</v>
      </c>
      <c r="M1106" t="str">
        <f t="shared" si="124"/>
        <v>CP214-NEW DONOR -2nd</v>
      </c>
    </row>
    <row r="1107" spans="1:13" x14ac:dyDescent="0.25">
      <c r="A1107" t="str">
        <f t="shared" si="125"/>
        <v>CP214-NEW DONOR -3rd</v>
      </c>
      <c r="B1107" t="s">
        <v>118</v>
      </c>
      <c r="C1107" t="str">
        <f t="shared" si="119"/>
        <v>Gainesville</v>
      </c>
      <c r="D1107" t="str">
        <f t="shared" si="120"/>
        <v>Y</v>
      </c>
      <c r="E1107" t="s">
        <v>625</v>
      </c>
      <c r="F1107" t="str">
        <f t="shared" si="121"/>
        <v>NEW DONOR -3rd</v>
      </c>
      <c r="G1107" t="str">
        <f t="shared" si="122"/>
        <v>Marketing</v>
      </c>
      <c r="H1107" t="s">
        <v>557</v>
      </c>
      <c r="I1107">
        <f t="shared" si="123"/>
        <v>3</v>
      </c>
      <c r="J1107" t="s">
        <v>546</v>
      </c>
      <c r="K1107" s="5">
        <v>100</v>
      </c>
      <c r="L1107" t="str">
        <f>Table_DataFromNL[[#This Row],[PROFILECODE]]&amp;"-"&amp;Table_DataFromNL[[#This Row],[RULENAME]]</f>
        <v>CP214-New Donor 3rd Visit-Bonus</v>
      </c>
      <c r="M1107" t="str">
        <f t="shared" si="124"/>
        <v>CP214-NEW DONOR -3rd</v>
      </c>
    </row>
    <row r="1108" spans="1:13" x14ac:dyDescent="0.25">
      <c r="A1108" t="str">
        <f t="shared" si="125"/>
        <v>CP214-NEW DONOR -4th</v>
      </c>
      <c r="B1108" t="s">
        <v>118</v>
      </c>
      <c r="C1108" t="str">
        <f t="shared" si="119"/>
        <v>Gainesville</v>
      </c>
      <c r="D1108" t="str">
        <f t="shared" si="120"/>
        <v>Y</v>
      </c>
      <c r="E1108" t="s">
        <v>625</v>
      </c>
      <c r="F1108" t="str">
        <f t="shared" si="121"/>
        <v>NEW DONOR -4th</v>
      </c>
      <c r="G1108" t="str">
        <f t="shared" si="122"/>
        <v>Marketing</v>
      </c>
      <c r="H1108" t="s">
        <v>558</v>
      </c>
      <c r="I1108">
        <f t="shared" si="123"/>
        <v>4</v>
      </c>
      <c r="J1108" t="s">
        <v>546</v>
      </c>
      <c r="K1108" s="5">
        <v>100</v>
      </c>
      <c r="L1108" t="str">
        <f>Table_DataFromNL[[#This Row],[PROFILECODE]]&amp;"-"&amp;Table_DataFromNL[[#This Row],[RULENAME]]</f>
        <v>CP214-New Donor 4th Visit-Bonus</v>
      </c>
      <c r="M1108" t="str">
        <f t="shared" si="124"/>
        <v>CP214-NEW DONOR -4th</v>
      </c>
    </row>
    <row r="1109" spans="1:13" x14ac:dyDescent="0.25">
      <c r="A1109" t="str">
        <f t="shared" si="125"/>
        <v>CP214-NEW DONOR -5th</v>
      </c>
      <c r="B1109" t="s">
        <v>118</v>
      </c>
      <c r="C1109" t="str">
        <f t="shared" si="119"/>
        <v>Gainesville</v>
      </c>
      <c r="D1109" t="str">
        <f t="shared" si="120"/>
        <v>Y</v>
      </c>
      <c r="E1109" t="s">
        <v>625</v>
      </c>
      <c r="F1109" t="str">
        <f t="shared" si="121"/>
        <v>NEW DONOR -5th</v>
      </c>
      <c r="G1109" t="str">
        <f t="shared" si="122"/>
        <v>Marketing</v>
      </c>
      <c r="H1109" t="s">
        <v>559</v>
      </c>
      <c r="I1109">
        <f t="shared" si="123"/>
        <v>5</v>
      </c>
      <c r="J1109" t="s">
        <v>546</v>
      </c>
      <c r="K1109" s="5">
        <v>55</v>
      </c>
      <c r="L1109" t="str">
        <f>Table_DataFromNL[[#This Row],[PROFILECODE]]&amp;"-"&amp;Table_DataFromNL[[#This Row],[RULENAME]]</f>
        <v>CP214-New Donor 5th Visit-Bonus</v>
      </c>
      <c r="M1109" t="str">
        <f t="shared" si="124"/>
        <v>CP214-NEW DONOR -5th</v>
      </c>
    </row>
    <row r="1110" spans="1:13" x14ac:dyDescent="0.25">
      <c r="A1110" t="str">
        <f t="shared" si="125"/>
        <v>CP214-NEW DONOR -6th</v>
      </c>
      <c r="B1110" t="s">
        <v>118</v>
      </c>
      <c r="C1110" t="str">
        <f t="shared" si="119"/>
        <v>Gainesville</v>
      </c>
      <c r="D1110" t="str">
        <f t="shared" si="120"/>
        <v>Y</v>
      </c>
      <c r="E1110" t="s">
        <v>625</v>
      </c>
      <c r="F1110" t="str">
        <f t="shared" si="121"/>
        <v>NEW DONOR -6th</v>
      </c>
      <c r="G1110" t="str">
        <f t="shared" si="122"/>
        <v>Marketing</v>
      </c>
      <c r="H1110" t="s">
        <v>560</v>
      </c>
      <c r="I1110">
        <f t="shared" si="123"/>
        <v>6</v>
      </c>
      <c r="J1110" t="s">
        <v>546</v>
      </c>
      <c r="K1110" s="5">
        <v>55</v>
      </c>
      <c r="L1110" t="str">
        <f>Table_DataFromNL[[#This Row],[PROFILECODE]]&amp;"-"&amp;Table_DataFromNL[[#This Row],[RULENAME]]</f>
        <v>CP214-New Donor 6th Visit-Bonus</v>
      </c>
      <c r="M1110" t="str">
        <f t="shared" si="124"/>
        <v>CP214-NEW DONOR -6th</v>
      </c>
    </row>
    <row r="1111" spans="1:13" x14ac:dyDescent="0.25">
      <c r="A1111" t="str">
        <f t="shared" si="125"/>
        <v>CP214-NEW DONOR -7th</v>
      </c>
      <c r="B1111" t="s">
        <v>118</v>
      </c>
      <c r="C1111" t="str">
        <f t="shared" si="119"/>
        <v>Gainesville</v>
      </c>
      <c r="D1111" t="str">
        <f t="shared" si="120"/>
        <v>Y</v>
      </c>
      <c r="E1111" t="s">
        <v>625</v>
      </c>
      <c r="F1111" t="str">
        <f t="shared" si="121"/>
        <v>NEW DONOR -7th</v>
      </c>
      <c r="G1111" t="str">
        <f t="shared" si="122"/>
        <v>Marketing</v>
      </c>
      <c r="H1111" t="s">
        <v>561</v>
      </c>
      <c r="I1111">
        <f t="shared" si="123"/>
        <v>7</v>
      </c>
      <c r="J1111" t="s">
        <v>546</v>
      </c>
      <c r="K1111" s="5">
        <v>55</v>
      </c>
      <c r="L1111" t="str">
        <f>Table_DataFromNL[[#This Row],[PROFILECODE]]&amp;"-"&amp;Table_DataFromNL[[#This Row],[RULENAME]]</f>
        <v>CP214-New Donor 7th Visit-Bonus</v>
      </c>
      <c r="M1111" t="str">
        <f t="shared" si="124"/>
        <v>CP214-NEW DONOR -7th</v>
      </c>
    </row>
    <row r="1112" spans="1:13" x14ac:dyDescent="0.25">
      <c r="A1112" t="str">
        <f t="shared" si="125"/>
        <v>CP214-NEW DONOR -8th</v>
      </c>
      <c r="B1112" t="s">
        <v>118</v>
      </c>
      <c r="C1112" t="str">
        <f t="shared" si="119"/>
        <v>Gainesville</v>
      </c>
      <c r="D1112" t="str">
        <f t="shared" si="120"/>
        <v>Y</v>
      </c>
      <c r="E1112" t="s">
        <v>625</v>
      </c>
      <c r="F1112" t="str">
        <f t="shared" si="121"/>
        <v>NEW DONOR -8th</v>
      </c>
      <c r="G1112" t="str">
        <f t="shared" si="122"/>
        <v>Marketing</v>
      </c>
      <c r="H1112" t="s">
        <v>562</v>
      </c>
      <c r="I1112">
        <f t="shared" si="123"/>
        <v>8</v>
      </c>
      <c r="J1112" t="s">
        <v>546</v>
      </c>
      <c r="K1112" s="5">
        <v>55</v>
      </c>
      <c r="L1112" t="str">
        <f>Table_DataFromNL[[#This Row],[PROFILECODE]]&amp;"-"&amp;Table_DataFromNL[[#This Row],[RULENAME]]</f>
        <v>CP214-New Donor 8th Visit-Bonus</v>
      </c>
      <c r="M1112" t="str">
        <f t="shared" si="124"/>
        <v>CP214-NEW DONOR -8th</v>
      </c>
    </row>
    <row r="1113" spans="1:13" x14ac:dyDescent="0.25">
      <c r="A1113" t="str">
        <f t="shared" si="125"/>
        <v>CP214-Vaccinia - 1st Donation</v>
      </c>
      <c r="B1113" t="s">
        <v>118</v>
      </c>
      <c r="C1113" t="str">
        <f t="shared" si="119"/>
        <v>Gainesville</v>
      </c>
      <c r="D1113" t="str">
        <f t="shared" si="120"/>
        <v>Y</v>
      </c>
      <c r="E1113" t="s">
        <v>625</v>
      </c>
      <c r="F1113" t="str">
        <f t="shared" si="121"/>
        <v>Vaccinia - 1st Donation</v>
      </c>
      <c r="G1113" t="str">
        <f t="shared" si="122"/>
        <v>Specialty</v>
      </c>
      <c r="H1113" t="s">
        <v>477</v>
      </c>
      <c r="I1113">
        <f t="shared" si="123"/>
        <v>0</v>
      </c>
      <c r="J1113" t="s">
        <v>546</v>
      </c>
      <c r="K1113" s="5">
        <v>150</v>
      </c>
      <c r="L1113" t="str">
        <f>Table_DataFromNL[[#This Row],[PROFILECODE]]&amp;"-"&amp;Table_DataFromNL[[#This Row],[RULENAME]]</f>
        <v>CP214-Vaccinia - 1st Donation</v>
      </c>
      <c r="M1113" t="str">
        <f t="shared" si="124"/>
        <v>CP214-Vaccinia - 1st Donation</v>
      </c>
    </row>
    <row r="1114" spans="1:13" x14ac:dyDescent="0.25">
      <c r="A1114" t="str">
        <f t="shared" si="125"/>
        <v>CP214-Vaccinia - 2nd Donation</v>
      </c>
      <c r="B1114" t="s">
        <v>118</v>
      </c>
      <c r="C1114" t="str">
        <f t="shared" si="119"/>
        <v>Gainesville</v>
      </c>
      <c r="D1114" t="str">
        <f t="shared" si="120"/>
        <v>Y</v>
      </c>
      <c r="E1114" t="s">
        <v>625</v>
      </c>
      <c r="F1114" t="str">
        <f t="shared" si="121"/>
        <v>Vaccinia - 2nd Donation</v>
      </c>
      <c r="G1114" t="str">
        <f t="shared" si="122"/>
        <v>Specialty</v>
      </c>
      <c r="H1114" t="s">
        <v>478</v>
      </c>
      <c r="I1114">
        <f t="shared" si="123"/>
        <v>0</v>
      </c>
      <c r="J1114" t="s">
        <v>546</v>
      </c>
      <c r="K1114" s="5">
        <v>250</v>
      </c>
      <c r="L1114" t="str">
        <f>Table_DataFromNL[[#This Row],[PROFILECODE]]&amp;"-"&amp;Table_DataFromNL[[#This Row],[RULENAME]]</f>
        <v>CP214-Vaccinia - 2nd Donation</v>
      </c>
      <c r="M1114" t="str">
        <f t="shared" si="124"/>
        <v>CP214-Vaccinia - 2nd Donation</v>
      </c>
    </row>
    <row r="1115" spans="1:13" x14ac:dyDescent="0.25">
      <c r="A1115" t="str">
        <f t="shared" si="125"/>
        <v>CP214-Vaccinia - 3rd Donation</v>
      </c>
      <c r="B1115" t="s">
        <v>118</v>
      </c>
      <c r="C1115" t="str">
        <f t="shared" si="119"/>
        <v>Gainesville</v>
      </c>
      <c r="D1115" t="str">
        <f t="shared" si="120"/>
        <v>Y</v>
      </c>
      <c r="E1115" t="s">
        <v>625</v>
      </c>
      <c r="F1115" t="str">
        <f t="shared" si="121"/>
        <v>Vaccinia - 3rd Donation</v>
      </c>
      <c r="G1115" t="str">
        <f t="shared" si="122"/>
        <v>Specialty</v>
      </c>
      <c r="H1115" t="s">
        <v>479</v>
      </c>
      <c r="I1115">
        <f t="shared" si="123"/>
        <v>0</v>
      </c>
      <c r="J1115" t="s">
        <v>546</v>
      </c>
      <c r="K1115" s="5">
        <v>300</v>
      </c>
      <c r="L1115" t="str">
        <f>Table_DataFromNL[[#This Row],[PROFILECODE]]&amp;"-"&amp;Table_DataFromNL[[#This Row],[RULENAME]]</f>
        <v>CP214-Vaccinia - 3rd Donation</v>
      </c>
      <c r="M1115" t="str">
        <f t="shared" si="124"/>
        <v>CP214-Vaccinia - 3rd Donation</v>
      </c>
    </row>
    <row r="1116" spans="1:13" x14ac:dyDescent="0.25">
      <c r="A1116" t="str">
        <f t="shared" si="125"/>
        <v>CP214-Vaccinia - 4th Donation</v>
      </c>
      <c r="B1116" t="s">
        <v>118</v>
      </c>
      <c r="C1116" t="str">
        <f t="shared" si="119"/>
        <v>Gainesville</v>
      </c>
      <c r="D1116" t="str">
        <f t="shared" si="120"/>
        <v>Y</v>
      </c>
      <c r="E1116" t="s">
        <v>625</v>
      </c>
      <c r="F1116" t="str">
        <f t="shared" si="121"/>
        <v>Vaccinia - 4th Donation</v>
      </c>
      <c r="G1116" t="str">
        <f t="shared" si="122"/>
        <v>Specialty</v>
      </c>
      <c r="H1116" t="s">
        <v>480</v>
      </c>
      <c r="I1116">
        <f t="shared" si="123"/>
        <v>0</v>
      </c>
      <c r="J1116" t="s">
        <v>546</v>
      </c>
      <c r="K1116" s="5">
        <v>300</v>
      </c>
      <c r="L1116" t="str">
        <f>Table_DataFromNL[[#This Row],[PROFILECODE]]&amp;"-"&amp;Table_DataFromNL[[#This Row],[RULENAME]]</f>
        <v>CP214-Vaccinia - 4th Donation</v>
      </c>
      <c r="M1116" t="str">
        <f t="shared" si="124"/>
        <v>CP214-Vaccinia - 4th Donation</v>
      </c>
    </row>
    <row r="1117" spans="1:13" x14ac:dyDescent="0.25">
      <c r="A1117" t="str">
        <f t="shared" si="125"/>
        <v>CP214-Vaccinia AP - 1st Donation</v>
      </c>
      <c r="B1117" t="s">
        <v>118</v>
      </c>
      <c r="C1117" t="str">
        <f t="shared" si="119"/>
        <v>Gainesville</v>
      </c>
      <c r="D1117" t="str">
        <f t="shared" si="120"/>
        <v>Y</v>
      </c>
      <c r="E1117" t="s">
        <v>625</v>
      </c>
      <c r="F1117" t="str">
        <f t="shared" si="121"/>
        <v>Vaccinia AP - 1st Donation</v>
      </c>
      <c r="G1117" t="str">
        <f t="shared" si="122"/>
        <v>Specialty</v>
      </c>
      <c r="H1117" t="s">
        <v>481</v>
      </c>
      <c r="I1117">
        <f t="shared" si="123"/>
        <v>0</v>
      </c>
      <c r="J1117" t="s">
        <v>546</v>
      </c>
      <c r="K1117" s="5">
        <v>150</v>
      </c>
      <c r="L1117" t="str">
        <f>Table_DataFromNL[[#This Row],[PROFILECODE]]&amp;"-"&amp;Table_DataFromNL[[#This Row],[RULENAME]]</f>
        <v>CP214-Vaccinia AP - 1st Donation</v>
      </c>
      <c r="M1117" t="str">
        <f t="shared" si="124"/>
        <v>CP214-Vaccinia AP - 1st Donation</v>
      </c>
    </row>
    <row r="1118" spans="1:13" x14ac:dyDescent="0.25">
      <c r="A1118" t="str">
        <f t="shared" si="125"/>
        <v>CP214-Vaccinia AP - 2nd Donation</v>
      </c>
      <c r="B1118" t="s">
        <v>118</v>
      </c>
      <c r="C1118" t="str">
        <f t="shared" si="119"/>
        <v>Gainesville</v>
      </c>
      <c r="D1118" t="str">
        <f t="shared" si="120"/>
        <v>Y</v>
      </c>
      <c r="E1118" t="s">
        <v>625</v>
      </c>
      <c r="F1118" t="str">
        <f t="shared" si="121"/>
        <v>Vaccinia AP - 2nd Donation</v>
      </c>
      <c r="G1118" t="str">
        <f t="shared" si="122"/>
        <v>Specialty</v>
      </c>
      <c r="H1118" t="s">
        <v>482</v>
      </c>
      <c r="I1118">
        <f t="shared" si="123"/>
        <v>0</v>
      </c>
      <c r="J1118" t="s">
        <v>546</v>
      </c>
      <c r="K1118" s="5">
        <v>250</v>
      </c>
      <c r="L1118" t="str">
        <f>Table_DataFromNL[[#This Row],[PROFILECODE]]&amp;"-"&amp;Table_DataFromNL[[#This Row],[RULENAME]]</f>
        <v>CP214-Vaccinia AP - 2nd Donation</v>
      </c>
      <c r="M1118" t="str">
        <f t="shared" si="124"/>
        <v>CP214-Vaccinia AP - 2nd Donation</v>
      </c>
    </row>
    <row r="1119" spans="1:13" x14ac:dyDescent="0.25">
      <c r="A1119" t="str">
        <f t="shared" si="125"/>
        <v>CP214-Vaccinia AP - 3rd Donation</v>
      </c>
      <c r="B1119" t="s">
        <v>118</v>
      </c>
      <c r="C1119" t="str">
        <f t="shared" si="119"/>
        <v>Gainesville</v>
      </c>
      <c r="D1119" t="str">
        <f t="shared" si="120"/>
        <v>Y</v>
      </c>
      <c r="E1119" t="s">
        <v>625</v>
      </c>
      <c r="F1119" t="str">
        <f t="shared" si="121"/>
        <v>Vaccinia AP - 3rd Donation</v>
      </c>
      <c r="G1119" t="str">
        <f t="shared" si="122"/>
        <v>Specialty</v>
      </c>
      <c r="H1119" t="s">
        <v>483</v>
      </c>
      <c r="I1119">
        <f t="shared" si="123"/>
        <v>0</v>
      </c>
      <c r="J1119" t="s">
        <v>546</v>
      </c>
      <c r="K1119" s="5">
        <v>300</v>
      </c>
      <c r="L1119" t="str">
        <f>Table_DataFromNL[[#This Row],[PROFILECODE]]&amp;"-"&amp;Table_DataFromNL[[#This Row],[RULENAME]]</f>
        <v>CP214-Vaccinia AP - 3rd Donation</v>
      </c>
      <c r="M1119" t="str">
        <f t="shared" si="124"/>
        <v>CP214-Vaccinia AP - 3rd Donation</v>
      </c>
    </row>
    <row r="1120" spans="1:13" x14ac:dyDescent="0.25">
      <c r="A1120" t="str">
        <f t="shared" si="125"/>
        <v>CP214-Vaccinia AP - 4th Donation</v>
      </c>
      <c r="B1120" t="s">
        <v>118</v>
      </c>
      <c r="C1120" t="str">
        <f t="shared" si="119"/>
        <v>Gainesville</v>
      </c>
      <c r="D1120" t="str">
        <f t="shared" si="120"/>
        <v>Y</v>
      </c>
      <c r="E1120" t="s">
        <v>625</v>
      </c>
      <c r="F1120" t="str">
        <f t="shared" si="121"/>
        <v>Vaccinia AP - 4th Donation</v>
      </c>
      <c r="G1120" t="str">
        <f t="shared" si="122"/>
        <v>Specialty</v>
      </c>
      <c r="H1120" t="s">
        <v>484</v>
      </c>
      <c r="I1120">
        <f t="shared" si="123"/>
        <v>0</v>
      </c>
      <c r="J1120" t="s">
        <v>546</v>
      </c>
      <c r="K1120" s="5">
        <v>300</v>
      </c>
      <c r="L1120" t="str">
        <f>Table_DataFromNL[[#This Row],[PROFILECODE]]&amp;"-"&amp;Table_DataFromNL[[#This Row],[RULENAME]]</f>
        <v>CP214-Vaccinia AP - 4th Donation</v>
      </c>
      <c r="M1120" t="str">
        <f t="shared" si="124"/>
        <v>CP214-Vaccinia AP - 4th Donation</v>
      </c>
    </row>
    <row r="1121" spans="1:13" x14ac:dyDescent="0.25">
      <c r="A1121" t="str">
        <f t="shared" si="125"/>
        <v>CP214-Community</v>
      </c>
      <c r="B1121" t="s">
        <v>118</v>
      </c>
      <c r="C1121" t="str">
        <f t="shared" si="119"/>
        <v>Gainesville</v>
      </c>
      <c r="D1121" t="str">
        <f t="shared" si="120"/>
        <v>Y</v>
      </c>
      <c r="E1121" t="s">
        <v>625</v>
      </c>
      <c r="F1121" t="str">
        <f t="shared" si="121"/>
        <v>Community</v>
      </c>
      <c r="G1121">
        <f t="shared" si="122"/>
        <v>0</v>
      </c>
      <c r="H1121" t="s">
        <v>563</v>
      </c>
      <c r="I1121">
        <f t="shared" si="123"/>
        <v>0</v>
      </c>
      <c r="J1121" t="s">
        <v>564</v>
      </c>
      <c r="K1121" s="5">
        <v>5</v>
      </c>
      <c r="L1121" t="str">
        <f>Table_DataFromNL[[#This Row],[PROFILECODE]]&amp;"-"&amp;Table_DataFromNL[[#This Row],[RULENAME]]</f>
        <v>CP214-Community</v>
      </c>
      <c r="M1121" t="e">
        <f t="shared" si="124"/>
        <v>#N/A</v>
      </c>
    </row>
    <row r="1122" spans="1:13" x14ac:dyDescent="0.25">
      <c r="A1122" t="str">
        <f t="shared" si="125"/>
        <v>CP214-HANGER_RECRUIT_5USD_once</v>
      </c>
      <c r="B1122" t="s">
        <v>118</v>
      </c>
      <c r="C1122" t="str">
        <f t="shared" si="119"/>
        <v>Gainesville</v>
      </c>
      <c r="D1122" t="str">
        <f t="shared" si="120"/>
        <v>Y</v>
      </c>
      <c r="E1122" t="s">
        <v>625</v>
      </c>
      <c r="F1122" t="str">
        <f t="shared" si="121"/>
        <v>HANGER_RECRUIT_5USD_once</v>
      </c>
      <c r="G1122">
        <f t="shared" si="122"/>
        <v>0</v>
      </c>
      <c r="H1122" t="s">
        <v>565</v>
      </c>
      <c r="I1122">
        <f t="shared" si="123"/>
        <v>0</v>
      </c>
      <c r="J1122" t="s">
        <v>564</v>
      </c>
      <c r="K1122" s="5">
        <v>5</v>
      </c>
      <c r="L1122" t="str">
        <f>Table_DataFromNL[[#This Row],[PROFILECODE]]&amp;"-"&amp;Table_DataFromNL[[#This Row],[RULENAME]]</f>
        <v>CP214-HANGER_RECRUIT_5USD_once</v>
      </c>
      <c r="M1122" t="e">
        <f t="shared" si="124"/>
        <v>#N/A</v>
      </c>
    </row>
    <row r="1123" spans="1:13" x14ac:dyDescent="0.25">
      <c r="A1123" t="str">
        <f t="shared" si="125"/>
        <v>CP214-Immunization Boost Payment</v>
      </c>
      <c r="B1123" t="s">
        <v>118</v>
      </c>
      <c r="C1123" t="str">
        <f t="shared" si="119"/>
        <v>Gainesville</v>
      </c>
      <c r="D1123" t="str">
        <f t="shared" si="120"/>
        <v>Y</v>
      </c>
      <c r="E1123" t="s">
        <v>625</v>
      </c>
      <c r="F1123" t="str">
        <f t="shared" si="121"/>
        <v>Immunization Boost Payment</v>
      </c>
      <c r="G1123">
        <f t="shared" si="122"/>
        <v>0</v>
      </c>
      <c r="H1123" t="s">
        <v>598</v>
      </c>
      <c r="I1123">
        <f t="shared" si="123"/>
        <v>0</v>
      </c>
      <c r="J1123" t="s">
        <v>564</v>
      </c>
      <c r="K1123" s="5">
        <v>50</v>
      </c>
      <c r="L1123" t="str">
        <f>Table_DataFromNL[[#This Row],[PROFILECODE]]&amp;"-"&amp;Table_DataFromNL[[#This Row],[RULENAME]]</f>
        <v>CP214-Immunization Boost Payment</v>
      </c>
      <c r="M1123" t="e">
        <f t="shared" si="124"/>
        <v>#N/A</v>
      </c>
    </row>
    <row r="1124" spans="1:13" x14ac:dyDescent="0.25">
      <c r="A1124" t="str">
        <f t="shared" si="125"/>
        <v>CP214-Immunization Series Payment</v>
      </c>
      <c r="B1124" t="s">
        <v>118</v>
      </c>
      <c r="C1124" t="str">
        <f t="shared" si="119"/>
        <v>Gainesville</v>
      </c>
      <c r="D1124" t="str">
        <f t="shared" si="120"/>
        <v>Y</v>
      </c>
      <c r="E1124" t="s">
        <v>625</v>
      </c>
      <c r="F1124" t="str">
        <f t="shared" si="121"/>
        <v>Immunization Series Payment</v>
      </c>
      <c r="G1124">
        <f t="shared" si="122"/>
        <v>0</v>
      </c>
      <c r="H1124" t="s">
        <v>599</v>
      </c>
      <c r="I1124">
        <f t="shared" si="123"/>
        <v>0</v>
      </c>
      <c r="J1124" t="s">
        <v>564</v>
      </c>
      <c r="K1124" s="5">
        <v>100</v>
      </c>
      <c r="L1124" t="str">
        <f>Table_DataFromNL[[#This Row],[PROFILECODE]]&amp;"-"&amp;Table_DataFromNL[[#This Row],[RULENAME]]</f>
        <v>CP214-Immunization Series Payment</v>
      </c>
      <c r="M1124" t="e">
        <f t="shared" si="124"/>
        <v>#N/A</v>
      </c>
    </row>
    <row r="1125" spans="1:13" x14ac:dyDescent="0.25">
      <c r="A1125" t="str">
        <f t="shared" si="125"/>
        <v>CP214-Inconv Fee $20-$50-Comment Req'd</v>
      </c>
      <c r="B1125" t="s">
        <v>118</v>
      </c>
      <c r="C1125" t="str">
        <f t="shared" si="119"/>
        <v>Gainesville</v>
      </c>
      <c r="D1125" t="str">
        <f t="shared" si="120"/>
        <v>Y</v>
      </c>
      <c r="E1125" t="s">
        <v>625</v>
      </c>
      <c r="F1125" t="str">
        <f t="shared" si="121"/>
        <v>Inconv Fee $20-$50-Comment Req'd</v>
      </c>
      <c r="G1125">
        <f t="shared" si="122"/>
        <v>0</v>
      </c>
      <c r="H1125" t="s">
        <v>566</v>
      </c>
      <c r="I1125">
        <f t="shared" si="123"/>
        <v>0</v>
      </c>
      <c r="J1125" t="s">
        <v>564</v>
      </c>
      <c r="K1125" s="5">
        <v>50</v>
      </c>
      <c r="L1125" t="str">
        <f>Table_DataFromNL[[#This Row],[PROFILECODE]]&amp;"-"&amp;Table_DataFromNL[[#This Row],[RULENAME]]</f>
        <v>CP214-Inconv Fee $20-$50-Comment Req'd</v>
      </c>
      <c r="M1125" t="e">
        <f t="shared" si="124"/>
        <v>#N/A</v>
      </c>
    </row>
    <row r="1126" spans="1:13" x14ac:dyDescent="0.25">
      <c r="A1126" t="str">
        <f t="shared" si="125"/>
        <v>CP214-Inconv Fee $5-$20-Comment Req'd</v>
      </c>
      <c r="B1126" t="s">
        <v>118</v>
      </c>
      <c r="C1126" t="str">
        <f t="shared" si="119"/>
        <v>Gainesville</v>
      </c>
      <c r="D1126" t="str">
        <f t="shared" si="120"/>
        <v>Y</v>
      </c>
      <c r="E1126" t="s">
        <v>625</v>
      </c>
      <c r="F1126" t="str">
        <f t="shared" si="121"/>
        <v>Inconv Fee $5-$20-Comment Req'd</v>
      </c>
      <c r="G1126">
        <f t="shared" si="122"/>
        <v>0</v>
      </c>
      <c r="H1126" t="s">
        <v>567</v>
      </c>
      <c r="I1126">
        <f t="shared" si="123"/>
        <v>0</v>
      </c>
      <c r="J1126" t="s">
        <v>564</v>
      </c>
      <c r="K1126" s="5">
        <v>20</v>
      </c>
      <c r="L1126" t="str">
        <f>Table_DataFromNL[[#This Row],[PROFILECODE]]&amp;"-"&amp;Table_DataFromNL[[#This Row],[RULENAME]]</f>
        <v>CP214-Inconv Fee $5-$20-Comment Req'd</v>
      </c>
      <c r="M1126" t="e">
        <f t="shared" si="124"/>
        <v>#N/A</v>
      </c>
    </row>
    <row r="1127" spans="1:13" x14ac:dyDescent="0.25">
      <c r="A1127" t="str">
        <f t="shared" si="125"/>
        <v>CP214-Inconv Fee$50-$100-Comment Req'd</v>
      </c>
      <c r="B1127" t="s">
        <v>118</v>
      </c>
      <c r="C1127" t="str">
        <f t="shared" si="119"/>
        <v>Gainesville</v>
      </c>
      <c r="D1127" t="str">
        <f t="shared" si="120"/>
        <v>Y</v>
      </c>
      <c r="E1127" t="s">
        <v>625</v>
      </c>
      <c r="F1127" t="str">
        <f t="shared" si="121"/>
        <v>Inconv Fee$50-$100-Comment Req'd</v>
      </c>
      <c r="G1127">
        <f t="shared" si="122"/>
        <v>0</v>
      </c>
      <c r="H1127" t="s">
        <v>568</v>
      </c>
      <c r="I1127">
        <f t="shared" si="123"/>
        <v>0</v>
      </c>
      <c r="J1127" t="s">
        <v>564</v>
      </c>
      <c r="K1127" s="5">
        <v>100</v>
      </c>
      <c r="L1127" t="str">
        <f>Table_DataFromNL[[#This Row],[PROFILECODE]]&amp;"-"&amp;Table_DataFromNL[[#This Row],[RULENAME]]</f>
        <v>CP214-Inconv Fee$50-$100-Comment Req'd</v>
      </c>
      <c r="M1127" t="e">
        <f t="shared" si="124"/>
        <v>#N/A</v>
      </c>
    </row>
    <row r="1128" spans="1:13" x14ac:dyDescent="0.25">
      <c r="A1128" t="str">
        <f t="shared" si="125"/>
        <v>CP214-NSP_ LAPSEDONOR_50_Twice</v>
      </c>
      <c r="B1128" t="s">
        <v>118</v>
      </c>
      <c r="C1128" t="str">
        <f t="shared" si="119"/>
        <v>Gainesville</v>
      </c>
      <c r="D1128" t="str">
        <f t="shared" si="120"/>
        <v>Y</v>
      </c>
      <c r="E1128" t="s">
        <v>625</v>
      </c>
      <c r="F1128" t="str">
        <f t="shared" si="121"/>
        <v>NSP_ LAPSEDONOR_50_Twice</v>
      </c>
      <c r="G1128">
        <f t="shared" si="122"/>
        <v>0</v>
      </c>
      <c r="H1128" t="s">
        <v>569</v>
      </c>
      <c r="I1128">
        <f t="shared" si="123"/>
        <v>0</v>
      </c>
      <c r="J1128" t="s">
        <v>564</v>
      </c>
      <c r="K1128" s="5">
        <v>50</v>
      </c>
      <c r="L1128" t="str">
        <f>Table_DataFromNL[[#This Row],[PROFILECODE]]&amp;"-"&amp;Table_DataFromNL[[#This Row],[RULENAME]]</f>
        <v>CP214-NSP_ LAPSEDONOR_50_Twice</v>
      </c>
      <c r="M1128" t="e">
        <f t="shared" si="124"/>
        <v>#N/A</v>
      </c>
    </row>
    <row r="1129" spans="1:13" x14ac:dyDescent="0.25">
      <c r="A1129" t="str">
        <f t="shared" si="125"/>
        <v>CP214-NSP_LD_25_2X</v>
      </c>
      <c r="B1129" t="s">
        <v>118</v>
      </c>
      <c r="C1129" t="str">
        <f t="shared" si="119"/>
        <v>Gainesville</v>
      </c>
      <c r="D1129" t="str">
        <f t="shared" si="120"/>
        <v>Y</v>
      </c>
      <c r="E1129" t="s">
        <v>625</v>
      </c>
      <c r="F1129" t="str">
        <f t="shared" si="121"/>
        <v>NSP_LD_25_2X</v>
      </c>
      <c r="G1129">
        <f t="shared" si="122"/>
        <v>0</v>
      </c>
      <c r="H1129" t="s">
        <v>570</v>
      </c>
      <c r="I1129">
        <f t="shared" si="123"/>
        <v>0</v>
      </c>
      <c r="J1129" t="s">
        <v>564</v>
      </c>
      <c r="K1129" s="5">
        <v>25</v>
      </c>
      <c r="L1129" t="str">
        <f>Table_DataFromNL[[#This Row],[PROFILECODE]]&amp;"-"&amp;Table_DataFromNL[[#This Row],[RULENAME]]</f>
        <v>CP214-NSP_LD_25_2X</v>
      </c>
      <c r="M1129" t="e">
        <f t="shared" si="124"/>
        <v>#N/A</v>
      </c>
    </row>
    <row r="1130" spans="1:13" x14ac:dyDescent="0.25">
      <c r="A1130" t="str">
        <f t="shared" si="125"/>
        <v>CP214-NSP_LD_50_1X</v>
      </c>
      <c r="B1130" t="s">
        <v>118</v>
      </c>
      <c r="C1130" t="str">
        <f t="shared" si="119"/>
        <v>Gainesville</v>
      </c>
      <c r="D1130" t="str">
        <f t="shared" si="120"/>
        <v>Y</v>
      </c>
      <c r="E1130" t="s">
        <v>625</v>
      </c>
      <c r="F1130" t="str">
        <f t="shared" si="121"/>
        <v>NSP_LD_50_1X</v>
      </c>
      <c r="G1130">
        <f t="shared" si="122"/>
        <v>0</v>
      </c>
      <c r="H1130" t="s">
        <v>571</v>
      </c>
      <c r="I1130">
        <f t="shared" si="123"/>
        <v>0</v>
      </c>
      <c r="J1130" t="s">
        <v>564</v>
      </c>
      <c r="K1130" s="5">
        <v>50</v>
      </c>
      <c r="L1130" t="str">
        <f>Table_DataFromNL[[#This Row],[PROFILECODE]]&amp;"-"&amp;Table_DataFromNL[[#This Row],[RULENAME]]</f>
        <v>CP214-NSP_LD_50_1X</v>
      </c>
      <c r="M1130" t="e">
        <f t="shared" si="124"/>
        <v>#N/A</v>
      </c>
    </row>
    <row r="1131" spans="1:13" x14ac:dyDescent="0.25">
      <c r="A1131" t="str">
        <f t="shared" si="125"/>
        <v>CP214-NSP_ORPHAN_100_once</v>
      </c>
      <c r="B1131" t="s">
        <v>118</v>
      </c>
      <c r="C1131" t="str">
        <f t="shared" si="119"/>
        <v>Gainesville</v>
      </c>
      <c r="D1131" t="str">
        <f t="shared" si="120"/>
        <v>Y</v>
      </c>
      <c r="E1131" t="s">
        <v>625</v>
      </c>
      <c r="F1131" t="str">
        <f t="shared" si="121"/>
        <v>NSP_ORPHAN_100_once</v>
      </c>
      <c r="G1131">
        <f t="shared" si="122"/>
        <v>0</v>
      </c>
      <c r="H1131" t="s">
        <v>572</v>
      </c>
      <c r="I1131">
        <f t="shared" si="123"/>
        <v>0</v>
      </c>
      <c r="J1131" t="s">
        <v>564</v>
      </c>
      <c r="K1131" s="5">
        <v>100</v>
      </c>
      <c r="L1131" t="str">
        <f>Table_DataFromNL[[#This Row],[PROFILECODE]]&amp;"-"&amp;Table_DataFromNL[[#This Row],[RULENAME]]</f>
        <v>CP214-NSP_ORPHAN_100_once</v>
      </c>
      <c r="M1131" t="e">
        <f t="shared" si="124"/>
        <v>#N/A</v>
      </c>
    </row>
    <row r="1132" spans="1:13" x14ac:dyDescent="0.25">
      <c r="A1132" t="str">
        <f t="shared" si="125"/>
        <v>CP214-Referral - Vaccinia</v>
      </c>
      <c r="B1132" t="s">
        <v>118</v>
      </c>
      <c r="C1132" t="str">
        <f t="shared" si="119"/>
        <v>Gainesville</v>
      </c>
      <c r="D1132" t="str">
        <f t="shared" si="120"/>
        <v>Y</v>
      </c>
      <c r="E1132" t="s">
        <v>625</v>
      </c>
      <c r="F1132" t="str">
        <f t="shared" si="121"/>
        <v>Referral - Vaccinia</v>
      </c>
      <c r="G1132">
        <f t="shared" si="122"/>
        <v>0</v>
      </c>
      <c r="H1132" t="s">
        <v>595</v>
      </c>
      <c r="I1132">
        <f t="shared" si="123"/>
        <v>0</v>
      </c>
      <c r="J1132" t="s">
        <v>564</v>
      </c>
      <c r="K1132" s="5">
        <v>250</v>
      </c>
      <c r="L1132" t="str">
        <f>Table_DataFromNL[[#This Row],[PROFILECODE]]&amp;"-"&amp;Table_DataFromNL[[#This Row],[RULENAME]]</f>
        <v>CP214-Referral - Vaccinia</v>
      </c>
      <c r="M1132" t="e">
        <f t="shared" si="124"/>
        <v>#N/A</v>
      </c>
    </row>
    <row r="1133" spans="1:13" x14ac:dyDescent="0.25">
      <c r="A1133" t="str">
        <f t="shared" si="125"/>
        <v>CP214-Restick</v>
      </c>
      <c r="B1133" t="s">
        <v>118</v>
      </c>
      <c r="C1133" t="str">
        <f t="shared" si="119"/>
        <v>Gainesville</v>
      </c>
      <c r="D1133" t="str">
        <f t="shared" si="120"/>
        <v>Y</v>
      </c>
      <c r="E1133" t="s">
        <v>625</v>
      </c>
      <c r="F1133" t="str">
        <f t="shared" si="121"/>
        <v>Restick</v>
      </c>
      <c r="G1133">
        <f t="shared" si="122"/>
        <v>0</v>
      </c>
      <c r="H1133" t="s">
        <v>573</v>
      </c>
      <c r="I1133">
        <f t="shared" si="123"/>
        <v>0</v>
      </c>
      <c r="J1133" t="s">
        <v>564</v>
      </c>
      <c r="K1133" s="5">
        <v>5</v>
      </c>
      <c r="L1133" t="str">
        <f>Table_DataFromNL[[#This Row],[PROFILECODE]]&amp;"-"&amp;Table_DataFromNL[[#This Row],[RULENAME]]</f>
        <v>CP214-Restick</v>
      </c>
      <c r="M1133" t="e">
        <f t="shared" si="124"/>
        <v>#N/A</v>
      </c>
    </row>
    <row r="1134" spans="1:13" x14ac:dyDescent="0.25">
      <c r="A1134" t="str">
        <f t="shared" si="125"/>
        <v>CP214-SCRATCH_100_USD</v>
      </c>
      <c r="B1134" t="s">
        <v>118</v>
      </c>
      <c r="C1134" t="str">
        <f t="shared" si="119"/>
        <v>Gainesville</v>
      </c>
      <c r="D1134" t="str">
        <f t="shared" si="120"/>
        <v>Y</v>
      </c>
      <c r="E1134" t="s">
        <v>625</v>
      </c>
      <c r="F1134" t="str">
        <f t="shared" si="121"/>
        <v>SCRATCH_100_USD</v>
      </c>
      <c r="G1134">
        <f t="shared" si="122"/>
        <v>0</v>
      </c>
      <c r="H1134" t="s">
        <v>586</v>
      </c>
      <c r="I1134">
        <f t="shared" si="123"/>
        <v>0</v>
      </c>
      <c r="J1134" t="s">
        <v>564</v>
      </c>
      <c r="K1134" s="5">
        <v>100</v>
      </c>
      <c r="L1134" t="str">
        <f>Table_DataFromNL[[#This Row],[PROFILECODE]]&amp;"-"&amp;Table_DataFromNL[[#This Row],[RULENAME]]</f>
        <v>CP214-SCRATCH_100_USD</v>
      </c>
      <c r="M1134" t="e">
        <f t="shared" si="124"/>
        <v>#N/A</v>
      </c>
    </row>
    <row r="1135" spans="1:13" x14ac:dyDescent="0.25">
      <c r="A1135" t="str">
        <f t="shared" si="125"/>
        <v>CP214-SCRATCH_10_USD</v>
      </c>
      <c r="B1135" t="s">
        <v>118</v>
      </c>
      <c r="C1135" t="str">
        <f t="shared" si="119"/>
        <v>Gainesville</v>
      </c>
      <c r="D1135" t="str">
        <f t="shared" si="120"/>
        <v>Y</v>
      </c>
      <c r="E1135" t="s">
        <v>625</v>
      </c>
      <c r="F1135" t="str">
        <f t="shared" si="121"/>
        <v>SCRATCH_10_USD</v>
      </c>
      <c r="G1135">
        <f t="shared" si="122"/>
        <v>0</v>
      </c>
      <c r="H1135" t="s">
        <v>587</v>
      </c>
      <c r="I1135">
        <f t="shared" si="123"/>
        <v>0</v>
      </c>
      <c r="J1135" t="s">
        <v>564</v>
      </c>
      <c r="K1135" s="5">
        <v>10</v>
      </c>
      <c r="L1135" t="str">
        <f>Table_DataFromNL[[#This Row],[PROFILECODE]]&amp;"-"&amp;Table_DataFromNL[[#This Row],[RULENAME]]</f>
        <v>CP214-SCRATCH_10_USD</v>
      </c>
      <c r="M1135" t="e">
        <f t="shared" si="124"/>
        <v>#N/A</v>
      </c>
    </row>
    <row r="1136" spans="1:13" x14ac:dyDescent="0.25">
      <c r="A1136" t="str">
        <f t="shared" si="125"/>
        <v>CP214-SCRATCH_20_USD</v>
      </c>
      <c r="B1136" t="s">
        <v>118</v>
      </c>
      <c r="C1136" t="str">
        <f t="shared" si="119"/>
        <v>Gainesville</v>
      </c>
      <c r="D1136" t="str">
        <f t="shared" si="120"/>
        <v>Y</v>
      </c>
      <c r="E1136" t="s">
        <v>625</v>
      </c>
      <c r="F1136" t="str">
        <f t="shared" si="121"/>
        <v>SCRATCH_20_USD</v>
      </c>
      <c r="G1136">
        <f t="shared" si="122"/>
        <v>0</v>
      </c>
      <c r="H1136" t="s">
        <v>588</v>
      </c>
      <c r="I1136">
        <f t="shared" si="123"/>
        <v>0</v>
      </c>
      <c r="J1136" t="s">
        <v>564</v>
      </c>
      <c r="K1136" s="5">
        <v>20</v>
      </c>
      <c r="L1136" t="str">
        <f>Table_DataFromNL[[#This Row],[PROFILECODE]]&amp;"-"&amp;Table_DataFromNL[[#This Row],[RULENAME]]</f>
        <v>CP214-SCRATCH_20_USD</v>
      </c>
      <c r="M1136" t="e">
        <f t="shared" si="124"/>
        <v>#N/A</v>
      </c>
    </row>
    <row r="1137" spans="1:13" x14ac:dyDescent="0.25">
      <c r="A1137" t="str">
        <f t="shared" si="125"/>
        <v>CP214-SCRATCH_25_USD</v>
      </c>
      <c r="B1137" t="s">
        <v>118</v>
      </c>
      <c r="C1137" t="str">
        <f t="shared" si="119"/>
        <v>Gainesville</v>
      </c>
      <c r="D1137" t="str">
        <f t="shared" si="120"/>
        <v>Y</v>
      </c>
      <c r="E1137" t="s">
        <v>625</v>
      </c>
      <c r="F1137" t="str">
        <f t="shared" si="121"/>
        <v>SCRATCH_25_USD</v>
      </c>
      <c r="G1137">
        <f t="shared" si="122"/>
        <v>0</v>
      </c>
      <c r="H1137" t="s">
        <v>589</v>
      </c>
      <c r="I1137">
        <f t="shared" si="123"/>
        <v>0</v>
      </c>
      <c r="J1137" t="s">
        <v>564</v>
      </c>
      <c r="K1137" s="5">
        <v>25</v>
      </c>
      <c r="L1137" t="str">
        <f>Table_DataFromNL[[#This Row],[PROFILECODE]]&amp;"-"&amp;Table_DataFromNL[[#This Row],[RULENAME]]</f>
        <v>CP214-SCRATCH_25_USD</v>
      </c>
      <c r="M1137" t="e">
        <f t="shared" si="124"/>
        <v>#N/A</v>
      </c>
    </row>
    <row r="1138" spans="1:13" x14ac:dyDescent="0.25">
      <c r="A1138" t="str">
        <f t="shared" si="125"/>
        <v>CP214-SCRATCH_50_USD</v>
      </c>
      <c r="B1138" t="s">
        <v>118</v>
      </c>
      <c r="C1138" t="str">
        <f t="shared" si="119"/>
        <v>Gainesville</v>
      </c>
      <c r="D1138" t="str">
        <f t="shared" si="120"/>
        <v>Y</v>
      </c>
      <c r="E1138" t="s">
        <v>625</v>
      </c>
      <c r="F1138" t="str">
        <f t="shared" si="121"/>
        <v>SCRATCH_50_USD</v>
      </c>
      <c r="G1138">
        <f t="shared" si="122"/>
        <v>0</v>
      </c>
      <c r="H1138" t="s">
        <v>590</v>
      </c>
      <c r="I1138">
        <f t="shared" si="123"/>
        <v>0</v>
      </c>
      <c r="J1138" t="s">
        <v>564</v>
      </c>
      <c r="K1138" s="5">
        <v>50</v>
      </c>
      <c r="L1138" t="str">
        <f>Table_DataFromNL[[#This Row],[PROFILECODE]]&amp;"-"&amp;Table_DataFromNL[[#This Row],[RULENAME]]</f>
        <v>CP214-SCRATCH_50_USD</v>
      </c>
      <c r="M1138" t="e">
        <f t="shared" si="124"/>
        <v>#N/A</v>
      </c>
    </row>
    <row r="1139" spans="1:13" x14ac:dyDescent="0.25">
      <c r="A1139" t="str">
        <f t="shared" si="125"/>
        <v>CP214-SCRATCH_5_USD</v>
      </c>
      <c r="B1139" t="s">
        <v>118</v>
      </c>
      <c r="C1139" t="str">
        <f t="shared" si="119"/>
        <v>Gainesville</v>
      </c>
      <c r="D1139" t="str">
        <f t="shared" si="120"/>
        <v>Y</v>
      </c>
      <c r="E1139" t="s">
        <v>625</v>
      </c>
      <c r="F1139" t="str">
        <f t="shared" si="121"/>
        <v>SCRATCH_5_USD</v>
      </c>
      <c r="G1139">
        <f t="shared" si="122"/>
        <v>0</v>
      </c>
      <c r="H1139" t="s">
        <v>591</v>
      </c>
      <c r="I1139">
        <f t="shared" si="123"/>
        <v>0</v>
      </c>
      <c r="J1139" t="s">
        <v>564</v>
      </c>
      <c r="K1139" s="5">
        <v>5</v>
      </c>
      <c r="L1139" t="str">
        <f>Table_DataFromNL[[#This Row],[PROFILECODE]]&amp;"-"&amp;Table_DataFromNL[[#This Row],[RULENAME]]</f>
        <v>CP214-SCRATCH_5_USD</v>
      </c>
      <c r="M1139" t="e">
        <f t="shared" si="124"/>
        <v>#N/A</v>
      </c>
    </row>
    <row r="1140" spans="1:13" x14ac:dyDescent="0.25">
      <c r="A1140" t="str">
        <f t="shared" si="125"/>
        <v>CP214-SLOW_TEXT_5</v>
      </c>
      <c r="B1140" t="s">
        <v>118</v>
      </c>
      <c r="C1140" t="str">
        <f t="shared" si="119"/>
        <v>Gainesville</v>
      </c>
      <c r="D1140" t="str">
        <f t="shared" si="120"/>
        <v>Y</v>
      </c>
      <c r="E1140" t="s">
        <v>625</v>
      </c>
      <c r="F1140" t="str">
        <f t="shared" si="121"/>
        <v>SLOW_TEXT_5</v>
      </c>
      <c r="G1140">
        <f t="shared" si="122"/>
        <v>0</v>
      </c>
      <c r="H1140" t="s">
        <v>574</v>
      </c>
      <c r="I1140">
        <f t="shared" si="123"/>
        <v>0</v>
      </c>
      <c r="J1140" t="s">
        <v>564</v>
      </c>
      <c r="K1140" s="5">
        <v>5</v>
      </c>
      <c r="L1140" t="str">
        <f>Table_DataFromNL[[#This Row],[PROFILECODE]]&amp;"-"&amp;Table_DataFromNL[[#This Row],[RULENAME]]</f>
        <v>CP214-SLOW_TEXT_5</v>
      </c>
      <c r="M1140" t="e">
        <f t="shared" si="124"/>
        <v>#N/A</v>
      </c>
    </row>
    <row r="1141" spans="1:13" x14ac:dyDescent="0.25">
      <c r="A1141" t="str">
        <f t="shared" si="125"/>
        <v>CP214-Sample Only</v>
      </c>
      <c r="B1141" t="s">
        <v>118</v>
      </c>
      <c r="C1141" t="str">
        <f t="shared" si="119"/>
        <v>Gainesville</v>
      </c>
      <c r="D1141" t="str">
        <f t="shared" si="120"/>
        <v>Y</v>
      </c>
      <c r="E1141" t="s">
        <v>625</v>
      </c>
      <c r="F1141" t="str">
        <f t="shared" si="121"/>
        <v>Sample Only</v>
      </c>
      <c r="G1141">
        <f t="shared" si="122"/>
        <v>0</v>
      </c>
      <c r="H1141" t="s">
        <v>575</v>
      </c>
      <c r="I1141">
        <f t="shared" si="123"/>
        <v>0</v>
      </c>
      <c r="J1141" t="s">
        <v>564</v>
      </c>
      <c r="K1141" s="5">
        <v>5</v>
      </c>
      <c r="L1141" t="str">
        <f>Table_DataFromNL[[#This Row],[PROFILECODE]]&amp;"-"&amp;Table_DataFromNL[[#This Row],[RULENAME]]</f>
        <v>CP214-Sample Only</v>
      </c>
      <c r="M1141" t="e">
        <f t="shared" si="124"/>
        <v>#N/A</v>
      </c>
    </row>
    <row r="1142" spans="1:13" x14ac:dyDescent="0.25">
      <c r="A1142" t="str">
        <f t="shared" si="125"/>
        <v>CP214-Unit Below 250 mL</v>
      </c>
      <c r="B1142" t="s">
        <v>118</v>
      </c>
      <c r="C1142" t="str">
        <f t="shared" si="119"/>
        <v>Gainesville</v>
      </c>
      <c r="D1142" t="str">
        <f t="shared" si="120"/>
        <v>Y</v>
      </c>
      <c r="E1142" t="s">
        <v>625</v>
      </c>
      <c r="F1142" t="str">
        <f t="shared" si="121"/>
        <v>Unit Below 250 mL</v>
      </c>
      <c r="G1142">
        <f t="shared" si="122"/>
        <v>0</v>
      </c>
      <c r="H1142" t="s">
        <v>576</v>
      </c>
      <c r="I1142">
        <f t="shared" si="123"/>
        <v>0</v>
      </c>
      <c r="J1142" t="s">
        <v>564</v>
      </c>
      <c r="K1142" s="5">
        <v>5</v>
      </c>
      <c r="L1142" t="str">
        <f>Table_DataFromNL[[#This Row],[PROFILECODE]]&amp;"-"&amp;Table_DataFromNL[[#This Row],[RULENAME]]</f>
        <v>CP214-Unit Below 250 mL</v>
      </c>
      <c r="M1142" t="e">
        <f t="shared" si="124"/>
        <v>#N/A</v>
      </c>
    </row>
    <row r="1143" spans="1:13" x14ac:dyDescent="0.25">
      <c r="A1143" t="str">
        <f t="shared" si="125"/>
        <v>CP214-Unit above 250 mL/underdraw</v>
      </c>
      <c r="B1143" t="s">
        <v>118</v>
      </c>
      <c r="C1143" t="str">
        <f t="shared" si="119"/>
        <v>Gainesville</v>
      </c>
      <c r="D1143" t="str">
        <f t="shared" si="120"/>
        <v>Y</v>
      </c>
      <c r="E1143" t="s">
        <v>625</v>
      </c>
      <c r="F1143" t="str">
        <f t="shared" si="121"/>
        <v>Unit above 250 mL/underdraw</v>
      </c>
      <c r="G1143">
        <f t="shared" si="122"/>
        <v>0</v>
      </c>
      <c r="H1143" t="s">
        <v>577</v>
      </c>
      <c r="I1143">
        <f t="shared" si="123"/>
        <v>0</v>
      </c>
      <c r="J1143" t="s">
        <v>564</v>
      </c>
      <c r="K1143" s="5">
        <v>10</v>
      </c>
      <c r="L1143" t="str">
        <f>Table_DataFromNL[[#This Row],[PROFILECODE]]&amp;"-"&amp;Table_DataFromNL[[#This Row],[RULENAME]]</f>
        <v>CP214-Unit above 250 mL/underdraw</v>
      </c>
      <c r="M1143" t="e">
        <f t="shared" si="124"/>
        <v>#N/A</v>
      </c>
    </row>
    <row r="1144" spans="1:13" x14ac:dyDescent="0.25">
      <c r="A1144" t="str">
        <f t="shared" si="125"/>
        <v>CP214-Vaccinia Immunization</v>
      </c>
      <c r="B1144" t="s">
        <v>118</v>
      </c>
      <c r="C1144" t="str">
        <f t="shared" si="119"/>
        <v>Gainesville</v>
      </c>
      <c r="D1144" t="str">
        <f t="shared" si="120"/>
        <v>Y</v>
      </c>
      <c r="E1144" t="s">
        <v>625</v>
      </c>
      <c r="F1144" t="str">
        <f t="shared" si="121"/>
        <v>Vaccinia Immunization</v>
      </c>
      <c r="G1144">
        <f t="shared" si="122"/>
        <v>0</v>
      </c>
      <c r="H1144" t="s">
        <v>596</v>
      </c>
      <c r="I1144">
        <f t="shared" si="123"/>
        <v>0</v>
      </c>
      <c r="J1144" t="s">
        <v>564</v>
      </c>
      <c r="K1144" s="5">
        <v>100</v>
      </c>
      <c r="L1144" t="str">
        <f>Table_DataFromNL[[#This Row],[PROFILECODE]]&amp;"-"&amp;Table_DataFromNL[[#This Row],[RULENAME]]</f>
        <v>CP214-Vaccinia Immunization</v>
      </c>
      <c r="M1144" t="e">
        <f t="shared" si="124"/>
        <v>#N/A</v>
      </c>
    </row>
    <row r="1145" spans="1:13" x14ac:dyDescent="0.25">
      <c r="A1145" t="str">
        <f t="shared" si="125"/>
        <v>CP214-RETURN - Buddy referral  -BONUS</v>
      </c>
      <c r="B1145" t="s">
        <v>118</v>
      </c>
      <c r="C1145" t="str">
        <f t="shared" si="119"/>
        <v>Gainesville</v>
      </c>
      <c r="D1145" t="str">
        <f t="shared" si="120"/>
        <v>Y</v>
      </c>
      <c r="E1145" t="s">
        <v>625</v>
      </c>
      <c r="F1145" t="str">
        <f t="shared" si="121"/>
        <v>RETURN - Buddy referral  -BONUS</v>
      </c>
      <c r="G1145" t="str">
        <f t="shared" si="122"/>
        <v>Marketing</v>
      </c>
      <c r="H1145" t="s">
        <v>34</v>
      </c>
      <c r="I1145">
        <f t="shared" si="123"/>
        <v>50</v>
      </c>
      <c r="J1145" t="s">
        <v>578</v>
      </c>
      <c r="K1145" s="5">
        <v>50</v>
      </c>
      <c r="L1145" t="str">
        <f>Table_DataFromNL[[#This Row],[PROFILECODE]]&amp;"-"&amp;Table_DataFromNL[[#This Row],[RULENAME]]</f>
        <v>CP214-Referral</v>
      </c>
      <c r="M1145" t="str">
        <f t="shared" si="124"/>
        <v>CP214-RETURN - Buddy referral  -BONUS</v>
      </c>
    </row>
    <row r="1146" spans="1:13" x14ac:dyDescent="0.25">
      <c r="A1146" t="str">
        <f t="shared" si="125"/>
        <v>CP214-P Anti-D Pre-Existing Standard</v>
      </c>
      <c r="B1146" t="s">
        <v>118</v>
      </c>
      <c r="C1146" t="str">
        <f t="shared" si="119"/>
        <v>Gainesville</v>
      </c>
      <c r="D1146" t="str">
        <f t="shared" si="120"/>
        <v>Y</v>
      </c>
      <c r="E1146" t="s">
        <v>625</v>
      </c>
      <c r="F1146" t="str">
        <f t="shared" si="121"/>
        <v>P Anti-D Pre-Existing Standard</v>
      </c>
      <c r="G1146" t="str">
        <f t="shared" si="122"/>
        <v>Specialty</v>
      </c>
      <c r="H1146" t="s">
        <v>469</v>
      </c>
      <c r="I1146" t="str">
        <f t="shared" si="123"/>
        <v>RETURN - 1st don of the week -STD</v>
      </c>
      <c r="J1146" t="s">
        <v>579</v>
      </c>
      <c r="K1146" s="5">
        <v>50</v>
      </c>
      <c r="L1146" t="str">
        <f>Table_DataFromNL[[#This Row],[PROFILECODE]]&amp;"-"&amp;Table_DataFromNL[[#This Row],[RULENAME]]</f>
        <v>CP214-P Anti-D Pre-Existing Standard</v>
      </c>
      <c r="M1146" t="str">
        <f t="shared" si="124"/>
        <v>CP214-P Anti-D Pre-Existing Standard</v>
      </c>
    </row>
    <row r="1147" spans="1:13" x14ac:dyDescent="0.25">
      <c r="A1147" t="str">
        <f t="shared" si="125"/>
        <v>CP214-P HBS Pre-Existing Standard</v>
      </c>
      <c r="B1147" t="s">
        <v>118</v>
      </c>
      <c r="C1147" t="str">
        <f t="shared" si="119"/>
        <v>Gainesville</v>
      </c>
      <c r="D1147" t="str">
        <f t="shared" si="120"/>
        <v>Y</v>
      </c>
      <c r="E1147" t="s">
        <v>625</v>
      </c>
      <c r="F1147" t="str">
        <f t="shared" si="121"/>
        <v>P HBS Pre-Existing Standard</v>
      </c>
      <c r="G1147" t="str">
        <f t="shared" si="122"/>
        <v>Specialty</v>
      </c>
      <c r="H1147" t="s">
        <v>472</v>
      </c>
      <c r="I1147" t="str">
        <f t="shared" si="123"/>
        <v>RETURN - 1st don of the week -STD</v>
      </c>
      <c r="J1147" t="s">
        <v>579</v>
      </c>
      <c r="K1147" s="5">
        <v>75</v>
      </c>
      <c r="L1147" t="str">
        <f>Table_DataFromNL[[#This Row],[PROFILECODE]]&amp;"-"&amp;Table_DataFromNL[[#This Row],[RULENAME]]</f>
        <v>CP214-P HBS Pre-Existing Standard</v>
      </c>
      <c r="M1147" t="str">
        <f t="shared" si="124"/>
        <v>CP214-P HBS Pre-Existing Standard</v>
      </c>
    </row>
    <row r="1148" spans="1:13" x14ac:dyDescent="0.25">
      <c r="A1148" t="str">
        <f t="shared" si="125"/>
        <v>CP214-P HBS TWINRIX Standard</v>
      </c>
      <c r="B1148" t="s">
        <v>118</v>
      </c>
      <c r="C1148" t="str">
        <f t="shared" si="119"/>
        <v>Gainesville</v>
      </c>
      <c r="D1148" t="str">
        <f t="shared" si="120"/>
        <v>Y</v>
      </c>
      <c r="E1148" t="s">
        <v>625</v>
      </c>
      <c r="F1148" t="str">
        <f t="shared" si="121"/>
        <v>P HBS TWINRIX Standard</v>
      </c>
      <c r="G1148" t="str">
        <f t="shared" si="122"/>
        <v>Specialty</v>
      </c>
      <c r="H1148" t="s">
        <v>506</v>
      </c>
      <c r="I1148" t="str">
        <f t="shared" si="123"/>
        <v>RETURN - 1st don of the week -STD</v>
      </c>
      <c r="J1148" t="s">
        <v>579</v>
      </c>
      <c r="K1148" s="5">
        <v>75</v>
      </c>
      <c r="L1148" t="str">
        <f>Table_DataFromNL[[#This Row],[PROFILECODE]]&amp;"-"&amp;Table_DataFromNL[[#This Row],[RULENAME]]</f>
        <v>CP214-P HBS TWINRIX Standard</v>
      </c>
      <c r="M1148" t="str">
        <f t="shared" si="124"/>
        <v>CP214-P HBS TWINRIX Standard</v>
      </c>
    </row>
    <row r="1149" spans="1:13" x14ac:dyDescent="0.25">
      <c r="A1149" t="str">
        <f t="shared" si="125"/>
        <v>CP214-P HBS TWINRIX-AP Standard</v>
      </c>
      <c r="B1149" t="s">
        <v>118</v>
      </c>
      <c r="C1149" t="str">
        <f t="shared" si="119"/>
        <v>Gainesville</v>
      </c>
      <c r="D1149" t="str">
        <f t="shared" si="120"/>
        <v>Y</v>
      </c>
      <c r="E1149" t="s">
        <v>625</v>
      </c>
      <c r="F1149" t="str">
        <f t="shared" si="121"/>
        <v>P HBS TWINRIX-AP Standard</v>
      </c>
      <c r="G1149" t="str">
        <f t="shared" si="122"/>
        <v>Specialty</v>
      </c>
      <c r="H1149" t="s">
        <v>507</v>
      </c>
      <c r="I1149" t="str">
        <f t="shared" si="123"/>
        <v>RETURN - 1st don of the week -STD</v>
      </c>
      <c r="J1149" t="s">
        <v>579</v>
      </c>
      <c r="K1149" s="5">
        <v>75</v>
      </c>
      <c r="L1149" t="str">
        <f>Table_DataFromNL[[#This Row],[PROFILECODE]]&amp;"-"&amp;Table_DataFromNL[[#This Row],[RULENAME]]</f>
        <v>CP214-P HBS TWINRIX-AP Standard</v>
      </c>
      <c r="M1149" t="str">
        <f t="shared" si="124"/>
        <v>CP214-P HBS TWINRIX-AP Standard</v>
      </c>
    </row>
    <row r="1150" spans="1:13" x14ac:dyDescent="0.25">
      <c r="A1150" t="str">
        <f t="shared" si="125"/>
        <v>CP214-RETURN - 1st don of the week -STD</v>
      </c>
      <c r="B1150" t="s">
        <v>118</v>
      </c>
      <c r="C1150" t="str">
        <f t="shared" si="119"/>
        <v>Gainesville</v>
      </c>
      <c r="D1150" t="str">
        <f t="shared" si="120"/>
        <v>Y</v>
      </c>
      <c r="E1150" t="s">
        <v>625</v>
      </c>
      <c r="F1150" t="str">
        <f t="shared" si="121"/>
        <v>RETURN - 1st don of the week -STD</v>
      </c>
      <c r="G1150" t="str">
        <f t="shared" si="122"/>
        <v>Marketing</v>
      </c>
      <c r="H1150" t="s">
        <v>583</v>
      </c>
      <c r="I1150">
        <f t="shared" si="123"/>
        <v>22</v>
      </c>
      <c r="J1150" t="s">
        <v>579</v>
      </c>
      <c r="K1150" s="5">
        <v>55</v>
      </c>
      <c r="L1150" t="str">
        <f>Table_DataFromNL[[#This Row],[PROFILECODE]]&amp;"-"&amp;Table_DataFromNL[[#This Row],[RULENAME]]</f>
        <v>CP214-P NSP NS AP Standard</v>
      </c>
      <c r="M1150" t="str">
        <f t="shared" si="124"/>
        <v>CP214-RETURN - 1st don of the week -STD</v>
      </c>
    </row>
    <row r="1151" spans="1:13" x14ac:dyDescent="0.25">
      <c r="A1151" t="str">
        <f t="shared" si="125"/>
        <v>CP214-RETURN - 1st don of the week -STD</v>
      </c>
      <c r="B1151" t="s">
        <v>118</v>
      </c>
      <c r="C1151" t="str">
        <f t="shared" si="119"/>
        <v>Gainesville</v>
      </c>
      <c r="D1151" t="str">
        <f t="shared" si="120"/>
        <v>Y</v>
      </c>
      <c r="E1151" t="s">
        <v>625</v>
      </c>
      <c r="F1151" t="str">
        <f t="shared" si="121"/>
        <v>RETURN - 1st don of the week -STD</v>
      </c>
      <c r="G1151" t="str">
        <f t="shared" si="122"/>
        <v>Marketing</v>
      </c>
      <c r="H1151" t="s">
        <v>584</v>
      </c>
      <c r="I1151">
        <f t="shared" si="123"/>
        <v>23</v>
      </c>
      <c r="J1151" t="s">
        <v>579</v>
      </c>
      <c r="K1151" s="5">
        <v>55</v>
      </c>
      <c r="L1151" t="str">
        <f>Table_DataFromNL[[#This Row],[PROFILECODE]]&amp;"-"&amp;Table_DataFromNL[[#This Row],[RULENAME]]</f>
        <v>CP214-P NSP NS Standard</v>
      </c>
      <c r="M1151" t="str">
        <f t="shared" si="124"/>
        <v>CP214-RETURN - 1st don of the week -STD</v>
      </c>
    </row>
    <row r="1152" spans="1:13" x14ac:dyDescent="0.25">
      <c r="A1152" t="str">
        <f t="shared" si="125"/>
        <v>CP214-P VZV Pre-Existing AP</v>
      </c>
      <c r="B1152" t="s">
        <v>118</v>
      </c>
      <c r="C1152" t="str">
        <f t="shared" si="119"/>
        <v>Gainesville</v>
      </c>
      <c r="D1152" t="str">
        <f t="shared" si="120"/>
        <v>Y</v>
      </c>
      <c r="E1152" t="s">
        <v>625</v>
      </c>
      <c r="F1152" t="str">
        <f t="shared" si="121"/>
        <v>P VZV Pre-Existing AP</v>
      </c>
      <c r="G1152" t="str">
        <f t="shared" si="122"/>
        <v>Specialty</v>
      </c>
      <c r="H1152" t="s">
        <v>495</v>
      </c>
      <c r="I1152" t="str">
        <f t="shared" si="123"/>
        <v>RETURN - 1st don of the week -STD</v>
      </c>
      <c r="J1152" t="s">
        <v>579</v>
      </c>
      <c r="K1152" s="5">
        <v>65</v>
      </c>
      <c r="L1152" t="str">
        <f>Table_DataFromNL[[#This Row],[PROFILECODE]]&amp;"-"&amp;Table_DataFromNL[[#This Row],[RULENAME]]</f>
        <v>CP214-P VZV Pre-Existing AP</v>
      </c>
      <c r="M1152" t="str">
        <f t="shared" si="124"/>
        <v>CP214-P VZV Pre-Existing AP</v>
      </c>
    </row>
    <row r="1153" spans="1:13" x14ac:dyDescent="0.25">
      <c r="A1153" t="str">
        <f t="shared" si="125"/>
        <v>CP214-P VZV Standard</v>
      </c>
      <c r="B1153" t="s">
        <v>118</v>
      </c>
      <c r="C1153" t="str">
        <f t="shared" si="119"/>
        <v>Gainesville</v>
      </c>
      <c r="D1153" t="str">
        <f t="shared" si="120"/>
        <v>Y</v>
      </c>
      <c r="E1153" t="s">
        <v>625</v>
      </c>
      <c r="F1153" t="str">
        <f t="shared" si="121"/>
        <v>P VZV Standard</v>
      </c>
      <c r="G1153" t="str">
        <f t="shared" si="122"/>
        <v>Specialty</v>
      </c>
      <c r="H1153" t="s">
        <v>496</v>
      </c>
      <c r="I1153" t="str">
        <f t="shared" si="123"/>
        <v>RETURN - 1st don of the week -STD</v>
      </c>
      <c r="J1153" t="s">
        <v>579</v>
      </c>
      <c r="K1153" s="5">
        <v>65</v>
      </c>
      <c r="L1153" t="str">
        <f>Table_DataFromNL[[#This Row],[PROFILECODE]]&amp;"-"&amp;Table_DataFromNL[[#This Row],[RULENAME]]</f>
        <v>CP214-P VZV Standard</v>
      </c>
      <c r="M1153" t="str">
        <f t="shared" si="124"/>
        <v>CP214-P VZV Standard</v>
      </c>
    </row>
    <row r="1154" spans="1:13" x14ac:dyDescent="0.25">
      <c r="A1154" t="str">
        <f t="shared" si="125"/>
        <v>CP214-P Vaccinia AP Standard</v>
      </c>
      <c r="B1154" t="s">
        <v>118</v>
      </c>
      <c r="C1154" t="str">
        <f t="shared" ref="C1154:C1217" si="126">VLOOKUP(B1154,CenterLU,2,FALSE)</f>
        <v>Gainesville</v>
      </c>
      <c r="D1154" t="str">
        <f t="shared" ref="D1154:D1217" si="127">VLOOKUP(B1154,CenterLU,3,FALSE)</f>
        <v>Y</v>
      </c>
      <c r="E1154" t="s">
        <v>625</v>
      </c>
      <c r="F1154" t="str">
        <f t="shared" ref="F1154:F1217" si="128">IF(VLOOKUP(H1154,RULENAMELU,3,FALSE)=0,H1154,VLOOKUP(H1154,RULENAMELU,3,FALSE))</f>
        <v>P Vaccinia AP Standard</v>
      </c>
      <c r="G1154" t="str">
        <f t="shared" ref="G1154:G1217" si="129">VLOOKUP(H1154,RULENAMELU,4,FALSE)</f>
        <v>Specialty</v>
      </c>
      <c r="H1154" t="s">
        <v>475</v>
      </c>
      <c r="I1154">
        <f t="shared" ref="I1154:I1217" si="130">VLOOKUP(H1154,RULENAMELU,5,FALSE)</f>
        <v>0</v>
      </c>
      <c r="J1154" t="s">
        <v>579</v>
      </c>
      <c r="K1154" s="5">
        <v>100</v>
      </c>
      <c r="L1154" t="str">
        <f>Table_DataFromNL[[#This Row],[PROFILECODE]]&amp;"-"&amp;Table_DataFromNL[[#This Row],[RULENAME]]</f>
        <v>CP214-P Vaccinia AP Standard</v>
      </c>
      <c r="M1154" t="str">
        <f t="shared" ref="M1154:M1217" si="131">IFERROR(VLOOKUP(A1154,PaychangesLU,1,FALSE),VLOOKUP(A1154,SpecialtyCheckLU,1,FALSE))</f>
        <v>CP214-P Vaccinia AP Standard</v>
      </c>
    </row>
    <row r="1155" spans="1:13" x14ac:dyDescent="0.25">
      <c r="A1155" t="str">
        <f t="shared" ref="A1155:A1218" si="132">B1155&amp;"-"&amp;F1155</f>
        <v>CP214-P Vaccinia Standard</v>
      </c>
      <c r="B1155" t="s">
        <v>118</v>
      </c>
      <c r="C1155" t="str">
        <f t="shared" si="126"/>
        <v>Gainesville</v>
      </c>
      <c r="D1155" t="str">
        <f t="shared" si="127"/>
        <v>Y</v>
      </c>
      <c r="E1155" t="s">
        <v>625</v>
      </c>
      <c r="F1155" t="str">
        <f t="shared" si="128"/>
        <v>P Vaccinia Standard</v>
      </c>
      <c r="G1155" t="str">
        <f t="shared" si="129"/>
        <v>Specialty</v>
      </c>
      <c r="H1155" t="s">
        <v>476</v>
      </c>
      <c r="I1155">
        <f t="shared" si="130"/>
        <v>0</v>
      </c>
      <c r="J1155" t="s">
        <v>579</v>
      </c>
      <c r="K1155" s="5">
        <v>100</v>
      </c>
      <c r="L1155" t="str">
        <f>Table_DataFromNL[[#This Row],[PROFILECODE]]&amp;"-"&amp;Table_DataFromNL[[#This Row],[RULENAME]]</f>
        <v>CP214-P Vaccinia Standard</v>
      </c>
      <c r="M1155" t="str">
        <f t="shared" si="131"/>
        <v>CP214-P Vaccinia Standard</v>
      </c>
    </row>
    <row r="1156" spans="1:13" x14ac:dyDescent="0.25">
      <c r="A1156" t="str">
        <f t="shared" si="132"/>
        <v>CP214-PVZV Pre-Existing Standard</v>
      </c>
      <c r="B1156" t="s">
        <v>118</v>
      </c>
      <c r="C1156" t="str">
        <f t="shared" si="126"/>
        <v>Gainesville</v>
      </c>
      <c r="D1156" t="str">
        <f t="shared" si="127"/>
        <v>Y</v>
      </c>
      <c r="E1156" t="s">
        <v>625</v>
      </c>
      <c r="F1156" t="str">
        <f t="shared" si="128"/>
        <v>PVZV Pre-Existing Standard</v>
      </c>
      <c r="G1156" t="str">
        <f t="shared" si="129"/>
        <v>Specialty</v>
      </c>
      <c r="H1156" t="s">
        <v>497</v>
      </c>
      <c r="I1156" t="str">
        <f t="shared" si="130"/>
        <v>RETURN - 1st don of the week -STD</v>
      </c>
      <c r="J1156" t="s">
        <v>579</v>
      </c>
      <c r="K1156" s="5">
        <v>65</v>
      </c>
      <c r="L1156" t="str">
        <f>Table_DataFromNL[[#This Row],[PROFILECODE]]&amp;"-"&amp;Table_DataFromNL[[#This Row],[RULENAME]]</f>
        <v>CP214-PVZV Pre-Existing Standard</v>
      </c>
      <c r="M1156" t="str">
        <f t="shared" si="131"/>
        <v>CP214-PVZV Pre-Existing Standard</v>
      </c>
    </row>
    <row r="1157" spans="1:13" x14ac:dyDescent="0.25">
      <c r="A1157" t="str">
        <f t="shared" si="132"/>
        <v>CP215-1st Responder-Medical</v>
      </c>
      <c r="B1157" t="s">
        <v>153</v>
      </c>
      <c r="C1157" t="str">
        <f t="shared" si="126"/>
        <v>Gallup</v>
      </c>
      <c r="D1157" t="str">
        <f t="shared" si="127"/>
        <v>Y</v>
      </c>
      <c r="E1157" t="s">
        <v>626</v>
      </c>
      <c r="F1157" t="str">
        <f t="shared" si="128"/>
        <v>1st Responder-Medical</v>
      </c>
      <c r="G1157">
        <f t="shared" si="129"/>
        <v>0</v>
      </c>
      <c r="H1157" t="s">
        <v>545</v>
      </c>
      <c r="I1157">
        <f t="shared" si="130"/>
        <v>0</v>
      </c>
      <c r="J1157" t="s">
        <v>546</v>
      </c>
      <c r="K1157" s="5">
        <v>5</v>
      </c>
      <c r="L1157" t="str">
        <f>Table_DataFromNL[[#This Row],[PROFILECODE]]&amp;"-"&amp;Table_DataFromNL[[#This Row],[RULENAME]]</f>
        <v>CP215-1st Responder-Medical</v>
      </c>
      <c r="M1157" t="e">
        <f t="shared" si="131"/>
        <v>#N/A</v>
      </c>
    </row>
    <row r="1158" spans="1:13" x14ac:dyDescent="0.25">
      <c r="A1158" t="str">
        <f t="shared" si="132"/>
        <v>CP215-College ID Standard Bonus</v>
      </c>
      <c r="B1158" t="s">
        <v>153</v>
      </c>
      <c r="C1158" t="str">
        <f t="shared" si="126"/>
        <v>Gallup</v>
      </c>
      <c r="D1158" t="str">
        <f t="shared" si="127"/>
        <v>Y</v>
      </c>
      <c r="E1158" t="s">
        <v>626</v>
      </c>
      <c r="F1158" t="str">
        <f t="shared" si="128"/>
        <v>College ID Standard Bonus</v>
      </c>
      <c r="G1158">
        <f t="shared" si="129"/>
        <v>0</v>
      </c>
      <c r="H1158" t="s">
        <v>553</v>
      </c>
      <c r="I1158">
        <f t="shared" si="130"/>
        <v>0</v>
      </c>
      <c r="J1158" t="s">
        <v>546</v>
      </c>
      <c r="K1158" s="5">
        <v>5</v>
      </c>
      <c r="L1158" t="str">
        <f>Table_DataFromNL[[#This Row],[PROFILECODE]]&amp;"-"&amp;Table_DataFromNL[[#This Row],[RULENAME]]</f>
        <v>CP215-College ID Standard Bonus</v>
      </c>
      <c r="M1158" t="e">
        <f t="shared" si="131"/>
        <v>#N/A</v>
      </c>
    </row>
    <row r="1159" spans="1:13" x14ac:dyDescent="0.25">
      <c r="A1159" t="str">
        <f t="shared" si="132"/>
        <v>CP215-Military ID</v>
      </c>
      <c r="B1159" t="s">
        <v>153</v>
      </c>
      <c r="C1159" t="str">
        <f t="shared" si="126"/>
        <v>Gallup</v>
      </c>
      <c r="D1159" t="str">
        <f t="shared" si="127"/>
        <v>Y</v>
      </c>
      <c r="E1159" t="s">
        <v>626</v>
      </c>
      <c r="F1159" t="str">
        <f t="shared" si="128"/>
        <v>Military ID</v>
      </c>
      <c r="G1159">
        <f t="shared" si="129"/>
        <v>0</v>
      </c>
      <c r="H1159" t="s">
        <v>554</v>
      </c>
      <c r="I1159">
        <f t="shared" si="130"/>
        <v>0</v>
      </c>
      <c r="J1159" t="s">
        <v>546</v>
      </c>
      <c r="K1159" s="5">
        <v>5</v>
      </c>
      <c r="L1159" t="str">
        <f>Table_DataFromNL[[#This Row],[PROFILECODE]]&amp;"-"&amp;Table_DataFromNL[[#This Row],[RULENAME]]</f>
        <v>CP215-Military ID</v>
      </c>
      <c r="M1159" t="e">
        <f t="shared" si="131"/>
        <v>#N/A</v>
      </c>
    </row>
    <row r="1160" spans="1:13" x14ac:dyDescent="0.25">
      <c r="A1160" t="str">
        <f t="shared" si="132"/>
        <v>CP215-NEW DONOR -1st</v>
      </c>
      <c r="B1160" t="s">
        <v>153</v>
      </c>
      <c r="C1160" t="str">
        <f t="shared" si="126"/>
        <v>Gallup</v>
      </c>
      <c r="D1160" t="str">
        <f t="shared" si="127"/>
        <v>Y</v>
      </c>
      <c r="E1160" t="s">
        <v>626</v>
      </c>
      <c r="F1160" t="str">
        <f t="shared" si="128"/>
        <v>NEW DONOR -1st</v>
      </c>
      <c r="G1160" t="str">
        <f t="shared" si="129"/>
        <v>Marketing</v>
      </c>
      <c r="H1160" t="s">
        <v>555</v>
      </c>
      <c r="I1160">
        <f t="shared" si="130"/>
        <v>1</v>
      </c>
      <c r="J1160" t="s">
        <v>546</v>
      </c>
      <c r="K1160" s="5">
        <v>50.5</v>
      </c>
      <c r="L1160" t="str">
        <f>Table_DataFromNL[[#This Row],[PROFILECODE]]&amp;"-"&amp;Table_DataFromNL[[#This Row],[RULENAME]]</f>
        <v>CP215-New Donor 1st Visit-Bonus</v>
      </c>
      <c r="M1160" t="str">
        <f t="shared" si="131"/>
        <v>CP215-NEW DONOR -1st</v>
      </c>
    </row>
    <row r="1161" spans="1:13" x14ac:dyDescent="0.25">
      <c r="A1161" t="str">
        <f t="shared" si="132"/>
        <v>CP215-NEW DONOR -2nd</v>
      </c>
      <c r="B1161" t="s">
        <v>153</v>
      </c>
      <c r="C1161" t="str">
        <f t="shared" si="126"/>
        <v>Gallup</v>
      </c>
      <c r="D1161" t="str">
        <f t="shared" si="127"/>
        <v>Y</v>
      </c>
      <c r="E1161" t="s">
        <v>626</v>
      </c>
      <c r="F1161" t="str">
        <f t="shared" si="128"/>
        <v>NEW DONOR -2nd</v>
      </c>
      <c r="G1161" t="str">
        <f t="shared" si="129"/>
        <v>Marketing</v>
      </c>
      <c r="H1161" t="s">
        <v>556</v>
      </c>
      <c r="I1161">
        <f t="shared" si="130"/>
        <v>2</v>
      </c>
      <c r="J1161" t="s">
        <v>546</v>
      </c>
      <c r="K1161" s="5">
        <v>50.5</v>
      </c>
      <c r="L1161" t="str">
        <f>Table_DataFromNL[[#This Row],[PROFILECODE]]&amp;"-"&amp;Table_DataFromNL[[#This Row],[RULENAME]]</f>
        <v>CP215-New Donor 2nd Visit-Bonus</v>
      </c>
      <c r="M1161" t="str">
        <f t="shared" si="131"/>
        <v>CP215-NEW DONOR -2nd</v>
      </c>
    </row>
    <row r="1162" spans="1:13" x14ac:dyDescent="0.25">
      <c r="A1162" t="str">
        <f t="shared" si="132"/>
        <v>CP215-NEW DONOR -3rd</v>
      </c>
      <c r="B1162" t="s">
        <v>153</v>
      </c>
      <c r="C1162" t="str">
        <f t="shared" si="126"/>
        <v>Gallup</v>
      </c>
      <c r="D1162" t="str">
        <f t="shared" si="127"/>
        <v>Y</v>
      </c>
      <c r="E1162" t="s">
        <v>626</v>
      </c>
      <c r="F1162" t="str">
        <f t="shared" si="128"/>
        <v>NEW DONOR -3rd</v>
      </c>
      <c r="G1162" t="str">
        <f t="shared" si="129"/>
        <v>Marketing</v>
      </c>
      <c r="H1162" t="s">
        <v>557</v>
      </c>
      <c r="I1162">
        <f t="shared" si="130"/>
        <v>3</v>
      </c>
      <c r="J1162" t="s">
        <v>546</v>
      </c>
      <c r="K1162" s="5">
        <v>50.5</v>
      </c>
      <c r="L1162" t="str">
        <f>Table_DataFromNL[[#This Row],[PROFILECODE]]&amp;"-"&amp;Table_DataFromNL[[#This Row],[RULENAME]]</f>
        <v>CP215-New Donor 3rd Visit-Bonus</v>
      </c>
      <c r="M1162" t="str">
        <f t="shared" si="131"/>
        <v>CP215-NEW DONOR -3rd</v>
      </c>
    </row>
    <row r="1163" spans="1:13" x14ac:dyDescent="0.25">
      <c r="A1163" t="str">
        <f t="shared" si="132"/>
        <v>CP215-NEW DONOR -4th</v>
      </c>
      <c r="B1163" t="s">
        <v>153</v>
      </c>
      <c r="C1163" t="str">
        <f t="shared" si="126"/>
        <v>Gallup</v>
      </c>
      <c r="D1163" t="str">
        <f t="shared" si="127"/>
        <v>Y</v>
      </c>
      <c r="E1163" t="s">
        <v>626</v>
      </c>
      <c r="F1163" t="str">
        <f t="shared" si="128"/>
        <v>NEW DONOR -4th</v>
      </c>
      <c r="G1163" t="str">
        <f t="shared" si="129"/>
        <v>Marketing</v>
      </c>
      <c r="H1163" t="s">
        <v>558</v>
      </c>
      <c r="I1163">
        <f t="shared" si="130"/>
        <v>4</v>
      </c>
      <c r="J1163" t="s">
        <v>546</v>
      </c>
      <c r="K1163" s="5">
        <v>50.5</v>
      </c>
      <c r="L1163" t="str">
        <f>Table_DataFromNL[[#This Row],[PROFILECODE]]&amp;"-"&amp;Table_DataFromNL[[#This Row],[RULENAME]]</f>
        <v>CP215-New Donor 4th Visit-Bonus</v>
      </c>
      <c r="M1163" t="str">
        <f t="shared" si="131"/>
        <v>CP215-NEW DONOR -4th</v>
      </c>
    </row>
    <row r="1164" spans="1:13" x14ac:dyDescent="0.25">
      <c r="A1164" t="str">
        <f t="shared" si="132"/>
        <v>CP215-NEW DONOR -5th</v>
      </c>
      <c r="B1164" t="s">
        <v>153</v>
      </c>
      <c r="C1164" t="str">
        <f t="shared" si="126"/>
        <v>Gallup</v>
      </c>
      <c r="D1164" t="str">
        <f t="shared" si="127"/>
        <v>Y</v>
      </c>
      <c r="E1164" t="s">
        <v>626</v>
      </c>
      <c r="F1164" t="str">
        <f t="shared" si="128"/>
        <v>NEW DONOR -5th</v>
      </c>
      <c r="G1164" t="str">
        <f t="shared" si="129"/>
        <v>Marketing</v>
      </c>
      <c r="H1164" t="s">
        <v>559</v>
      </c>
      <c r="I1164">
        <f t="shared" si="130"/>
        <v>5</v>
      </c>
      <c r="J1164" t="s">
        <v>546</v>
      </c>
      <c r="K1164" s="5">
        <v>50.5</v>
      </c>
      <c r="L1164" t="str">
        <f>Table_DataFromNL[[#This Row],[PROFILECODE]]&amp;"-"&amp;Table_DataFromNL[[#This Row],[RULENAME]]</f>
        <v>CP215-New Donor 5th Visit-Bonus</v>
      </c>
      <c r="M1164" t="str">
        <f t="shared" si="131"/>
        <v>CP215-NEW DONOR -5th</v>
      </c>
    </row>
    <row r="1165" spans="1:13" x14ac:dyDescent="0.25">
      <c r="A1165" t="str">
        <f t="shared" si="132"/>
        <v>CP215-NEW DONOR -6th</v>
      </c>
      <c r="B1165" t="s">
        <v>153</v>
      </c>
      <c r="C1165" t="str">
        <f t="shared" si="126"/>
        <v>Gallup</v>
      </c>
      <c r="D1165" t="str">
        <f t="shared" si="127"/>
        <v>Y</v>
      </c>
      <c r="E1165" t="s">
        <v>626</v>
      </c>
      <c r="F1165" t="str">
        <f t="shared" si="128"/>
        <v>NEW DONOR -6th</v>
      </c>
      <c r="G1165" t="str">
        <f t="shared" si="129"/>
        <v>Marketing</v>
      </c>
      <c r="H1165" t="s">
        <v>560</v>
      </c>
      <c r="I1165">
        <f t="shared" si="130"/>
        <v>6</v>
      </c>
      <c r="J1165" t="s">
        <v>546</v>
      </c>
      <c r="K1165" s="5">
        <v>50.5</v>
      </c>
      <c r="L1165" t="str">
        <f>Table_DataFromNL[[#This Row],[PROFILECODE]]&amp;"-"&amp;Table_DataFromNL[[#This Row],[RULENAME]]</f>
        <v>CP215-New Donor 6th Visit-Bonus</v>
      </c>
      <c r="M1165" t="str">
        <f t="shared" si="131"/>
        <v>CP215-NEW DONOR -6th</v>
      </c>
    </row>
    <row r="1166" spans="1:13" x14ac:dyDescent="0.25">
      <c r="A1166" t="str">
        <f t="shared" si="132"/>
        <v>CP215-NEW DONOR -7th</v>
      </c>
      <c r="B1166" t="s">
        <v>153</v>
      </c>
      <c r="C1166" t="str">
        <f t="shared" si="126"/>
        <v>Gallup</v>
      </c>
      <c r="D1166" t="str">
        <f t="shared" si="127"/>
        <v>Y</v>
      </c>
      <c r="E1166" t="s">
        <v>626</v>
      </c>
      <c r="F1166" t="str">
        <f t="shared" si="128"/>
        <v>NEW DONOR -7th</v>
      </c>
      <c r="G1166" t="str">
        <f t="shared" si="129"/>
        <v>Marketing</v>
      </c>
      <c r="H1166" t="s">
        <v>561</v>
      </c>
      <c r="I1166">
        <f t="shared" si="130"/>
        <v>7</v>
      </c>
      <c r="J1166" t="s">
        <v>546</v>
      </c>
      <c r="K1166" s="5">
        <v>50.5</v>
      </c>
      <c r="L1166" t="str">
        <f>Table_DataFromNL[[#This Row],[PROFILECODE]]&amp;"-"&amp;Table_DataFromNL[[#This Row],[RULENAME]]</f>
        <v>CP215-New Donor 7th Visit-Bonus</v>
      </c>
      <c r="M1166" t="str">
        <f t="shared" si="131"/>
        <v>CP215-NEW DONOR -7th</v>
      </c>
    </row>
    <row r="1167" spans="1:13" x14ac:dyDescent="0.25">
      <c r="A1167" t="str">
        <f t="shared" si="132"/>
        <v>CP215-NEW DONOR -8th</v>
      </c>
      <c r="B1167" t="s">
        <v>153</v>
      </c>
      <c r="C1167" t="str">
        <f t="shared" si="126"/>
        <v>Gallup</v>
      </c>
      <c r="D1167" t="str">
        <f t="shared" si="127"/>
        <v>Y</v>
      </c>
      <c r="E1167" t="s">
        <v>626</v>
      </c>
      <c r="F1167" t="str">
        <f t="shared" si="128"/>
        <v>NEW DONOR -8th</v>
      </c>
      <c r="G1167" t="str">
        <f t="shared" si="129"/>
        <v>Marketing</v>
      </c>
      <c r="H1167" t="s">
        <v>562</v>
      </c>
      <c r="I1167">
        <f t="shared" si="130"/>
        <v>8</v>
      </c>
      <c r="J1167" t="s">
        <v>546</v>
      </c>
      <c r="K1167" s="5">
        <v>50.5</v>
      </c>
      <c r="L1167" t="str">
        <f>Table_DataFromNL[[#This Row],[PROFILECODE]]&amp;"-"&amp;Table_DataFromNL[[#This Row],[RULENAME]]</f>
        <v>CP215-New Donor 8th Visit-Bonus</v>
      </c>
      <c r="M1167" t="str">
        <f t="shared" si="131"/>
        <v>CP215-NEW DONOR -8th</v>
      </c>
    </row>
    <row r="1168" spans="1:13" x14ac:dyDescent="0.25">
      <c r="A1168" t="str">
        <f t="shared" si="132"/>
        <v>CP215-Vaccinia - 1st Donation</v>
      </c>
      <c r="B1168" t="s">
        <v>153</v>
      </c>
      <c r="C1168" t="str">
        <f t="shared" si="126"/>
        <v>Gallup</v>
      </c>
      <c r="D1168" t="str">
        <f t="shared" si="127"/>
        <v>Y</v>
      </c>
      <c r="E1168" t="s">
        <v>626</v>
      </c>
      <c r="F1168" t="str">
        <f t="shared" si="128"/>
        <v>Vaccinia - 1st Donation</v>
      </c>
      <c r="G1168" t="str">
        <f t="shared" si="129"/>
        <v>Specialty</v>
      </c>
      <c r="H1168" t="s">
        <v>477</v>
      </c>
      <c r="I1168">
        <f t="shared" si="130"/>
        <v>0</v>
      </c>
      <c r="J1168" t="s">
        <v>546</v>
      </c>
      <c r="K1168" s="5">
        <v>150</v>
      </c>
      <c r="L1168" t="str">
        <f>Table_DataFromNL[[#This Row],[PROFILECODE]]&amp;"-"&amp;Table_DataFromNL[[#This Row],[RULENAME]]</f>
        <v>CP215-Vaccinia - 1st Donation</v>
      </c>
      <c r="M1168" t="str">
        <f t="shared" si="131"/>
        <v>CP215-Vaccinia - 1st Donation</v>
      </c>
    </row>
    <row r="1169" spans="1:13" x14ac:dyDescent="0.25">
      <c r="A1169" t="str">
        <f t="shared" si="132"/>
        <v>CP215-Vaccinia - 2nd Donation</v>
      </c>
      <c r="B1169" t="s">
        <v>153</v>
      </c>
      <c r="C1169" t="str">
        <f t="shared" si="126"/>
        <v>Gallup</v>
      </c>
      <c r="D1169" t="str">
        <f t="shared" si="127"/>
        <v>Y</v>
      </c>
      <c r="E1169" t="s">
        <v>626</v>
      </c>
      <c r="F1169" t="str">
        <f t="shared" si="128"/>
        <v>Vaccinia - 2nd Donation</v>
      </c>
      <c r="G1169" t="str">
        <f t="shared" si="129"/>
        <v>Specialty</v>
      </c>
      <c r="H1169" t="s">
        <v>478</v>
      </c>
      <c r="I1169">
        <f t="shared" si="130"/>
        <v>0</v>
      </c>
      <c r="J1169" t="s">
        <v>546</v>
      </c>
      <c r="K1169" s="5">
        <v>250</v>
      </c>
      <c r="L1169" t="str">
        <f>Table_DataFromNL[[#This Row],[PROFILECODE]]&amp;"-"&amp;Table_DataFromNL[[#This Row],[RULENAME]]</f>
        <v>CP215-Vaccinia - 2nd Donation</v>
      </c>
      <c r="M1169" t="str">
        <f t="shared" si="131"/>
        <v>CP215-Vaccinia - 2nd Donation</v>
      </c>
    </row>
    <row r="1170" spans="1:13" x14ac:dyDescent="0.25">
      <c r="A1170" t="str">
        <f t="shared" si="132"/>
        <v>CP215-Vaccinia - 3rd Donation</v>
      </c>
      <c r="B1170" t="s">
        <v>153</v>
      </c>
      <c r="C1170" t="str">
        <f t="shared" si="126"/>
        <v>Gallup</v>
      </c>
      <c r="D1170" t="str">
        <f t="shared" si="127"/>
        <v>Y</v>
      </c>
      <c r="E1170" t="s">
        <v>626</v>
      </c>
      <c r="F1170" t="str">
        <f t="shared" si="128"/>
        <v>Vaccinia - 3rd Donation</v>
      </c>
      <c r="G1170" t="str">
        <f t="shared" si="129"/>
        <v>Specialty</v>
      </c>
      <c r="H1170" t="s">
        <v>479</v>
      </c>
      <c r="I1170">
        <f t="shared" si="130"/>
        <v>0</v>
      </c>
      <c r="J1170" t="s">
        <v>546</v>
      </c>
      <c r="K1170" s="5">
        <v>300</v>
      </c>
      <c r="L1170" t="str">
        <f>Table_DataFromNL[[#This Row],[PROFILECODE]]&amp;"-"&amp;Table_DataFromNL[[#This Row],[RULENAME]]</f>
        <v>CP215-Vaccinia - 3rd Donation</v>
      </c>
      <c r="M1170" t="str">
        <f t="shared" si="131"/>
        <v>CP215-Vaccinia - 3rd Donation</v>
      </c>
    </row>
    <row r="1171" spans="1:13" x14ac:dyDescent="0.25">
      <c r="A1171" t="str">
        <f t="shared" si="132"/>
        <v>CP215-Vaccinia - 4th Donation</v>
      </c>
      <c r="B1171" t="s">
        <v>153</v>
      </c>
      <c r="C1171" t="str">
        <f t="shared" si="126"/>
        <v>Gallup</v>
      </c>
      <c r="D1171" t="str">
        <f t="shared" si="127"/>
        <v>Y</v>
      </c>
      <c r="E1171" t="s">
        <v>626</v>
      </c>
      <c r="F1171" t="str">
        <f t="shared" si="128"/>
        <v>Vaccinia - 4th Donation</v>
      </c>
      <c r="G1171" t="str">
        <f t="shared" si="129"/>
        <v>Specialty</v>
      </c>
      <c r="H1171" t="s">
        <v>480</v>
      </c>
      <c r="I1171">
        <f t="shared" si="130"/>
        <v>0</v>
      </c>
      <c r="J1171" t="s">
        <v>546</v>
      </c>
      <c r="K1171" s="5">
        <v>300</v>
      </c>
      <c r="L1171" t="str">
        <f>Table_DataFromNL[[#This Row],[PROFILECODE]]&amp;"-"&amp;Table_DataFromNL[[#This Row],[RULENAME]]</f>
        <v>CP215-Vaccinia - 4th Donation</v>
      </c>
      <c r="M1171" t="str">
        <f t="shared" si="131"/>
        <v>CP215-Vaccinia - 4th Donation</v>
      </c>
    </row>
    <row r="1172" spans="1:13" x14ac:dyDescent="0.25">
      <c r="A1172" t="str">
        <f t="shared" si="132"/>
        <v>CP215-Vaccinia AP - 1st Donation</v>
      </c>
      <c r="B1172" t="s">
        <v>153</v>
      </c>
      <c r="C1172" t="str">
        <f t="shared" si="126"/>
        <v>Gallup</v>
      </c>
      <c r="D1172" t="str">
        <f t="shared" si="127"/>
        <v>Y</v>
      </c>
      <c r="E1172" t="s">
        <v>626</v>
      </c>
      <c r="F1172" t="str">
        <f t="shared" si="128"/>
        <v>Vaccinia AP - 1st Donation</v>
      </c>
      <c r="G1172" t="str">
        <f t="shared" si="129"/>
        <v>Specialty</v>
      </c>
      <c r="H1172" t="s">
        <v>481</v>
      </c>
      <c r="I1172">
        <f t="shared" si="130"/>
        <v>0</v>
      </c>
      <c r="J1172" t="s">
        <v>546</v>
      </c>
      <c r="K1172" s="5">
        <v>150</v>
      </c>
      <c r="L1172" t="str">
        <f>Table_DataFromNL[[#This Row],[PROFILECODE]]&amp;"-"&amp;Table_DataFromNL[[#This Row],[RULENAME]]</f>
        <v>CP215-Vaccinia AP - 1st Donation</v>
      </c>
      <c r="M1172" t="str">
        <f t="shared" si="131"/>
        <v>CP215-Vaccinia AP - 1st Donation</v>
      </c>
    </row>
    <row r="1173" spans="1:13" x14ac:dyDescent="0.25">
      <c r="A1173" t="str">
        <f t="shared" si="132"/>
        <v>CP215-Vaccinia AP - 2nd Donation</v>
      </c>
      <c r="B1173" t="s">
        <v>153</v>
      </c>
      <c r="C1173" t="str">
        <f t="shared" si="126"/>
        <v>Gallup</v>
      </c>
      <c r="D1173" t="str">
        <f t="shared" si="127"/>
        <v>Y</v>
      </c>
      <c r="E1173" t="s">
        <v>626</v>
      </c>
      <c r="F1173" t="str">
        <f t="shared" si="128"/>
        <v>Vaccinia AP - 2nd Donation</v>
      </c>
      <c r="G1173" t="str">
        <f t="shared" si="129"/>
        <v>Specialty</v>
      </c>
      <c r="H1173" t="s">
        <v>482</v>
      </c>
      <c r="I1173">
        <f t="shared" si="130"/>
        <v>0</v>
      </c>
      <c r="J1173" t="s">
        <v>546</v>
      </c>
      <c r="K1173" s="5">
        <v>250</v>
      </c>
      <c r="L1173" t="str">
        <f>Table_DataFromNL[[#This Row],[PROFILECODE]]&amp;"-"&amp;Table_DataFromNL[[#This Row],[RULENAME]]</f>
        <v>CP215-Vaccinia AP - 2nd Donation</v>
      </c>
      <c r="M1173" t="str">
        <f t="shared" si="131"/>
        <v>CP215-Vaccinia AP - 2nd Donation</v>
      </c>
    </row>
    <row r="1174" spans="1:13" x14ac:dyDescent="0.25">
      <c r="A1174" t="str">
        <f t="shared" si="132"/>
        <v>CP215-Vaccinia AP - 3rd Donation</v>
      </c>
      <c r="B1174" t="s">
        <v>153</v>
      </c>
      <c r="C1174" t="str">
        <f t="shared" si="126"/>
        <v>Gallup</v>
      </c>
      <c r="D1174" t="str">
        <f t="shared" si="127"/>
        <v>Y</v>
      </c>
      <c r="E1174" t="s">
        <v>626</v>
      </c>
      <c r="F1174" t="str">
        <f t="shared" si="128"/>
        <v>Vaccinia AP - 3rd Donation</v>
      </c>
      <c r="G1174" t="str">
        <f t="shared" si="129"/>
        <v>Specialty</v>
      </c>
      <c r="H1174" t="s">
        <v>483</v>
      </c>
      <c r="I1174">
        <f t="shared" si="130"/>
        <v>0</v>
      </c>
      <c r="J1174" t="s">
        <v>546</v>
      </c>
      <c r="K1174" s="5">
        <v>300</v>
      </c>
      <c r="L1174" t="str">
        <f>Table_DataFromNL[[#This Row],[PROFILECODE]]&amp;"-"&amp;Table_DataFromNL[[#This Row],[RULENAME]]</f>
        <v>CP215-Vaccinia AP - 3rd Donation</v>
      </c>
      <c r="M1174" t="str">
        <f t="shared" si="131"/>
        <v>CP215-Vaccinia AP - 3rd Donation</v>
      </c>
    </row>
    <row r="1175" spans="1:13" x14ac:dyDescent="0.25">
      <c r="A1175" t="str">
        <f t="shared" si="132"/>
        <v>CP215-Vaccinia AP - 4th Donation</v>
      </c>
      <c r="B1175" t="s">
        <v>153</v>
      </c>
      <c r="C1175" t="str">
        <f t="shared" si="126"/>
        <v>Gallup</v>
      </c>
      <c r="D1175" t="str">
        <f t="shared" si="127"/>
        <v>Y</v>
      </c>
      <c r="E1175" t="s">
        <v>626</v>
      </c>
      <c r="F1175" t="str">
        <f t="shared" si="128"/>
        <v>Vaccinia AP - 4th Donation</v>
      </c>
      <c r="G1175" t="str">
        <f t="shared" si="129"/>
        <v>Specialty</v>
      </c>
      <c r="H1175" t="s">
        <v>484</v>
      </c>
      <c r="I1175">
        <f t="shared" si="130"/>
        <v>0</v>
      </c>
      <c r="J1175" t="s">
        <v>546</v>
      </c>
      <c r="K1175" s="5">
        <v>300</v>
      </c>
      <c r="L1175" t="str">
        <f>Table_DataFromNL[[#This Row],[PROFILECODE]]&amp;"-"&amp;Table_DataFromNL[[#This Row],[RULENAME]]</f>
        <v>CP215-Vaccinia AP - 4th Donation</v>
      </c>
      <c r="M1175" t="str">
        <f t="shared" si="131"/>
        <v>CP215-Vaccinia AP - 4th Donation</v>
      </c>
    </row>
    <row r="1176" spans="1:13" x14ac:dyDescent="0.25">
      <c r="A1176" t="str">
        <f t="shared" si="132"/>
        <v>CP215-Community</v>
      </c>
      <c r="B1176" t="s">
        <v>153</v>
      </c>
      <c r="C1176" t="str">
        <f t="shared" si="126"/>
        <v>Gallup</v>
      </c>
      <c r="D1176" t="str">
        <f t="shared" si="127"/>
        <v>Y</v>
      </c>
      <c r="E1176" t="s">
        <v>626</v>
      </c>
      <c r="F1176" t="str">
        <f t="shared" si="128"/>
        <v>Community</v>
      </c>
      <c r="G1176">
        <f t="shared" si="129"/>
        <v>0</v>
      </c>
      <c r="H1176" t="s">
        <v>563</v>
      </c>
      <c r="I1176">
        <f t="shared" si="130"/>
        <v>0</v>
      </c>
      <c r="J1176" t="s">
        <v>564</v>
      </c>
      <c r="K1176" s="5">
        <v>5</v>
      </c>
      <c r="L1176" t="str">
        <f>Table_DataFromNL[[#This Row],[PROFILECODE]]&amp;"-"&amp;Table_DataFromNL[[#This Row],[RULENAME]]</f>
        <v>CP215-Community</v>
      </c>
      <c r="M1176" t="e">
        <f t="shared" si="131"/>
        <v>#N/A</v>
      </c>
    </row>
    <row r="1177" spans="1:13" x14ac:dyDescent="0.25">
      <c r="A1177" t="str">
        <f t="shared" si="132"/>
        <v>CP215-HANGER_RECRUIT_5USD_once</v>
      </c>
      <c r="B1177" t="s">
        <v>153</v>
      </c>
      <c r="C1177" t="str">
        <f t="shared" si="126"/>
        <v>Gallup</v>
      </c>
      <c r="D1177" t="str">
        <f t="shared" si="127"/>
        <v>Y</v>
      </c>
      <c r="E1177" t="s">
        <v>626</v>
      </c>
      <c r="F1177" t="str">
        <f t="shared" si="128"/>
        <v>HANGER_RECRUIT_5USD_once</v>
      </c>
      <c r="G1177">
        <f t="shared" si="129"/>
        <v>0</v>
      </c>
      <c r="H1177" t="s">
        <v>565</v>
      </c>
      <c r="I1177">
        <f t="shared" si="130"/>
        <v>0</v>
      </c>
      <c r="J1177" t="s">
        <v>564</v>
      </c>
      <c r="K1177" s="5">
        <v>5</v>
      </c>
      <c r="L1177" t="str">
        <f>Table_DataFromNL[[#This Row],[PROFILECODE]]&amp;"-"&amp;Table_DataFromNL[[#This Row],[RULENAME]]</f>
        <v>CP215-HANGER_RECRUIT_5USD_once</v>
      </c>
      <c r="M1177" t="e">
        <f t="shared" si="131"/>
        <v>#N/A</v>
      </c>
    </row>
    <row r="1178" spans="1:13" x14ac:dyDescent="0.25">
      <c r="A1178" t="str">
        <f t="shared" si="132"/>
        <v>CP215-Immunization Boost Payment</v>
      </c>
      <c r="B1178" t="s">
        <v>153</v>
      </c>
      <c r="C1178" t="str">
        <f t="shared" si="126"/>
        <v>Gallup</v>
      </c>
      <c r="D1178" t="str">
        <f t="shared" si="127"/>
        <v>Y</v>
      </c>
      <c r="E1178" t="s">
        <v>626</v>
      </c>
      <c r="F1178" t="str">
        <f t="shared" si="128"/>
        <v>Immunization Boost Payment</v>
      </c>
      <c r="G1178">
        <f t="shared" si="129"/>
        <v>0</v>
      </c>
      <c r="H1178" t="s">
        <v>598</v>
      </c>
      <c r="I1178">
        <f t="shared" si="130"/>
        <v>0</v>
      </c>
      <c r="J1178" t="s">
        <v>564</v>
      </c>
      <c r="K1178" s="5">
        <v>50</v>
      </c>
      <c r="L1178" t="str">
        <f>Table_DataFromNL[[#This Row],[PROFILECODE]]&amp;"-"&amp;Table_DataFromNL[[#This Row],[RULENAME]]</f>
        <v>CP215-Immunization Boost Payment</v>
      </c>
      <c r="M1178" t="e">
        <f t="shared" si="131"/>
        <v>#N/A</v>
      </c>
    </row>
    <row r="1179" spans="1:13" x14ac:dyDescent="0.25">
      <c r="A1179" t="str">
        <f t="shared" si="132"/>
        <v>CP215-Immunization Series Payment</v>
      </c>
      <c r="B1179" t="s">
        <v>153</v>
      </c>
      <c r="C1179" t="str">
        <f t="shared" si="126"/>
        <v>Gallup</v>
      </c>
      <c r="D1179" t="str">
        <f t="shared" si="127"/>
        <v>Y</v>
      </c>
      <c r="E1179" t="s">
        <v>626</v>
      </c>
      <c r="F1179" t="str">
        <f t="shared" si="128"/>
        <v>Immunization Series Payment</v>
      </c>
      <c r="G1179">
        <f t="shared" si="129"/>
        <v>0</v>
      </c>
      <c r="H1179" t="s">
        <v>599</v>
      </c>
      <c r="I1179">
        <f t="shared" si="130"/>
        <v>0</v>
      </c>
      <c r="J1179" t="s">
        <v>564</v>
      </c>
      <c r="K1179" s="5">
        <v>100</v>
      </c>
      <c r="L1179" t="str">
        <f>Table_DataFromNL[[#This Row],[PROFILECODE]]&amp;"-"&amp;Table_DataFromNL[[#This Row],[RULENAME]]</f>
        <v>CP215-Immunization Series Payment</v>
      </c>
      <c r="M1179" t="e">
        <f t="shared" si="131"/>
        <v>#N/A</v>
      </c>
    </row>
    <row r="1180" spans="1:13" x14ac:dyDescent="0.25">
      <c r="A1180" t="str">
        <f t="shared" si="132"/>
        <v>CP215-Inconv Fee $20-$50-Comment Req'd</v>
      </c>
      <c r="B1180" t="s">
        <v>153</v>
      </c>
      <c r="C1180" t="str">
        <f t="shared" si="126"/>
        <v>Gallup</v>
      </c>
      <c r="D1180" t="str">
        <f t="shared" si="127"/>
        <v>Y</v>
      </c>
      <c r="E1180" t="s">
        <v>626</v>
      </c>
      <c r="F1180" t="str">
        <f t="shared" si="128"/>
        <v>Inconv Fee $20-$50-Comment Req'd</v>
      </c>
      <c r="G1180">
        <f t="shared" si="129"/>
        <v>0</v>
      </c>
      <c r="H1180" t="s">
        <v>566</v>
      </c>
      <c r="I1180">
        <f t="shared" si="130"/>
        <v>0</v>
      </c>
      <c r="J1180" t="s">
        <v>564</v>
      </c>
      <c r="K1180" s="5">
        <v>50</v>
      </c>
      <c r="L1180" t="str">
        <f>Table_DataFromNL[[#This Row],[PROFILECODE]]&amp;"-"&amp;Table_DataFromNL[[#This Row],[RULENAME]]</f>
        <v>CP215-Inconv Fee $20-$50-Comment Req'd</v>
      </c>
      <c r="M1180" t="e">
        <f t="shared" si="131"/>
        <v>#N/A</v>
      </c>
    </row>
    <row r="1181" spans="1:13" x14ac:dyDescent="0.25">
      <c r="A1181" t="str">
        <f t="shared" si="132"/>
        <v>CP215-Inconv Fee $5-$20-Comment Req'd</v>
      </c>
      <c r="B1181" t="s">
        <v>153</v>
      </c>
      <c r="C1181" t="str">
        <f t="shared" si="126"/>
        <v>Gallup</v>
      </c>
      <c r="D1181" t="str">
        <f t="shared" si="127"/>
        <v>Y</v>
      </c>
      <c r="E1181" t="s">
        <v>626</v>
      </c>
      <c r="F1181" t="str">
        <f t="shared" si="128"/>
        <v>Inconv Fee $5-$20-Comment Req'd</v>
      </c>
      <c r="G1181">
        <f t="shared" si="129"/>
        <v>0</v>
      </c>
      <c r="H1181" t="s">
        <v>567</v>
      </c>
      <c r="I1181">
        <f t="shared" si="130"/>
        <v>0</v>
      </c>
      <c r="J1181" t="s">
        <v>564</v>
      </c>
      <c r="K1181" s="5">
        <v>20</v>
      </c>
      <c r="L1181" t="str">
        <f>Table_DataFromNL[[#This Row],[PROFILECODE]]&amp;"-"&amp;Table_DataFromNL[[#This Row],[RULENAME]]</f>
        <v>CP215-Inconv Fee $5-$20-Comment Req'd</v>
      </c>
      <c r="M1181" t="e">
        <f t="shared" si="131"/>
        <v>#N/A</v>
      </c>
    </row>
    <row r="1182" spans="1:13" x14ac:dyDescent="0.25">
      <c r="A1182" t="str">
        <f t="shared" si="132"/>
        <v>CP215-Inconv Fee$50-$100-Comment Req'd</v>
      </c>
      <c r="B1182" t="s">
        <v>153</v>
      </c>
      <c r="C1182" t="str">
        <f t="shared" si="126"/>
        <v>Gallup</v>
      </c>
      <c r="D1182" t="str">
        <f t="shared" si="127"/>
        <v>Y</v>
      </c>
      <c r="E1182" t="s">
        <v>626</v>
      </c>
      <c r="F1182" t="str">
        <f t="shared" si="128"/>
        <v>Inconv Fee$50-$100-Comment Req'd</v>
      </c>
      <c r="G1182">
        <f t="shared" si="129"/>
        <v>0</v>
      </c>
      <c r="H1182" t="s">
        <v>568</v>
      </c>
      <c r="I1182">
        <f t="shared" si="130"/>
        <v>0</v>
      </c>
      <c r="J1182" t="s">
        <v>564</v>
      </c>
      <c r="K1182" s="5">
        <v>100</v>
      </c>
      <c r="L1182" t="str">
        <f>Table_DataFromNL[[#This Row],[PROFILECODE]]&amp;"-"&amp;Table_DataFromNL[[#This Row],[RULENAME]]</f>
        <v>CP215-Inconv Fee$50-$100-Comment Req'd</v>
      </c>
      <c r="M1182" t="e">
        <f t="shared" si="131"/>
        <v>#N/A</v>
      </c>
    </row>
    <row r="1183" spans="1:13" x14ac:dyDescent="0.25">
      <c r="A1183" t="str">
        <f t="shared" si="132"/>
        <v>CP215-NSP_ LAPSEDONOR_50_Twice</v>
      </c>
      <c r="B1183" t="s">
        <v>153</v>
      </c>
      <c r="C1183" t="str">
        <f t="shared" si="126"/>
        <v>Gallup</v>
      </c>
      <c r="D1183" t="str">
        <f t="shared" si="127"/>
        <v>Y</v>
      </c>
      <c r="E1183" t="s">
        <v>626</v>
      </c>
      <c r="F1183" t="str">
        <f t="shared" si="128"/>
        <v>NSP_ LAPSEDONOR_50_Twice</v>
      </c>
      <c r="G1183">
        <f t="shared" si="129"/>
        <v>0</v>
      </c>
      <c r="H1183" t="s">
        <v>569</v>
      </c>
      <c r="I1183">
        <f t="shared" si="130"/>
        <v>0</v>
      </c>
      <c r="J1183" t="s">
        <v>564</v>
      </c>
      <c r="K1183" s="5">
        <v>50</v>
      </c>
      <c r="L1183" t="str">
        <f>Table_DataFromNL[[#This Row],[PROFILECODE]]&amp;"-"&amp;Table_DataFromNL[[#This Row],[RULENAME]]</f>
        <v>CP215-NSP_ LAPSEDONOR_50_Twice</v>
      </c>
      <c r="M1183" t="e">
        <f t="shared" si="131"/>
        <v>#N/A</v>
      </c>
    </row>
    <row r="1184" spans="1:13" x14ac:dyDescent="0.25">
      <c r="A1184" t="str">
        <f t="shared" si="132"/>
        <v>CP215-NSP_LD_25_2X</v>
      </c>
      <c r="B1184" t="s">
        <v>153</v>
      </c>
      <c r="C1184" t="str">
        <f t="shared" si="126"/>
        <v>Gallup</v>
      </c>
      <c r="D1184" t="str">
        <f t="shared" si="127"/>
        <v>Y</v>
      </c>
      <c r="E1184" t="s">
        <v>626</v>
      </c>
      <c r="F1184" t="str">
        <f t="shared" si="128"/>
        <v>NSP_LD_25_2X</v>
      </c>
      <c r="G1184">
        <f t="shared" si="129"/>
        <v>0</v>
      </c>
      <c r="H1184" t="s">
        <v>570</v>
      </c>
      <c r="I1184">
        <f t="shared" si="130"/>
        <v>0</v>
      </c>
      <c r="J1184" t="s">
        <v>564</v>
      </c>
      <c r="K1184" s="5">
        <v>25</v>
      </c>
      <c r="L1184" t="str">
        <f>Table_DataFromNL[[#This Row],[PROFILECODE]]&amp;"-"&amp;Table_DataFromNL[[#This Row],[RULENAME]]</f>
        <v>CP215-NSP_LD_25_2X</v>
      </c>
      <c r="M1184" t="e">
        <f t="shared" si="131"/>
        <v>#N/A</v>
      </c>
    </row>
    <row r="1185" spans="1:13" x14ac:dyDescent="0.25">
      <c r="A1185" t="str">
        <f t="shared" si="132"/>
        <v>CP215-NSP_LD_50_1X</v>
      </c>
      <c r="B1185" t="s">
        <v>153</v>
      </c>
      <c r="C1185" t="str">
        <f t="shared" si="126"/>
        <v>Gallup</v>
      </c>
      <c r="D1185" t="str">
        <f t="shared" si="127"/>
        <v>Y</v>
      </c>
      <c r="E1185" t="s">
        <v>626</v>
      </c>
      <c r="F1185" t="str">
        <f t="shared" si="128"/>
        <v>NSP_LD_50_1X</v>
      </c>
      <c r="G1185">
        <f t="shared" si="129"/>
        <v>0</v>
      </c>
      <c r="H1185" t="s">
        <v>571</v>
      </c>
      <c r="I1185">
        <f t="shared" si="130"/>
        <v>0</v>
      </c>
      <c r="J1185" t="s">
        <v>564</v>
      </c>
      <c r="K1185" s="5">
        <v>50</v>
      </c>
      <c r="L1185" t="str">
        <f>Table_DataFromNL[[#This Row],[PROFILECODE]]&amp;"-"&amp;Table_DataFromNL[[#This Row],[RULENAME]]</f>
        <v>CP215-NSP_LD_50_1X</v>
      </c>
      <c r="M1185" t="e">
        <f t="shared" si="131"/>
        <v>#N/A</v>
      </c>
    </row>
    <row r="1186" spans="1:13" x14ac:dyDescent="0.25">
      <c r="A1186" t="str">
        <f t="shared" si="132"/>
        <v>CP215-NSP_ORPHAN_100_once</v>
      </c>
      <c r="B1186" t="s">
        <v>153</v>
      </c>
      <c r="C1186" t="str">
        <f t="shared" si="126"/>
        <v>Gallup</v>
      </c>
      <c r="D1186" t="str">
        <f t="shared" si="127"/>
        <v>Y</v>
      </c>
      <c r="E1186" t="s">
        <v>626</v>
      </c>
      <c r="F1186" t="str">
        <f t="shared" si="128"/>
        <v>NSP_ORPHAN_100_once</v>
      </c>
      <c r="G1186">
        <f t="shared" si="129"/>
        <v>0</v>
      </c>
      <c r="H1186" t="s">
        <v>572</v>
      </c>
      <c r="I1186">
        <f t="shared" si="130"/>
        <v>0</v>
      </c>
      <c r="J1186" t="s">
        <v>564</v>
      </c>
      <c r="K1186" s="5">
        <v>100</v>
      </c>
      <c r="L1186" t="str">
        <f>Table_DataFromNL[[#This Row],[PROFILECODE]]&amp;"-"&amp;Table_DataFromNL[[#This Row],[RULENAME]]</f>
        <v>CP215-NSP_ORPHAN_100_once</v>
      </c>
      <c r="M1186" t="e">
        <f t="shared" si="131"/>
        <v>#N/A</v>
      </c>
    </row>
    <row r="1187" spans="1:13" x14ac:dyDescent="0.25">
      <c r="A1187" t="str">
        <f t="shared" si="132"/>
        <v>CP215-Referral - Vaccinia</v>
      </c>
      <c r="B1187" t="s">
        <v>153</v>
      </c>
      <c r="C1187" t="str">
        <f t="shared" si="126"/>
        <v>Gallup</v>
      </c>
      <c r="D1187" t="str">
        <f t="shared" si="127"/>
        <v>Y</v>
      </c>
      <c r="E1187" t="s">
        <v>626</v>
      </c>
      <c r="F1187" t="str">
        <f t="shared" si="128"/>
        <v>Referral - Vaccinia</v>
      </c>
      <c r="G1187">
        <f t="shared" si="129"/>
        <v>0</v>
      </c>
      <c r="H1187" t="s">
        <v>595</v>
      </c>
      <c r="I1187">
        <f t="shared" si="130"/>
        <v>0</v>
      </c>
      <c r="J1187" t="s">
        <v>564</v>
      </c>
      <c r="K1187" s="5">
        <v>250</v>
      </c>
      <c r="L1187" t="str">
        <f>Table_DataFromNL[[#This Row],[PROFILECODE]]&amp;"-"&amp;Table_DataFromNL[[#This Row],[RULENAME]]</f>
        <v>CP215-Referral - Vaccinia</v>
      </c>
      <c r="M1187" t="e">
        <f t="shared" si="131"/>
        <v>#N/A</v>
      </c>
    </row>
    <row r="1188" spans="1:13" x14ac:dyDescent="0.25">
      <c r="A1188" t="str">
        <f t="shared" si="132"/>
        <v>CP215-Restick</v>
      </c>
      <c r="B1188" t="s">
        <v>153</v>
      </c>
      <c r="C1188" t="str">
        <f t="shared" si="126"/>
        <v>Gallup</v>
      </c>
      <c r="D1188" t="str">
        <f t="shared" si="127"/>
        <v>Y</v>
      </c>
      <c r="E1188" t="s">
        <v>626</v>
      </c>
      <c r="F1188" t="str">
        <f t="shared" si="128"/>
        <v>Restick</v>
      </c>
      <c r="G1188">
        <f t="shared" si="129"/>
        <v>0</v>
      </c>
      <c r="H1188" t="s">
        <v>573</v>
      </c>
      <c r="I1188">
        <f t="shared" si="130"/>
        <v>0</v>
      </c>
      <c r="J1188" t="s">
        <v>564</v>
      </c>
      <c r="K1188" s="5">
        <v>5</v>
      </c>
      <c r="L1188" t="str">
        <f>Table_DataFromNL[[#This Row],[PROFILECODE]]&amp;"-"&amp;Table_DataFromNL[[#This Row],[RULENAME]]</f>
        <v>CP215-Restick</v>
      </c>
      <c r="M1188" t="e">
        <f t="shared" si="131"/>
        <v>#N/A</v>
      </c>
    </row>
    <row r="1189" spans="1:13" x14ac:dyDescent="0.25">
      <c r="A1189" t="str">
        <f t="shared" si="132"/>
        <v>CP215-SLOW_TEXT_5</v>
      </c>
      <c r="B1189" t="s">
        <v>153</v>
      </c>
      <c r="C1189" t="str">
        <f t="shared" si="126"/>
        <v>Gallup</v>
      </c>
      <c r="D1189" t="str">
        <f t="shared" si="127"/>
        <v>Y</v>
      </c>
      <c r="E1189" t="s">
        <v>626</v>
      </c>
      <c r="F1189" t="str">
        <f t="shared" si="128"/>
        <v>SLOW_TEXT_5</v>
      </c>
      <c r="G1189">
        <f t="shared" si="129"/>
        <v>0</v>
      </c>
      <c r="H1189" t="s">
        <v>574</v>
      </c>
      <c r="I1189">
        <f t="shared" si="130"/>
        <v>0</v>
      </c>
      <c r="J1189" t="s">
        <v>564</v>
      </c>
      <c r="K1189" s="5">
        <v>5</v>
      </c>
      <c r="L1189" t="str">
        <f>Table_DataFromNL[[#This Row],[PROFILECODE]]&amp;"-"&amp;Table_DataFromNL[[#This Row],[RULENAME]]</f>
        <v>CP215-SLOW_TEXT_5</v>
      </c>
      <c r="M1189" t="e">
        <f t="shared" si="131"/>
        <v>#N/A</v>
      </c>
    </row>
    <row r="1190" spans="1:13" x14ac:dyDescent="0.25">
      <c r="A1190" t="str">
        <f t="shared" si="132"/>
        <v>CP215-Sample Only</v>
      </c>
      <c r="B1190" t="s">
        <v>153</v>
      </c>
      <c r="C1190" t="str">
        <f t="shared" si="126"/>
        <v>Gallup</v>
      </c>
      <c r="D1190" t="str">
        <f t="shared" si="127"/>
        <v>Y</v>
      </c>
      <c r="E1190" t="s">
        <v>626</v>
      </c>
      <c r="F1190" t="str">
        <f t="shared" si="128"/>
        <v>Sample Only</v>
      </c>
      <c r="G1190">
        <f t="shared" si="129"/>
        <v>0</v>
      </c>
      <c r="H1190" t="s">
        <v>575</v>
      </c>
      <c r="I1190">
        <f t="shared" si="130"/>
        <v>0</v>
      </c>
      <c r="J1190" t="s">
        <v>564</v>
      </c>
      <c r="K1190" s="5">
        <v>5</v>
      </c>
      <c r="L1190" t="str">
        <f>Table_DataFromNL[[#This Row],[PROFILECODE]]&amp;"-"&amp;Table_DataFromNL[[#This Row],[RULENAME]]</f>
        <v>CP215-Sample Only</v>
      </c>
      <c r="M1190" t="e">
        <f t="shared" si="131"/>
        <v>#N/A</v>
      </c>
    </row>
    <row r="1191" spans="1:13" x14ac:dyDescent="0.25">
      <c r="A1191" t="str">
        <f t="shared" si="132"/>
        <v>CP215-Unit Below 250 mL</v>
      </c>
      <c r="B1191" t="s">
        <v>153</v>
      </c>
      <c r="C1191" t="str">
        <f t="shared" si="126"/>
        <v>Gallup</v>
      </c>
      <c r="D1191" t="str">
        <f t="shared" si="127"/>
        <v>Y</v>
      </c>
      <c r="E1191" t="s">
        <v>626</v>
      </c>
      <c r="F1191" t="str">
        <f t="shared" si="128"/>
        <v>Unit Below 250 mL</v>
      </c>
      <c r="G1191">
        <f t="shared" si="129"/>
        <v>0</v>
      </c>
      <c r="H1191" t="s">
        <v>576</v>
      </c>
      <c r="I1191">
        <f t="shared" si="130"/>
        <v>0</v>
      </c>
      <c r="J1191" t="s">
        <v>564</v>
      </c>
      <c r="K1191" s="5">
        <v>5</v>
      </c>
      <c r="L1191" t="str">
        <f>Table_DataFromNL[[#This Row],[PROFILECODE]]&amp;"-"&amp;Table_DataFromNL[[#This Row],[RULENAME]]</f>
        <v>CP215-Unit Below 250 mL</v>
      </c>
      <c r="M1191" t="e">
        <f t="shared" si="131"/>
        <v>#N/A</v>
      </c>
    </row>
    <row r="1192" spans="1:13" x14ac:dyDescent="0.25">
      <c r="A1192" t="str">
        <f t="shared" si="132"/>
        <v>CP215-Unit above 250 mL/underdraw</v>
      </c>
      <c r="B1192" t="s">
        <v>153</v>
      </c>
      <c r="C1192" t="str">
        <f t="shared" si="126"/>
        <v>Gallup</v>
      </c>
      <c r="D1192" t="str">
        <f t="shared" si="127"/>
        <v>Y</v>
      </c>
      <c r="E1192" t="s">
        <v>626</v>
      </c>
      <c r="F1192" t="str">
        <f t="shared" si="128"/>
        <v>Unit above 250 mL/underdraw</v>
      </c>
      <c r="G1192">
        <f t="shared" si="129"/>
        <v>0</v>
      </c>
      <c r="H1192" t="s">
        <v>577</v>
      </c>
      <c r="I1192">
        <f t="shared" si="130"/>
        <v>0</v>
      </c>
      <c r="J1192" t="s">
        <v>564</v>
      </c>
      <c r="K1192" s="5">
        <v>10</v>
      </c>
      <c r="L1192" t="str">
        <f>Table_DataFromNL[[#This Row],[PROFILECODE]]&amp;"-"&amp;Table_DataFromNL[[#This Row],[RULENAME]]</f>
        <v>CP215-Unit above 250 mL/underdraw</v>
      </c>
      <c r="M1192" t="e">
        <f t="shared" si="131"/>
        <v>#N/A</v>
      </c>
    </row>
    <row r="1193" spans="1:13" x14ac:dyDescent="0.25">
      <c r="A1193" t="str">
        <f t="shared" si="132"/>
        <v>CP215-Vaccinia Immunization</v>
      </c>
      <c r="B1193" t="s">
        <v>153</v>
      </c>
      <c r="C1193" t="str">
        <f t="shared" si="126"/>
        <v>Gallup</v>
      </c>
      <c r="D1193" t="str">
        <f t="shared" si="127"/>
        <v>Y</v>
      </c>
      <c r="E1193" t="s">
        <v>626</v>
      </c>
      <c r="F1193" t="str">
        <f t="shared" si="128"/>
        <v>Vaccinia Immunization</v>
      </c>
      <c r="G1193">
        <f t="shared" si="129"/>
        <v>0</v>
      </c>
      <c r="H1193" t="s">
        <v>596</v>
      </c>
      <c r="I1193">
        <f t="shared" si="130"/>
        <v>0</v>
      </c>
      <c r="J1193" t="s">
        <v>564</v>
      </c>
      <c r="K1193" s="5">
        <v>100</v>
      </c>
      <c r="L1193" t="str">
        <f>Table_DataFromNL[[#This Row],[PROFILECODE]]&amp;"-"&amp;Table_DataFromNL[[#This Row],[RULENAME]]</f>
        <v>CP215-Vaccinia Immunization</v>
      </c>
      <c r="M1193" t="e">
        <f t="shared" si="131"/>
        <v>#N/A</v>
      </c>
    </row>
    <row r="1194" spans="1:13" x14ac:dyDescent="0.25">
      <c r="A1194" t="str">
        <f t="shared" si="132"/>
        <v>CP215-RETURN - Buddy referral  -BONUS</v>
      </c>
      <c r="B1194" t="s">
        <v>153</v>
      </c>
      <c r="C1194" t="str">
        <f t="shared" si="126"/>
        <v>Gallup</v>
      </c>
      <c r="D1194" t="str">
        <f t="shared" si="127"/>
        <v>Y</v>
      </c>
      <c r="E1194" t="s">
        <v>626</v>
      </c>
      <c r="F1194" t="str">
        <f t="shared" si="128"/>
        <v>RETURN - Buddy referral  -BONUS</v>
      </c>
      <c r="G1194" t="str">
        <f t="shared" si="129"/>
        <v>Marketing</v>
      </c>
      <c r="H1194" t="s">
        <v>34</v>
      </c>
      <c r="I1194">
        <f t="shared" si="130"/>
        <v>50</v>
      </c>
      <c r="J1194" t="s">
        <v>578</v>
      </c>
      <c r="K1194" s="5">
        <v>50</v>
      </c>
      <c r="L1194" t="str">
        <f>Table_DataFromNL[[#This Row],[PROFILECODE]]&amp;"-"&amp;Table_DataFromNL[[#This Row],[RULENAME]]</f>
        <v>CP215-Referral</v>
      </c>
      <c r="M1194" t="str">
        <f t="shared" si="131"/>
        <v>CP215-RETURN - Buddy referral  -BONUS</v>
      </c>
    </row>
    <row r="1195" spans="1:13" x14ac:dyDescent="0.25">
      <c r="A1195" t="str">
        <f t="shared" si="132"/>
        <v>CP215-P Anti-D Pre-Existing Standard</v>
      </c>
      <c r="B1195" t="s">
        <v>153</v>
      </c>
      <c r="C1195" t="str">
        <f t="shared" si="126"/>
        <v>Gallup</v>
      </c>
      <c r="D1195" t="str">
        <f t="shared" si="127"/>
        <v>Y</v>
      </c>
      <c r="E1195" t="s">
        <v>626</v>
      </c>
      <c r="F1195" t="str">
        <f t="shared" si="128"/>
        <v>P Anti-D Pre-Existing Standard</v>
      </c>
      <c r="G1195" t="str">
        <f t="shared" si="129"/>
        <v>Specialty</v>
      </c>
      <c r="H1195" t="s">
        <v>469</v>
      </c>
      <c r="I1195" t="str">
        <f t="shared" si="130"/>
        <v>RETURN - 1st don of the week -STD</v>
      </c>
      <c r="J1195" t="s">
        <v>579</v>
      </c>
      <c r="K1195" s="5">
        <v>50</v>
      </c>
      <c r="L1195" t="str">
        <f>Table_DataFromNL[[#This Row],[PROFILECODE]]&amp;"-"&amp;Table_DataFromNL[[#This Row],[RULENAME]]</f>
        <v>CP215-P Anti-D Pre-Existing Standard</v>
      </c>
      <c r="M1195" t="str">
        <f t="shared" si="131"/>
        <v>CP215-P Anti-D Pre-Existing Standard</v>
      </c>
    </row>
    <row r="1196" spans="1:13" x14ac:dyDescent="0.25">
      <c r="A1196" t="str">
        <f t="shared" si="132"/>
        <v>CP215-RETURN - 1st don of the week -STD</v>
      </c>
      <c r="B1196" t="s">
        <v>153</v>
      </c>
      <c r="C1196" t="str">
        <f t="shared" si="126"/>
        <v>Gallup</v>
      </c>
      <c r="D1196" t="str">
        <f t="shared" si="127"/>
        <v>Y</v>
      </c>
      <c r="E1196" t="s">
        <v>626</v>
      </c>
      <c r="F1196" t="str">
        <f t="shared" si="128"/>
        <v>RETURN - 1st don of the week -STD</v>
      </c>
      <c r="G1196" t="str">
        <f t="shared" si="129"/>
        <v>Marketing</v>
      </c>
      <c r="H1196" t="s">
        <v>583</v>
      </c>
      <c r="I1196">
        <f t="shared" si="130"/>
        <v>22</v>
      </c>
      <c r="J1196" t="s">
        <v>579</v>
      </c>
      <c r="K1196" s="5">
        <v>50.5</v>
      </c>
      <c r="L1196" t="str">
        <f>Table_DataFromNL[[#This Row],[PROFILECODE]]&amp;"-"&amp;Table_DataFromNL[[#This Row],[RULENAME]]</f>
        <v>CP215-P NSP NS AP Standard</v>
      </c>
      <c r="M1196" t="str">
        <f t="shared" si="131"/>
        <v>CP215-RETURN - 1st don of the week -STD</v>
      </c>
    </row>
    <row r="1197" spans="1:13" x14ac:dyDescent="0.25">
      <c r="A1197" t="str">
        <f t="shared" si="132"/>
        <v>CP215-RETURN - 1st don of the week -STD</v>
      </c>
      <c r="B1197" t="s">
        <v>153</v>
      </c>
      <c r="C1197" t="str">
        <f t="shared" si="126"/>
        <v>Gallup</v>
      </c>
      <c r="D1197" t="str">
        <f t="shared" si="127"/>
        <v>Y</v>
      </c>
      <c r="E1197" t="s">
        <v>626</v>
      </c>
      <c r="F1197" t="str">
        <f t="shared" si="128"/>
        <v>RETURN - 1st don of the week -STD</v>
      </c>
      <c r="G1197" t="str">
        <f t="shared" si="129"/>
        <v>Marketing</v>
      </c>
      <c r="H1197" t="s">
        <v>584</v>
      </c>
      <c r="I1197">
        <f t="shared" si="130"/>
        <v>23</v>
      </c>
      <c r="J1197" t="s">
        <v>579</v>
      </c>
      <c r="K1197" s="5">
        <v>50.5</v>
      </c>
      <c r="L1197" t="str">
        <f>Table_DataFromNL[[#This Row],[PROFILECODE]]&amp;"-"&amp;Table_DataFromNL[[#This Row],[RULENAME]]</f>
        <v>CP215-P NSP NS Standard</v>
      </c>
      <c r="M1197" t="str">
        <f t="shared" si="131"/>
        <v>CP215-RETURN - 1st don of the week -STD</v>
      </c>
    </row>
    <row r="1198" spans="1:13" x14ac:dyDescent="0.25">
      <c r="A1198" t="str">
        <f t="shared" si="132"/>
        <v>CP215-P VZV Pre-Existing AP</v>
      </c>
      <c r="B1198" t="s">
        <v>153</v>
      </c>
      <c r="C1198" t="str">
        <f t="shared" si="126"/>
        <v>Gallup</v>
      </c>
      <c r="D1198" t="str">
        <f t="shared" si="127"/>
        <v>Y</v>
      </c>
      <c r="E1198" t="s">
        <v>626</v>
      </c>
      <c r="F1198" t="str">
        <f t="shared" si="128"/>
        <v>P VZV Pre-Existing AP</v>
      </c>
      <c r="G1198" t="str">
        <f t="shared" si="129"/>
        <v>Specialty</v>
      </c>
      <c r="H1198" t="s">
        <v>495</v>
      </c>
      <c r="I1198" t="str">
        <f t="shared" si="130"/>
        <v>RETURN - 1st don of the week -STD</v>
      </c>
      <c r="J1198" t="s">
        <v>579</v>
      </c>
      <c r="K1198" s="5">
        <v>60.5</v>
      </c>
      <c r="L1198" t="str">
        <f>Table_DataFromNL[[#This Row],[PROFILECODE]]&amp;"-"&amp;Table_DataFromNL[[#This Row],[RULENAME]]</f>
        <v>CP215-P VZV Pre-Existing AP</v>
      </c>
      <c r="M1198" t="str">
        <f t="shared" si="131"/>
        <v>CP215-P VZV Pre-Existing AP</v>
      </c>
    </row>
    <row r="1199" spans="1:13" x14ac:dyDescent="0.25">
      <c r="A1199" t="str">
        <f t="shared" si="132"/>
        <v>CP215-P VZV Standard</v>
      </c>
      <c r="B1199" t="s">
        <v>153</v>
      </c>
      <c r="C1199" t="str">
        <f t="shared" si="126"/>
        <v>Gallup</v>
      </c>
      <c r="D1199" t="str">
        <f t="shared" si="127"/>
        <v>Y</v>
      </c>
      <c r="E1199" t="s">
        <v>626</v>
      </c>
      <c r="F1199" t="str">
        <f t="shared" si="128"/>
        <v>P VZV Standard</v>
      </c>
      <c r="G1199" t="str">
        <f t="shared" si="129"/>
        <v>Specialty</v>
      </c>
      <c r="H1199" t="s">
        <v>496</v>
      </c>
      <c r="I1199" t="str">
        <f t="shared" si="130"/>
        <v>RETURN - 1st don of the week -STD</v>
      </c>
      <c r="J1199" t="s">
        <v>579</v>
      </c>
      <c r="K1199" s="5">
        <v>60.5</v>
      </c>
      <c r="L1199" t="str">
        <f>Table_DataFromNL[[#This Row],[PROFILECODE]]&amp;"-"&amp;Table_DataFromNL[[#This Row],[RULENAME]]</f>
        <v>CP215-P VZV Standard</v>
      </c>
      <c r="M1199" t="str">
        <f t="shared" si="131"/>
        <v>CP215-P VZV Standard</v>
      </c>
    </row>
    <row r="1200" spans="1:13" x14ac:dyDescent="0.25">
      <c r="A1200" t="str">
        <f t="shared" si="132"/>
        <v>CP215-P Vaccinia AP Standard</v>
      </c>
      <c r="B1200" t="s">
        <v>153</v>
      </c>
      <c r="C1200" t="str">
        <f t="shared" si="126"/>
        <v>Gallup</v>
      </c>
      <c r="D1200" t="str">
        <f t="shared" si="127"/>
        <v>Y</v>
      </c>
      <c r="E1200" t="s">
        <v>626</v>
      </c>
      <c r="F1200" t="str">
        <f t="shared" si="128"/>
        <v>P Vaccinia AP Standard</v>
      </c>
      <c r="G1200" t="str">
        <f t="shared" si="129"/>
        <v>Specialty</v>
      </c>
      <c r="H1200" t="s">
        <v>475</v>
      </c>
      <c r="I1200">
        <f t="shared" si="130"/>
        <v>0</v>
      </c>
      <c r="J1200" t="s">
        <v>579</v>
      </c>
      <c r="K1200" s="5">
        <v>100</v>
      </c>
      <c r="L1200" t="str">
        <f>Table_DataFromNL[[#This Row],[PROFILECODE]]&amp;"-"&amp;Table_DataFromNL[[#This Row],[RULENAME]]</f>
        <v>CP215-P Vaccinia AP Standard</v>
      </c>
      <c r="M1200" t="str">
        <f t="shared" si="131"/>
        <v>CP215-P Vaccinia AP Standard</v>
      </c>
    </row>
    <row r="1201" spans="1:13" x14ac:dyDescent="0.25">
      <c r="A1201" t="str">
        <f t="shared" si="132"/>
        <v>CP215-P Vaccinia Standard</v>
      </c>
      <c r="B1201" t="s">
        <v>153</v>
      </c>
      <c r="C1201" t="str">
        <f t="shared" si="126"/>
        <v>Gallup</v>
      </c>
      <c r="D1201" t="str">
        <f t="shared" si="127"/>
        <v>Y</v>
      </c>
      <c r="E1201" t="s">
        <v>626</v>
      </c>
      <c r="F1201" t="str">
        <f t="shared" si="128"/>
        <v>P Vaccinia Standard</v>
      </c>
      <c r="G1201" t="str">
        <f t="shared" si="129"/>
        <v>Specialty</v>
      </c>
      <c r="H1201" t="s">
        <v>476</v>
      </c>
      <c r="I1201">
        <f t="shared" si="130"/>
        <v>0</v>
      </c>
      <c r="J1201" t="s">
        <v>579</v>
      </c>
      <c r="K1201" s="5">
        <v>100</v>
      </c>
      <c r="L1201" t="str">
        <f>Table_DataFromNL[[#This Row],[PROFILECODE]]&amp;"-"&amp;Table_DataFromNL[[#This Row],[RULENAME]]</f>
        <v>CP215-P Vaccinia Standard</v>
      </c>
      <c r="M1201" t="str">
        <f t="shared" si="131"/>
        <v>CP215-P Vaccinia Standard</v>
      </c>
    </row>
    <row r="1202" spans="1:13" x14ac:dyDescent="0.25">
      <c r="A1202" t="str">
        <f t="shared" si="132"/>
        <v>CP215-PVZV Pre-Existing Standard</v>
      </c>
      <c r="B1202" t="s">
        <v>153</v>
      </c>
      <c r="C1202" t="str">
        <f t="shared" si="126"/>
        <v>Gallup</v>
      </c>
      <c r="D1202" t="str">
        <f t="shared" si="127"/>
        <v>Y</v>
      </c>
      <c r="E1202" t="s">
        <v>626</v>
      </c>
      <c r="F1202" t="str">
        <f t="shared" si="128"/>
        <v>PVZV Pre-Existing Standard</v>
      </c>
      <c r="G1202" t="str">
        <f t="shared" si="129"/>
        <v>Specialty</v>
      </c>
      <c r="H1202" t="s">
        <v>497</v>
      </c>
      <c r="I1202" t="str">
        <f t="shared" si="130"/>
        <v>RETURN - 1st don of the week -STD</v>
      </c>
      <c r="J1202" t="s">
        <v>579</v>
      </c>
      <c r="K1202" s="5">
        <v>60.5</v>
      </c>
      <c r="L1202" t="str">
        <f>Table_DataFromNL[[#This Row],[PROFILECODE]]&amp;"-"&amp;Table_DataFromNL[[#This Row],[RULENAME]]</f>
        <v>CP215-PVZV Pre-Existing Standard</v>
      </c>
      <c r="M1202" t="str">
        <f t="shared" si="131"/>
        <v>CP215-PVZV Pre-Existing Standard</v>
      </c>
    </row>
    <row r="1203" spans="1:13" x14ac:dyDescent="0.25">
      <c r="A1203" t="str">
        <f t="shared" si="132"/>
        <v>CP221-1st Responder-Medical</v>
      </c>
      <c r="B1203" t="s">
        <v>74</v>
      </c>
      <c r="C1203" t="str">
        <f t="shared" si="126"/>
        <v>Goodyear</v>
      </c>
      <c r="D1203" t="str">
        <f t="shared" si="127"/>
        <v>Y</v>
      </c>
      <c r="E1203" t="s">
        <v>627</v>
      </c>
      <c r="F1203" t="str">
        <f t="shared" si="128"/>
        <v>1st Responder-Medical</v>
      </c>
      <c r="G1203">
        <f t="shared" si="129"/>
        <v>0</v>
      </c>
      <c r="H1203" t="s">
        <v>545</v>
      </c>
      <c r="I1203">
        <f t="shared" si="130"/>
        <v>0</v>
      </c>
      <c r="J1203" t="s">
        <v>546</v>
      </c>
      <c r="K1203" s="5">
        <v>5</v>
      </c>
      <c r="L1203" t="str">
        <f>Table_DataFromNL[[#This Row],[PROFILECODE]]&amp;"-"&amp;Table_DataFromNL[[#This Row],[RULENAME]]</f>
        <v>CP221-1st Responder-Medical</v>
      </c>
      <c r="M1203" t="e">
        <f t="shared" si="131"/>
        <v>#N/A</v>
      </c>
    </row>
    <row r="1204" spans="1:13" x14ac:dyDescent="0.25">
      <c r="A1204" t="str">
        <f t="shared" si="132"/>
        <v>CP221-RETURN - 2nd don of the week -BONUS</v>
      </c>
      <c r="B1204" t="s">
        <v>74</v>
      </c>
      <c r="C1204" t="str">
        <f t="shared" si="126"/>
        <v>Goodyear</v>
      </c>
      <c r="D1204" t="str">
        <f t="shared" si="127"/>
        <v>Y</v>
      </c>
      <c r="E1204" t="s">
        <v>627</v>
      </c>
      <c r="F1204" t="str">
        <f t="shared" si="128"/>
        <v>RETURN - 2nd don of the week -BONUS</v>
      </c>
      <c r="G1204" t="str">
        <f t="shared" si="129"/>
        <v>Marketing</v>
      </c>
      <c r="H1204" t="s">
        <v>550</v>
      </c>
      <c r="I1204">
        <f t="shared" si="130"/>
        <v>26</v>
      </c>
      <c r="J1204" t="s">
        <v>546</v>
      </c>
      <c r="K1204" s="5">
        <v>20</v>
      </c>
      <c r="L1204" t="str">
        <f>Table_DataFromNL[[#This Row],[PROFILECODE]]&amp;"-"&amp;Table_DataFromNL[[#This Row],[RULENAME]]</f>
        <v>CP221-2X Week P NSP NS</v>
      </c>
      <c r="M1204" t="str">
        <f t="shared" si="131"/>
        <v>CP221-RETURN - 2nd don of the week -BONUS</v>
      </c>
    </row>
    <row r="1205" spans="1:13" x14ac:dyDescent="0.25">
      <c r="A1205" t="str">
        <f t="shared" si="132"/>
        <v>CP221-RETURN - 2nd don of the week -BONUS</v>
      </c>
      <c r="B1205" t="s">
        <v>74</v>
      </c>
      <c r="C1205" t="str">
        <f t="shared" si="126"/>
        <v>Goodyear</v>
      </c>
      <c r="D1205" t="str">
        <f t="shared" si="127"/>
        <v>Y</v>
      </c>
      <c r="E1205" t="s">
        <v>627</v>
      </c>
      <c r="F1205" t="str">
        <f t="shared" si="128"/>
        <v>RETURN - 2nd don of the week -BONUS</v>
      </c>
      <c r="G1205" t="str">
        <f t="shared" si="129"/>
        <v>Marketing</v>
      </c>
      <c r="H1205" t="s">
        <v>551</v>
      </c>
      <c r="I1205" t="str">
        <f t="shared" si="130"/>
        <v>RETURN - 2nd don of the week -BONUS</v>
      </c>
      <c r="J1205" t="s">
        <v>546</v>
      </c>
      <c r="K1205" s="5">
        <v>20</v>
      </c>
      <c r="L1205" t="str">
        <f>Table_DataFromNL[[#This Row],[PROFILECODE]]&amp;"-"&amp;Table_DataFromNL[[#This Row],[RULENAME]]</f>
        <v>CP221-2X Week P NSP NS AP</v>
      </c>
      <c r="M1205" t="str">
        <f t="shared" si="131"/>
        <v>CP221-RETURN - 2nd don of the week -BONUS</v>
      </c>
    </row>
    <row r="1206" spans="1:13" x14ac:dyDescent="0.25">
      <c r="A1206" t="str">
        <f t="shared" si="132"/>
        <v>CP221-2X Week P VZV</v>
      </c>
      <c r="B1206" t="s">
        <v>74</v>
      </c>
      <c r="C1206" t="str">
        <f t="shared" si="126"/>
        <v>Goodyear</v>
      </c>
      <c r="D1206" t="str">
        <f t="shared" si="127"/>
        <v>Y</v>
      </c>
      <c r="E1206" t="s">
        <v>627</v>
      </c>
      <c r="F1206" t="str">
        <f t="shared" si="128"/>
        <v>2X Week P VZV</v>
      </c>
      <c r="G1206" t="str">
        <f t="shared" si="129"/>
        <v>Specialty</v>
      </c>
      <c r="H1206" t="s">
        <v>488</v>
      </c>
      <c r="I1206" t="str">
        <f t="shared" si="130"/>
        <v>RETURN - 2nd don of the week -BONUS</v>
      </c>
      <c r="J1206" t="s">
        <v>546</v>
      </c>
      <c r="K1206" s="5">
        <v>20</v>
      </c>
      <c r="L1206" t="str">
        <f>Table_DataFromNL[[#This Row],[PROFILECODE]]&amp;"-"&amp;Table_DataFromNL[[#This Row],[RULENAME]]</f>
        <v>CP221-2X Week P VZV</v>
      </c>
      <c r="M1206" t="str">
        <f t="shared" si="131"/>
        <v>CP221-2X Week P VZV</v>
      </c>
    </row>
    <row r="1207" spans="1:13" x14ac:dyDescent="0.25">
      <c r="A1207" t="str">
        <f t="shared" si="132"/>
        <v>CP221-2X Week P VZV AP</v>
      </c>
      <c r="B1207" t="s">
        <v>74</v>
      </c>
      <c r="C1207" t="str">
        <f t="shared" si="126"/>
        <v>Goodyear</v>
      </c>
      <c r="D1207" t="str">
        <f t="shared" si="127"/>
        <v>Y</v>
      </c>
      <c r="E1207" t="s">
        <v>627</v>
      </c>
      <c r="F1207" t="str">
        <f t="shared" si="128"/>
        <v>2X Week P VZV AP</v>
      </c>
      <c r="G1207" t="str">
        <f t="shared" si="129"/>
        <v>Specialty</v>
      </c>
      <c r="H1207" t="s">
        <v>489</v>
      </c>
      <c r="I1207" t="str">
        <f t="shared" si="130"/>
        <v>RETURN - 2nd don of the week -BONUS</v>
      </c>
      <c r="J1207" t="s">
        <v>546</v>
      </c>
      <c r="K1207" s="5">
        <v>20</v>
      </c>
      <c r="L1207" t="str">
        <f>Table_DataFromNL[[#This Row],[PROFILECODE]]&amp;"-"&amp;Table_DataFromNL[[#This Row],[RULENAME]]</f>
        <v>CP221-2X Week P VZV AP</v>
      </c>
      <c r="M1207" t="str">
        <f t="shared" si="131"/>
        <v>CP221-2X Week P VZV AP</v>
      </c>
    </row>
    <row r="1208" spans="1:13" x14ac:dyDescent="0.25">
      <c r="A1208" t="str">
        <f t="shared" si="132"/>
        <v>CP221-2X Week P VZV Pre-Existing</v>
      </c>
      <c r="B1208" t="s">
        <v>74</v>
      </c>
      <c r="C1208" t="str">
        <f t="shared" si="126"/>
        <v>Goodyear</v>
      </c>
      <c r="D1208" t="str">
        <f t="shared" si="127"/>
        <v>Y</v>
      </c>
      <c r="E1208" t="s">
        <v>627</v>
      </c>
      <c r="F1208" t="str">
        <f t="shared" si="128"/>
        <v>2X Week P VZV Pre-Existing</v>
      </c>
      <c r="G1208" t="str">
        <f t="shared" si="129"/>
        <v>Specialty</v>
      </c>
      <c r="H1208" t="s">
        <v>490</v>
      </c>
      <c r="I1208" t="str">
        <f t="shared" si="130"/>
        <v>RETURN - 2nd don of the week -BONUS</v>
      </c>
      <c r="J1208" t="s">
        <v>546</v>
      </c>
      <c r="K1208" s="5">
        <v>20</v>
      </c>
      <c r="L1208" t="str">
        <f>Table_DataFromNL[[#This Row],[PROFILECODE]]&amp;"-"&amp;Table_DataFromNL[[#This Row],[RULENAME]]</f>
        <v>CP221-2X Week P VZV Pre-Existing</v>
      </c>
      <c r="M1208" t="str">
        <f t="shared" si="131"/>
        <v>CP221-2X Week P VZV Pre-Existing</v>
      </c>
    </row>
    <row r="1209" spans="1:13" x14ac:dyDescent="0.25">
      <c r="A1209" t="str">
        <f t="shared" si="132"/>
        <v>CP221-2X Week P VZV Pre-Existing AP</v>
      </c>
      <c r="B1209" t="s">
        <v>74</v>
      </c>
      <c r="C1209" t="str">
        <f t="shared" si="126"/>
        <v>Goodyear</v>
      </c>
      <c r="D1209" t="str">
        <f t="shared" si="127"/>
        <v>Y</v>
      </c>
      <c r="E1209" t="s">
        <v>627</v>
      </c>
      <c r="F1209" t="str">
        <f t="shared" si="128"/>
        <v>2X Week P VZV Pre-Existing AP</v>
      </c>
      <c r="G1209" t="str">
        <f t="shared" si="129"/>
        <v>Specialty</v>
      </c>
      <c r="H1209" t="s">
        <v>491</v>
      </c>
      <c r="I1209" t="str">
        <f t="shared" si="130"/>
        <v>RETURN - 2nd don of the week -BONUS</v>
      </c>
      <c r="J1209" t="s">
        <v>546</v>
      </c>
      <c r="K1209" s="5">
        <v>20</v>
      </c>
      <c r="L1209" t="str">
        <f>Table_DataFromNL[[#This Row],[PROFILECODE]]&amp;"-"&amp;Table_DataFromNL[[#This Row],[RULENAME]]</f>
        <v>CP221-2X Week P VZV Pre-Existing AP</v>
      </c>
      <c r="M1209" t="str">
        <f t="shared" si="131"/>
        <v>CP221-2X Week P VZV Pre-Existing AP</v>
      </c>
    </row>
    <row r="1210" spans="1:13" x14ac:dyDescent="0.25">
      <c r="A1210" t="str">
        <f t="shared" si="132"/>
        <v>CP221-College ID Standard Bonus</v>
      </c>
      <c r="B1210" t="s">
        <v>74</v>
      </c>
      <c r="C1210" t="str">
        <f t="shared" si="126"/>
        <v>Goodyear</v>
      </c>
      <c r="D1210" t="str">
        <f t="shared" si="127"/>
        <v>Y</v>
      </c>
      <c r="E1210" t="s">
        <v>627</v>
      </c>
      <c r="F1210" t="str">
        <f t="shared" si="128"/>
        <v>College ID Standard Bonus</v>
      </c>
      <c r="G1210">
        <f t="shared" si="129"/>
        <v>0</v>
      </c>
      <c r="H1210" t="s">
        <v>553</v>
      </c>
      <c r="I1210">
        <f t="shared" si="130"/>
        <v>0</v>
      </c>
      <c r="J1210" t="s">
        <v>546</v>
      </c>
      <c r="K1210" s="5">
        <v>5</v>
      </c>
      <c r="L1210" t="str">
        <f>Table_DataFromNL[[#This Row],[PROFILECODE]]&amp;"-"&amp;Table_DataFromNL[[#This Row],[RULENAME]]</f>
        <v>CP221-College ID Standard Bonus</v>
      </c>
      <c r="M1210" t="e">
        <f t="shared" si="131"/>
        <v>#N/A</v>
      </c>
    </row>
    <row r="1211" spans="1:13" x14ac:dyDescent="0.25">
      <c r="A1211" t="str">
        <f t="shared" si="132"/>
        <v>CP221-Military ID</v>
      </c>
      <c r="B1211" t="s">
        <v>74</v>
      </c>
      <c r="C1211" t="str">
        <f t="shared" si="126"/>
        <v>Goodyear</v>
      </c>
      <c r="D1211" t="str">
        <f t="shared" si="127"/>
        <v>Y</v>
      </c>
      <c r="E1211" t="s">
        <v>627</v>
      </c>
      <c r="F1211" t="str">
        <f t="shared" si="128"/>
        <v>Military ID</v>
      </c>
      <c r="G1211">
        <f t="shared" si="129"/>
        <v>0</v>
      </c>
      <c r="H1211" t="s">
        <v>554</v>
      </c>
      <c r="I1211">
        <f t="shared" si="130"/>
        <v>0</v>
      </c>
      <c r="J1211" t="s">
        <v>546</v>
      </c>
      <c r="K1211" s="5">
        <v>5</v>
      </c>
      <c r="L1211" t="str">
        <f>Table_DataFromNL[[#This Row],[PROFILECODE]]&amp;"-"&amp;Table_DataFromNL[[#This Row],[RULENAME]]</f>
        <v>CP221-Military ID</v>
      </c>
      <c r="M1211" t="e">
        <f t="shared" si="131"/>
        <v>#N/A</v>
      </c>
    </row>
    <row r="1212" spans="1:13" x14ac:dyDescent="0.25">
      <c r="A1212" t="str">
        <f t="shared" si="132"/>
        <v>CP221-NEW DONOR -1st</v>
      </c>
      <c r="B1212" t="s">
        <v>74</v>
      </c>
      <c r="C1212" t="str">
        <f t="shared" si="126"/>
        <v>Goodyear</v>
      </c>
      <c r="D1212" t="str">
        <f t="shared" si="127"/>
        <v>Y</v>
      </c>
      <c r="E1212" t="s">
        <v>627</v>
      </c>
      <c r="F1212" t="str">
        <f t="shared" si="128"/>
        <v>NEW DONOR -1st</v>
      </c>
      <c r="G1212" t="str">
        <f t="shared" si="129"/>
        <v>Marketing</v>
      </c>
      <c r="H1212" t="s">
        <v>555</v>
      </c>
      <c r="I1212">
        <f t="shared" si="130"/>
        <v>1</v>
      </c>
      <c r="J1212" t="s">
        <v>546</v>
      </c>
      <c r="K1212" s="5">
        <v>50</v>
      </c>
      <c r="L1212" t="str">
        <f>Table_DataFromNL[[#This Row],[PROFILECODE]]&amp;"-"&amp;Table_DataFromNL[[#This Row],[RULENAME]]</f>
        <v>CP221-New Donor 1st Visit-Bonus</v>
      </c>
      <c r="M1212" t="str">
        <f t="shared" si="131"/>
        <v>CP221-NEW DONOR -1st</v>
      </c>
    </row>
    <row r="1213" spans="1:13" x14ac:dyDescent="0.25">
      <c r="A1213" t="str">
        <f t="shared" si="132"/>
        <v>CP221-NEW DONOR -2nd</v>
      </c>
      <c r="B1213" t="s">
        <v>74</v>
      </c>
      <c r="C1213" t="str">
        <f t="shared" si="126"/>
        <v>Goodyear</v>
      </c>
      <c r="D1213" t="str">
        <f t="shared" si="127"/>
        <v>Y</v>
      </c>
      <c r="E1213" t="s">
        <v>627</v>
      </c>
      <c r="F1213" t="str">
        <f t="shared" si="128"/>
        <v>NEW DONOR -2nd</v>
      </c>
      <c r="G1213" t="str">
        <f t="shared" si="129"/>
        <v>Marketing</v>
      </c>
      <c r="H1213" t="s">
        <v>556</v>
      </c>
      <c r="I1213">
        <f t="shared" si="130"/>
        <v>2</v>
      </c>
      <c r="J1213" t="s">
        <v>546</v>
      </c>
      <c r="K1213" s="5">
        <v>50</v>
      </c>
      <c r="L1213" t="str">
        <f>Table_DataFromNL[[#This Row],[PROFILECODE]]&amp;"-"&amp;Table_DataFromNL[[#This Row],[RULENAME]]</f>
        <v>CP221-New Donor 2nd Visit-Bonus</v>
      </c>
      <c r="M1213" t="str">
        <f t="shared" si="131"/>
        <v>CP221-NEW DONOR -2nd</v>
      </c>
    </row>
    <row r="1214" spans="1:13" x14ac:dyDescent="0.25">
      <c r="A1214" t="str">
        <f t="shared" si="132"/>
        <v>CP221-NEW DONOR -3rd</v>
      </c>
      <c r="B1214" t="s">
        <v>74</v>
      </c>
      <c r="C1214" t="str">
        <f t="shared" si="126"/>
        <v>Goodyear</v>
      </c>
      <c r="D1214" t="str">
        <f t="shared" si="127"/>
        <v>Y</v>
      </c>
      <c r="E1214" t="s">
        <v>627</v>
      </c>
      <c r="F1214" t="str">
        <f t="shared" si="128"/>
        <v>NEW DONOR -3rd</v>
      </c>
      <c r="G1214" t="str">
        <f t="shared" si="129"/>
        <v>Marketing</v>
      </c>
      <c r="H1214" t="s">
        <v>557</v>
      </c>
      <c r="I1214">
        <f t="shared" si="130"/>
        <v>3</v>
      </c>
      <c r="J1214" t="s">
        <v>546</v>
      </c>
      <c r="K1214" s="5">
        <v>50</v>
      </c>
      <c r="L1214" t="str">
        <f>Table_DataFromNL[[#This Row],[PROFILECODE]]&amp;"-"&amp;Table_DataFromNL[[#This Row],[RULENAME]]</f>
        <v>CP221-New Donor 3rd Visit-Bonus</v>
      </c>
      <c r="M1214" t="str">
        <f t="shared" si="131"/>
        <v>CP221-NEW DONOR -3rd</v>
      </c>
    </row>
    <row r="1215" spans="1:13" x14ac:dyDescent="0.25">
      <c r="A1215" t="str">
        <f t="shared" si="132"/>
        <v>CP221-NEW DONOR -4th</v>
      </c>
      <c r="B1215" t="s">
        <v>74</v>
      </c>
      <c r="C1215" t="str">
        <f t="shared" si="126"/>
        <v>Goodyear</v>
      </c>
      <c r="D1215" t="str">
        <f t="shared" si="127"/>
        <v>Y</v>
      </c>
      <c r="E1215" t="s">
        <v>627</v>
      </c>
      <c r="F1215" t="str">
        <f t="shared" si="128"/>
        <v>NEW DONOR -4th</v>
      </c>
      <c r="G1215" t="str">
        <f t="shared" si="129"/>
        <v>Marketing</v>
      </c>
      <c r="H1215" t="s">
        <v>558</v>
      </c>
      <c r="I1215">
        <f t="shared" si="130"/>
        <v>4</v>
      </c>
      <c r="J1215" t="s">
        <v>546</v>
      </c>
      <c r="K1215" s="5">
        <v>50</v>
      </c>
      <c r="L1215" t="str">
        <f>Table_DataFromNL[[#This Row],[PROFILECODE]]&amp;"-"&amp;Table_DataFromNL[[#This Row],[RULENAME]]</f>
        <v>CP221-New Donor 4th Visit-Bonus</v>
      </c>
      <c r="M1215" t="str">
        <f t="shared" si="131"/>
        <v>CP221-NEW DONOR -4th</v>
      </c>
    </row>
    <row r="1216" spans="1:13" x14ac:dyDescent="0.25">
      <c r="A1216" t="str">
        <f t="shared" si="132"/>
        <v>CP221-NEW DONOR -5th</v>
      </c>
      <c r="B1216" t="s">
        <v>74</v>
      </c>
      <c r="C1216" t="str">
        <f t="shared" si="126"/>
        <v>Goodyear</v>
      </c>
      <c r="D1216" t="str">
        <f t="shared" si="127"/>
        <v>Y</v>
      </c>
      <c r="E1216" t="s">
        <v>627</v>
      </c>
      <c r="F1216" t="str">
        <f t="shared" si="128"/>
        <v>NEW DONOR -5th</v>
      </c>
      <c r="G1216" t="str">
        <f t="shared" si="129"/>
        <v>Marketing</v>
      </c>
      <c r="H1216" t="s">
        <v>559</v>
      </c>
      <c r="I1216">
        <f t="shared" si="130"/>
        <v>5</v>
      </c>
      <c r="J1216" t="s">
        <v>546</v>
      </c>
      <c r="K1216" s="5">
        <v>50</v>
      </c>
      <c r="L1216" t="str">
        <f>Table_DataFromNL[[#This Row],[PROFILECODE]]&amp;"-"&amp;Table_DataFromNL[[#This Row],[RULENAME]]</f>
        <v>CP221-New Donor 5th Visit-Bonus</v>
      </c>
      <c r="M1216" t="str">
        <f t="shared" si="131"/>
        <v>CP221-NEW DONOR -5th</v>
      </c>
    </row>
    <row r="1217" spans="1:13" x14ac:dyDescent="0.25">
      <c r="A1217" t="str">
        <f t="shared" si="132"/>
        <v>CP221-NEW DONOR -6th</v>
      </c>
      <c r="B1217" t="s">
        <v>74</v>
      </c>
      <c r="C1217" t="str">
        <f t="shared" si="126"/>
        <v>Goodyear</v>
      </c>
      <c r="D1217" t="str">
        <f t="shared" si="127"/>
        <v>Y</v>
      </c>
      <c r="E1217" t="s">
        <v>627</v>
      </c>
      <c r="F1217" t="str">
        <f t="shared" si="128"/>
        <v>NEW DONOR -6th</v>
      </c>
      <c r="G1217" t="str">
        <f t="shared" si="129"/>
        <v>Marketing</v>
      </c>
      <c r="H1217" t="s">
        <v>560</v>
      </c>
      <c r="I1217">
        <f t="shared" si="130"/>
        <v>6</v>
      </c>
      <c r="J1217" t="s">
        <v>546</v>
      </c>
      <c r="K1217" s="5">
        <v>50</v>
      </c>
      <c r="L1217" t="str">
        <f>Table_DataFromNL[[#This Row],[PROFILECODE]]&amp;"-"&amp;Table_DataFromNL[[#This Row],[RULENAME]]</f>
        <v>CP221-New Donor 6th Visit-Bonus</v>
      </c>
      <c r="M1217" t="str">
        <f t="shared" si="131"/>
        <v>CP221-NEW DONOR -6th</v>
      </c>
    </row>
    <row r="1218" spans="1:13" x14ac:dyDescent="0.25">
      <c r="A1218" t="str">
        <f t="shared" si="132"/>
        <v>CP221-NEW DONOR -7th</v>
      </c>
      <c r="B1218" t="s">
        <v>74</v>
      </c>
      <c r="C1218" t="str">
        <f t="shared" ref="C1218:C1281" si="133">VLOOKUP(B1218,CenterLU,2,FALSE)</f>
        <v>Goodyear</v>
      </c>
      <c r="D1218" t="str">
        <f t="shared" ref="D1218:D1281" si="134">VLOOKUP(B1218,CenterLU,3,FALSE)</f>
        <v>Y</v>
      </c>
      <c r="E1218" t="s">
        <v>627</v>
      </c>
      <c r="F1218" t="str">
        <f t="shared" ref="F1218:F1281" si="135">IF(VLOOKUP(H1218,RULENAMELU,3,FALSE)=0,H1218,VLOOKUP(H1218,RULENAMELU,3,FALSE))</f>
        <v>NEW DONOR -7th</v>
      </c>
      <c r="G1218" t="str">
        <f t="shared" ref="G1218:G1281" si="136">VLOOKUP(H1218,RULENAMELU,4,FALSE)</f>
        <v>Marketing</v>
      </c>
      <c r="H1218" t="s">
        <v>561</v>
      </c>
      <c r="I1218">
        <f t="shared" ref="I1218:I1281" si="137">VLOOKUP(H1218,RULENAMELU,5,FALSE)</f>
        <v>7</v>
      </c>
      <c r="J1218" t="s">
        <v>546</v>
      </c>
      <c r="K1218" s="5">
        <v>50</v>
      </c>
      <c r="L1218" t="str">
        <f>Table_DataFromNL[[#This Row],[PROFILECODE]]&amp;"-"&amp;Table_DataFromNL[[#This Row],[RULENAME]]</f>
        <v>CP221-New Donor 7th Visit-Bonus</v>
      </c>
      <c r="M1218" t="str">
        <f t="shared" ref="M1218:M1281" si="138">IFERROR(VLOOKUP(A1218,PaychangesLU,1,FALSE),VLOOKUP(A1218,SpecialtyCheckLU,1,FALSE))</f>
        <v>CP221-NEW DONOR -7th</v>
      </c>
    </row>
    <row r="1219" spans="1:13" x14ac:dyDescent="0.25">
      <c r="A1219" t="str">
        <f t="shared" ref="A1219:A1282" si="139">B1219&amp;"-"&amp;F1219</f>
        <v>CP221-NEW DONOR -8th</v>
      </c>
      <c r="B1219" t="s">
        <v>74</v>
      </c>
      <c r="C1219" t="str">
        <f t="shared" si="133"/>
        <v>Goodyear</v>
      </c>
      <c r="D1219" t="str">
        <f t="shared" si="134"/>
        <v>Y</v>
      </c>
      <c r="E1219" t="s">
        <v>627</v>
      </c>
      <c r="F1219" t="str">
        <f t="shared" si="135"/>
        <v>NEW DONOR -8th</v>
      </c>
      <c r="G1219" t="str">
        <f t="shared" si="136"/>
        <v>Marketing</v>
      </c>
      <c r="H1219" t="s">
        <v>562</v>
      </c>
      <c r="I1219">
        <f t="shared" si="137"/>
        <v>8</v>
      </c>
      <c r="J1219" t="s">
        <v>546</v>
      </c>
      <c r="K1219" s="5">
        <v>50</v>
      </c>
      <c r="L1219" t="str">
        <f>Table_DataFromNL[[#This Row],[PROFILECODE]]&amp;"-"&amp;Table_DataFromNL[[#This Row],[RULENAME]]</f>
        <v>CP221-New Donor 8th Visit-Bonus</v>
      </c>
      <c r="M1219" t="str">
        <f t="shared" si="138"/>
        <v>CP221-NEW DONOR -8th</v>
      </c>
    </row>
    <row r="1220" spans="1:13" x14ac:dyDescent="0.25">
      <c r="A1220" t="str">
        <f t="shared" si="139"/>
        <v>CP221-Vaccinia - 1st Donation</v>
      </c>
      <c r="B1220" t="s">
        <v>74</v>
      </c>
      <c r="C1220" t="str">
        <f t="shared" si="133"/>
        <v>Goodyear</v>
      </c>
      <c r="D1220" t="str">
        <f t="shared" si="134"/>
        <v>Y</v>
      </c>
      <c r="E1220" t="s">
        <v>627</v>
      </c>
      <c r="F1220" t="str">
        <f t="shared" si="135"/>
        <v>Vaccinia - 1st Donation</v>
      </c>
      <c r="G1220" t="str">
        <f t="shared" si="136"/>
        <v>Specialty</v>
      </c>
      <c r="H1220" t="s">
        <v>477</v>
      </c>
      <c r="I1220">
        <f t="shared" si="137"/>
        <v>0</v>
      </c>
      <c r="J1220" t="s">
        <v>546</v>
      </c>
      <c r="K1220" s="5">
        <v>150</v>
      </c>
      <c r="L1220" t="str">
        <f>Table_DataFromNL[[#This Row],[PROFILECODE]]&amp;"-"&amp;Table_DataFromNL[[#This Row],[RULENAME]]</f>
        <v>CP221-Vaccinia - 1st Donation</v>
      </c>
      <c r="M1220" t="str">
        <f t="shared" si="138"/>
        <v>CP221-Vaccinia - 1st Donation</v>
      </c>
    </row>
    <row r="1221" spans="1:13" x14ac:dyDescent="0.25">
      <c r="A1221" t="str">
        <f t="shared" si="139"/>
        <v>CP221-Vaccinia - 2nd Donation</v>
      </c>
      <c r="B1221" t="s">
        <v>74</v>
      </c>
      <c r="C1221" t="str">
        <f t="shared" si="133"/>
        <v>Goodyear</v>
      </c>
      <c r="D1221" t="str">
        <f t="shared" si="134"/>
        <v>Y</v>
      </c>
      <c r="E1221" t="s">
        <v>627</v>
      </c>
      <c r="F1221" t="str">
        <f t="shared" si="135"/>
        <v>Vaccinia - 2nd Donation</v>
      </c>
      <c r="G1221" t="str">
        <f t="shared" si="136"/>
        <v>Specialty</v>
      </c>
      <c r="H1221" t="s">
        <v>478</v>
      </c>
      <c r="I1221">
        <f t="shared" si="137"/>
        <v>0</v>
      </c>
      <c r="J1221" t="s">
        <v>546</v>
      </c>
      <c r="K1221" s="5">
        <v>250</v>
      </c>
      <c r="L1221" t="str">
        <f>Table_DataFromNL[[#This Row],[PROFILECODE]]&amp;"-"&amp;Table_DataFromNL[[#This Row],[RULENAME]]</f>
        <v>CP221-Vaccinia - 2nd Donation</v>
      </c>
      <c r="M1221" t="str">
        <f t="shared" si="138"/>
        <v>CP221-Vaccinia - 2nd Donation</v>
      </c>
    </row>
    <row r="1222" spans="1:13" x14ac:dyDescent="0.25">
      <c r="A1222" t="str">
        <f t="shared" si="139"/>
        <v>CP221-Vaccinia - 3rd Donation</v>
      </c>
      <c r="B1222" t="s">
        <v>74</v>
      </c>
      <c r="C1222" t="str">
        <f t="shared" si="133"/>
        <v>Goodyear</v>
      </c>
      <c r="D1222" t="str">
        <f t="shared" si="134"/>
        <v>Y</v>
      </c>
      <c r="E1222" t="s">
        <v>627</v>
      </c>
      <c r="F1222" t="str">
        <f t="shared" si="135"/>
        <v>Vaccinia - 3rd Donation</v>
      </c>
      <c r="G1222" t="str">
        <f t="shared" si="136"/>
        <v>Specialty</v>
      </c>
      <c r="H1222" t="s">
        <v>479</v>
      </c>
      <c r="I1222">
        <f t="shared" si="137"/>
        <v>0</v>
      </c>
      <c r="J1222" t="s">
        <v>546</v>
      </c>
      <c r="K1222" s="5">
        <v>300</v>
      </c>
      <c r="L1222" t="str">
        <f>Table_DataFromNL[[#This Row],[PROFILECODE]]&amp;"-"&amp;Table_DataFromNL[[#This Row],[RULENAME]]</f>
        <v>CP221-Vaccinia - 3rd Donation</v>
      </c>
      <c r="M1222" t="str">
        <f t="shared" si="138"/>
        <v>CP221-Vaccinia - 3rd Donation</v>
      </c>
    </row>
    <row r="1223" spans="1:13" x14ac:dyDescent="0.25">
      <c r="A1223" t="str">
        <f t="shared" si="139"/>
        <v>CP221-Vaccinia - 4th Donation</v>
      </c>
      <c r="B1223" t="s">
        <v>74</v>
      </c>
      <c r="C1223" t="str">
        <f t="shared" si="133"/>
        <v>Goodyear</v>
      </c>
      <c r="D1223" t="str">
        <f t="shared" si="134"/>
        <v>Y</v>
      </c>
      <c r="E1223" t="s">
        <v>627</v>
      </c>
      <c r="F1223" t="str">
        <f t="shared" si="135"/>
        <v>Vaccinia - 4th Donation</v>
      </c>
      <c r="G1223" t="str">
        <f t="shared" si="136"/>
        <v>Specialty</v>
      </c>
      <c r="H1223" t="s">
        <v>480</v>
      </c>
      <c r="I1223">
        <f t="shared" si="137"/>
        <v>0</v>
      </c>
      <c r="J1223" t="s">
        <v>546</v>
      </c>
      <c r="K1223" s="5">
        <v>300</v>
      </c>
      <c r="L1223" t="str">
        <f>Table_DataFromNL[[#This Row],[PROFILECODE]]&amp;"-"&amp;Table_DataFromNL[[#This Row],[RULENAME]]</f>
        <v>CP221-Vaccinia - 4th Donation</v>
      </c>
      <c r="M1223" t="str">
        <f t="shared" si="138"/>
        <v>CP221-Vaccinia - 4th Donation</v>
      </c>
    </row>
    <row r="1224" spans="1:13" x14ac:dyDescent="0.25">
      <c r="A1224" t="str">
        <f t="shared" si="139"/>
        <v>CP221-Vaccinia AP - 1st Donation</v>
      </c>
      <c r="B1224" t="s">
        <v>74</v>
      </c>
      <c r="C1224" t="str">
        <f t="shared" si="133"/>
        <v>Goodyear</v>
      </c>
      <c r="D1224" t="str">
        <f t="shared" si="134"/>
        <v>Y</v>
      </c>
      <c r="E1224" t="s">
        <v>627</v>
      </c>
      <c r="F1224" t="str">
        <f t="shared" si="135"/>
        <v>Vaccinia AP - 1st Donation</v>
      </c>
      <c r="G1224" t="str">
        <f t="shared" si="136"/>
        <v>Specialty</v>
      </c>
      <c r="H1224" t="s">
        <v>481</v>
      </c>
      <c r="I1224">
        <f t="shared" si="137"/>
        <v>0</v>
      </c>
      <c r="J1224" t="s">
        <v>546</v>
      </c>
      <c r="K1224" s="5">
        <v>150</v>
      </c>
      <c r="L1224" t="str">
        <f>Table_DataFromNL[[#This Row],[PROFILECODE]]&amp;"-"&amp;Table_DataFromNL[[#This Row],[RULENAME]]</f>
        <v>CP221-Vaccinia AP - 1st Donation</v>
      </c>
      <c r="M1224" t="str">
        <f t="shared" si="138"/>
        <v>CP221-Vaccinia AP - 1st Donation</v>
      </c>
    </row>
    <row r="1225" spans="1:13" x14ac:dyDescent="0.25">
      <c r="A1225" t="str">
        <f t="shared" si="139"/>
        <v>CP221-Vaccinia AP - 2nd Donation</v>
      </c>
      <c r="B1225" t="s">
        <v>74</v>
      </c>
      <c r="C1225" t="str">
        <f t="shared" si="133"/>
        <v>Goodyear</v>
      </c>
      <c r="D1225" t="str">
        <f t="shared" si="134"/>
        <v>Y</v>
      </c>
      <c r="E1225" t="s">
        <v>627</v>
      </c>
      <c r="F1225" t="str">
        <f t="shared" si="135"/>
        <v>Vaccinia AP - 2nd Donation</v>
      </c>
      <c r="G1225" t="str">
        <f t="shared" si="136"/>
        <v>Specialty</v>
      </c>
      <c r="H1225" t="s">
        <v>482</v>
      </c>
      <c r="I1225">
        <f t="shared" si="137"/>
        <v>0</v>
      </c>
      <c r="J1225" t="s">
        <v>546</v>
      </c>
      <c r="K1225" s="5">
        <v>250</v>
      </c>
      <c r="L1225" t="str">
        <f>Table_DataFromNL[[#This Row],[PROFILECODE]]&amp;"-"&amp;Table_DataFromNL[[#This Row],[RULENAME]]</f>
        <v>CP221-Vaccinia AP - 2nd Donation</v>
      </c>
      <c r="M1225" t="str">
        <f t="shared" si="138"/>
        <v>CP221-Vaccinia AP - 2nd Donation</v>
      </c>
    </row>
    <row r="1226" spans="1:13" x14ac:dyDescent="0.25">
      <c r="A1226" t="str">
        <f t="shared" si="139"/>
        <v>CP221-Vaccinia AP - 3rd Donation</v>
      </c>
      <c r="B1226" t="s">
        <v>74</v>
      </c>
      <c r="C1226" t="str">
        <f t="shared" si="133"/>
        <v>Goodyear</v>
      </c>
      <c r="D1226" t="str">
        <f t="shared" si="134"/>
        <v>Y</v>
      </c>
      <c r="E1226" t="s">
        <v>627</v>
      </c>
      <c r="F1226" t="str">
        <f t="shared" si="135"/>
        <v>Vaccinia AP - 3rd Donation</v>
      </c>
      <c r="G1226" t="str">
        <f t="shared" si="136"/>
        <v>Specialty</v>
      </c>
      <c r="H1226" t="s">
        <v>483</v>
      </c>
      <c r="I1226">
        <f t="shared" si="137"/>
        <v>0</v>
      </c>
      <c r="J1226" t="s">
        <v>546</v>
      </c>
      <c r="K1226" s="5">
        <v>300</v>
      </c>
      <c r="L1226" t="str">
        <f>Table_DataFromNL[[#This Row],[PROFILECODE]]&amp;"-"&amp;Table_DataFromNL[[#This Row],[RULENAME]]</f>
        <v>CP221-Vaccinia AP - 3rd Donation</v>
      </c>
      <c r="M1226" t="str">
        <f t="shared" si="138"/>
        <v>CP221-Vaccinia AP - 3rd Donation</v>
      </c>
    </row>
    <row r="1227" spans="1:13" x14ac:dyDescent="0.25">
      <c r="A1227" t="str">
        <f t="shared" si="139"/>
        <v>CP221-Vaccinia AP - 4th Donation</v>
      </c>
      <c r="B1227" t="s">
        <v>74</v>
      </c>
      <c r="C1227" t="str">
        <f t="shared" si="133"/>
        <v>Goodyear</v>
      </c>
      <c r="D1227" t="str">
        <f t="shared" si="134"/>
        <v>Y</v>
      </c>
      <c r="E1227" t="s">
        <v>627</v>
      </c>
      <c r="F1227" t="str">
        <f t="shared" si="135"/>
        <v>Vaccinia AP - 4th Donation</v>
      </c>
      <c r="G1227" t="str">
        <f t="shared" si="136"/>
        <v>Specialty</v>
      </c>
      <c r="H1227" t="s">
        <v>484</v>
      </c>
      <c r="I1227">
        <f t="shared" si="137"/>
        <v>0</v>
      </c>
      <c r="J1227" t="s">
        <v>546</v>
      </c>
      <c r="K1227" s="5">
        <v>300</v>
      </c>
      <c r="L1227" t="str">
        <f>Table_DataFromNL[[#This Row],[PROFILECODE]]&amp;"-"&amp;Table_DataFromNL[[#This Row],[RULENAME]]</f>
        <v>CP221-Vaccinia AP - 4th Donation</v>
      </c>
      <c r="M1227" t="str">
        <f t="shared" si="138"/>
        <v>CP221-Vaccinia AP - 4th Donation</v>
      </c>
    </row>
    <row r="1228" spans="1:13" x14ac:dyDescent="0.25">
      <c r="A1228" t="str">
        <f t="shared" si="139"/>
        <v>CP221-Community</v>
      </c>
      <c r="B1228" t="s">
        <v>74</v>
      </c>
      <c r="C1228" t="str">
        <f t="shared" si="133"/>
        <v>Goodyear</v>
      </c>
      <c r="D1228" t="str">
        <f t="shared" si="134"/>
        <v>Y</v>
      </c>
      <c r="E1228" t="s">
        <v>627</v>
      </c>
      <c r="F1228" t="str">
        <f t="shared" si="135"/>
        <v>Community</v>
      </c>
      <c r="G1228">
        <f t="shared" si="136"/>
        <v>0</v>
      </c>
      <c r="H1228" t="s">
        <v>563</v>
      </c>
      <c r="I1228">
        <f t="shared" si="137"/>
        <v>0</v>
      </c>
      <c r="J1228" t="s">
        <v>564</v>
      </c>
      <c r="K1228" s="5">
        <v>5</v>
      </c>
      <c r="L1228" t="str">
        <f>Table_DataFromNL[[#This Row],[PROFILECODE]]&amp;"-"&amp;Table_DataFromNL[[#This Row],[RULENAME]]</f>
        <v>CP221-Community</v>
      </c>
      <c r="M1228" t="e">
        <f t="shared" si="138"/>
        <v>#N/A</v>
      </c>
    </row>
    <row r="1229" spans="1:13" x14ac:dyDescent="0.25">
      <c r="A1229" t="str">
        <f t="shared" si="139"/>
        <v>CP221-HANGER_RECRUIT_5USD_once</v>
      </c>
      <c r="B1229" t="s">
        <v>74</v>
      </c>
      <c r="C1229" t="str">
        <f t="shared" si="133"/>
        <v>Goodyear</v>
      </c>
      <c r="D1229" t="str">
        <f t="shared" si="134"/>
        <v>Y</v>
      </c>
      <c r="E1229" t="s">
        <v>627</v>
      </c>
      <c r="F1229" t="str">
        <f t="shared" si="135"/>
        <v>HANGER_RECRUIT_5USD_once</v>
      </c>
      <c r="G1229">
        <f t="shared" si="136"/>
        <v>0</v>
      </c>
      <c r="H1229" t="s">
        <v>565</v>
      </c>
      <c r="I1229">
        <f t="shared" si="137"/>
        <v>0</v>
      </c>
      <c r="J1229" t="s">
        <v>564</v>
      </c>
      <c r="K1229" s="5">
        <v>5</v>
      </c>
      <c r="L1229" t="str">
        <f>Table_DataFromNL[[#This Row],[PROFILECODE]]&amp;"-"&amp;Table_DataFromNL[[#This Row],[RULENAME]]</f>
        <v>CP221-HANGER_RECRUIT_5USD_once</v>
      </c>
      <c r="M1229" t="e">
        <f t="shared" si="138"/>
        <v>#N/A</v>
      </c>
    </row>
    <row r="1230" spans="1:13" x14ac:dyDescent="0.25">
      <c r="A1230" t="str">
        <f t="shared" si="139"/>
        <v>CP221-Immunization Boost Payment</v>
      </c>
      <c r="B1230" t="s">
        <v>74</v>
      </c>
      <c r="C1230" t="str">
        <f t="shared" si="133"/>
        <v>Goodyear</v>
      </c>
      <c r="D1230" t="str">
        <f t="shared" si="134"/>
        <v>Y</v>
      </c>
      <c r="E1230" t="s">
        <v>627</v>
      </c>
      <c r="F1230" t="str">
        <f t="shared" si="135"/>
        <v>Immunization Boost Payment</v>
      </c>
      <c r="G1230">
        <f t="shared" si="136"/>
        <v>0</v>
      </c>
      <c r="H1230" t="s">
        <v>598</v>
      </c>
      <c r="I1230">
        <f t="shared" si="137"/>
        <v>0</v>
      </c>
      <c r="J1230" t="s">
        <v>564</v>
      </c>
      <c r="K1230" s="5">
        <v>50</v>
      </c>
      <c r="L1230" t="str">
        <f>Table_DataFromNL[[#This Row],[PROFILECODE]]&amp;"-"&amp;Table_DataFromNL[[#This Row],[RULENAME]]</f>
        <v>CP221-Immunization Boost Payment</v>
      </c>
      <c r="M1230" t="e">
        <f t="shared" si="138"/>
        <v>#N/A</v>
      </c>
    </row>
    <row r="1231" spans="1:13" x14ac:dyDescent="0.25">
      <c r="A1231" t="str">
        <f t="shared" si="139"/>
        <v>CP221-Immunization Series Payment</v>
      </c>
      <c r="B1231" t="s">
        <v>74</v>
      </c>
      <c r="C1231" t="str">
        <f t="shared" si="133"/>
        <v>Goodyear</v>
      </c>
      <c r="D1231" t="str">
        <f t="shared" si="134"/>
        <v>Y</v>
      </c>
      <c r="E1231" t="s">
        <v>627</v>
      </c>
      <c r="F1231" t="str">
        <f t="shared" si="135"/>
        <v>Immunization Series Payment</v>
      </c>
      <c r="G1231">
        <f t="shared" si="136"/>
        <v>0</v>
      </c>
      <c r="H1231" t="s">
        <v>599</v>
      </c>
      <c r="I1231">
        <f t="shared" si="137"/>
        <v>0</v>
      </c>
      <c r="J1231" t="s">
        <v>564</v>
      </c>
      <c r="K1231" s="5">
        <v>100</v>
      </c>
      <c r="L1231" t="str">
        <f>Table_DataFromNL[[#This Row],[PROFILECODE]]&amp;"-"&amp;Table_DataFromNL[[#This Row],[RULENAME]]</f>
        <v>CP221-Immunization Series Payment</v>
      </c>
      <c r="M1231" t="e">
        <f t="shared" si="138"/>
        <v>#N/A</v>
      </c>
    </row>
    <row r="1232" spans="1:13" x14ac:dyDescent="0.25">
      <c r="A1232" t="str">
        <f t="shared" si="139"/>
        <v>CP221-Inconv Fee $20-$50-Comment Req'd</v>
      </c>
      <c r="B1232" t="s">
        <v>74</v>
      </c>
      <c r="C1232" t="str">
        <f t="shared" si="133"/>
        <v>Goodyear</v>
      </c>
      <c r="D1232" t="str">
        <f t="shared" si="134"/>
        <v>Y</v>
      </c>
      <c r="E1232" t="s">
        <v>627</v>
      </c>
      <c r="F1232" t="str">
        <f t="shared" si="135"/>
        <v>Inconv Fee $20-$50-Comment Req'd</v>
      </c>
      <c r="G1232">
        <f t="shared" si="136"/>
        <v>0</v>
      </c>
      <c r="H1232" t="s">
        <v>566</v>
      </c>
      <c r="I1232">
        <f t="shared" si="137"/>
        <v>0</v>
      </c>
      <c r="J1232" t="s">
        <v>564</v>
      </c>
      <c r="K1232" s="5">
        <v>50</v>
      </c>
      <c r="L1232" t="str">
        <f>Table_DataFromNL[[#This Row],[PROFILECODE]]&amp;"-"&amp;Table_DataFromNL[[#This Row],[RULENAME]]</f>
        <v>CP221-Inconv Fee $20-$50-Comment Req'd</v>
      </c>
      <c r="M1232" t="e">
        <f t="shared" si="138"/>
        <v>#N/A</v>
      </c>
    </row>
    <row r="1233" spans="1:13" x14ac:dyDescent="0.25">
      <c r="A1233" t="str">
        <f t="shared" si="139"/>
        <v>CP221-Inconv Fee $5-$20-Comment Req'd</v>
      </c>
      <c r="B1233" t="s">
        <v>74</v>
      </c>
      <c r="C1233" t="str">
        <f t="shared" si="133"/>
        <v>Goodyear</v>
      </c>
      <c r="D1233" t="str">
        <f t="shared" si="134"/>
        <v>Y</v>
      </c>
      <c r="E1233" t="s">
        <v>627</v>
      </c>
      <c r="F1233" t="str">
        <f t="shared" si="135"/>
        <v>Inconv Fee $5-$20-Comment Req'd</v>
      </c>
      <c r="G1233">
        <f t="shared" si="136"/>
        <v>0</v>
      </c>
      <c r="H1233" t="s">
        <v>567</v>
      </c>
      <c r="I1233">
        <f t="shared" si="137"/>
        <v>0</v>
      </c>
      <c r="J1233" t="s">
        <v>564</v>
      </c>
      <c r="K1233" s="5">
        <v>20</v>
      </c>
      <c r="L1233" t="str">
        <f>Table_DataFromNL[[#This Row],[PROFILECODE]]&amp;"-"&amp;Table_DataFromNL[[#This Row],[RULENAME]]</f>
        <v>CP221-Inconv Fee $5-$20-Comment Req'd</v>
      </c>
      <c r="M1233" t="e">
        <f t="shared" si="138"/>
        <v>#N/A</v>
      </c>
    </row>
    <row r="1234" spans="1:13" x14ac:dyDescent="0.25">
      <c r="A1234" t="str">
        <f t="shared" si="139"/>
        <v>CP221-Inconv Fee$50-$100-Comment Req'd</v>
      </c>
      <c r="B1234" t="s">
        <v>74</v>
      </c>
      <c r="C1234" t="str">
        <f t="shared" si="133"/>
        <v>Goodyear</v>
      </c>
      <c r="D1234" t="str">
        <f t="shared" si="134"/>
        <v>Y</v>
      </c>
      <c r="E1234" t="s">
        <v>627</v>
      </c>
      <c r="F1234" t="str">
        <f t="shared" si="135"/>
        <v>Inconv Fee$50-$100-Comment Req'd</v>
      </c>
      <c r="G1234">
        <f t="shared" si="136"/>
        <v>0</v>
      </c>
      <c r="H1234" t="s">
        <v>568</v>
      </c>
      <c r="I1234">
        <f t="shared" si="137"/>
        <v>0</v>
      </c>
      <c r="J1234" t="s">
        <v>564</v>
      </c>
      <c r="K1234" s="5">
        <v>100</v>
      </c>
      <c r="L1234" t="str">
        <f>Table_DataFromNL[[#This Row],[PROFILECODE]]&amp;"-"&amp;Table_DataFromNL[[#This Row],[RULENAME]]</f>
        <v>CP221-Inconv Fee$50-$100-Comment Req'd</v>
      </c>
      <c r="M1234" t="e">
        <f t="shared" si="138"/>
        <v>#N/A</v>
      </c>
    </row>
    <row r="1235" spans="1:13" x14ac:dyDescent="0.25">
      <c r="A1235" t="str">
        <f t="shared" si="139"/>
        <v>CP221-NSP_ LAPSEDONOR_50_Twice</v>
      </c>
      <c r="B1235" t="s">
        <v>74</v>
      </c>
      <c r="C1235" t="str">
        <f t="shared" si="133"/>
        <v>Goodyear</v>
      </c>
      <c r="D1235" t="str">
        <f t="shared" si="134"/>
        <v>Y</v>
      </c>
      <c r="E1235" t="s">
        <v>627</v>
      </c>
      <c r="F1235" t="str">
        <f t="shared" si="135"/>
        <v>NSP_ LAPSEDONOR_50_Twice</v>
      </c>
      <c r="G1235">
        <f t="shared" si="136"/>
        <v>0</v>
      </c>
      <c r="H1235" t="s">
        <v>569</v>
      </c>
      <c r="I1235">
        <f t="shared" si="137"/>
        <v>0</v>
      </c>
      <c r="J1235" t="s">
        <v>564</v>
      </c>
      <c r="K1235" s="5">
        <v>50</v>
      </c>
      <c r="L1235" t="str">
        <f>Table_DataFromNL[[#This Row],[PROFILECODE]]&amp;"-"&amp;Table_DataFromNL[[#This Row],[RULENAME]]</f>
        <v>CP221-NSP_ LAPSEDONOR_50_Twice</v>
      </c>
      <c r="M1235" t="e">
        <f t="shared" si="138"/>
        <v>#N/A</v>
      </c>
    </row>
    <row r="1236" spans="1:13" x14ac:dyDescent="0.25">
      <c r="A1236" t="str">
        <f t="shared" si="139"/>
        <v>CP221-NSP_LD_25_2X</v>
      </c>
      <c r="B1236" t="s">
        <v>74</v>
      </c>
      <c r="C1236" t="str">
        <f t="shared" si="133"/>
        <v>Goodyear</v>
      </c>
      <c r="D1236" t="str">
        <f t="shared" si="134"/>
        <v>Y</v>
      </c>
      <c r="E1236" t="s">
        <v>627</v>
      </c>
      <c r="F1236" t="str">
        <f t="shared" si="135"/>
        <v>NSP_LD_25_2X</v>
      </c>
      <c r="G1236">
        <f t="shared" si="136"/>
        <v>0</v>
      </c>
      <c r="H1236" t="s">
        <v>570</v>
      </c>
      <c r="I1236">
        <f t="shared" si="137"/>
        <v>0</v>
      </c>
      <c r="J1236" t="s">
        <v>564</v>
      </c>
      <c r="K1236" s="5">
        <v>25</v>
      </c>
      <c r="L1236" t="str">
        <f>Table_DataFromNL[[#This Row],[PROFILECODE]]&amp;"-"&amp;Table_DataFromNL[[#This Row],[RULENAME]]</f>
        <v>CP221-NSP_LD_25_2X</v>
      </c>
      <c r="M1236" t="e">
        <f t="shared" si="138"/>
        <v>#N/A</v>
      </c>
    </row>
    <row r="1237" spans="1:13" x14ac:dyDescent="0.25">
      <c r="A1237" t="str">
        <f t="shared" si="139"/>
        <v>CP221-NSP_LD_50_1X</v>
      </c>
      <c r="B1237" t="s">
        <v>74</v>
      </c>
      <c r="C1237" t="str">
        <f t="shared" si="133"/>
        <v>Goodyear</v>
      </c>
      <c r="D1237" t="str">
        <f t="shared" si="134"/>
        <v>Y</v>
      </c>
      <c r="E1237" t="s">
        <v>627</v>
      </c>
      <c r="F1237" t="str">
        <f t="shared" si="135"/>
        <v>NSP_LD_50_1X</v>
      </c>
      <c r="G1237">
        <f t="shared" si="136"/>
        <v>0</v>
      </c>
      <c r="H1237" t="s">
        <v>571</v>
      </c>
      <c r="I1237">
        <f t="shared" si="137"/>
        <v>0</v>
      </c>
      <c r="J1237" t="s">
        <v>564</v>
      </c>
      <c r="K1237" s="5">
        <v>50</v>
      </c>
      <c r="L1237" t="str">
        <f>Table_DataFromNL[[#This Row],[PROFILECODE]]&amp;"-"&amp;Table_DataFromNL[[#This Row],[RULENAME]]</f>
        <v>CP221-NSP_LD_50_1X</v>
      </c>
      <c r="M1237" t="e">
        <f t="shared" si="138"/>
        <v>#N/A</v>
      </c>
    </row>
    <row r="1238" spans="1:13" x14ac:dyDescent="0.25">
      <c r="A1238" t="str">
        <f t="shared" si="139"/>
        <v>CP221-NSP_ORPHAN_100_once</v>
      </c>
      <c r="B1238" t="s">
        <v>74</v>
      </c>
      <c r="C1238" t="str">
        <f t="shared" si="133"/>
        <v>Goodyear</v>
      </c>
      <c r="D1238" t="str">
        <f t="shared" si="134"/>
        <v>Y</v>
      </c>
      <c r="E1238" t="s">
        <v>627</v>
      </c>
      <c r="F1238" t="str">
        <f t="shared" si="135"/>
        <v>NSP_ORPHAN_100_once</v>
      </c>
      <c r="G1238">
        <f t="shared" si="136"/>
        <v>0</v>
      </c>
      <c r="H1238" t="s">
        <v>572</v>
      </c>
      <c r="I1238">
        <f t="shared" si="137"/>
        <v>0</v>
      </c>
      <c r="J1238" t="s">
        <v>564</v>
      </c>
      <c r="K1238" s="5">
        <v>100</v>
      </c>
      <c r="L1238" t="str">
        <f>Table_DataFromNL[[#This Row],[PROFILECODE]]&amp;"-"&amp;Table_DataFromNL[[#This Row],[RULENAME]]</f>
        <v>CP221-NSP_ORPHAN_100_once</v>
      </c>
      <c r="M1238" t="e">
        <f t="shared" si="138"/>
        <v>#N/A</v>
      </c>
    </row>
    <row r="1239" spans="1:13" x14ac:dyDescent="0.25">
      <c r="A1239" t="str">
        <f t="shared" si="139"/>
        <v>CP221-Referral - Vaccinia</v>
      </c>
      <c r="B1239" t="s">
        <v>74</v>
      </c>
      <c r="C1239" t="str">
        <f t="shared" si="133"/>
        <v>Goodyear</v>
      </c>
      <c r="D1239" t="str">
        <f t="shared" si="134"/>
        <v>Y</v>
      </c>
      <c r="E1239" t="s">
        <v>627</v>
      </c>
      <c r="F1239" t="str">
        <f t="shared" si="135"/>
        <v>Referral - Vaccinia</v>
      </c>
      <c r="G1239">
        <f t="shared" si="136"/>
        <v>0</v>
      </c>
      <c r="H1239" t="s">
        <v>595</v>
      </c>
      <c r="I1239">
        <f t="shared" si="137"/>
        <v>0</v>
      </c>
      <c r="J1239" t="s">
        <v>564</v>
      </c>
      <c r="K1239" s="5">
        <v>250</v>
      </c>
      <c r="L1239" t="str">
        <f>Table_DataFromNL[[#This Row],[PROFILECODE]]&amp;"-"&amp;Table_DataFromNL[[#This Row],[RULENAME]]</f>
        <v>CP221-Referral - Vaccinia</v>
      </c>
      <c r="M1239" t="e">
        <f t="shared" si="138"/>
        <v>#N/A</v>
      </c>
    </row>
    <row r="1240" spans="1:13" x14ac:dyDescent="0.25">
      <c r="A1240" t="str">
        <f t="shared" si="139"/>
        <v>CP221-Restick</v>
      </c>
      <c r="B1240" t="s">
        <v>74</v>
      </c>
      <c r="C1240" t="str">
        <f t="shared" si="133"/>
        <v>Goodyear</v>
      </c>
      <c r="D1240" t="str">
        <f t="shared" si="134"/>
        <v>Y</v>
      </c>
      <c r="E1240" t="s">
        <v>627</v>
      </c>
      <c r="F1240" t="str">
        <f t="shared" si="135"/>
        <v>Restick</v>
      </c>
      <c r="G1240">
        <f t="shared" si="136"/>
        <v>0</v>
      </c>
      <c r="H1240" t="s">
        <v>573</v>
      </c>
      <c r="I1240">
        <f t="shared" si="137"/>
        <v>0</v>
      </c>
      <c r="J1240" t="s">
        <v>564</v>
      </c>
      <c r="K1240" s="5">
        <v>5</v>
      </c>
      <c r="L1240" t="str">
        <f>Table_DataFromNL[[#This Row],[PROFILECODE]]&amp;"-"&amp;Table_DataFromNL[[#This Row],[RULENAME]]</f>
        <v>CP221-Restick</v>
      </c>
      <c r="M1240" t="e">
        <f t="shared" si="138"/>
        <v>#N/A</v>
      </c>
    </row>
    <row r="1241" spans="1:13" x14ac:dyDescent="0.25">
      <c r="A1241" t="str">
        <f t="shared" si="139"/>
        <v>CP221-SCRATCH_100_USD</v>
      </c>
      <c r="B1241" t="s">
        <v>74</v>
      </c>
      <c r="C1241" t="str">
        <f t="shared" si="133"/>
        <v>Goodyear</v>
      </c>
      <c r="D1241" t="str">
        <f t="shared" si="134"/>
        <v>Y</v>
      </c>
      <c r="E1241" t="s">
        <v>627</v>
      </c>
      <c r="F1241" t="str">
        <f t="shared" si="135"/>
        <v>SCRATCH_100_USD</v>
      </c>
      <c r="G1241">
        <f t="shared" si="136"/>
        <v>0</v>
      </c>
      <c r="H1241" t="s">
        <v>586</v>
      </c>
      <c r="I1241">
        <f t="shared" si="137"/>
        <v>0</v>
      </c>
      <c r="J1241" t="s">
        <v>564</v>
      </c>
      <c r="K1241" s="5">
        <v>100</v>
      </c>
      <c r="L1241" t="str">
        <f>Table_DataFromNL[[#This Row],[PROFILECODE]]&amp;"-"&amp;Table_DataFromNL[[#This Row],[RULENAME]]</f>
        <v>CP221-SCRATCH_100_USD</v>
      </c>
      <c r="M1241" t="e">
        <f t="shared" si="138"/>
        <v>#N/A</v>
      </c>
    </row>
    <row r="1242" spans="1:13" x14ac:dyDescent="0.25">
      <c r="A1242" t="str">
        <f t="shared" si="139"/>
        <v>CP221-SCRATCH_10_USD</v>
      </c>
      <c r="B1242" t="s">
        <v>74</v>
      </c>
      <c r="C1242" t="str">
        <f t="shared" si="133"/>
        <v>Goodyear</v>
      </c>
      <c r="D1242" t="str">
        <f t="shared" si="134"/>
        <v>Y</v>
      </c>
      <c r="E1242" t="s">
        <v>627</v>
      </c>
      <c r="F1242" t="str">
        <f t="shared" si="135"/>
        <v>SCRATCH_10_USD</v>
      </c>
      <c r="G1242">
        <f t="shared" si="136"/>
        <v>0</v>
      </c>
      <c r="H1242" t="s">
        <v>587</v>
      </c>
      <c r="I1242">
        <f t="shared" si="137"/>
        <v>0</v>
      </c>
      <c r="J1242" t="s">
        <v>564</v>
      </c>
      <c r="K1242" s="5">
        <v>10</v>
      </c>
      <c r="L1242" t="str">
        <f>Table_DataFromNL[[#This Row],[PROFILECODE]]&amp;"-"&amp;Table_DataFromNL[[#This Row],[RULENAME]]</f>
        <v>CP221-SCRATCH_10_USD</v>
      </c>
      <c r="M1242" t="e">
        <f t="shared" si="138"/>
        <v>#N/A</v>
      </c>
    </row>
    <row r="1243" spans="1:13" x14ac:dyDescent="0.25">
      <c r="A1243" t="str">
        <f t="shared" si="139"/>
        <v>CP221-SCRATCH_20_USD</v>
      </c>
      <c r="B1243" t="s">
        <v>74</v>
      </c>
      <c r="C1243" t="str">
        <f t="shared" si="133"/>
        <v>Goodyear</v>
      </c>
      <c r="D1243" t="str">
        <f t="shared" si="134"/>
        <v>Y</v>
      </c>
      <c r="E1243" t="s">
        <v>627</v>
      </c>
      <c r="F1243" t="str">
        <f t="shared" si="135"/>
        <v>SCRATCH_20_USD</v>
      </c>
      <c r="G1243">
        <f t="shared" si="136"/>
        <v>0</v>
      </c>
      <c r="H1243" t="s">
        <v>588</v>
      </c>
      <c r="I1243">
        <f t="shared" si="137"/>
        <v>0</v>
      </c>
      <c r="J1243" t="s">
        <v>564</v>
      </c>
      <c r="K1243" s="5">
        <v>20</v>
      </c>
      <c r="L1243" t="str">
        <f>Table_DataFromNL[[#This Row],[PROFILECODE]]&amp;"-"&amp;Table_DataFromNL[[#This Row],[RULENAME]]</f>
        <v>CP221-SCRATCH_20_USD</v>
      </c>
      <c r="M1243" t="e">
        <f t="shared" si="138"/>
        <v>#N/A</v>
      </c>
    </row>
    <row r="1244" spans="1:13" x14ac:dyDescent="0.25">
      <c r="A1244" t="str">
        <f t="shared" si="139"/>
        <v>CP221-SCRATCH_25_USD</v>
      </c>
      <c r="B1244" t="s">
        <v>74</v>
      </c>
      <c r="C1244" t="str">
        <f t="shared" si="133"/>
        <v>Goodyear</v>
      </c>
      <c r="D1244" t="str">
        <f t="shared" si="134"/>
        <v>Y</v>
      </c>
      <c r="E1244" t="s">
        <v>627</v>
      </c>
      <c r="F1244" t="str">
        <f t="shared" si="135"/>
        <v>SCRATCH_25_USD</v>
      </c>
      <c r="G1244">
        <f t="shared" si="136"/>
        <v>0</v>
      </c>
      <c r="H1244" t="s">
        <v>589</v>
      </c>
      <c r="I1244">
        <f t="shared" si="137"/>
        <v>0</v>
      </c>
      <c r="J1244" t="s">
        <v>564</v>
      </c>
      <c r="K1244" s="5">
        <v>25</v>
      </c>
      <c r="L1244" t="str">
        <f>Table_DataFromNL[[#This Row],[PROFILECODE]]&amp;"-"&amp;Table_DataFromNL[[#This Row],[RULENAME]]</f>
        <v>CP221-SCRATCH_25_USD</v>
      </c>
      <c r="M1244" t="e">
        <f t="shared" si="138"/>
        <v>#N/A</v>
      </c>
    </row>
    <row r="1245" spans="1:13" x14ac:dyDescent="0.25">
      <c r="A1245" t="str">
        <f t="shared" si="139"/>
        <v>CP221-SCRATCH_50_USD</v>
      </c>
      <c r="B1245" t="s">
        <v>74</v>
      </c>
      <c r="C1245" t="str">
        <f t="shared" si="133"/>
        <v>Goodyear</v>
      </c>
      <c r="D1245" t="str">
        <f t="shared" si="134"/>
        <v>Y</v>
      </c>
      <c r="E1245" t="s">
        <v>627</v>
      </c>
      <c r="F1245" t="str">
        <f t="shared" si="135"/>
        <v>SCRATCH_50_USD</v>
      </c>
      <c r="G1245">
        <f t="shared" si="136"/>
        <v>0</v>
      </c>
      <c r="H1245" t="s">
        <v>590</v>
      </c>
      <c r="I1245">
        <f t="shared" si="137"/>
        <v>0</v>
      </c>
      <c r="J1245" t="s">
        <v>564</v>
      </c>
      <c r="K1245" s="5">
        <v>50</v>
      </c>
      <c r="L1245" t="str">
        <f>Table_DataFromNL[[#This Row],[PROFILECODE]]&amp;"-"&amp;Table_DataFromNL[[#This Row],[RULENAME]]</f>
        <v>CP221-SCRATCH_50_USD</v>
      </c>
      <c r="M1245" t="e">
        <f t="shared" si="138"/>
        <v>#N/A</v>
      </c>
    </row>
    <row r="1246" spans="1:13" x14ac:dyDescent="0.25">
      <c r="A1246" t="str">
        <f t="shared" si="139"/>
        <v>CP221-SCRATCH_5_USD</v>
      </c>
      <c r="B1246" t="s">
        <v>74</v>
      </c>
      <c r="C1246" t="str">
        <f t="shared" si="133"/>
        <v>Goodyear</v>
      </c>
      <c r="D1246" t="str">
        <f t="shared" si="134"/>
        <v>Y</v>
      </c>
      <c r="E1246" t="s">
        <v>627</v>
      </c>
      <c r="F1246" t="str">
        <f t="shared" si="135"/>
        <v>SCRATCH_5_USD</v>
      </c>
      <c r="G1246">
        <f t="shared" si="136"/>
        <v>0</v>
      </c>
      <c r="H1246" t="s">
        <v>591</v>
      </c>
      <c r="I1246">
        <f t="shared" si="137"/>
        <v>0</v>
      </c>
      <c r="J1246" t="s">
        <v>564</v>
      </c>
      <c r="K1246" s="5">
        <v>5</v>
      </c>
      <c r="L1246" t="str">
        <f>Table_DataFromNL[[#This Row],[PROFILECODE]]&amp;"-"&amp;Table_DataFromNL[[#This Row],[RULENAME]]</f>
        <v>CP221-SCRATCH_5_USD</v>
      </c>
      <c r="M1246" t="e">
        <f t="shared" si="138"/>
        <v>#N/A</v>
      </c>
    </row>
    <row r="1247" spans="1:13" x14ac:dyDescent="0.25">
      <c r="A1247" t="str">
        <f t="shared" si="139"/>
        <v>CP221-SLOW_TEXT_5</v>
      </c>
      <c r="B1247" t="s">
        <v>74</v>
      </c>
      <c r="C1247" t="str">
        <f t="shared" si="133"/>
        <v>Goodyear</v>
      </c>
      <c r="D1247" t="str">
        <f t="shared" si="134"/>
        <v>Y</v>
      </c>
      <c r="E1247" t="s">
        <v>627</v>
      </c>
      <c r="F1247" t="str">
        <f t="shared" si="135"/>
        <v>SLOW_TEXT_5</v>
      </c>
      <c r="G1247">
        <f t="shared" si="136"/>
        <v>0</v>
      </c>
      <c r="H1247" t="s">
        <v>574</v>
      </c>
      <c r="I1247">
        <f t="shared" si="137"/>
        <v>0</v>
      </c>
      <c r="J1247" t="s">
        <v>564</v>
      </c>
      <c r="K1247" s="5">
        <v>5</v>
      </c>
      <c r="L1247" t="str">
        <f>Table_DataFromNL[[#This Row],[PROFILECODE]]&amp;"-"&amp;Table_DataFromNL[[#This Row],[RULENAME]]</f>
        <v>CP221-SLOW_TEXT_5</v>
      </c>
      <c r="M1247" t="e">
        <f t="shared" si="138"/>
        <v>#N/A</v>
      </c>
    </row>
    <row r="1248" spans="1:13" x14ac:dyDescent="0.25">
      <c r="A1248" t="str">
        <f t="shared" si="139"/>
        <v>CP221-Sample Only</v>
      </c>
      <c r="B1248" t="s">
        <v>74</v>
      </c>
      <c r="C1248" t="str">
        <f t="shared" si="133"/>
        <v>Goodyear</v>
      </c>
      <c r="D1248" t="str">
        <f t="shared" si="134"/>
        <v>Y</v>
      </c>
      <c r="E1248" t="s">
        <v>627</v>
      </c>
      <c r="F1248" t="str">
        <f t="shared" si="135"/>
        <v>Sample Only</v>
      </c>
      <c r="G1248">
        <f t="shared" si="136"/>
        <v>0</v>
      </c>
      <c r="H1248" t="s">
        <v>575</v>
      </c>
      <c r="I1248">
        <f t="shared" si="137"/>
        <v>0</v>
      </c>
      <c r="J1248" t="s">
        <v>564</v>
      </c>
      <c r="K1248" s="5">
        <v>5</v>
      </c>
      <c r="L1248" t="str">
        <f>Table_DataFromNL[[#This Row],[PROFILECODE]]&amp;"-"&amp;Table_DataFromNL[[#This Row],[RULENAME]]</f>
        <v>CP221-Sample Only</v>
      </c>
      <c r="M1248" t="e">
        <f t="shared" si="138"/>
        <v>#N/A</v>
      </c>
    </row>
    <row r="1249" spans="1:13" x14ac:dyDescent="0.25">
      <c r="A1249" t="str">
        <f t="shared" si="139"/>
        <v>CP221-Unit Below 250 mL</v>
      </c>
      <c r="B1249" t="s">
        <v>74</v>
      </c>
      <c r="C1249" t="str">
        <f t="shared" si="133"/>
        <v>Goodyear</v>
      </c>
      <c r="D1249" t="str">
        <f t="shared" si="134"/>
        <v>Y</v>
      </c>
      <c r="E1249" t="s">
        <v>627</v>
      </c>
      <c r="F1249" t="str">
        <f t="shared" si="135"/>
        <v>Unit Below 250 mL</v>
      </c>
      <c r="G1249">
        <f t="shared" si="136"/>
        <v>0</v>
      </c>
      <c r="H1249" t="s">
        <v>576</v>
      </c>
      <c r="I1249">
        <f t="shared" si="137"/>
        <v>0</v>
      </c>
      <c r="J1249" t="s">
        <v>564</v>
      </c>
      <c r="K1249" s="5">
        <v>5</v>
      </c>
      <c r="L1249" t="str">
        <f>Table_DataFromNL[[#This Row],[PROFILECODE]]&amp;"-"&amp;Table_DataFromNL[[#This Row],[RULENAME]]</f>
        <v>CP221-Unit Below 250 mL</v>
      </c>
      <c r="M1249" t="e">
        <f t="shared" si="138"/>
        <v>#N/A</v>
      </c>
    </row>
    <row r="1250" spans="1:13" x14ac:dyDescent="0.25">
      <c r="A1250" t="str">
        <f t="shared" si="139"/>
        <v>CP221-Unit above 250 mL/underdraw</v>
      </c>
      <c r="B1250" t="s">
        <v>74</v>
      </c>
      <c r="C1250" t="str">
        <f t="shared" si="133"/>
        <v>Goodyear</v>
      </c>
      <c r="D1250" t="str">
        <f t="shared" si="134"/>
        <v>Y</v>
      </c>
      <c r="E1250" t="s">
        <v>627</v>
      </c>
      <c r="F1250" t="str">
        <f t="shared" si="135"/>
        <v>Unit above 250 mL/underdraw</v>
      </c>
      <c r="G1250">
        <f t="shared" si="136"/>
        <v>0</v>
      </c>
      <c r="H1250" t="s">
        <v>577</v>
      </c>
      <c r="I1250">
        <f t="shared" si="137"/>
        <v>0</v>
      </c>
      <c r="J1250" t="s">
        <v>564</v>
      </c>
      <c r="K1250" s="5">
        <v>10</v>
      </c>
      <c r="L1250" t="str">
        <f>Table_DataFromNL[[#This Row],[PROFILECODE]]&amp;"-"&amp;Table_DataFromNL[[#This Row],[RULENAME]]</f>
        <v>CP221-Unit above 250 mL/underdraw</v>
      </c>
      <c r="M1250" t="e">
        <f t="shared" si="138"/>
        <v>#N/A</v>
      </c>
    </row>
    <row r="1251" spans="1:13" x14ac:dyDescent="0.25">
      <c r="A1251" t="str">
        <f t="shared" si="139"/>
        <v>CP221-Vaccinia Immunization</v>
      </c>
      <c r="B1251" t="s">
        <v>74</v>
      </c>
      <c r="C1251" t="str">
        <f t="shared" si="133"/>
        <v>Goodyear</v>
      </c>
      <c r="D1251" t="str">
        <f t="shared" si="134"/>
        <v>Y</v>
      </c>
      <c r="E1251" t="s">
        <v>627</v>
      </c>
      <c r="F1251" t="str">
        <f t="shared" si="135"/>
        <v>Vaccinia Immunization</v>
      </c>
      <c r="G1251">
        <f t="shared" si="136"/>
        <v>0</v>
      </c>
      <c r="H1251" t="s">
        <v>596</v>
      </c>
      <c r="I1251">
        <f t="shared" si="137"/>
        <v>0</v>
      </c>
      <c r="J1251" t="s">
        <v>564</v>
      </c>
      <c r="K1251" s="5">
        <v>100</v>
      </c>
      <c r="L1251" t="str">
        <f>Table_DataFromNL[[#This Row],[PROFILECODE]]&amp;"-"&amp;Table_DataFromNL[[#This Row],[RULENAME]]</f>
        <v>CP221-Vaccinia Immunization</v>
      </c>
      <c r="M1251" t="e">
        <f t="shared" si="138"/>
        <v>#N/A</v>
      </c>
    </row>
    <row r="1252" spans="1:13" x14ac:dyDescent="0.25">
      <c r="A1252" t="str">
        <f t="shared" si="139"/>
        <v>CP221-RETURN - Buddy referral  -BONUS</v>
      </c>
      <c r="B1252" t="s">
        <v>74</v>
      </c>
      <c r="C1252" t="str">
        <f t="shared" si="133"/>
        <v>Goodyear</v>
      </c>
      <c r="D1252" t="str">
        <f t="shared" si="134"/>
        <v>Y</v>
      </c>
      <c r="E1252" t="s">
        <v>627</v>
      </c>
      <c r="F1252" t="str">
        <f t="shared" si="135"/>
        <v>RETURN - Buddy referral  -BONUS</v>
      </c>
      <c r="G1252" t="str">
        <f t="shared" si="136"/>
        <v>Marketing</v>
      </c>
      <c r="H1252" t="s">
        <v>34</v>
      </c>
      <c r="I1252">
        <f t="shared" si="137"/>
        <v>50</v>
      </c>
      <c r="J1252" t="s">
        <v>578</v>
      </c>
      <c r="K1252" s="5">
        <v>50</v>
      </c>
      <c r="L1252" t="str">
        <f>Table_DataFromNL[[#This Row],[PROFILECODE]]&amp;"-"&amp;Table_DataFromNL[[#This Row],[RULENAME]]</f>
        <v>CP221-Referral</v>
      </c>
      <c r="M1252" t="str">
        <f t="shared" si="138"/>
        <v>CP221-RETURN - Buddy referral  -BONUS</v>
      </c>
    </row>
    <row r="1253" spans="1:13" x14ac:dyDescent="0.25">
      <c r="A1253" t="str">
        <f t="shared" si="139"/>
        <v>CP221-P Anti-D Pre-Existing Standard</v>
      </c>
      <c r="B1253" t="s">
        <v>74</v>
      </c>
      <c r="C1253" t="str">
        <f t="shared" si="133"/>
        <v>Goodyear</v>
      </c>
      <c r="D1253" t="str">
        <f t="shared" si="134"/>
        <v>Y</v>
      </c>
      <c r="E1253" t="s">
        <v>627</v>
      </c>
      <c r="F1253" t="str">
        <f t="shared" si="135"/>
        <v>P Anti-D Pre-Existing Standard</v>
      </c>
      <c r="G1253" t="str">
        <f t="shared" si="136"/>
        <v>Specialty</v>
      </c>
      <c r="H1253" t="s">
        <v>469</v>
      </c>
      <c r="I1253" t="str">
        <f t="shared" si="137"/>
        <v>RETURN - 1st don of the week -STD</v>
      </c>
      <c r="J1253" t="s">
        <v>579</v>
      </c>
      <c r="K1253" s="5">
        <v>50</v>
      </c>
      <c r="L1253" t="str">
        <f>Table_DataFromNL[[#This Row],[PROFILECODE]]&amp;"-"&amp;Table_DataFromNL[[#This Row],[RULENAME]]</f>
        <v>CP221-P Anti-D Pre-Existing Standard</v>
      </c>
      <c r="M1253" t="str">
        <f t="shared" si="138"/>
        <v>CP221-P Anti-D Pre-Existing Standard</v>
      </c>
    </row>
    <row r="1254" spans="1:13" x14ac:dyDescent="0.25">
      <c r="A1254" t="str">
        <f t="shared" si="139"/>
        <v>CP221-RETURN - 1st don of the week -STD</v>
      </c>
      <c r="B1254" t="s">
        <v>74</v>
      </c>
      <c r="C1254" t="str">
        <f t="shared" si="133"/>
        <v>Goodyear</v>
      </c>
      <c r="D1254" t="str">
        <f t="shared" si="134"/>
        <v>Y</v>
      </c>
      <c r="E1254" t="s">
        <v>627</v>
      </c>
      <c r="F1254" t="str">
        <f t="shared" si="135"/>
        <v>RETURN - 1st don of the week -STD</v>
      </c>
      <c r="G1254" t="str">
        <f t="shared" si="136"/>
        <v>Marketing</v>
      </c>
      <c r="H1254" t="s">
        <v>583</v>
      </c>
      <c r="I1254">
        <f t="shared" si="137"/>
        <v>22</v>
      </c>
      <c r="J1254" t="s">
        <v>579</v>
      </c>
      <c r="K1254" s="5">
        <v>50</v>
      </c>
      <c r="L1254" t="str">
        <f>Table_DataFromNL[[#This Row],[PROFILECODE]]&amp;"-"&amp;Table_DataFromNL[[#This Row],[RULENAME]]</f>
        <v>CP221-P NSP NS AP Standard</v>
      </c>
      <c r="M1254" t="str">
        <f t="shared" si="138"/>
        <v>CP221-RETURN - 1st don of the week -STD</v>
      </c>
    </row>
    <row r="1255" spans="1:13" x14ac:dyDescent="0.25">
      <c r="A1255" t="str">
        <f t="shared" si="139"/>
        <v>CP221-RETURN - 1st don of the week -STD</v>
      </c>
      <c r="B1255" t="s">
        <v>74</v>
      </c>
      <c r="C1255" t="str">
        <f t="shared" si="133"/>
        <v>Goodyear</v>
      </c>
      <c r="D1255" t="str">
        <f t="shared" si="134"/>
        <v>Y</v>
      </c>
      <c r="E1255" t="s">
        <v>627</v>
      </c>
      <c r="F1255" t="str">
        <f t="shared" si="135"/>
        <v>RETURN - 1st don of the week -STD</v>
      </c>
      <c r="G1255" t="str">
        <f t="shared" si="136"/>
        <v>Marketing</v>
      </c>
      <c r="H1255" t="s">
        <v>584</v>
      </c>
      <c r="I1255">
        <f t="shared" si="137"/>
        <v>23</v>
      </c>
      <c r="J1255" t="s">
        <v>579</v>
      </c>
      <c r="K1255" s="5">
        <v>50</v>
      </c>
      <c r="L1255" t="str">
        <f>Table_DataFromNL[[#This Row],[PROFILECODE]]&amp;"-"&amp;Table_DataFromNL[[#This Row],[RULENAME]]</f>
        <v>CP221-P NSP NS Standard</v>
      </c>
      <c r="M1255" t="str">
        <f t="shared" si="138"/>
        <v>CP221-RETURN - 1st don of the week -STD</v>
      </c>
    </row>
    <row r="1256" spans="1:13" x14ac:dyDescent="0.25">
      <c r="A1256" t="str">
        <f t="shared" si="139"/>
        <v>CP221-P VZV Pre-Existing AP</v>
      </c>
      <c r="B1256" t="s">
        <v>74</v>
      </c>
      <c r="C1256" t="str">
        <f t="shared" si="133"/>
        <v>Goodyear</v>
      </c>
      <c r="D1256" t="str">
        <f t="shared" si="134"/>
        <v>Y</v>
      </c>
      <c r="E1256" t="s">
        <v>627</v>
      </c>
      <c r="F1256" t="str">
        <f t="shared" si="135"/>
        <v>P VZV Pre-Existing AP</v>
      </c>
      <c r="G1256" t="str">
        <f t="shared" si="136"/>
        <v>Specialty</v>
      </c>
      <c r="H1256" t="s">
        <v>495</v>
      </c>
      <c r="I1256" t="str">
        <f t="shared" si="137"/>
        <v>RETURN - 1st don of the week -STD</v>
      </c>
      <c r="J1256" t="s">
        <v>579</v>
      </c>
      <c r="K1256" s="5">
        <v>60</v>
      </c>
      <c r="L1256" t="str">
        <f>Table_DataFromNL[[#This Row],[PROFILECODE]]&amp;"-"&amp;Table_DataFromNL[[#This Row],[RULENAME]]</f>
        <v>CP221-P VZV Pre-Existing AP</v>
      </c>
      <c r="M1256" t="str">
        <f t="shared" si="138"/>
        <v>CP221-P VZV Pre-Existing AP</v>
      </c>
    </row>
    <row r="1257" spans="1:13" x14ac:dyDescent="0.25">
      <c r="A1257" t="str">
        <f t="shared" si="139"/>
        <v>CP221-P VZV Standard</v>
      </c>
      <c r="B1257" t="s">
        <v>74</v>
      </c>
      <c r="C1257" t="str">
        <f t="shared" si="133"/>
        <v>Goodyear</v>
      </c>
      <c r="D1257" t="str">
        <f t="shared" si="134"/>
        <v>Y</v>
      </c>
      <c r="E1257" t="s">
        <v>627</v>
      </c>
      <c r="F1257" t="str">
        <f t="shared" si="135"/>
        <v>P VZV Standard</v>
      </c>
      <c r="G1257" t="str">
        <f t="shared" si="136"/>
        <v>Specialty</v>
      </c>
      <c r="H1257" t="s">
        <v>496</v>
      </c>
      <c r="I1257" t="str">
        <f t="shared" si="137"/>
        <v>RETURN - 1st don of the week -STD</v>
      </c>
      <c r="J1257" t="s">
        <v>579</v>
      </c>
      <c r="K1257" s="5">
        <v>60</v>
      </c>
      <c r="L1257" t="str">
        <f>Table_DataFromNL[[#This Row],[PROFILECODE]]&amp;"-"&amp;Table_DataFromNL[[#This Row],[RULENAME]]</f>
        <v>CP221-P VZV Standard</v>
      </c>
      <c r="M1257" t="str">
        <f t="shared" si="138"/>
        <v>CP221-P VZV Standard</v>
      </c>
    </row>
    <row r="1258" spans="1:13" x14ac:dyDescent="0.25">
      <c r="A1258" t="str">
        <f t="shared" si="139"/>
        <v>CP221-P Vaccinia AP Standard</v>
      </c>
      <c r="B1258" t="s">
        <v>74</v>
      </c>
      <c r="C1258" t="str">
        <f t="shared" si="133"/>
        <v>Goodyear</v>
      </c>
      <c r="D1258" t="str">
        <f t="shared" si="134"/>
        <v>Y</v>
      </c>
      <c r="E1258" t="s">
        <v>627</v>
      </c>
      <c r="F1258" t="str">
        <f t="shared" si="135"/>
        <v>P Vaccinia AP Standard</v>
      </c>
      <c r="G1258" t="str">
        <f t="shared" si="136"/>
        <v>Specialty</v>
      </c>
      <c r="H1258" t="s">
        <v>475</v>
      </c>
      <c r="I1258">
        <f t="shared" si="137"/>
        <v>0</v>
      </c>
      <c r="J1258" t="s">
        <v>579</v>
      </c>
      <c r="K1258" s="5">
        <v>100</v>
      </c>
      <c r="L1258" t="str">
        <f>Table_DataFromNL[[#This Row],[PROFILECODE]]&amp;"-"&amp;Table_DataFromNL[[#This Row],[RULENAME]]</f>
        <v>CP221-P Vaccinia AP Standard</v>
      </c>
      <c r="M1258" t="str">
        <f t="shared" si="138"/>
        <v>CP221-P Vaccinia AP Standard</v>
      </c>
    </row>
    <row r="1259" spans="1:13" x14ac:dyDescent="0.25">
      <c r="A1259" t="str">
        <f t="shared" si="139"/>
        <v>CP221-P Vaccinia Standard</v>
      </c>
      <c r="B1259" t="s">
        <v>74</v>
      </c>
      <c r="C1259" t="str">
        <f t="shared" si="133"/>
        <v>Goodyear</v>
      </c>
      <c r="D1259" t="str">
        <f t="shared" si="134"/>
        <v>Y</v>
      </c>
      <c r="E1259" t="s">
        <v>627</v>
      </c>
      <c r="F1259" t="str">
        <f t="shared" si="135"/>
        <v>P Vaccinia Standard</v>
      </c>
      <c r="G1259" t="str">
        <f t="shared" si="136"/>
        <v>Specialty</v>
      </c>
      <c r="H1259" t="s">
        <v>476</v>
      </c>
      <c r="I1259">
        <f t="shared" si="137"/>
        <v>0</v>
      </c>
      <c r="J1259" t="s">
        <v>579</v>
      </c>
      <c r="K1259" s="5">
        <v>100</v>
      </c>
      <c r="L1259" t="str">
        <f>Table_DataFromNL[[#This Row],[PROFILECODE]]&amp;"-"&amp;Table_DataFromNL[[#This Row],[RULENAME]]</f>
        <v>CP221-P Vaccinia Standard</v>
      </c>
      <c r="M1259" t="str">
        <f t="shared" si="138"/>
        <v>CP221-P Vaccinia Standard</v>
      </c>
    </row>
    <row r="1260" spans="1:13" x14ac:dyDescent="0.25">
      <c r="A1260" t="str">
        <f t="shared" si="139"/>
        <v>CP221-PVZV Pre-Existing Standard</v>
      </c>
      <c r="B1260" t="s">
        <v>74</v>
      </c>
      <c r="C1260" t="str">
        <f t="shared" si="133"/>
        <v>Goodyear</v>
      </c>
      <c r="D1260" t="str">
        <f t="shared" si="134"/>
        <v>Y</v>
      </c>
      <c r="E1260" t="s">
        <v>627</v>
      </c>
      <c r="F1260" t="str">
        <f t="shared" si="135"/>
        <v>PVZV Pre-Existing Standard</v>
      </c>
      <c r="G1260" t="str">
        <f t="shared" si="136"/>
        <v>Specialty</v>
      </c>
      <c r="H1260" t="s">
        <v>497</v>
      </c>
      <c r="I1260" t="str">
        <f t="shared" si="137"/>
        <v>RETURN - 1st don of the week -STD</v>
      </c>
      <c r="J1260" t="s">
        <v>579</v>
      </c>
      <c r="K1260" s="5">
        <v>60</v>
      </c>
      <c r="L1260" t="str">
        <f>Table_DataFromNL[[#This Row],[PROFILECODE]]&amp;"-"&amp;Table_DataFromNL[[#This Row],[RULENAME]]</f>
        <v>CP221-PVZV Pre-Existing Standard</v>
      </c>
      <c r="M1260" t="str">
        <f t="shared" si="138"/>
        <v>CP221-PVZV Pre-Existing Standard</v>
      </c>
    </row>
    <row r="1261" spans="1:13" x14ac:dyDescent="0.25">
      <c r="A1261" t="str">
        <f t="shared" si="139"/>
        <v>CP573-1st Responder-Medical</v>
      </c>
      <c r="B1261" t="s">
        <v>319</v>
      </c>
      <c r="C1261" t="str">
        <f t="shared" si="133"/>
        <v>Grand Junction</v>
      </c>
      <c r="D1261" t="str">
        <f t="shared" si="134"/>
        <v>Y</v>
      </c>
      <c r="E1261" t="s">
        <v>628</v>
      </c>
      <c r="F1261" t="str">
        <f t="shared" si="135"/>
        <v>1st Responder-Medical</v>
      </c>
      <c r="G1261">
        <f t="shared" si="136"/>
        <v>0</v>
      </c>
      <c r="H1261" t="s">
        <v>545</v>
      </c>
      <c r="I1261">
        <f t="shared" si="137"/>
        <v>0</v>
      </c>
      <c r="J1261" t="s">
        <v>546</v>
      </c>
      <c r="K1261" s="5">
        <v>5</v>
      </c>
      <c r="L1261" t="str">
        <f>Table_DataFromNL[[#This Row],[PROFILECODE]]&amp;"-"&amp;Table_DataFromNL[[#This Row],[RULENAME]]</f>
        <v>CP573-1st Responder-Medical</v>
      </c>
      <c r="M1261" t="e">
        <f t="shared" si="138"/>
        <v>#N/A</v>
      </c>
    </row>
    <row r="1262" spans="1:13" x14ac:dyDescent="0.25">
      <c r="A1262" t="str">
        <f t="shared" si="139"/>
        <v>CP573-RETURN - 2nd don of the week -BONUS</v>
      </c>
      <c r="B1262" t="s">
        <v>319</v>
      </c>
      <c r="C1262" t="str">
        <f t="shared" si="133"/>
        <v>Grand Junction</v>
      </c>
      <c r="D1262" t="str">
        <f t="shared" si="134"/>
        <v>Y</v>
      </c>
      <c r="E1262" t="s">
        <v>628</v>
      </c>
      <c r="F1262" t="str">
        <f t="shared" si="135"/>
        <v>RETURN - 2nd don of the week -BONUS</v>
      </c>
      <c r="G1262" t="str">
        <f t="shared" si="136"/>
        <v>Marketing</v>
      </c>
      <c r="H1262" t="s">
        <v>550</v>
      </c>
      <c r="I1262">
        <f t="shared" si="137"/>
        <v>26</v>
      </c>
      <c r="J1262" t="s">
        <v>546</v>
      </c>
      <c r="K1262" s="5">
        <v>30</v>
      </c>
      <c r="L1262" t="str">
        <f>Table_DataFromNL[[#This Row],[PROFILECODE]]&amp;"-"&amp;Table_DataFromNL[[#This Row],[RULENAME]]</f>
        <v>CP573-2X Week P NSP NS</v>
      </c>
      <c r="M1262" t="str">
        <f t="shared" si="138"/>
        <v>CP573-RETURN - 2nd don of the week -BONUS</v>
      </c>
    </row>
    <row r="1263" spans="1:13" x14ac:dyDescent="0.25">
      <c r="A1263" t="str">
        <f t="shared" si="139"/>
        <v>CP573-RETURN - 2nd don of the week -BONUS</v>
      </c>
      <c r="B1263" t="s">
        <v>319</v>
      </c>
      <c r="C1263" t="str">
        <f t="shared" si="133"/>
        <v>Grand Junction</v>
      </c>
      <c r="D1263" t="str">
        <f t="shared" si="134"/>
        <v>Y</v>
      </c>
      <c r="E1263" t="s">
        <v>628</v>
      </c>
      <c r="F1263" t="str">
        <f t="shared" si="135"/>
        <v>RETURN - 2nd don of the week -BONUS</v>
      </c>
      <c r="G1263" t="str">
        <f t="shared" si="136"/>
        <v>Marketing</v>
      </c>
      <c r="H1263" t="s">
        <v>551</v>
      </c>
      <c r="I1263" t="str">
        <f t="shared" si="137"/>
        <v>RETURN - 2nd don of the week -BONUS</v>
      </c>
      <c r="J1263" t="s">
        <v>546</v>
      </c>
      <c r="K1263" s="5">
        <v>30</v>
      </c>
      <c r="L1263" t="str">
        <f>Table_DataFromNL[[#This Row],[PROFILECODE]]&amp;"-"&amp;Table_DataFromNL[[#This Row],[RULENAME]]</f>
        <v>CP573-2X Week P NSP NS AP</v>
      </c>
      <c r="M1263" t="str">
        <f t="shared" si="138"/>
        <v>CP573-RETURN - 2nd don of the week -BONUS</v>
      </c>
    </row>
    <row r="1264" spans="1:13" x14ac:dyDescent="0.25">
      <c r="A1264" t="str">
        <f t="shared" si="139"/>
        <v>CP573-RETURN - 2nd don of the week -BONUS</v>
      </c>
      <c r="B1264" t="s">
        <v>319</v>
      </c>
      <c r="C1264" t="str">
        <f t="shared" si="133"/>
        <v>Grand Junction</v>
      </c>
      <c r="D1264" t="str">
        <f t="shared" si="134"/>
        <v>Y</v>
      </c>
      <c r="E1264" t="s">
        <v>628</v>
      </c>
      <c r="F1264" t="str">
        <f t="shared" si="135"/>
        <v>RETURN - 2nd don of the week -BONUS</v>
      </c>
      <c r="G1264" t="str">
        <f t="shared" si="136"/>
        <v>Specialty</v>
      </c>
      <c r="H1264" t="s">
        <v>606</v>
      </c>
      <c r="I1264" t="str">
        <f t="shared" si="137"/>
        <v>RETURN - 2nd don of the week -BONUS</v>
      </c>
      <c r="J1264" t="s">
        <v>546</v>
      </c>
      <c r="K1264" s="5">
        <v>30</v>
      </c>
      <c r="L1264" t="str">
        <f>Table_DataFromNL[[#This Row],[PROFILECODE]]&amp;"-"&amp;Table_DataFromNL[[#This Row],[RULENAME]]</f>
        <v>CP573-2X Week P Normal Source PL</v>
      </c>
      <c r="M1264" t="str">
        <f t="shared" si="138"/>
        <v>CP573-RETURN - 2nd don of the week -BONUS</v>
      </c>
    </row>
    <row r="1265" spans="1:13" x14ac:dyDescent="0.25">
      <c r="A1265" t="str">
        <f t="shared" si="139"/>
        <v>CP573-RETURN - 6th don of the month -BONUS</v>
      </c>
      <c r="B1265" t="s">
        <v>319</v>
      </c>
      <c r="C1265" t="str">
        <f t="shared" si="133"/>
        <v>Grand Junction</v>
      </c>
      <c r="D1265" t="str">
        <f t="shared" si="134"/>
        <v>Y</v>
      </c>
      <c r="E1265" t="s">
        <v>628</v>
      </c>
      <c r="F1265" t="str">
        <f t="shared" si="135"/>
        <v>RETURN - 6th don of the month -BONUS</v>
      </c>
      <c r="G1265" t="str">
        <f t="shared" si="136"/>
        <v>Marketing</v>
      </c>
      <c r="H1265" t="s">
        <v>552</v>
      </c>
      <c r="I1265">
        <f t="shared" si="137"/>
        <v>28</v>
      </c>
      <c r="J1265" t="s">
        <v>546</v>
      </c>
      <c r="K1265" s="5">
        <v>30</v>
      </c>
      <c r="L1265" t="str">
        <f>Table_DataFromNL[[#This Row],[PROFILECODE]]&amp;"-"&amp;Table_DataFromNL[[#This Row],[RULENAME]]</f>
        <v>CP573-6X Month</v>
      </c>
      <c r="M1265" t="str">
        <f t="shared" si="138"/>
        <v>CP573-RETURN - 6th don of the month -BONUS</v>
      </c>
    </row>
    <row r="1266" spans="1:13" x14ac:dyDescent="0.25">
      <c r="A1266" t="str">
        <f t="shared" si="139"/>
        <v>CP573-College ID Standard Bonus</v>
      </c>
      <c r="B1266" t="s">
        <v>319</v>
      </c>
      <c r="C1266" t="str">
        <f t="shared" si="133"/>
        <v>Grand Junction</v>
      </c>
      <c r="D1266" t="str">
        <f t="shared" si="134"/>
        <v>Y</v>
      </c>
      <c r="E1266" t="s">
        <v>628</v>
      </c>
      <c r="F1266" t="str">
        <f t="shared" si="135"/>
        <v>College ID Standard Bonus</v>
      </c>
      <c r="G1266">
        <f t="shared" si="136"/>
        <v>0</v>
      </c>
      <c r="H1266" t="s">
        <v>553</v>
      </c>
      <c r="I1266">
        <f t="shared" si="137"/>
        <v>0</v>
      </c>
      <c r="J1266" t="s">
        <v>546</v>
      </c>
      <c r="K1266" s="5">
        <v>5</v>
      </c>
      <c r="L1266" t="str">
        <f>Table_DataFromNL[[#This Row],[PROFILECODE]]&amp;"-"&amp;Table_DataFromNL[[#This Row],[RULENAME]]</f>
        <v>CP573-College ID Standard Bonus</v>
      </c>
      <c r="M1266" t="e">
        <f t="shared" si="138"/>
        <v>#N/A</v>
      </c>
    </row>
    <row r="1267" spans="1:13" x14ac:dyDescent="0.25">
      <c r="A1267" t="str">
        <f t="shared" si="139"/>
        <v>CP573-Military ID</v>
      </c>
      <c r="B1267" t="s">
        <v>319</v>
      </c>
      <c r="C1267" t="str">
        <f t="shared" si="133"/>
        <v>Grand Junction</v>
      </c>
      <c r="D1267" t="str">
        <f t="shared" si="134"/>
        <v>Y</v>
      </c>
      <c r="E1267" t="s">
        <v>628</v>
      </c>
      <c r="F1267" t="str">
        <f t="shared" si="135"/>
        <v>Military ID</v>
      </c>
      <c r="G1267">
        <f t="shared" si="136"/>
        <v>0</v>
      </c>
      <c r="H1267" t="s">
        <v>554</v>
      </c>
      <c r="I1267">
        <f t="shared" si="137"/>
        <v>0</v>
      </c>
      <c r="J1267" t="s">
        <v>546</v>
      </c>
      <c r="K1267" s="5">
        <v>5</v>
      </c>
      <c r="L1267" t="str">
        <f>Table_DataFromNL[[#This Row],[PROFILECODE]]&amp;"-"&amp;Table_DataFromNL[[#This Row],[RULENAME]]</f>
        <v>CP573-Military ID</v>
      </c>
      <c r="M1267" t="e">
        <f t="shared" si="138"/>
        <v>#N/A</v>
      </c>
    </row>
    <row r="1268" spans="1:13" x14ac:dyDescent="0.25">
      <c r="A1268" t="str">
        <f t="shared" si="139"/>
        <v>CP573-NEW DONOR -1st</v>
      </c>
      <c r="B1268" t="s">
        <v>319</v>
      </c>
      <c r="C1268" t="str">
        <f t="shared" si="133"/>
        <v>Grand Junction</v>
      </c>
      <c r="D1268" t="str">
        <f t="shared" si="134"/>
        <v>Y</v>
      </c>
      <c r="E1268" t="s">
        <v>628</v>
      </c>
      <c r="F1268" t="str">
        <f t="shared" si="135"/>
        <v>NEW DONOR -1st</v>
      </c>
      <c r="G1268" t="str">
        <f t="shared" si="136"/>
        <v>Marketing</v>
      </c>
      <c r="H1268" t="s">
        <v>555</v>
      </c>
      <c r="I1268">
        <f t="shared" si="137"/>
        <v>1</v>
      </c>
      <c r="J1268" t="s">
        <v>546</v>
      </c>
      <c r="K1268" s="5">
        <v>100</v>
      </c>
      <c r="L1268" t="str">
        <f>Table_DataFromNL[[#This Row],[PROFILECODE]]&amp;"-"&amp;Table_DataFromNL[[#This Row],[RULENAME]]</f>
        <v>CP573-New Donor 1st Visit-Bonus</v>
      </c>
      <c r="M1268" t="str">
        <f t="shared" si="138"/>
        <v>CP573-NEW DONOR -1st</v>
      </c>
    </row>
    <row r="1269" spans="1:13" x14ac:dyDescent="0.25">
      <c r="A1269" t="str">
        <f t="shared" si="139"/>
        <v>CP573-NEW DONOR -2nd</v>
      </c>
      <c r="B1269" t="s">
        <v>319</v>
      </c>
      <c r="C1269" t="str">
        <f t="shared" si="133"/>
        <v>Grand Junction</v>
      </c>
      <c r="D1269" t="str">
        <f t="shared" si="134"/>
        <v>Y</v>
      </c>
      <c r="E1269" t="s">
        <v>628</v>
      </c>
      <c r="F1269" t="str">
        <f t="shared" si="135"/>
        <v>NEW DONOR -2nd</v>
      </c>
      <c r="G1269" t="str">
        <f t="shared" si="136"/>
        <v>Marketing</v>
      </c>
      <c r="H1269" t="s">
        <v>556</v>
      </c>
      <c r="I1269">
        <f t="shared" si="137"/>
        <v>2</v>
      </c>
      <c r="J1269" t="s">
        <v>546</v>
      </c>
      <c r="K1269" s="5">
        <v>100</v>
      </c>
      <c r="L1269" t="str">
        <f>Table_DataFromNL[[#This Row],[PROFILECODE]]&amp;"-"&amp;Table_DataFromNL[[#This Row],[RULENAME]]</f>
        <v>CP573-New Donor 2nd Visit-Bonus</v>
      </c>
      <c r="M1269" t="str">
        <f t="shared" si="138"/>
        <v>CP573-NEW DONOR -2nd</v>
      </c>
    </row>
    <row r="1270" spans="1:13" x14ac:dyDescent="0.25">
      <c r="A1270" t="str">
        <f t="shared" si="139"/>
        <v>CP573-NEW DONOR -3rd</v>
      </c>
      <c r="B1270" t="s">
        <v>319</v>
      </c>
      <c r="C1270" t="str">
        <f t="shared" si="133"/>
        <v>Grand Junction</v>
      </c>
      <c r="D1270" t="str">
        <f t="shared" si="134"/>
        <v>Y</v>
      </c>
      <c r="E1270" t="s">
        <v>628</v>
      </c>
      <c r="F1270" t="str">
        <f t="shared" si="135"/>
        <v>NEW DONOR -3rd</v>
      </c>
      <c r="G1270" t="str">
        <f t="shared" si="136"/>
        <v>Marketing</v>
      </c>
      <c r="H1270" t="s">
        <v>557</v>
      </c>
      <c r="I1270">
        <f t="shared" si="137"/>
        <v>3</v>
      </c>
      <c r="J1270" t="s">
        <v>546</v>
      </c>
      <c r="K1270" s="5">
        <v>50</v>
      </c>
      <c r="L1270" t="str">
        <f>Table_DataFromNL[[#This Row],[PROFILECODE]]&amp;"-"&amp;Table_DataFromNL[[#This Row],[RULENAME]]</f>
        <v>CP573-New Donor 3rd Visit-Bonus</v>
      </c>
      <c r="M1270" t="str">
        <f t="shared" si="138"/>
        <v>CP573-NEW DONOR -3rd</v>
      </c>
    </row>
    <row r="1271" spans="1:13" x14ac:dyDescent="0.25">
      <c r="A1271" t="str">
        <f t="shared" si="139"/>
        <v>CP573-NEW DONOR -4th</v>
      </c>
      <c r="B1271" t="s">
        <v>319</v>
      </c>
      <c r="C1271" t="str">
        <f t="shared" si="133"/>
        <v>Grand Junction</v>
      </c>
      <c r="D1271" t="str">
        <f t="shared" si="134"/>
        <v>Y</v>
      </c>
      <c r="E1271" t="s">
        <v>628</v>
      </c>
      <c r="F1271" t="str">
        <f t="shared" si="135"/>
        <v>NEW DONOR -4th</v>
      </c>
      <c r="G1271" t="str">
        <f t="shared" si="136"/>
        <v>Marketing</v>
      </c>
      <c r="H1271" t="s">
        <v>558</v>
      </c>
      <c r="I1271">
        <f t="shared" si="137"/>
        <v>4</v>
      </c>
      <c r="J1271" t="s">
        <v>546</v>
      </c>
      <c r="K1271" s="5">
        <v>100</v>
      </c>
      <c r="L1271" t="str">
        <f>Table_DataFromNL[[#This Row],[PROFILECODE]]&amp;"-"&amp;Table_DataFromNL[[#This Row],[RULENAME]]</f>
        <v>CP573-New Donor 4th Visit-Bonus</v>
      </c>
      <c r="M1271" t="str">
        <f t="shared" si="138"/>
        <v>CP573-NEW DONOR -4th</v>
      </c>
    </row>
    <row r="1272" spans="1:13" x14ac:dyDescent="0.25">
      <c r="A1272" t="str">
        <f t="shared" si="139"/>
        <v>CP573-NEW DONOR -5th</v>
      </c>
      <c r="B1272" t="s">
        <v>319</v>
      </c>
      <c r="C1272" t="str">
        <f t="shared" si="133"/>
        <v>Grand Junction</v>
      </c>
      <c r="D1272" t="str">
        <f t="shared" si="134"/>
        <v>Y</v>
      </c>
      <c r="E1272" t="s">
        <v>628</v>
      </c>
      <c r="F1272" t="str">
        <f t="shared" si="135"/>
        <v>NEW DONOR -5th</v>
      </c>
      <c r="G1272" t="str">
        <f t="shared" si="136"/>
        <v>Marketing</v>
      </c>
      <c r="H1272" t="s">
        <v>559</v>
      </c>
      <c r="I1272">
        <f t="shared" si="137"/>
        <v>5</v>
      </c>
      <c r="J1272" t="s">
        <v>546</v>
      </c>
      <c r="K1272" s="5">
        <v>100</v>
      </c>
      <c r="L1272" t="str">
        <f>Table_DataFromNL[[#This Row],[PROFILECODE]]&amp;"-"&amp;Table_DataFromNL[[#This Row],[RULENAME]]</f>
        <v>CP573-New Donor 5th Visit-Bonus</v>
      </c>
      <c r="M1272" t="str">
        <f t="shared" si="138"/>
        <v>CP573-NEW DONOR -5th</v>
      </c>
    </row>
    <row r="1273" spans="1:13" x14ac:dyDescent="0.25">
      <c r="A1273" t="str">
        <f t="shared" si="139"/>
        <v>CP573-NEW DONOR -6th</v>
      </c>
      <c r="B1273" t="s">
        <v>319</v>
      </c>
      <c r="C1273" t="str">
        <f t="shared" si="133"/>
        <v>Grand Junction</v>
      </c>
      <c r="D1273" t="str">
        <f t="shared" si="134"/>
        <v>Y</v>
      </c>
      <c r="E1273" t="s">
        <v>628</v>
      </c>
      <c r="F1273" t="str">
        <f t="shared" si="135"/>
        <v>NEW DONOR -6th</v>
      </c>
      <c r="G1273" t="str">
        <f t="shared" si="136"/>
        <v>Marketing</v>
      </c>
      <c r="H1273" t="s">
        <v>560</v>
      </c>
      <c r="I1273">
        <f t="shared" si="137"/>
        <v>6</v>
      </c>
      <c r="J1273" t="s">
        <v>546</v>
      </c>
      <c r="K1273" s="5">
        <v>40</v>
      </c>
      <c r="L1273" t="str">
        <f>Table_DataFromNL[[#This Row],[PROFILECODE]]&amp;"-"&amp;Table_DataFromNL[[#This Row],[RULENAME]]</f>
        <v>CP573-New Donor 6th Visit-Bonus</v>
      </c>
      <c r="M1273" t="str">
        <f t="shared" si="138"/>
        <v>CP573-NEW DONOR -6th</v>
      </c>
    </row>
    <row r="1274" spans="1:13" x14ac:dyDescent="0.25">
      <c r="A1274" t="str">
        <f t="shared" si="139"/>
        <v>CP573-NEW DONOR -7th</v>
      </c>
      <c r="B1274" t="s">
        <v>319</v>
      </c>
      <c r="C1274" t="str">
        <f t="shared" si="133"/>
        <v>Grand Junction</v>
      </c>
      <c r="D1274" t="str">
        <f t="shared" si="134"/>
        <v>Y</v>
      </c>
      <c r="E1274" t="s">
        <v>628</v>
      </c>
      <c r="F1274" t="str">
        <f t="shared" si="135"/>
        <v>NEW DONOR -7th</v>
      </c>
      <c r="G1274" t="str">
        <f t="shared" si="136"/>
        <v>Marketing</v>
      </c>
      <c r="H1274" t="s">
        <v>561</v>
      </c>
      <c r="I1274">
        <f t="shared" si="137"/>
        <v>7</v>
      </c>
      <c r="J1274" t="s">
        <v>546</v>
      </c>
      <c r="K1274" s="5">
        <v>40</v>
      </c>
      <c r="L1274" t="str">
        <f>Table_DataFromNL[[#This Row],[PROFILECODE]]&amp;"-"&amp;Table_DataFromNL[[#This Row],[RULENAME]]</f>
        <v>CP573-New Donor 7th Visit-Bonus</v>
      </c>
      <c r="M1274" t="str">
        <f t="shared" si="138"/>
        <v>CP573-NEW DONOR -7th</v>
      </c>
    </row>
    <row r="1275" spans="1:13" x14ac:dyDescent="0.25">
      <c r="A1275" t="str">
        <f t="shared" si="139"/>
        <v>CP573-NEW DONOR -8th</v>
      </c>
      <c r="B1275" t="s">
        <v>319</v>
      </c>
      <c r="C1275" t="str">
        <f t="shared" si="133"/>
        <v>Grand Junction</v>
      </c>
      <c r="D1275" t="str">
        <f t="shared" si="134"/>
        <v>Y</v>
      </c>
      <c r="E1275" t="s">
        <v>628</v>
      </c>
      <c r="F1275" t="str">
        <f t="shared" si="135"/>
        <v>NEW DONOR -8th</v>
      </c>
      <c r="G1275" t="str">
        <f t="shared" si="136"/>
        <v>Marketing</v>
      </c>
      <c r="H1275" t="s">
        <v>562</v>
      </c>
      <c r="I1275">
        <f t="shared" si="137"/>
        <v>8</v>
      </c>
      <c r="J1275" t="s">
        <v>546</v>
      </c>
      <c r="K1275" s="5">
        <v>40</v>
      </c>
      <c r="L1275" t="str">
        <f>Table_DataFromNL[[#This Row],[PROFILECODE]]&amp;"-"&amp;Table_DataFromNL[[#This Row],[RULENAME]]</f>
        <v>CP573-New Donor 8th Visit-Bonus</v>
      </c>
      <c r="M1275" t="str">
        <f t="shared" si="138"/>
        <v>CP573-NEW DONOR -8th</v>
      </c>
    </row>
    <row r="1276" spans="1:13" x14ac:dyDescent="0.25">
      <c r="A1276" t="str">
        <f t="shared" si="139"/>
        <v>CP573-Community</v>
      </c>
      <c r="B1276" t="s">
        <v>319</v>
      </c>
      <c r="C1276" t="str">
        <f t="shared" si="133"/>
        <v>Grand Junction</v>
      </c>
      <c r="D1276" t="str">
        <f t="shared" si="134"/>
        <v>Y</v>
      </c>
      <c r="E1276" t="s">
        <v>628</v>
      </c>
      <c r="F1276" t="str">
        <f t="shared" si="135"/>
        <v>Community</v>
      </c>
      <c r="G1276">
        <f t="shared" si="136"/>
        <v>0</v>
      </c>
      <c r="H1276" t="s">
        <v>563</v>
      </c>
      <c r="I1276">
        <f t="shared" si="137"/>
        <v>0</v>
      </c>
      <c r="J1276" t="s">
        <v>564</v>
      </c>
      <c r="K1276" s="5">
        <v>5</v>
      </c>
      <c r="L1276" t="str">
        <f>Table_DataFromNL[[#This Row],[PROFILECODE]]&amp;"-"&amp;Table_DataFromNL[[#This Row],[RULENAME]]</f>
        <v>CP573-Community</v>
      </c>
      <c r="M1276" t="e">
        <f t="shared" si="138"/>
        <v>#N/A</v>
      </c>
    </row>
    <row r="1277" spans="1:13" x14ac:dyDescent="0.25">
      <c r="A1277" t="str">
        <f t="shared" si="139"/>
        <v>CP573-HANGER_RECRUIT_5USD_once</v>
      </c>
      <c r="B1277" t="s">
        <v>319</v>
      </c>
      <c r="C1277" t="str">
        <f t="shared" si="133"/>
        <v>Grand Junction</v>
      </c>
      <c r="D1277" t="str">
        <f t="shared" si="134"/>
        <v>Y</v>
      </c>
      <c r="E1277" t="s">
        <v>628</v>
      </c>
      <c r="F1277" t="str">
        <f t="shared" si="135"/>
        <v>HANGER_RECRUIT_5USD_once</v>
      </c>
      <c r="G1277">
        <f t="shared" si="136"/>
        <v>0</v>
      </c>
      <c r="H1277" t="s">
        <v>565</v>
      </c>
      <c r="I1277">
        <f t="shared" si="137"/>
        <v>0</v>
      </c>
      <c r="J1277" t="s">
        <v>564</v>
      </c>
      <c r="K1277" s="5">
        <v>5</v>
      </c>
      <c r="L1277" t="str">
        <f>Table_DataFromNL[[#This Row],[PROFILECODE]]&amp;"-"&amp;Table_DataFromNL[[#This Row],[RULENAME]]</f>
        <v>CP573-HANGER_RECRUIT_5USD_once</v>
      </c>
      <c r="M1277" t="e">
        <f t="shared" si="138"/>
        <v>#N/A</v>
      </c>
    </row>
    <row r="1278" spans="1:13" x14ac:dyDescent="0.25">
      <c r="A1278" t="str">
        <f t="shared" si="139"/>
        <v>CP573-Inconv Fee $20-$50-Comment Req'd</v>
      </c>
      <c r="B1278" t="s">
        <v>319</v>
      </c>
      <c r="C1278" t="str">
        <f t="shared" si="133"/>
        <v>Grand Junction</v>
      </c>
      <c r="D1278" t="str">
        <f t="shared" si="134"/>
        <v>Y</v>
      </c>
      <c r="E1278" t="s">
        <v>628</v>
      </c>
      <c r="F1278" t="str">
        <f t="shared" si="135"/>
        <v>Inconv Fee $20-$50-Comment Req'd</v>
      </c>
      <c r="G1278">
        <f t="shared" si="136"/>
        <v>0</v>
      </c>
      <c r="H1278" t="s">
        <v>566</v>
      </c>
      <c r="I1278">
        <f t="shared" si="137"/>
        <v>0</v>
      </c>
      <c r="J1278" t="s">
        <v>564</v>
      </c>
      <c r="K1278" s="5">
        <v>50</v>
      </c>
      <c r="L1278" t="str">
        <f>Table_DataFromNL[[#This Row],[PROFILECODE]]&amp;"-"&amp;Table_DataFromNL[[#This Row],[RULENAME]]</f>
        <v>CP573-Inconv Fee $20-$50-Comment Req'd</v>
      </c>
      <c r="M1278" t="e">
        <f t="shared" si="138"/>
        <v>#N/A</v>
      </c>
    </row>
    <row r="1279" spans="1:13" x14ac:dyDescent="0.25">
      <c r="A1279" t="str">
        <f t="shared" si="139"/>
        <v>CP573-Inconv Fee $5-$20-Comment Req'd</v>
      </c>
      <c r="B1279" t="s">
        <v>319</v>
      </c>
      <c r="C1279" t="str">
        <f t="shared" si="133"/>
        <v>Grand Junction</v>
      </c>
      <c r="D1279" t="str">
        <f t="shared" si="134"/>
        <v>Y</v>
      </c>
      <c r="E1279" t="s">
        <v>628</v>
      </c>
      <c r="F1279" t="str">
        <f t="shared" si="135"/>
        <v>Inconv Fee $5-$20-Comment Req'd</v>
      </c>
      <c r="G1279">
        <f t="shared" si="136"/>
        <v>0</v>
      </c>
      <c r="H1279" t="s">
        <v>567</v>
      </c>
      <c r="I1279">
        <f t="shared" si="137"/>
        <v>0</v>
      </c>
      <c r="J1279" t="s">
        <v>564</v>
      </c>
      <c r="K1279" s="5">
        <v>20</v>
      </c>
      <c r="L1279" t="str">
        <f>Table_DataFromNL[[#This Row],[PROFILECODE]]&amp;"-"&amp;Table_DataFromNL[[#This Row],[RULENAME]]</f>
        <v>CP573-Inconv Fee $5-$20-Comment Req'd</v>
      </c>
      <c r="M1279" t="e">
        <f t="shared" si="138"/>
        <v>#N/A</v>
      </c>
    </row>
    <row r="1280" spans="1:13" x14ac:dyDescent="0.25">
      <c r="A1280" t="str">
        <f t="shared" si="139"/>
        <v>CP573-Inconv Fee$50-$100-Comment Req'd</v>
      </c>
      <c r="B1280" t="s">
        <v>319</v>
      </c>
      <c r="C1280" t="str">
        <f t="shared" si="133"/>
        <v>Grand Junction</v>
      </c>
      <c r="D1280" t="str">
        <f t="shared" si="134"/>
        <v>Y</v>
      </c>
      <c r="E1280" t="s">
        <v>628</v>
      </c>
      <c r="F1280" t="str">
        <f t="shared" si="135"/>
        <v>Inconv Fee$50-$100-Comment Req'd</v>
      </c>
      <c r="G1280">
        <f t="shared" si="136"/>
        <v>0</v>
      </c>
      <c r="H1280" t="s">
        <v>568</v>
      </c>
      <c r="I1280">
        <f t="shared" si="137"/>
        <v>0</v>
      </c>
      <c r="J1280" t="s">
        <v>564</v>
      </c>
      <c r="K1280" s="5">
        <v>100</v>
      </c>
      <c r="L1280" t="str">
        <f>Table_DataFromNL[[#This Row],[PROFILECODE]]&amp;"-"&amp;Table_DataFromNL[[#This Row],[RULENAME]]</f>
        <v>CP573-Inconv Fee$50-$100-Comment Req'd</v>
      </c>
      <c r="M1280" t="e">
        <f t="shared" si="138"/>
        <v>#N/A</v>
      </c>
    </row>
    <row r="1281" spans="1:13" x14ac:dyDescent="0.25">
      <c r="A1281" t="str">
        <f t="shared" si="139"/>
        <v>CP573-NSP_ LAPSEDONOR_50_Twice</v>
      </c>
      <c r="B1281" t="s">
        <v>319</v>
      </c>
      <c r="C1281" t="str">
        <f t="shared" si="133"/>
        <v>Grand Junction</v>
      </c>
      <c r="D1281" t="str">
        <f t="shared" si="134"/>
        <v>Y</v>
      </c>
      <c r="E1281" t="s">
        <v>628</v>
      </c>
      <c r="F1281" t="str">
        <f t="shared" si="135"/>
        <v>NSP_ LAPSEDONOR_50_Twice</v>
      </c>
      <c r="G1281">
        <f t="shared" si="136"/>
        <v>0</v>
      </c>
      <c r="H1281" t="s">
        <v>569</v>
      </c>
      <c r="I1281">
        <f t="shared" si="137"/>
        <v>0</v>
      </c>
      <c r="J1281" t="s">
        <v>564</v>
      </c>
      <c r="K1281" s="5">
        <v>50</v>
      </c>
      <c r="L1281" t="str">
        <f>Table_DataFromNL[[#This Row],[PROFILECODE]]&amp;"-"&amp;Table_DataFromNL[[#This Row],[RULENAME]]</f>
        <v>CP573-NSP_ LAPSEDONOR_50_Twice</v>
      </c>
      <c r="M1281" t="e">
        <f t="shared" si="138"/>
        <v>#N/A</v>
      </c>
    </row>
    <row r="1282" spans="1:13" x14ac:dyDescent="0.25">
      <c r="A1282" t="str">
        <f t="shared" si="139"/>
        <v>CP573-NSP_LD_25_2X</v>
      </c>
      <c r="B1282" t="s">
        <v>319</v>
      </c>
      <c r="C1282" t="str">
        <f t="shared" ref="C1282:C1345" si="140">VLOOKUP(B1282,CenterLU,2,FALSE)</f>
        <v>Grand Junction</v>
      </c>
      <c r="D1282" t="str">
        <f t="shared" ref="D1282:D1345" si="141">VLOOKUP(B1282,CenterLU,3,FALSE)</f>
        <v>Y</v>
      </c>
      <c r="E1282" t="s">
        <v>628</v>
      </c>
      <c r="F1282" t="str">
        <f t="shared" ref="F1282:F1345" si="142">IF(VLOOKUP(H1282,RULENAMELU,3,FALSE)=0,H1282,VLOOKUP(H1282,RULENAMELU,3,FALSE))</f>
        <v>NSP_LD_25_2X</v>
      </c>
      <c r="G1282">
        <f t="shared" ref="G1282:G1345" si="143">VLOOKUP(H1282,RULENAMELU,4,FALSE)</f>
        <v>0</v>
      </c>
      <c r="H1282" t="s">
        <v>570</v>
      </c>
      <c r="I1282">
        <f t="shared" ref="I1282:I1345" si="144">VLOOKUP(H1282,RULENAMELU,5,FALSE)</f>
        <v>0</v>
      </c>
      <c r="J1282" t="s">
        <v>564</v>
      </c>
      <c r="K1282" s="5">
        <v>25</v>
      </c>
      <c r="L1282" t="str">
        <f>Table_DataFromNL[[#This Row],[PROFILECODE]]&amp;"-"&amp;Table_DataFromNL[[#This Row],[RULENAME]]</f>
        <v>CP573-NSP_LD_25_2X</v>
      </c>
      <c r="M1282" t="e">
        <f t="shared" ref="M1282:M1345" si="145">IFERROR(VLOOKUP(A1282,PaychangesLU,1,FALSE),VLOOKUP(A1282,SpecialtyCheckLU,1,FALSE))</f>
        <v>#N/A</v>
      </c>
    </row>
    <row r="1283" spans="1:13" x14ac:dyDescent="0.25">
      <c r="A1283" t="str">
        <f t="shared" ref="A1283:A1346" si="146">B1283&amp;"-"&amp;F1283</f>
        <v>CP573-NSP_LD_50_1X</v>
      </c>
      <c r="B1283" t="s">
        <v>319</v>
      </c>
      <c r="C1283" t="str">
        <f t="shared" si="140"/>
        <v>Grand Junction</v>
      </c>
      <c r="D1283" t="str">
        <f t="shared" si="141"/>
        <v>Y</v>
      </c>
      <c r="E1283" t="s">
        <v>628</v>
      </c>
      <c r="F1283" t="str">
        <f t="shared" si="142"/>
        <v>NSP_LD_50_1X</v>
      </c>
      <c r="G1283">
        <f t="shared" si="143"/>
        <v>0</v>
      </c>
      <c r="H1283" t="s">
        <v>571</v>
      </c>
      <c r="I1283">
        <f t="shared" si="144"/>
        <v>0</v>
      </c>
      <c r="J1283" t="s">
        <v>564</v>
      </c>
      <c r="K1283" s="5">
        <v>50</v>
      </c>
      <c r="L1283" t="str">
        <f>Table_DataFromNL[[#This Row],[PROFILECODE]]&amp;"-"&amp;Table_DataFromNL[[#This Row],[RULENAME]]</f>
        <v>CP573-NSP_LD_50_1X</v>
      </c>
      <c r="M1283" t="e">
        <f t="shared" si="145"/>
        <v>#N/A</v>
      </c>
    </row>
    <row r="1284" spans="1:13" x14ac:dyDescent="0.25">
      <c r="A1284" t="str">
        <f t="shared" si="146"/>
        <v>CP573-NSP_ORPHAN_100_once</v>
      </c>
      <c r="B1284" t="s">
        <v>319</v>
      </c>
      <c r="C1284" t="str">
        <f t="shared" si="140"/>
        <v>Grand Junction</v>
      </c>
      <c r="D1284" t="str">
        <f t="shared" si="141"/>
        <v>Y</v>
      </c>
      <c r="E1284" t="s">
        <v>628</v>
      </c>
      <c r="F1284" t="str">
        <f t="shared" si="142"/>
        <v>NSP_ORPHAN_100_once</v>
      </c>
      <c r="G1284">
        <f t="shared" si="143"/>
        <v>0</v>
      </c>
      <c r="H1284" t="s">
        <v>572</v>
      </c>
      <c r="I1284">
        <f t="shared" si="144"/>
        <v>0</v>
      </c>
      <c r="J1284" t="s">
        <v>564</v>
      </c>
      <c r="K1284" s="5">
        <v>100</v>
      </c>
      <c r="L1284" t="str">
        <f>Table_DataFromNL[[#This Row],[PROFILECODE]]&amp;"-"&amp;Table_DataFromNL[[#This Row],[RULENAME]]</f>
        <v>CP573-NSP_ORPHAN_100_once</v>
      </c>
      <c r="M1284" t="e">
        <f t="shared" si="145"/>
        <v>#N/A</v>
      </c>
    </row>
    <row r="1285" spans="1:13" x14ac:dyDescent="0.25">
      <c r="A1285" t="str">
        <f t="shared" si="146"/>
        <v>CP573-Restick</v>
      </c>
      <c r="B1285" t="s">
        <v>319</v>
      </c>
      <c r="C1285" t="str">
        <f t="shared" si="140"/>
        <v>Grand Junction</v>
      </c>
      <c r="D1285" t="str">
        <f t="shared" si="141"/>
        <v>Y</v>
      </c>
      <c r="E1285" t="s">
        <v>628</v>
      </c>
      <c r="F1285" t="str">
        <f t="shared" si="142"/>
        <v>Restick</v>
      </c>
      <c r="G1285">
        <f t="shared" si="143"/>
        <v>0</v>
      </c>
      <c r="H1285" t="s">
        <v>573</v>
      </c>
      <c r="I1285">
        <f t="shared" si="144"/>
        <v>0</v>
      </c>
      <c r="J1285" t="s">
        <v>564</v>
      </c>
      <c r="K1285" s="5">
        <v>5</v>
      </c>
      <c r="L1285" t="str">
        <f>Table_DataFromNL[[#This Row],[PROFILECODE]]&amp;"-"&amp;Table_DataFromNL[[#This Row],[RULENAME]]</f>
        <v>CP573-Restick</v>
      </c>
      <c r="M1285" t="e">
        <f t="shared" si="145"/>
        <v>#N/A</v>
      </c>
    </row>
    <row r="1286" spans="1:13" x14ac:dyDescent="0.25">
      <c r="A1286" t="str">
        <f t="shared" si="146"/>
        <v>CP573-SLOW_TEXT_5</v>
      </c>
      <c r="B1286" t="s">
        <v>319</v>
      </c>
      <c r="C1286" t="str">
        <f t="shared" si="140"/>
        <v>Grand Junction</v>
      </c>
      <c r="D1286" t="str">
        <f t="shared" si="141"/>
        <v>Y</v>
      </c>
      <c r="E1286" t="s">
        <v>628</v>
      </c>
      <c r="F1286" t="str">
        <f t="shared" si="142"/>
        <v>SLOW_TEXT_5</v>
      </c>
      <c r="G1286">
        <f t="shared" si="143"/>
        <v>0</v>
      </c>
      <c r="H1286" t="s">
        <v>574</v>
      </c>
      <c r="I1286">
        <f t="shared" si="144"/>
        <v>0</v>
      </c>
      <c r="J1286" t="s">
        <v>564</v>
      </c>
      <c r="K1286" s="5">
        <v>5</v>
      </c>
      <c r="L1286" t="str">
        <f>Table_DataFromNL[[#This Row],[PROFILECODE]]&amp;"-"&amp;Table_DataFromNL[[#This Row],[RULENAME]]</f>
        <v>CP573-SLOW_TEXT_5</v>
      </c>
      <c r="M1286" t="e">
        <f t="shared" si="145"/>
        <v>#N/A</v>
      </c>
    </row>
    <row r="1287" spans="1:13" x14ac:dyDescent="0.25">
      <c r="A1287" t="str">
        <f t="shared" si="146"/>
        <v>CP573-Sample Only</v>
      </c>
      <c r="B1287" t="s">
        <v>319</v>
      </c>
      <c r="C1287" t="str">
        <f t="shared" si="140"/>
        <v>Grand Junction</v>
      </c>
      <c r="D1287" t="str">
        <f t="shared" si="141"/>
        <v>Y</v>
      </c>
      <c r="E1287" t="s">
        <v>628</v>
      </c>
      <c r="F1287" t="str">
        <f t="shared" si="142"/>
        <v>Sample Only</v>
      </c>
      <c r="G1287">
        <f t="shared" si="143"/>
        <v>0</v>
      </c>
      <c r="H1287" t="s">
        <v>575</v>
      </c>
      <c r="I1287">
        <f t="shared" si="144"/>
        <v>0</v>
      </c>
      <c r="J1287" t="s">
        <v>564</v>
      </c>
      <c r="K1287" s="5">
        <v>5</v>
      </c>
      <c r="L1287" t="str">
        <f>Table_DataFromNL[[#This Row],[PROFILECODE]]&amp;"-"&amp;Table_DataFromNL[[#This Row],[RULENAME]]</f>
        <v>CP573-Sample Only</v>
      </c>
      <c r="M1287" t="e">
        <f t="shared" si="145"/>
        <v>#N/A</v>
      </c>
    </row>
    <row r="1288" spans="1:13" x14ac:dyDescent="0.25">
      <c r="A1288" t="str">
        <f t="shared" si="146"/>
        <v>CP573-Unit Below 250 mL</v>
      </c>
      <c r="B1288" t="s">
        <v>319</v>
      </c>
      <c r="C1288" t="str">
        <f t="shared" si="140"/>
        <v>Grand Junction</v>
      </c>
      <c r="D1288" t="str">
        <f t="shared" si="141"/>
        <v>Y</v>
      </c>
      <c r="E1288" t="s">
        <v>628</v>
      </c>
      <c r="F1288" t="str">
        <f t="shared" si="142"/>
        <v>Unit Below 250 mL</v>
      </c>
      <c r="G1288">
        <f t="shared" si="143"/>
        <v>0</v>
      </c>
      <c r="H1288" t="s">
        <v>576</v>
      </c>
      <c r="I1288">
        <f t="shared" si="144"/>
        <v>0</v>
      </c>
      <c r="J1288" t="s">
        <v>564</v>
      </c>
      <c r="K1288" s="5">
        <v>5</v>
      </c>
      <c r="L1288" t="str">
        <f>Table_DataFromNL[[#This Row],[PROFILECODE]]&amp;"-"&amp;Table_DataFromNL[[#This Row],[RULENAME]]</f>
        <v>CP573-Unit Below 250 mL</v>
      </c>
      <c r="M1288" t="e">
        <f t="shared" si="145"/>
        <v>#N/A</v>
      </c>
    </row>
    <row r="1289" spans="1:13" x14ac:dyDescent="0.25">
      <c r="A1289" t="str">
        <f t="shared" si="146"/>
        <v>CP573-Unit above 250 mL/underdraw</v>
      </c>
      <c r="B1289" t="s">
        <v>319</v>
      </c>
      <c r="C1289" t="str">
        <f t="shared" si="140"/>
        <v>Grand Junction</v>
      </c>
      <c r="D1289" t="str">
        <f t="shared" si="141"/>
        <v>Y</v>
      </c>
      <c r="E1289" t="s">
        <v>628</v>
      </c>
      <c r="F1289" t="str">
        <f t="shared" si="142"/>
        <v>Unit above 250 mL/underdraw</v>
      </c>
      <c r="G1289">
        <f t="shared" si="143"/>
        <v>0</v>
      </c>
      <c r="H1289" t="s">
        <v>577</v>
      </c>
      <c r="I1289">
        <f t="shared" si="144"/>
        <v>0</v>
      </c>
      <c r="J1289" t="s">
        <v>564</v>
      </c>
      <c r="K1289" s="5">
        <v>10</v>
      </c>
      <c r="L1289" t="str">
        <f>Table_DataFromNL[[#This Row],[PROFILECODE]]&amp;"-"&amp;Table_DataFromNL[[#This Row],[RULENAME]]</f>
        <v>CP573-Unit above 250 mL/underdraw</v>
      </c>
      <c r="M1289" t="e">
        <f t="shared" si="145"/>
        <v>#N/A</v>
      </c>
    </row>
    <row r="1290" spans="1:13" x14ac:dyDescent="0.25">
      <c r="A1290" t="str">
        <f t="shared" si="146"/>
        <v>CP573-RETURN - Buddy referral  -BONUS</v>
      </c>
      <c r="B1290" t="s">
        <v>319</v>
      </c>
      <c r="C1290" t="str">
        <f t="shared" si="140"/>
        <v>Grand Junction</v>
      </c>
      <c r="D1290" t="str">
        <f t="shared" si="141"/>
        <v>Y</v>
      </c>
      <c r="E1290" t="s">
        <v>628</v>
      </c>
      <c r="F1290" t="str">
        <f t="shared" si="142"/>
        <v>RETURN - Buddy referral  -BONUS</v>
      </c>
      <c r="G1290" t="str">
        <f t="shared" si="143"/>
        <v>Marketing</v>
      </c>
      <c r="H1290" t="s">
        <v>34</v>
      </c>
      <c r="I1290">
        <f t="shared" si="144"/>
        <v>50</v>
      </c>
      <c r="J1290" t="s">
        <v>578</v>
      </c>
      <c r="K1290" s="5">
        <v>50</v>
      </c>
      <c r="L1290" t="str">
        <f>Table_DataFromNL[[#This Row],[PROFILECODE]]&amp;"-"&amp;Table_DataFromNL[[#This Row],[RULENAME]]</f>
        <v>CP573-Referral</v>
      </c>
      <c r="M1290" t="str">
        <f t="shared" si="145"/>
        <v>CP573-RETURN - Buddy referral  -BONUS</v>
      </c>
    </row>
    <row r="1291" spans="1:13" x14ac:dyDescent="0.25">
      <c r="A1291" t="str">
        <f t="shared" si="146"/>
        <v>CP573-P Anti-D Pre-Existing Standard</v>
      </c>
      <c r="B1291" t="s">
        <v>319</v>
      </c>
      <c r="C1291" t="str">
        <f t="shared" si="140"/>
        <v>Grand Junction</v>
      </c>
      <c r="D1291" t="str">
        <f t="shared" si="141"/>
        <v>Y</v>
      </c>
      <c r="E1291" t="s">
        <v>628</v>
      </c>
      <c r="F1291" t="str">
        <f t="shared" si="142"/>
        <v>P Anti-D Pre-Existing Standard</v>
      </c>
      <c r="G1291" t="str">
        <f t="shared" si="143"/>
        <v>Specialty</v>
      </c>
      <c r="H1291" t="s">
        <v>469</v>
      </c>
      <c r="I1291" t="str">
        <f t="shared" si="144"/>
        <v>RETURN - 1st don of the week -STD</v>
      </c>
      <c r="J1291" t="s">
        <v>579</v>
      </c>
      <c r="K1291" s="5">
        <v>50</v>
      </c>
      <c r="L1291" t="str">
        <f>Table_DataFromNL[[#This Row],[PROFILECODE]]&amp;"-"&amp;Table_DataFromNL[[#This Row],[RULENAME]]</f>
        <v>CP573-P Anti-D Pre-Existing Standard</v>
      </c>
      <c r="M1291" t="str">
        <f t="shared" si="145"/>
        <v>CP573-P Anti-D Pre-Existing Standard</v>
      </c>
    </row>
    <row r="1292" spans="1:13" x14ac:dyDescent="0.25">
      <c r="A1292" t="str">
        <f t="shared" si="146"/>
        <v>CP573-RETURN - 1st don of the week -STD</v>
      </c>
      <c r="B1292" t="s">
        <v>319</v>
      </c>
      <c r="C1292" t="str">
        <f t="shared" si="140"/>
        <v>Grand Junction</v>
      </c>
      <c r="D1292" t="str">
        <f t="shared" si="141"/>
        <v>Y</v>
      </c>
      <c r="E1292" t="s">
        <v>628</v>
      </c>
      <c r="F1292" t="str">
        <f t="shared" si="142"/>
        <v>RETURN - 1st don of the week -STD</v>
      </c>
      <c r="G1292" t="str">
        <f t="shared" si="143"/>
        <v>Marketing</v>
      </c>
      <c r="H1292" t="s">
        <v>583</v>
      </c>
      <c r="I1292">
        <f t="shared" si="144"/>
        <v>22</v>
      </c>
      <c r="J1292" t="s">
        <v>579</v>
      </c>
      <c r="K1292" s="5">
        <v>40</v>
      </c>
      <c r="L1292" t="str">
        <f>Table_DataFromNL[[#This Row],[PROFILECODE]]&amp;"-"&amp;Table_DataFromNL[[#This Row],[RULENAME]]</f>
        <v>CP573-P NSP NS AP Standard</v>
      </c>
      <c r="M1292" t="str">
        <f t="shared" si="145"/>
        <v>CP573-RETURN - 1st don of the week -STD</v>
      </c>
    </row>
    <row r="1293" spans="1:13" x14ac:dyDescent="0.25">
      <c r="A1293" t="str">
        <f t="shared" si="146"/>
        <v>CP573-RETURN - 1st don of the week -STD</v>
      </c>
      <c r="B1293" t="s">
        <v>319</v>
      </c>
      <c r="C1293" t="str">
        <f t="shared" si="140"/>
        <v>Grand Junction</v>
      </c>
      <c r="D1293" t="str">
        <f t="shared" si="141"/>
        <v>Y</v>
      </c>
      <c r="E1293" t="s">
        <v>628</v>
      </c>
      <c r="F1293" t="str">
        <f t="shared" si="142"/>
        <v>RETURN - 1st don of the week -STD</v>
      </c>
      <c r="G1293" t="str">
        <f t="shared" si="143"/>
        <v>Marketing</v>
      </c>
      <c r="H1293" t="s">
        <v>584</v>
      </c>
      <c r="I1293">
        <f t="shared" si="144"/>
        <v>23</v>
      </c>
      <c r="J1293" t="s">
        <v>579</v>
      </c>
      <c r="K1293" s="5">
        <v>40</v>
      </c>
      <c r="L1293" t="str">
        <f>Table_DataFromNL[[#This Row],[PROFILECODE]]&amp;"-"&amp;Table_DataFromNL[[#This Row],[RULENAME]]</f>
        <v>CP573-P NSP NS Standard</v>
      </c>
      <c r="M1293" t="str">
        <f t="shared" si="145"/>
        <v>CP573-RETURN - 1st don of the week -STD</v>
      </c>
    </row>
    <row r="1294" spans="1:13" x14ac:dyDescent="0.25">
      <c r="A1294" t="str">
        <f t="shared" si="146"/>
        <v>CP222-1st Responder-Medical</v>
      </c>
      <c r="B1294" t="s">
        <v>142</v>
      </c>
      <c r="C1294" t="str">
        <f t="shared" si="140"/>
        <v>Greenville</v>
      </c>
      <c r="D1294" t="str">
        <f t="shared" si="141"/>
        <v>Y</v>
      </c>
      <c r="E1294" t="s">
        <v>629</v>
      </c>
      <c r="F1294" t="str">
        <f t="shared" si="142"/>
        <v>1st Responder-Medical</v>
      </c>
      <c r="G1294">
        <f t="shared" si="143"/>
        <v>0</v>
      </c>
      <c r="H1294" t="s">
        <v>545</v>
      </c>
      <c r="I1294">
        <f t="shared" si="144"/>
        <v>0</v>
      </c>
      <c r="J1294" t="s">
        <v>546</v>
      </c>
      <c r="K1294" s="5">
        <v>5</v>
      </c>
      <c r="L1294" t="str">
        <f>Table_DataFromNL[[#This Row],[PROFILECODE]]&amp;"-"&amp;Table_DataFromNL[[#This Row],[RULENAME]]</f>
        <v>CP222-1st Responder-Medical</v>
      </c>
      <c r="M1294" t="e">
        <f t="shared" si="145"/>
        <v>#N/A</v>
      </c>
    </row>
    <row r="1295" spans="1:13" x14ac:dyDescent="0.25">
      <c r="A1295" t="str">
        <f t="shared" si="146"/>
        <v>CP222-2X Week P HBS Pre-Existing</v>
      </c>
      <c r="B1295" t="s">
        <v>142</v>
      </c>
      <c r="C1295" t="str">
        <f t="shared" si="140"/>
        <v>Greenville</v>
      </c>
      <c r="D1295" t="str">
        <f t="shared" si="141"/>
        <v>Y</v>
      </c>
      <c r="E1295" t="s">
        <v>629</v>
      </c>
      <c r="F1295" t="str">
        <f t="shared" si="142"/>
        <v>2X Week P HBS Pre-Existing</v>
      </c>
      <c r="G1295" t="str">
        <f t="shared" si="143"/>
        <v>Specialty</v>
      </c>
      <c r="H1295" t="s">
        <v>471</v>
      </c>
      <c r="I1295" t="str">
        <f t="shared" si="144"/>
        <v>RETURN - 2nd don of the week -BONUS</v>
      </c>
      <c r="J1295" t="s">
        <v>546</v>
      </c>
      <c r="K1295" s="5">
        <v>10</v>
      </c>
      <c r="L1295" t="str">
        <f>Table_DataFromNL[[#This Row],[PROFILECODE]]&amp;"-"&amp;Table_DataFromNL[[#This Row],[RULENAME]]</f>
        <v>CP222-2X Week P HBS Pre-Existing</v>
      </c>
      <c r="M1295" t="str">
        <f t="shared" si="145"/>
        <v>CP222-2X Week P HBS Pre-Existing</v>
      </c>
    </row>
    <row r="1296" spans="1:13" x14ac:dyDescent="0.25">
      <c r="A1296" t="str">
        <f t="shared" si="146"/>
        <v>CP222-2X Week P HBS TWINRX</v>
      </c>
      <c r="B1296" t="s">
        <v>142</v>
      </c>
      <c r="C1296" t="str">
        <f t="shared" si="140"/>
        <v>Greenville</v>
      </c>
      <c r="D1296" t="str">
        <f t="shared" si="141"/>
        <v>Y</v>
      </c>
      <c r="E1296" t="s">
        <v>629</v>
      </c>
      <c r="F1296" t="str">
        <f t="shared" si="142"/>
        <v>2X Week P HBS TWINRX</v>
      </c>
      <c r="G1296" t="str">
        <f t="shared" si="143"/>
        <v>Specialty</v>
      </c>
      <c r="H1296" t="s">
        <v>504</v>
      </c>
      <c r="I1296" t="str">
        <f t="shared" si="144"/>
        <v>RETURN - 2nd don of the week -BONUS</v>
      </c>
      <c r="J1296" t="s">
        <v>546</v>
      </c>
      <c r="K1296" s="5">
        <v>10</v>
      </c>
      <c r="L1296" t="str">
        <f>Table_DataFromNL[[#This Row],[PROFILECODE]]&amp;"-"&amp;Table_DataFromNL[[#This Row],[RULENAME]]</f>
        <v>CP222-2X Week P HBS TWINRX</v>
      </c>
      <c r="M1296" t="str">
        <f t="shared" si="145"/>
        <v>CP222-2X Week P HBS TWINRX</v>
      </c>
    </row>
    <row r="1297" spans="1:13" x14ac:dyDescent="0.25">
      <c r="A1297" t="str">
        <f t="shared" si="146"/>
        <v>CP222-2X Week P HBS TWINRX-AP</v>
      </c>
      <c r="B1297" t="s">
        <v>142</v>
      </c>
      <c r="C1297" t="str">
        <f t="shared" si="140"/>
        <v>Greenville</v>
      </c>
      <c r="D1297" t="str">
        <f t="shared" si="141"/>
        <v>Y</v>
      </c>
      <c r="E1297" t="s">
        <v>629</v>
      </c>
      <c r="F1297" t="str">
        <f t="shared" si="142"/>
        <v>2X Week P HBS TWINRX-AP</v>
      </c>
      <c r="G1297" t="str">
        <f t="shared" si="143"/>
        <v>Specialty</v>
      </c>
      <c r="H1297" t="s">
        <v>505</v>
      </c>
      <c r="I1297" t="str">
        <f t="shared" si="144"/>
        <v>RETURN - 2nd don of the week -BONUS</v>
      </c>
      <c r="J1297" t="s">
        <v>546</v>
      </c>
      <c r="K1297" s="5">
        <v>10</v>
      </c>
      <c r="L1297" t="str">
        <f>Table_DataFromNL[[#This Row],[PROFILECODE]]&amp;"-"&amp;Table_DataFromNL[[#This Row],[RULENAME]]</f>
        <v>CP222-2X Week P HBS TWINRX-AP</v>
      </c>
      <c r="M1297" t="str">
        <f t="shared" si="145"/>
        <v>CP222-2X Week P HBS TWINRX-AP</v>
      </c>
    </row>
    <row r="1298" spans="1:13" x14ac:dyDescent="0.25">
      <c r="A1298" t="str">
        <f t="shared" si="146"/>
        <v>CP222-RETURN - 2nd don of the week -BONUS</v>
      </c>
      <c r="B1298" t="s">
        <v>142</v>
      </c>
      <c r="C1298" t="str">
        <f t="shared" si="140"/>
        <v>Greenville</v>
      </c>
      <c r="D1298" t="str">
        <f t="shared" si="141"/>
        <v>Y</v>
      </c>
      <c r="E1298" t="s">
        <v>629</v>
      </c>
      <c r="F1298" t="str">
        <f t="shared" si="142"/>
        <v>RETURN - 2nd don of the week -BONUS</v>
      </c>
      <c r="G1298" t="str">
        <f t="shared" si="143"/>
        <v>Marketing</v>
      </c>
      <c r="H1298" t="s">
        <v>550</v>
      </c>
      <c r="I1298">
        <f t="shared" si="144"/>
        <v>26</v>
      </c>
      <c r="J1298" t="s">
        <v>546</v>
      </c>
      <c r="K1298" s="5">
        <v>10</v>
      </c>
      <c r="L1298" t="str">
        <f>Table_DataFromNL[[#This Row],[PROFILECODE]]&amp;"-"&amp;Table_DataFromNL[[#This Row],[RULENAME]]</f>
        <v>CP222-2X Week P NSP NS</v>
      </c>
      <c r="M1298" t="str">
        <f t="shared" si="145"/>
        <v>CP222-RETURN - 2nd don of the week -BONUS</v>
      </c>
    </row>
    <row r="1299" spans="1:13" x14ac:dyDescent="0.25">
      <c r="A1299" t="str">
        <f t="shared" si="146"/>
        <v>CP222-RETURN - 2nd don of the week -BONUS</v>
      </c>
      <c r="B1299" t="s">
        <v>142</v>
      </c>
      <c r="C1299" t="str">
        <f t="shared" si="140"/>
        <v>Greenville</v>
      </c>
      <c r="D1299" t="str">
        <f t="shared" si="141"/>
        <v>Y</v>
      </c>
      <c r="E1299" t="s">
        <v>629</v>
      </c>
      <c r="F1299" t="str">
        <f t="shared" si="142"/>
        <v>RETURN - 2nd don of the week -BONUS</v>
      </c>
      <c r="G1299" t="str">
        <f t="shared" si="143"/>
        <v>Marketing</v>
      </c>
      <c r="H1299" t="s">
        <v>551</v>
      </c>
      <c r="I1299" t="str">
        <f t="shared" si="144"/>
        <v>RETURN - 2nd don of the week -BONUS</v>
      </c>
      <c r="J1299" t="s">
        <v>546</v>
      </c>
      <c r="K1299" s="5">
        <v>10</v>
      </c>
      <c r="L1299" t="str">
        <f>Table_DataFromNL[[#This Row],[PROFILECODE]]&amp;"-"&amp;Table_DataFromNL[[#This Row],[RULENAME]]</f>
        <v>CP222-2X Week P NSP NS AP</v>
      </c>
      <c r="M1299" t="str">
        <f t="shared" si="145"/>
        <v>CP222-RETURN - 2nd don of the week -BONUS</v>
      </c>
    </row>
    <row r="1300" spans="1:13" x14ac:dyDescent="0.25">
      <c r="A1300" t="str">
        <f t="shared" si="146"/>
        <v>CP222-2X Week P VZV</v>
      </c>
      <c r="B1300" t="s">
        <v>142</v>
      </c>
      <c r="C1300" t="str">
        <f t="shared" si="140"/>
        <v>Greenville</v>
      </c>
      <c r="D1300" t="str">
        <f t="shared" si="141"/>
        <v>Y</v>
      </c>
      <c r="E1300" t="s">
        <v>629</v>
      </c>
      <c r="F1300" t="str">
        <f t="shared" si="142"/>
        <v>2X Week P VZV</v>
      </c>
      <c r="G1300" t="str">
        <f t="shared" si="143"/>
        <v>Specialty</v>
      </c>
      <c r="H1300" t="s">
        <v>488</v>
      </c>
      <c r="I1300" t="str">
        <f t="shared" si="144"/>
        <v>RETURN - 2nd don of the week -BONUS</v>
      </c>
      <c r="J1300" t="s">
        <v>546</v>
      </c>
      <c r="K1300" s="5">
        <v>10</v>
      </c>
      <c r="L1300" t="str">
        <f>Table_DataFromNL[[#This Row],[PROFILECODE]]&amp;"-"&amp;Table_DataFromNL[[#This Row],[RULENAME]]</f>
        <v>CP222-2X Week P VZV</v>
      </c>
      <c r="M1300" t="str">
        <f t="shared" si="145"/>
        <v>CP222-2X Week P VZV</v>
      </c>
    </row>
    <row r="1301" spans="1:13" x14ac:dyDescent="0.25">
      <c r="A1301" t="str">
        <f t="shared" si="146"/>
        <v>CP222-2X Week P VZV AP</v>
      </c>
      <c r="B1301" t="s">
        <v>142</v>
      </c>
      <c r="C1301" t="str">
        <f t="shared" si="140"/>
        <v>Greenville</v>
      </c>
      <c r="D1301" t="str">
        <f t="shared" si="141"/>
        <v>Y</v>
      </c>
      <c r="E1301" t="s">
        <v>629</v>
      </c>
      <c r="F1301" t="str">
        <f t="shared" si="142"/>
        <v>2X Week P VZV AP</v>
      </c>
      <c r="G1301" t="str">
        <f t="shared" si="143"/>
        <v>Specialty</v>
      </c>
      <c r="H1301" t="s">
        <v>489</v>
      </c>
      <c r="I1301" t="str">
        <f t="shared" si="144"/>
        <v>RETURN - 2nd don of the week -BONUS</v>
      </c>
      <c r="J1301" t="s">
        <v>546</v>
      </c>
      <c r="K1301" s="5">
        <v>10</v>
      </c>
      <c r="L1301" t="str">
        <f>Table_DataFromNL[[#This Row],[PROFILECODE]]&amp;"-"&amp;Table_DataFromNL[[#This Row],[RULENAME]]</f>
        <v>CP222-2X Week P VZV AP</v>
      </c>
      <c r="M1301" t="str">
        <f t="shared" si="145"/>
        <v>CP222-2X Week P VZV AP</v>
      </c>
    </row>
    <row r="1302" spans="1:13" x14ac:dyDescent="0.25">
      <c r="A1302" t="str">
        <f t="shared" si="146"/>
        <v>CP222-2X Week P VZV Pre-Existing</v>
      </c>
      <c r="B1302" t="s">
        <v>142</v>
      </c>
      <c r="C1302" t="str">
        <f t="shared" si="140"/>
        <v>Greenville</v>
      </c>
      <c r="D1302" t="str">
        <f t="shared" si="141"/>
        <v>Y</v>
      </c>
      <c r="E1302" t="s">
        <v>629</v>
      </c>
      <c r="F1302" t="str">
        <f t="shared" si="142"/>
        <v>2X Week P VZV Pre-Existing</v>
      </c>
      <c r="G1302" t="str">
        <f t="shared" si="143"/>
        <v>Specialty</v>
      </c>
      <c r="H1302" t="s">
        <v>490</v>
      </c>
      <c r="I1302" t="str">
        <f t="shared" si="144"/>
        <v>RETURN - 2nd don of the week -BONUS</v>
      </c>
      <c r="J1302" t="s">
        <v>546</v>
      </c>
      <c r="K1302" s="5">
        <v>10</v>
      </c>
      <c r="L1302" t="str">
        <f>Table_DataFromNL[[#This Row],[PROFILECODE]]&amp;"-"&amp;Table_DataFromNL[[#This Row],[RULENAME]]</f>
        <v>CP222-2X Week P VZV Pre-Existing</v>
      </c>
      <c r="M1302" t="str">
        <f t="shared" si="145"/>
        <v>CP222-2X Week P VZV Pre-Existing</v>
      </c>
    </row>
    <row r="1303" spans="1:13" x14ac:dyDescent="0.25">
      <c r="A1303" t="str">
        <f t="shared" si="146"/>
        <v>CP222-2X Week P VZV Pre-Existing AP</v>
      </c>
      <c r="B1303" t="s">
        <v>142</v>
      </c>
      <c r="C1303" t="str">
        <f t="shared" si="140"/>
        <v>Greenville</v>
      </c>
      <c r="D1303" t="str">
        <f t="shared" si="141"/>
        <v>Y</v>
      </c>
      <c r="E1303" t="s">
        <v>629</v>
      </c>
      <c r="F1303" t="str">
        <f t="shared" si="142"/>
        <v>2X Week P VZV Pre-Existing AP</v>
      </c>
      <c r="G1303" t="str">
        <f t="shared" si="143"/>
        <v>Specialty</v>
      </c>
      <c r="H1303" t="s">
        <v>491</v>
      </c>
      <c r="I1303" t="str">
        <f t="shared" si="144"/>
        <v>RETURN - 2nd don of the week -BONUS</v>
      </c>
      <c r="J1303" t="s">
        <v>546</v>
      </c>
      <c r="K1303" s="5">
        <v>10</v>
      </c>
      <c r="L1303" t="str">
        <f>Table_DataFromNL[[#This Row],[PROFILECODE]]&amp;"-"&amp;Table_DataFromNL[[#This Row],[RULENAME]]</f>
        <v>CP222-2X Week P VZV Pre-Existing AP</v>
      </c>
      <c r="M1303" t="str">
        <f t="shared" si="145"/>
        <v>CP222-2X Week P VZV Pre-Existing AP</v>
      </c>
    </row>
    <row r="1304" spans="1:13" x14ac:dyDescent="0.25">
      <c r="A1304" t="str">
        <f t="shared" si="146"/>
        <v>CP222-College ID Standard Bonus</v>
      </c>
      <c r="B1304" t="s">
        <v>142</v>
      </c>
      <c r="C1304" t="str">
        <f t="shared" si="140"/>
        <v>Greenville</v>
      </c>
      <c r="D1304" t="str">
        <f t="shared" si="141"/>
        <v>Y</v>
      </c>
      <c r="E1304" t="s">
        <v>629</v>
      </c>
      <c r="F1304" t="str">
        <f t="shared" si="142"/>
        <v>College ID Standard Bonus</v>
      </c>
      <c r="G1304">
        <f t="shared" si="143"/>
        <v>0</v>
      </c>
      <c r="H1304" t="s">
        <v>553</v>
      </c>
      <c r="I1304">
        <f t="shared" si="144"/>
        <v>0</v>
      </c>
      <c r="J1304" t="s">
        <v>546</v>
      </c>
      <c r="K1304" s="5">
        <v>5</v>
      </c>
      <c r="L1304" t="str">
        <f>Table_DataFromNL[[#This Row],[PROFILECODE]]&amp;"-"&amp;Table_DataFromNL[[#This Row],[RULENAME]]</f>
        <v>CP222-College ID Standard Bonus</v>
      </c>
      <c r="M1304" t="e">
        <f t="shared" si="145"/>
        <v>#N/A</v>
      </c>
    </row>
    <row r="1305" spans="1:13" x14ac:dyDescent="0.25">
      <c r="A1305" t="str">
        <f t="shared" si="146"/>
        <v>CP222-Military ID</v>
      </c>
      <c r="B1305" t="s">
        <v>142</v>
      </c>
      <c r="C1305" t="str">
        <f t="shared" si="140"/>
        <v>Greenville</v>
      </c>
      <c r="D1305" t="str">
        <f t="shared" si="141"/>
        <v>Y</v>
      </c>
      <c r="E1305" t="s">
        <v>629</v>
      </c>
      <c r="F1305" t="str">
        <f t="shared" si="142"/>
        <v>Military ID</v>
      </c>
      <c r="G1305">
        <f t="shared" si="143"/>
        <v>0</v>
      </c>
      <c r="H1305" t="s">
        <v>554</v>
      </c>
      <c r="I1305">
        <f t="shared" si="144"/>
        <v>0</v>
      </c>
      <c r="J1305" t="s">
        <v>546</v>
      </c>
      <c r="K1305" s="5">
        <v>5</v>
      </c>
      <c r="L1305" t="str">
        <f>Table_DataFromNL[[#This Row],[PROFILECODE]]&amp;"-"&amp;Table_DataFromNL[[#This Row],[RULENAME]]</f>
        <v>CP222-Military ID</v>
      </c>
      <c r="M1305" t="e">
        <f t="shared" si="145"/>
        <v>#N/A</v>
      </c>
    </row>
    <row r="1306" spans="1:13" x14ac:dyDescent="0.25">
      <c r="A1306" t="str">
        <f t="shared" si="146"/>
        <v>CP222-NEW DONOR -1st</v>
      </c>
      <c r="B1306" t="s">
        <v>142</v>
      </c>
      <c r="C1306" t="str">
        <f t="shared" si="140"/>
        <v>Greenville</v>
      </c>
      <c r="D1306" t="str">
        <f t="shared" si="141"/>
        <v>Y</v>
      </c>
      <c r="E1306" t="s">
        <v>629</v>
      </c>
      <c r="F1306" t="str">
        <f t="shared" si="142"/>
        <v>NEW DONOR -1st</v>
      </c>
      <c r="G1306" t="str">
        <f t="shared" si="143"/>
        <v>Marketing</v>
      </c>
      <c r="H1306" t="s">
        <v>555</v>
      </c>
      <c r="I1306">
        <f t="shared" si="144"/>
        <v>1</v>
      </c>
      <c r="J1306" t="s">
        <v>546</v>
      </c>
      <c r="K1306" s="5">
        <v>60</v>
      </c>
      <c r="L1306" t="str">
        <f>Table_DataFromNL[[#This Row],[PROFILECODE]]&amp;"-"&amp;Table_DataFromNL[[#This Row],[RULENAME]]</f>
        <v>CP222-New Donor 1st Visit-Bonus</v>
      </c>
      <c r="M1306" t="str">
        <f t="shared" si="145"/>
        <v>CP222-NEW DONOR -1st</v>
      </c>
    </row>
    <row r="1307" spans="1:13" x14ac:dyDescent="0.25">
      <c r="A1307" t="str">
        <f t="shared" si="146"/>
        <v>CP222-NEW DONOR -2nd</v>
      </c>
      <c r="B1307" t="s">
        <v>142</v>
      </c>
      <c r="C1307" t="str">
        <f t="shared" si="140"/>
        <v>Greenville</v>
      </c>
      <c r="D1307" t="str">
        <f t="shared" si="141"/>
        <v>Y</v>
      </c>
      <c r="E1307" t="s">
        <v>629</v>
      </c>
      <c r="F1307" t="str">
        <f t="shared" si="142"/>
        <v>NEW DONOR -2nd</v>
      </c>
      <c r="G1307" t="str">
        <f t="shared" si="143"/>
        <v>Marketing</v>
      </c>
      <c r="H1307" t="s">
        <v>556</v>
      </c>
      <c r="I1307">
        <f t="shared" si="144"/>
        <v>2</v>
      </c>
      <c r="J1307" t="s">
        <v>546</v>
      </c>
      <c r="K1307" s="5">
        <v>60</v>
      </c>
      <c r="L1307" t="str">
        <f>Table_DataFromNL[[#This Row],[PROFILECODE]]&amp;"-"&amp;Table_DataFromNL[[#This Row],[RULENAME]]</f>
        <v>CP222-New Donor 2nd Visit-Bonus</v>
      </c>
      <c r="M1307" t="str">
        <f t="shared" si="145"/>
        <v>CP222-NEW DONOR -2nd</v>
      </c>
    </row>
    <row r="1308" spans="1:13" x14ac:dyDescent="0.25">
      <c r="A1308" t="str">
        <f t="shared" si="146"/>
        <v>CP222-NEW DONOR -3rd</v>
      </c>
      <c r="B1308" t="s">
        <v>142</v>
      </c>
      <c r="C1308" t="str">
        <f t="shared" si="140"/>
        <v>Greenville</v>
      </c>
      <c r="D1308" t="str">
        <f t="shared" si="141"/>
        <v>Y</v>
      </c>
      <c r="E1308" t="s">
        <v>629</v>
      </c>
      <c r="F1308" t="str">
        <f t="shared" si="142"/>
        <v>NEW DONOR -3rd</v>
      </c>
      <c r="G1308" t="str">
        <f t="shared" si="143"/>
        <v>Marketing</v>
      </c>
      <c r="H1308" t="s">
        <v>557</v>
      </c>
      <c r="I1308">
        <f t="shared" si="144"/>
        <v>3</v>
      </c>
      <c r="J1308" t="s">
        <v>546</v>
      </c>
      <c r="K1308" s="5">
        <v>60</v>
      </c>
      <c r="L1308" t="str">
        <f>Table_DataFromNL[[#This Row],[PROFILECODE]]&amp;"-"&amp;Table_DataFromNL[[#This Row],[RULENAME]]</f>
        <v>CP222-New Donor 3rd Visit-Bonus</v>
      </c>
      <c r="M1308" t="str">
        <f t="shared" si="145"/>
        <v>CP222-NEW DONOR -3rd</v>
      </c>
    </row>
    <row r="1309" spans="1:13" x14ac:dyDescent="0.25">
      <c r="A1309" t="str">
        <f t="shared" si="146"/>
        <v>CP222-NEW DONOR -4th</v>
      </c>
      <c r="B1309" t="s">
        <v>142</v>
      </c>
      <c r="C1309" t="str">
        <f t="shared" si="140"/>
        <v>Greenville</v>
      </c>
      <c r="D1309" t="str">
        <f t="shared" si="141"/>
        <v>Y</v>
      </c>
      <c r="E1309" t="s">
        <v>629</v>
      </c>
      <c r="F1309" t="str">
        <f t="shared" si="142"/>
        <v>NEW DONOR -4th</v>
      </c>
      <c r="G1309" t="str">
        <f t="shared" si="143"/>
        <v>Marketing</v>
      </c>
      <c r="H1309" t="s">
        <v>558</v>
      </c>
      <c r="I1309">
        <f t="shared" si="144"/>
        <v>4</v>
      </c>
      <c r="J1309" t="s">
        <v>546</v>
      </c>
      <c r="K1309" s="5">
        <v>60</v>
      </c>
      <c r="L1309" t="str">
        <f>Table_DataFromNL[[#This Row],[PROFILECODE]]&amp;"-"&amp;Table_DataFromNL[[#This Row],[RULENAME]]</f>
        <v>CP222-New Donor 4th Visit-Bonus</v>
      </c>
      <c r="M1309" t="str">
        <f t="shared" si="145"/>
        <v>CP222-NEW DONOR -4th</v>
      </c>
    </row>
    <row r="1310" spans="1:13" x14ac:dyDescent="0.25">
      <c r="A1310" t="str">
        <f t="shared" si="146"/>
        <v>CP222-NEW DONOR -5th</v>
      </c>
      <c r="B1310" t="s">
        <v>142</v>
      </c>
      <c r="C1310" t="str">
        <f t="shared" si="140"/>
        <v>Greenville</v>
      </c>
      <c r="D1310" t="str">
        <f t="shared" si="141"/>
        <v>Y</v>
      </c>
      <c r="E1310" t="s">
        <v>629</v>
      </c>
      <c r="F1310" t="str">
        <f t="shared" si="142"/>
        <v>NEW DONOR -5th</v>
      </c>
      <c r="G1310" t="str">
        <f t="shared" si="143"/>
        <v>Marketing</v>
      </c>
      <c r="H1310" t="s">
        <v>559</v>
      </c>
      <c r="I1310">
        <f t="shared" si="144"/>
        <v>5</v>
      </c>
      <c r="J1310" t="s">
        <v>546</v>
      </c>
      <c r="K1310" s="5">
        <v>60</v>
      </c>
      <c r="L1310" t="str">
        <f>Table_DataFromNL[[#This Row],[PROFILECODE]]&amp;"-"&amp;Table_DataFromNL[[#This Row],[RULENAME]]</f>
        <v>CP222-New Donor 5th Visit-Bonus</v>
      </c>
      <c r="M1310" t="str">
        <f t="shared" si="145"/>
        <v>CP222-NEW DONOR -5th</v>
      </c>
    </row>
    <row r="1311" spans="1:13" x14ac:dyDescent="0.25">
      <c r="A1311" t="str">
        <f t="shared" si="146"/>
        <v>CP222-NEW DONOR -6th</v>
      </c>
      <c r="B1311" t="s">
        <v>142</v>
      </c>
      <c r="C1311" t="str">
        <f t="shared" si="140"/>
        <v>Greenville</v>
      </c>
      <c r="D1311" t="str">
        <f t="shared" si="141"/>
        <v>Y</v>
      </c>
      <c r="E1311" t="s">
        <v>629</v>
      </c>
      <c r="F1311" t="str">
        <f t="shared" si="142"/>
        <v>NEW DONOR -6th</v>
      </c>
      <c r="G1311" t="str">
        <f t="shared" si="143"/>
        <v>Marketing</v>
      </c>
      <c r="H1311" t="s">
        <v>560</v>
      </c>
      <c r="I1311">
        <f t="shared" si="144"/>
        <v>6</v>
      </c>
      <c r="J1311" t="s">
        <v>546</v>
      </c>
      <c r="K1311" s="5">
        <v>60</v>
      </c>
      <c r="L1311" t="str">
        <f>Table_DataFromNL[[#This Row],[PROFILECODE]]&amp;"-"&amp;Table_DataFromNL[[#This Row],[RULENAME]]</f>
        <v>CP222-New Donor 6th Visit-Bonus</v>
      </c>
      <c r="M1311" t="str">
        <f t="shared" si="145"/>
        <v>CP222-NEW DONOR -6th</v>
      </c>
    </row>
    <row r="1312" spans="1:13" x14ac:dyDescent="0.25">
      <c r="A1312" t="str">
        <f t="shared" si="146"/>
        <v>CP222-NEW DONOR -7th</v>
      </c>
      <c r="B1312" t="s">
        <v>142</v>
      </c>
      <c r="C1312" t="str">
        <f t="shared" si="140"/>
        <v>Greenville</v>
      </c>
      <c r="D1312" t="str">
        <f t="shared" si="141"/>
        <v>Y</v>
      </c>
      <c r="E1312" t="s">
        <v>629</v>
      </c>
      <c r="F1312" t="str">
        <f t="shared" si="142"/>
        <v>NEW DONOR -7th</v>
      </c>
      <c r="G1312" t="str">
        <f t="shared" si="143"/>
        <v>Marketing</v>
      </c>
      <c r="H1312" t="s">
        <v>561</v>
      </c>
      <c r="I1312">
        <f t="shared" si="144"/>
        <v>7</v>
      </c>
      <c r="J1312" t="s">
        <v>546</v>
      </c>
      <c r="K1312" s="5">
        <v>60</v>
      </c>
      <c r="L1312" t="str">
        <f>Table_DataFromNL[[#This Row],[PROFILECODE]]&amp;"-"&amp;Table_DataFromNL[[#This Row],[RULENAME]]</f>
        <v>CP222-New Donor 7th Visit-Bonus</v>
      </c>
      <c r="M1312" t="str">
        <f t="shared" si="145"/>
        <v>CP222-NEW DONOR -7th</v>
      </c>
    </row>
    <row r="1313" spans="1:13" x14ac:dyDescent="0.25">
      <c r="A1313" t="str">
        <f t="shared" si="146"/>
        <v>CP222-NEW DONOR -8th</v>
      </c>
      <c r="B1313" t="s">
        <v>142</v>
      </c>
      <c r="C1313" t="str">
        <f t="shared" si="140"/>
        <v>Greenville</v>
      </c>
      <c r="D1313" t="str">
        <f t="shared" si="141"/>
        <v>Y</v>
      </c>
      <c r="E1313" t="s">
        <v>629</v>
      </c>
      <c r="F1313" t="str">
        <f t="shared" si="142"/>
        <v>NEW DONOR -8th</v>
      </c>
      <c r="G1313" t="str">
        <f t="shared" si="143"/>
        <v>Marketing</v>
      </c>
      <c r="H1313" t="s">
        <v>562</v>
      </c>
      <c r="I1313">
        <f t="shared" si="144"/>
        <v>8</v>
      </c>
      <c r="J1313" t="s">
        <v>546</v>
      </c>
      <c r="K1313" s="5">
        <v>60</v>
      </c>
      <c r="L1313" t="str">
        <f>Table_DataFromNL[[#This Row],[PROFILECODE]]&amp;"-"&amp;Table_DataFromNL[[#This Row],[RULENAME]]</f>
        <v>CP222-New Donor 8th Visit-Bonus</v>
      </c>
      <c r="M1313" t="str">
        <f t="shared" si="145"/>
        <v>CP222-NEW DONOR -8th</v>
      </c>
    </row>
    <row r="1314" spans="1:13" x14ac:dyDescent="0.25">
      <c r="A1314" t="str">
        <f t="shared" si="146"/>
        <v>CP222-Vaccinia - 1st Donation</v>
      </c>
      <c r="B1314" t="s">
        <v>142</v>
      </c>
      <c r="C1314" t="str">
        <f t="shared" si="140"/>
        <v>Greenville</v>
      </c>
      <c r="D1314" t="str">
        <f t="shared" si="141"/>
        <v>Y</v>
      </c>
      <c r="E1314" t="s">
        <v>629</v>
      </c>
      <c r="F1314" t="str">
        <f t="shared" si="142"/>
        <v>Vaccinia - 1st Donation</v>
      </c>
      <c r="G1314" t="str">
        <f t="shared" si="143"/>
        <v>Specialty</v>
      </c>
      <c r="H1314" t="s">
        <v>477</v>
      </c>
      <c r="I1314">
        <f t="shared" si="144"/>
        <v>0</v>
      </c>
      <c r="J1314" t="s">
        <v>546</v>
      </c>
      <c r="K1314" s="5">
        <v>150</v>
      </c>
      <c r="L1314" t="str">
        <f>Table_DataFromNL[[#This Row],[PROFILECODE]]&amp;"-"&amp;Table_DataFromNL[[#This Row],[RULENAME]]</f>
        <v>CP222-Vaccinia - 1st Donation</v>
      </c>
      <c r="M1314" t="str">
        <f t="shared" si="145"/>
        <v>CP222-Vaccinia - 1st Donation</v>
      </c>
    </row>
    <row r="1315" spans="1:13" x14ac:dyDescent="0.25">
      <c r="A1315" t="str">
        <f t="shared" si="146"/>
        <v>CP222-Vaccinia - 2nd Donation</v>
      </c>
      <c r="B1315" t="s">
        <v>142</v>
      </c>
      <c r="C1315" t="str">
        <f t="shared" si="140"/>
        <v>Greenville</v>
      </c>
      <c r="D1315" t="str">
        <f t="shared" si="141"/>
        <v>Y</v>
      </c>
      <c r="E1315" t="s">
        <v>629</v>
      </c>
      <c r="F1315" t="str">
        <f t="shared" si="142"/>
        <v>Vaccinia - 2nd Donation</v>
      </c>
      <c r="G1315" t="str">
        <f t="shared" si="143"/>
        <v>Specialty</v>
      </c>
      <c r="H1315" t="s">
        <v>478</v>
      </c>
      <c r="I1315">
        <f t="shared" si="144"/>
        <v>0</v>
      </c>
      <c r="J1315" t="s">
        <v>546</v>
      </c>
      <c r="K1315" s="5">
        <v>250</v>
      </c>
      <c r="L1315" t="str">
        <f>Table_DataFromNL[[#This Row],[PROFILECODE]]&amp;"-"&amp;Table_DataFromNL[[#This Row],[RULENAME]]</f>
        <v>CP222-Vaccinia - 2nd Donation</v>
      </c>
      <c r="M1315" t="str">
        <f t="shared" si="145"/>
        <v>CP222-Vaccinia - 2nd Donation</v>
      </c>
    </row>
    <row r="1316" spans="1:13" x14ac:dyDescent="0.25">
      <c r="A1316" t="str">
        <f t="shared" si="146"/>
        <v>CP222-Vaccinia - 3rd Donation</v>
      </c>
      <c r="B1316" t="s">
        <v>142</v>
      </c>
      <c r="C1316" t="str">
        <f t="shared" si="140"/>
        <v>Greenville</v>
      </c>
      <c r="D1316" t="str">
        <f t="shared" si="141"/>
        <v>Y</v>
      </c>
      <c r="E1316" t="s">
        <v>629</v>
      </c>
      <c r="F1316" t="str">
        <f t="shared" si="142"/>
        <v>Vaccinia - 3rd Donation</v>
      </c>
      <c r="G1316" t="str">
        <f t="shared" si="143"/>
        <v>Specialty</v>
      </c>
      <c r="H1316" t="s">
        <v>479</v>
      </c>
      <c r="I1316">
        <f t="shared" si="144"/>
        <v>0</v>
      </c>
      <c r="J1316" t="s">
        <v>546</v>
      </c>
      <c r="K1316" s="5">
        <v>300</v>
      </c>
      <c r="L1316" t="str">
        <f>Table_DataFromNL[[#This Row],[PROFILECODE]]&amp;"-"&amp;Table_DataFromNL[[#This Row],[RULENAME]]</f>
        <v>CP222-Vaccinia - 3rd Donation</v>
      </c>
      <c r="M1316" t="str">
        <f t="shared" si="145"/>
        <v>CP222-Vaccinia - 3rd Donation</v>
      </c>
    </row>
    <row r="1317" spans="1:13" x14ac:dyDescent="0.25">
      <c r="A1317" t="str">
        <f t="shared" si="146"/>
        <v>CP222-Vaccinia - 4th Donation</v>
      </c>
      <c r="B1317" t="s">
        <v>142</v>
      </c>
      <c r="C1317" t="str">
        <f t="shared" si="140"/>
        <v>Greenville</v>
      </c>
      <c r="D1317" t="str">
        <f t="shared" si="141"/>
        <v>Y</v>
      </c>
      <c r="E1317" t="s">
        <v>629</v>
      </c>
      <c r="F1317" t="str">
        <f t="shared" si="142"/>
        <v>Vaccinia - 4th Donation</v>
      </c>
      <c r="G1317" t="str">
        <f t="shared" si="143"/>
        <v>Specialty</v>
      </c>
      <c r="H1317" t="s">
        <v>480</v>
      </c>
      <c r="I1317">
        <f t="shared" si="144"/>
        <v>0</v>
      </c>
      <c r="J1317" t="s">
        <v>546</v>
      </c>
      <c r="K1317" s="5">
        <v>300</v>
      </c>
      <c r="L1317" t="str">
        <f>Table_DataFromNL[[#This Row],[PROFILECODE]]&amp;"-"&amp;Table_DataFromNL[[#This Row],[RULENAME]]</f>
        <v>CP222-Vaccinia - 4th Donation</v>
      </c>
      <c r="M1317" t="str">
        <f t="shared" si="145"/>
        <v>CP222-Vaccinia - 4th Donation</v>
      </c>
    </row>
    <row r="1318" spans="1:13" x14ac:dyDescent="0.25">
      <c r="A1318" t="str">
        <f t="shared" si="146"/>
        <v>CP222-Vaccinia AP - 1st Donation</v>
      </c>
      <c r="B1318" t="s">
        <v>142</v>
      </c>
      <c r="C1318" t="str">
        <f t="shared" si="140"/>
        <v>Greenville</v>
      </c>
      <c r="D1318" t="str">
        <f t="shared" si="141"/>
        <v>Y</v>
      </c>
      <c r="E1318" t="s">
        <v>629</v>
      </c>
      <c r="F1318" t="str">
        <f t="shared" si="142"/>
        <v>Vaccinia AP - 1st Donation</v>
      </c>
      <c r="G1318" t="str">
        <f t="shared" si="143"/>
        <v>Specialty</v>
      </c>
      <c r="H1318" t="s">
        <v>481</v>
      </c>
      <c r="I1318">
        <f t="shared" si="144"/>
        <v>0</v>
      </c>
      <c r="J1318" t="s">
        <v>546</v>
      </c>
      <c r="K1318" s="5">
        <v>150</v>
      </c>
      <c r="L1318" t="str">
        <f>Table_DataFromNL[[#This Row],[PROFILECODE]]&amp;"-"&amp;Table_DataFromNL[[#This Row],[RULENAME]]</f>
        <v>CP222-Vaccinia AP - 1st Donation</v>
      </c>
      <c r="M1318" t="str">
        <f t="shared" si="145"/>
        <v>CP222-Vaccinia AP - 1st Donation</v>
      </c>
    </row>
    <row r="1319" spans="1:13" x14ac:dyDescent="0.25">
      <c r="A1319" t="str">
        <f t="shared" si="146"/>
        <v>CP222-Vaccinia AP - 2nd Donation</v>
      </c>
      <c r="B1319" t="s">
        <v>142</v>
      </c>
      <c r="C1319" t="str">
        <f t="shared" si="140"/>
        <v>Greenville</v>
      </c>
      <c r="D1319" t="str">
        <f t="shared" si="141"/>
        <v>Y</v>
      </c>
      <c r="E1319" t="s">
        <v>629</v>
      </c>
      <c r="F1319" t="str">
        <f t="shared" si="142"/>
        <v>Vaccinia AP - 2nd Donation</v>
      </c>
      <c r="G1319" t="str">
        <f t="shared" si="143"/>
        <v>Specialty</v>
      </c>
      <c r="H1319" t="s">
        <v>482</v>
      </c>
      <c r="I1319">
        <f t="shared" si="144"/>
        <v>0</v>
      </c>
      <c r="J1319" t="s">
        <v>546</v>
      </c>
      <c r="K1319" s="5">
        <v>250</v>
      </c>
      <c r="L1319" t="str">
        <f>Table_DataFromNL[[#This Row],[PROFILECODE]]&amp;"-"&amp;Table_DataFromNL[[#This Row],[RULENAME]]</f>
        <v>CP222-Vaccinia AP - 2nd Donation</v>
      </c>
      <c r="M1319" t="str">
        <f t="shared" si="145"/>
        <v>CP222-Vaccinia AP - 2nd Donation</v>
      </c>
    </row>
    <row r="1320" spans="1:13" x14ac:dyDescent="0.25">
      <c r="A1320" t="str">
        <f t="shared" si="146"/>
        <v>CP222-Vaccinia AP - 3rd Donation</v>
      </c>
      <c r="B1320" t="s">
        <v>142</v>
      </c>
      <c r="C1320" t="str">
        <f t="shared" si="140"/>
        <v>Greenville</v>
      </c>
      <c r="D1320" t="str">
        <f t="shared" si="141"/>
        <v>Y</v>
      </c>
      <c r="E1320" t="s">
        <v>629</v>
      </c>
      <c r="F1320" t="str">
        <f t="shared" si="142"/>
        <v>Vaccinia AP - 3rd Donation</v>
      </c>
      <c r="G1320" t="str">
        <f t="shared" si="143"/>
        <v>Specialty</v>
      </c>
      <c r="H1320" t="s">
        <v>483</v>
      </c>
      <c r="I1320">
        <f t="shared" si="144"/>
        <v>0</v>
      </c>
      <c r="J1320" t="s">
        <v>546</v>
      </c>
      <c r="K1320" s="5">
        <v>300</v>
      </c>
      <c r="L1320" t="str">
        <f>Table_DataFromNL[[#This Row],[PROFILECODE]]&amp;"-"&amp;Table_DataFromNL[[#This Row],[RULENAME]]</f>
        <v>CP222-Vaccinia AP - 3rd Donation</v>
      </c>
      <c r="M1320" t="str">
        <f t="shared" si="145"/>
        <v>CP222-Vaccinia AP - 3rd Donation</v>
      </c>
    </row>
    <row r="1321" spans="1:13" x14ac:dyDescent="0.25">
      <c r="A1321" t="str">
        <f t="shared" si="146"/>
        <v>CP222-Vaccinia AP - 4th Donation</v>
      </c>
      <c r="B1321" t="s">
        <v>142</v>
      </c>
      <c r="C1321" t="str">
        <f t="shared" si="140"/>
        <v>Greenville</v>
      </c>
      <c r="D1321" t="str">
        <f t="shared" si="141"/>
        <v>Y</v>
      </c>
      <c r="E1321" t="s">
        <v>629</v>
      </c>
      <c r="F1321" t="str">
        <f t="shared" si="142"/>
        <v>Vaccinia AP - 4th Donation</v>
      </c>
      <c r="G1321" t="str">
        <f t="shared" si="143"/>
        <v>Specialty</v>
      </c>
      <c r="H1321" t="s">
        <v>484</v>
      </c>
      <c r="I1321">
        <f t="shared" si="144"/>
        <v>0</v>
      </c>
      <c r="J1321" t="s">
        <v>546</v>
      </c>
      <c r="K1321" s="5">
        <v>300</v>
      </c>
      <c r="L1321" t="str">
        <f>Table_DataFromNL[[#This Row],[PROFILECODE]]&amp;"-"&amp;Table_DataFromNL[[#This Row],[RULENAME]]</f>
        <v>CP222-Vaccinia AP - 4th Donation</v>
      </c>
      <c r="M1321" t="str">
        <f t="shared" si="145"/>
        <v>CP222-Vaccinia AP - 4th Donation</v>
      </c>
    </row>
    <row r="1322" spans="1:13" x14ac:dyDescent="0.25">
      <c r="A1322" t="str">
        <f t="shared" si="146"/>
        <v>CP222-Community</v>
      </c>
      <c r="B1322" t="s">
        <v>142</v>
      </c>
      <c r="C1322" t="str">
        <f t="shared" si="140"/>
        <v>Greenville</v>
      </c>
      <c r="D1322" t="str">
        <f t="shared" si="141"/>
        <v>Y</v>
      </c>
      <c r="E1322" t="s">
        <v>629</v>
      </c>
      <c r="F1322" t="str">
        <f t="shared" si="142"/>
        <v>Community</v>
      </c>
      <c r="G1322">
        <f t="shared" si="143"/>
        <v>0</v>
      </c>
      <c r="H1322" t="s">
        <v>563</v>
      </c>
      <c r="I1322">
        <f t="shared" si="144"/>
        <v>0</v>
      </c>
      <c r="J1322" t="s">
        <v>564</v>
      </c>
      <c r="K1322" s="5">
        <v>5</v>
      </c>
      <c r="L1322" t="str">
        <f>Table_DataFromNL[[#This Row],[PROFILECODE]]&amp;"-"&amp;Table_DataFromNL[[#This Row],[RULENAME]]</f>
        <v>CP222-Community</v>
      </c>
      <c r="M1322" t="e">
        <f t="shared" si="145"/>
        <v>#N/A</v>
      </c>
    </row>
    <row r="1323" spans="1:13" x14ac:dyDescent="0.25">
      <c r="A1323" t="str">
        <f t="shared" si="146"/>
        <v>CP222-HANGER_RECRUIT_5USD_once</v>
      </c>
      <c r="B1323" t="s">
        <v>142</v>
      </c>
      <c r="C1323" t="str">
        <f t="shared" si="140"/>
        <v>Greenville</v>
      </c>
      <c r="D1323" t="str">
        <f t="shared" si="141"/>
        <v>Y</v>
      </c>
      <c r="E1323" t="s">
        <v>629</v>
      </c>
      <c r="F1323" t="str">
        <f t="shared" si="142"/>
        <v>HANGER_RECRUIT_5USD_once</v>
      </c>
      <c r="G1323">
        <f t="shared" si="143"/>
        <v>0</v>
      </c>
      <c r="H1323" t="s">
        <v>565</v>
      </c>
      <c r="I1323">
        <f t="shared" si="144"/>
        <v>0</v>
      </c>
      <c r="J1323" t="s">
        <v>564</v>
      </c>
      <c r="K1323" s="5">
        <v>5</v>
      </c>
      <c r="L1323" t="str">
        <f>Table_DataFromNL[[#This Row],[PROFILECODE]]&amp;"-"&amp;Table_DataFromNL[[#This Row],[RULENAME]]</f>
        <v>CP222-HANGER_RECRUIT_5USD_once</v>
      </c>
      <c r="M1323" t="e">
        <f t="shared" si="145"/>
        <v>#N/A</v>
      </c>
    </row>
    <row r="1324" spans="1:13" x14ac:dyDescent="0.25">
      <c r="A1324" t="str">
        <f t="shared" si="146"/>
        <v>CP222-Immunization Boost Payment</v>
      </c>
      <c r="B1324" t="s">
        <v>142</v>
      </c>
      <c r="C1324" t="str">
        <f t="shared" si="140"/>
        <v>Greenville</v>
      </c>
      <c r="D1324" t="str">
        <f t="shared" si="141"/>
        <v>Y</v>
      </c>
      <c r="E1324" t="s">
        <v>629</v>
      </c>
      <c r="F1324" t="str">
        <f t="shared" si="142"/>
        <v>Immunization Boost Payment</v>
      </c>
      <c r="G1324">
        <f t="shared" si="143"/>
        <v>0</v>
      </c>
      <c r="H1324" t="s">
        <v>598</v>
      </c>
      <c r="I1324">
        <f t="shared" si="144"/>
        <v>0</v>
      </c>
      <c r="J1324" t="s">
        <v>564</v>
      </c>
      <c r="K1324" s="5">
        <v>50</v>
      </c>
      <c r="L1324" t="str">
        <f>Table_DataFromNL[[#This Row],[PROFILECODE]]&amp;"-"&amp;Table_DataFromNL[[#This Row],[RULENAME]]</f>
        <v>CP222-Immunization Boost Payment</v>
      </c>
      <c r="M1324" t="e">
        <f t="shared" si="145"/>
        <v>#N/A</v>
      </c>
    </row>
    <row r="1325" spans="1:13" x14ac:dyDescent="0.25">
      <c r="A1325" t="str">
        <f t="shared" si="146"/>
        <v>CP222-Immunization Series Payment</v>
      </c>
      <c r="B1325" t="s">
        <v>142</v>
      </c>
      <c r="C1325" t="str">
        <f t="shared" si="140"/>
        <v>Greenville</v>
      </c>
      <c r="D1325" t="str">
        <f t="shared" si="141"/>
        <v>Y</v>
      </c>
      <c r="E1325" t="s">
        <v>629</v>
      </c>
      <c r="F1325" t="str">
        <f t="shared" si="142"/>
        <v>Immunization Series Payment</v>
      </c>
      <c r="G1325">
        <f t="shared" si="143"/>
        <v>0</v>
      </c>
      <c r="H1325" t="s">
        <v>599</v>
      </c>
      <c r="I1325">
        <f t="shared" si="144"/>
        <v>0</v>
      </c>
      <c r="J1325" t="s">
        <v>564</v>
      </c>
      <c r="K1325" s="5">
        <v>100</v>
      </c>
      <c r="L1325" t="str">
        <f>Table_DataFromNL[[#This Row],[PROFILECODE]]&amp;"-"&amp;Table_DataFromNL[[#This Row],[RULENAME]]</f>
        <v>CP222-Immunization Series Payment</v>
      </c>
      <c r="M1325" t="e">
        <f t="shared" si="145"/>
        <v>#N/A</v>
      </c>
    </row>
    <row r="1326" spans="1:13" x14ac:dyDescent="0.25">
      <c r="A1326" t="str">
        <f t="shared" si="146"/>
        <v>CP222-Inconv Fee $20-$50-Comment Req'd</v>
      </c>
      <c r="B1326" t="s">
        <v>142</v>
      </c>
      <c r="C1326" t="str">
        <f t="shared" si="140"/>
        <v>Greenville</v>
      </c>
      <c r="D1326" t="str">
        <f t="shared" si="141"/>
        <v>Y</v>
      </c>
      <c r="E1326" t="s">
        <v>629</v>
      </c>
      <c r="F1326" t="str">
        <f t="shared" si="142"/>
        <v>Inconv Fee $20-$50-Comment Req'd</v>
      </c>
      <c r="G1326">
        <f t="shared" si="143"/>
        <v>0</v>
      </c>
      <c r="H1326" t="s">
        <v>566</v>
      </c>
      <c r="I1326">
        <f t="shared" si="144"/>
        <v>0</v>
      </c>
      <c r="J1326" t="s">
        <v>564</v>
      </c>
      <c r="K1326" s="5">
        <v>50</v>
      </c>
      <c r="L1326" t="str">
        <f>Table_DataFromNL[[#This Row],[PROFILECODE]]&amp;"-"&amp;Table_DataFromNL[[#This Row],[RULENAME]]</f>
        <v>CP222-Inconv Fee $20-$50-Comment Req'd</v>
      </c>
      <c r="M1326" t="e">
        <f t="shared" si="145"/>
        <v>#N/A</v>
      </c>
    </row>
    <row r="1327" spans="1:13" x14ac:dyDescent="0.25">
      <c r="A1327" t="str">
        <f t="shared" si="146"/>
        <v>CP222-Inconv Fee $5-$20-Comment Req'd</v>
      </c>
      <c r="B1327" t="s">
        <v>142</v>
      </c>
      <c r="C1327" t="str">
        <f t="shared" si="140"/>
        <v>Greenville</v>
      </c>
      <c r="D1327" t="str">
        <f t="shared" si="141"/>
        <v>Y</v>
      </c>
      <c r="E1327" t="s">
        <v>629</v>
      </c>
      <c r="F1327" t="str">
        <f t="shared" si="142"/>
        <v>Inconv Fee $5-$20-Comment Req'd</v>
      </c>
      <c r="G1327">
        <f t="shared" si="143"/>
        <v>0</v>
      </c>
      <c r="H1327" t="s">
        <v>567</v>
      </c>
      <c r="I1327">
        <f t="shared" si="144"/>
        <v>0</v>
      </c>
      <c r="J1327" t="s">
        <v>564</v>
      </c>
      <c r="K1327" s="5">
        <v>20</v>
      </c>
      <c r="L1327" t="str">
        <f>Table_DataFromNL[[#This Row],[PROFILECODE]]&amp;"-"&amp;Table_DataFromNL[[#This Row],[RULENAME]]</f>
        <v>CP222-Inconv Fee $5-$20-Comment Req'd</v>
      </c>
      <c r="M1327" t="e">
        <f t="shared" si="145"/>
        <v>#N/A</v>
      </c>
    </row>
    <row r="1328" spans="1:13" x14ac:dyDescent="0.25">
      <c r="A1328" t="str">
        <f t="shared" si="146"/>
        <v>CP222-Inconv Fee$50-$100-Comment Req'd</v>
      </c>
      <c r="B1328" t="s">
        <v>142</v>
      </c>
      <c r="C1328" t="str">
        <f t="shared" si="140"/>
        <v>Greenville</v>
      </c>
      <c r="D1328" t="str">
        <f t="shared" si="141"/>
        <v>Y</v>
      </c>
      <c r="E1328" t="s">
        <v>629</v>
      </c>
      <c r="F1328" t="str">
        <f t="shared" si="142"/>
        <v>Inconv Fee$50-$100-Comment Req'd</v>
      </c>
      <c r="G1328">
        <f t="shared" si="143"/>
        <v>0</v>
      </c>
      <c r="H1328" t="s">
        <v>568</v>
      </c>
      <c r="I1328">
        <f t="shared" si="144"/>
        <v>0</v>
      </c>
      <c r="J1328" t="s">
        <v>564</v>
      </c>
      <c r="K1328" s="5">
        <v>100</v>
      </c>
      <c r="L1328" t="str">
        <f>Table_DataFromNL[[#This Row],[PROFILECODE]]&amp;"-"&amp;Table_DataFromNL[[#This Row],[RULENAME]]</f>
        <v>CP222-Inconv Fee$50-$100-Comment Req'd</v>
      </c>
      <c r="M1328" t="e">
        <f t="shared" si="145"/>
        <v>#N/A</v>
      </c>
    </row>
    <row r="1329" spans="1:13" x14ac:dyDescent="0.25">
      <c r="A1329" t="str">
        <f t="shared" si="146"/>
        <v>CP222-NSP_ LAPSEDONOR_50_Twice</v>
      </c>
      <c r="B1329" t="s">
        <v>142</v>
      </c>
      <c r="C1329" t="str">
        <f t="shared" si="140"/>
        <v>Greenville</v>
      </c>
      <c r="D1329" t="str">
        <f t="shared" si="141"/>
        <v>Y</v>
      </c>
      <c r="E1329" t="s">
        <v>629</v>
      </c>
      <c r="F1329" t="str">
        <f t="shared" si="142"/>
        <v>NSP_ LAPSEDONOR_50_Twice</v>
      </c>
      <c r="G1329">
        <f t="shared" si="143"/>
        <v>0</v>
      </c>
      <c r="H1329" t="s">
        <v>569</v>
      </c>
      <c r="I1329">
        <f t="shared" si="144"/>
        <v>0</v>
      </c>
      <c r="J1329" t="s">
        <v>564</v>
      </c>
      <c r="K1329" s="5">
        <v>50</v>
      </c>
      <c r="L1329" t="str">
        <f>Table_DataFromNL[[#This Row],[PROFILECODE]]&amp;"-"&amp;Table_DataFromNL[[#This Row],[RULENAME]]</f>
        <v>CP222-NSP_ LAPSEDONOR_50_Twice</v>
      </c>
      <c r="M1329" t="e">
        <f t="shared" si="145"/>
        <v>#N/A</v>
      </c>
    </row>
    <row r="1330" spans="1:13" x14ac:dyDescent="0.25">
      <c r="A1330" t="str">
        <f t="shared" si="146"/>
        <v>CP222-NSP_LD_25_2X</v>
      </c>
      <c r="B1330" t="s">
        <v>142</v>
      </c>
      <c r="C1330" t="str">
        <f t="shared" si="140"/>
        <v>Greenville</v>
      </c>
      <c r="D1330" t="str">
        <f t="shared" si="141"/>
        <v>Y</v>
      </c>
      <c r="E1330" t="s">
        <v>629</v>
      </c>
      <c r="F1330" t="str">
        <f t="shared" si="142"/>
        <v>NSP_LD_25_2X</v>
      </c>
      <c r="G1330">
        <f t="shared" si="143"/>
        <v>0</v>
      </c>
      <c r="H1330" t="s">
        <v>570</v>
      </c>
      <c r="I1330">
        <f t="shared" si="144"/>
        <v>0</v>
      </c>
      <c r="J1330" t="s">
        <v>564</v>
      </c>
      <c r="K1330" s="5">
        <v>25</v>
      </c>
      <c r="L1330" t="str">
        <f>Table_DataFromNL[[#This Row],[PROFILECODE]]&amp;"-"&amp;Table_DataFromNL[[#This Row],[RULENAME]]</f>
        <v>CP222-NSP_LD_25_2X</v>
      </c>
      <c r="M1330" t="e">
        <f t="shared" si="145"/>
        <v>#N/A</v>
      </c>
    </row>
    <row r="1331" spans="1:13" x14ac:dyDescent="0.25">
      <c r="A1331" t="str">
        <f t="shared" si="146"/>
        <v>CP222-NSP_LD_50_1X</v>
      </c>
      <c r="B1331" t="s">
        <v>142</v>
      </c>
      <c r="C1331" t="str">
        <f t="shared" si="140"/>
        <v>Greenville</v>
      </c>
      <c r="D1331" t="str">
        <f t="shared" si="141"/>
        <v>Y</v>
      </c>
      <c r="E1331" t="s">
        <v>629</v>
      </c>
      <c r="F1331" t="str">
        <f t="shared" si="142"/>
        <v>NSP_LD_50_1X</v>
      </c>
      <c r="G1331">
        <f t="shared" si="143"/>
        <v>0</v>
      </c>
      <c r="H1331" t="s">
        <v>571</v>
      </c>
      <c r="I1331">
        <f t="shared" si="144"/>
        <v>0</v>
      </c>
      <c r="J1331" t="s">
        <v>564</v>
      </c>
      <c r="K1331" s="5">
        <v>50</v>
      </c>
      <c r="L1331" t="str">
        <f>Table_DataFromNL[[#This Row],[PROFILECODE]]&amp;"-"&amp;Table_DataFromNL[[#This Row],[RULENAME]]</f>
        <v>CP222-NSP_LD_50_1X</v>
      </c>
      <c r="M1331" t="e">
        <f t="shared" si="145"/>
        <v>#N/A</v>
      </c>
    </row>
    <row r="1332" spans="1:13" x14ac:dyDescent="0.25">
      <c r="A1332" t="str">
        <f t="shared" si="146"/>
        <v>CP222-NSP_ORPHAN_100_once</v>
      </c>
      <c r="B1332" t="s">
        <v>142</v>
      </c>
      <c r="C1332" t="str">
        <f t="shared" si="140"/>
        <v>Greenville</v>
      </c>
      <c r="D1332" t="str">
        <f t="shared" si="141"/>
        <v>Y</v>
      </c>
      <c r="E1332" t="s">
        <v>629</v>
      </c>
      <c r="F1332" t="str">
        <f t="shared" si="142"/>
        <v>NSP_ORPHAN_100_once</v>
      </c>
      <c r="G1332">
        <f t="shared" si="143"/>
        <v>0</v>
      </c>
      <c r="H1332" t="s">
        <v>572</v>
      </c>
      <c r="I1332">
        <f t="shared" si="144"/>
        <v>0</v>
      </c>
      <c r="J1332" t="s">
        <v>564</v>
      </c>
      <c r="K1332" s="5">
        <v>100</v>
      </c>
      <c r="L1332" t="str">
        <f>Table_DataFromNL[[#This Row],[PROFILECODE]]&amp;"-"&amp;Table_DataFromNL[[#This Row],[RULENAME]]</f>
        <v>CP222-NSP_ORPHAN_100_once</v>
      </c>
      <c r="M1332" t="e">
        <f t="shared" si="145"/>
        <v>#N/A</v>
      </c>
    </row>
    <row r="1333" spans="1:13" x14ac:dyDescent="0.25">
      <c r="A1333" t="str">
        <f t="shared" si="146"/>
        <v>CP222-Referral - Vaccinia</v>
      </c>
      <c r="B1333" t="s">
        <v>142</v>
      </c>
      <c r="C1333" t="str">
        <f t="shared" si="140"/>
        <v>Greenville</v>
      </c>
      <c r="D1333" t="str">
        <f t="shared" si="141"/>
        <v>Y</v>
      </c>
      <c r="E1333" t="s">
        <v>629</v>
      </c>
      <c r="F1333" t="str">
        <f t="shared" si="142"/>
        <v>Referral - Vaccinia</v>
      </c>
      <c r="G1333">
        <f t="shared" si="143"/>
        <v>0</v>
      </c>
      <c r="H1333" t="s">
        <v>595</v>
      </c>
      <c r="I1333">
        <f t="shared" si="144"/>
        <v>0</v>
      </c>
      <c r="J1333" t="s">
        <v>564</v>
      </c>
      <c r="K1333" s="5">
        <v>250</v>
      </c>
      <c r="L1333" t="str">
        <f>Table_DataFromNL[[#This Row],[PROFILECODE]]&amp;"-"&amp;Table_DataFromNL[[#This Row],[RULENAME]]</f>
        <v>CP222-Referral - Vaccinia</v>
      </c>
      <c r="M1333" t="e">
        <f t="shared" si="145"/>
        <v>#N/A</v>
      </c>
    </row>
    <row r="1334" spans="1:13" x14ac:dyDescent="0.25">
      <c r="A1334" t="str">
        <f t="shared" si="146"/>
        <v>CP222-Restick</v>
      </c>
      <c r="B1334" t="s">
        <v>142</v>
      </c>
      <c r="C1334" t="str">
        <f t="shared" si="140"/>
        <v>Greenville</v>
      </c>
      <c r="D1334" t="str">
        <f t="shared" si="141"/>
        <v>Y</v>
      </c>
      <c r="E1334" t="s">
        <v>629</v>
      </c>
      <c r="F1334" t="str">
        <f t="shared" si="142"/>
        <v>Restick</v>
      </c>
      <c r="G1334">
        <f t="shared" si="143"/>
        <v>0</v>
      </c>
      <c r="H1334" t="s">
        <v>573</v>
      </c>
      <c r="I1334">
        <f t="shared" si="144"/>
        <v>0</v>
      </c>
      <c r="J1334" t="s">
        <v>564</v>
      </c>
      <c r="K1334" s="5">
        <v>5</v>
      </c>
      <c r="L1334" t="str">
        <f>Table_DataFromNL[[#This Row],[PROFILECODE]]&amp;"-"&amp;Table_DataFromNL[[#This Row],[RULENAME]]</f>
        <v>CP222-Restick</v>
      </c>
      <c r="M1334" t="e">
        <f t="shared" si="145"/>
        <v>#N/A</v>
      </c>
    </row>
    <row r="1335" spans="1:13" x14ac:dyDescent="0.25">
      <c r="A1335" t="str">
        <f t="shared" si="146"/>
        <v>CP222-SLOW_TEXT_5</v>
      </c>
      <c r="B1335" t="s">
        <v>142</v>
      </c>
      <c r="C1335" t="str">
        <f t="shared" si="140"/>
        <v>Greenville</v>
      </c>
      <c r="D1335" t="str">
        <f t="shared" si="141"/>
        <v>Y</v>
      </c>
      <c r="E1335" t="s">
        <v>629</v>
      </c>
      <c r="F1335" t="str">
        <f t="shared" si="142"/>
        <v>SLOW_TEXT_5</v>
      </c>
      <c r="G1335">
        <f t="shared" si="143"/>
        <v>0</v>
      </c>
      <c r="H1335" t="s">
        <v>574</v>
      </c>
      <c r="I1335">
        <f t="shared" si="144"/>
        <v>0</v>
      </c>
      <c r="J1335" t="s">
        <v>564</v>
      </c>
      <c r="K1335" s="5">
        <v>5</v>
      </c>
      <c r="L1335" t="str">
        <f>Table_DataFromNL[[#This Row],[PROFILECODE]]&amp;"-"&amp;Table_DataFromNL[[#This Row],[RULENAME]]</f>
        <v>CP222-SLOW_TEXT_5</v>
      </c>
      <c r="M1335" t="e">
        <f t="shared" si="145"/>
        <v>#N/A</v>
      </c>
    </row>
    <row r="1336" spans="1:13" x14ac:dyDescent="0.25">
      <c r="A1336" t="str">
        <f t="shared" si="146"/>
        <v>CP222-Sample Only</v>
      </c>
      <c r="B1336" t="s">
        <v>142</v>
      </c>
      <c r="C1336" t="str">
        <f t="shared" si="140"/>
        <v>Greenville</v>
      </c>
      <c r="D1336" t="str">
        <f t="shared" si="141"/>
        <v>Y</v>
      </c>
      <c r="E1336" t="s">
        <v>629</v>
      </c>
      <c r="F1336" t="str">
        <f t="shared" si="142"/>
        <v>Sample Only</v>
      </c>
      <c r="G1336">
        <f t="shared" si="143"/>
        <v>0</v>
      </c>
      <c r="H1336" t="s">
        <v>575</v>
      </c>
      <c r="I1336">
        <f t="shared" si="144"/>
        <v>0</v>
      </c>
      <c r="J1336" t="s">
        <v>564</v>
      </c>
      <c r="K1336" s="5">
        <v>5</v>
      </c>
      <c r="L1336" t="str">
        <f>Table_DataFromNL[[#This Row],[PROFILECODE]]&amp;"-"&amp;Table_DataFromNL[[#This Row],[RULENAME]]</f>
        <v>CP222-Sample Only</v>
      </c>
      <c r="M1336" t="e">
        <f t="shared" si="145"/>
        <v>#N/A</v>
      </c>
    </row>
    <row r="1337" spans="1:13" x14ac:dyDescent="0.25">
      <c r="A1337" t="str">
        <f t="shared" si="146"/>
        <v>CP222-Unit Below 250 mL</v>
      </c>
      <c r="B1337" t="s">
        <v>142</v>
      </c>
      <c r="C1337" t="str">
        <f t="shared" si="140"/>
        <v>Greenville</v>
      </c>
      <c r="D1337" t="str">
        <f t="shared" si="141"/>
        <v>Y</v>
      </c>
      <c r="E1337" t="s">
        <v>629</v>
      </c>
      <c r="F1337" t="str">
        <f t="shared" si="142"/>
        <v>Unit Below 250 mL</v>
      </c>
      <c r="G1337">
        <f t="shared" si="143"/>
        <v>0</v>
      </c>
      <c r="H1337" t="s">
        <v>576</v>
      </c>
      <c r="I1337">
        <f t="shared" si="144"/>
        <v>0</v>
      </c>
      <c r="J1337" t="s">
        <v>564</v>
      </c>
      <c r="K1337" s="5">
        <v>5</v>
      </c>
      <c r="L1337" t="str">
        <f>Table_DataFromNL[[#This Row],[PROFILECODE]]&amp;"-"&amp;Table_DataFromNL[[#This Row],[RULENAME]]</f>
        <v>CP222-Unit Below 250 mL</v>
      </c>
      <c r="M1337" t="e">
        <f t="shared" si="145"/>
        <v>#N/A</v>
      </c>
    </row>
    <row r="1338" spans="1:13" x14ac:dyDescent="0.25">
      <c r="A1338" t="str">
        <f t="shared" si="146"/>
        <v>CP222-Unit above 250 mL/underdraw</v>
      </c>
      <c r="B1338" t="s">
        <v>142</v>
      </c>
      <c r="C1338" t="str">
        <f t="shared" si="140"/>
        <v>Greenville</v>
      </c>
      <c r="D1338" t="str">
        <f t="shared" si="141"/>
        <v>Y</v>
      </c>
      <c r="E1338" t="s">
        <v>629</v>
      </c>
      <c r="F1338" t="str">
        <f t="shared" si="142"/>
        <v>Unit above 250 mL/underdraw</v>
      </c>
      <c r="G1338">
        <f t="shared" si="143"/>
        <v>0</v>
      </c>
      <c r="H1338" t="s">
        <v>577</v>
      </c>
      <c r="I1338">
        <f t="shared" si="144"/>
        <v>0</v>
      </c>
      <c r="J1338" t="s">
        <v>564</v>
      </c>
      <c r="K1338" s="5">
        <v>10</v>
      </c>
      <c r="L1338" t="str">
        <f>Table_DataFromNL[[#This Row],[PROFILECODE]]&amp;"-"&amp;Table_DataFromNL[[#This Row],[RULENAME]]</f>
        <v>CP222-Unit above 250 mL/underdraw</v>
      </c>
      <c r="M1338" t="e">
        <f t="shared" si="145"/>
        <v>#N/A</v>
      </c>
    </row>
    <row r="1339" spans="1:13" x14ac:dyDescent="0.25">
      <c r="A1339" t="str">
        <f t="shared" si="146"/>
        <v>CP222-Vaccinia Immunization</v>
      </c>
      <c r="B1339" t="s">
        <v>142</v>
      </c>
      <c r="C1339" t="str">
        <f t="shared" si="140"/>
        <v>Greenville</v>
      </c>
      <c r="D1339" t="str">
        <f t="shared" si="141"/>
        <v>Y</v>
      </c>
      <c r="E1339" t="s">
        <v>629</v>
      </c>
      <c r="F1339" t="str">
        <f t="shared" si="142"/>
        <v>Vaccinia Immunization</v>
      </c>
      <c r="G1339">
        <f t="shared" si="143"/>
        <v>0</v>
      </c>
      <c r="H1339" t="s">
        <v>596</v>
      </c>
      <c r="I1339">
        <f t="shared" si="144"/>
        <v>0</v>
      </c>
      <c r="J1339" t="s">
        <v>564</v>
      </c>
      <c r="K1339" s="5">
        <v>100</v>
      </c>
      <c r="L1339" t="str">
        <f>Table_DataFromNL[[#This Row],[PROFILECODE]]&amp;"-"&amp;Table_DataFromNL[[#This Row],[RULENAME]]</f>
        <v>CP222-Vaccinia Immunization</v>
      </c>
      <c r="M1339" t="e">
        <f t="shared" si="145"/>
        <v>#N/A</v>
      </c>
    </row>
    <row r="1340" spans="1:13" x14ac:dyDescent="0.25">
      <c r="A1340" t="str">
        <f t="shared" si="146"/>
        <v>CP222-RETURN - Buddy referral  -BONUS</v>
      </c>
      <c r="B1340" t="s">
        <v>142</v>
      </c>
      <c r="C1340" t="str">
        <f t="shared" si="140"/>
        <v>Greenville</v>
      </c>
      <c r="D1340" t="str">
        <f t="shared" si="141"/>
        <v>Y</v>
      </c>
      <c r="E1340" t="s">
        <v>629</v>
      </c>
      <c r="F1340" t="str">
        <f t="shared" si="142"/>
        <v>RETURN - Buddy referral  -BONUS</v>
      </c>
      <c r="G1340" t="str">
        <f t="shared" si="143"/>
        <v>Marketing</v>
      </c>
      <c r="H1340" t="s">
        <v>34</v>
      </c>
      <c r="I1340">
        <f t="shared" si="144"/>
        <v>50</v>
      </c>
      <c r="J1340" t="s">
        <v>578</v>
      </c>
      <c r="K1340" s="5">
        <v>50</v>
      </c>
      <c r="L1340" t="str">
        <f>Table_DataFromNL[[#This Row],[PROFILECODE]]&amp;"-"&amp;Table_DataFromNL[[#This Row],[RULENAME]]</f>
        <v>CP222-Referral</v>
      </c>
      <c r="M1340" t="str">
        <f t="shared" si="145"/>
        <v>CP222-RETURN - Buddy referral  -BONUS</v>
      </c>
    </row>
    <row r="1341" spans="1:13" x14ac:dyDescent="0.25">
      <c r="A1341" t="str">
        <f t="shared" si="146"/>
        <v>CP222-P Anti-D Pre-Existing Standard</v>
      </c>
      <c r="B1341" t="s">
        <v>142</v>
      </c>
      <c r="C1341" t="str">
        <f t="shared" si="140"/>
        <v>Greenville</v>
      </c>
      <c r="D1341" t="str">
        <f t="shared" si="141"/>
        <v>Y</v>
      </c>
      <c r="E1341" t="s">
        <v>629</v>
      </c>
      <c r="F1341" t="str">
        <f t="shared" si="142"/>
        <v>P Anti-D Pre-Existing Standard</v>
      </c>
      <c r="G1341" t="str">
        <f t="shared" si="143"/>
        <v>Specialty</v>
      </c>
      <c r="H1341" t="s">
        <v>469</v>
      </c>
      <c r="I1341" t="str">
        <f t="shared" si="144"/>
        <v>RETURN - 1st don of the week -STD</v>
      </c>
      <c r="J1341" t="s">
        <v>579</v>
      </c>
      <c r="K1341" s="5">
        <v>50</v>
      </c>
      <c r="L1341" t="str">
        <f>Table_DataFromNL[[#This Row],[PROFILECODE]]&amp;"-"&amp;Table_DataFromNL[[#This Row],[RULENAME]]</f>
        <v>CP222-P Anti-D Pre-Existing Standard</v>
      </c>
      <c r="M1341" t="str">
        <f t="shared" si="145"/>
        <v>CP222-P Anti-D Pre-Existing Standard</v>
      </c>
    </row>
    <row r="1342" spans="1:13" x14ac:dyDescent="0.25">
      <c r="A1342" t="str">
        <f t="shared" si="146"/>
        <v>CP222-P HBS Pre-Existing Standard</v>
      </c>
      <c r="B1342" t="s">
        <v>142</v>
      </c>
      <c r="C1342" t="str">
        <f t="shared" si="140"/>
        <v>Greenville</v>
      </c>
      <c r="D1342" t="str">
        <f t="shared" si="141"/>
        <v>Y</v>
      </c>
      <c r="E1342" t="s">
        <v>629</v>
      </c>
      <c r="F1342" t="str">
        <f t="shared" si="142"/>
        <v>P HBS Pre-Existing Standard</v>
      </c>
      <c r="G1342" t="str">
        <f t="shared" si="143"/>
        <v>Specialty</v>
      </c>
      <c r="H1342" t="s">
        <v>472</v>
      </c>
      <c r="I1342" t="str">
        <f t="shared" si="144"/>
        <v>RETURN - 1st don of the week -STD</v>
      </c>
      <c r="J1342" t="s">
        <v>579</v>
      </c>
      <c r="K1342" s="5">
        <v>80</v>
      </c>
      <c r="L1342" t="str">
        <f>Table_DataFromNL[[#This Row],[PROFILECODE]]&amp;"-"&amp;Table_DataFromNL[[#This Row],[RULENAME]]</f>
        <v>CP222-P HBS Pre-Existing Standard</v>
      </c>
      <c r="M1342" t="str">
        <f t="shared" si="145"/>
        <v>CP222-P HBS Pre-Existing Standard</v>
      </c>
    </row>
    <row r="1343" spans="1:13" x14ac:dyDescent="0.25">
      <c r="A1343" t="str">
        <f t="shared" si="146"/>
        <v>CP222-P HBS TWINRIX Standard</v>
      </c>
      <c r="B1343" t="s">
        <v>142</v>
      </c>
      <c r="C1343" t="str">
        <f t="shared" si="140"/>
        <v>Greenville</v>
      </c>
      <c r="D1343" t="str">
        <f t="shared" si="141"/>
        <v>Y</v>
      </c>
      <c r="E1343" t="s">
        <v>629</v>
      </c>
      <c r="F1343" t="str">
        <f t="shared" si="142"/>
        <v>P HBS TWINRIX Standard</v>
      </c>
      <c r="G1343" t="str">
        <f t="shared" si="143"/>
        <v>Specialty</v>
      </c>
      <c r="H1343" t="s">
        <v>506</v>
      </c>
      <c r="I1343" t="str">
        <f t="shared" si="144"/>
        <v>RETURN - 1st don of the week -STD</v>
      </c>
      <c r="J1343" t="s">
        <v>579</v>
      </c>
      <c r="K1343" s="5">
        <v>80</v>
      </c>
      <c r="L1343" t="str">
        <f>Table_DataFromNL[[#This Row],[PROFILECODE]]&amp;"-"&amp;Table_DataFromNL[[#This Row],[RULENAME]]</f>
        <v>CP222-P HBS TWINRIX Standard</v>
      </c>
      <c r="M1343" t="str">
        <f t="shared" si="145"/>
        <v>CP222-P HBS TWINRIX Standard</v>
      </c>
    </row>
    <row r="1344" spans="1:13" x14ac:dyDescent="0.25">
      <c r="A1344" t="str">
        <f t="shared" si="146"/>
        <v>CP222-P HBS TWINRIX-AP Standard</v>
      </c>
      <c r="B1344" t="s">
        <v>142</v>
      </c>
      <c r="C1344" t="str">
        <f t="shared" si="140"/>
        <v>Greenville</v>
      </c>
      <c r="D1344" t="str">
        <f t="shared" si="141"/>
        <v>Y</v>
      </c>
      <c r="E1344" t="s">
        <v>629</v>
      </c>
      <c r="F1344" t="str">
        <f t="shared" si="142"/>
        <v>P HBS TWINRIX-AP Standard</v>
      </c>
      <c r="G1344" t="str">
        <f t="shared" si="143"/>
        <v>Specialty</v>
      </c>
      <c r="H1344" t="s">
        <v>507</v>
      </c>
      <c r="I1344" t="str">
        <f t="shared" si="144"/>
        <v>RETURN - 1st don of the week -STD</v>
      </c>
      <c r="J1344" t="s">
        <v>579</v>
      </c>
      <c r="K1344" s="5">
        <v>80</v>
      </c>
      <c r="L1344" t="str">
        <f>Table_DataFromNL[[#This Row],[PROFILECODE]]&amp;"-"&amp;Table_DataFromNL[[#This Row],[RULENAME]]</f>
        <v>CP222-P HBS TWINRIX-AP Standard</v>
      </c>
      <c r="M1344" t="str">
        <f t="shared" si="145"/>
        <v>CP222-P HBS TWINRIX-AP Standard</v>
      </c>
    </row>
    <row r="1345" spans="1:13" x14ac:dyDescent="0.25">
      <c r="A1345" t="str">
        <f t="shared" si="146"/>
        <v>CP222-RETURN - 1st don of the week -STD</v>
      </c>
      <c r="B1345" t="s">
        <v>142</v>
      </c>
      <c r="C1345" t="str">
        <f t="shared" si="140"/>
        <v>Greenville</v>
      </c>
      <c r="D1345" t="str">
        <f t="shared" si="141"/>
        <v>Y</v>
      </c>
      <c r="E1345" t="s">
        <v>629</v>
      </c>
      <c r="F1345" t="str">
        <f t="shared" si="142"/>
        <v>RETURN - 1st don of the week -STD</v>
      </c>
      <c r="G1345" t="str">
        <f t="shared" si="143"/>
        <v>Marketing</v>
      </c>
      <c r="H1345" t="s">
        <v>583</v>
      </c>
      <c r="I1345">
        <f t="shared" si="144"/>
        <v>22</v>
      </c>
      <c r="J1345" t="s">
        <v>579</v>
      </c>
      <c r="K1345" s="5">
        <v>60</v>
      </c>
      <c r="L1345" t="str">
        <f>Table_DataFromNL[[#This Row],[PROFILECODE]]&amp;"-"&amp;Table_DataFromNL[[#This Row],[RULENAME]]</f>
        <v>CP222-P NSP NS AP Standard</v>
      </c>
      <c r="M1345" t="str">
        <f t="shared" si="145"/>
        <v>CP222-RETURN - 1st don of the week -STD</v>
      </c>
    </row>
    <row r="1346" spans="1:13" x14ac:dyDescent="0.25">
      <c r="A1346" t="str">
        <f t="shared" si="146"/>
        <v>CP222-RETURN - 1st don of the week -STD</v>
      </c>
      <c r="B1346" t="s">
        <v>142</v>
      </c>
      <c r="C1346" t="str">
        <f t="shared" ref="C1346:C1409" si="147">VLOOKUP(B1346,CenterLU,2,FALSE)</f>
        <v>Greenville</v>
      </c>
      <c r="D1346" t="str">
        <f t="shared" ref="D1346:D1409" si="148">VLOOKUP(B1346,CenterLU,3,FALSE)</f>
        <v>Y</v>
      </c>
      <c r="E1346" t="s">
        <v>629</v>
      </c>
      <c r="F1346" t="str">
        <f t="shared" ref="F1346:F1409" si="149">IF(VLOOKUP(H1346,RULENAMELU,3,FALSE)=0,H1346,VLOOKUP(H1346,RULENAMELU,3,FALSE))</f>
        <v>RETURN - 1st don of the week -STD</v>
      </c>
      <c r="G1346" t="str">
        <f t="shared" ref="G1346:G1409" si="150">VLOOKUP(H1346,RULENAMELU,4,FALSE)</f>
        <v>Marketing</v>
      </c>
      <c r="H1346" t="s">
        <v>584</v>
      </c>
      <c r="I1346">
        <f t="shared" ref="I1346:I1409" si="151">VLOOKUP(H1346,RULENAMELU,5,FALSE)</f>
        <v>23</v>
      </c>
      <c r="J1346" t="s">
        <v>579</v>
      </c>
      <c r="K1346" s="5">
        <v>60</v>
      </c>
      <c r="L1346" t="str">
        <f>Table_DataFromNL[[#This Row],[PROFILECODE]]&amp;"-"&amp;Table_DataFromNL[[#This Row],[RULENAME]]</f>
        <v>CP222-P NSP NS Standard</v>
      </c>
      <c r="M1346" t="str">
        <f t="shared" ref="M1346:M1409" si="152">IFERROR(VLOOKUP(A1346,PaychangesLU,1,FALSE),VLOOKUP(A1346,SpecialtyCheckLU,1,FALSE))</f>
        <v>CP222-RETURN - 1st don of the week -STD</v>
      </c>
    </row>
    <row r="1347" spans="1:13" x14ac:dyDescent="0.25">
      <c r="A1347" t="str">
        <f t="shared" ref="A1347:A1410" si="153">B1347&amp;"-"&amp;F1347</f>
        <v>CP222-P VZV Pre-Existing AP</v>
      </c>
      <c r="B1347" t="s">
        <v>142</v>
      </c>
      <c r="C1347" t="str">
        <f t="shared" si="147"/>
        <v>Greenville</v>
      </c>
      <c r="D1347" t="str">
        <f t="shared" si="148"/>
        <v>Y</v>
      </c>
      <c r="E1347" t="s">
        <v>629</v>
      </c>
      <c r="F1347" t="str">
        <f t="shared" si="149"/>
        <v>P VZV Pre-Existing AP</v>
      </c>
      <c r="G1347" t="str">
        <f t="shared" si="150"/>
        <v>Specialty</v>
      </c>
      <c r="H1347" t="s">
        <v>495</v>
      </c>
      <c r="I1347" t="str">
        <f t="shared" si="151"/>
        <v>RETURN - 1st don of the week -STD</v>
      </c>
      <c r="J1347" t="s">
        <v>579</v>
      </c>
      <c r="K1347" s="5">
        <v>70</v>
      </c>
      <c r="L1347" t="str">
        <f>Table_DataFromNL[[#This Row],[PROFILECODE]]&amp;"-"&amp;Table_DataFromNL[[#This Row],[RULENAME]]</f>
        <v>CP222-P VZV Pre-Existing AP</v>
      </c>
      <c r="M1347" t="str">
        <f t="shared" si="152"/>
        <v>CP222-P VZV Pre-Existing AP</v>
      </c>
    </row>
    <row r="1348" spans="1:13" x14ac:dyDescent="0.25">
      <c r="A1348" t="str">
        <f t="shared" si="153"/>
        <v>CP222-P VZV Standard</v>
      </c>
      <c r="B1348" t="s">
        <v>142</v>
      </c>
      <c r="C1348" t="str">
        <f t="shared" si="147"/>
        <v>Greenville</v>
      </c>
      <c r="D1348" t="str">
        <f t="shared" si="148"/>
        <v>Y</v>
      </c>
      <c r="E1348" t="s">
        <v>629</v>
      </c>
      <c r="F1348" t="str">
        <f t="shared" si="149"/>
        <v>P VZV Standard</v>
      </c>
      <c r="G1348" t="str">
        <f t="shared" si="150"/>
        <v>Specialty</v>
      </c>
      <c r="H1348" t="s">
        <v>496</v>
      </c>
      <c r="I1348" t="str">
        <f t="shared" si="151"/>
        <v>RETURN - 1st don of the week -STD</v>
      </c>
      <c r="J1348" t="s">
        <v>579</v>
      </c>
      <c r="K1348" s="5">
        <v>70</v>
      </c>
      <c r="L1348" t="str">
        <f>Table_DataFromNL[[#This Row],[PROFILECODE]]&amp;"-"&amp;Table_DataFromNL[[#This Row],[RULENAME]]</f>
        <v>CP222-P VZV Standard</v>
      </c>
      <c r="M1348" t="str">
        <f t="shared" si="152"/>
        <v>CP222-P VZV Standard</v>
      </c>
    </row>
    <row r="1349" spans="1:13" x14ac:dyDescent="0.25">
      <c r="A1349" t="str">
        <f t="shared" si="153"/>
        <v>CP222-P Vaccinia AP Standard</v>
      </c>
      <c r="B1349" t="s">
        <v>142</v>
      </c>
      <c r="C1349" t="str">
        <f t="shared" si="147"/>
        <v>Greenville</v>
      </c>
      <c r="D1349" t="str">
        <f t="shared" si="148"/>
        <v>Y</v>
      </c>
      <c r="E1349" t="s">
        <v>629</v>
      </c>
      <c r="F1349" t="str">
        <f t="shared" si="149"/>
        <v>P Vaccinia AP Standard</v>
      </c>
      <c r="G1349" t="str">
        <f t="shared" si="150"/>
        <v>Specialty</v>
      </c>
      <c r="H1349" t="s">
        <v>475</v>
      </c>
      <c r="I1349">
        <f t="shared" si="151"/>
        <v>0</v>
      </c>
      <c r="J1349" t="s">
        <v>579</v>
      </c>
      <c r="K1349" s="5">
        <v>100</v>
      </c>
      <c r="L1349" t="str">
        <f>Table_DataFromNL[[#This Row],[PROFILECODE]]&amp;"-"&amp;Table_DataFromNL[[#This Row],[RULENAME]]</f>
        <v>CP222-P Vaccinia AP Standard</v>
      </c>
      <c r="M1349" t="str">
        <f t="shared" si="152"/>
        <v>CP222-P Vaccinia AP Standard</v>
      </c>
    </row>
    <row r="1350" spans="1:13" x14ac:dyDescent="0.25">
      <c r="A1350" t="str">
        <f t="shared" si="153"/>
        <v>CP222-P Vaccinia Standard</v>
      </c>
      <c r="B1350" t="s">
        <v>142</v>
      </c>
      <c r="C1350" t="str">
        <f t="shared" si="147"/>
        <v>Greenville</v>
      </c>
      <c r="D1350" t="str">
        <f t="shared" si="148"/>
        <v>Y</v>
      </c>
      <c r="E1350" t="s">
        <v>629</v>
      </c>
      <c r="F1350" t="str">
        <f t="shared" si="149"/>
        <v>P Vaccinia Standard</v>
      </c>
      <c r="G1350" t="str">
        <f t="shared" si="150"/>
        <v>Specialty</v>
      </c>
      <c r="H1350" t="s">
        <v>476</v>
      </c>
      <c r="I1350">
        <f t="shared" si="151"/>
        <v>0</v>
      </c>
      <c r="J1350" t="s">
        <v>579</v>
      </c>
      <c r="K1350" s="5">
        <v>100</v>
      </c>
      <c r="L1350" t="str">
        <f>Table_DataFromNL[[#This Row],[PROFILECODE]]&amp;"-"&amp;Table_DataFromNL[[#This Row],[RULENAME]]</f>
        <v>CP222-P Vaccinia Standard</v>
      </c>
      <c r="M1350" t="str">
        <f t="shared" si="152"/>
        <v>CP222-P Vaccinia Standard</v>
      </c>
    </row>
    <row r="1351" spans="1:13" x14ac:dyDescent="0.25">
      <c r="A1351" t="str">
        <f t="shared" si="153"/>
        <v>CP222-PVZV Pre-Existing Standard</v>
      </c>
      <c r="B1351" t="s">
        <v>142</v>
      </c>
      <c r="C1351" t="str">
        <f t="shared" si="147"/>
        <v>Greenville</v>
      </c>
      <c r="D1351" t="str">
        <f t="shared" si="148"/>
        <v>Y</v>
      </c>
      <c r="E1351" t="s">
        <v>629</v>
      </c>
      <c r="F1351" t="str">
        <f t="shared" si="149"/>
        <v>PVZV Pre-Existing Standard</v>
      </c>
      <c r="G1351" t="str">
        <f t="shared" si="150"/>
        <v>Specialty</v>
      </c>
      <c r="H1351" t="s">
        <v>497</v>
      </c>
      <c r="I1351" t="str">
        <f t="shared" si="151"/>
        <v>RETURN - 1st don of the week -STD</v>
      </c>
      <c r="J1351" t="s">
        <v>579</v>
      </c>
      <c r="K1351" s="5">
        <v>70</v>
      </c>
      <c r="L1351" t="str">
        <f>Table_DataFromNL[[#This Row],[PROFILECODE]]&amp;"-"&amp;Table_DataFromNL[[#This Row],[RULENAME]]</f>
        <v>CP222-PVZV Pre-Existing Standard</v>
      </c>
      <c r="M1351" t="str">
        <f t="shared" si="152"/>
        <v>CP222-PVZV Pre-Existing Standard</v>
      </c>
    </row>
    <row r="1352" spans="1:13" x14ac:dyDescent="0.25">
      <c r="A1352" t="str">
        <f t="shared" si="153"/>
        <v>CP955-1st Responder-Medical</v>
      </c>
      <c r="B1352" t="s">
        <v>331</v>
      </c>
      <c r="C1352" t="str">
        <f t="shared" si="147"/>
        <v>Hendersonville</v>
      </c>
      <c r="D1352" t="str">
        <f t="shared" si="148"/>
        <v>Y</v>
      </c>
      <c r="E1352" t="s">
        <v>630</v>
      </c>
      <c r="F1352" t="str">
        <f t="shared" si="149"/>
        <v>1st Responder-Medical</v>
      </c>
      <c r="G1352">
        <f t="shared" si="150"/>
        <v>0</v>
      </c>
      <c r="H1352" t="s">
        <v>545</v>
      </c>
      <c r="I1352">
        <f t="shared" si="151"/>
        <v>0</v>
      </c>
      <c r="J1352" t="s">
        <v>546</v>
      </c>
      <c r="K1352" s="5">
        <v>5</v>
      </c>
      <c r="L1352" t="str">
        <f>Table_DataFromNL[[#This Row],[PROFILECODE]]&amp;"-"&amp;Table_DataFromNL[[#This Row],[RULENAME]]</f>
        <v>CP955-1st Responder-Medical</v>
      </c>
      <c r="M1352" t="e">
        <f t="shared" si="152"/>
        <v>#N/A</v>
      </c>
    </row>
    <row r="1353" spans="1:13" x14ac:dyDescent="0.25">
      <c r="A1353" t="str">
        <f t="shared" si="153"/>
        <v>CP955-2X Week P Anti-D</v>
      </c>
      <c r="B1353" t="s">
        <v>331</v>
      </c>
      <c r="C1353" t="str">
        <f t="shared" si="147"/>
        <v>Hendersonville</v>
      </c>
      <c r="D1353" t="str">
        <f t="shared" si="148"/>
        <v>Y</v>
      </c>
      <c r="E1353" t="s">
        <v>630</v>
      </c>
      <c r="F1353" t="str">
        <f t="shared" si="149"/>
        <v>2X Week P Anti-D</v>
      </c>
      <c r="G1353" t="str">
        <f t="shared" si="150"/>
        <v>Specialty</v>
      </c>
      <c r="H1353" t="s">
        <v>518</v>
      </c>
      <c r="I1353" t="str">
        <f t="shared" si="151"/>
        <v>RETURN - 2nd don of the week -BONUS</v>
      </c>
      <c r="J1353" t="s">
        <v>546</v>
      </c>
      <c r="K1353" s="5">
        <v>15</v>
      </c>
      <c r="L1353" t="str">
        <f>Table_DataFromNL[[#This Row],[PROFILECODE]]&amp;"-"&amp;Table_DataFromNL[[#This Row],[RULENAME]]</f>
        <v>CP955-2X Week P Anti-D</v>
      </c>
      <c r="M1353" t="str">
        <f t="shared" si="152"/>
        <v>CP955-2X Week P Anti-D</v>
      </c>
    </row>
    <row r="1354" spans="1:13" x14ac:dyDescent="0.25">
      <c r="A1354" t="str">
        <f t="shared" si="153"/>
        <v>CP955-RETURN - 2nd don of the week -BONUS</v>
      </c>
      <c r="B1354" t="s">
        <v>331</v>
      </c>
      <c r="C1354" t="str">
        <f t="shared" si="147"/>
        <v>Hendersonville</v>
      </c>
      <c r="D1354" t="str">
        <f t="shared" si="148"/>
        <v>Y</v>
      </c>
      <c r="E1354" t="s">
        <v>630</v>
      </c>
      <c r="F1354" t="str">
        <f t="shared" si="149"/>
        <v>RETURN - 2nd don of the week -BONUS</v>
      </c>
      <c r="G1354" t="str">
        <f t="shared" si="150"/>
        <v>Marketing</v>
      </c>
      <c r="H1354" t="s">
        <v>550</v>
      </c>
      <c r="I1354">
        <f t="shared" si="151"/>
        <v>26</v>
      </c>
      <c r="J1354" t="s">
        <v>546</v>
      </c>
      <c r="K1354" s="5">
        <v>20</v>
      </c>
      <c r="L1354" t="str">
        <f>Table_DataFromNL[[#This Row],[PROFILECODE]]&amp;"-"&amp;Table_DataFromNL[[#This Row],[RULENAME]]</f>
        <v>CP955-2X Week P NSP NS</v>
      </c>
      <c r="M1354" t="str">
        <f t="shared" si="152"/>
        <v>CP955-RETURN - 2nd don of the week -BONUS</v>
      </c>
    </row>
    <row r="1355" spans="1:13" x14ac:dyDescent="0.25">
      <c r="A1355" t="str">
        <f t="shared" si="153"/>
        <v>CP955-RETURN - 2nd don of the week -BONUS</v>
      </c>
      <c r="B1355" t="s">
        <v>331</v>
      </c>
      <c r="C1355" t="str">
        <f t="shared" si="147"/>
        <v>Hendersonville</v>
      </c>
      <c r="D1355" t="str">
        <f t="shared" si="148"/>
        <v>Y</v>
      </c>
      <c r="E1355" t="s">
        <v>630</v>
      </c>
      <c r="F1355" t="str">
        <f t="shared" si="149"/>
        <v>RETURN - 2nd don of the week -BONUS</v>
      </c>
      <c r="G1355" t="str">
        <f t="shared" si="150"/>
        <v>Marketing</v>
      </c>
      <c r="H1355" t="s">
        <v>551</v>
      </c>
      <c r="I1355" t="str">
        <f t="shared" si="151"/>
        <v>RETURN - 2nd don of the week -BONUS</v>
      </c>
      <c r="J1355" t="s">
        <v>546</v>
      </c>
      <c r="K1355" s="5">
        <v>20</v>
      </c>
      <c r="L1355" t="str">
        <f>Table_DataFromNL[[#This Row],[PROFILECODE]]&amp;"-"&amp;Table_DataFromNL[[#This Row],[RULENAME]]</f>
        <v>CP955-2X Week P NSP NS AP</v>
      </c>
      <c r="M1355" t="str">
        <f t="shared" si="152"/>
        <v>CP955-RETURN - 2nd don of the week -BONUS</v>
      </c>
    </row>
    <row r="1356" spans="1:13" x14ac:dyDescent="0.25">
      <c r="A1356" t="str">
        <f t="shared" si="153"/>
        <v>CP955-RETURN - 6th don of the month -BONUS</v>
      </c>
      <c r="B1356" t="s">
        <v>331</v>
      </c>
      <c r="C1356" t="str">
        <f t="shared" si="147"/>
        <v>Hendersonville</v>
      </c>
      <c r="D1356" t="str">
        <f t="shared" si="148"/>
        <v>Y</v>
      </c>
      <c r="E1356" t="s">
        <v>630</v>
      </c>
      <c r="F1356" t="str">
        <f t="shared" si="149"/>
        <v>RETURN - 6th don of the month -BONUS</v>
      </c>
      <c r="G1356" t="str">
        <f t="shared" si="150"/>
        <v>Marketing</v>
      </c>
      <c r="H1356" t="s">
        <v>552</v>
      </c>
      <c r="I1356">
        <f t="shared" si="151"/>
        <v>28</v>
      </c>
      <c r="J1356" t="s">
        <v>546</v>
      </c>
      <c r="K1356" s="5">
        <v>50</v>
      </c>
      <c r="L1356" t="str">
        <f>Table_DataFromNL[[#This Row],[PROFILECODE]]&amp;"-"&amp;Table_DataFromNL[[#This Row],[RULENAME]]</f>
        <v>CP955-6X Month</v>
      </c>
      <c r="M1356" t="str">
        <f t="shared" si="152"/>
        <v>CP955-RETURN - 6th don of the month -BONUS</v>
      </c>
    </row>
    <row r="1357" spans="1:13" x14ac:dyDescent="0.25">
      <c r="A1357" t="str">
        <f t="shared" si="153"/>
        <v>CP955-College ID Standard Bonus</v>
      </c>
      <c r="B1357" t="s">
        <v>331</v>
      </c>
      <c r="C1357" t="str">
        <f t="shared" si="147"/>
        <v>Hendersonville</v>
      </c>
      <c r="D1357" t="str">
        <f t="shared" si="148"/>
        <v>Y</v>
      </c>
      <c r="E1357" t="s">
        <v>630</v>
      </c>
      <c r="F1357" t="str">
        <f t="shared" si="149"/>
        <v>College ID Standard Bonus</v>
      </c>
      <c r="G1357">
        <f t="shared" si="150"/>
        <v>0</v>
      </c>
      <c r="H1357" t="s">
        <v>553</v>
      </c>
      <c r="I1357">
        <f t="shared" si="151"/>
        <v>0</v>
      </c>
      <c r="J1357" t="s">
        <v>546</v>
      </c>
      <c r="K1357" s="5">
        <v>5</v>
      </c>
      <c r="L1357" t="str">
        <f>Table_DataFromNL[[#This Row],[PROFILECODE]]&amp;"-"&amp;Table_DataFromNL[[#This Row],[RULENAME]]</f>
        <v>CP955-College ID Standard Bonus</v>
      </c>
      <c r="M1357" t="e">
        <f t="shared" si="152"/>
        <v>#N/A</v>
      </c>
    </row>
    <row r="1358" spans="1:13" x14ac:dyDescent="0.25">
      <c r="A1358" t="str">
        <f t="shared" si="153"/>
        <v>CP955-Military ID</v>
      </c>
      <c r="B1358" t="s">
        <v>331</v>
      </c>
      <c r="C1358" t="str">
        <f t="shared" si="147"/>
        <v>Hendersonville</v>
      </c>
      <c r="D1358" t="str">
        <f t="shared" si="148"/>
        <v>Y</v>
      </c>
      <c r="E1358" t="s">
        <v>630</v>
      </c>
      <c r="F1358" t="str">
        <f t="shared" si="149"/>
        <v>Military ID</v>
      </c>
      <c r="G1358">
        <f t="shared" si="150"/>
        <v>0</v>
      </c>
      <c r="H1358" t="s">
        <v>554</v>
      </c>
      <c r="I1358">
        <f t="shared" si="151"/>
        <v>0</v>
      </c>
      <c r="J1358" t="s">
        <v>546</v>
      </c>
      <c r="K1358" s="5">
        <v>5</v>
      </c>
      <c r="L1358" t="str">
        <f>Table_DataFromNL[[#This Row],[PROFILECODE]]&amp;"-"&amp;Table_DataFromNL[[#This Row],[RULENAME]]</f>
        <v>CP955-Military ID</v>
      </c>
      <c r="M1358" t="e">
        <f t="shared" si="152"/>
        <v>#N/A</v>
      </c>
    </row>
    <row r="1359" spans="1:13" x14ac:dyDescent="0.25">
      <c r="A1359" t="str">
        <f t="shared" si="153"/>
        <v>CP955-NEW DONOR -1st</v>
      </c>
      <c r="B1359" t="s">
        <v>331</v>
      </c>
      <c r="C1359" t="str">
        <f t="shared" si="147"/>
        <v>Hendersonville</v>
      </c>
      <c r="D1359" t="str">
        <f t="shared" si="148"/>
        <v>Y</v>
      </c>
      <c r="E1359" t="s">
        <v>630</v>
      </c>
      <c r="F1359" t="str">
        <f t="shared" si="149"/>
        <v>NEW DONOR -1st</v>
      </c>
      <c r="G1359" t="str">
        <f t="shared" si="150"/>
        <v>Marketing</v>
      </c>
      <c r="H1359" t="s">
        <v>555</v>
      </c>
      <c r="I1359">
        <f t="shared" si="151"/>
        <v>1</v>
      </c>
      <c r="J1359" t="s">
        <v>546</v>
      </c>
      <c r="K1359" s="5">
        <v>125</v>
      </c>
      <c r="L1359" t="str">
        <f>Table_DataFromNL[[#This Row],[PROFILECODE]]&amp;"-"&amp;Table_DataFromNL[[#This Row],[RULENAME]]</f>
        <v>CP955-New Donor 1st Visit-Bonus</v>
      </c>
      <c r="M1359" t="str">
        <f t="shared" si="152"/>
        <v>CP955-NEW DONOR -1st</v>
      </c>
    </row>
    <row r="1360" spans="1:13" x14ac:dyDescent="0.25">
      <c r="A1360" t="str">
        <f t="shared" si="153"/>
        <v>CP955-NEW DONOR -2nd</v>
      </c>
      <c r="B1360" t="s">
        <v>331</v>
      </c>
      <c r="C1360" t="str">
        <f t="shared" si="147"/>
        <v>Hendersonville</v>
      </c>
      <c r="D1360" t="str">
        <f t="shared" si="148"/>
        <v>Y</v>
      </c>
      <c r="E1360" t="s">
        <v>630</v>
      </c>
      <c r="F1360" t="str">
        <f t="shared" si="149"/>
        <v>NEW DONOR -2nd</v>
      </c>
      <c r="G1360" t="str">
        <f t="shared" si="150"/>
        <v>Marketing</v>
      </c>
      <c r="H1360" t="s">
        <v>556</v>
      </c>
      <c r="I1360">
        <f t="shared" si="151"/>
        <v>2</v>
      </c>
      <c r="J1360" t="s">
        <v>546</v>
      </c>
      <c r="K1360" s="5">
        <v>125</v>
      </c>
      <c r="L1360" t="str">
        <f>Table_DataFromNL[[#This Row],[PROFILECODE]]&amp;"-"&amp;Table_DataFromNL[[#This Row],[RULENAME]]</f>
        <v>CP955-New Donor 2nd Visit-Bonus</v>
      </c>
      <c r="M1360" t="str">
        <f t="shared" si="152"/>
        <v>CP955-NEW DONOR -2nd</v>
      </c>
    </row>
    <row r="1361" spans="1:13" x14ac:dyDescent="0.25">
      <c r="A1361" t="str">
        <f t="shared" si="153"/>
        <v>CP955-NEW DONOR -3rd</v>
      </c>
      <c r="B1361" t="s">
        <v>331</v>
      </c>
      <c r="C1361" t="str">
        <f t="shared" si="147"/>
        <v>Hendersonville</v>
      </c>
      <c r="D1361" t="str">
        <f t="shared" si="148"/>
        <v>Y</v>
      </c>
      <c r="E1361" t="s">
        <v>630</v>
      </c>
      <c r="F1361" t="str">
        <f t="shared" si="149"/>
        <v>NEW DONOR -3rd</v>
      </c>
      <c r="G1361" t="str">
        <f t="shared" si="150"/>
        <v>Marketing</v>
      </c>
      <c r="H1361" t="s">
        <v>557</v>
      </c>
      <c r="I1361">
        <f t="shared" si="151"/>
        <v>3</v>
      </c>
      <c r="J1361" t="s">
        <v>546</v>
      </c>
      <c r="K1361" s="5">
        <v>125</v>
      </c>
      <c r="L1361" t="str">
        <f>Table_DataFromNL[[#This Row],[PROFILECODE]]&amp;"-"&amp;Table_DataFromNL[[#This Row],[RULENAME]]</f>
        <v>CP955-New Donor 3rd Visit-Bonus</v>
      </c>
      <c r="M1361" t="str">
        <f t="shared" si="152"/>
        <v>CP955-NEW DONOR -3rd</v>
      </c>
    </row>
    <row r="1362" spans="1:13" x14ac:dyDescent="0.25">
      <c r="A1362" t="str">
        <f t="shared" si="153"/>
        <v>CP955-NEW DONOR -4th</v>
      </c>
      <c r="B1362" t="s">
        <v>331</v>
      </c>
      <c r="C1362" t="str">
        <f t="shared" si="147"/>
        <v>Hendersonville</v>
      </c>
      <c r="D1362" t="str">
        <f t="shared" si="148"/>
        <v>Y</v>
      </c>
      <c r="E1362" t="s">
        <v>630</v>
      </c>
      <c r="F1362" t="str">
        <f t="shared" si="149"/>
        <v>NEW DONOR -4th</v>
      </c>
      <c r="G1362" t="str">
        <f t="shared" si="150"/>
        <v>Marketing</v>
      </c>
      <c r="H1362" t="s">
        <v>558</v>
      </c>
      <c r="I1362">
        <f t="shared" si="151"/>
        <v>4</v>
      </c>
      <c r="J1362" t="s">
        <v>546</v>
      </c>
      <c r="K1362" s="5">
        <v>125</v>
      </c>
      <c r="L1362" t="str">
        <f>Table_DataFromNL[[#This Row],[PROFILECODE]]&amp;"-"&amp;Table_DataFromNL[[#This Row],[RULENAME]]</f>
        <v>CP955-New Donor 4th Visit-Bonus</v>
      </c>
      <c r="M1362" t="str">
        <f t="shared" si="152"/>
        <v>CP955-NEW DONOR -4th</v>
      </c>
    </row>
    <row r="1363" spans="1:13" x14ac:dyDescent="0.25">
      <c r="A1363" t="str">
        <f t="shared" si="153"/>
        <v>CP955-NEW DONOR -5th</v>
      </c>
      <c r="B1363" t="s">
        <v>331</v>
      </c>
      <c r="C1363" t="str">
        <f t="shared" si="147"/>
        <v>Hendersonville</v>
      </c>
      <c r="D1363" t="str">
        <f t="shared" si="148"/>
        <v>Y</v>
      </c>
      <c r="E1363" t="s">
        <v>630</v>
      </c>
      <c r="F1363" t="str">
        <f t="shared" si="149"/>
        <v>NEW DONOR -5th</v>
      </c>
      <c r="G1363" t="str">
        <f t="shared" si="150"/>
        <v>Marketing</v>
      </c>
      <c r="H1363" t="s">
        <v>559</v>
      </c>
      <c r="I1363">
        <f t="shared" si="151"/>
        <v>5</v>
      </c>
      <c r="J1363" t="s">
        <v>546</v>
      </c>
      <c r="K1363" s="5">
        <v>125</v>
      </c>
      <c r="L1363" t="str">
        <f>Table_DataFromNL[[#This Row],[PROFILECODE]]&amp;"-"&amp;Table_DataFromNL[[#This Row],[RULENAME]]</f>
        <v>CP955-New Donor 5th Visit-Bonus</v>
      </c>
      <c r="M1363" t="str">
        <f t="shared" si="152"/>
        <v>CP955-NEW DONOR -5th</v>
      </c>
    </row>
    <row r="1364" spans="1:13" x14ac:dyDescent="0.25">
      <c r="A1364" t="str">
        <f t="shared" si="153"/>
        <v>CP955-NEW DONOR -6th</v>
      </c>
      <c r="B1364" t="s">
        <v>331</v>
      </c>
      <c r="C1364" t="str">
        <f t="shared" si="147"/>
        <v>Hendersonville</v>
      </c>
      <c r="D1364" t="str">
        <f t="shared" si="148"/>
        <v>Y</v>
      </c>
      <c r="E1364" t="s">
        <v>630</v>
      </c>
      <c r="F1364" t="str">
        <f t="shared" si="149"/>
        <v>NEW DONOR -6th</v>
      </c>
      <c r="G1364" t="str">
        <f t="shared" si="150"/>
        <v>Marketing</v>
      </c>
      <c r="H1364" t="s">
        <v>560</v>
      </c>
      <c r="I1364">
        <f t="shared" si="151"/>
        <v>6</v>
      </c>
      <c r="J1364" t="s">
        <v>546</v>
      </c>
      <c r="K1364" s="5">
        <v>45</v>
      </c>
      <c r="L1364" t="str">
        <f>Table_DataFromNL[[#This Row],[PROFILECODE]]&amp;"-"&amp;Table_DataFromNL[[#This Row],[RULENAME]]</f>
        <v>CP955-New Donor 6th Visit-Bonus</v>
      </c>
      <c r="M1364" t="str">
        <f t="shared" si="152"/>
        <v>CP955-NEW DONOR -6th</v>
      </c>
    </row>
    <row r="1365" spans="1:13" x14ac:dyDescent="0.25">
      <c r="A1365" t="str">
        <f t="shared" si="153"/>
        <v>CP955-NEW DONOR -7th</v>
      </c>
      <c r="B1365" t="s">
        <v>331</v>
      </c>
      <c r="C1365" t="str">
        <f t="shared" si="147"/>
        <v>Hendersonville</v>
      </c>
      <c r="D1365" t="str">
        <f t="shared" si="148"/>
        <v>Y</v>
      </c>
      <c r="E1365" t="s">
        <v>630</v>
      </c>
      <c r="F1365" t="str">
        <f t="shared" si="149"/>
        <v>NEW DONOR -7th</v>
      </c>
      <c r="G1365" t="str">
        <f t="shared" si="150"/>
        <v>Marketing</v>
      </c>
      <c r="H1365" t="s">
        <v>561</v>
      </c>
      <c r="I1365">
        <f t="shared" si="151"/>
        <v>7</v>
      </c>
      <c r="J1365" t="s">
        <v>546</v>
      </c>
      <c r="K1365" s="5">
        <v>45</v>
      </c>
      <c r="L1365" t="str">
        <f>Table_DataFromNL[[#This Row],[PROFILECODE]]&amp;"-"&amp;Table_DataFromNL[[#This Row],[RULENAME]]</f>
        <v>CP955-New Donor 7th Visit-Bonus</v>
      </c>
      <c r="M1365" t="str">
        <f t="shared" si="152"/>
        <v>CP955-NEW DONOR -7th</v>
      </c>
    </row>
    <row r="1366" spans="1:13" x14ac:dyDescent="0.25">
      <c r="A1366" t="str">
        <f t="shared" si="153"/>
        <v>CP955-NEW DONOR -8th</v>
      </c>
      <c r="B1366" t="s">
        <v>331</v>
      </c>
      <c r="C1366" t="str">
        <f t="shared" si="147"/>
        <v>Hendersonville</v>
      </c>
      <c r="D1366" t="str">
        <f t="shared" si="148"/>
        <v>Y</v>
      </c>
      <c r="E1366" t="s">
        <v>630</v>
      </c>
      <c r="F1366" t="str">
        <f t="shared" si="149"/>
        <v>NEW DONOR -8th</v>
      </c>
      <c r="G1366" t="str">
        <f t="shared" si="150"/>
        <v>Marketing</v>
      </c>
      <c r="H1366" t="s">
        <v>562</v>
      </c>
      <c r="I1366">
        <f t="shared" si="151"/>
        <v>8</v>
      </c>
      <c r="J1366" t="s">
        <v>546</v>
      </c>
      <c r="K1366" s="5">
        <v>45</v>
      </c>
      <c r="L1366" t="str">
        <f>Table_DataFromNL[[#This Row],[PROFILECODE]]&amp;"-"&amp;Table_DataFromNL[[#This Row],[RULENAME]]</f>
        <v>CP955-New Donor 8th Visit-Bonus</v>
      </c>
      <c r="M1366" t="str">
        <f t="shared" si="152"/>
        <v>CP955-NEW DONOR -8th</v>
      </c>
    </row>
    <row r="1367" spans="1:13" x14ac:dyDescent="0.25">
      <c r="A1367" t="str">
        <f t="shared" si="153"/>
        <v>CP955-Community</v>
      </c>
      <c r="B1367" t="s">
        <v>331</v>
      </c>
      <c r="C1367" t="str">
        <f t="shared" si="147"/>
        <v>Hendersonville</v>
      </c>
      <c r="D1367" t="str">
        <f t="shared" si="148"/>
        <v>Y</v>
      </c>
      <c r="E1367" t="s">
        <v>630</v>
      </c>
      <c r="F1367" t="str">
        <f t="shared" si="149"/>
        <v>Community</v>
      </c>
      <c r="G1367">
        <f t="shared" si="150"/>
        <v>0</v>
      </c>
      <c r="H1367" t="s">
        <v>563</v>
      </c>
      <c r="I1367">
        <f t="shared" si="151"/>
        <v>0</v>
      </c>
      <c r="J1367" t="s">
        <v>564</v>
      </c>
      <c r="K1367" s="5">
        <v>5</v>
      </c>
      <c r="L1367" t="str">
        <f>Table_DataFromNL[[#This Row],[PROFILECODE]]&amp;"-"&amp;Table_DataFromNL[[#This Row],[RULENAME]]</f>
        <v>CP955-Community</v>
      </c>
      <c r="M1367" t="e">
        <f t="shared" si="152"/>
        <v>#N/A</v>
      </c>
    </row>
    <row r="1368" spans="1:13" x14ac:dyDescent="0.25">
      <c r="A1368" t="str">
        <f t="shared" si="153"/>
        <v>CP955-HANGER_RECRUIT_5USD_once</v>
      </c>
      <c r="B1368" t="s">
        <v>331</v>
      </c>
      <c r="C1368" t="str">
        <f t="shared" si="147"/>
        <v>Hendersonville</v>
      </c>
      <c r="D1368" t="str">
        <f t="shared" si="148"/>
        <v>Y</v>
      </c>
      <c r="E1368" t="s">
        <v>630</v>
      </c>
      <c r="F1368" t="str">
        <f t="shared" si="149"/>
        <v>HANGER_RECRUIT_5USD_once</v>
      </c>
      <c r="G1368">
        <f t="shared" si="150"/>
        <v>0</v>
      </c>
      <c r="H1368" t="s">
        <v>565</v>
      </c>
      <c r="I1368">
        <f t="shared" si="151"/>
        <v>0</v>
      </c>
      <c r="J1368" t="s">
        <v>564</v>
      </c>
      <c r="K1368" s="5">
        <v>5</v>
      </c>
      <c r="L1368" t="str">
        <f>Table_DataFromNL[[#This Row],[PROFILECODE]]&amp;"-"&amp;Table_DataFromNL[[#This Row],[RULENAME]]</f>
        <v>CP955-HANGER_RECRUIT_5USD_once</v>
      </c>
      <c r="M1368" t="e">
        <f t="shared" si="152"/>
        <v>#N/A</v>
      </c>
    </row>
    <row r="1369" spans="1:13" x14ac:dyDescent="0.25">
      <c r="A1369" t="str">
        <f t="shared" si="153"/>
        <v>CP955-Inconv Fee $20-$50-Comment Req'd</v>
      </c>
      <c r="B1369" t="s">
        <v>331</v>
      </c>
      <c r="C1369" t="str">
        <f t="shared" si="147"/>
        <v>Hendersonville</v>
      </c>
      <c r="D1369" t="str">
        <f t="shared" si="148"/>
        <v>Y</v>
      </c>
      <c r="E1369" t="s">
        <v>630</v>
      </c>
      <c r="F1369" t="str">
        <f t="shared" si="149"/>
        <v>Inconv Fee $20-$50-Comment Req'd</v>
      </c>
      <c r="G1369">
        <f t="shared" si="150"/>
        <v>0</v>
      </c>
      <c r="H1369" t="s">
        <v>566</v>
      </c>
      <c r="I1369">
        <f t="shared" si="151"/>
        <v>0</v>
      </c>
      <c r="J1369" t="s">
        <v>564</v>
      </c>
      <c r="K1369" s="5">
        <v>50</v>
      </c>
      <c r="L1369" t="str">
        <f>Table_DataFromNL[[#This Row],[PROFILECODE]]&amp;"-"&amp;Table_DataFromNL[[#This Row],[RULENAME]]</f>
        <v>CP955-Inconv Fee $20-$50-Comment Req'd</v>
      </c>
      <c r="M1369" t="e">
        <f t="shared" si="152"/>
        <v>#N/A</v>
      </c>
    </row>
    <row r="1370" spans="1:13" x14ac:dyDescent="0.25">
      <c r="A1370" t="str">
        <f t="shared" si="153"/>
        <v>CP955-Inconv Fee $5-$20-Comment Req'd</v>
      </c>
      <c r="B1370" t="s">
        <v>331</v>
      </c>
      <c r="C1370" t="str">
        <f t="shared" si="147"/>
        <v>Hendersonville</v>
      </c>
      <c r="D1370" t="str">
        <f t="shared" si="148"/>
        <v>Y</v>
      </c>
      <c r="E1370" t="s">
        <v>630</v>
      </c>
      <c r="F1370" t="str">
        <f t="shared" si="149"/>
        <v>Inconv Fee $5-$20-Comment Req'd</v>
      </c>
      <c r="G1370">
        <f t="shared" si="150"/>
        <v>0</v>
      </c>
      <c r="H1370" t="s">
        <v>567</v>
      </c>
      <c r="I1370">
        <f t="shared" si="151"/>
        <v>0</v>
      </c>
      <c r="J1370" t="s">
        <v>564</v>
      </c>
      <c r="K1370" s="5">
        <v>20</v>
      </c>
      <c r="L1370" t="str">
        <f>Table_DataFromNL[[#This Row],[PROFILECODE]]&amp;"-"&amp;Table_DataFromNL[[#This Row],[RULENAME]]</f>
        <v>CP955-Inconv Fee $5-$20-Comment Req'd</v>
      </c>
      <c r="M1370" t="e">
        <f t="shared" si="152"/>
        <v>#N/A</v>
      </c>
    </row>
    <row r="1371" spans="1:13" x14ac:dyDescent="0.25">
      <c r="A1371" t="str">
        <f t="shared" si="153"/>
        <v>CP955-Inconv Fee$50-$100-Comment Req'd</v>
      </c>
      <c r="B1371" t="s">
        <v>331</v>
      </c>
      <c r="C1371" t="str">
        <f t="shared" si="147"/>
        <v>Hendersonville</v>
      </c>
      <c r="D1371" t="str">
        <f t="shared" si="148"/>
        <v>Y</v>
      </c>
      <c r="E1371" t="s">
        <v>630</v>
      </c>
      <c r="F1371" t="str">
        <f t="shared" si="149"/>
        <v>Inconv Fee$50-$100-Comment Req'd</v>
      </c>
      <c r="G1371">
        <f t="shared" si="150"/>
        <v>0</v>
      </c>
      <c r="H1371" t="s">
        <v>568</v>
      </c>
      <c r="I1371">
        <f t="shared" si="151"/>
        <v>0</v>
      </c>
      <c r="J1371" t="s">
        <v>564</v>
      </c>
      <c r="K1371" s="5">
        <v>100</v>
      </c>
      <c r="L1371" t="str">
        <f>Table_DataFromNL[[#This Row],[PROFILECODE]]&amp;"-"&amp;Table_DataFromNL[[#This Row],[RULENAME]]</f>
        <v>CP955-Inconv Fee$50-$100-Comment Req'd</v>
      </c>
      <c r="M1371" t="e">
        <f t="shared" si="152"/>
        <v>#N/A</v>
      </c>
    </row>
    <row r="1372" spans="1:13" x14ac:dyDescent="0.25">
      <c r="A1372" t="str">
        <f t="shared" si="153"/>
        <v>CP955-NSP_ LAPSEDONOR_50_Twice</v>
      </c>
      <c r="B1372" t="s">
        <v>331</v>
      </c>
      <c r="C1372" t="str">
        <f t="shared" si="147"/>
        <v>Hendersonville</v>
      </c>
      <c r="D1372" t="str">
        <f t="shared" si="148"/>
        <v>Y</v>
      </c>
      <c r="E1372" t="s">
        <v>630</v>
      </c>
      <c r="F1372" t="str">
        <f t="shared" si="149"/>
        <v>NSP_ LAPSEDONOR_50_Twice</v>
      </c>
      <c r="G1372">
        <f t="shared" si="150"/>
        <v>0</v>
      </c>
      <c r="H1372" t="s">
        <v>569</v>
      </c>
      <c r="I1372">
        <f t="shared" si="151"/>
        <v>0</v>
      </c>
      <c r="J1372" t="s">
        <v>564</v>
      </c>
      <c r="K1372" s="5">
        <v>50</v>
      </c>
      <c r="L1372" t="str">
        <f>Table_DataFromNL[[#This Row],[PROFILECODE]]&amp;"-"&amp;Table_DataFromNL[[#This Row],[RULENAME]]</f>
        <v>CP955-NSP_ LAPSEDONOR_50_Twice</v>
      </c>
      <c r="M1372" t="e">
        <f t="shared" si="152"/>
        <v>#N/A</v>
      </c>
    </row>
    <row r="1373" spans="1:13" x14ac:dyDescent="0.25">
      <c r="A1373" t="str">
        <f t="shared" si="153"/>
        <v>CP955-NSP_LD_25_2X</v>
      </c>
      <c r="B1373" t="s">
        <v>331</v>
      </c>
      <c r="C1373" t="str">
        <f t="shared" si="147"/>
        <v>Hendersonville</v>
      </c>
      <c r="D1373" t="str">
        <f t="shared" si="148"/>
        <v>Y</v>
      </c>
      <c r="E1373" t="s">
        <v>630</v>
      </c>
      <c r="F1373" t="str">
        <f t="shared" si="149"/>
        <v>NSP_LD_25_2X</v>
      </c>
      <c r="G1373">
        <f t="shared" si="150"/>
        <v>0</v>
      </c>
      <c r="H1373" t="s">
        <v>570</v>
      </c>
      <c r="I1373">
        <f t="shared" si="151"/>
        <v>0</v>
      </c>
      <c r="J1373" t="s">
        <v>564</v>
      </c>
      <c r="K1373" s="5">
        <v>25</v>
      </c>
      <c r="L1373" t="str">
        <f>Table_DataFromNL[[#This Row],[PROFILECODE]]&amp;"-"&amp;Table_DataFromNL[[#This Row],[RULENAME]]</f>
        <v>CP955-NSP_LD_25_2X</v>
      </c>
      <c r="M1373" t="e">
        <f t="shared" si="152"/>
        <v>#N/A</v>
      </c>
    </row>
    <row r="1374" spans="1:13" x14ac:dyDescent="0.25">
      <c r="A1374" t="str">
        <f t="shared" si="153"/>
        <v>CP955-NSP_LD_50_1X</v>
      </c>
      <c r="B1374" t="s">
        <v>331</v>
      </c>
      <c r="C1374" t="str">
        <f t="shared" si="147"/>
        <v>Hendersonville</v>
      </c>
      <c r="D1374" t="str">
        <f t="shared" si="148"/>
        <v>Y</v>
      </c>
      <c r="E1374" t="s">
        <v>630</v>
      </c>
      <c r="F1374" t="str">
        <f t="shared" si="149"/>
        <v>NSP_LD_50_1X</v>
      </c>
      <c r="G1374">
        <f t="shared" si="150"/>
        <v>0</v>
      </c>
      <c r="H1374" t="s">
        <v>571</v>
      </c>
      <c r="I1374">
        <f t="shared" si="151"/>
        <v>0</v>
      </c>
      <c r="J1374" t="s">
        <v>564</v>
      </c>
      <c r="K1374" s="5">
        <v>50</v>
      </c>
      <c r="L1374" t="str">
        <f>Table_DataFromNL[[#This Row],[PROFILECODE]]&amp;"-"&amp;Table_DataFromNL[[#This Row],[RULENAME]]</f>
        <v>CP955-NSP_LD_50_1X</v>
      </c>
      <c r="M1374" t="e">
        <f t="shared" si="152"/>
        <v>#N/A</v>
      </c>
    </row>
    <row r="1375" spans="1:13" x14ac:dyDescent="0.25">
      <c r="A1375" t="str">
        <f t="shared" si="153"/>
        <v>CP955-NSP_ORPHAN_100_once</v>
      </c>
      <c r="B1375" t="s">
        <v>331</v>
      </c>
      <c r="C1375" t="str">
        <f t="shared" si="147"/>
        <v>Hendersonville</v>
      </c>
      <c r="D1375" t="str">
        <f t="shared" si="148"/>
        <v>Y</v>
      </c>
      <c r="E1375" t="s">
        <v>630</v>
      </c>
      <c r="F1375" t="str">
        <f t="shared" si="149"/>
        <v>NSP_ORPHAN_100_once</v>
      </c>
      <c r="G1375">
        <f t="shared" si="150"/>
        <v>0</v>
      </c>
      <c r="H1375" t="s">
        <v>572</v>
      </c>
      <c r="I1375">
        <f t="shared" si="151"/>
        <v>0</v>
      </c>
      <c r="J1375" t="s">
        <v>564</v>
      </c>
      <c r="K1375" s="5">
        <v>100</v>
      </c>
      <c r="L1375" t="str">
        <f>Table_DataFromNL[[#This Row],[PROFILECODE]]&amp;"-"&amp;Table_DataFromNL[[#This Row],[RULENAME]]</f>
        <v>CP955-NSP_ORPHAN_100_once</v>
      </c>
      <c r="M1375" t="e">
        <f t="shared" si="152"/>
        <v>#N/A</v>
      </c>
    </row>
    <row r="1376" spans="1:13" x14ac:dyDescent="0.25">
      <c r="A1376" t="str">
        <f t="shared" si="153"/>
        <v>CP955-Restick</v>
      </c>
      <c r="B1376" t="s">
        <v>331</v>
      </c>
      <c r="C1376" t="str">
        <f t="shared" si="147"/>
        <v>Hendersonville</v>
      </c>
      <c r="D1376" t="str">
        <f t="shared" si="148"/>
        <v>Y</v>
      </c>
      <c r="E1376" t="s">
        <v>630</v>
      </c>
      <c r="F1376" t="str">
        <f t="shared" si="149"/>
        <v>Restick</v>
      </c>
      <c r="G1376">
        <f t="shared" si="150"/>
        <v>0</v>
      </c>
      <c r="H1376" t="s">
        <v>573</v>
      </c>
      <c r="I1376">
        <f t="shared" si="151"/>
        <v>0</v>
      </c>
      <c r="J1376" t="s">
        <v>564</v>
      </c>
      <c r="K1376" s="5">
        <v>5</v>
      </c>
      <c r="L1376" t="str">
        <f>Table_DataFromNL[[#This Row],[PROFILECODE]]&amp;"-"&amp;Table_DataFromNL[[#This Row],[RULENAME]]</f>
        <v>CP955-Restick</v>
      </c>
      <c r="M1376" t="e">
        <f t="shared" si="152"/>
        <v>#N/A</v>
      </c>
    </row>
    <row r="1377" spans="1:13" x14ac:dyDescent="0.25">
      <c r="A1377" t="str">
        <f t="shared" si="153"/>
        <v>CP955-SCRATCH_100_USD</v>
      </c>
      <c r="B1377" t="s">
        <v>331</v>
      </c>
      <c r="C1377" t="str">
        <f t="shared" si="147"/>
        <v>Hendersonville</v>
      </c>
      <c r="D1377" t="str">
        <f t="shared" si="148"/>
        <v>Y</v>
      </c>
      <c r="E1377" t="s">
        <v>630</v>
      </c>
      <c r="F1377" t="str">
        <f t="shared" si="149"/>
        <v>SCRATCH_100_USD</v>
      </c>
      <c r="G1377">
        <f t="shared" si="150"/>
        <v>0</v>
      </c>
      <c r="H1377" t="s">
        <v>586</v>
      </c>
      <c r="I1377">
        <f t="shared" si="151"/>
        <v>0</v>
      </c>
      <c r="J1377" t="s">
        <v>564</v>
      </c>
      <c r="K1377" s="5">
        <v>100</v>
      </c>
      <c r="L1377" t="str">
        <f>Table_DataFromNL[[#This Row],[PROFILECODE]]&amp;"-"&amp;Table_DataFromNL[[#This Row],[RULENAME]]</f>
        <v>CP955-SCRATCH_100_USD</v>
      </c>
      <c r="M1377" t="e">
        <f t="shared" si="152"/>
        <v>#N/A</v>
      </c>
    </row>
    <row r="1378" spans="1:13" x14ac:dyDescent="0.25">
      <c r="A1378" t="str">
        <f t="shared" si="153"/>
        <v>CP955-SCRATCH_10_USD</v>
      </c>
      <c r="B1378" t="s">
        <v>331</v>
      </c>
      <c r="C1378" t="str">
        <f t="shared" si="147"/>
        <v>Hendersonville</v>
      </c>
      <c r="D1378" t="str">
        <f t="shared" si="148"/>
        <v>Y</v>
      </c>
      <c r="E1378" t="s">
        <v>630</v>
      </c>
      <c r="F1378" t="str">
        <f t="shared" si="149"/>
        <v>SCRATCH_10_USD</v>
      </c>
      <c r="G1378">
        <f t="shared" si="150"/>
        <v>0</v>
      </c>
      <c r="H1378" t="s">
        <v>587</v>
      </c>
      <c r="I1378">
        <f t="shared" si="151"/>
        <v>0</v>
      </c>
      <c r="J1378" t="s">
        <v>564</v>
      </c>
      <c r="K1378" s="5">
        <v>10</v>
      </c>
      <c r="L1378" t="str">
        <f>Table_DataFromNL[[#This Row],[PROFILECODE]]&amp;"-"&amp;Table_DataFromNL[[#This Row],[RULENAME]]</f>
        <v>CP955-SCRATCH_10_USD</v>
      </c>
      <c r="M1378" t="e">
        <f t="shared" si="152"/>
        <v>#N/A</v>
      </c>
    </row>
    <row r="1379" spans="1:13" x14ac:dyDescent="0.25">
      <c r="A1379" t="str">
        <f t="shared" si="153"/>
        <v>CP955-SCRATCH_20_USD</v>
      </c>
      <c r="B1379" t="s">
        <v>331</v>
      </c>
      <c r="C1379" t="str">
        <f t="shared" si="147"/>
        <v>Hendersonville</v>
      </c>
      <c r="D1379" t="str">
        <f t="shared" si="148"/>
        <v>Y</v>
      </c>
      <c r="E1379" t="s">
        <v>630</v>
      </c>
      <c r="F1379" t="str">
        <f t="shared" si="149"/>
        <v>SCRATCH_20_USD</v>
      </c>
      <c r="G1379">
        <f t="shared" si="150"/>
        <v>0</v>
      </c>
      <c r="H1379" t="s">
        <v>588</v>
      </c>
      <c r="I1379">
        <f t="shared" si="151"/>
        <v>0</v>
      </c>
      <c r="J1379" t="s">
        <v>564</v>
      </c>
      <c r="K1379" s="5">
        <v>20</v>
      </c>
      <c r="L1379" t="str">
        <f>Table_DataFromNL[[#This Row],[PROFILECODE]]&amp;"-"&amp;Table_DataFromNL[[#This Row],[RULENAME]]</f>
        <v>CP955-SCRATCH_20_USD</v>
      </c>
      <c r="M1379" t="e">
        <f t="shared" si="152"/>
        <v>#N/A</v>
      </c>
    </row>
    <row r="1380" spans="1:13" x14ac:dyDescent="0.25">
      <c r="A1380" t="str">
        <f t="shared" si="153"/>
        <v>CP955-SCRATCH_25_USD</v>
      </c>
      <c r="B1380" t="s">
        <v>331</v>
      </c>
      <c r="C1380" t="str">
        <f t="shared" si="147"/>
        <v>Hendersonville</v>
      </c>
      <c r="D1380" t="str">
        <f t="shared" si="148"/>
        <v>Y</v>
      </c>
      <c r="E1380" t="s">
        <v>630</v>
      </c>
      <c r="F1380" t="str">
        <f t="shared" si="149"/>
        <v>SCRATCH_25_USD</v>
      </c>
      <c r="G1380">
        <f t="shared" si="150"/>
        <v>0</v>
      </c>
      <c r="H1380" t="s">
        <v>589</v>
      </c>
      <c r="I1380">
        <f t="shared" si="151"/>
        <v>0</v>
      </c>
      <c r="J1380" t="s">
        <v>564</v>
      </c>
      <c r="K1380" s="5">
        <v>25</v>
      </c>
      <c r="L1380" t="str">
        <f>Table_DataFromNL[[#This Row],[PROFILECODE]]&amp;"-"&amp;Table_DataFromNL[[#This Row],[RULENAME]]</f>
        <v>CP955-SCRATCH_25_USD</v>
      </c>
      <c r="M1380" t="e">
        <f t="shared" si="152"/>
        <v>#N/A</v>
      </c>
    </row>
    <row r="1381" spans="1:13" x14ac:dyDescent="0.25">
      <c r="A1381" t="str">
        <f t="shared" si="153"/>
        <v>CP955-SCRATCH_50_USD</v>
      </c>
      <c r="B1381" t="s">
        <v>331</v>
      </c>
      <c r="C1381" t="str">
        <f t="shared" si="147"/>
        <v>Hendersonville</v>
      </c>
      <c r="D1381" t="str">
        <f t="shared" si="148"/>
        <v>Y</v>
      </c>
      <c r="E1381" t="s">
        <v>630</v>
      </c>
      <c r="F1381" t="str">
        <f t="shared" si="149"/>
        <v>SCRATCH_50_USD</v>
      </c>
      <c r="G1381">
        <f t="shared" si="150"/>
        <v>0</v>
      </c>
      <c r="H1381" t="s">
        <v>590</v>
      </c>
      <c r="I1381">
        <f t="shared" si="151"/>
        <v>0</v>
      </c>
      <c r="J1381" t="s">
        <v>564</v>
      </c>
      <c r="K1381" s="5">
        <v>50</v>
      </c>
      <c r="L1381" t="str">
        <f>Table_DataFromNL[[#This Row],[PROFILECODE]]&amp;"-"&amp;Table_DataFromNL[[#This Row],[RULENAME]]</f>
        <v>CP955-SCRATCH_50_USD</v>
      </c>
      <c r="M1381" t="e">
        <f t="shared" si="152"/>
        <v>#N/A</v>
      </c>
    </row>
    <row r="1382" spans="1:13" x14ac:dyDescent="0.25">
      <c r="A1382" t="str">
        <f t="shared" si="153"/>
        <v>CP955-SCRATCH_5_USD</v>
      </c>
      <c r="B1382" t="s">
        <v>331</v>
      </c>
      <c r="C1382" t="str">
        <f t="shared" si="147"/>
        <v>Hendersonville</v>
      </c>
      <c r="D1382" t="str">
        <f t="shared" si="148"/>
        <v>Y</v>
      </c>
      <c r="E1382" t="s">
        <v>630</v>
      </c>
      <c r="F1382" t="str">
        <f t="shared" si="149"/>
        <v>SCRATCH_5_USD</v>
      </c>
      <c r="G1382">
        <f t="shared" si="150"/>
        <v>0</v>
      </c>
      <c r="H1382" t="s">
        <v>591</v>
      </c>
      <c r="I1382">
        <f t="shared" si="151"/>
        <v>0</v>
      </c>
      <c r="J1382" t="s">
        <v>564</v>
      </c>
      <c r="K1382" s="5">
        <v>5</v>
      </c>
      <c r="L1382" t="str">
        <f>Table_DataFromNL[[#This Row],[PROFILECODE]]&amp;"-"&amp;Table_DataFromNL[[#This Row],[RULENAME]]</f>
        <v>CP955-SCRATCH_5_USD</v>
      </c>
      <c r="M1382" t="e">
        <f t="shared" si="152"/>
        <v>#N/A</v>
      </c>
    </row>
    <row r="1383" spans="1:13" x14ac:dyDescent="0.25">
      <c r="A1383" t="str">
        <f t="shared" si="153"/>
        <v>CP955-SLOW_TEXT_5</v>
      </c>
      <c r="B1383" t="s">
        <v>331</v>
      </c>
      <c r="C1383" t="str">
        <f t="shared" si="147"/>
        <v>Hendersonville</v>
      </c>
      <c r="D1383" t="str">
        <f t="shared" si="148"/>
        <v>Y</v>
      </c>
      <c r="E1383" t="s">
        <v>630</v>
      </c>
      <c r="F1383" t="str">
        <f t="shared" si="149"/>
        <v>SLOW_TEXT_5</v>
      </c>
      <c r="G1383">
        <f t="shared" si="150"/>
        <v>0</v>
      </c>
      <c r="H1383" t="s">
        <v>574</v>
      </c>
      <c r="I1383">
        <f t="shared" si="151"/>
        <v>0</v>
      </c>
      <c r="J1383" t="s">
        <v>564</v>
      </c>
      <c r="K1383" s="5">
        <v>5</v>
      </c>
      <c r="L1383" t="str">
        <f>Table_DataFromNL[[#This Row],[PROFILECODE]]&amp;"-"&amp;Table_DataFromNL[[#This Row],[RULENAME]]</f>
        <v>CP955-SLOW_TEXT_5</v>
      </c>
      <c r="M1383" t="e">
        <f t="shared" si="152"/>
        <v>#N/A</v>
      </c>
    </row>
    <row r="1384" spans="1:13" x14ac:dyDescent="0.25">
      <c r="A1384" t="str">
        <f t="shared" si="153"/>
        <v>CP955-Sample Only</v>
      </c>
      <c r="B1384" t="s">
        <v>331</v>
      </c>
      <c r="C1384" t="str">
        <f t="shared" si="147"/>
        <v>Hendersonville</v>
      </c>
      <c r="D1384" t="str">
        <f t="shared" si="148"/>
        <v>Y</v>
      </c>
      <c r="E1384" t="s">
        <v>630</v>
      </c>
      <c r="F1384" t="str">
        <f t="shared" si="149"/>
        <v>Sample Only</v>
      </c>
      <c r="G1384">
        <f t="shared" si="150"/>
        <v>0</v>
      </c>
      <c r="H1384" t="s">
        <v>575</v>
      </c>
      <c r="I1384">
        <f t="shared" si="151"/>
        <v>0</v>
      </c>
      <c r="J1384" t="s">
        <v>564</v>
      </c>
      <c r="K1384" s="5">
        <v>5</v>
      </c>
      <c r="L1384" t="str">
        <f>Table_DataFromNL[[#This Row],[PROFILECODE]]&amp;"-"&amp;Table_DataFromNL[[#This Row],[RULENAME]]</f>
        <v>CP955-Sample Only</v>
      </c>
      <c r="M1384" t="e">
        <f t="shared" si="152"/>
        <v>#N/A</v>
      </c>
    </row>
    <row r="1385" spans="1:13" x14ac:dyDescent="0.25">
      <c r="A1385" t="str">
        <f t="shared" si="153"/>
        <v>CP955-Unit Below 250 mL</v>
      </c>
      <c r="B1385" t="s">
        <v>331</v>
      </c>
      <c r="C1385" t="str">
        <f t="shared" si="147"/>
        <v>Hendersonville</v>
      </c>
      <c r="D1385" t="str">
        <f t="shared" si="148"/>
        <v>Y</v>
      </c>
      <c r="E1385" t="s">
        <v>630</v>
      </c>
      <c r="F1385" t="str">
        <f t="shared" si="149"/>
        <v>Unit Below 250 mL</v>
      </c>
      <c r="G1385">
        <f t="shared" si="150"/>
        <v>0</v>
      </c>
      <c r="H1385" t="s">
        <v>576</v>
      </c>
      <c r="I1385">
        <f t="shared" si="151"/>
        <v>0</v>
      </c>
      <c r="J1385" t="s">
        <v>564</v>
      </c>
      <c r="K1385" s="5">
        <v>5</v>
      </c>
      <c r="L1385" t="str">
        <f>Table_DataFromNL[[#This Row],[PROFILECODE]]&amp;"-"&amp;Table_DataFromNL[[#This Row],[RULENAME]]</f>
        <v>CP955-Unit Below 250 mL</v>
      </c>
      <c r="M1385" t="e">
        <f t="shared" si="152"/>
        <v>#N/A</v>
      </c>
    </row>
    <row r="1386" spans="1:13" x14ac:dyDescent="0.25">
      <c r="A1386" t="str">
        <f t="shared" si="153"/>
        <v>CP955-Unit above 250 mL/underdraw</v>
      </c>
      <c r="B1386" t="s">
        <v>331</v>
      </c>
      <c r="C1386" t="str">
        <f t="shared" si="147"/>
        <v>Hendersonville</v>
      </c>
      <c r="D1386" t="str">
        <f t="shared" si="148"/>
        <v>Y</v>
      </c>
      <c r="E1386" t="s">
        <v>630</v>
      </c>
      <c r="F1386" t="str">
        <f t="shared" si="149"/>
        <v>Unit above 250 mL/underdraw</v>
      </c>
      <c r="G1386">
        <f t="shared" si="150"/>
        <v>0</v>
      </c>
      <c r="H1386" t="s">
        <v>577</v>
      </c>
      <c r="I1386">
        <f t="shared" si="151"/>
        <v>0</v>
      </c>
      <c r="J1386" t="s">
        <v>564</v>
      </c>
      <c r="K1386" s="5">
        <v>10</v>
      </c>
      <c r="L1386" t="str">
        <f>Table_DataFromNL[[#This Row],[PROFILECODE]]&amp;"-"&amp;Table_DataFromNL[[#This Row],[RULENAME]]</f>
        <v>CP955-Unit above 250 mL/underdraw</v>
      </c>
      <c r="M1386" t="e">
        <f t="shared" si="152"/>
        <v>#N/A</v>
      </c>
    </row>
    <row r="1387" spans="1:13" x14ac:dyDescent="0.25">
      <c r="A1387" t="str">
        <f t="shared" si="153"/>
        <v>CP955-RETURN - Buddy referral  -BONUS</v>
      </c>
      <c r="B1387" t="s">
        <v>331</v>
      </c>
      <c r="C1387" t="str">
        <f t="shared" si="147"/>
        <v>Hendersonville</v>
      </c>
      <c r="D1387" t="str">
        <f t="shared" si="148"/>
        <v>Y</v>
      </c>
      <c r="E1387" t="s">
        <v>630</v>
      </c>
      <c r="F1387" t="str">
        <f t="shared" si="149"/>
        <v>RETURN - Buddy referral  -BONUS</v>
      </c>
      <c r="G1387" t="str">
        <f t="shared" si="150"/>
        <v>Marketing</v>
      </c>
      <c r="H1387" t="s">
        <v>34</v>
      </c>
      <c r="I1387">
        <f t="shared" si="151"/>
        <v>50</v>
      </c>
      <c r="J1387" t="s">
        <v>578</v>
      </c>
      <c r="K1387" s="5">
        <v>50</v>
      </c>
      <c r="L1387" t="str">
        <f>Table_DataFromNL[[#This Row],[PROFILECODE]]&amp;"-"&amp;Table_DataFromNL[[#This Row],[RULENAME]]</f>
        <v>CP955-Referral</v>
      </c>
      <c r="M1387" t="str">
        <f t="shared" si="152"/>
        <v>CP955-RETURN - Buddy referral  -BONUS</v>
      </c>
    </row>
    <row r="1388" spans="1:13" x14ac:dyDescent="0.25">
      <c r="A1388" t="str">
        <f t="shared" si="153"/>
        <v>CP955-P Anti-D Pre-Existing Standard</v>
      </c>
      <c r="B1388" t="s">
        <v>331</v>
      </c>
      <c r="C1388" t="str">
        <f t="shared" si="147"/>
        <v>Hendersonville</v>
      </c>
      <c r="D1388" t="str">
        <f t="shared" si="148"/>
        <v>Y</v>
      </c>
      <c r="E1388" t="s">
        <v>630</v>
      </c>
      <c r="F1388" t="str">
        <f t="shared" si="149"/>
        <v>P Anti-D Pre-Existing Standard</v>
      </c>
      <c r="G1388" t="str">
        <f t="shared" si="150"/>
        <v>Specialty</v>
      </c>
      <c r="H1388" t="s">
        <v>469</v>
      </c>
      <c r="I1388" t="str">
        <f t="shared" si="151"/>
        <v>RETURN - 1st don of the week -STD</v>
      </c>
      <c r="J1388" t="s">
        <v>579</v>
      </c>
      <c r="K1388" s="5">
        <v>50</v>
      </c>
      <c r="L1388" t="str">
        <f>Table_DataFromNL[[#This Row],[PROFILECODE]]&amp;"-"&amp;Table_DataFromNL[[#This Row],[RULENAME]]</f>
        <v>CP955-P Anti-D Pre-Existing Standard</v>
      </c>
      <c r="M1388" t="str">
        <f t="shared" si="152"/>
        <v>CP955-P Anti-D Pre-Existing Standard</v>
      </c>
    </row>
    <row r="1389" spans="1:13" x14ac:dyDescent="0.25">
      <c r="A1389" t="str">
        <f t="shared" si="153"/>
        <v>CP955-P Anti-D Standard</v>
      </c>
      <c r="B1389" t="s">
        <v>331</v>
      </c>
      <c r="C1389" t="str">
        <f t="shared" si="147"/>
        <v>Hendersonville</v>
      </c>
      <c r="D1389" t="str">
        <f t="shared" si="148"/>
        <v>Y</v>
      </c>
      <c r="E1389" t="s">
        <v>630</v>
      </c>
      <c r="F1389" t="str">
        <f t="shared" si="149"/>
        <v>P Anti-D Standard</v>
      </c>
      <c r="G1389" t="str">
        <f t="shared" si="150"/>
        <v>Specialty</v>
      </c>
      <c r="H1389" t="s">
        <v>474</v>
      </c>
      <c r="I1389" t="str">
        <f t="shared" si="151"/>
        <v>RETURN - 1st don of the week -STD</v>
      </c>
      <c r="J1389" t="s">
        <v>579</v>
      </c>
      <c r="K1389" s="5">
        <v>50</v>
      </c>
      <c r="L1389" t="str">
        <f>Table_DataFromNL[[#This Row],[PROFILECODE]]&amp;"-"&amp;Table_DataFromNL[[#This Row],[RULENAME]]</f>
        <v>CP955-P Anti-D Standard</v>
      </c>
      <c r="M1389" t="str">
        <f t="shared" si="152"/>
        <v>CP955-P Anti-D Standard</v>
      </c>
    </row>
    <row r="1390" spans="1:13" x14ac:dyDescent="0.25">
      <c r="A1390" t="str">
        <f t="shared" si="153"/>
        <v>CP955-RETURN - 1st don of the week -STD</v>
      </c>
      <c r="B1390" t="s">
        <v>331</v>
      </c>
      <c r="C1390" t="str">
        <f t="shared" si="147"/>
        <v>Hendersonville</v>
      </c>
      <c r="D1390" t="str">
        <f t="shared" si="148"/>
        <v>Y</v>
      </c>
      <c r="E1390" t="s">
        <v>630</v>
      </c>
      <c r="F1390" t="str">
        <f t="shared" si="149"/>
        <v>RETURN - 1st don of the week -STD</v>
      </c>
      <c r="G1390" t="str">
        <f t="shared" si="150"/>
        <v>Marketing</v>
      </c>
      <c r="H1390" t="s">
        <v>583</v>
      </c>
      <c r="I1390">
        <f t="shared" si="151"/>
        <v>22</v>
      </c>
      <c r="J1390" t="s">
        <v>579</v>
      </c>
      <c r="K1390" s="5">
        <v>45</v>
      </c>
      <c r="L1390" t="str">
        <f>Table_DataFromNL[[#This Row],[PROFILECODE]]&amp;"-"&amp;Table_DataFromNL[[#This Row],[RULENAME]]</f>
        <v>CP955-P NSP NS AP Standard</v>
      </c>
      <c r="M1390" t="str">
        <f t="shared" si="152"/>
        <v>CP955-RETURN - 1st don of the week -STD</v>
      </c>
    </row>
    <row r="1391" spans="1:13" x14ac:dyDescent="0.25">
      <c r="A1391" t="str">
        <f t="shared" si="153"/>
        <v>CP955-RETURN - 1st don of the week -STD</v>
      </c>
      <c r="B1391" t="s">
        <v>331</v>
      </c>
      <c r="C1391" t="str">
        <f t="shared" si="147"/>
        <v>Hendersonville</v>
      </c>
      <c r="D1391" t="str">
        <f t="shared" si="148"/>
        <v>Y</v>
      </c>
      <c r="E1391" t="s">
        <v>630</v>
      </c>
      <c r="F1391" t="str">
        <f t="shared" si="149"/>
        <v>RETURN - 1st don of the week -STD</v>
      </c>
      <c r="G1391" t="str">
        <f t="shared" si="150"/>
        <v>Marketing</v>
      </c>
      <c r="H1391" t="s">
        <v>584</v>
      </c>
      <c r="I1391">
        <f t="shared" si="151"/>
        <v>23</v>
      </c>
      <c r="J1391" t="s">
        <v>579</v>
      </c>
      <c r="K1391" s="5">
        <v>45</v>
      </c>
      <c r="L1391" t="str">
        <f>Table_DataFromNL[[#This Row],[PROFILECODE]]&amp;"-"&amp;Table_DataFromNL[[#This Row],[RULENAME]]</f>
        <v>CP955-P NSP NS Standard</v>
      </c>
      <c r="M1391" t="str">
        <f t="shared" si="152"/>
        <v>CP955-RETURN - 1st don of the week -STD</v>
      </c>
    </row>
    <row r="1392" spans="1:13" x14ac:dyDescent="0.25">
      <c r="A1392" t="str">
        <f t="shared" si="153"/>
        <v>CP872-1st Responder-Medical</v>
      </c>
      <c r="B1392" t="s">
        <v>416</v>
      </c>
      <c r="C1392" t="str">
        <f t="shared" si="147"/>
        <v>Hickory</v>
      </c>
      <c r="D1392" t="str">
        <f t="shared" si="148"/>
        <v>Y</v>
      </c>
      <c r="E1392" t="s">
        <v>631</v>
      </c>
      <c r="F1392" t="str">
        <f t="shared" si="149"/>
        <v>1st Responder-Medical</v>
      </c>
      <c r="G1392">
        <f t="shared" si="150"/>
        <v>0</v>
      </c>
      <c r="H1392" t="s">
        <v>545</v>
      </c>
      <c r="I1392">
        <f t="shared" si="151"/>
        <v>0</v>
      </c>
      <c r="J1392" t="s">
        <v>546</v>
      </c>
      <c r="K1392" s="5">
        <v>5</v>
      </c>
      <c r="L1392" t="str">
        <f>Table_DataFromNL[[#This Row],[PROFILECODE]]&amp;"-"&amp;Table_DataFromNL[[#This Row],[RULENAME]]</f>
        <v>CP872-1st Responder-Medical</v>
      </c>
      <c r="M1392" t="e">
        <f t="shared" si="152"/>
        <v>#N/A</v>
      </c>
    </row>
    <row r="1393" spans="1:13" x14ac:dyDescent="0.25">
      <c r="A1393" t="str">
        <f t="shared" si="153"/>
        <v>CP872-2X Week P Anti-D</v>
      </c>
      <c r="B1393" t="s">
        <v>416</v>
      </c>
      <c r="C1393" t="str">
        <f t="shared" si="147"/>
        <v>Hickory</v>
      </c>
      <c r="D1393" t="str">
        <f t="shared" si="148"/>
        <v>Y</v>
      </c>
      <c r="E1393" t="s">
        <v>631</v>
      </c>
      <c r="F1393" t="str">
        <f t="shared" si="149"/>
        <v>2X Week P Anti-D</v>
      </c>
      <c r="G1393" t="str">
        <f t="shared" si="150"/>
        <v>Specialty</v>
      </c>
      <c r="H1393" t="s">
        <v>518</v>
      </c>
      <c r="I1393" t="str">
        <f t="shared" si="151"/>
        <v>RETURN - 2nd don of the week -BONUS</v>
      </c>
      <c r="J1393" t="s">
        <v>546</v>
      </c>
      <c r="K1393" s="5">
        <v>15</v>
      </c>
      <c r="L1393" t="str">
        <f>Table_DataFromNL[[#This Row],[PROFILECODE]]&amp;"-"&amp;Table_DataFromNL[[#This Row],[RULENAME]]</f>
        <v>CP872-2X Week P Anti-D</v>
      </c>
      <c r="M1393" t="str">
        <f t="shared" si="152"/>
        <v>CP872-2X Week P Anti-D</v>
      </c>
    </row>
    <row r="1394" spans="1:13" x14ac:dyDescent="0.25">
      <c r="A1394" t="str">
        <f t="shared" si="153"/>
        <v>CP872-2X Week P CMV</v>
      </c>
      <c r="B1394" t="s">
        <v>416</v>
      </c>
      <c r="C1394" t="str">
        <f t="shared" si="147"/>
        <v>Hickory</v>
      </c>
      <c r="D1394" t="str">
        <f t="shared" si="148"/>
        <v>Y</v>
      </c>
      <c r="E1394" t="s">
        <v>631</v>
      </c>
      <c r="F1394" t="str">
        <f t="shared" si="149"/>
        <v>2X Week P CMV</v>
      </c>
      <c r="G1394" t="str">
        <f t="shared" si="150"/>
        <v>Specialty</v>
      </c>
      <c r="H1394" t="s">
        <v>498</v>
      </c>
      <c r="I1394" t="str">
        <f t="shared" si="151"/>
        <v>RETURN - 2nd don of the week -BONUS</v>
      </c>
      <c r="J1394" t="s">
        <v>546</v>
      </c>
      <c r="K1394" s="5">
        <v>30</v>
      </c>
      <c r="L1394" t="str">
        <f>Table_DataFromNL[[#This Row],[PROFILECODE]]&amp;"-"&amp;Table_DataFromNL[[#This Row],[RULENAME]]</f>
        <v>CP872-2X Week P CMV</v>
      </c>
      <c r="M1394" t="str">
        <f t="shared" si="152"/>
        <v>CP872-2X Week P CMV</v>
      </c>
    </row>
    <row r="1395" spans="1:13" x14ac:dyDescent="0.25">
      <c r="A1395" t="str">
        <f t="shared" si="153"/>
        <v>CP872-RETURN - 2nd don of the week -BONUS</v>
      </c>
      <c r="B1395" t="s">
        <v>416</v>
      </c>
      <c r="C1395" t="str">
        <f t="shared" si="147"/>
        <v>Hickory</v>
      </c>
      <c r="D1395" t="str">
        <f t="shared" si="148"/>
        <v>Y</v>
      </c>
      <c r="E1395" t="s">
        <v>631</v>
      </c>
      <c r="F1395" t="str">
        <f t="shared" si="149"/>
        <v>RETURN - 2nd don of the week -BONUS</v>
      </c>
      <c r="G1395" t="str">
        <f t="shared" si="150"/>
        <v>Marketing</v>
      </c>
      <c r="H1395" t="s">
        <v>550</v>
      </c>
      <c r="I1395">
        <f t="shared" si="151"/>
        <v>26</v>
      </c>
      <c r="J1395" t="s">
        <v>546</v>
      </c>
      <c r="K1395" s="5">
        <v>30</v>
      </c>
      <c r="L1395" t="str">
        <f>Table_DataFromNL[[#This Row],[PROFILECODE]]&amp;"-"&amp;Table_DataFromNL[[#This Row],[RULENAME]]</f>
        <v>CP872-2X Week P NSP NS</v>
      </c>
      <c r="M1395" t="str">
        <f t="shared" si="152"/>
        <v>CP872-RETURN - 2nd don of the week -BONUS</v>
      </c>
    </row>
    <row r="1396" spans="1:13" x14ac:dyDescent="0.25">
      <c r="A1396" t="str">
        <f t="shared" si="153"/>
        <v>CP872-RETURN - 2nd don of the week -BONUS</v>
      </c>
      <c r="B1396" t="s">
        <v>416</v>
      </c>
      <c r="C1396" t="str">
        <f t="shared" si="147"/>
        <v>Hickory</v>
      </c>
      <c r="D1396" t="str">
        <f t="shared" si="148"/>
        <v>Y</v>
      </c>
      <c r="E1396" t="s">
        <v>631</v>
      </c>
      <c r="F1396" t="str">
        <f t="shared" si="149"/>
        <v>RETURN - 2nd don of the week -BONUS</v>
      </c>
      <c r="G1396" t="str">
        <f t="shared" si="150"/>
        <v>Marketing</v>
      </c>
      <c r="H1396" t="s">
        <v>551</v>
      </c>
      <c r="I1396" t="str">
        <f t="shared" si="151"/>
        <v>RETURN - 2nd don of the week -BONUS</v>
      </c>
      <c r="J1396" t="s">
        <v>546</v>
      </c>
      <c r="K1396" s="5">
        <v>30</v>
      </c>
      <c r="L1396" t="str">
        <f>Table_DataFromNL[[#This Row],[PROFILECODE]]&amp;"-"&amp;Table_DataFromNL[[#This Row],[RULENAME]]</f>
        <v>CP872-2X Week P NSP NS AP</v>
      </c>
      <c r="M1396" t="str">
        <f t="shared" si="152"/>
        <v>CP872-RETURN - 2nd don of the week -BONUS</v>
      </c>
    </row>
    <row r="1397" spans="1:13" x14ac:dyDescent="0.25">
      <c r="A1397" t="str">
        <f t="shared" si="153"/>
        <v>CP872-2X Week P Tetanus</v>
      </c>
      <c r="B1397" t="s">
        <v>416</v>
      </c>
      <c r="C1397" t="str">
        <f t="shared" si="147"/>
        <v>Hickory</v>
      </c>
      <c r="D1397" t="str">
        <f t="shared" si="148"/>
        <v>Y</v>
      </c>
      <c r="E1397" t="s">
        <v>631</v>
      </c>
      <c r="F1397" t="str">
        <f t="shared" si="149"/>
        <v>2X Week P Tetanus</v>
      </c>
      <c r="G1397" t="str">
        <f t="shared" si="150"/>
        <v>Specialty</v>
      </c>
      <c r="H1397" t="s">
        <v>485</v>
      </c>
      <c r="I1397" t="str">
        <f t="shared" si="151"/>
        <v>RETURN - 2nd don of the week -BONUS</v>
      </c>
      <c r="J1397" t="s">
        <v>546</v>
      </c>
      <c r="K1397" s="5">
        <v>30</v>
      </c>
      <c r="L1397" t="str">
        <f>Table_DataFromNL[[#This Row],[PROFILECODE]]&amp;"-"&amp;Table_DataFromNL[[#This Row],[RULENAME]]</f>
        <v>CP872-2X Week P Tetanus</v>
      </c>
      <c r="M1397" t="str">
        <f t="shared" si="152"/>
        <v>CP872-2X Week P Tetanus</v>
      </c>
    </row>
    <row r="1398" spans="1:13" x14ac:dyDescent="0.25">
      <c r="A1398" t="str">
        <f t="shared" si="153"/>
        <v>CP872-2X Week P Tetanus AP</v>
      </c>
      <c r="B1398" t="s">
        <v>416</v>
      </c>
      <c r="C1398" t="str">
        <f t="shared" si="147"/>
        <v>Hickory</v>
      </c>
      <c r="D1398" t="str">
        <f t="shared" si="148"/>
        <v>Y</v>
      </c>
      <c r="E1398" t="s">
        <v>631</v>
      </c>
      <c r="F1398" t="str">
        <f t="shared" si="149"/>
        <v>2X Week P Tetanus AP</v>
      </c>
      <c r="G1398" t="str">
        <f t="shared" si="150"/>
        <v>Specialty</v>
      </c>
      <c r="H1398" t="s">
        <v>486</v>
      </c>
      <c r="I1398" t="str">
        <f t="shared" si="151"/>
        <v>RETURN - 2nd don of the week -BONUS</v>
      </c>
      <c r="J1398" t="s">
        <v>546</v>
      </c>
      <c r="K1398" s="5">
        <v>30</v>
      </c>
      <c r="L1398" t="str">
        <f>Table_DataFromNL[[#This Row],[PROFILECODE]]&amp;"-"&amp;Table_DataFromNL[[#This Row],[RULENAME]]</f>
        <v>CP872-2X Week P Tetanus AP</v>
      </c>
      <c r="M1398" t="str">
        <f t="shared" si="152"/>
        <v>CP872-2X Week P Tetanus AP</v>
      </c>
    </row>
    <row r="1399" spans="1:13" x14ac:dyDescent="0.25">
      <c r="A1399" t="str">
        <f t="shared" si="153"/>
        <v>CP872-2X Week P Tetanus PE</v>
      </c>
      <c r="B1399" t="s">
        <v>416</v>
      </c>
      <c r="C1399" t="str">
        <f t="shared" si="147"/>
        <v>Hickory</v>
      </c>
      <c r="D1399" t="str">
        <f t="shared" si="148"/>
        <v>Y</v>
      </c>
      <c r="E1399" t="s">
        <v>631</v>
      </c>
      <c r="F1399" t="str">
        <f t="shared" si="149"/>
        <v>2X Week P Tetanus PE</v>
      </c>
      <c r="G1399" t="str">
        <f t="shared" si="150"/>
        <v>Specialty</v>
      </c>
      <c r="H1399" t="s">
        <v>487</v>
      </c>
      <c r="I1399" t="str">
        <f t="shared" si="151"/>
        <v>RETURN - 2nd don of the week -BONUS</v>
      </c>
      <c r="J1399" t="s">
        <v>546</v>
      </c>
      <c r="K1399" s="5">
        <v>30</v>
      </c>
      <c r="L1399" t="str">
        <f>Table_DataFromNL[[#This Row],[PROFILECODE]]&amp;"-"&amp;Table_DataFromNL[[#This Row],[RULENAME]]</f>
        <v>CP872-2X Week P Tetanus PE</v>
      </c>
      <c r="M1399" t="str">
        <f t="shared" si="152"/>
        <v>CP872-2X Week P Tetanus PE</v>
      </c>
    </row>
    <row r="1400" spans="1:13" x14ac:dyDescent="0.25">
      <c r="A1400" t="str">
        <f t="shared" si="153"/>
        <v>CP872-RETURN - 6th don of the month -BONUS</v>
      </c>
      <c r="B1400" t="s">
        <v>416</v>
      </c>
      <c r="C1400" t="str">
        <f t="shared" si="147"/>
        <v>Hickory</v>
      </c>
      <c r="D1400" t="str">
        <f t="shared" si="148"/>
        <v>Y</v>
      </c>
      <c r="E1400" t="s">
        <v>631</v>
      </c>
      <c r="F1400" t="str">
        <f t="shared" si="149"/>
        <v>RETURN - 6th don of the month -BONUS</v>
      </c>
      <c r="G1400" t="str">
        <f t="shared" si="150"/>
        <v>Marketing</v>
      </c>
      <c r="H1400" t="s">
        <v>552</v>
      </c>
      <c r="I1400">
        <f t="shared" si="151"/>
        <v>28</v>
      </c>
      <c r="J1400" t="s">
        <v>546</v>
      </c>
      <c r="K1400" s="5">
        <v>30</v>
      </c>
      <c r="L1400" t="str">
        <f>Table_DataFromNL[[#This Row],[PROFILECODE]]&amp;"-"&amp;Table_DataFromNL[[#This Row],[RULENAME]]</f>
        <v>CP872-6X Month</v>
      </c>
      <c r="M1400" t="str">
        <f t="shared" si="152"/>
        <v>CP872-RETURN - 6th don of the month -BONUS</v>
      </c>
    </row>
    <row r="1401" spans="1:13" x14ac:dyDescent="0.25">
      <c r="A1401" t="str">
        <f t="shared" si="153"/>
        <v>CP872-College ID Standard Bonus</v>
      </c>
      <c r="B1401" t="s">
        <v>416</v>
      </c>
      <c r="C1401" t="str">
        <f t="shared" si="147"/>
        <v>Hickory</v>
      </c>
      <c r="D1401" t="str">
        <f t="shared" si="148"/>
        <v>Y</v>
      </c>
      <c r="E1401" t="s">
        <v>631</v>
      </c>
      <c r="F1401" t="str">
        <f t="shared" si="149"/>
        <v>College ID Standard Bonus</v>
      </c>
      <c r="G1401">
        <f t="shared" si="150"/>
        <v>0</v>
      </c>
      <c r="H1401" t="s">
        <v>553</v>
      </c>
      <c r="I1401">
        <f t="shared" si="151"/>
        <v>0</v>
      </c>
      <c r="J1401" t="s">
        <v>546</v>
      </c>
      <c r="K1401" s="5">
        <v>5</v>
      </c>
      <c r="L1401" t="str">
        <f>Table_DataFromNL[[#This Row],[PROFILECODE]]&amp;"-"&amp;Table_DataFromNL[[#This Row],[RULENAME]]</f>
        <v>CP872-College ID Standard Bonus</v>
      </c>
      <c r="M1401" t="e">
        <f t="shared" si="152"/>
        <v>#N/A</v>
      </c>
    </row>
    <row r="1402" spans="1:13" x14ac:dyDescent="0.25">
      <c r="A1402" t="str">
        <f t="shared" si="153"/>
        <v>CP872-Military ID</v>
      </c>
      <c r="B1402" t="s">
        <v>416</v>
      </c>
      <c r="C1402" t="str">
        <f t="shared" si="147"/>
        <v>Hickory</v>
      </c>
      <c r="D1402" t="str">
        <f t="shared" si="148"/>
        <v>Y</v>
      </c>
      <c r="E1402" t="s">
        <v>631</v>
      </c>
      <c r="F1402" t="str">
        <f t="shared" si="149"/>
        <v>Military ID</v>
      </c>
      <c r="G1402">
        <f t="shared" si="150"/>
        <v>0</v>
      </c>
      <c r="H1402" t="s">
        <v>554</v>
      </c>
      <c r="I1402">
        <f t="shared" si="151"/>
        <v>0</v>
      </c>
      <c r="J1402" t="s">
        <v>546</v>
      </c>
      <c r="K1402" s="5">
        <v>5</v>
      </c>
      <c r="L1402" t="str">
        <f>Table_DataFromNL[[#This Row],[PROFILECODE]]&amp;"-"&amp;Table_DataFromNL[[#This Row],[RULENAME]]</f>
        <v>CP872-Military ID</v>
      </c>
      <c r="M1402" t="e">
        <f t="shared" si="152"/>
        <v>#N/A</v>
      </c>
    </row>
    <row r="1403" spans="1:13" x14ac:dyDescent="0.25">
      <c r="A1403" t="str">
        <f t="shared" si="153"/>
        <v>CP872-NEW DONOR -1st</v>
      </c>
      <c r="B1403" t="s">
        <v>416</v>
      </c>
      <c r="C1403" t="str">
        <f t="shared" si="147"/>
        <v>Hickory</v>
      </c>
      <c r="D1403" t="str">
        <f t="shared" si="148"/>
        <v>Y</v>
      </c>
      <c r="E1403" t="s">
        <v>631</v>
      </c>
      <c r="F1403" t="str">
        <f t="shared" si="149"/>
        <v>NEW DONOR -1st</v>
      </c>
      <c r="G1403" t="str">
        <f t="shared" si="150"/>
        <v>Marketing</v>
      </c>
      <c r="H1403" t="s">
        <v>555</v>
      </c>
      <c r="I1403">
        <f t="shared" si="151"/>
        <v>1</v>
      </c>
      <c r="J1403" t="s">
        <v>546</v>
      </c>
      <c r="K1403" s="5">
        <v>100</v>
      </c>
      <c r="L1403" t="str">
        <f>Table_DataFromNL[[#This Row],[PROFILECODE]]&amp;"-"&amp;Table_DataFromNL[[#This Row],[RULENAME]]</f>
        <v>CP872-New Donor 1st Visit-Bonus</v>
      </c>
      <c r="M1403" t="str">
        <f t="shared" si="152"/>
        <v>CP872-NEW DONOR -1st</v>
      </c>
    </row>
    <row r="1404" spans="1:13" x14ac:dyDescent="0.25">
      <c r="A1404" t="str">
        <f t="shared" si="153"/>
        <v>CP872-NEW DONOR -2nd</v>
      </c>
      <c r="B1404" t="s">
        <v>416</v>
      </c>
      <c r="C1404" t="str">
        <f t="shared" si="147"/>
        <v>Hickory</v>
      </c>
      <c r="D1404" t="str">
        <f t="shared" si="148"/>
        <v>Y</v>
      </c>
      <c r="E1404" t="s">
        <v>631</v>
      </c>
      <c r="F1404" t="str">
        <f t="shared" si="149"/>
        <v>NEW DONOR -2nd</v>
      </c>
      <c r="G1404" t="str">
        <f t="shared" si="150"/>
        <v>Marketing</v>
      </c>
      <c r="H1404" t="s">
        <v>556</v>
      </c>
      <c r="I1404">
        <f t="shared" si="151"/>
        <v>2</v>
      </c>
      <c r="J1404" t="s">
        <v>546</v>
      </c>
      <c r="K1404" s="5">
        <v>100</v>
      </c>
      <c r="L1404" t="str">
        <f>Table_DataFromNL[[#This Row],[PROFILECODE]]&amp;"-"&amp;Table_DataFromNL[[#This Row],[RULENAME]]</f>
        <v>CP872-New Donor 2nd Visit-Bonus</v>
      </c>
      <c r="M1404" t="str">
        <f t="shared" si="152"/>
        <v>CP872-NEW DONOR -2nd</v>
      </c>
    </row>
    <row r="1405" spans="1:13" x14ac:dyDescent="0.25">
      <c r="A1405" t="str">
        <f t="shared" si="153"/>
        <v>CP872-NEW DONOR -3rd</v>
      </c>
      <c r="B1405" t="s">
        <v>416</v>
      </c>
      <c r="C1405" t="str">
        <f t="shared" si="147"/>
        <v>Hickory</v>
      </c>
      <c r="D1405" t="str">
        <f t="shared" si="148"/>
        <v>Y</v>
      </c>
      <c r="E1405" t="s">
        <v>631</v>
      </c>
      <c r="F1405" t="str">
        <f t="shared" si="149"/>
        <v>NEW DONOR -3rd</v>
      </c>
      <c r="G1405" t="str">
        <f t="shared" si="150"/>
        <v>Marketing</v>
      </c>
      <c r="H1405" t="s">
        <v>557</v>
      </c>
      <c r="I1405">
        <f t="shared" si="151"/>
        <v>3</v>
      </c>
      <c r="J1405" t="s">
        <v>546</v>
      </c>
      <c r="K1405" s="5">
        <v>100</v>
      </c>
      <c r="L1405" t="str">
        <f>Table_DataFromNL[[#This Row],[PROFILECODE]]&amp;"-"&amp;Table_DataFromNL[[#This Row],[RULENAME]]</f>
        <v>CP872-New Donor 3rd Visit-Bonus</v>
      </c>
      <c r="M1405" t="str">
        <f t="shared" si="152"/>
        <v>CP872-NEW DONOR -3rd</v>
      </c>
    </row>
    <row r="1406" spans="1:13" x14ac:dyDescent="0.25">
      <c r="A1406" t="str">
        <f t="shared" si="153"/>
        <v>CP872-NEW DONOR -4th</v>
      </c>
      <c r="B1406" t="s">
        <v>416</v>
      </c>
      <c r="C1406" t="str">
        <f t="shared" si="147"/>
        <v>Hickory</v>
      </c>
      <c r="D1406" t="str">
        <f t="shared" si="148"/>
        <v>Y</v>
      </c>
      <c r="E1406" t="s">
        <v>631</v>
      </c>
      <c r="F1406" t="str">
        <f t="shared" si="149"/>
        <v>NEW DONOR -4th</v>
      </c>
      <c r="G1406" t="str">
        <f t="shared" si="150"/>
        <v>Marketing</v>
      </c>
      <c r="H1406" t="s">
        <v>558</v>
      </c>
      <c r="I1406">
        <f t="shared" si="151"/>
        <v>4</v>
      </c>
      <c r="J1406" t="s">
        <v>546</v>
      </c>
      <c r="K1406" s="5">
        <v>30</v>
      </c>
      <c r="L1406" t="str">
        <f>Table_DataFromNL[[#This Row],[PROFILECODE]]&amp;"-"&amp;Table_DataFromNL[[#This Row],[RULENAME]]</f>
        <v>CP872-New Donor 4th Visit-Bonus</v>
      </c>
      <c r="M1406" t="str">
        <f t="shared" si="152"/>
        <v>CP872-NEW DONOR -4th</v>
      </c>
    </row>
    <row r="1407" spans="1:13" x14ac:dyDescent="0.25">
      <c r="A1407" t="str">
        <f t="shared" si="153"/>
        <v>CP872-NEW DONOR -5th</v>
      </c>
      <c r="B1407" t="s">
        <v>416</v>
      </c>
      <c r="C1407" t="str">
        <f t="shared" si="147"/>
        <v>Hickory</v>
      </c>
      <c r="D1407" t="str">
        <f t="shared" si="148"/>
        <v>Y</v>
      </c>
      <c r="E1407" t="s">
        <v>631</v>
      </c>
      <c r="F1407" t="str">
        <f t="shared" si="149"/>
        <v>NEW DONOR -5th</v>
      </c>
      <c r="G1407" t="str">
        <f t="shared" si="150"/>
        <v>Marketing</v>
      </c>
      <c r="H1407" t="s">
        <v>559</v>
      </c>
      <c r="I1407">
        <f t="shared" si="151"/>
        <v>5</v>
      </c>
      <c r="J1407" t="s">
        <v>546</v>
      </c>
      <c r="K1407" s="5">
        <v>30</v>
      </c>
      <c r="L1407" t="str">
        <f>Table_DataFromNL[[#This Row],[PROFILECODE]]&amp;"-"&amp;Table_DataFromNL[[#This Row],[RULENAME]]</f>
        <v>CP872-New Donor 5th Visit-Bonus</v>
      </c>
      <c r="M1407" t="str">
        <f t="shared" si="152"/>
        <v>CP872-NEW DONOR -5th</v>
      </c>
    </row>
    <row r="1408" spans="1:13" x14ac:dyDescent="0.25">
      <c r="A1408" t="str">
        <f t="shared" si="153"/>
        <v>CP872-NEW DONOR -6th</v>
      </c>
      <c r="B1408" t="s">
        <v>416</v>
      </c>
      <c r="C1408" t="str">
        <f t="shared" si="147"/>
        <v>Hickory</v>
      </c>
      <c r="D1408" t="str">
        <f t="shared" si="148"/>
        <v>Y</v>
      </c>
      <c r="E1408" t="s">
        <v>631</v>
      </c>
      <c r="F1408" t="str">
        <f t="shared" si="149"/>
        <v>NEW DONOR -6th</v>
      </c>
      <c r="G1408" t="str">
        <f t="shared" si="150"/>
        <v>Marketing</v>
      </c>
      <c r="H1408" t="s">
        <v>560</v>
      </c>
      <c r="I1408">
        <f t="shared" si="151"/>
        <v>6</v>
      </c>
      <c r="J1408" t="s">
        <v>546</v>
      </c>
      <c r="K1408" s="5">
        <v>30</v>
      </c>
      <c r="L1408" t="str">
        <f>Table_DataFromNL[[#This Row],[PROFILECODE]]&amp;"-"&amp;Table_DataFromNL[[#This Row],[RULENAME]]</f>
        <v>CP872-New Donor 6th Visit-Bonus</v>
      </c>
      <c r="M1408" t="str">
        <f t="shared" si="152"/>
        <v>CP872-NEW DONOR -6th</v>
      </c>
    </row>
    <row r="1409" spans="1:13" x14ac:dyDescent="0.25">
      <c r="A1409" t="str">
        <f t="shared" si="153"/>
        <v>CP872-NEW DONOR -7th</v>
      </c>
      <c r="B1409" t="s">
        <v>416</v>
      </c>
      <c r="C1409" t="str">
        <f t="shared" si="147"/>
        <v>Hickory</v>
      </c>
      <c r="D1409" t="str">
        <f t="shared" si="148"/>
        <v>Y</v>
      </c>
      <c r="E1409" t="s">
        <v>631</v>
      </c>
      <c r="F1409" t="str">
        <f t="shared" si="149"/>
        <v>NEW DONOR -7th</v>
      </c>
      <c r="G1409" t="str">
        <f t="shared" si="150"/>
        <v>Marketing</v>
      </c>
      <c r="H1409" t="s">
        <v>561</v>
      </c>
      <c r="I1409">
        <f t="shared" si="151"/>
        <v>7</v>
      </c>
      <c r="J1409" t="s">
        <v>546</v>
      </c>
      <c r="K1409" s="5">
        <v>30</v>
      </c>
      <c r="L1409" t="str">
        <f>Table_DataFromNL[[#This Row],[PROFILECODE]]&amp;"-"&amp;Table_DataFromNL[[#This Row],[RULENAME]]</f>
        <v>CP872-New Donor 7th Visit-Bonus</v>
      </c>
      <c r="M1409" t="str">
        <f t="shared" si="152"/>
        <v>CP872-NEW DONOR -7th</v>
      </c>
    </row>
    <row r="1410" spans="1:13" x14ac:dyDescent="0.25">
      <c r="A1410" t="str">
        <f t="shared" si="153"/>
        <v>CP872-NEW DONOR -8th</v>
      </c>
      <c r="B1410" t="s">
        <v>416</v>
      </c>
      <c r="C1410" t="str">
        <f t="shared" ref="C1410:C1473" si="154">VLOOKUP(B1410,CenterLU,2,FALSE)</f>
        <v>Hickory</v>
      </c>
      <c r="D1410" t="str">
        <f t="shared" ref="D1410:D1473" si="155">VLOOKUP(B1410,CenterLU,3,FALSE)</f>
        <v>Y</v>
      </c>
      <c r="E1410" t="s">
        <v>631</v>
      </c>
      <c r="F1410" t="str">
        <f t="shared" ref="F1410:F1473" si="156">IF(VLOOKUP(H1410,RULENAMELU,3,FALSE)=0,H1410,VLOOKUP(H1410,RULENAMELU,3,FALSE))</f>
        <v>NEW DONOR -8th</v>
      </c>
      <c r="G1410" t="str">
        <f t="shared" ref="G1410:G1473" si="157">VLOOKUP(H1410,RULENAMELU,4,FALSE)</f>
        <v>Marketing</v>
      </c>
      <c r="H1410" t="s">
        <v>562</v>
      </c>
      <c r="I1410">
        <f t="shared" ref="I1410:I1473" si="158">VLOOKUP(H1410,RULENAMELU,5,FALSE)</f>
        <v>8</v>
      </c>
      <c r="J1410" t="s">
        <v>546</v>
      </c>
      <c r="K1410" s="5">
        <v>30</v>
      </c>
      <c r="L1410" t="str">
        <f>Table_DataFromNL[[#This Row],[PROFILECODE]]&amp;"-"&amp;Table_DataFromNL[[#This Row],[RULENAME]]</f>
        <v>CP872-New Donor 8th Visit-Bonus</v>
      </c>
      <c r="M1410" t="str">
        <f t="shared" ref="M1410:M1473" si="159">IFERROR(VLOOKUP(A1410,PaychangesLU,1,FALSE),VLOOKUP(A1410,SpecialtyCheckLU,1,FALSE))</f>
        <v>CP872-NEW DONOR -8th</v>
      </c>
    </row>
    <row r="1411" spans="1:13" x14ac:dyDescent="0.25">
      <c r="A1411" t="str">
        <f t="shared" ref="A1411:A1474" si="160">B1411&amp;"-"&amp;F1411</f>
        <v>CP872-Community</v>
      </c>
      <c r="B1411" t="s">
        <v>416</v>
      </c>
      <c r="C1411" t="str">
        <f t="shared" si="154"/>
        <v>Hickory</v>
      </c>
      <c r="D1411" t="str">
        <f t="shared" si="155"/>
        <v>Y</v>
      </c>
      <c r="E1411" t="s">
        <v>631</v>
      </c>
      <c r="F1411" t="str">
        <f t="shared" si="156"/>
        <v>Community</v>
      </c>
      <c r="G1411">
        <f t="shared" si="157"/>
        <v>0</v>
      </c>
      <c r="H1411" t="s">
        <v>563</v>
      </c>
      <c r="I1411">
        <f t="shared" si="158"/>
        <v>0</v>
      </c>
      <c r="J1411" t="s">
        <v>564</v>
      </c>
      <c r="K1411" s="5">
        <v>5</v>
      </c>
      <c r="L1411" t="str">
        <f>Table_DataFromNL[[#This Row],[PROFILECODE]]&amp;"-"&amp;Table_DataFromNL[[#This Row],[RULENAME]]</f>
        <v>CP872-Community</v>
      </c>
      <c r="M1411" t="e">
        <f t="shared" si="159"/>
        <v>#N/A</v>
      </c>
    </row>
    <row r="1412" spans="1:13" x14ac:dyDescent="0.25">
      <c r="A1412" t="str">
        <f t="shared" si="160"/>
        <v>CP872-HANGER_RECRUIT_5USD_once</v>
      </c>
      <c r="B1412" t="s">
        <v>416</v>
      </c>
      <c r="C1412" t="str">
        <f t="shared" si="154"/>
        <v>Hickory</v>
      </c>
      <c r="D1412" t="str">
        <f t="shared" si="155"/>
        <v>Y</v>
      </c>
      <c r="E1412" t="s">
        <v>631</v>
      </c>
      <c r="F1412" t="str">
        <f t="shared" si="156"/>
        <v>HANGER_RECRUIT_5USD_once</v>
      </c>
      <c r="G1412">
        <f t="shared" si="157"/>
        <v>0</v>
      </c>
      <c r="H1412" t="s">
        <v>565</v>
      </c>
      <c r="I1412">
        <f t="shared" si="158"/>
        <v>0</v>
      </c>
      <c r="J1412" t="s">
        <v>564</v>
      </c>
      <c r="K1412" s="5">
        <v>5</v>
      </c>
      <c r="L1412" t="str">
        <f>Table_DataFromNL[[#This Row],[PROFILECODE]]&amp;"-"&amp;Table_DataFromNL[[#This Row],[RULENAME]]</f>
        <v>CP872-HANGER_RECRUIT_5USD_once</v>
      </c>
      <c r="M1412" t="e">
        <f t="shared" si="159"/>
        <v>#N/A</v>
      </c>
    </row>
    <row r="1413" spans="1:13" x14ac:dyDescent="0.25">
      <c r="A1413" t="str">
        <f t="shared" si="160"/>
        <v>CP872-Immunization Boost Payment</v>
      </c>
      <c r="B1413" t="s">
        <v>416</v>
      </c>
      <c r="C1413" t="str">
        <f t="shared" si="154"/>
        <v>Hickory</v>
      </c>
      <c r="D1413" t="str">
        <f t="shared" si="155"/>
        <v>Y</v>
      </c>
      <c r="E1413" t="s">
        <v>631</v>
      </c>
      <c r="F1413" t="str">
        <f t="shared" si="156"/>
        <v>Immunization Boost Payment</v>
      </c>
      <c r="G1413">
        <f t="shared" si="157"/>
        <v>0</v>
      </c>
      <c r="H1413" t="s">
        <v>598</v>
      </c>
      <c r="I1413">
        <f t="shared" si="158"/>
        <v>0</v>
      </c>
      <c r="J1413" t="s">
        <v>564</v>
      </c>
      <c r="K1413" s="5">
        <v>50</v>
      </c>
      <c r="L1413" t="str">
        <f>Table_DataFromNL[[#This Row],[PROFILECODE]]&amp;"-"&amp;Table_DataFromNL[[#This Row],[RULENAME]]</f>
        <v>CP872-Immunization Boost Payment</v>
      </c>
      <c r="M1413" t="e">
        <f t="shared" si="159"/>
        <v>#N/A</v>
      </c>
    </row>
    <row r="1414" spans="1:13" x14ac:dyDescent="0.25">
      <c r="A1414" t="str">
        <f t="shared" si="160"/>
        <v>CP872-Immunization Series Payment</v>
      </c>
      <c r="B1414" t="s">
        <v>416</v>
      </c>
      <c r="C1414" t="str">
        <f t="shared" si="154"/>
        <v>Hickory</v>
      </c>
      <c r="D1414" t="str">
        <f t="shared" si="155"/>
        <v>Y</v>
      </c>
      <c r="E1414" t="s">
        <v>631</v>
      </c>
      <c r="F1414" t="str">
        <f t="shared" si="156"/>
        <v>Immunization Series Payment</v>
      </c>
      <c r="G1414">
        <f t="shared" si="157"/>
        <v>0</v>
      </c>
      <c r="H1414" t="s">
        <v>599</v>
      </c>
      <c r="I1414">
        <f t="shared" si="158"/>
        <v>0</v>
      </c>
      <c r="J1414" t="s">
        <v>564</v>
      </c>
      <c r="K1414" s="5">
        <v>100</v>
      </c>
      <c r="L1414" t="str">
        <f>Table_DataFromNL[[#This Row],[PROFILECODE]]&amp;"-"&amp;Table_DataFromNL[[#This Row],[RULENAME]]</f>
        <v>CP872-Immunization Series Payment</v>
      </c>
      <c r="M1414" t="e">
        <f t="shared" si="159"/>
        <v>#N/A</v>
      </c>
    </row>
    <row r="1415" spans="1:13" x14ac:dyDescent="0.25">
      <c r="A1415" t="str">
        <f t="shared" si="160"/>
        <v>CP872-Inconv Fee $20-$50-Comment Req'd</v>
      </c>
      <c r="B1415" t="s">
        <v>416</v>
      </c>
      <c r="C1415" t="str">
        <f t="shared" si="154"/>
        <v>Hickory</v>
      </c>
      <c r="D1415" t="str">
        <f t="shared" si="155"/>
        <v>Y</v>
      </c>
      <c r="E1415" t="s">
        <v>631</v>
      </c>
      <c r="F1415" t="str">
        <f t="shared" si="156"/>
        <v>Inconv Fee $20-$50-Comment Req'd</v>
      </c>
      <c r="G1415">
        <f t="shared" si="157"/>
        <v>0</v>
      </c>
      <c r="H1415" t="s">
        <v>566</v>
      </c>
      <c r="I1415">
        <f t="shared" si="158"/>
        <v>0</v>
      </c>
      <c r="J1415" t="s">
        <v>564</v>
      </c>
      <c r="K1415" s="5">
        <v>50</v>
      </c>
      <c r="L1415" t="str">
        <f>Table_DataFromNL[[#This Row],[PROFILECODE]]&amp;"-"&amp;Table_DataFromNL[[#This Row],[RULENAME]]</f>
        <v>CP872-Inconv Fee $20-$50-Comment Req'd</v>
      </c>
      <c r="M1415" t="e">
        <f t="shared" si="159"/>
        <v>#N/A</v>
      </c>
    </row>
    <row r="1416" spans="1:13" x14ac:dyDescent="0.25">
      <c r="A1416" t="str">
        <f t="shared" si="160"/>
        <v>CP872-Inconv Fee $5-$20-Comment Req'd</v>
      </c>
      <c r="B1416" t="s">
        <v>416</v>
      </c>
      <c r="C1416" t="str">
        <f t="shared" si="154"/>
        <v>Hickory</v>
      </c>
      <c r="D1416" t="str">
        <f t="shared" si="155"/>
        <v>Y</v>
      </c>
      <c r="E1416" t="s">
        <v>631</v>
      </c>
      <c r="F1416" t="str">
        <f t="shared" si="156"/>
        <v>Inconv Fee $5-$20-Comment Req'd</v>
      </c>
      <c r="G1416">
        <f t="shared" si="157"/>
        <v>0</v>
      </c>
      <c r="H1416" t="s">
        <v>567</v>
      </c>
      <c r="I1416">
        <f t="shared" si="158"/>
        <v>0</v>
      </c>
      <c r="J1416" t="s">
        <v>564</v>
      </c>
      <c r="K1416" s="5">
        <v>20</v>
      </c>
      <c r="L1416" t="str">
        <f>Table_DataFromNL[[#This Row],[PROFILECODE]]&amp;"-"&amp;Table_DataFromNL[[#This Row],[RULENAME]]</f>
        <v>CP872-Inconv Fee $5-$20-Comment Req'd</v>
      </c>
      <c r="M1416" t="e">
        <f t="shared" si="159"/>
        <v>#N/A</v>
      </c>
    </row>
    <row r="1417" spans="1:13" x14ac:dyDescent="0.25">
      <c r="A1417" t="str">
        <f t="shared" si="160"/>
        <v>CP872-Inconv Fee$50-$100-Comment Req'd</v>
      </c>
      <c r="B1417" t="s">
        <v>416</v>
      </c>
      <c r="C1417" t="str">
        <f t="shared" si="154"/>
        <v>Hickory</v>
      </c>
      <c r="D1417" t="str">
        <f t="shared" si="155"/>
        <v>Y</v>
      </c>
      <c r="E1417" t="s">
        <v>631</v>
      </c>
      <c r="F1417" t="str">
        <f t="shared" si="156"/>
        <v>Inconv Fee$50-$100-Comment Req'd</v>
      </c>
      <c r="G1417">
        <f t="shared" si="157"/>
        <v>0</v>
      </c>
      <c r="H1417" t="s">
        <v>568</v>
      </c>
      <c r="I1417">
        <f t="shared" si="158"/>
        <v>0</v>
      </c>
      <c r="J1417" t="s">
        <v>564</v>
      </c>
      <c r="K1417" s="5">
        <v>100</v>
      </c>
      <c r="L1417" t="str">
        <f>Table_DataFromNL[[#This Row],[PROFILECODE]]&amp;"-"&amp;Table_DataFromNL[[#This Row],[RULENAME]]</f>
        <v>CP872-Inconv Fee$50-$100-Comment Req'd</v>
      </c>
      <c r="M1417" t="e">
        <f t="shared" si="159"/>
        <v>#N/A</v>
      </c>
    </row>
    <row r="1418" spans="1:13" x14ac:dyDescent="0.25">
      <c r="A1418" t="str">
        <f t="shared" si="160"/>
        <v>CP872-NSP_ LAPSEDONOR_50_Twice</v>
      </c>
      <c r="B1418" t="s">
        <v>416</v>
      </c>
      <c r="C1418" t="str">
        <f t="shared" si="154"/>
        <v>Hickory</v>
      </c>
      <c r="D1418" t="str">
        <f t="shared" si="155"/>
        <v>Y</v>
      </c>
      <c r="E1418" t="s">
        <v>631</v>
      </c>
      <c r="F1418" t="str">
        <f t="shared" si="156"/>
        <v>NSP_ LAPSEDONOR_50_Twice</v>
      </c>
      <c r="G1418">
        <f t="shared" si="157"/>
        <v>0</v>
      </c>
      <c r="H1418" t="s">
        <v>569</v>
      </c>
      <c r="I1418">
        <f t="shared" si="158"/>
        <v>0</v>
      </c>
      <c r="J1418" t="s">
        <v>564</v>
      </c>
      <c r="K1418" s="5">
        <v>50</v>
      </c>
      <c r="L1418" t="str">
        <f>Table_DataFromNL[[#This Row],[PROFILECODE]]&amp;"-"&amp;Table_DataFromNL[[#This Row],[RULENAME]]</f>
        <v>CP872-NSP_ LAPSEDONOR_50_Twice</v>
      </c>
      <c r="M1418" t="e">
        <f t="shared" si="159"/>
        <v>#N/A</v>
      </c>
    </row>
    <row r="1419" spans="1:13" x14ac:dyDescent="0.25">
      <c r="A1419" t="str">
        <f t="shared" si="160"/>
        <v>CP872-NSP_LD_25_2X</v>
      </c>
      <c r="B1419" t="s">
        <v>416</v>
      </c>
      <c r="C1419" t="str">
        <f t="shared" si="154"/>
        <v>Hickory</v>
      </c>
      <c r="D1419" t="str">
        <f t="shared" si="155"/>
        <v>Y</v>
      </c>
      <c r="E1419" t="s">
        <v>631</v>
      </c>
      <c r="F1419" t="str">
        <f t="shared" si="156"/>
        <v>NSP_LD_25_2X</v>
      </c>
      <c r="G1419">
        <f t="shared" si="157"/>
        <v>0</v>
      </c>
      <c r="H1419" t="s">
        <v>570</v>
      </c>
      <c r="I1419">
        <f t="shared" si="158"/>
        <v>0</v>
      </c>
      <c r="J1419" t="s">
        <v>564</v>
      </c>
      <c r="K1419" s="5">
        <v>25</v>
      </c>
      <c r="L1419" t="str">
        <f>Table_DataFromNL[[#This Row],[PROFILECODE]]&amp;"-"&amp;Table_DataFromNL[[#This Row],[RULENAME]]</f>
        <v>CP872-NSP_LD_25_2X</v>
      </c>
      <c r="M1419" t="e">
        <f t="shared" si="159"/>
        <v>#N/A</v>
      </c>
    </row>
    <row r="1420" spans="1:13" x14ac:dyDescent="0.25">
      <c r="A1420" t="str">
        <f t="shared" si="160"/>
        <v>CP872-NSP_LD_50_1X</v>
      </c>
      <c r="B1420" t="s">
        <v>416</v>
      </c>
      <c r="C1420" t="str">
        <f t="shared" si="154"/>
        <v>Hickory</v>
      </c>
      <c r="D1420" t="str">
        <f t="shared" si="155"/>
        <v>Y</v>
      </c>
      <c r="E1420" t="s">
        <v>631</v>
      </c>
      <c r="F1420" t="str">
        <f t="shared" si="156"/>
        <v>NSP_LD_50_1X</v>
      </c>
      <c r="G1420">
        <f t="shared" si="157"/>
        <v>0</v>
      </c>
      <c r="H1420" t="s">
        <v>571</v>
      </c>
      <c r="I1420">
        <f t="shared" si="158"/>
        <v>0</v>
      </c>
      <c r="J1420" t="s">
        <v>564</v>
      </c>
      <c r="K1420" s="5">
        <v>50</v>
      </c>
      <c r="L1420" t="str">
        <f>Table_DataFromNL[[#This Row],[PROFILECODE]]&amp;"-"&amp;Table_DataFromNL[[#This Row],[RULENAME]]</f>
        <v>CP872-NSP_LD_50_1X</v>
      </c>
      <c r="M1420" t="e">
        <f t="shared" si="159"/>
        <v>#N/A</v>
      </c>
    </row>
    <row r="1421" spans="1:13" x14ac:dyDescent="0.25">
      <c r="A1421" t="str">
        <f t="shared" si="160"/>
        <v>CP872-NSP_ORPHAN_100_once</v>
      </c>
      <c r="B1421" t="s">
        <v>416</v>
      </c>
      <c r="C1421" t="str">
        <f t="shared" si="154"/>
        <v>Hickory</v>
      </c>
      <c r="D1421" t="str">
        <f t="shared" si="155"/>
        <v>Y</v>
      </c>
      <c r="E1421" t="s">
        <v>631</v>
      </c>
      <c r="F1421" t="str">
        <f t="shared" si="156"/>
        <v>NSP_ORPHAN_100_once</v>
      </c>
      <c r="G1421">
        <f t="shared" si="157"/>
        <v>0</v>
      </c>
      <c r="H1421" t="s">
        <v>572</v>
      </c>
      <c r="I1421">
        <f t="shared" si="158"/>
        <v>0</v>
      </c>
      <c r="J1421" t="s">
        <v>564</v>
      </c>
      <c r="K1421" s="5">
        <v>100</v>
      </c>
      <c r="L1421" t="str">
        <f>Table_DataFromNL[[#This Row],[PROFILECODE]]&amp;"-"&amp;Table_DataFromNL[[#This Row],[RULENAME]]</f>
        <v>CP872-NSP_ORPHAN_100_once</v>
      </c>
      <c r="M1421" t="e">
        <f t="shared" si="159"/>
        <v>#N/A</v>
      </c>
    </row>
    <row r="1422" spans="1:13" x14ac:dyDescent="0.25">
      <c r="A1422" t="str">
        <f t="shared" si="160"/>
        <v>CP872-Restick</v>
      </c>
      <c r="B1422" t="s">
        <v>416</v>
      </c>
      <c r="C1422" t="str">
        <f t="shared" si="154"/>
        <v>Hickory</v>
      </c>
      <c r="D1422" t="str">
        <f t="shared" si="155"/>
        <v>Y</v>
      </c>
      <c r="E1422" t="s">
        <v>631</v>
      </c>
      <c r="F1422" t="str">
        <f t="shared" si="156"/>
        <v>Restick</v>
      </c>
      <c r="G1422">
        <f t="shared" si="157"/>
        <v>0</v>
      </c>
      <c r="H1422" t="s">
        <v>573</v>
      </c>
      <c r="I1422">
        <f t="shared" si="158"/>
        <v>0</v>
      </c>
      <c r="J1422" t="s">
        <v>564</v>
      </c>
      <c r="K1422" s="5">
        <v>5</v>
      </c>
      <c r="L1422" t="str">
        <f>Table_DataFromNL[[#This Row],[PROFILECODE]]&amp;"-"&amp;Table_DataFromNL[[#This Row],[RULENAME]]</f>
        <v>CP872-Restick</v>
      </c>
      <c r="M1422" t="e">
        <f t="shared" si="159"/>
        <v>#N/A</v>
      </c>
    </row>
    <row r="1423" spans="1:13" x14ac:dyDescent="0.25">
      <c r="A1423" t="str">
        <f t="shared" si="160"/>
        <v>CP872-SLOW_TEXT_5</v>
      </c>
      <c r="B1423" t="s">
        <v>416</v>
      </c>
      <c r="C1423" t="str">
        <f t="shared" si="154"/>
        <v>Hickory</v>
      </c>
      <c r="D1423" t="str">
        <f t="shared" si="155"/>
        <v>Y</v>
      </c>
      <c r="E1423" t="s">
        <v>631</v>
      </c>
      <c r="F1423" t="str">
        <f t="shared" si="156"/>
        <v>SLOW_TEXT_5</v>
      </c>
      <c r="G1423">
        <f t="shared" si="157"/>
        <v>0</v>
      </c>
      <c r="H1423" t="s">
        <v>574</v>
      </c>
      <c r="I1423">
        <f t="shared" si="158"/>
        <v>0</v>
      </c>
      <c r="J1423" t="s">
        <v>564</v>
      </c>
      <c r="K1423" s="5">
        <v>5</v>
      </c>
      <c r="L1423" t="str">
        <f>Table_DataFromNL[[#This Row],[PROFILECODE]]&amp;"-"&amp;Table_DataFromNL[[#This Row],[RULENAME]]</f>
        <v>CP872-SLOW_TEXT_5</v>
      </c>
      <c r="M1423" t="e">
        <f t="shared" si="159"/>
        <v>#N/A</v>
      </c>
    </row>
    <row r="1424" spans="1:13" x14ac:dyDescent="0.25">
      <c r="A1424" t="str">
        <f t="shared" si="160"/>
        <v>CP872-Sample Only</v>
      </c>
      <c r="B1424" t="s">
        <v>416</v>
      </c>
      <c r="C1424" t="str">
        <f t="shared" si="154"/>
        <v>Hickory</v>
      </c>
      <c r="D1424" t="str">
        <f t="shared" si="155"/>
        <v>Y</v>
      </c>
      <c r="E1424" t="s">
        <v>631</v>
      </c>
      <c r="F1424" t="str">
        <f t="shared" si="156"/>
        <v>Sample Only</v>
      </c>
      <c r="G1424">
        <f t="shared" si="157"/>
        <v>0</v>
      </c>
      <c r="H1424" t="s">
        <v>575</v>
      </c>
      <c r="I1424">
        <f t="shared" si="158"/>
        <v>0</v>
      </c>
      <c r="J1424" t="s">
        <v>564</v>
      </c>
      <c r="K1424" s="5">
        <v>5</v>
      </c>
      <c r="L1424" t="str">
        <f>Table_DataFromNL[[#This Row],[PROFILECODE]]&amp;"-"&amp;Table_DataFromNL[[#This Row],[RULENAME]]</f>
        <v>CP872-Sample Only</v>
      </c>
      <c r="M1424" t="e">
        <f t="shared" si="159"/>
        <v>#N/A</v>
      </c>
    </row>
    <row r="1425" spans="1:13" x14ac:dyDescent="0.25">
      <c r="A1425" t="str">
        <f t="shared" si="160"/>
        <v>CP872-Unit Below 250 mL</v>
      </c>
      <c r="B1425" t="s">
        <v>416</v>
      </c>
      <c r="C1425" t="str">
        <f t="shared" si="154"/>
        <v>Hickory</v>
      </c>
      <c r="D1425" t="str">
        <f t="shared" si="155"/>
        <v>Y</v>
      </c>
      <c r="E1425" t="s">
        <v>631</v>
      </c>
      <c r="F1425" t="str">
        <f t="shared" si="156"/>
        <v>Unit Below 250 mL</v>
      </c>
      <c r="G1425">
        <f t="shared" si="157"/>
        <v>0</v>
      </c>
      <c r="H1425" t="s">
        <v>576</v>
      </c>
      <c r="I1425">
        <f t="shared" si="158"/>
        <v>0</v>
      </c>
      <c r="J1425" t="s">
        <v>564</v>
      </c>
      <c r="K1425" s="5">
        <v>5</v>
      </c>
      <c r="L1425" t="str">
        <f>Table_DataFromNL[[#This Row],[PROFILECODE]]&amp;"-"&amp;Table_DataFromNL[[#This Row],[RULENAME]]</f>
        <v>CP872-Unit Below 250 mL</v>
      </c>
      <c r="M1425" t="e">
        <f t="shared" si="159"/>
        <v>#N/A</v>
      </c>
    </row>
    <row r="1426" spans="1:13" x14ac:dyDescent="0.25">
      <c r="A1426" t="str">
        <f t="shared" si="160"/>
        <v>CP872-Unit above 250 mL/underdraw</v>
      </c>
      <c r="B1426" t="s">
        <v>416</v>
      </c>
      <c r="C1426" t="str">
        <f t="shared" si="154"/>
        <v>Hickory</v>
      </c>
      <c r="D1426" t="str">
        <f t="shared" si="155"/>
        <v>Y</v>
      </c>
      <c r="E1426" t="s">
        <v>631</v>
      </c>
      <c r="F1426" t="str">
        <f t="shared" si="156"/>
        <v>Unit above 250 mL/underdraw</v>
      </c>
      <c r="G1426">
        <f t="shared" si="157"/>
        <v>0</v>
      </c>
      <c r="H1426" t="s">
        <v>577</v>
      </c>
      <c r="I1426">
        <f t="shared" si="158"/>
        <v>0</v>
      </c>
      <c r="J1426" t="s">
        <v>564</v>
      </c>
      <c r="K1426" s="5">
        <v>10</v>
      </c>
      <c r="L1426" t="str">
        <f>Table_DataFromNL[[#This Row],[PROFILECODE]]&amp;"-"&amp;Table_DataFromNL[[#This Row],[RULENAME]]</f>
        <v>CP872-Unit above 250 mL/underdraw</v>
      </c>
      <c r="M1426" t="e">
        <f t="shared" si="159"/>
        <v>#N/A</v>
      </c>
    </row>
    <row r="1427" spans="1:13" x14ac:dyDescent="0.25">
      <c r="A1427" t="str">
        <f t="shared" si="160"/>
        <v>CP872-RETURN - Buddy referral  -BONUS</v>
      </c>
      <c r="B1427" t="s">
        <v>416</v>
      </c>
      <c r="C1427" t="str">
        <f t="shared" si="154"/>
        <v>Hickory</v>
      </c>
      <c r="D1427" t="str">
        <f t="shared" si="155"/>
        <v>Y</v>
      </c>
      <c r="E1427" t="s">
        <v>631</v>
      </c>
      <c r="F1427" t="str">
        <f t="shared" si="156"/>
        <v>RETURN - Buddy referral  -BONUS</v>
      </c>
      <c r="G1427" t="str">
        <f t="shared" si="157"/>
        <v>Marketing</v>
      </c>
      <c r="H1427" t="s">
        <v>34</v>
      </c>
      <c r="I1427">
        <f t="shared" si="158"/>
        <v>50</v>
      </c>
      <c r="J1427" t="s">
        <v>578</v>
      </c>
      <c r="K1427" s="5">
        <v>50</v>
      </c>
      <c r="L1427" t="str">
        <f>Table_DataFromNL[[#This Row],[PROFILECODE]]&amp;"-"&amp;Table_DataFromNL[[#This Row],[RULENAME]]</f>
        <v>CP872-Referral</v>
      </c>
      <c r="M1427" t="str">
        <f t="shared" si="159"/>
        <v>CP872-RETURN - Buddy referral  -BONUS</v>
      </c>
    </row>
    <row r="1428" spans="1:13" x14ac:dyDescent="0.25">
      <c r="A1428" t="str">
        <f t="shared" si="160"/>
        <v>CP872-P Anti-D Pre-Existing Standard</v>
      </c>
      <c r="B1428" t="s">
        <v>416</v>
      </c>
      <c r="C1428" t="str">
        <f t="shared" si="154"/>
        <v>Hickory</v>
      </c>
      <c r="D1428" t="str">
        <f t="shared" si="155"/>
        <v>Y</v>
      </c>
      <c r="E1428" t="s">
        <v>631</v>
      </c>
      <c r="F1428" t="str">
        <f t="shared" si="156"/>
        <v>P Anti-D Pre-Existing Standard</v>
      </c>
      <c r="G1428" t="str">
        <f t="shared" si="157"/>
        <v>Specialty</v>
      </c>
      <c r="H1428" t="s">
        <v>469</v>
      </c>
      <c r="I1428" t="str">
        <f t="shared" si="158"/>
        <v>RETURN - 1st don of the week -STD</v>
      </c>
      <c r="J1428" t="s">
        <v>579</v>
      </c>
      <c r="K1428" s="5">
        <v>50</v>
      </c>
      <c r="L1428" t="str">
        <f>Table_DataFromNL[[#This Row],[PROFILECODE]]&amp;"-"&amp;Table_DataFromNL[[#This Row],[RULENAME]]</f>
        <v>CP872-P Anti-D Pre-Existing Standard</v>
      </c>
      <c r="M1428" t="str">
        <f t="shared" si="159"/>
        <v>CP872-P Anti-D Pre-Existing Standard</v>
      </c>
    </row>
    <row r="1429" spans="1:13" x14ac:dyDescent="0.25">
      <c r="A1429" t="str">
        <f t="shared" si="160"/>
        <v>CP872-P Anti-D Standard</v>
      </c>
      <c r="B1429" t="s">
        <v>416</v>
      </c>
      <c r="C1429" t="str">
        <f t="shared" si="154"/>
        <v>Hickory</v>
      </c>
      <c r="D1429" t="str">
        <f t="shared" si="155"/>
        <v>Y</v>
      </c>
      <c r="E1429" t="s">
        <v>631</v>
      </c>
      <c r="F1429" t="str">
        <f t="shared" si="156"/>
        <v>P Anti-D Standard</v>
      </c>
      <c r="G1429" t="str">
        <f t="shared" si="157"/>
        <v>Specialty</v>
      </c>
      <c r="H1429" t="s">
        <v>474</v>
      </c>
      <c r="I1429" t="str">
        <f t="shared" si="158"/>
        <v>RETURN - 1st don of the week -STD</v>
      </c>
      <c r="J1429" t="s">
        <v>579</v>
      </c>
      <c r="K1429" s="5">
        <v>50</v>
      </c>
      <c r="L1429" t="str">
        <f>Table_DataFromNL[[#This Row],[PROFILECODE]]&amp;"-"&amp;Table_DataFromNL[[#This Row],[RULENAME]]</f>
        <v>CP872-P Anti-D Standard</v>
      </c>
      <c r="M1429" t="str">
        <f t="shared" si="159"/>
        <v>CP872-P Anti-D Standard</v>
      </c>
    </row>
    <row r="1430" spans="1:13" x14ac:dyDescent="0.25">
      <c r="A1430" t="str">
        <f t="shared" si="160"/>
        <v>CP872-P CMV Standard</v>
      </c>
      <c r="B1430" t="s">
        <v>416</v>
      </c>
      <c r="C1430" t="str">
        <f t="shared" si="154"/>
        <v>Hickory</v>
      </c>
      <c r="D1430" t="str">
        <f t="shared" si="155"/>
        <v>Y</v>
      </c>
      <c r="E1430" t="s">
        <v>631</v>
      </c>
      <c r="F1430" t="str">
        <f t="shared" si="156"/>
        <v>P CMV Standard</v>
      </c>
      <c r="G1430" t="str">
        <f t="shared" si="157"/>
        <v>Specialty</v>
      </c>
      <c r="H1430" t="s">
        <v>501</v>
      </c>
      <c r="I1430" t="str">
        <f t="shared" si="158"/>
        <v>RETURN - 1st don of the week -STD</v>
      </c>
      <c r="J1430" t="s">
        <v>579</v>
      </c>
      <c r="K1430" s="5">
        <v>35</v>
      </c>
      <c r="L1430" t="str">
        <f>Table_DataFromNL[[#This Row],[PROFILECODE]]&amp;"-"&amp;Table_DataFromNL[[#This Row],[RULENAME]]</f>
        <v>CP872-P CMV Standard</v>
      </c>
      <c r="M1430" t="str">
        <f t="shared" si="159"/>
        <v>CP872-P CMV Standard</v>
      </c>
    </row>
    <row r="1431" spans="1:13" x14ac:dyDescent="0.25">
      <c r="A1431" t="str">
        <f t="shared" si="160"/>
        <v>CP872-RETURN - 1st don of the week -STD</v>
      </c>
      <c r="B1431" t="s">
        <v>416</v>
      </c>
      <c r="C1431" t="str">
        <f t="shared" si="154"/>
        <v>Hickory</v>
      </c>
      <c r="D1431" t="str">
        <f t="shared" si="155"/>
        <v>Y</v>
      </c>
      <c r="E1431" t="s">
        <v>631</v>
      </c>
      <c r="F1431" t="str">
        <f t="shared" si="156"/>
        <v>RETURN - 1st don of the week -STD</v>
      </c>
      <c r="G1431" t="str">
        <f t="shared" si="157"/>
        <v>Marketing</v>
      </c>
      <c r="H1431" t="s">
        <v>583</v>
      </c>
      <c r="I1431">
        <f t="shared" si="158"/>
        <v>22</v>
      </c>
      <c r="J1431" t="s">
        <v>579</v>
      </c>
      <c r="K1431" s="5">
        <v>30</v>
      </c>
      <c r="L1431" t="str">
        <f>Table_DataFromNL[[#This Row],[PROFILECODE]]&amp;"-"&amp;Table_DataFromNL[[#This Row],[RULENAME]]</f>
        <v>CP872-P NSP NS AP Standard</v>
      </c>
      <c r="M1431" t="str">
        <f t="shared" si="159"/>
        <v>CP872-RETURN - 1st don of the week -STD</v>
      </c>
    </row>
    <row r="1432" spans="1:13" x14ac:dyDescent="0.25">
      <c r="A1432" t="str">
        <f t="shared" si="160"/>
        <v>CP872-RETURN - 1st don of the week -STD</v>
      </c>
      <c r="B1432" t="s">
        <v>416</v>
      </c>
      <c r="C1432" t="str">
        <f t="shared" si="154"/>
        <v>Hickory</v>
      </c>
      <c r="D1432" t="str">
        <f t="shared" si="155"/>
        <v>Y</v>
      </c>
      <c r="E1432" t="s">
        <v>631</v>
      </c>
      <c r="F1432" t="str">
        <f t="shared" si="156"/>
        <v>RETURN - 1st don of the week -STD</v>
      </c>
      <c r="G1432" t="str">
        <f t="shared" si="157"/>
        <v>Marketing</v>
      </c>
      <c r="H1432" t="s">
        <v>584</v>
      </c>
      <c r="I1432">
        <f t="shared" si="158"/>
        <v>23</v>
      </c>
      <c r="J1432" t="s">
        <v>579</v>
      </c>
      <c r="K1432" s="5">
        <v>30</v>
      </c>
      <c r="L1432" t="str">
        <f>Table_DataFromNL[[#This Row],[PROFILECODE]]&amp;"-"&amp;Table_DataFromNL[[#This Row],[RULENAME]]</f>
        <v>CP872-P NSP NS Standard</v>
      </c>
      <c r="M1432" t="str">
        <f t="shared" si="159"/>
        <v>CP872-RETURN - 1st don of the week -STD</v>
      </c>
    </row>
    <row r="1433" spans="1:13" x14ac:dyDescent="0.25">
      <c r="A1433" t="str">
        <f t="shared" si="160"/>
        <v>CP872-P Tetanus AP Standard</v>
      </c>
      <c r="B1433" t="s">
        <v>416</v>
      </c>
      <c r="C1433" t="str">
        <f t="shared" si="154"/>
        <v>Hickory</v>
      </c>
      <c r="D1433" t="str">
        <f t="shared" si="155"/>
        <v>Y</v>
      </c>
      <c r="E1433" t="s">
        <v>631</v>
      </c>
      <c r="F1433" t="str">
        <f t="shared" si="156"/>
        <v>P Tetanus AP Standard</v>
      </c>
      <c r="G1433" t="str">
        <f t="shared" si="157"/>
        <v>Specialty</v>
      </c>
      <c r="H1433" t="s">
        <v>492</v>
      </c>
      <c r="I1433" t="str">
        <f t="shared" si="158"/>
        <v>RETURN - 1st don of the week -STD</v>
      </c>
      <c r="J1433" t="s">
        <v>579</v>
      </c>
      <c r="K1433" s="5">
        <v>35</v>
      </c>
      <c r="L1433" t="str">
        <f>Table_DataFromNL[[#This Row],[PROFILECODE]]&amp;"-"&amp;Table_DataFromNL[[#This Row],[RULENAME]]</f>
        <v>CP872-P Tetanus AP Standard</v>
      </c>
      <c r="M1433" t="str">
        <f t="shared" si="159"/>
        <v>CP872-P Tetanus AP Standard</v>
      </c>
    </row>
    <row r="1434" spans="1:13" x14ac:dyDescent="0.25">
      <c r="A1434" t="str">
        <f t="shared" si="160"/>
        <v>CP872-P Tetanus Pre-Existing Standard</v>
      </c>
      <c r="B1434" t="s">
        <v>416</v>
      </c>
      <c r="C1434" t="str">
        <f t="shared" si="154"/>
        <v>Hickory</v>
      </c>
      <c r="D1434" t="str">
        <f t="shared" si="155"/>
        <v>Y</v>
      </c>
      <c r="E1434" t="s">
        <v>631</v>
      </c>
      <c r="F1434" t="str">
        <f t="shared" si="156"/>
        <v>P Tetanus Pre-Existing Standard</v>
      </c>
      <c r="G1434" t="str">
        <f t="shared" si="157"/>
        <v>Specialty</v>
      </c>
      <c r="H1434" t="s">
        <v>493</v>
      </c>
      <c r="I1434" t="str">
        <f t="shared" si="158"/>
        <v>RETURN - 1st don of the week -STD</v>
      </c>
      <c r="J1434" t="s">
        <v>579</v>
      </c>
      <c r="K1434" s="5">
        <v>35</v>
      </c>
      <c r="L1434" t="str">
        <f>Table_DataFromNL[[#This Row],[PROFILECODE]]&amp;"-"&amp;Table_DataFromNL[[#This Row],[RULENAME]]</f>
        <v>CP872-P Tetanus Pre-Existing Standard</v>
      </c>
      <c r="M1434" t="str">
        <f t="shared" si="159"/>
        <v>CP872-P Tetanus Pre-Existing Standard</v>
      </c>
    </row>
    <row r="1435" spans="1:13" x14ac:dyDescent="0.25">
      <c r="A1435" t="str">
        <f t="shared" si="160"/>
        <v>CP872-P Tetanus Standard</v>
      </c>
      <c r="B1435" t="s">
        <v>416</v>
      </c>
      <c r="C1435" t="str">
        <f t="shared" si="154"/>
        <v>Hickory</v>
      </c>
      <c r="D1435" t="str">
        <f t="shared" si="155"/>
        <v>Y</v>
      </c>
      <c r="E1435" t="s">
        <v>631</v>
      </c>
      <c r="F1435" t="str">
        <f t="shared" si="156"/>
        <v>P Tetanus Standard</v>
      </c>
      <c r="G1435" t="str">
        <f t="shared" si="157"/>
        <v>Specialty</v>
      </c>
      <c r="H1435" t="s">
        <v>494</v>
      </c>
      <c r="I1435" t="str">
        <f t="shared" si="158"/>
        <v>RETURN - 1st don of the week -STD</v>
      </c>
      <c r="J1435" t="s">
        <v>579</v>
      </c>
      <c r="K1435" s="5">
        <v>35</v>
      </c>
      <c r="L1435" t="str">
        <f>Table_DataFromNL[[#This Row],[PROFILECODE]]&amp;"-"&amp;Table_DataFromNL[[#This Row],[RULENAME]]</f>
        <v>CP872-P Tetanus Standard</v>
      </c>
      <c r="M1435" t="str">
        <f t="shared" si="159"/>
        <v>CP872-P Tetanus Standard</v>
      </c>
    </row>
    <row r="1436" spans="1:13" x14ac:dyDescent="0.25">
      <c r="A1436" t="str">
        <f t="shared" si="160"/>
        <v>CP872-P Tetanus Tox Standard</v>
      </c>
      <c r="B1436" t="s">
        <v>416</v>
      </c>
      <c r="C1436" t="str">
        <f t="shared" si="154"/>
        <v>Hickory</v>
      </c>
      <c r="D1436" t="str">
        <f t="shared" si="155"/>
        <v>Y</v>
      </c>
      <c r="E1436" t="s">
        <v>631</v>
      </c>
      <c r="F1436" t="str">
        <f t="shared" si="156"/>
        <v>P Tetanus Tox Standard</v>
      </c>
      <c r="G1436" t="str">
        <f t="shared" si="157"/>
        <v>Specialty</v>
      </c>
      <c r="H1436" t="s">
        <v>508</v>
      </c>
      <c r="I1436" t="str">
        <f t="shared" si="158"/>
        <v>RETURN - 1st don of the week -STD</v>
      </c>
      <c r="J1436" t="s">
        <v>579</v>
      </c>
      <c r="K1436" s="5">
        <v>35</v>
      </c>
      <c r="L1436" t="str">
        <f>Table_DataFromNL[[#This Row],[PROFILECODE]]&amp;"-"&amp;Table_DataFromNL[[#This Row],[RULENAME]]</f>
        <v>CP872-P Tetanus Tox Standard</v>
      </c>
      <c r="M1436" t="str">
        <f t="shared" si="159"/>
        <v>CP872-P Tetanus Tox Standard</v>
      </c>
    </row>
    <row r="1437" spans="1:13" x14ac:dyDescent="0.25">
      <c r="A1437" t="str">
        <f t="shared" si="160"/>
        <v>CP224-1st Responder-Medical</v>
      </c>
      <c r="B1437" t="s">
        <v>291</v>
      </c>
      <c r="C1437" t="str">
        <f t="shared" si="154"/>
        <v>Hot Springs</v>
      </c>
      <c r="D1437" t="str">
        <f t="shared" si="155"/>
        <v>Y</v>
      </c>
      <c r="E1437" t="s">
        <v>632</v>
      </c>
      <c r="F1437" t="str">
        <f t="shared" si="156"/>
        <v>1st Responder-Medical</v>
      </c>
      <c r="G1437">
        <f t="shared" si="157"/>
        <v>0</v>
      </c>
      <c r="H1437" t="s">
        <v>545</v>
      </c>
      <c r="I1437">
        <f t="shared" si="158"/>
        <v>0</v>
      </c>
      <c r="J1437" t="s">
        <v>546</v>
      </c>
      <c r="K1437" s="5">
        <v>5</v>
      </c>
      <c r="L1437" t="str">
        <f>Table_DataFromNL[[#This Row],[PROFILECODE]]&amp;"-"&amp;Table_DataFromNL[[#This Row],[RULENAME]]</f>
        <v>CP224-1st Responder-Medical</v>
      </c>
      <c r="M1437" t="e">
        <f t="shared" si="159"/>
        <v>#N/A</v>
      </c>
    </row>
    <row r="1438" spans="1:13" x14ac:dyDescent="0.25">
      <c r="A1438" t="str">
        <f t="shared" si="160"/>
        <v>CP224-RETURN - 6th don of the month -BONUS</v>
      </c>
      <c r="B1438" t="s">
        <v>291</v>
      </c>
      <c r="C1438" t="str">
        <f t="shared" si="154"/>
        <v>Hot Springs</v>
      </c>
      <c r="D1438" t="str">
        <f t="shared" si="155"/>
        <v>Y</v>
      </c>
      <c r="E1438" t="s">
        <v>632</v>
      </c>
      <c r="F1438" t="str">
        <f t="shared" si="156"/>
        <v>RETURN - 6th don of the month -BONUS</v>
      </c>
      <c r="G1438" t="str">
        <f t="shared" si="157"/>
        <v>Marketing</v>
      </c>
      <c r="H1438" t="s">
        <v>552</v>
      </c>
      <c r="I1438">
        <f t="shared" si="158"/>
        <v>28</v>
      </c>
      <c r="J1438" t="s">
        <v>546</v>
      </c>
      <c r="K1438" s="5">
        <v>30</v>
      </c>
      <c r="L1438" t="str">
        <f>Table_DataFromNL[[#This Row],[PROFILECODE]]&amp;"-"&amp;Table_DataFromNL[[#This Row],[RULENAME]]</f>
        <v>CP224-6X Month</v>
      </c>
      <c r="M1438" t="str">
        <f t="shared" si="159"/>
        <v>CP224-RETURN - 6th don of the month -BONUS</v>
      </c>
    </row>
    <row r="1439" spans="1:13" x14ac:dyDescent="0.25">
      <c r="A1439" t="str">
        <f t="shared" si="160"/>
        <v>CP224-College ID Standard Bonus</v>
      </c>
      <c r="B1439" t="s">
        <v>291</v>
      </c>
      <c r="C1439" t="str">
        <f t="shared" si="154"/>
        <v>Hot Springs</v>
      </c>
      <c r="D1439" t="str">
        <f t="shared" si="155"/>
        <v>Y</v>
      </c>
      <c r="E1439" t="s">
        <v>632</v>
      </c>
      <c r="F1439" t="str">
        <f t="shared" si="156"/>
        <v>College ID Standard Bonus</v>
      </c>
      <c r="G1439">
        <f t="shared" si="157"/>
        <v>0</v>
      </c>
      <c r="H1439" t="s">
        <v>553</v>
      </c>
      <c r="I1439">
        <f t="shared" si="158"/>
        <v>0</v>
      </c>
      <c r="J1439" t="s">
        <v>546</v>
      </c>
      <c r="K1439" s="5">
        <v>5</v>
      </c>
      <c r="L1439" t="str">
        <f>Table_DataFromNL[[#This Row],[PROFILECODE]]&amp;"-"&amp;Table_DataFromNL[[#This Row],[RULENAME]]</f>
        <v>CP224-College ID Standard Bonus</v>
      </c>
      <c r="M1439" t="e">
        <f t="shared" si="159"/>
        <v>#N/A</v>
      </c>
    </row>
    <row r="1440" spans="1:13" x14ac:dyDescent="0.25">
      <c r="A1440" t="str">
        <f t="shared" si="160"/>
        <v>CP224-Military ID</v>
      </c>
      <c r="B1440" t="s">
        <v>291</v>
      </c>
      <c r="C1440" t="str">
        <f t="shared" si="154"/>
        <v>Hot Springs</v>
      </c>
      <c r="D1440" t="str">
        <f t="shared" si="155"/>
        <v>Y</v>
      </c>
      <c r="E1440" t="s">
        <v>632</v>
      </c>
      <c r="F1440" t="str">
        <f t="shared" si="156"/>
        <v>Military ID</v>
      </c>
      <c r="G1440">
        <f t="shared" si="157"/>
        <v>0</v>
      </c>
      <c r="H1440" t="s">
        <v>554</v>
      </c>
      <c r="I1440">
        <f t="shared" si="158"/>
        <v>0</v>
      </c>
      <c r="J1440" t="s">
        <v>546</v>
      </c>
      <c r="K1440" s="5">
        <v>5</v>
      </c>
      <c r="L1440" t="str">
        <f>Table_DataFromNL[[#This Row],[PROFILECODE]]&amp;"-"&amp;Table_DataFromNL[[#This Row],[RULENAME]]</f>
        <v>CP224-Military ID</v>
      </c>
      <c r="M1440" t="e">
        <f t="shared" si="159"/>
        <v>#N/A</v>
      </c>
    </row>
    <row r="1441" spans="1:13" x14ac:dyDescent="0.25">
      <c r="A1441" t="str">
        <f t="shared" si="160"/>
        <v>CP224-NEW DONOR -1st</v>
      </c>
      <c r="B1441" t="s">
        <v>291</v>
      </c>
      <c r="C1441" t="str">
        <f t="shared" si="154"/>
        <v>Hot Springs</v>
      </c>
      <c r="D1441" t="str">
        <f t="shared" si="155"/>
        <v>Y</v>
      </c>
      <c r="E1441" t="s">
        <v>632</v>
      </c>
      <c r="F1441" t="str">
        <f t="shared" si="156"/>
        <v>NEW DONOR -1st</v>
      </c>
      <c r="G1441" t="str">
        <f t="shared" si="157"/>
        <v>Marketing</v>
      </c>
      <c r="H1441" t="s">
        <v>555</v>
      </c>
      <c r="I1441">
        <f t="shared" si="158"/>
        <v>1</v>
      </c>
      <c r="J1441" t="s">
        <v>546</v>
      </c>
      <c r="K1441" s="5">
        <v>100</v>
      </c>
      <c r="L1441" t="str">
        <f>Table_DataFromNL[[#This Row],[PROFILECODE]]&amp;"-"&amp;Table_DataFromNL[[#This Row],[RULENAME]]</f>
        <v>CP224-New Donor 1st Visit-Bonus</v>
      </c>
      <c r="M1441" t="str">
        <f t="shared" si="159"/>
        <v>CP224-NEW DONOR -1st</v>
      </c>
    </row>
    <row r="1442" spans="1:13" x14ac:dyDescent="0.25">
      <c r="A1442" t="str">
        <f t="shared" si="160"/>
        <v>CP224-NEW DONOR -2nd</v>
      </c>
      <c r="B1442" t="s">
        <v>291</v>
      </c>
      <c r="C1442" t="str">
        <f t="shared" si="154"/>
        <v>Hot Springs</v>
      </c>
      <c r="D1442" t="str">
        <f t="shared" si="155"/>
        <v>Y</v>
      </c>
      <c r="E1442" t="s">
        <v>632</v>
      </c>
      <c r="F1442" t="str">
        <f t="shared" si="156"/>
        <v>NEW DONOR -2nd</v>
      </c>
      <c r="G1442" t="str">
        <f t="shared" si="157"/>
        <v>Marketing</v>
      </c>
      <c r="H1442" t="s">
        <v>556</v>
      </c>
      <c r="I1442">
        <f t="shared" si="158"/>
        <v>2</v>
      </c>
      <c r="J1442" t="s">
        <v>546</v>
      </c>
      <c r="K1442" s="5">
        <v>100</v>
      </c>
      <c r="L1442" t="str">
        <f>Table_DataFromNL[[#This Row],[PROFILECODE]]&amp;"-"&amp;Table_DataFromNL[[#This Row],[RULENAME]]</f>
        <v>CP224-New Donor 2nd Visit-Bonus</v>
      </c>
      <c r="M1442" t="str">
        <f t="shared" si="159"/>
        <v>CP224-NEW DONOR -2nd</v>
      </c>
    </row>
    <row r="1443" spans="1:13" x14ac:dyDescent="0.25">
      <c r="A1443" t="str">
        <f t="shared" si="160"/>
        <v>CP224-NEW DONOR -3rd</v>
      </c>
      <c r="B1443" t="s">
        <v>291</v>
      </c>
      <c r="C1443" t="str">
        <f t="shared" si="154"/>
        <v>Hot Springs</v>
      </c>
      <c r="D1443" t="str">
        <f t="shared" si="155"/>
        <v>Y</v>
      </c>
      <c r="E1443" t="s">
        <v>632</v>
      </c>
      <c r="F1443" t="str">
        <f t="shared" si="156"/>
        <v>NEW DONOR -3rd</v>
      </c>
      <c r="G1443" t="str">
        <f t="shared" si="157"/>
        <v>Marketing</v>
      </c>
      <c r="H1443" t="s">
        <v>557</v>
      </c>
      <c r="I1443">
        <f t="shared" si="158"/>
        <v>3</v>
      </c>
      <c r="J1443" t="s">
        <v>546</v>
      </c>
      <c r="K1443" s="5">
        <v>55</v>
      </c>
      <c r="L1443" t="str">
        <f>Table_DataFromNL[[#This Row],[PROFILECODE]]&amp;"-"&amp;Table_DataFromNL[[#This Row],[RULENAME]]</f>
        <v>CP224-New Donor 3rd Visit-Bonus</v>
      </c>
      <c r="M1443" t="str">
        <f t="shared" si="159"/>
        <v>CP224-NEW DONOR -3rd</v>
      </c>
    </row>
    <row r="1444" spans="1:13" x14ac:dyDescent="0.25">
      <c r="A1444" t="str">
        <f t="shared" si="160"/>
        <v>CP224-NEW DONOR -4th</v>
      </c>
      <c r="B1444" t="s">
        <v>291</v>
      </c>
      <c r="C1444" t="str">
        <f t="shared" si="154"/>
        <v>Hot Springs</v>
      </c>
      <c r="D1444" t="str">
        <f t="shared" si="155"/>
        <v>Y</v>
      </c>
      <c r="E1444" t="s">
        <v>632</v>
      </c>
      <c r="F1444" t="str">
        <f t="shared" si="156"/>
        <v>NEW DONOR -4th</v>
      </c>
      <c r="G1444" t="str">
        <f t="shared" si="157"/>
        <v>Marketing</v>
      </c>
      <c r="H1444" t="s">
        <v>558</v>
      </c>
      <c r="I1444">
        <f t="shared" si="158"/>
        <v>4</v>
      </c>
      <c r="J1444" t="s">
        <v>546</v>
      </c>
      <c r="K1444" s="5">
        <v>55</v>
      </c>
      <c r="L1444" t="str">
        <f>Table_DataFromNL[[#This Row],[PROFILECODE]]&amp;"-"&amp;Table_DataFromNL[[#This Row],[RULENAME]]</f>
        <v>CP224-New Donor 4th Visit-Bonus</v>
      </c>
      <c r="M1444" t="str">
        <f t="shared" si="159"/>
        <v>CP224-NEW DONOR -4th</v>
      </c>
    </row>
    <row r="1445" spans="1:13" x14ac:dyDescent="0.25">
      <c r="A1445" t="str">
        <f t="shared" si="160"/>
        <v>CP224-NEW DONOR -5th</v>
      </c>
      <c r="B1445" t="s">
        <v>291</v>
      </c>
      <c r="C1445" t="str">
        <f t="shared" si="154"/>
        <v>Hot Springs</v>
      </c>
      <c r="D1445" t="str">
        <f t="shared" si="155"/>
        <v>Y</v>
      </c>
      <c r="E1445" t="s">
        <v>632</v>
      </c>
      <c r="F1445" t="str">
        <f t="shared" si="156"/>
        <v>NEW DONOR -5th</v>
      </c>
      <c r="G1445" t="str">
        <f t="shared" si="157"/>
        <v>Marketing</v>
      </c>
      <c r="H1445" t="s">
        <v>559</v>
      </c>
      <c r="I1445">
        <f t="shared" si="158"/>
        <v>5</v>
      </c>
      <c r="J1445" t="s">
        <v>546</v>
      </c>
      <c r="K1445" s="5">
        <v>55</v>
      </c>
      <c r="L1445" t="str">
        <f>Table_DataFromNL[[#This Row],[PROFILECODE]]&amp;"-"&amp;Table_DataFromNL[[#This Row],[RULENAME]]</f>
        <v>CP224-New Donor 5th Visit-Bonus</v>
      </c>
      <c r="M1445" t="str">
        <f t="shared" si="159"/>
        <v>CP224-NEW DONOR -5th</v>
      </c>
    </row>
    <row r="1446" spans="1:13" x14ac:dyDescent="0.25">
      <c r="A1446" t="str">
        <f t="shared" si="160"/>
        <v>CP224-NEW DONOR -6th</v>
      </c>
      <c r="B1446" t="s">
        <v>291</v>
      </c>
      <c r="C1446" t="str">
        <f t="shared" si="154"/>
        <v>Hot Springs</v>
      </c>
      <c r="D1446" t="str">
        <f t="shared" si="155"/>
        <v>Y</v>
      </c>
      <c r="E1446" t="s">
        <v>632</v>
      </c>
      <c r="F1446" t="str">
        <f t="shared" si="156"/>
        <v>NEW DONOR -6th</v>
      </c>
      <c r="G1446" t="str">
        <f t="shared" si="157"/>
        <v>Marketing</v>
      </c>
      <c r="H1446" t="s">
        <v>560</v>
      </c>
      <c r="I1446">
        <f t="shared" si="158"/>
        <v>6</v>
      </c>
      <c r="J1446" t="s">
        <v>546</v>
      </c>
      <c r="K1446" s="5">
        <v>55</v>
      </c>
      <c r="L1446" t="str">
        <f>Table_DataFromNL[[#This Row],[PROFILECODE]]&amp;"-"&amp;Table_DataFromNL[[#This Row],[RULENAME]]</f>
        <v>CP224-New Donor 6th Visit-Bonus</v>
      </c>
      <c r="M1446" t="str">
        <f t="shared" si="159"/>
        <v>CP224-NEW DONOR -6th</v>
      </c>
    </row>
    <row r="1447" spans="1:13" x14ac:dyDescent="0.25">
      <c r="A1447" t="str">
        <f t="shared" si="160"/>
        <v>CP224-NEW DONOR -7th</v>
      </c>
      <c r="B1447" t="s">
        <v>291</v>
      </c>
      <c r="C1447" t="str">
        <f t="shared" si="154"/>
        <v>Hot Springs</v>
      </c>
      <c r="D1447" t="str">
        <f t="shared" si="155"/>
        <v>Y</v>
      </c>
      <c r="E1447" t="s">
        <v>632</v>
      </c>
      <c r="F1447" t="str">
        <f t="shared" si="156"/>
        <v>NEW DONOR -7th</v>
      </c>
      <c r="G1447" t="str">
        <f t="shared" si="157"/>
        <v>Marketing</v>
      </c>
      <c r="H1447" t="s">
        <v>561</v>
      </c>
      <c r="I1447">
        <f t="shared" si="158"/>
        <v>7</v>
      </c>
      <c r="J1447" t="s">
        <v>546</v>
      </c>
      <c r="K1447" s="5">
        <v>55</v>
      </c>
      <c r="L1447" t="str">
        <f>Table_DataFromNL[[#This Row],[PROFILECODE]]&amp;"-"&amp;Table_DataFromNL[[#This Row],[RULENAME]]</f>
        <v>CP224-New Donor 7th Visit-Bonus</v>
      </c>
      <c r="M1447" t="str">
        <f t="shared" si="159"/>
        <v>CP224-NEW DONOR -7th</v>
      </c>
    </row>
    <row r="1448" spans="1:13" x14ac:dyDescent="0.25">
      <c r="A1448" t="str">
        <f t="shared" si="160"/>
        <v>CP224-NEW DONOR -8th</v>
      </c>
      <c r="B1448" t="s">
        <v>291</v>
      </c>
      <c r="C1448" t="str">
        <f t="shared" si="154"/>
        <v>Hot Springs</v>
      </c>
      <c r="D1448" t="str">
        <f t="shared" si="155"/>
        <v>Y</v>
      </c>
      <c r="E1448" t="s">
        <v>632</v>
      </c>
      <c r="F1448" t="str">
        <f t="shared" si="156"/>
        <v>NEW DONOR -8th</v>
      </c>
      <c r="G1448" t="str">
        <f t="shared" si="157"/>
        <v>Marketing</v>
      </c>
      <c r="H1448" t="s">
        <v>562</v>
      </c>
      <c r="I1448">
        <f t="shared" si="158"/>
        <v>8</v>
      </c>
      <c r="J1448" t="s">
        <v>546</v>
      </c>
      <c r="K1448" s="5">
        <v>55</v>
      </c>
      <c r="L1448" t="str">
        <f>Table_DataFromNL[[#This Row],[PROFILECODE]]&amp;"-"&amp;Table_DataFromNL[[#This Row],[RULENAME]]</f>
        <v>CP224-New Donor 8th Visit-Bonus</v>
      </c>
      <c r="M1448" t="str">
        <f t="shared" si="159"/>
        <v>CP224-NEW DONOR -8th</v>
      </c>
    </row>
    <row r="1449" spans="1:13" x14ac:dyDescent="0.25">
      <c r="A1449" t="str">
        <f t="shared" si="160"/>
        <v>CP224-Vaccinia - 1st Donation</v>
      </c>
      <c r="B1449" t="s">
        <v>291</v>
      </c>
      <c r="C1449" t="str">
        <f t="shared" si="154"/>
        <v>Hot Springs</v>
      </c>
      <c r="D1449" t="str">
        <f t="shared" si="155"/>
        <v>Y</v>
      </c>
      <c r="E1449" t="s">
        <v>632</v>
      </c>
      <c r="F1449" t="str">
        <f t="shared" si="156"/>
        <v>Vaccinia - 1st Donation</v>
      </c>
      <c r="G1449" t="str">
        <f t="shared" si="157"/>
        <v>Specialty</v>
      </c>
      <c r="H1449" t="s">
        <v>477</v>
      </c>
      <c r="I1449">
        <f t="shared" si="158"/>
        <v>0</v>
      </c>
      <c r="J1449" t="s">
        <v>546</v>
      </c>
      <c r="K1449" s="5">
        <v>150</v>
      </c>
      <c r="L1449" t="str">
        <f>Table_DataFromNL[[#This Row],[PROFILECODE]]&amp;"-"&amp;Table_DataFromNL[[#This Row],[RULENAME]]</f>
        <v>CP224-Vaccinia - 1st Donation</v>
      </c>
      <c r="M1449" t="str">
        <f t="shared" si="159"/>
        <v>CP224-Vaccinia - 1st Donation</v>
      </c>
    </row>
    <row r="1450" spans="1:13" x14ac:dyDescent="0.25">
      <c r="A1450" t="str">
        <f t="shared" si="160"/>
        <v>CP224-Vaccinia - 2nd Donation</v>
      </c>
      <c r="B1450" t="s">
        <v>291</v>
      </c>
      <c r="C1450" t="str">
        <f t="shared" si="154"/>
        <v>Hot Springs</v>
      </c>
      <c r="D1450" t="str">
        <f t="shared" si="155"/>
        <v>Y</v>
      </c>
      <c r="E1450" t="s">
        <v>632</v>
      </c>
      <c r="F1450" t="str">
        <f t="shared" si="156"/>
        <v>Vaccinia - 2nd Donation</v>
      </c>
      <c r="G1450" t="str">
        <f t="shared" si="157"/>
        <v>Specialty</v>
      </c>
      <c r="H1450" t="s">
        <v>478</v>
      </c>
      <c r="I1450">
        <f t="shared" si="158"/>
        <v>0</v>
      </c>
      <c r="J1450" t="s">
        <v>546</v>
      </c>
      <c r="K1450" s="5">
        <v>250</v>
      </c>
      <c r="L1450" t="str">
        <f>Table_DataFromNL[[#This Row],[PROFILECODE]]&amp;"-"&amp;Table_DataFromNL[[#This Row],[RULENAME]]</f>
        <v>CP224-Vaccinia - 2nd Donation</v>
      </c>
      <c r="M1450" t="str">
        <f t="shared" si="159"/>
        <v>CP224-Vaccinia - 2nd Donation</v>
      </c>
    </row>
    <row r="1451" spans="1:13" x14ac:dyDescent="0.25">
      <c r="A1451" t="str">
        <f t="shared" si="160"/>
        <v>CP224-Vaccinia - 3rd Donation</v>
      </c>
      <c r="B1451" t="s">
        <v>291</v>
      </c>
      <c r="C1451" t="str">
        <f t="shared" si="154"/>
        <v>Hot Springs</v>
      </c>
      <c r="D1451" t="str">
        <f t="shared" si="155"/>
        <v>Y</v>
      </c>
      <c r="E1451" t="s">
        <v>632</v>
      </c>
      <c r="F1451" t="str">
        <f t="shared" si="156"/>
        <v>Vaccinia - 3rd Donation</v>
      </c>
      <c r="G1451" t="str">
        <f t="shared" si="157"/>
        <v>Specialty</v>
      </c>
      <c r="H1451" t="s">
        <v>479</v>
      </c>
      <c r="I1451">
        <f t="shared" si="158"/>
        <v>0</v>
      </c>
      <c r="J1451" t="s">
        <v>546</v>
      </c>
      <c r="K1451" s="5">
        <v>300</v>
      </c>
      <c r="L1451" t="str">
        <f>Table_DataFromNL[[#This Row],[PROFILECODE]]&amp;"-"&amp;Table_DataFromNL[[#This Row],[RULENAME]]</f>
        <v>CP224-Vaccinia - 3rd Donation</v>
      </c>
      <c r="M1451" t="str">
        <f t="shared" si="159"/>
        <v>CP224-Vaccinia - 3rd Donation</v>
      </c>
    </row>
    <row r="1452" spans="1:13" x14ac:dyDescent="0.25">
      <c r="A1452" t="str">
        <f t="shared" si="160"/>
        <v>CP224-Vaccinia - 4th Donation</v>
      </c>
      <c r="B1452" t="s">
        <v>291</v>
      </c>
      <c r="C1452" t="str">
        <f t="shared" si="154"/>
        <v>Hot Springs</v>
      </c>
      <c r="D1452" t="str">
        <f t="shared" si="155"/>
        <v>Y</v>
      </c>
      <c r="E1452" t="s">
        <v>632</v>
      </c>
      <c r="F1452" t="str">
        <f t="shared" si="156"/>
        <v>Vaccinia - 4th Donation</v>
      </c>
      <c r="G1452" t="str">
        <f t="shared" si="157"/>
        <v>Specialty</v>
      </c>
      <c r="H1452" t="s">
        <v>480</v>
      </c>
      <c r="I1452">
        <f t="shared" si="158"/>
        <v>0</v>
      </c>
      <c r="J1452" t="s">
        <v>546</v>
      </c>
      <c r="K1452" s="5">
        <v>300</v>
      </c>
      <c r="L1452" t="str">
        <f>Table_DataFromNL[[#This Row],[PROFILECODE]]&amp;"-"&amp;Table_DataFromNL[[#This Row],[RULENAME]]</f>
        <v>CP224-Vaccinia - 4th Donation</v>
      </c>
      <c r="M1452" t="str">
        <f t="shared" si="159"/>
        <v>CP224-Vaccinia - 4th Donation</v>
      </c>
    </row>
    <row r="1453" spans="1:13" x14ac:dyDescent="0.25">
      <c r="A1453" t="str">
        <f t="shared" si="160"/>
        <v>CP224-Vaccinia AP - 1st Donation</v>
      </c>
      <c r="B1453" t="s">
        <v>291</v>
      </c>
      <c r="C1453" t="str">
        <f t="shared" si="154"/>
        <v>Hot Springs</v>
      </c>
      <c r="D1453" t="str">
        <f t="shared" si="155"/>
        <v>Y</v>
      </c>
      <c r="E1453" t="s">
        <v>632</v>
      </c>
      <c r="F1453" t="str">
        <f t="shared" si="156"/>
        <v>Vaccinia AP - 1st Donation</v>
      </c>
      <c r="G1453" t="str">
        <f t="shared" si="157"/>
        <v>Specialty</v>
      </c>
      <c r="H1453" t="s">
        <v>481</v>
      </c>
      <c r="I1453">
        <f t="shared" si="158"/>
        <v>0</v>
      </c>
      <c r="J1453" t="s">
        <v>546</v>
      </c>
      <c r="K1453" s="5">
        <v>150</v>
      </c>
      <c r="L1453" t="str">
        <f>Table_DataFromNL[[#This Row],[PROFILECODE]]&amp;"-"&amp;Table_DataFromNL[[#This Row],[RULENAME]]</f>
        <v>CP224-Vaccinia AP - 1st Donation</v>
      </c>
      <c r="M1453" t="str">
        <f t="shared" si="159"/>
        <v>CP224-Vaccinia AP - 1st Donation</v>
      </c>
    </row>
    <row r="1454" spans="1:13" x14ac:dyDescent="0.25">
      <c r="A1454" t="str">
        <f t="shared" si="160"/>
        <v>CP224-Vaccinia AP - 2nd Donation</v>
      </c>
      <c r="B1454" t="s">
        <v>291</v>
      </c>
      <c r="C1454" t="str">
        <f t="shared" si="154"/>
        <v>Hot Springs</v>
      </c>
      <c r="D1454" t="str">
        <f t="shared" si="155"/>
        <v>Y</v>
      </c>
      <c r="E1454" t="s">
        <v>632</v>
      </c>
      <c r="F1454" t="str">
        <f t="shared" si="156"/>
        <v>Vaccinia AP - 2nd Donation</v>
      </c>
      <c r="G1454" t="str">
        <f t="shared" si="157"/>
        <v>Specialty</v>
      </c>
      <c r="H1454" t="s">
        <v>482</v>
      </c>
      <c r="I1454">
        <f t="shared" si="158"/>
        <v>0</v>
      </c>
      <c r="J1454" t="s">
        <v>546</v>
      </c>
      <c r="K1454" s="5">
        <v>250</v>
      </c>
      <c r="L1454" t="str">
        <f>Table_DataFromNL[[#This Row],[PROFILECODE]]&amp;"-"&amp;Table_DataFromNL[[#This Row],[RULENAME]]</f>
        <v>CP224-Vaccinia AP - 2nd Donation</v>
      </c>
      <c r="M1454" t="str">
        <f t="shared" si="159"/>
        <v>CP224-Vaccinia AP - 2nd Donation</v>
      </c>
    </row>
    <row r="1455" spans="1:13" x14ac:dyDescent="0.25">
      <c r="A1455" t="str">
        <f t="shared" si="160"/>
        <v>CP224-Vaccinia AP - 3rd Donation</v>
      </c>
      <c r="B1455" t="s">
        <v>291</v>
      </c>
      <c r="C1455" t="str">
        <f t="shared" si="154"/>
        <v>Hot Springs</v>
      </c>
      <c r="D1455" t="str">
        <f t="shared" si="155"/>
        <v>Y</v>
      </c>
      <c r="E1455" t="s">
        <v>632</v>
      </c>
      <c r="F1455" t="str">
        <f t="shared" si="156"/>
        <v>Vaccinia AP - 3rd Donation</v>
      </c>
      <c r="G1455" t="str">
        <f t="shared" si="157"/>
        <v>Specialty</v>
      </c>
      <c r="H1455" t="s">
        <v>483</v>
      </c>
      <c r="I1455">
        <f t="shared" si="158"/>
        <v>0</v>
      </c>
      <c r="J1455" t="s">
        <v>546</v>
      </c>
      <c r="K1455" s="5">
        <v>300</v>
      </c>
      <c r="L1455" t="str">
        <f>Table_DataFromNL[[#This Row],[PROFILECODE]]&amp;"-"&amp;Table_DataFromNL[[#This Row],[RULENAME]]</f>
        <v>CP224-Vaccinia AP - 3rd Donation</v>
      </c>
      <c r="M1455" t="str">
        <f t="shared" si="159"/>
        <v>CP224-Vaccinia AP - 3rd Donation</v>
      </c>
    </row>
    <row r="1456" spans="1:13" x14ac:dyDescent="0.25">
      <c r="A1456" t="str">
        <f t="shared" si="160"/>
        <v>CP224-Vaccinia AP - 4th Donation</v>
      </c>
      <c r="B1456" t="s">
        <v>291</v>
      </c>
      <c r="C1456" t="str">
        <f t="shared" si="154"/>
        <v>Hot Springs</v>
      </c>
      <c r="D1456" t="str">
        <f t="shared" si="155"/>
        <v>Y</v>
      </c>
      <c r="E1456" t="s">
        <v>632</v>
      </c>
      <c r="F1456" t="str">
        <f t="shared" si="156"/>
        <v>Vaccinia AP - 4th Donation</v>
      </c>
      <c r="G1456" t="str">
        <f t="shared" si="157"/>
        <v>Specialty</v>
      </c>
      <c r="H1456" t="s">
        <v>484</v>
      </c>
      <c r="I1456">
        <f t="shared" si="158"/>
        <v>0</v>
      </c>
      <c r="J1456" t="s">
        <v>546</v>
      </c>
      <c r="K1456" s="5">
        <v>300</v>
      </c>
      <c r="L1456" t="str">
        <f>Table_DataFromNL[[#This Row],[PROFILECODE]]&amp;"-"&amp;Table_DataFromNL[[#This Row],[RULENAME]]</f>
        <v>CP224-Vaccinia AP - 4th Donation</v>
      </c>
      <c r="M1456" t="str">
        <f t="shared" si="159"/>
        <v>CP224-Vaccinia AP - 4th Donation</v>
      </c>
    </row>
    <row r="1457" spans="1:13" x14ac:dyDescent="0.25">
      <c r="A1457" t="str">
        <f t="shared" si="160"/>
        <v>CP224-Community</v>
      </c>
      <c r="B1457" t="s">
        <v>291</v>
      </c>
      <c r="C1457" t="str">
        <f t="shared" si="154"/>
        <v>Hot Springs</v>
      </c>
      <c r="D1457" t="str">
        <f t="shared" si="155"/>
        <v>Y</v>
      </c>
      <c r="E1457" t="s">
        <v>632</v>
      </c>
      <c r="F1457" t="str">
        <f t="shared" si="156"/>
        <v>Community</v>
      </c>
      <c r="G1457">
        <f t="shared" si="157"/>
        <v>0</v>
      </c>
      <c r="H1457" t="s">
        <v>563</v>
      </c>
      <c r="I1457">
        <f t="shared" si="158"/>
        <v>0</v>
      </c>
      <c r="J1457" t="s">
        <v>564</v>
      </c>
      <c r="K1457" s="5">
        <v>5</v>
      </c>
      <c r="L1457" t="str">
        <f>Table_DataFromNL[[#This Row],[PROFILECODE]]&amp;"-"&amp;Table_DataFromNL[[#This Row],[RULENAME]]</f>
        <v>CP224-Community</v>
      </c>
      <c r="M1457" t="e">
        <f t="shared" si="159"/>
        <v>#N/A</v>
      </c>
    </row>
    <row r="1458" spans="1:13" x14ac:dyDescent="0.25">
      <c r="A1458" t="str">
        <f t="shared" si="160"/>
        <v>CP224-HANGER_RECRUIT_5USD_once</v>
      </c>
      <c r="B1458" t="s">
        <v>291</v>
      </c>
      <c r="C1458" t="str">
        <f t="shared" si="154"/>
        <v>Hot Springs</v>
      </c>
      <c r="D1458" t="str">
        <f t="shared" si="155"/>
        <v>Y</v>
      </c>
      <c r="E1458" t="s">
        <v>632</v>
      </c>
      <c r="F1458" t="str">
        <f t="shared" si="156"/>
        <v>HANGER_RECRUIT_5USD_once</v>
      </c>
      <c r="G1458">
        <f t="shared" si="157"/>
        <v>0</v>
      </c>
      <c r="H1458" t="s">
        <v>565</v>
      </c>
      <c r="I1458">
        <f t="shared" si="158"/>
        <v>0</v>
      </c>
      <c r="J1458" t="s">
        <v>564</v>
      </c>
      <c r="K1458" s="5">
        <v>5</v>
      </c>
      <c r="L1458" t="str">
        <f>Table_DataFromNL[[#This Row],[PROFILECODE]]&amp;"-"&amp;Table_DataFromNL[[#This Row],[RULENAME]]</f>
        <v>CP224-HANGER_RECRUIT_5USD_once</v>
      </c>
      <c r="M1458" t="e">
        <f t="shared" si="159"/>
        <v>#N/A</v>
      </c>
    </row>
    <row r="1459" spans="1:13" x14ac:dyDescent="0.25">
      <c r="A1459" t="str">
        <f t="shared" si="160"/>
        <v>CP224-Immunization Boost Payment</v>
      </c>
      <c r="B1459" t="s">
        <v>291</v>
      </c>
      <c r="C1459" t="str">
        <f t="shared" si="154"/>
        <v>Hot Springs</v>
      </c>
      <c r="D1459" t="str">
        <f t="shared" si="155"/>
        <v>Y</v>
      </c>
      <c r="E1459" t="s">
        <v>632</v>
      </c>
      <c r="F1459" t="str">
        <f t="shared" si="156"/>
        <v>Immunization Boost Payment</v>
      </c>
      <c r="G1459">
        <f t="shared" si="157"/>
        <v>0</v>
      </c>
      <c r="H1459" t="s">
        <v>598</v>
      </c>
      <c r="I1459">
        <f t="shared" si="158"/>
        <v>0</v>
      </c>
      <c r="J1459" t="s">
        <v>564</v>
      </c>
      <c r="K1459" s="5">
        <v>50</v>
      </c>
      <c r="L1459" t="str">
        <f>Table_DataFromNL[[#This Row],[PROFILECODE]]&amp;"-"&amp;Table_DataFromNL[[#This Row],[RULENAME]]</f>
        <v>CP224-Immunization Boost Payment</v>
      </c>
      <c r="M1459" t="e">
        <f t="shared" si="159"/>
        <v>#N/A</v>
      </c>
    </row>
    <row r="1460" spans="1:13" x14ac:dyDescent="0.25">
      <c r="A1460" t="str">
        <f t="shared" si="160"/>
        <v>CP224-Immunization Series Payment</v>
      </c>
      <c r="B1460" t="s">
        <v>291</v>
      </c>
      <c r="C1460" t="str">
        <f t="shared" si="154"/>
        <v>Hot Springs</v>
      </c>
      <c r="D1460" t="str">
        <f t="shared" si="155"/>
        <v>Y</v>
      </c>
      <c r="E1460" t="s">
        <v>632</v>
      </c>
      <c r="F1460" t="str">
        <f t="shared" si="156"/>
        <v>Immunization Series Payment</v>
      </c>
      <c r="G1460">
        <f t="shared" si="157"/>
        <v>0</v>
      </c>
      <c r="H1460" t="s">
        <v>599</v>
      </c>
      <c r="I1460">
        <f t="shared" si="158"/>
        <v>0</v>
      </c>
      <c r="J1460" t="s">
        <v>564</v>
      </c>
      <c r="K1460" s="5">
        <v>100</v>
      </c>
      <c r="L1460" t="str">
        <f>Table_DataFromNL[[#This Row],[PROFILECODE]]&amp;"-"&amp;Table_DataFromNL[[#This Row],[RULENAME]]</f>
        <v>CP224-Immunization Series Payment</v>
      </c>
      <c r="M1460" t="e">
        <f t="shared" si="159"/>
        <v>#N/A</v>
      </c>
    </row>
    <row r="1461" spans="1:13" x14ac:dyDescent="0.25">
      <c r="A1461" t="str">
        <f t="shared" si="160"/>
        <v>CP224-Inconv Fee $20-$50-Comment Req'd</v>
      </c>
      <c r="B1461" t="s">
        <v>291</v>
      </c>
      <c r="C1461" t="str">
        <f t="shared" si="154"/>
        <v>Hot Springs</v>
      </c>
      <c r="D1461" t="str">
        <f t="shared" si="155"/>
        <v>Y</v>
      </c>
      <c r="E1461" t="s">
        <v>632</v>
      </c>
      <c r="F1461" t="str">
        <f t="shared" si="156"/>
        <v>Inconv Fee $20-$50-Comment Req'd</v>
      </c>
      <c r="G1461">
        <f t="shared" si="157"/>
        <v>0</v>
      </c>
      <c r="H1461" t="s">
        <v>566</v>
      </c>
      <c r="I1461">
        <f t="shared" si="158"/>
        <v>0</v>
      </c>
      <c r="J1461" t="s">
        <v>564</v>
      </c>
      <c r="K1461" s="5">
        <v>50</v>
      </c>
      <c r="L1461" t="str">
        <f>Table_DataFromNL[[#This Row],[PROFILECODE]]&amp;"-"&amp;Table_DataFromNL[[#This Row],[RULENAME]]</f>
        <v>CP224-Inconv Fee $20-$50-Comment Req'd</v>
      </c>
      <c r="M1461" t="e">
        <f t="shared" si="159"/>
        <v>#N/A</v>
      </c>
    </row>
    <row r="1462" spans="1:13" x14ac:dyDescent="0.25">
      <c r="A1462" t="str">
        <f t="shared" si="160"/>
        <v>CP224-Inconv Fee $5-$20-Comment Req'd</v>
      </c>
      <c r="B1462" t="s">
        <v>291</v>
      </c>
      <c r="C1462" t="str">
        <f t="shared" si="154"/>
        <v>Hot Springs</v>
      </c>
      <c r="D1462" t="str">
        <f t="shared" si="155"/>
        <v>Y</v>
      </c>
      <c r="E1462" t="s">
        <v>632</v>
      </c>
      <c r="F1462" t="str">
        <f t="shared" si="156"/>
        <v>Inconv Fee $5-$20-Comment Req'd</v>
      </c>
      <c r="G1462">
        <f t="shared" si="157"/>
        <v>0</v>
      </c>
      <c r="H1462" t="s">
        <v>567</v>
      </c>
      <c r="I1462">
        <f t="shared" si="158"/>
        <v>0</v>
      </c>
      <c r="J1462" t="s">
        <v>564</v>
      </c>
      <c r="K1462" s="5">
        <v>20</v>
      </c>
      <c r="L1462" t="str">
        <f>Table_DataFromNL[[#This Row],[PROFILECODE]]&amp;"-"&amp;Table_DataFromNL[[#This Row],[RULENAME]]</f>
        <v>CP224-Inconv Fee $5-$20-Comment Req'd</v>
      </c>
      <c r="M1462" t="e">
        <f t="shared" si="159"/>
        <v>#N/A</v>
      </c>
    </row>
    <row r="1463" spans="1:13" x14ac:dyDescent="0.25">
      <c r="A1463" t="str">
        <f t="shared" si="160"/>
        <v>CP224-Inconv Fee$50-$100-Comment Req'd</v>
      </c>
      <c r="B1463" t="s">
        <v>291</v>
      </c>
      <c r="C1463" t="str">
        <f t="shared" si="154"/>
        <v>Hot Springs</v>
      </c>
      <c r="D1463" t="str">
        <f t="shared" si="155"/>
        <v>Y</v>
      </c>
      <c r="E1463" t="s">
        <v>632</v>
      </c>
      <c r="F1463" t="str">
        <f t="shared" si="156"/>
        <v>Inconv Fee$50-$100-Comment Req'd</v>
      </c>
      <c r="G1463">
        <f t="shared" si="157"/>
        <v>0</v>
      </c>
      <c r="H1463" t="s">
        <v>568</v>
      </c>
      <c r="I1463">
        <f t="shared" si="158"/>
        <v>0</v>
      </c>
      <c r="J1463" t="s">
        <v>564</v>
      </c>
      <c r="K1463" s="5">
        <v>100</v>
      </c>
      <c r="L1463" t="str">
        <f>Table_DataFromNL[[#This Row],[PROFILECODE]]&amp;"-"&amp;Table_DataFromNL[[#This Row],[RULENAME]]</f>
        <v>CP224-Inconv Fee$50-$100-Comment Req'd</v>
      </c>
      <c r="M1463" t="e">
        <f t="shared" si="159"/>
        <v>#N/A</v>
      </c>
    </row>
    <row r="1464" spans="1:13" x14ac:dyDescent="0.25">
      <c r="A1464" t="str">
        <f t="shared" si="160"/>
        <v>CP224-NSP_ LAPSEDONOR_50_Twice</v>
      </c>
      <c r="B1464" t="s">
        <v>291</v>
      </c>
      <c r="C1464" t="str">
        <f t="shared" si="154"/>
        <v>Hot Springs</v>
      </c>
      <c r="D1464" t="str">
        <f t="shared" si="155"/>
        <v>Y</v>
      </c>
      <c r="E1464" t="s">
        <v>632</v>
      </c>
      <c r="F1464" t="str">
        <f t="shared" si="156"/>
        <v>NSP_ LAPSEDONOR_50_Twice</v>
      </c>
      <c r="G1464">
        <f t="shared" si="157"/>
        <v>0</v>
      </c>
      <c r="H1464" t="s">
        <v>569</v>
      </c>
      <c r="I1464">
        <f t="shared" si="158"/>
        <v>0</v>
      </c>
      <c r="J1464" t="s">
        <v>564</v>
      </c>
      <c r="K1464" s="5">
        <v>50</v>
      </c>
      <c r="L1464" t="str">
        <f>Table_DataFromNL[[#This Row],[PROFILECODE]]&amp;"-"&amp;Table_DataFromNL[[#This Row],[RULENAME]]</f>
        <v>CP224-NSP_ LAPSEDONOR_50_Twice</v>
      </c>
      <c r="M1464" t="e">
        <f t="shared" si="159"/>
        <v>#N/A</v>
      </c>
    </row>
    <row r="1465" spans="1:13" x14ac:dyDescent="0.25">
      <c r="A1465" t="str">
        <f t="shared" si="160"/>
        <v>CP224-NSP_LD_25_2X</v>
      </c>
      <c r="B1465" t="s">
        <v>291</v>
      </c>
      <c r="C1465" t="str">
        <f t="shared" si="154"/>
        <v>Hot Springs</v>
      </c>
      <c r="D1465" t="str">
        <f t="shared" si="155"/>
        <v>Y</v>
      </c>
      <c r="E1465" t="s">
        <v>632</v>
      </c>
      <c r="F1465" t="str">
        <f t="shared" si="156"/>
        <v>NSP_LD_25_2X</v>
      </c>
      <c r="G1465">
        <f t="shared" si="157"/>
        <v>0</v>
      </c>
      <c r="H1465" t="s">
        <v>570</v>
      </c>
      <c r="I1465">
        <f t="shared" si="158"/>
        <v>0</v>
      </c>
      <c r="J1465" t="s">
        <v>564</v>
      </c>
      <c r="K1465" s="5">
        <v>25</v>
      </c>
      <c r="L1465" t="str">
        <f>Table_DataFromNL[[#This Row],[PROFILECODE]]&amp;"-"&amp;Table_DataFromNL[[#This Row],[RULENAME]]</f>
        <v>CP224-NSP_LD_25_2X</v>
      </c>
      <c r="M1465" t="e">
        <f t="shared" si="159"/>
        <v>#N/A</v>
      </c>
    </row>
    <row r="1466" spans="1:13" x14ac:dyDescent="0.25">
      <c r="A1466" t="str">
        <f t="shared" si="160"/>
        <v>CP224-NSP_LD_50_1X</v>
      </c>
      <c r="B1466" t="s">
        <v>291</v>
      </c>
      <c r="C1466" t="str">
        <f t="shared" si="154"/>
        <v>Hot Springs</v>
      </c>
      <c r="D1466" t="str">
        <f t="shared" si="155"/>
        <v>Y</v>
      </c>
      <c r="E1466" t="s">
        <v>632</v>
      </c>
      <c r="F1466" t="str">
        <f t="shared" si="156"/>
        <v>NSP_LD_50_1X</v>
      </c>
      <c r="G1466">
        <f t="shared" si="157"/>
        <v>0</v>
      </c>
      <c r="H1466" t="s">
        <v>571</v>
      </c>
      <c r="I1466">
        <f t="shared" si="158"/>
        <v>0</v>
      </c>
      <c r="J1466" t="s">
        <v>564</v>
      </c>
      <c r="K1466" s="5">
        <v>50</v>
      </c>
      <c r="L1466" t="str">
        <f>Table_DataFromNL[[#This Row],[PROFILECODE]]&amp;"-"&amp;Table_DataFromNL[[#This Row],[RULENAME]]</f>
        <v>CP224-NSP_LD_50_1X</v>
      </c>
      <c r="M1466" t="e">
        <f t="shared" si="159"/>
        <v>#N/A</v>
      </c>
    </row>
    <row r="1467" spans="1:13" x14ac:dyDescent="0.25">
      <c r="A1467" t="str">
        <f t="shared" si="160"/>
        <v>CP224-NSP_ORPHAN_100_once</v>
      </c>
      <c r="B1467" t="s">
        <v>291</v>
      </c>
      <c r="C1467" t="str">
        <f t="shared" si="154"/>
        <v>Hot Springs</v>
      </c>
      <c r="D1467" t="str">
        <f t="shared" si="155"/>
        <v>Y</v>
      </c>
      <c r="E1467" t="s">
        <v>632</v>
      </c>
      <c r="F1467" t="str">
        <f t="shared" si="156"/>
        <v>NSP_ORPHAN_100_once</v>
      </c>
      <c r="G1467">
        <f t="shared" si="157"/>
        <v>0</v>
      </c>
      <c r="H1467" t="s">
        <v>572</v>
      </c>
      <c r="I1467">
        <f t="shared" si="158"/>
        <v>0</v>
      </c>
      <c r="J1467" t="s">
        <v>564</v>
      </c>
      <c r="K1467" s="5">
        <v>100</v>
      </c>
      <c r="L1467" t="str">
        <f>Table_DataFromNL[[#This Row],[PROFILECODE]]&amp;"-"&amp;Table_DataFromNL[[#This Row],[RULENAME]]</f>
        <v>CP224-NSP_ORPHAN_100_once</v>
      </c>
      <c r="M1467" t="e">
        <f t="shared" si="159"/>
        <v>#N/A</v>
      </c>
    </row>
    <row r="1468" spans="1:13" x14ac:dyDescent="0.25">
      <c r="A1468" t="str">
        <f t="shared" si="160"/>
        <v>CP224-Referral - Vaccinia</v>
      </c>
      <c r="B1468" t="s">
        <v>291</v>
      </c>
      <c r="C1468" t="str">
        <f t="shared" si="154"/>
        <v>Hot Springs</v>
      </c>
      <c r="D1468" t="str">
        <f t="shared" si="155"/>
        <v>Y</v>
      </c>
      <c r="E1468" t="s">
        <v>632</v>
      </c>
      <c r="F1468" t="str">
        <f t="shared" si="156"/>
        <v>Referral - Vaccinia</v>
      </c>
      <c r="G1468">
        <f t="shared" si="157"/>
        <v>0</v>
      </c>
      <c r="H1468" t="s">
        <v>595</v>
      </c>
      <c r="I1468">
        <f t="shared" si="158"/>
        <v>0</v>
      </c>
      <c r="J1468" t="s">
        <v>564</v>
      </c>
      <c r="K1468" s="5">
        <v>200</v>
      </c>
      <c r="L1468" t="str">
        <f>Table_DataFromNL[[#This Row],[PROFILECODE]]&amp;"-"&amp;Table_DataFromNL[[#This Row],[RULENAME]]</f>
        <v>CP224-Referral - Vaccinia</v>
      </c>
      <c r="M1468" t="e">
        <f t="shared" si="159"/>
        <v>#N/A</v>
      </c>
    </row>
    <row r="1469" spans="1:13" x14ac:dyDescent="0.25">
      <c r="A1469" t="str">
        <f t="shared" si="160"/>
        <v>CP224-Restick</v>
      </c>
      <c r="B1469" t="s">
        <v>291</v>
      </c>
      <c r="C1469" t="str">
        <f t="shared" si="154"/>
        <v>Hot Springs</v>
      </c>
      <c r="D1469" t="str">
        <f t="shared" si="155"/>
        <v>Y</v>
      </c>
      <c r="E1469" t="s">
        <v>632</v>
      </c>
      <c r="F1469" t="str">
        <f t="shared" si="156"/>
        <v>Restick</v>
      </c>
      <c r="G1469">
        <f t="shared" si="157"/>
        <v>0</v>
      </c>
      <c r="H1469" t="s">
        <v>573</v>
      </c>
      <c r="I1469">
        <f t="shared" si="158"/>
        <v>0</v>
      </c>
      <c r="J1469" t="s">
        <v>564</v>
      </c>
      <c r="K1469" s="5">
        <v>5</v>
      </c>
      <c r="L1469" t="str">
        <f>Table_DataFromNL[[#This Row],[PROFILECODE]]&amp;"-"&amp;Table_DataFromNL[[#This Row],[RULENAME]]</f>
        <v>CP224-Restick</v>
      </c>
      <c r="M1469" t="e">
        <f t="shared" si="159"/>
        <v>#N/A</v>
      </c>
    </row>
    <row r="1470" spans="1:13" x14ac:dyDescent="0.25">
      <c r="A1470" t="str">
        <f t="shared" si="160"/>
        <v>CP224-SLOW_TEXT_5</v>
      </c>
      <c r="B1470" t="s">
        <v>291</v>
      </c>
      <c r="C1470" t="str">
        <f t="shared" si="154"/>
        <v>Hot Springs</v>
      </c>
      <c r="D1470" t="str">
        <f t="shared" si="155"/>
        <v>Y</v>
      </c>
      <c r="E1470" t="s">
        <v>632</v>
      </c>
      <c r="F1470" t="str">
        <f t="shared" si="156"/>
        <v>SLOW_TEXT_5</v>
      </c>
      <c r="G1470">
        <f t="shared" si="157"/>
        <v>0</v>
      </c>
      <c r="H1470" t="s">
        <v>574</v>
      </c>
      <c r="I1470">
        <f t="shared" si="158"/>
        <v>0</v>
      </c>
      <c r="J1470" t="s">
        <v>564</v>
      </c>
      <c r="K1470" s="5">
        <v>5</v>
      </c>
      <c r="L1470" t="str">
        <f>Table_DataFromNL[[#This Row],[PROFILECODE]]&amp;"-"&amp;Table_DataFromNL[[#This Row],[RULENAME]]</f>
        <v>CP224-SLOW_TEXT_5</v>
      </c>
      <c r="M1470" t="e">
        <f t="shared" si="159"/>
        <v>#N/A</v>
      </c>
    </row>
    <row r="1471" spans="1:13" x14ac:dyDescent="0.25">
      <c r="A1471" t="str">
        <f t="shared" si="160"/>
        <v>CP224-Sample Only</v>
      </c>
      <c r="B1471" t="s">
        <v>291</v>
      </c>
      <c r="C1471" t="str">
        <f t="shared" si="154"/>
        <v>Hot Springs</v>
      </c>
      <c r="D1471" t="str">
        <f t="shared" si="155"/>
        <v>Y</v>
      </c>
      <c r="E1471" t="s">
        <v>632</v>
      </c>
      <c r="F1471" t="str">
        <f t="shared" si="156"/>
        <v>Sample Only</v>
      </c>
      <c r="G1471">
        <f t="shared" si="157"/>
        <v>0</v>
      </c>
      <c r="H1471" t="s">
        <v>575</v>
      </c>
      <c r="I1471">
        <f t="shared" si="158"/>
        <v>0</v>
      </c>
      <c r="J1471" t="s">
        <v>564</v>
      </c>
      <c r="K1471" s="5">
        <v>5</v>
      </c>
      <c r="L1471" t="str">
        <f>Table_DataFromNL[[#This Row],[PROFILECODE]]&amp;"-"&amp;Table_DataFromNL[[#This Row],[RULENAME]]</f>
        <v>CP224-Sample Only</v>
      </c>
      <c r="M1471" t="e">
        <f t="shared" si="159"/>
        <v>#N/A</v>
      </c>
    </row>
    <row r="1472" spans="1:13" x14ac:dyDescent="0.25">
      <c r="A1472" t="str">
        <f t="shared" si="160"/>
        <v>CP224-Unit Below 250 mL</v>
      </c>
      <c r="B1472" t="s">
        <v>291</v>
      </c>
      <c r="C1472" t="str">
        <f t="shared" si="154"/>
        <v>Hot Springs</v>
      </c>
      <c r="D1472" t="str">
        <f t="shared" si="155"/>
        <v>Y</v>
      </c>
      <c r="E1472" t="s">
        <v>632</v>
      </c>
      <c r="F1472" t="str">
        <f t="shared" si="156"/>
        <v>Unit Below 250 mL</v>
      </c>
      <c r="G1472">
        <f t="shared" si="157"/>
        <v>0</v>
      </c>
      <c r="H1472" t="s">
        <v>576</v>
      </c>
      <c r="I1472">
        <f t="shared" si="158"/>
        <v>0</v>
      </c>
      <c r="J1472" t="s">
        <v>564</v>
      </c>
      <c r="K1472" s="5">
        <v>5</v>
      </c>
      <c r="L1472" t="str">
        <f>Table_DataFromNL[[#This Row],[PROFILECODE]]&amp;"-"&amp;Table_DataFromNL[[#This Row],[RULENAME]]</f>
        <v>CP224-Unit Below 250 mL</v>
      </c>
      <c r="M1472" t="e">
        <f t="shared" si="159"/>
        <v>#N/A</v>
      </c>
    </row>
    <row r="1473" spans="1:13" x14ac:dyDescent="0.25">
      <c r="A1473" t="str">
        <f t="shared" si="160"/>
        <v>CP224-Unit above 250 mL/underdraw</v>
      </c>
      <c r="B1473" t="s">
        <v>291</v>
      </c>
      <c r="C1473" t="str">
        <f t="shared" si="154"/>
        <v>Hot Springs</v>
      </c>
      <c r="D1473" t="str">
        <f t="shared" si="155"/>
        <v>Y</v>
      </c>
      <c r="E1473" t="s">
        <v>632</v>
      </c>
      <c r="F1473" t="str">
        <f t="shared" si="156"/>
        <v>Unit above 250 mL/underdraw</v>
      </c>
      <c r="G1473">
        <f t="shared" si="157"/>
        <v>0</v>
      </c>
      <c r="H1473" t="s">
        <v>577</v>
      </c>
      <c r="I1473">
        <f t="shared" si="158"/>
        <v>0</v>
      </c>
      <c r="J1473" t="s">
        <v>564</v>
      </c>
      <c r="K1473" s="5">
        <v>10</v>
      </c>
      <c r="L1473" t="str">
        <f>Table_DataFromNL[[#This Row],[PROFILECODE]]&amp;"-"&amp;Table_DataFromNL[[#This Row],[RULENAME]]</f>
        <v>CP224-Unit above 250 mL/underdraw</v>
      </c>
      <c r="M1473" t="e">
        <f t="shared" si="159"/>
        <v>#N/A</v>
      </c>
    </row>
    <row r="1474" spans="1:13" x14ac:dyDescent="0.25">
      <c r="A1474" t="str">
        <f t="shared" si="160"/>
        <v>CP224-Vaccinia Immunization</v>
      </c>
      <c r="B1474" t="s">
        <v>291</v>
      </c>
      <c r="C1474" t="str">
        <f t="shared" ref="C1474:C1537" si="161">VLOOKUP(B1474,CenterLU,2,FALSE)</f>
        <v>Hot Springs</v>
      </c>
      <c r="D1474" t="str">
        <f t="shared" ref="D1474:D1537" si="162">VLOOKUP(B1474,CenterLU,3,FALSE)</f>
        <v>Y</v>
      </c>
      <c r="E1474" t="s">
        <v>632</v>
      </c>
      <c r="F1474" t="str">
        <f t="shared" ref="F1474:F1537" si="163">IF(VLOOKUP(H1474,RULENAMELU,3,FALSE)=0,H1474,VLOOKUP(H1474,RULENAMELU,3,FALSE))</f>
        <v>Vaccinia Immunization</v>
      </c>
      <c r="G1474">
        <f t="shared" ref="G1474:G1537" si="164">VLOOKUP(H1474,RULENAMELU,4,FALSE)</f>
        <v>0</v>
      </c>
      <c r="H1474" t="s">
        <v>596</v>
      </c>
      <c r="I1474">
        <f t="shared" ref="I1474:I1537" si="165">VLOOKUP(H1474,RULENAMELU,5,FALSE)</f>
        <v>0</v>
      </c>
      <c r="J1474" t="s">
        <v>564</v>
      </c>
      <c r="K1474" s="5">
        <v>100</v>
      </c>
      <c r="L1474" t="str">
        <f>Table_DataFromNL[[#This Row],[PROFILECODE]]&amp;"-"&amp;Table_DataFromNL[[#This Row],[RULENAME]]</f>
        <v>CP224-Vaccinia Immunization</v>
      </c>
      <c r="M1474" t="e">
        <f t="shared" ref="M1474:M1537" si="166">IFERROR(VLOOKUP(A1474,PaychangesLU,1,FALSE),VLOOKUP(A1474,SpecialtyCheckLU,1,FALSE))</f>
        <v>#N/A</v>
      </c>
    </row>
    <row r="1475" spans="1:13" x14ac:dyDescent="0.25">
      <c r="A1475" t="str">
        <f t="shared" ref="A1475:A1538" si="167">B1475&amp;"-"&amp;F1475</f>
        <v>CP224-RETURN - Buddy referral  -BONUS</v>
      </c>
      <c r="B1475" t="s">
        <v>291</v>
      </c>
      <c r="C1475" t="str">
        <f t="shared" si="161"/>
        <v>Hot Springs</v>
      </c>
      <c r="D1475" t="str">
        <f t="shared" si="162"/>
        <v>Y</v>
      </c>
      <c r="E1475" t="s">
        <v>632</v>
      </c>
      <c r="F1475" t="str">
        <f t="shared" si="163"/>
        <v>RETURN - Buddy referral  -BONUS</v>
      </c>
      <c r="G1475" t="str">
        <f t="shared" si="164"/>
        <v>Marketing</v>
      </c>
      <c r="H1475" t="s">
        <v>34</v>
      </c>
      <c r="I1475">
        <f t="shared" si="165"/>
        <v>50</v>
      </c>
      <c r="J1475" t="s">
        <v>578</v>
      </c>
      <c r="K1475" s="5">
        <v>50</v>
      </c>
      <c r="L1475" t="str">
        <f>Table_DataFromNL[[#This Row],[PROFILECODE]]&amp;"-"&amp;Table_DataFromNL[[#This Row],[RULENAME]]</f>
        <v>CP224-Referral</v>
      </c>
      <c r="M1475" t="str">
        <f t="shared" si="166"/>
        <v>CP224-RETURN - Buddy referral  -BONUS</v>
      </c>
    </row>
    <row r="1476" spans="1:13" x14ac:dyDescent="0.25">
      <c r="A1476" t="str">
        <f t="shared" si="167"/>
        <v>CP224-P Anti-D Pre-Existing Standard</v>
      </c>
      <c r="B1476" t="s">
        <v>291</v>
      </c>
      <c r="C1476" t="str">
        <f t="shared" si="161"/>
        <v>Hot Springs</v>
      </c>
      <c r="D1476" t="str">
        <f t="shared" si="162"/>
        <v>Y</v>
      </c>
      <c r="E1476" t="s">
        <v>632</v>
      </c>
      <c r="F1476" t="str">
        <f t="shared" si="163"/>
        <v>P Anti-D Pre-Existing Standard</v>
      </c>
      <c r="G1476" t="str">
        <f t="shared" si="164"/>
        <v>Specialty</v>
      </c>
      <c r="H1476" t="s">
        <v>469</v>
      </c>
      <c r="I1476" t="str">
        <f t="shared" si="165"/>
        <v>RETURN - 1st don of the week -STD</v>
      </c>
      <c r="J1476" t="s">
        <v>579</v>
      </c>
      <c r="K1476" s="5">
        <v>50</v>
      </c>
      <c r="L1476" t="str">
        <f>Table_DataFromNL[[#This Row],[PROFILECODE]]&amp;"-"&amp;Table_DataFromNL[[#This Row],[RULENAME]]</f>
        <v>CP224-P Anti-D Pre-Existing Standard</v>
      </c>
      <c r="M1476" t="str">
        <f t="shared" si="166"/>
        <v>CP224-P Anti-D Pre-Existing Standard</v>
      </c>
    </row>
    <row r="1477" spans="1:13" x14ac:dyDescent="0.25">
      <c r="A1477" t="str">
        <f t="shared" si="167"/>
        <v>CP224-P Anti-D Standard</v>
      </c>
      <c r="B1477" t="s">
        <v>291</v>
      </c>
      <c r="C1477" t="str">
        <f t="shared" si="161"/>
        <v>Hot Springs</v>
      </c>
      <c r="D1477" t="str">
        <f t="shared" si="162"/>
        <v>Y</v>
      </c>
      <c r="E1477" t="s">
        <v>632</v>
      </c>
      <c r="F1477" t="str">
        <f t="shared" si="163"/>
        <v>P Anti-D Standard</v>
      </c>
      <c r="G1477" t="str">
        <f t="shared" si="164"/>
        <v>Specialty</v>
      </c>
      <c r="H1477" t="s">
        <v>474</v>
      </c>
      <c r="I1477" t="str">
        <f t="shared" si="165"/>
        <v>RETURN - 1st don of the week -STD</v>
      </c>
      <c r="J1477" t="s">
        <v>579</v>
      </c>
      <c r="K1477" s="5">
        <v>75</v>
      </c>
      <c r="L1477" t="str">
        <f>Table_DataFromNL[[#This Row],[PROFILECODE]]&amp;"-"&amp;Table_DataFromNL[[#This Row],[RULENAME]]</f>
        <v>CP224-P Anti-D Standard</v>
      </c>
      <c r="M1477" t="str">
        <f t="shared" si="166"/>
        <v>CP224-P Anti-D Standard</v>
      </c>
    </row>
    <row r="1478" spans="1:13" x14ac:dyDescent="0.25">
      <c r="A1478" t="str">
        <f t="shared" si="167"/>
        <v>CP224-RETURN - 1st don of the week -STD</v>
      </c>
      <c r="B1478" t="s">
        <v>291</v>
      </c>
      <c r="C1478" t="str">
        <f t="shared" si="161"/>
        <v>Hot Springs</v>
      </c>
      <c r="D1478" t="str">
        <f t="shared" si="162"/>
        <v>Y</v>
      </c>
      <c r="E1478" t="s">
        <v>632</v>
      </c>
      <c r="F1478" t="str">
        <f t="shared" si="163"/>
        <v>RETURN - 1st don of the week -STD</v>
      </c>
      <c r="G1478" t="str">
        <f t="shared" si="164"/>
        <v>Marketing</v>
      </c>
      <c r="H1478" t="s">
        <v>583</v>
      </c>
      <c r="I1478">
        <f t="shared" si="165"/>
        <v>22</v>
      </c>
      <c r="J1478" t="s">
        <v>579</v>
      </c>
      <c r="K1478" s="5">
        <v>55</v>
      </c>
      <c r="L1478" t="str">
        <f>Table_DataFromNL[[#This Row],[PROFILECODE]]&amp;"-"&amp;Table_DataFromNL[[#This Row],[RULENAME]]</f>
        <v>CP224-P NSP NS AP Standard</v>
      </c>
      <c r="M1478" t="str">
        <f t="shared" si="166"/>
        <v>CP224-RETURN - 1st don of the week -STD</v>
      </c>
    </row>
    <row r="1479" spans="1:13" x14ac:dyDescent="0.25">
      <c r="A1479" t="str">
        <f t="shared" si="167"/>
        <v>CP224-RETURN - 1st don of the week -STD</v>
      </c>
      <c r="B1479" t="s">
        <v>291</v>
      </c>
      <c r="C1479" t="str">
        <f t="shared" si="161"/>
        <v>Hot Springs</v>
      </c>
      <c r="D1479" t="str">
        <f t="shared" si="162"/>
        <v>Y</v>
      </c>
      <c r="E1479" t="s">
        <v>632</v>
      </c>
      <c r="F1479" t="str">
        <f t="shared" si="163"/>
        <v>RETURN - 1st don of the week -STD</v>
      </c>
      <c r="G1479" t="str">
        <f t="shared" si="164"/>
        <v>Marketing</v>
      </c>
      <c r="H1479" t="s">
        <v>584</v>
      </c>
      <c r="I1479">
        <f t="shared" si="165"/>
        <v>23</v>
      </c>
      <c r="J1479" t="s">
        <v>579</v>
      </c>
      <c r="K1479" s="5">
        <v>55</v>
      </c>
      <c r="L1479" t="str">
        <f>Table_DataFromNL[[#This Row],[PROFILECODE]]&amp;"-"&amp;Table_DataFromNL[[#This Row],[RULENAME]]</f>
        <v>CP224-P NSP NS Standard</v>
      </c>
      <c r="M1479" t="str">
        <f t="shared" si="166"/>
        <v>CP224-RETURN - 1st don of the week -STD</v>
      </c>
    </row>
    <row r="1480" spans="1:13" x14ac:dyDescent="0.25">
      <c r="A1480" t="str">
        <f t="shared" si="167"/>
        <v>CP224-P VZV Pre-Existing AP</v>
      </c>
      <c r="B1480" t="s">
        <v>291</v>
      </c>
      <c r="C1480" t="str">
        <f t="shared" si="161"/>
        <v>Hot Springs</v>
      </c>
      <c r="D1480" t="str">
        <f t="shared" si="162"/>
        <v>Y</v>
      </c>
      <c r="E1480" t="s">
        <v>632</v>
      </c>
      <c r="F1480" t="str">
        <f t="shared" si="163"/>
        <v>P VZV Pre-Existing AP</v>
      </c>
      <c r="G1480" t="str">
        <f t="shared" si="164"/>
        <v>Specialty</v>
      </c>
      <c r="H1480" t="s">
        <v>495</v>
      </c>
      <c r="I1480" t="str">
        <f t="shared" si="165"/>
        <v>RETURN - 1st don of the week -STD</v>
      </c>
      <c r="J1480" t="s">
        <v>579</v>
      </c>
      <c r="K1480" s="5">
        <v>65</v>
      </c>
      <c r="L1480" t="str">
        <f>Table_DataFromNL[[#This Row],[PROFILECODE]]&amp;"-"&amp;Table_DataFromNL[[#This Row],[RULENAME]]</f>
        <v>CP224-P VZV Pre-Existing AP</v>
      </c>
      <c r="M1480" t="str">
        <f t="shared" si="166"/>
        <v>CP224-P VZV Pre-Existing AP</v>
      </c>
    </row>
    <row r="1481" spans="1:13" x14ac:dyDescent="0.25">
      <c r="A1481" t="str">
        <f t="shared" si="167"/>
        <v>CP224-P Vaccinia AP Standard</v>
      </c>
      <c r="B1481" t="s">
        <v>291</v>
      </c>
      <c r="C1481" t="str">
        <f t="shared" si="161"/>
        <v>Hot Springs</v>
      </c>
      <c r="D1481" t="str">
        <f t="shared" si="162"/>
        <v>Y</v>
      </c>
      <c r="E1481" t="s">
        <v>632</v>
      </c>
      <c r="F1481" t="str">
        <f t="shared" si="163"/>
        <v>P Vaccinia AP Standard</v>
      </c>
      <c r="G1481" t="str">
        <f t="shared" si="164"/>
        <v>Specialty</v>
      </c>
      <c r="H1481" t="s">
        <v>475</v>
      </c>
      <c r="I1481">
        <f t="shared" si="165"/>
        <v>0</v>
      </c>
      <c r="J1481" t="s">
        <v>579</v>
      </c>
      <c r="K1481" s="5">
        <v>100</v>
      </c>
      <c r="L1481" t="str">
        <f>Table_DataFromNL[[#This Row],[PROFILECODE]]&amp;"-"&amp;Table_DataFromNL[[#This Row],[RULENAME]]</f>
        <v>CP224-P Vaccinia AP Standard</v>
      </c>
      <c r="M1481" t="str">
        <f t="shared" si="166"/>
        <v>CP224-P Vaccinia AP Standard</v>
      </c>
    </row>
    <row r="1482" spans="1:13" x14ac:dyDescent="0.25">
      <c r="A1482" t="str">
        <f t="shared" si="167"/>
        <v>CP224-P Vaccinia Standard</v>
      </c>
      <c r="B1482" t="s">
        <v>291</v>
      </c>
      <c r="C1482" t="str">
        <f t="shared" si="161"/>
        <v>Hot Springs</v>
      </c>
      <c r="D1482" t="str">
        <f t="shared" si="162"/>
        <v>Y</v>
      </c>
      <c r="E1482" t="s">
        <v>632</v>
      </c>
      <c r="F1482" t="str">
        <f t="shared" si="163"/>
        <v>P Vaccinia Standard</v>
      </c>
      <c r="G1482" t="str">
        <f t="shared" si="164"/>
        <v>Specialty</v>
      </c>
      <c r="H1482" t="s">
        <v>476</v>
      </c>
      <c r="I1482">
        <f t="shared" si="165"/>
        <v>0</v>
      </c>
      <c r="J1482" t="s">
        <v>579</v>
      </c>
      <c r="K1482" s="5">
        <v>100</v>
      </c>
      <c r="L1482" t="str">
        <f>Table_DataFromNL[[#This Row],[PROFILECODE]]&amp;"-"&amp;Table_DataFromNL[[#This Row],[RULENAME]]</f>
        <v>CP224-P Vaccinia Standard</v>
      </c>
      <c r="M1482" t="str">
        <f t="shared" si="166"/>
        <v>CP224-P Vaccinia Standard</v>
      </c>
    </row>
    <row r="1483" spans="1:13" x14ac:dyDescent="0.25">
      <c r="A1483" t="str">
        <f t="shared" si="167"/>
        <v>CP224-PVZV Pre-Existing Standard</v>
      </c>
      <c r="B1483" t="s">
        <v>291</v>
      </c>
      <c r="C1483" t="str">
        <f t="shared" si="161"/>
        <v>Hot Springs</v>
      </c>
      <c r="D1483" t="str">
        <f t="shared" si="162"/>
        <v>Y</v>
      </c>
      <c r="E1483" t="s">
        <v>632</v>
      </c>
      <c r="F1483" t="str">
        <f t="shared" si="163"/>
        <v>PVZV Pre-Existing Standard</v>
      </c>
      <c r="G1483" t="str">
        <f t="shared" si="164"/>
        <v>Specialty</v>
      </c>
      <c r="H1483" t="s">
        <v>497</v>
      </c>
      <c r="I1483" t="str">
        <f t="shared" si="165"/>
        <v>RETURN - 1st don of the week -STD</v>
      </c>
      <c r="J1483" t="s">
        <v>579</v>
      </c>
      <c r="K1483" s="5">
        <v>65</v>
      </c>
      <c r="L1483" t="str">
        <f>Table_DataFromNL[[#This Row],[PROFILECODE]]&amp;"-"&amp;Table_DataFromNL[[#This Row],[RULENAME]]</f>
        <v>CP224-PVZV Pre-Existing Standard</v>
      </c>
      <c r="M1483" t="str">
        <f t="shared" si="166"/>
        <v>CP224-PVZV Pre-Existing Standard</v>
      </c>
    </row>
    <row r="1484" spans="1:13" x14ac:dyDescent="0.25">
      <c r="A1484" t="str">
        <f t="shared" si="167"/>
        <v>CP225-1st Responder-Medical</v>
      </c>
      <c r="B1484" t="s">
        <v>89</v>
      </c>
      <c r="C1484" t="str">
        <f t="shared" si="161"/>
        <v>Houston Aldine</v>
      </c>
      <c r="D1484" t="str">
        <f t="shared" si="162"/>
        <v>Y</v>
      </c>
      <c r="E1484" t="s">
        <v>633</v>
      </c>
      <c r="F1484" t="str">
        <f t="shared" si="163"/>
        <v>1st Responder-Medical</v>
      </c>
      <c r="G1484">
        <f t="shared" si="164"/>
        <v>0</v>
      </c>
      <c r="H1484" t="s">
        <v>545</v>
      </c>
      <c r="I1484">
        <f t="shared" si="165"/>
        <v>0</v>
      </c>
      <c r="J1484" t="s">
        <v>546</v>
      </c>
      <c r="K1484" s="5">
        <v>5</v>
      </c>
      <c r="L1484" t="str">
        <f>Table_DataFromNL[[#This Row],[PROFILECODE]]&amp;"-"&amp;Table_DataFromNL[[#This Row],[RULENAME]]</f>
        <v>CP225-1st Responder-Medical</v>
      </c>
      <c r="M1484" t="e">
        <f t="shared" si="166"/>
        <v>#N/A</v>
      </c>
    </row>
    <row r="1485" spans="1:13" x14ac:dyDescent="0.25">
      <c r="A1485" t="str">
        <f t="shared" si="167"/>
        <v>CP225-RETURN - 2nd don of the week -BONUS</v>
      </c>
      <c r="B1485" t="s">
        <v>89</v>
      </c>
      <c r="C1485" t="str">
        <f t="shared" si="161"/>
        <v>Houston Aldine</v>
      </c>
      <c r="D1485" t="str">
        <f t="shared" si="162"/>
        <v>Y</v>
      </c>
      <c r="E1485" t="s">
        <v>633</v>
      </c>
      <c r="F1485" t="str">
        <f t="shared" si="163"/>
        <v>RETURN - 2nd don of the week -BONUS</v>
      </c>
      <c r="G1485" t="str">
        <f t="shared" si="164"/>
        <v>Marketing</v>
      </c>
      <c r="H1485" t="s">
        <v>550</v>
      </c>
      <c r="I1485">
        <f t="shared" si="165"/>
        <v>26</v>
      </c>
      <c r="J1485" t="s">
        <v>546</v>
      </c>
      <c r="K1485" s="5">
        <v>10</v>
      </c>
      <c r="L1485" t="str">
        <f>Table_DataFromNL[[#This Row],[PROFILECODE]]&amp;"-"&amp;Table_DataFromNL[[#This Row],[RULENAME]]</f>
        <v>CP225-2X Week P NSP NS</v>
      </c>
      <c r="M1485" t="str">
        <f t="shared" si="166"/>
        <v>CP225-RETURN - 2nd don of the week -BONUS</v>
      </c>
    </row>
    <row r="1486" spans="1:13" x14ac:dyDescent="0.25">
      <c r="A1486" t="str">
        <f t="shared" si="167"/>
        <v>CP225-RETURN - 2nd don of the week -BONUS</v>
      </c>
      <c r="B1486" t="s">
        <v>89</v>
      </c>
      <c r="C1486" t="str">
        <f t="shared" si="161"/>
        <v>Houston Aldine</v>
      </c>
      <c r="D1486" t="str">
        <f t="shared" si="162"/>
        <v>Y</v>
      </c>
      <c r="E1486" t="s">
        <v>633</v>
      </c>
      <c r="F1486" t="str">
        <f t="shared" si="163"/>
        <v>RETURN - 2nd don of the week -BONUS</v>
      </c>
      <c r="G1486" t="str">
        <f t="shared" si="164"/>
        <v>Marketing</v>
      </c>
      <c r="H1486" t="s">
        <v>551</v>
      </c>
      <c r="I1486" t="str">
        <f t="shared" si="165"/>
        <v>RETURN - 2nd don of the week -BONUS</v>
      </c>
      <c r="J1486" t="s">
        <v>546</v>
      </c>
      <c r="K1486" s="5">
        <v>10</v>
      </c>
      <c r="L1486" t="str">
        <f>Table_DataFromNL[[#This Row],[PROFILECODE]]&amp;"-"&amp;Table_DataFromNL[[#This Row],[RULENAME]]</f>
        <v>CP225-2X Week P NSP NS AP</v>
      </c>
      <c r="M1486" t="str">
        <f t="shared" si="166"/>
        <v>CP225-RETURN - 2nd don of the week -BONUS</v>
      </c>
    </row>
    <row r="1487" spans="1:13" x14ac:dyDescent="0.25">
      <c r="A1487" t="str">
        <f t="shared" si="167"/>
        <v>CP225-2X Week P VZV Pre-Existing</v>
      </c>
      <c r="B1487" t="s">
        <v>89</v>
      </c>
      <c r="C1487" t="str">
        <f t="shared" si="161"/>
        <v>Houston Aldine</v>
      </c>
      <c r="D1487" t="str">
        <f t="shared" si="162"/>
        <v>Y</v>
      </c>
      <c r="E1487" t="s">
        <v>633</v>
      </c>
      <c r="F1487" t="str">
        <f t="shared" si="163"/>
        <v>2X Week P VZV Pre-Existing</v>
      </c>
      <c r="G1487" t="str">
        <f t="shared" si="164"/>
        <v>Specialty</v>
      </c>
      <c r="H1487" t="s">
        <v>490</v>
      </c>
      <c r="I1487" t="str">
        <f t="shared" si="165"/>
        <v>RETURN - 2nd don of the week -BONUS</v>
      </c>
      <c r="J1487" t="s">
        <v>546</v>
      </c>
      <c r="K1487" s="5">
        <v>10</v>
      </c>
      <c r="L1487" t="str">
        <f>Table_DataFromNL[[#This Row],[PROFILECODE]]&amp;"-"&amp;Table_DataFromNL[[#This Row],[RULENAME]]</f>
        <v>CP225-2X Week P VZV Pre-Existing</v>
      </c>
      <c r="M1487" t="str">
        <f t="shared" si="166"/>
        <v>CP225-2X Week P VZV Pre-Existing</v>
      </c>
    </row>
    <row r="1488" spans="1:13" x14ac:dyDescent="0.25">
      <c r="A1488" t="str">
        <f t="shared" si="167"/>
        <v>CP225-2X Week P VZV Pre-Existing AP</v>
      </c>
      <c r="B1488" t="s">
        <v>89</v>
      </c>
      <c r="C1488" t="str">
        <f t="shared" si="161"/>
        <v>Houston Aldine</v>
      </c>
      <c r="D1488" t="str">
        <f t="shared" si="162"/>
        <v>Y</v>
      </c>
      <c r="E1488" t="s">
        <v>633</v>
      </c>
      <c r="F1488" t="str">
        <f t="shared" si="163"/>
        <v>2X Week P VZV Pre-Existing AP</v>
      </c>
      <c r="G1488" t="str">
        <f t="shared" si="164"/>
        <v>Specialty</v>
      </c>
      <c r="H1488" t="s">
        <v>491</v>
      </c>
      <c r="I1488" t="str">
        <f t="shared" si="165"/>
        <v>RETURN - 2nd don of the week -BONUS</v>
      </c>
      <c r="J1488" t="s">
        <v>546</v>
      </c>
      <c r="K1488" s="5">
        <v>10</v>
      </c>
      <c r="L1488" t="str">
        <f>Table_DataFromNL[[#This Row],[PROFILECODE]]&amp;"-"&amp;Table_DataFromNL[[#This Row],[RULENAME]]</f>
        <v>CP225-2X Week P VZV Pre-Existing AP</v>
      </c>
      <c r="M1488" t="str">
        <f t="shared" si="166"/>
        <v>CP225-2X Week P VZV Pre-Existing AP</v>
      </c>
    </row>
    <row r="1489" spans="1:13" x14ac:dyDescent="0.25">
      <c r="A1489" t="str">
        <f t="shared" si="167"/>
        <v>CP225-College ID Standard Bonus</v>
      </c>
      <c r="B1489" t="s">
        <v>89</v>
      </c>
      <c r="C1489" t="str">
        <f t="shared" si="161"/>
        <v>Houston Aldine</v>
      </c>
      <c r="D1489" t="str">
        <f t="shared" si="162"/>
        <v>Y</v>
      </c>
      <c r="E1489" t="s">
        <v>633</v>
      </c>
      <c r="F1489" t="str">
        <f t="shared" si="163"/>
        <v>College ID Standard Bonus</v>
      </c>
      <c r="G1489">
        <f t="shared" si="164"/>
        <v>0</v>
      </c>
      <c r="H1489" t="s">
        <v>553</v>
      </c>
      <c r="I1489">
        <f t="shared" si="165"/>
        <v>0</v>
      </c>
      <c r="J1489" t="s">
        <v>546</v>
      </c>
      <c r="K1489" s="5">
        <v>5</v>
      </c>
      <c r="L1489" t="str">
        <f>Table_DataFromNL[[#This Row],[PROFILECODE]]&amp;"-"&amp;Table_DataFromNL[[#This Row],[RULENAME]]</f>
        <v>CP225-College ID Standard Bonus</v>
      </c>
      <c r="M1489" t="e">
        <f t="shared" si="166"/>
        <v>#N/A</v>
      </c>
    </row>
    <row r="1490" spans="1:13" x14ac:dyDescent="0.25">
      <c r="A1490" t="str">
        <f t="shared" si="167"/>
        <v>CP225-Military ID</v>
      </c>
      <c r="B1490" t="s">
        <v>89</v>
      </c>
      <c r="C1490" t="str">
        <f t="shared" si="161"/>
        <v>Houston Aldine</v>
      </c>
      <c r="D1490" t="str">
        <f t="shared" si="162"/>
        <v>Y</v>
      </c>
      <c r="E1490" t="s">
        <v>633</v>
      </c>
      <c r="F1490" t="str">
        <f t="shared" si="163"/>
        <v>Military ID</v>
      </c>
      <c r="G1490">
        <f t="shared" si="164"/>
        <v>0</v>
      </c>
      <c r="H1490" t="s">
        <v>554</v>
      </c>
      <c r="I1490">
        <f t="shared" si="165"/>
        <v>0</v>
      </c>
      <c r="J1490" t="s">
        <v>546</v>
      </c>
      <c r="K1490" s="5">
        <v>5</v>
      </c>
      <c r="L1490" t="str">
        <f>Table_DataFromNL[[#This Row],[PROFILECODE]]&amp;"-"&amp;Table_DataFromNL[[#This Row],[RULENAME]]</f>
        <v>CP225-Military ID</v>
      </c>
      <c r="M1490" t="e">
        <f t="shared" si="166"/>
        <v>#N/A</v>
      </c>
    </row>
    <row r="1491" spans="1:13" x14ac:dyDescent="0.25">
      <c r="A1491" t="str">
        <f t="shared" si="167"/>
        <v>CP225-NEW DONOR -1st</v>
      </c>
      <c r="B1491" t="s">
        <v>89</v>
      </c>
      <c r="C1491" t="str">
        <f t="shared" si="161"/>
        <v>Houston Aldine</v>
      </c>
      <c r="D1491" t="str">
        <f t="shared" si="162"/>
        <v>Y</v>
      </c>
      <c r="E1491" t="s">
        <v>633</v>
      </c>
      <c r="F1491" t="str">
        <f t="shared" si="163"/>
        <v>NEW DONOR -1st</v>
      </c>
      <c r="G1491" t="str">
        <f t="shared" si="164"/>
        <v>Marketing</v>
      </c>
      <c r="H1491" t="s">
        <v>555</v>
      </c>
      <c r="I1491">
        <f t="shared" si="165"/>
        <v>1</v>
      </c>
      <c r="J1491" t="s">
        <v>546</v>
      </c>
      <c r="K1491" s="5">
        <v>60</v>
      </c>
      <c r="L1491" t="str">
        <f>Table_DataFromNL[[#This Row],[PROFILECODE]]&amp;"-"&amp;Table_DataFromNL[[#This Row],[RULENAME]]</f>
        <v>CP225-New Donor 1st Visit-Bonus</v>
      </c>
      <c r="M1491" t="str">
        <f t="shared" si="166"/>
        <v>CP225-NEW DONOR -1st</v>
      </c>
    </row>
    <row r="1492" spans="1:13" x14ac:dyDescent="0.25">
      <c r="A1492" t="str">
        <f t="shared" si="167"/>
        <v>CP225-NEW DONOR -2nd</v>
      </c>
      <c r="B1492" t="s">
        <v>89</v>
      </c>
      <c r="C1492" t="str">
        <f t="shared" si="161"/>
        <v>Houston Aldine</v>
      </c>
      <c r="D1492" t="str">
        <f t="shared" si="162"/>
        <v>Y</v>
      </c>
      <c r="E1492" t="s">
        <v>633</v>
      </c>
      <c r="F1492" t="str">
        <f t="shared" si="163"/>
        <v>NEW DONOR -2nd</v>
      </c>
      <c r="G1492" t="str">
        <f t="shared" si="164"/>
        <v>Marketing</v>
      </c>
      <c r="H1492" t="s">
        <v>556</v>
      </c>
      <c r="I1492">
        <f t="shared" si="165"/>
        <v>2</v>
      </c>
      <c r="J1492" t="s">
        <v>546</v>
      </c>
      <c r="K1492" s="5">
        <v>60</v>
      </c>
      <c r="L1492" t="str">
        <f>Table_DataFromNL[[#This Row],[PROFILECODE]]&amp;"-"&amp;Table_DataFromNL[[#This Row],[RULENAME]]</f>
        <v>CP225-New Donor 2nd Visit-Bonus</v>
      </c>
      <c r="M1492" t="str">
        <f t="shared" si="166"/>
        <v>CP225-NEW DONOR -2nd</v>
      </c>
    </row>
    <row r="1493" spans="1:13" x14ac:dyDescent="0.25">
      <c r="A1493" t="str">
        <f t="shared" si="167"/>
        <v>CP225-NEW DONOR -3rd</v>
      </c>
      <c r="B1493" t="s">
        <v>89</v>
      </c>
      <c r="C1493" t="str">
        <f t="shared" si="161"/>
        <v>Houston Aldine</v>
      </c>
      <c r="D1493" t="str">
        <f t="shared" si="162"/>
        <v>Y</v>
      </c>
      <c r="E1493" t="s">
        <v>633</v>
      </c>
      <c r="F1493" t="str">
        <f t="shared" si="163"/>
        <v>NEW DONOR -3rd</v>
      </c>
      <c r="G1493" t="str">
        <f t="shared" si="164"/>
        <v>Marketing</v>
      </c>
      <c r="H1493" t="s">
        <v>557</v>
      </c>
      <c r="I1493">
        <f t="shared" si="165"/>
        <v>3</v>
      </c>
      <c r="J1493" t="s">
        <v>546</v>
      </c>
      <c r="K1493" s="5">
        <v>60</v>
      </c>
      <c r="L1493" t="str">
        <f>Table_DataFromNL[[#This Row],[PROFILECODE]]&amp;"-"&amp;Table_DataFromNL[[#This Row],[RULENAME]]</f>
        <v>CP225-New Donor 3rd Visit-Bonus</v>
      </c>
      <c r="M1493" t="str">
        <f t="shared" si="166"/>
        <v>CP225-NEW DONOR -3rd</v>
      </c>
    </row>
    <row r="1494" spans="1:13" x14ac:dyDescent="0.25">
      <c r="A1494" t="str">
        <f t="shared" si="167"/>
        <v>CP225-NEW DONOR -4th</v>
      </c>
      <c r="B1494" t="s">
        <v>89</v>
      </c>
      <c r="C1494" t="str">
        <f t="shared" si="161"/>
        <v>Houston Aldine</v>
      </c>
      <c r="D1494" t="str">
        <f t="shared" si="162"/>
        <v>Y</v>
      </c>
      <c r="E1494" t="s">
        <v>633</v>
      </c>
      <c r="F1494" t="str">
        <f t="shared" si="163"/>
        <v>NEW DONOR -4th</v>
      </c>
      <c r="G1494" t="str">
        <f t="shared" si="164"/>
        <v>Marketing</v>
      </c>
      <c r="H1494" t="s">
        <v>558</v>
      </c>
      <c r="I1494">
        <f t="shared" si="165"/>
        <v>4</v>
      </c>
      <c r="J1494" t="s">
        <v>546</v>
      </c>
      <c r="K1494" s="5">
        <v>60</v>
      </c>
      <c r="L1494" t="str">
        <f>Table_DataFromNL[[#This Row],[PROFILECODE]]&amp;"-"&amp;Table_DataFromNL[[#This Row],[RULENAME]]</f>
        <v>CP225-New Donor 4th Visit-Bonus</v>
      </c>
      <c r="M1494" t="str">
        <f t="shared" si="166"/>
        <v>CP225-NEW DONOR -4th</v>
      </c>
    </row>
    <row r="1495" spans="1:13" x14ac:dyDescent="0.25">
      <c r="A1495" t="str">
        <f t="shared" si="167"/>
        <v>CP225-NEW DONOR -5th</v>
      </c>
      <c r="B1495" t="s">
        <v>89</v>
      </c>
      <c r="C1495" t="str">
        <f t="shared" si="161"/>
        <v>Houston Aldine</v>
      </c>
      <c r="D1495" t="str">
        <f t="shared" si="162"/>
        <v>Y</v>
      </c>
      <c r="E1495" t="s">
        <v>633</v>
      </c>
      <c r="F1495" t="str">
        <f t="shared" si="163"/>
        <v>NEW DONOR -5th</v>
      </c>
      <c r="G1495" t="str">
        <f t="shared" si="164"/>
        <v>Marketing</v>
      </c>
      <c r="H1495" t="s">
        <v>559</v>
      </c>
      <c r="I1495">
        <f t="shared" si="165"/>
        <v>5</v>
      </c>
      <c r="J1495" t="s">
        <v>546</v>
      </c>
      <c r="K1495" s="5">
        <v>60</v>
      </c>
      <c r="L1495" t="str">
        <f>Table_DataFromNL[[#This Row],[PROFILECODE]]&amp;"-"&amp;Table_DataFromNL[[#This Row],[RULENAME]]</f>
        <v>CP225-New Donor 5th Visit-Bonus</v>
      </c>
      <c r="M1495" t="str">
        <f t="shared" si="166"/>
        <v>CP225-NEW DONOR -5th</v>
      </c>
    </row>
    <row r="1496" spans="1:13" x14ac:dyDescent="0.25">
      <c r="A1496" t="str">
        <f t="shared" si="167"/>
        <v>CP225-NEW DONOR -6th</v>
      </c>
      <c r="B1496" t="s">
        <v>89</v>
      </c>
      <c r="C1496" t="str">
        <f t="shared" si="161"/>
        <v>Houston Aldine</v>
      </c>
      <c r="D1496" t="str">
        <f t="shared" si="162"/>
        <v>Y</v>
      </c>
      <c r="E1496" t="s">
        <v>633</v>
      </c>
      <c r="F1496" t="str">
        <f t="shared" si="163"/>
        <v>NEW DONOR -6th</v>
      </c>
      <c r="G1496" t="str">
        <f t="shared" si="164"/>
        <v>Marketing</v>
      </c>
      <c r="H1496" t="s">
        <v>560</v>
      </c>
      <c r="I1496">
        <f t="shared" si="165"/>
        <v>6</v>
      </c>
      <c r="J1496" t="s">
        <v>546</v>
      </c>
      <c r="K1496" s="5">
        <v>60</v>
      </c>
      <c r="L1496" t="str">
        <f>Table_DataFromNL[[#This Row],[PROFILECODE]]&amp;"-"&amp;Table_DataFromNL[[#This Row],[RULENAME]]</f>
        <v>CP225-New Donor 6th Visit-Bonus</v>
      </c>
      <c r="M1496" t="str">
        <f t="shared" si="166"/>
        <v>CP225-NEW DONOR -6th</v>
      </c>
    </row>
    <row r="1497" spans="1:13" x14ac:dyDescent="0.25">
      <c r="A1497" t="str">
        <f t="shared" si="167"/>
        <v>CP225-NEW DONOR -7th</v>
      </c>
      <c r="B1497" t="s">
        <v>89</v>
      </c>
      <c r="C1497" t="str">
        <f t="shared" si="161"/>
        <v>Houston Aldine</v>
      </c>
      <c r="D1497" t="str">
        <f t="shared" si="162"/>
        <v>Y</v>
      </c>
      <c r="E1497" t="s">
        <v>633</v>
      </c>
      <c r="F1497" t="str">
        <f t="shared" si="163"/>
        <v>NEW DONOR -7th</v>
      </c>
      <c r="G1497" t="str">
        <f t="shared" si="164"/>
        <v>Marketing</v>
      </c>
      <c r="H1497" t="s">
        <v>561</v>
      </c>
      <c r="I1497">
        <f t="shared" si="165"/>
        <v>7</v>
      </c>
      <c r="J1497" t="s">
        <v>546</v>
      </c>
      <c r="K1497" s="5">
        <v>60</v>
      </c>
      <c r="L1497" t="str">
        <f>Table_DataFromNL[[#This Row],[PROFILECODE]]&amp;"-"&amp;Table_DataFromNL[[#This Row],[RULENAME]]</f>
        <v>CP225-New Donor 7th Visit-Bonus</v>
      </c>
      <c r="M1497" t="str">
        <f t="shared" si="166"/>
        <v>CP225-NEW DONOR -7th</v>
      </c>
    </row>
    <row r="1498" spans="1:13" x14ac:dyDescent="0.25">
      <c r="A1498" t="str">
        <f t="shared" si="167"/>
        <v>CP225-NEW DONOR -8th</v>
      </c>
      <c r="B1498" t="s">
        <v>89</v>
      </c>
      <c r="C1498" t="str">
        <f t="shared" si="161"/>
        <v>Houston Aldine</v>
      </c>
      <c r="D1498" t="str">
        <f t="shared" si="162"/>
        <v>Y</v>
      </c>
      <c r="E1498" t="s">
        <v>633</v>
      </c>
      <c r="F1498" t="str">
        <f t="shared" si="163"/>
        <v>NEW DONOR -8th</v>
      </c>
      <c r="G1498" t="str">
        <f t="shared" si="164"/>
        <v>Marketing</v>
      </c>
      <c r="H1498" t="s">
        <v>562</v>
      </c>
      <c r="I1498">
        <f t="shared" si="165"/>
        <v>8</v>
      </c>
      <c r="J1498" t="s">
        <v>546</v>
      </c>
      <c r="K1498" s="5">
        <v>60</v>
      </c>
      <c r="L1498" t="str">
        <f>Table_DataFromNL[[#This Row],[PROFILECODE]]&amp;"-"&amp;Table_DataFromNL[[#This Row],[RULENAME]]</f>
        <v>CP225-New Donor 8th Visit-Bonus</v>
      </c>
      <c r="M1498" t="str">
        <f t="shared" si="166"/>
        <v>CP225-NEW DONOR -8th</v>
      </c>
    </row>
    <row r="1499" spans="1:13" x14ac:dyDescent="0.25">
      <c r="A1499" t="str">
        <f t="shared" si="167"/>
        <v>CP225-Vaccinia - 1st Donation</v>
      </c>
      <c r="B1499" t="s">
        <v>89</v>
      </c>
      <c r="C1499" t="str">
        <f t="shared" si="161"/>
        <v>Houston Aldine</v>
      </c>
      <c r="D1499" t="str">
        <f t="shared" si="162"/>
        <v>Y</v>
      </c>
      <c r="E1499" t="s">
        <v>633</v>
      </c>
      <c r="F1499" t="str">
        <f t="shared" si="163"/>
        <v>Vaccinia - 1st Donation</v>
      </c>
      <c r="G1499" t="str">
        <f t="shared" si="164"/>
        <v>Specialty</v>
      </c>
      <c r="H1499" t="s">
        <v>477</v>
      </c>
      <c r="I1499">
        <f t="shared" si="165"/>
        <v>0</v>
      </c>
      <c r="J1499" t="s">
        <v>546</v>
      </c>
      <c r="K1499" s="5">
        <v>150</v>
      </c>
      <c r="L1499" t="str">
        <f>Table_DataFromNL[[#This Row],[PROFILECODE]]&amp;"-"&amp;Table_DataFromNL[[#This Row],[RULENAME]]</f>
        <v>CP225-Vaccinia - 1st Donation</v>
      </c>
      <c r="M1499" t="str">
        <f t="shared" si="166"/>
        <v>CP225-Vaccinia - 1st Donation</v>
      </c>
    </row>
    <row r="1500" spans="1:13" x14ac:dyDescent="0.25">
      <c r="A1500" t="str">
        <f t="shared" si="167"/>
        <v>CP225-Vaccinia - 2nd Donation</v>
      </c>
      <c r="B1500" t="s">
        <v>89</v>
      </c>
      <c r="C1500" t="str">
        <f t="shared" si="161"/>
        <v>Houston Aldine</v>
      </c>
      <c r="D1500" t="str">
        <f t="shared" si="162"/>
        <v>Y</v>
      </c>
      <c r="E1500" t="s">
        <v>633</v>
      </c>
      <c r="F1500" t="str">
        <f t="shared" si="163"/>
        <v>Vaccinia - 2nd Donation</v>
      </c>
      <c r="G1500" t="str">
        <f t="shared" si="164"/>
        <v>Specialty</v>
      </c>
      <c r="H1500" t="s">
        <v>478</v>
      </c>
      <c r="I1500">
        <f t="shared" si="165"/>
        <v>0</v>
      </c>
      <c r="J1500" t="s">
        <v>546</v>
      </c>
      <c r="K1500" s="5">
        <v>250</v>
      </c>
      <c r="L1500" t="str">
        <f>Table_DataFromNL[[#This Row],[PROFILECODE]]&amp;"-"&amp;Table_DataFromNL[[#This Row],[RULENAME]]</f>
        <v>CP225-Vaccinia - 2nd Donation</v>
      </c>
      <c r="M1500" t="str">
        <f t="shared" si="166"/>
        <v>CP225-Vaccinia - 2nd Donation</v>
      </c>
    </row>
    <row r="1501" spans="1:13" x14ac:dyDescent="0.25">
      <c r="A1501" t="str">
        <f t="shared" si="167"/>
        <v>CP225-Vaccinia - 3rd Donation</v>
      </c>
      <c r="B1501" t="s">
        <v>89</v>
      </c>
      <c r="C1501" t="str">
        <f t="shared" si="161"/>
        <v>Houston Aldine</v>
      </c>
      <c r="D1501" t="str">
        <f t="shared" si="162"/>
        <v>Y</v>
      </c>
      <c r="E1501" t="s">
        <v>633</v>
      </c>
      <c r="F1501" t="str">
        <f t="shared" si="163"/>
        <v>Vaccinia - 3rd Donation</v>
      </c>
      <c r="G1501" t="str">
        <f t="shared" si="164"/>
        <v>Specialty</v>
      </c>
      <c r="H1501" t="s">
        <v>479</v>
      </c>
      <c r="I1501">
        <f t="shared" si="165"/>
        <v>0</v>
      </c>
      <c r="J1501" t="s">
        <v>546</v>
      </c>
      <c r="K1501" s="5">
        <v>300</v>
      </c>
      <c r="L1501" t="str">
        <f>Table_DataFromNL[[#This Row],[PROFILECODE]]&amp;"-"&amp;Table_DataFromNL[[#This Row],[RULENAME]]</f>
        <v>CP225-Vaccinia - 3rd Donation</v>
      </c>
      <c r="M1501" t="str">
        <f t="shared" si="166"/>
        <v>CP225-Vaccinia - 3rd Donation</v>
      </c>
    </row>
    <row r="1502" spans="1:13" x14ac:dyDescent="0.25">
      <c r="A1502" t="str">
        <f t="shared" si="167"/>
        <v>CP225-Vaccinia - 4th Donation</v>
      </c>
      <c r="B1502" t="s">
        <v>89</v>
      </c>
      <c r="C1502" t="str">
        <f t="shared" si="161"/>
        <v>Houston Aldine</v>
      </c>
      <c r="D1502" t="str">
        <f t="shared" si="162"/>
        <v>Y</v>
      </c>
      <c r="E1502" t="s">
        <v>633</v>
      </c>
      <c r="F1502" t="str">
        <f t="shared" si="163"/>
        <v>Vaccinia - 4th Donation</v>
      </c>
      <c r="G1502" t="str">
        <f t="shared" si="164"/>
        <v>Specialty</v>
      </c>
      <c r="H1502" t="s">
        <v>480</v>
      </c>
      <c r="I1502">
        <f t="shared" si="165"/>
        <v>0</v>
      </c>
      <c r="J1502" t="s">
        <v>546</v>
      </c>
      <c r="K1502" s="5">
        <v>300</v>
      </c>
      <c r="L1502" t="str">
        <f>Table_DataFromNL[[#This Row],[PROFILECODE]]&amp;"-"&amp;Table_DataFromNL[[#This Row],[RULENAME]]</f>
        <v>CP225-Vaccinia - 4th Donation</v>
      </c>
      <c r="M1502" t="str">
        <f t="shared" si="166"/>
        <v>CP225-Vaccinia - 4th Donation</v>
      </c>
    </row>
    <row r="1503" spans="1:13" x14ac:dyDescent="0.25">
      <c r="A1503" t="str">
        <f t="shared" si="167"/>
        <v>CP225-Vaccinia AP - 1st Donation</v>
      </c>
      <c r="B1503" t="s">
        <v>89</v>
      </c>
      <c r="C1503" t="str">
        <f t="shared" si="161"/>
        <v>Houston Aldine</v>
      </c>
      <c r="D1503" t="str">
        <f t="shared" si="162"/>
        <v>Y</v>
      </c>
      <c r="E1503" t="s">
        <v>633</v>
      </c>
      <c r="F1503" t="str">
        <f t="shared" si="163"/>
        <v>Vaccinia AP - 1st Donation</v>
      </c>
      <c r="G1503" t="str">
        <f t="shared" si="164"/>
        <v>Specialty</v>
      </c>
      <c r="H1503" t="s">
        <v>481</v>
      </c>
      <c r="I1503">
        <f t="shared" si="165"/>
        <v>0</v>
      </c>
      <c r="J1503" t="s">
        <v>546</v>
      </c>
      <c r="K1503" s="5">
        <v>150</v>
      </c>
      <c r="L1503" t="str">
        <f>Table_DataFromNL[[#This Row],[PROFILECODE]]&amp;"-"&amp;Table_DataFromNL[[#This Row],[RULENAME]]</f>
        <v>CP225-Vaccinia AP - 1st Donation</v>
      </c>
      <c r="M1503" t="str">
        <f t="shared" si="166"/>
        <v>CP225-Vaccinia AP - 1st Donation</v>
      </c>
    </row>
    <row r="1504" spans="1:13" x14ac:dyDescent="0.25">
      <c r="A1504" t="str">
        <f t="shared" si="167"/>
        <v>CP225-Vaccinia AP - 2nd Donation</v>
      </c>
      <c r="B1504" t="s">
        <v>89</v>
      </c>
      <c r="C1504" t="str">
        <f t="shared" si="161"/>
        <v>Houston Aldine</v>
      </c>
      <c r="D1504" t="str">
        <f t="shared" si="162"/>
        <v>Y</v>
      </c>
      <c r="E1504" t="s">
        <v>633</v>
      </c>
      <c r="F1504" t="str">
        <f t="shared" si="163"/>
        <v>Vaccinia AP - 2nd Donation</v>
      </c>
      <c r="G1504" t="str">
        <f t="shared" si="164"/>
        <v>Specialty</v>
      </c>
      <c r="H1504" t="s">
        <v>482</v>
      </c>
      <c r="I1504">
        <f t="shared" si="165"/>
        <v>0</v>
      </c>
      <c r="J1504" t="s">
        <v>546</v>
      </c>
      <c r="K1504" s="5">
        <v>250</v>
      </c>
      <c r="L1504" t="str">
        <f>Table_DataFromNL[[#This Row],[PROFILECODE]]&amp;"-"&amp;Table_DataFromNL[[#This Row],[RULENAME]]</f>
        <v>CP225-Vaccinia AP - 2nd Donation</v>
      </c>
      <c r="M1504" t="str">
        <f t="shared" si="166"/>
        <v>CP225-Vaccinia AP - 2nd Donation</v>
      </c>
    </row>
    <row r="1505" spans="1:13" x14ac:dyDescent="0.25">
      <c r="A1505" t="str">
        <f t="shared" si="167"/>
        <v>CP225-Vaccinia AP - 3rd Donation</v>
      </c>
      <c r="B1505" t="s">
        <v>89</v>
      </c>
      <c r="C1505" t="str">
        <f t="shared" si="161"/>
        <v>Houston Aldine</v>
      </c>
      <c r="D1505" t="str">
        <f t="shared" si="162"/>
        <v>Y</v>
      </c>
      <c r="E1505" t="s">
        <v>633</v>
      </c>
      <c r="F1505" t="str">
        <f t="shared" si="163"/>
        <v>Vaccinia AP - 3rd Donation</v>
      </c>
      <c r="G1505" t="str">
        <f t="shared" si="164"/>
        <v>Specialty</v>
      </c>
      <c r="H1505" t="s">
        <v>483</v>
      </c>
      <c r="I1505">
        <f t="shared" si="165"/>
        <v>0</v>
      </c>
      <c r="J1505" t="s">
        <v>546</v>
      </c>
      <c r="K1505" s="5">
        <v>300</v>
      </c>
      <c r="L1505" t="str">
        <f>Table_DataFromNL[[#This Row],[PROFILECODE]]&amp;"-"&amp;Table_DataFromNL[[#This Row],[RULENAME]]</f>
        <v>CP225-Vaccinia AP - 3rd Donation</v>
      </c>
      <c r="M1505" t="str">
        <f t="shared" si="166"/>
        <v>CP225-Vaccinia AP - 3rd Donation</v>
      </c>
    </row>
    <row r="1506" spans="1:13" x14ac:dyDescent="0.25">
      <c r="A1506" t="str">
        <f t="shared" si="167"/>
        <v>CP225-Vaccinia AP - 4th Donation</v>
      </c>
      <c r="B1506" t="s">
        <v>89</v>
      </c>
      <c r="C1506" t="str">
        <f t="shared" si="161"/>
        <v>Houston Aldine</v>
      </c>
      <c r="D1506" t="str">
        <f t="shared" si="162"/>
        <v>Y</v>
      </c>
      <c r="E1506" t="s">
        <v>633</v>
      </c>
      <c r="F1506" t="str">
        <f t="shared" si="163"/>
        <v>Vaccinia AP - 4th Donation</v>
      </c>
      <c r="G1506" t="str">
        <f t="shared" si="164"/>
        <v>Specialty</v>
      </c>
      <c r="H1506" t="s">
        <v>484</v>
      </c>
      <c r="I1506">
        <f t="shared" si="165"/>
        <v>0</v>
      </c>
      <c r="J1506" t="s">
        <v>546</v>
      </c>
      <c r="K1506" s="5">
        <v>300</v>
      </c>
      <c r="L1506" t="str">
        <f>Table_DataFromNL[[#This Row],[PROFILECODE]]&amp;"-"&amp;Table_DataFromNL[[#This Row],[RULENAME]]</f>
        <v>CP225-Vaccinia AP - 4th Donation</v>
      </c>
      <c r="M1506" t="str">
        <f t="shared" si="166"/>
        <v>CP225-Vaccinia AP - 4th Donation</v>
      </c>
    </row>
    <row r="1507" spans="1:13" x14ac:dyDescent="0.25">
      <c r="A1507" t="str">
        <f t="shared" si="167"/>
        <v>CP225-Community</v>
      </c>
      <c r="B1507" t="s">
        <v>89</v>
      </c>
      <c r="C1507" t="str">
        <f t="shared" si="161"/>
        <v>Houston Aldine</v>
      </c>
      <c r="D1507" t="str">
        <f t="shared" si="162"/>
        <v>Y</v>
      </c>
      <c r="E1507" t="s">
        <v>633</v>
      </c>
      <c r="F1507" t="str">
        <f t="shared" si="163"/>
        <v>Community</v>
      </c>
      <c r="G1507">
        <f t="shared" si="164"/>
        <v>0</v>
      </c>
      <c r="H1507" t="s">
        <v>563</v>
      </c>
      <c r="I1507">
        <f t="shared" si="165"/>
        <v>0</v>
      </c>
      <c r="J1507" t="s">
        <v>564</v>
      </c>
      <c r="K1507" s="5">
        <v>5</v>
      </c>
      <c r="L1507" t="str">
        <f>Table_DataFromNL[[#This Row],[PROFILECODE]]&amp;"-"&amp;Table_DataFromNL[[#This Row],[RULENAME]]</f>
        <v>CP225-Community</v>
      </c>
      <c r="M1507" t="e">
        <f t="shared" si="166"/>
        <v>#N/A</v>
      </c>
    </row>
    <row r="1508" spans="1:13" x14ac:dyDescent="0.25">
      <c r="A1508" t="str">
        <f t="shared" si="167"/>
        <v>CP225-HANGER_RECRUIT_5USD_once</v>
      </c>
      <c r="B1508" t="s">
        <v>89</v>
      </c>
      <c r="C1508" t="str">
        <f t="shared" si="161"/>
        <v>Houston Aldine</v>
      </c>
      <c r="D1508" t="str">
        <f t="shared" si="162"/>
        <v>Y</v>
      </c>
      <c r="E1508" t="s">
        <v>633</v>
      </c>
      <c r="F1508" t="str">
        <f t="shared" si="163"/>
        <v>HANGER_RECRUIT_5USD_once</v>
      </c>
      <c r="G1508">
        <f t="shared" si="164"/>
        <v>0</v>
      </c>
      <c r="H1508" t="s">
        <v>565</v>
      </c>
      <c r="I1508">
        <f t="shared" si="165"/>
        <v>0</v>
      </c>
      <c r="J1508" t="s">
        <v>564</v>
      </c>
      <c r="K1508" s="5">
        <v>5</v>
      </c>
      <c r="L1508" t="str">
        <f>Table_DataFromNL[[#This Row],[PROFILECODE]]&amp;"-"&amp;Table_DataFromNL[[#This Row],[RULENAME]]</f>
        <v>CP225-HANGER_RECRUIT_5USD_once</v>
      </c>
      <c r="M1508" t="e">
        <f t="shared" si="166"/>
        <v>#N/A</v>
      </c>
    </row>
    <row r="1509" spans="1:13" x14ac:dyDescent="0.25">
      <c r="A1509" t="str">
        <f t="shared" si="167"/>
        <v>CP225-Inconv Fee $20-$50-Comment Req'd</v>
      </c>
      <c r="B1509" t="s">
        <v>89</v>
      </c>
      <c r="C1509" t="str">
        <f t="shared" si="161"/>
        <v>Houston Aldine</v>
      </c>
      <c r="D1509" t="str">
        <f t="shared" si="162"/>
        <v>Y</v>
      </c>
      <c r="E1509" t="s">
        <v>633</v>
      </c>
      <c r="F1509" t="str">
        <f t="shared" si="163"/>
        <v>Inconv Fee $20-$50-Comment Req'd</v>
      </c>
      <c r="G1509">
        <f t="shared" si="164"/>
        <v>0</v>
      </c>
      <c r="H1509" t="s">
        <v>566</v>
      </c>
      <c r="I1509">
        <f t="shared" si="165"/>
        <v>0</v>
      </c>
      <c r="J1509" t="s">
        <v>564</v>
      </c>
      <c r="K1509" s="5">
        <v>50</v>
      </c>
      <c r="L1509" t="str">
        <f>Table_DataFromNL[[#This Row],[PROFILECODE]]&amp;"-"&amp;Table_DataFromNL[[#This Row],[RULENAME]]</f>
        <v>CP225-Inconv Fee $20-$50-Comment Req'd</v>
      </c>
      <c r="M1509" t="e">
        <f t="shared" si="166"/>
        <v>#N/A</v>
      </c>
    </row>
    <row r="1510" spans="1:13" x14ac:dyDescent="0.25">
      <c r="A1510" t="str">
        <f t="shared" si="167"/>
        <v>CP225-Inconv Fee $5-$20-Comment Req'd</v>
      </c>
      <c r="B1510" t="s">
        <v>89</v>
      </c>
      <c r="C1510" t="str">
        <f t="shared" si="161"/>
        <v>Houston Aldine</v>
      </c>
      <c r="D1510" t="str">
        <f t="shared" si="162"/>
        <v>Y</v>
      </c>
      <c r="E1510" t="s">
        <v>633</v>
      </c>
      <c r="F1510" t="str">
        <f t="shared" si="163"/>
        <v>Inconv Fee $5-$20-Comment Req'd</v>
      </c>
      <c r="G1510">
        <f t="shared" si="164"/>
        <v>0</v>
      </c>
      <c r="H1510" t="s">
        <v>567</v>
      </c>
      <c r="I1510">
        <f t="shared" si="165"/>
        <v>0</v>
      </c>
      <c r="J1510" t="s">
        <v>564</v>
      </c>
      <c r="K1510" s="5">
        <v>20</v>
      </c>
      <c r="L1510" t="str">
        <f>Table_DataFromNL[[#This Row],[PROFILECODE]]&amp;"-"&amp;Table_DataFromNL[[#This Row],[RULENAME]]</f>
        <v>CP225-Inconv Fee $5-$20-Comment Req'd</v>
      </c>
      <c r="M1510" t="e">
        <f t="shared" si="166"/>
        <v>#N/A</v>
      </c>
    </row>
    <row r="1511" spans="1:13" x14ac:dyDescent="0.25">
      <c r="A1511" t="str">
        <f t="shared" si="167"/>
        <v>CP225-Inconv Fee$50-$100-Comment Req'd</v>
      </c>
      <c r="B1511" t="s">
        <v>89</v>
      </c>
      <c r="C1511" t="str">
        <f t="shared" si="161"/>
        <v>Houston Aldine</v>
      </c>
      <c r="D1511" t="str">
        <f t="shared" si="162"/>
        <v>Y</v>
      </c>
      <c r="E1511" t="s">
        <v>633</v>
      </c>
      <c r="F1511" t="str">
        <f t="shared" si="163"/>
        <v>Inconv Fee$50-$100-Comment Req'd</v>
      </c>
      <c r="G1511">
        <f t="shared" si="164"/>
        <v>0</v>
      </c>
      <c r="H1511" t="s">
        <v>568</v>
      </c>
      <c r="I1511">
        <f t="shared" si="165"/>
        <v>0</v>
      </c>
      <c r="J1511" t="s">
        <v>564</v>
      </c>
      <c r="K1511" s="5">
        <v>100</v>
      </c>
      <c r="L1511" t="str">
        <f>Table_DataFromNL[[#This Row],[PROFILECODE]]&amp;"-"&amp;Table_DataFromNL[[#This Row],[RULENAME]]</f>
        <v>CP225-Inconv Fee$50-$100-Comment Req'd</v>
      </c>
      <c r="M1511" t="e">
        <f t="shared" si="166"/>
        <v>#N/A</v>
      </c>
    </row>
    <row r="1512" spans="1:13" x14ac:dyDescent="0.25">
      <c r="A1512" t="str">
        <f t="shared" si="167"/>
        <v>CP225-NSP_ LAPSEDONOR_50_Twice</v>
      </c>
      <c r="B1512" t="s">
        <v>89</v>
      </c>
      <c r="C1512" t="str">
        <f t="shared" si="161"/>
        <v>Houston Aldine</v>
      </c>
      <c r="D1512" t="str">
        <f t="shared" si="162"/>
        <v>Y</v>
      </c>
      <c r="E1512" t="s">
        <v>633</v>
      </c>
      <c r="F1512" t="str">
        <f t="shared" si="163"/>
        <v>NSP_ LAPSEDONOR_50_Twice</v>
      </c>
      <c r="G1512">
        <f t="shared" si="164"/>
        <v>0</v>
      </c>
      <c r="H1512" t="s">
        <v>569</v>
      </c>
      <c r="I1512">
        <f t="shared" si="165"/>
        <v>0</v>
      </c>
      <c r="J1512" t="s">
        <v>564</v>
      </c>
      <c r="K1512" s="5">
        <v>50</v>
      </c>
      <c r="L1512" t="str">
        <f>Table_DataFromNL[[#This Row],[PROFILECODE]]&amp;"-"&amp;Table_DataFromNL[[#This Row],[RULENAME]]</f>
        <v>CP225-NSP_ LAPSEDONOR_50_Twice</v>
      </c>
      <c r="M1512" t="e">
        <f t="shared" si="166"/>
        <v>#N/A</v>
      </c>
    </row>
    <row r="1513" spans="1:13" x14ac:dyDescent="0.25">
      <c r="A1513" t="str">
        <f t="shared" si="167"/>
        <v>CP225-NSP_LD_25_2X</v>
      </c>
      <c r="B1513" t="s">
        <v>89</v>
      </c>
      <c r="C1513" t="str">
        <f t="shared" si="161"/>
        <v>Houston Aldine</v>
      </c>
      <c r="D1513" t="str">
        <f t="shared" si="162"/>
        <v>Y</v>
      </c>
      <c r="E1513" t="s">
        <v>633</v>
      </c>
      <c r="F1513" t="str">
        <f t="shared" si="163"/>
        <v>NSP_LD_25_2X</v>
      </c>
      <c r="G1513">
        <f t="shared" si="164"/>
        <v>0</v>
      </c>
      <c r="H1513" t="s">
        <v>570</v>
      </c>
      <c r="I1513">
        <f t="shared" si="165"/>
        <v>0</v>
      </c>
      <c r="J1513" t="s">
        <v>564</v>
      </c>
      <c r="K1513" s="5">
        <v>25</v>
      </c>
      <c r="L1513" t="str">
        <f>Table_DataFromNL[[#This Row],[PROFILECODE]]&amp;"-"&amp;Table_DataFromNL[[#This Row],[RULENAME]]</f>
        <v>CP225-NSP_LD_25_2X</v>
      </c>
      <c r="M1513" t="e">
        <f t="shared" si="166"/>
        <v>#N/A</v>
      </c>
    </row>
    <row r="1514" spans="1:13" x14ac:dyDescent="0.25">
      <c r="A1514" t="str">
        <f t="shared" si="167"/>
        <v>CP225-NSP_LD_50_1X</v>
      </c>
      <c r="B1514" t="s">
        <v>89</v>
      </c>
      <c r="C1514" t="str">
        <f t="shared" si="161"/>
        <v>Houston Aldine</v>
      </c>
      <c r="D1514" t="str">
        <f t="shared" si="162"/>
        <v>Y</v>
      </c>
      <c r="E1514" t="s">
        <v>633</v>
      </c>
      <c r="F1514" t="str">
        <f t="shared" si="163"/>
        <v>NSP_LD_50_1X</v>
      </c>
      <c r="G1514">
        <f t="shared" si="164"/>
        <v>0</v>
      </c>
      <c r="H1514" t="s">
        <v>571</v>
      </c>
      <c r="I1514">
        <f t="shared" si="165"/>
        <v>0</v>
      </c>
      <c r="J1514" t="s">
        <v>564</v>
      </c>
      <c r="K1514" s="5">
        <v>50</v>
      </c>
      <c r="L1514" t="str">
        <f>Table_DataFromNL[[#This Row],[PROFILECODE]]&amp;"-"&amp;Table_DataFromNL[[#This Row],[RULENAME]]</f>
        <v>CP225-NSP_LD_50_1X</v>
      </c>
      <c r="M1514" t="e">
        <f t="shared" si="166"/>
        <v>#N/A</v>
      </c>
    </row>
    <row r="1515" spans="1:13" x14ac:dyDescent="0.25">
      <c r="A1515" t="str">
        <f t="shared" si="167"/>
        <v>CP225-NSP_ORPHAN_100_once</v>
      </c>
      <c r="B1515" t="s">
        <v>89</v>
      </c>
      <c r="C1515" t="str">
        <f t="shared" si="161"/>
        <v>Houston Aldine</v>
      </c>
      <c r="D1515" t="str">
        <f t="shared" si="162"/>
        <v>Y</v>
      </c>
      <c r="E1515" t="s">
        <v>633</v>
      </c>
      <c r="F1515" t="str">
        <f t="shared" si="163"/>
        <v>NSP_ORPHAN_100_once</v>
      </c>
      <c r="G1515">
        <f t="shared" si="164"/>
        <v>0</v>
      </c>
      <c r="H1515" t="s">
        <v>572</v>
      </c>
      <c r="I1515">
        <f t="shared" si="165"/>
        <v>0</v>
      </c>
      <c r="J1515" t="s">
        <v>564</v>
      </c>
      <c r="K1515" s="5">
        <v>100</v>
      </c>
      <c r="L1515" t="str">
        <f>Table_DataFromNL[[#This Row],[PROFILECODE]]&amp;"-"&amp;Table_DataFromNL[[#This Row],[RULENAME]]</f>
        <v>CP225-NSP_ORPHAN_100_once</v>
      </c>
      <c r="M1515" t="e">
        <f t="shared" si="166"/>
        <v>#N/A</v>
      </c>
    </row>
    <row r="1516" spans="1:13" x14ac:dyDescent="0.25">
      <c r="A1516" t="str">
        <f t="shared" si="167"/>
        <v>CP225-Referral - Vaccinia</v>
      </c>
      <c r="B1516" t="s">
        <v>89</v>
      </c>
      <c r="C1516" t="str">
        <f t="shared" si="161"/>
        <v>Houston Aldine</v>
      </c>
      <c r="D1516" t="str">
        <f t="shared" si="162"/>
        <v>Y</v>
      </c>
      <c r="E1516" t="s">
        <v>633</v>
      </c>
      <c r="F1516" t="str">
        <f t="shared" si="163"/>
        <v>Referral - Vaccinia</v>
      </c>
      <c r="G1516">
        <f t="shared" si="164"/>
        <v>0</v>
      </c>
      <c r="H1516" t="s">
        <v>595</v>
      </c>
      <c r="I1516">
        <f t="shared" si="165"/>
        <v>0</v>
      </c>
      <c r="J1516" t="s">
        <v>564</v>
      </c>
      <c r="K1516" s="5">
        <v>250</v>
      </c>
      <c r="L1516" t="str">
        <f>Table_DataFromNL[[#This Row],[PROFILECODE]]&amp;"-"&amp;Table_DataFromNL[[#This Row],[RULENAME]]</f>
        <v>CP225-Referral - Vaccinia</v>
      </c>
      <c r="M1516" t="e">
        <f t="shared" si="166"/>
        <v>#N/A</v>
      </c>
    </row>
    <row r="1517" spans="1:13" x14ac:dyDescent="0.25">
      <c r="A1517" t="str">
        <f t="shared" si="167"/>
        <v>CP225-Restick</v>
      </c>
      <c r="B1517" t="s">
        <v>89</v>
      </c>
      <c r="C1517" t="str">
        <f t="shared" si="161"/>
        <v>Houston Aldine</v>
      </c>
      <c r="D1517" t="str">
        <f t="shared" si="162"/>
        <v>Y</v>
      </c>
      <c r="E1517" t="s">
        <v>633</v>
      </c>
      <c r="F1517" t="str">
        <f t="shared" si="163"/>
        <v>Restick</v>
      </c>
      <c r="G1517">
        <f t="shared" si="164"/>
        <v>0</v>
      </c>
      <c r="H1517" t="s">
        <v>573</v>
      </c>
      <c r="I1517">
        <f t="shared" si="165"/>
        <v>0</v>
      </c>
      <c r="J1517" t="s">
        <v>564</v>
      </c>
      <c r="K1517" s="5">
        <v>5</v>
      </c>
      <c r="L1517" t="str">
        <f>Table_DataFromNL[[#This Row],[PROFILECODE]]&amp;"-"&amp;Table_DataFromNL[[#This Row],[RULENAME]]</f>
        <v>CP225-Restick</v>
      </c>
      <c r="M1517" t="e">
        <f t="shared" si="166"/>
        <v>#N/A</v>
      </c>
    </row>
    <row r="1518" spans="1:13" x14ac:dyDescent="0.25">
      <c r="A1518" t="str">
        <f t="shared" si="167"/>
        <v>CP225-SLOW_TEXT_5</v>
      </c>
      <c r="B1518" t="s">
        <v>89</v>
      </c>
      <c r="C1518" t="str">
        <f t="shared" si="161"/>
        <v>Houston Aldine</v>
      </c>
      <c r="D1518" t="str">
        <f t="shared" si="162"/>
        <v>Y</v>
      </c>
      <c r="E1518" t="s">
        <v>633</v>
      </c>
      <c r="F1518" t="str">
        <f t="shared" si="163"/>
        <v>SLOW_TEXT_5</v>
      </c>
      <c r="G1518">
        <f t="shared" si="164"/>
        <v>0</v>
      </c>
      <c r="H1518" t="s">
        <v>574</v>
      </c>
      <c r="I1518">
        <f t="shared" si="165"/>
        <v>0</v>
      </c>
      <c r="J1518" t="s">
        <v>564</v>
      </c>
      <c r="K1518" s="5">
        <v>5</v>
      </c>
      <c r="L1518" t="str">
        <f>Table_DataFromNL[[#This Row],[PROFILECODE]]&amp;"-"&amp;Table_DataFromNL[[#This Row],[RULENAME]]</f>
        <v>CP225-SLOW_TEXT_5</v>
      </c>
      <c r="M1518" t="e">
        <f t="shared" si="166"/>
        <v>#N/A</v>
      </c>
    </row>
    <row r="1519" spans="1:13" x14ac:dyDescent="0.25">
      <c r="A1519" t="str">
        <f t="shared" si="167"/>
        <v>CP225-Sample Only</v>
      </c>
      <c r="B1519" t="s">
        <v>89</v>
      </c>
      <c r="C1519" t="str">
        <f t="shared" si="161"/>
        <v>Houston Aldine</v>
      </c>
      <c r="D1519" t="str">
        <f t="shared" si="162"/>
        <v>Y</v>
      </c>
      <c r="E1519" t="s">
        <v>633</v>
      </c>
      <c r="F1519" t="str">
        <f t="shared" si="163"/>
        <v>Sample Only</v>
      </c>
      <c r="G1519">
        <f t="shared" si="164"/>
        <v>0</v>
      </c>
      <c r="H1519" t="s">
        <v>575</v>
      </c>
      <c r="I1519">
        <f t="shared" si="165"/>
        <v>0</v>
      </c>
      <c r="J1519" t="s">
        <v>564</v>
      </c>
      <c r="K1519" s="5">
        <v>5</v>
      </c>
      <c r="L1519" t="str">
        <f>Table_DataFromNL[[#This Row],[PROFILECODE]]&amp;"-"&amp;Table_DataFromNL[[#This Row],[RULENAME]]</f>
        <v>CP225-Sample Only</v>
      </c>
      <c r="M1519" t="e">
        <f t="shared" si="166"/>
        <v>#N/A</v>
      </c>
    </row>
    <row r="1520" spans="1:13" x14ac:dyDescent="0.25">
      <c r="A1520" t="str">
        <f t="shared" si="167"/>
        <v>CP225-Unit Below 250 mL</v>
      </c>
      <c r="B1520" t="s">
        <v>89</v>
      </c>
      <c r="C1520" t="str">
        <f t="shared" si="161"/>
        <v>Houston Aldine</v>
      </c>
      <c r="D1520" t="str">
        <f t="shared" si="162"/>
        <v>Y</v>
      </c>
      <c r="E1520" t="s">
        <v>633</v>
      </c>
      <c r="F1520" t="str">
        <f t="shared" si="163"/>
        <v>Unit Below 250 mL</v>
      </c>
      <c r="G1520">
        <f t="shared" si="164"/>
        <v>0</v>
      </c>
      <c r="H1520" t="s">
        <v>576</v>
      </c>
      <c r="I1520">
        <f t="shared" si="165"/>
        <v>0</v>
      </c>
      <c r="J1520" t="s">
        <v>564</v>
      </c>
      <c r="K1520" s="5">
        <v>5</v>
      </c>
      <c r="L1520" t="str">
        <f>Table_DataFromNL[[#This Row],[PROFILECODE]]&amp;"-"&amp;Table_DataFromNL[[#This Row],[RULENAME]]</f>
        <v>CP225-Unit Below 250 mL</v>
      </c>
      <c r="M1520" t="e">
        <f t="shared" si="166"/>
        <v>#N/A</v>
      </c>
    </row>
    <row r="1521" spans="1:13" x14ac:dyDescent="0.25">
      <c r="A1521" t="str">
        <f t="shared" si="167"/>
        <v>CP225-Unit above 250 mL/underdraw</v>
      </c>
      <c r="B1521" t="s">
        <v>89</v>
      </c>
      <c r="C1521" t="str">
        <f t="shared" si="161"/>
        <v>Houston Aldine</v>
      </c>
      <c r="D1521" t="str">
        <f t="shared" si="162"/>
        <v>Y</v>
      </c>
      <c r="E1521" t="s">
        <v>633</v>
      </c>
      <c r="F1521" t="str">
        <f t="shared" si="163"/>
        <v>Unit above 250 mL/underdraw</v>
      </c>
      <c r="G1521">
        <f t="shared" si="164"/>
        <v>0</v>
      </c>
      <c r="H1521" t="s">
        <v>577</v>
      </c>
      <c r="I1521">
        <f t="shared" si="165"/>
        <v>0</v>
      </c>
      <c r="J1521" t="s">
        <v>564</v>
      </c>
      <c r="K1521" s="5">
        <v>10</v>
      </c>
      <c r="L1521" t="str">
        <f>Table_DataFromNL[[#This Row],[PROFILECODE]]&amp;"-"&amp;Table_DataFromNL[[#This Row],[RULENAME]]</f>
        <v>CP225-Unit above 250 mL/underdraw</v>
      </c>
      <c r="M1521" t="e">
        <f t="shared" si="166"/>
        <v>#N/A</v>
      </c>
    </row>
    <row r="1522" spans="1:13" x14ac:dyDescent="0.25">
      <c r="A1522" t="str">
        <f t="shared" si="167"/>
        <v>CP225-Vaccinia Immunization</v>
      </c>
      <c r="B1522" t="s">
        <v>89</v>
      </c>
      <c r="C1522" t="str">
        <f t="shared" si="161"/>
        <v>Houston Aldine</v>
      </c>
      <c r="D1522" t="str">
        <f t="shared" si="162"/>
        <v>Y</v>
      </c>
      <c r="E1522" t="s">
        <v>633</v>
      </c>
      <c r="F1522" t="str">
        <f t="shared" si="163"/>
        <v>Vaccinia Immunization</v>
      </c>
      <c r="G1522">
        <f t="shared" si="164"/>
        <v>0</v>
      </c>
      <c r="H1522" t="s">
        <v>596</v>
      </c>
      <c r="I1522">
        <f t="shared" si="165"/>
        <v>0</v>
      </c>
      <c r="J1522" t="s">
        <v>564</v>
      </c>
      <c r="K1522" s="5">
        <v>100</v>
      </c>
      <c r="L1522" t="str">
        <f>Table_DataFromNL[[#This Row],[PROFILECODE]]&amp;"-"&amp;Table_DataFromNL[[#This Row],[RULENAME]]</f>
        <v>CP225-Vaccinia Immunization</v>
      </c>
      <c r="M1522" t="e">
        <f t="shared" si="166"/>
        <v>#N/A</v>
      </c>
    </row>
    <row r="1523" spans="1:13" x14ac:dyDescent="0.25">
      <c r="A1523" t="str">
        <f t="shared" si="167"/>
        <v>CP225-RETURN - Buddy referral  -BONUS</v>
      </c>
      <c r="B1523" t="s">
        <v>89</v>
      </c>
      <c r="C1523" t="str">
        <f t="shared" si="161"/>
        <v>Houston Aldine</v>
      </c>
      <c r="D1523" t="str">
        <f t="shared" si="162"/>
        <v>Y</v>
      </c>
      <c r="E1523" t="s">
        <v>633</v>
      </c>
      <c r="F1523" t="str">
        <f t="shared" si="163"/>
        <v>RETURN - Buddy referral  -BONUS</v>
      </c>
      <c r="G1523" t="str">
        <f t="shared" si="164"/>
        <v>Marketing</v>
      </c>
      <c r="H1523" t="s">
        <v>34</v>
      </c>
      <c r="I1523">
        <f t="shared" si="165"/>
        <v>50</v>
      </c>
      <c r="J1523" t="s">
        <v>578</v>
      </c>
      <c r="K1523" s="5">
        <v>50</v>
      </c>
      <c r="L1523" t="str">
        <f>Table_DataFromNL[[#This Row],[PROFILECODE]]&amp;"-"&amp;Table_DataFromNL[[#This Row],[RULENAME]]</f>
        <v>CP225-Referral</v>
      </c>
      <c r="M1523" t="str">
        <f t="shared" si="166"/>
        <v>CP225-RETURN - Buddy referral  -BONUS</v>
      </c>
    </row>
    <row r="1524" spans="1:13" x14ac:dyDescent="0.25">
      <c r="A1524" t="str">
        <f t="shared" si="167"/>
        <v>CP225-P Anti-D Pre-Existing Standard</v>
      </c>
      <c r="B1524" t="s">
        <v>89</v>
      </c>
      <c r="C1524" t="str">
        <f t="shared" si="161"/>
        <v>Houston Aldine</v>
      </c>
      <c r="D1524" t="str">
        <f t="shared" si="162"/>
        <v>Y</v>
      </c>
      <c r="E1524" t="s">
        <v>633</v>
      </c>
      <c r="F1524" t="str">
        <f t="shared" si="163"/>
        <v>P Anti-D Pre-Existing Standard</v>
      </c>
      <c r="G1524" t="str">
        <f t="shared" si="164"/>
        <v>Specialty</v>
      </c>
      <c r="H1524" t="s">
        <v>469</v>
      </c>
      <c r="I1524" t="str">
        <f t="shared" si="165"/>
        <v>RETURN - 1st don of the week -STD</v>
      </c>
      <c r="J1524" t="s">
        <v>579</v>
      </c>
      <c r="K1524" s="5">
        <v>50</v>
      </c>
      <c r="L1524" t="str">
        <f>Table_DataFromNL[[#This Row],[PROFILECODE]]&amp;"-"&amp;Table_DataFromNL[[#This Row],[RULENAME]]</f>
        <v>CP225-P Anti-D Pre-Existing Standard</v>
      </c>
      <c r="M1524" t="str">
        <f t="shared" si="166"/>
        <v>CP225-P Anti-D Pre-Existing Standard</v>
      </c>
    </row>
    <row r="1525" spans="1:13" x14ac:dyDescent="0.25">
      <c r="A1525" t="str">
        <f t="shared" si="167"/>
        <v>CP225-RETURN - 1st don of the week -STD</v>
      </c>
      <c r="B1525" t="s">
        <v>89</v>
      </c>
      <c r="C1525" t="str">
        <f t="shared" si="161"/>
        <v>Houston Aldine</v>
      </c>
      <c r="D1525" t="str">
        <f t="shared" si="162"/>
        <v>Y</v>
      </c>
      <c r="E1525" t="s">
        <v>633</v>
      </c>
      <c r="F1525" t="str">
        <f t="shared" si="163"/>
        <v>RETURN - 1st don of the week -STD</v>
      </c>
      <c r="G1525" t="str">
        <f t="shared" si="164"/>
        <v>Marketing</v>
      </c>
      <c r="H1525" t="s">
        <v>583</v>
      </c>
      <c r="I1525">
        <f t="shared" si="165"/>
        <v>22</v>
      </c>
      <c r="J1525" t="s">
        <v>579</v>
      </c>
      <c r="K1525" s="5">
        <v>60</v>
      </c>
      <c r="L1525" t="str">
        <f>Table_DataFromNL[[#This Row],[PROFILECODE]]&amp;"-"&amp;Table_DataFromNL[[#This Row],[RULENAME]]</f>
        <v>CP225-P NSP NS AP Standard</v>
      </c>
      <c r="M1525" t="str">
        <f t="shared" si="166"/>
        <v>CP225-RETURN - 1st don of the week -STD</v>
      </c>
    </row>
    <row r="1526" spans="1:13" x14ac:dyDescent="0.25">
      <c r="A1526" t="str">
        <f t="shared" si="167"/>
        <v>CP225-RETURN - 1st don of the week -STD</v>
      </c>
      <c r="B1526" t="s">
        <v>89</v>
      </c>
      <c r="C1526" t="str">
        <f t="shared" si="161"/>
        <v>Houston Aldine</v>
      </c>
      <c r="D1526" t="str">
        <f t="shared" si="162"/>
        <v>Y</v>
      </c>
      <c r="E1526" t="s">
        <v>633</v>
      </c>
      <c r="F1526" t="str">
        <f t="shared" si="163"/>
        <v>RETURN - 1st don of the week -STD</v>
      </c>
      <c r="G1526" t="str">
        <f t="shared" si="164"/>
        <v>Marketing</v>
      </c>
      <c r="H1526" t="s">
        <v>584</v>
      </c>
      <c r="I1526">
        <f t="shared" si="165"/>
        <v>23</v>
      </c>
      <c r="J1526" t="s">
        <v>579</v>
      </c>
      <c r="K1526" s="5">
        <v>60</v>
      </c>
      <c r="L1526" t="str">
        <f>Table_DataFromNL[[#This Row],[PROFILECODE]]&amp;"-"&amp;Table_DataFromNL[[#This Row],[RULENAME]]</f>
        <v>CP225-P NSP NS Standard</v>
      </c>
      <c r="M1526" t="str">
        <f t="shared" si="166"/>
        <v>CP225-RETURN - 1st don of the week -STD</v>
      </c>
    </row>
    <row r="1527" spans="1:13" x14ac:dyDescent="0.25">
      <c r="A1527" t="str">
        <f t="shared" si="167"/>
        <v>CP225-P VZV Pre-Existing AP</v>
      </c>
      <c r="B1527" t="s">
        <v>89</v>
      </c>
      <c r="C1527" t="str">
        <f t="shared" si="161"/>
        <v>Houston Aldine</v>
      </c>
      <c r="D1527" t="str">
        <f t="shared" si="162"/>
        <v>Y</v>
      </c>
      <c r="E1527" t="s">
        <v>633</v>
      </c>
      <c r="F1527" t="str">
        <f t="shared" si="163"/>
        <v>P VZV Pre-Existing AP</v>
      </c>
      <c r="G1527" t="str">
        <f t="shared" si="164"/>
        <v>Specialty</v>
      </c>
      <c r="H1527" t="s">
        <v>495</v>
      </c>
      <c r="I1527" t="str">
        <f t="shared" si="165"/>
        <v>RETURN - 1st don of the week -STD</v>
      </c>
      <c r="J1527" t="s">
        <v>579</v>
      </c>
      <c r="K1527" s="5">
        <v>70</v>
      </c>
      <c r="L1527" t="str">
        <f>Table_DataFromNL[[#This Row],[PROFILECODE]]&amp;"-"&amp;Table_DataFromNL[[#This Row],[RULENAME]]</f>
        <v>CP225-P VZV Pre-Existing AP</v>
      </c>
      <c r="M1527" t="str">
        <f t="shared" si="166"/>
        <v>CP225-P VZV Pre-Existing AP</v>
      </c>
    </row>
    <row r="1528" spans="1:13" x14ac:dyDescent="0.25">
      <c r="A1528" t="str">
        <f t="shared" si="167"/>
        <v>CP225-P Vaccinia AP Standard</v>
      </c>
      <c r="B1528" t="s">
        <v>89</v>
      </c>
      <c r="C1528" t="str">
        <f t="shared" si="161"/>
        <v>Houston Aldine</v>
      </c>
      <c r="D1528" t="str">
        <f t="shared" si="162"/>
        <v>Y</v>
      </c>
      <c r="E1528" t="s">
        <v>633</v>
      </c>
      <c r="F1528" t="str">
        <f t="shared" si="163"/>
        <v>P Vaccinia AP Standard</v>
      </c>
      <c r="G1528" t="str">
        <f t="shared" si="164"/>
        <v>Specialty</v>
      </c>
      <c r="H1528" t="s">
        <v>475</v>
      </c>
      <c r="I1528">
        <f t="shared" si="165"/>
        <v>0</v>
      </c>
      <c r="J1528" t="s">
        <v>579</v>
      </c>
      <c r="K1528" s="5">
        <v>100</v>
      </c>
      <c r="L1528" t="str">
        <f>Table_DataFromNL[[#This Row],[PROFILECODE]]&amp;"-"&amp;Table_DataFromNL[[#This Row],[RULENAME]]</f>
        <v>CP225-P Vaccinia AP Standard</v>
      </c>
      <c r="M1528" t="str">
        <f t="shared" si="166"/>
        <v>CP225-P Vaccinia AP Standard</v>
      </c>
    </row>
    <row r="1529" spans="1:13" x14ac:dyDescent="0.25">
      <c r="A1529" t="str">
        <f t="shared" si="167"/>
        <v>CP225-P Vaccinia Standard</v>
      </c>
      <c r="B1529" t="s">
        <v>89</v>
      </c>
      <c r="C1529" t="str">
        <f t="shared" si="161"/>
        <v>Houston Aldine</v>
      </c>
      <c r="D1529" t="str">
        <f t="shared" si="162"/>
        <v>Y</v>
      </c>
      <c r="E1529" t="s">
        <v>633</v>
      </c>
      <c r="F1529" t="str">
        <f t="shared" si="163"/>
        <v>P Vaccinia Standard</v>
      </c>
      <c r="G1529" t="str">
        <f t="shared" si="164"/>
        <v>Specialty</v>
      </c>
      <c r="H1529" t="s">
        <v>476</v>
      </c>
      <c r="I1529">
        <f t="shared" si="165"/>
        <v>0</v>
      </c>
      <c r="J1529" t="s">
        <v>579</v>
      </c>
      <c r="K1529" s="5">
        <v>100</v>
      </c>
      <c r="L1529" t="str">
        <f>Table_DataFromNL[[#This Row],[PROFILECODE]]&amp;"-"&amp;Table_DataFromNL[[#This Row],[RULENAME]]</f>
        <v>CP225-P Vaccinia Standard</v>
      </c>
      <c r="M1529" t="str">
        <f t="shared" si="166"/>
        <v>CP225-P Vaccinia Standard</v>
      </c>
    </row>
    <row r="1530" spans="1:13" x14ac:dyDescent="0.25">
      <c r="A1530" t="str">
        <f t="shared" si="167"/>
        <v>CP225-PVZV Pre-Existing Standard</v>
      </c>
      <c r="B1530" t="s">
        <v>89</v>
      </c>
      <c r="C1530" t="str">
        <f t="shared" si="161"/>
        <v>Houston Aldine</v>
      </c>
      <c r="D1530" t="str">
        <f t="shared" si="162"/>
        <v>Y</v>
      </c>
      <c r="E1530" t="s">
        <v>633</v>
      </c>
      <c r="F1530" t="str">
        <f t="shared" si="163"/>
        <v>PVZV Pre-Existing Standard</v>
      </c>
      <c r="G1530" t="str">
        <f t="shared" si="164"/>
        <v>Specialty</v>
      </c>
      <c r="H1530" t="s">
        <v>497</v>
      </c>
      <c r="I1530" t="str">
        <f t="shared" si="165"/>
        <v>RETURN - 1st don of the week -STD</v>
      </c>
      <c r="J1530" t="s">
        <v>579</v>
      </c>
      <c r="K1530" s="5">
        <v>70</v>
      </c>
      <c r="L1530" t="str">
        <f>Table_DataFromNL[[#This Row],[PROFILECODE]]&amp;"-"&amp;Table_DataFromNL[[#This Row],[RULENAME]]</f>
        <v>CP225-PVZV Pre-Existing Standard</v>
      </c>
      <c r="M1530" t="str">
        <f t="shared" si="166"/>
        <v>CP225-PVZV Pre-Existing Standard</v>
      </c>
    </row>
    <row r="1531" spans="1:13" x14ac:dyDescent="0.25">
      <c r="A1531" t="str">
        <f t="shared" si="167"/>
        <v>CP959-RETURN - 2nd don of the week -BONUS</v>
      </c>
      <c r="B1531" t="s">
        <v>453</v>
      </c>
      <c r="C1531" t="str">
        <f t="shared" si="161"/>
        <v>Indianapolis</v>
      </c>
      <c r="D1531" t="str">
        <f t="shared" si="162"/>
        <v>Y</v>
      </c>
      <c r="E1531" t="s">
        <v>634</v>
      </c>
      <c r="F1531" t="str">
        <f t="shared" si="163"/>
        <v>RETURN - 2nd don of the week -BONUS</v>
      </c>
      <c r="G1531" t="str">
        <f t="shared" si="164"/>
        <v>Marketing</v>
      </c>
      <c r="H1531" t="s">
        <v>550</v>
      </c>
      <c r="I1531">
        <f t="shared" si="165"/>
        <v>26</v>
      </c>
      <c r="J1531" t="s">
        <v>546</v>
      </c>
      <c r="K1531" s="5">
        <v>35</v>
      </c>
      <c r="L1531" t="str">
        <f>Table_DataFromNL[[#This Row],[PROFILECODE]]&amp;"-"&amp;Table_DataFromNL[[#This Row],[RULENAME]]</f>
        <v>CP959-2X Week P NSP NS</v>
      </c>
      <c r="M1531" t="str">
        <f t="shared" si="166"/>
        <v>CP959-RETURN - 2nd don of the week -BONUS</v>
      </c>
    </row>
    <row r="1532" spans="1:13" x14ac:dyDescent="0.25">
      <c r="A1532" t="str">
        <f t="shared" si="167"/>
        <v>CP959-RETURN - 2nd don of the week -BONUS</v>
      </c>
      <c r="B1532" t="s">
        <v>453</v>
      </c>
      <c r="C1532" t="str">
        <f t="shared" si="161"/>
        <v>Indianapolis</v>
      </c>
      <c r="D1532" t="str">
        <f t="shared" si="162"/>
        <v>Y</v>
      </c>
      <c r="E1532" t="s">
        <v>634</v>
      </c>
      <c r="F1532" t="str">
        <f t="shared" si="163"/>
        <v>RETURN - 2nd don of the week -BONUS</v>
      </c>
      <c r="G1532" t="str">
        <f t="shared" si="164"/>
        <v>Marketing</v>
      </c>
      <c r="H1532" t="s">
        <v>551</v>
      </c>
      <c r="I1532" t="str">
        <f t="shared" si="165"/>
        <v>RETURN - 2nd don of the week -BONUS</v>
      </c>
      <c r="J1532" t="s">
        <v>546</v>
      </c>
      <c r="K1532" s="5">
        <v>35</v>
      </c>
      <c r="L1532" t="str">
        <f>Table_DataFromNL[[#This Row],[PROFILECODE]]&amp;"-"&amp;Table_DataFromNL[[#This Row],[RULENAME]]</f>
        <v>CP959-2X Week P NSP NS AP</v>
      </c>
      <c r="M1532" t="str">
        <f t="shared" si="166"/>
        <v>CP959-RETURN - 2nd don of the week -BONUS</v>
      </c>
    </row>
    <row r="1533" spans="1:13" x14ac:dyDescent="0.25">
      <c r="A1533" t="str">
        <f t="shared" si="167"/>
        <v>CP959-Military ID</v>
      </c>
      <c r="B1533" t="s">
        <v>453</v>
      </c>
      <c r="C1533" t="str">
        <f t="shared" si="161"/>
        <v>Indianapolis</v>
      </c>
      <c r="D1533" t="str">
        <f t="shared" si="162"/>
        <v>Y</v>
      </c>
      <c r="E1533" t="s">
        <v>634</v>
      </c>
      <c r="F1533" t="str">
        <f t="shared" si="163"/>
        <v>Military ID</v>
      </c>
      <c r="G1533">
        <f t="shared" si="164"/>
        <v>0</v>
      </c>
      <c r="H1533" t="s">
        <v>554</v>
      </c>
      <c r="I1533">
        <f t="shared" si="165"/>
        <v>0</v>
      </c>
      <c r="J1533" t="s">
        <v>546</v>
      </c>
      <c r="K1533" s="5">
        <v>5</v>
      </c>
      <c r="L1533" t="str">
        <f>Table_DataFromNL[[#This Row],[PROFILECODE]]&amp;"-"&amp;Table_DataFromNL[[#This Row],[RULENAME]]</f>
        <v>CP959-Military ID</v>
      </c>
      <c r="M1533" t="e">
        <f t="shared" si="166"/>
        <v>#N/A</v>
      </c>
    </row>
    <row r="1534" spans="1:13" x14ac:dyDescent="0.25">
      <c r="A1534" t="str">
        <f t="shared" si="167"/>
        <v>CP959-NEW DONOR -1st</v>
      </c>
      <c r="B1534" t="s">
        <v>453</v>
      </c>
      <c r="C1534" t="str">
        <f t="shared" si="161"/>
        <v>Indianapolis</v>
      </c>
      <c r="D1534" t="str">
        <f t="shared" si="162"/>
        <v>Y</v>
      </c>
      <c r="E1534" t="s">
        <v>634</v>
      </c>
      <c r="F1534" t="str">
        <f t="shared" si="163"/>
        <v>NEW DONOR -1st</v>
      </c>
      <c r="G1534" t="str">
        <f t="shared" si="164"/>
        <v>Marketing</v>
      </c>
      <c r="H1534" t="s">
        <v>555</v>
      </c>
      <c r="I1534">
        <f t="shared" si="165"/>
        <v>1</v>
      </c>
      <c r="J1534" t="s">
        <v>546</v>
      </c>
      <c r="K1534" s="5">
        <v>75</v>
      </c>
      <c r="L1534" t="str">
        <f>Table_DataFromNL[[#This Row],[PROFILECODE]]&amp;"-"&amp;Table_DataFromNL[[#This Row],[RULENAME]]</f>
        <v>CP959-New Donor 1st Visit-Bonus</v>
      </c>
      <c r="M1534" t="str">
        <f t="shared" si="166"/>
        <v>CP959-NEW DONOR -1st</v>
      </c>
    </row>
    <row r="1535" spans="1:13" x14ac:dyDescent="0.25">
      <c r="A1535" t="str">
        <f t="shared" si="167"/>
        <v>CP959-NEW DONOR -2nd</v>
      </c>
      <c r="B1535" t="s">
        <v>453</v>
      </c>
      <c r="C1535" t="str">
        <f t="shared" si="161"/>
        <v>Indianapolis</v>
      </c>
      <c r="D1535" t="str">
        <f t="shared" si="162"/>
        <v>Y</v>
      </c>
      <c r="E1535" t="s">
        <v>634</v>
      </c>
      <c r="F1535" t="str">
        <f t="shared" si="163"/>
        <v>NEW DONOR -2nd</v>
      </c>
      <c r="G1535" t="str">
        <f t="shared" si="164"/>
        <v>Marketing</v>
      </c>
      <c r="H1535" t="s">
        <v>556</v>
      </c>
      <c r="I1535">
        <f t="shared" si="165"/>
        <v>2</v>
      </c>
      <c r="J1535" t="s">
        <v>546</v>
      </c>
      <c r="K1535" s="5">
        <v>75</v>
      </c>
      <c r="L1535" t="str">
        <f>Table_DataFromNL[[#This Row],[PROFILECODE]]&amp;"-"&amp;Table_DataFromNL[[#This Row],[RULENAME]]</f>
        <v>CP959-New Donor 2nd Visit-Bonus</v>
      </c>
      <c r="M1535" t="str">
        <f t="shared" si="166"/>
        <v>CP959-NEW DONOR -2nd</v>
      </c>
    </row>
    <row r="1536" spans="1:13" x14ac:dyDescent="0.25">
      <c r="A1536" t="str">
        <f t="shared" si="167"/>
        <v>CP959-NEW DONOR -3rd</v>
      </c>
      <c r="B1536" t="s">
        <v>453</v>
      </c>
      <c r="C1536" t="str">
        <f t="shared" si="161"/>
        <v>Indianapolis</v>
      </c>
      <c r="D1536" t="str">
        <f t="shared" si="162"/>
        <v>Y</v>
      </c>
      <c r="E1536" t="s">
        <v>634</v>
      </c>
      <c r="F1536" t="str">
        <f t="shared" si="163"/>
        <v>NEW DONOR -3rd</v>
      </c>
      <c r="G1536" t="str">
        <f t="shared" si="164"/>
        <v>Marketing</v>
      </c>
      <c r="H1536" t="s">
        <v>557</v>
      </c>
      <c r="I1536">
        <f t="shared" si="165"/>
        <v>3</v>
      </c>
      <c r="J1536" t="s">
        <v>546</v>
      </c>
      <c r="K1536" s="5">
        <v>75</v>
      </c>
      <c r="L1536" t="str">
        <f>Table_DataFromNL[[#This Row],[PROFILECODE]]&amp;"-"&amp;Table_DataFromNL[[#This Row],[RULENAME]]</f>
        <v>CP959-New Donor 3rd Visit-Bonus</v>
      </c>
      <c r="M1536" t="str">
        <f t="shared" si="166"/>
        <v>CP959-NEW DONOR -3rd</v>
      </c>
    </row>
    <row r="1537" spans="1:13" x14ac:dyDescent="0.25">
      <c r="A1537" t="str">
        <f t="shared" si="167"/>
        <v>CP959-NEW DONOR -4th</v>
      </c>
      <c r="B1537" t="s">
        <v>453</v>
      </c>
      <c r="C1537" t="str">
        <f t="shared" si="161"/>
        <v>Indianapolis</v>
      </c>
      <c r="D1537" t="str">
        <f t="shared" si="162"/>
        <v>Y</v>
      </c>
      <c r="E1537" t="s">
        <v>634</v>
      </c>
      <c r="F1537" t="str">
        <f t="shared" si="163"/>
        <v>NEW DONOR -4th</v>
      </c>
      <c r="G1537" t="str">
        <f t="shared" si="164"/>
        <v>Marketing</v>
      </c>
      <c r="H1537" t="s">
        <v>558</v>
      </c>
      <c r="I1537">
        <f t="shared" si="165"/>
        <v>4</v>
      </c>
      <c r="J1537" t="s">
        <v>546</v>
      </c>
      <c r="K1537" s="5">
        <v>45</v>
      </c>
      <c r="L1537" t="str">
        <f>Table_DataFromNL[[#This Row],[PROFILECODE]]&amp;"-"&amp;Table_DataFromNL[[#This Row],[RULENAME]]</f>
        <v>CP959-New Donor 4th Visit-Bonus</v>
      </c>
      <c r="M1537" t="str">
        <f t="shared" si="166"/>
        <v>CP959-NEW DONOR -4th</v>
      </c>
    </row>
    <row r="1538" spans="1:13" x14ac:dyDescent="0.25">
      <c r="A1538" t="str">
        <f t="shared" si="167"/>
        <v>CP959-NEW DONOR -5th</v>
      </c>
      <c r="B1538" t="s">
        <v>453</v>
      </c>
      <c r="C1538" t="str">
        <f t="shared" ref="C1538:C1601" si="168">VLOOKUP(B1538,CenterLU,2,FALSE)</f>
        <v>Indianapolis</v>
      </c>
      <c r="D1538" t="str">
        <f t="shared" ref="D1538:D1601" si="169">VLOOKUP(B1538,CenterLU,3,FALSE)</f>
        <v>Y</v>
      </c>
      <c r="E1538" t="s">
        <v>634</v>
      </c>
      <c r="F1538" t="str">
        <f t="shared" ref="F1538:F1601" si="170">IF(VLOOKUP(H1538,RULENAMELU,3,FALSE)=0,H1538,VLOOKUP(H1538,RULENAMELU,3,FALSE))</f>
        <v>NEW DONOR -5th</v>
      </c>
      <c r="G1538" t="str">
        <f t="shared" ref="G1538:G1601" si="171">VLOOKUP(H1538,RULENAMELU,4,FALSE)</f>
        <v>Marketing</v>
      </c>
      <c r="H1538" t="s">
        <v>559</v>
      </c>
      <c r="I1538">
        <f t="shared" ref="I1538:I1601" si="172">VLOOKUP(H1538,RULENAMELU,5,FALSE)</f>
        <v>5</v>
      </c>
      <c r="J1538" t="s">
        <v>546</v>
      </c>
      <c r="K1538" s="5">
        <v>45</v>
      </c>
      <c r="L1538" t="str">
        <f>Table_DataFromNL[[#This Row],[PROFILECODE]]&amp;"-"&amp;Table_DataFromNL[[#This Row],[RULENAME]]</f>
        <v>CP959-New Donor 5th Visit-Bonus</v>
      </c>
      <c r="M1538" t="str">
        <f t="shared" ref="M1538:M1601" si="173">IFERROR(VLOOKUP(A1538,PaychangesLU,1,FALSE),VLOOKUP(A1538,SpecialtyCheckLU,1,FALSE))</f>
        <v>CP959-NEW DONOR -5th</v>
      </c>
    </row>
    <row r="1539" spans="1:13" x14ac:dyDescent="0.25">
      <c r="A1539" t="str">
        <f t="shared" ref="A1539:A1602" si="174">B1539&amp;"-"&amp;F1539</f>
        <v>CP959-NEW DONOR -6th</v>
      </c>
      <c r="B1539" t="s">
        <v>453</v>
      </c>
      <c r="C1539" t="str">
        <f t="shared" si="168"/>
        <v>Indianapolis</v>
      </c>
      <c r="D1539" t="str">
        <f t="shared" si="169"/>
        <v>Y</v>
      </c>
      <c r="E1539" t="s">
        <v>634</v>
      </c>
      <c r="F1539" t="str">
        <f t="shared" si="170"/>
        <v>NEW DONOR -6th</v>
      </c>
      <c r="G1539" t="str">
        <f t="shared" si="171"/>
        <v>Marketing</v>
      </c>
      <c r="H1539" t="s">
        <v>560</v>
      </c>
      <c r="I1539">
        <f t="shared" si="172"/>
        <v>6</v>
      </c>
      <c r="J1539" t="s">
        <v>546</v>
      </c>
      <c r="K1539" s="5">
        <v>45</v>
      </c>
      <c r="L1539" t="str">
        <f>Table_DataFromNL[[#This Row],[PROFILECODE]]&amp;"-"&amp;Table_DataFromNL[[#This Row],[RULENAME]]</f>
        <v>CP959-New Donor 6th Visit-Bonus</v>
      </c>
      <c r="M1539" t="str">
        <f t="shared" si="173"/>
        <v>CP959-NEW DONOR -6th</v>
      </c>
    </row>
    <row r="1540" spans="1:13" x14ac:dyDescent="0.25">
      <c r="A1540" t="str">
        <f t="shared" si="174"/>
        <v>CP959-NEW DONOR -7th</v>
      </c>
      <c r="B1540" t="s">
        <v>453</v>
      </c>
      <c r="C1540" t="str">
        <f t="shared" si="168"/>
        <v>Indianapolis</v>
      </c>
      <c r="D1540" t="str">
        <f t="shared" si="169"/>
        <v>Y</v>
      </c>
      <c r="E1540" t="s">
        <v>634</v>
      </c>
      <c r="F1540" t="str">
        <f t="shared" si="170"/>
        <v>NEW DONOR -7th</v>
      </c>
      <c r="G1540" t="str">
        <f t="shared" si="171"/>
        <v>Marketing</v>
      </c>
      <c r="H1540" t="s">
        <v>561</v>
      </c>
      <c r="I1540">
        <f t="shared" si="172"/>
        <v>7</v>
      </c>
      <c r="J1540" t="s">
        <v>546</v>
      </c>
      <c r="K1540" s="5">
        <v>45</v>
      </c>
      <c r="L1540" t="str">
        <f>Table_DataFromNL[[#This Row],[PROFILECODE]]&amp;"-"&amp;Table_DataFromNL[[#This Row],[RULENAME]]</f>
        <v>CP959-New Donor 7th Visit-Bonus</v>
      </c>
      <c r="M1540" t="str">
        <f t="shared" si="173"/>
        <v>CP959-NEW DONOR -7th</v>
      </c>
    </row>
    <row r="1541" spans="1:13" x14ac:dyDescent="0.25">
      <c r="A1541" t="str">
        <f t="shared" si="174"/>
        <v>CP959-NEW DONOR -8th</v>
      </c>
      <c r="B1541" t="s">
        <v>453</v>
      </c>
      <c r="C1541" t="str">
        <f t="shared" si="168"/>
        <v>Indianapolis</v>
      </c>
      <c r="D1541" t="str">
        <f t="shared" si="169"/>
        <v>Y</v>
      </c>
      <c r="E1541" t="s">
        <v>634</v>
      </c>
      <c r="F1541" t="str">
        <f t="shared" si="170"/>
        <v>NEW DONOR -8th</v>
      </c>
      <c r="G1541" t="str">
        <f t="shared" si="171"/>
        <v>Marketing</v>
      </c>
      <c r="H1541" t="s">
        <v>562</v>
      </c>
      <c r="I1541">
        <f t="shared" si="172"/>
        <v>8</v>
      </c>
      <c r="J1541" t="s">
        <v>546</v>
      </c>
      <c r="K1541" s="5">
        <v>45</v>
      </c>
      <c r="L1541" t="str">
        <f>Table_DataFromNL[[#This Row],[PROFILECODE]]&amp;"-"&amp;Table_DataFromNL[[#This Row],[RULENAME]]</f>
        <v>CP959-New Donor 8th Visit-Bonus</v>
      </c>
      <c r="M1541" t="str">
        <f t="shared" si="173"/>
        <v>CP959-NEW DONOR -8th</v>
      </c>
    </row>
    <row r="1542" spans="1:13" x14ac:dyDescent="0.25">
      <c r="A1542" t="str">
        <f t="shared" si="174"/>
        <v>CP959-NSP_ LAPSEDONOR_50_Twice</v>
      </c>
      <c r="B1542" t="s">
        <v>453</v>
      </c>
      <c r="C1542" t="str">
        <f t="shared" si="168"/>
        <v>Indianapolis</v>
      </c>
      <c r="D1542" t="str">
        <f t="shared" si="169"/>
        <v>Y</v>
      </c>
      <c r="E1542" t="s">
        <v>634</v>
      </c>
      <c r="F1542" t="str">
        <f t="shared" si="170"/>
        <v>NSP_ LAPSEDONOR_50_Twice</v>
      </c>
      <c r="G1542">
        <f t="shared" si="171"/>
        <v>0</v>
      </c>
      <c r="H1542" t="s">
        <v>569</v>
      </c>
      <c r="I1542">
        <f t="shared" si="172"/>
        <v>0</v>
      </c>
      <c r="J1542" t="s">
        <v>564</v>
      </c>
      <c r="K1542" s="5">
        <v>50</v>
      </c>
      <c r="L1542" t="str">
        <f>Table_DataFromNL[[#This Row],[PROFILECODE]]&amp;"-"&amp;Table_DataFromNL[[#This Row],[RULENAME]]</f>
        <v>CP959-NSP_ LAPSEDONOR_50_Twice</v>
      </c>
      <c r="M1542" t="e">
        <f t="shared" si="173"/>
        <v>#N/A</v>
      </c>
    </row>
    <row r="1543" spans="1:13" x14ac:dyDescent="0.25">
      <c r="A1543" t="str">
        <f t="shared" si="174"/>
        <v>CP959-NSP_LD_25_2X</v>
      </c>
      <c r="B1543" t="s">
        <v>453</v>
      </c>
      <c r="C1543" t="str">
        <f t="shared" si="168"/>
        <v>Indianapolis</v>
      </c>
      <c r="D1543" t="str">
        <f t="shared" si="169"/>
        <v>Y</v>
      </c>
      <c r="E1543" t="s">
        <v>634</v>
      </c>
      <c r="F1543" t="str">
        <f t="shared" si="170"/>
        <v>NSP_LD_25_2X</v>
      </c>
      <c r="G1543">
        <f t="shared" si="171"/>
        <v>0</v>
      </c>
      <c r="H1543" t="s">
        <v>570</v>
      </c>
      <c r="I1543">
        <f t="shared" si="172"/>
        <v>0</v>
      </c>
      <c r="J1543" t="s">
        <v>564</v>
      </c>
      <c r="K1543" s="5">
        <v>25</v>
      </c>
      <c r="L1543" t="str">
        <f>Table_DataFromNL[[#This Row],[PROFILECODE]]&amp;"-"&amp;Table_DataFromNL[[#This Row],[RULENAME]]</f>
        <v>CP959-NSP_LD_25_2X</v>
      </c>
      <c r="M1543" t="e">
        <f t="shared" si="173"/>
        <v>#N/A</v>
      </c>
    </row>
    <row r="1544" spans="1:13" x14ac:dyDescent="0.25">
      <c r="A1544" t="str">
        <f t="shared" si="174"/>
        <v>CP959-NSP_LD_50_1X</v>
      </c>
      <c r="B1544" t="s">
        <v>453</v>
      </c>
      <c r="C1544" t="str">
        <f t="shared" si="168"/>
        <v>Indianapolis</v>
      </c>
      <c r="D1544" t="str">
        <f t="shared" si="169"/>
        <v>Y</v>
      </c>
      <c r="E1544" t="s">
        <v>634</v>
      </c>
      <c r="F1544" t="str">
        <f t="shared" si="170"/>
        <v>NSP_LD_50_1X</v>
      </c>
      <c r="G1544">
        <f t="shared" si="171"/>
        <v>0</v>
      </c>
      <c r="H1544" t="s">
        <v>571</v>
      </c>
      <c r="I1544">
        <f t="shared" si="172"/>
        <v>0</v>
      </c>
      <c r="J1544" t="s">
        <v>564</v>
      </c>
      <c r="K1544" s="5">
        <v>50</v>
      </c>
      <c r="L1544" t="str">
        <f>Table_DataFromNL[[#This Row],[PROFILECODE]]&amp;"-"&amp;Table_DataFromNL[[#This Row],[RULENAME]]</f>
        <v>CP959-NSP_LD_50_1X</v>
      </c>
      <c r="M1544" t="e">
        <f t="shared" si="173"/>
        <v>#N/A</v>
      </c>
    </row>
    <row r="1545" spans="1:13" x14ac:dyDescent="0.25">
      <c r="A1545" t="str">
        <f t="shared" si="174"/>
        <v>CP959-NSP_ORPHAN_100_once</v>
      </c>
      <c r="B1545" t="s">
        <v>453</v>
      </c>
      <c r="C1545" t="str">
        <f t="shared" si="168"/>
        <v>Indianapolis</v>
      </c>
      <c r="D1545" t="str">
        <f t="shared" si="169"/>
        <v>Y</v>
      </c>
      <c r="E1545" t="s">
        <v>634</v>
      </c>
      <c r="F1545" t="str">
        <f t="shared" si="170"/>
        <v>NSP_ORPHAN_100_once</v>
      </c>
      <c r="G1545">
        <f t="shared" si="171"/>
        <v>0</v>
      </c>
      <c r="H1545" t="s">
        <v>572</v>
      </c>
      <c r="I1545">
        <f t="shared" si="172"/>
        <v>0</v>
      </c>
      <c r="J1545" t="s">
        <v>564</v>
      </c>
      <c r="K1545" s="5">
        <v>100</v>
      </c>
      <c r="L1545" t="str">
        <f>Table_DataFromNL[[#This Row],[PROFILECODE]]&amp;"-"&amp;Table_DataFromNL[[#This Row],[RULENAME]]</f>
        <v>CP959-NSP_ORPHAN_100_once</v>
      </c>
      <c r="M1545" t="e">
        <f t="shared" si="173"/>
        <v>#N/A</v>
      </c>
    </row>
    <row r="1546" spans="1:13" x14ac:dyDescent="0.25">
      <c r="A1546" t="str">
        <f t="shared" si="174"/>
        <v>CP959-Restick</v>
      </c>
      <c r="B1546" t="s">
        <v>453</v>
      </c>
      <c r="C1546" t="str">
        <f t="shared" si="168"/>
        <v>Indianapolis</v>
      </c>
      <c r="D1546" t="str">
        <f t="shared" si="169"/>
        <v>Y</v>
      </c>
      <c r="E1546" t="s">
        <v>634</v>
      </c>
      <c r="F1546" t="str">
        <f t="shared" si="170"/>
        <v>Restick</v>
      </c>
      <c r="G1546">
        <f t="shared" si="171"/>
        <v>0</v>
      </c>
      <c r="H1546" t="s">
        <v>573</v>
      </c>
      <c r="I1546">
        <f t="shared" si="172"/>
        <v>0</v>
      </c>
      <c r="J1546" t="s">
        <v>564</v>
      </c>
      <c r="K1546" s="5">
        <v>5</v>
      </c>
      <c r="L1546" t="str">
        <f>Table_DataFromNL[[#This Row],[PROFILECODE]]&amp;"-"&amp;Table_DataFromNL[[#This Row],[RULENAME]]</f>
        <v>CP959-Restick</v>
      </c>
      <c r="M1546" t="e">
        <f t="shared" si="173"/>
        <v>#N/A</v>
      </c>
    </row>
    <row r="1547" spans="1:13" x14ac:dyDescent="0.25">
      <c r="A1547" t="str">
        <f t="shared" si="174"/>
        <v>CP959-SLOW_TEXT_5</v>
      </c>
      <c r="B1547" t="s">
        <v>453</v>
      </c>
      <c r="C1547" t="str">
        <f t="shared" si="168"/>
        <v>Indianapolis</v>
      </c>
      <c r="D1547" t="str">
        <f t="shared" si="169"/>
        <v>Y</v>
      </c>
      <c r="E1547" t="s">
        <v>634</v>
      </c>
      <c r="F1547" t="str">
        <f t="shared" si="170"/>
        <v>SLOW_TEXT_5</v>
      </c>
      <c r="G1547">
        <f t="shared" si="171"/>
        <v>0</v>
      </c>
      <c r="H1547" t="s">
        <v>574</v>
      </c>
      <c r="I1547">
        <f t="shared" si="172"/>
        <v>0</v>
      </c>
      <c r="J1547" t="s">
        <v>564</v>
      </c>
      <c r="K1547" s="5">
        <v>5</v>
      </c>
      <c r="L1547" t="str">
        <f>Table_DataFromNL[[#This Row],[PROFILECODE]]&amp;"-"&amp;Table_DataFromNL[[#This Row],[RULENAME]]</f>
        <v>CP959-SLOW_TEXT_5</v>
      </c>
      <c r="M1547" t="e">
        <f t="shared" si="173"/>
        <v>#N/A</v>
      </c>
    </row>
    <row r="1548" spans="1:13" x14ac:dyDescent="0.25">
      <c r="A1548" t="str">
        <f t="shared" si="174"/>
        <v>CP959-Sample Only</v>
      </c>
      <c r="B1548" t="s">
        <v>453</v>
      </c>
      <c r="C1548" t="str">
        <f t="shared" si="168"/>
        <v>Indianapolis</v>
      </c>
      <c r="D1548" t="str">
        <f t="shared" si="169"/>
        <v>Y</v>
      </c>
      <c r="E1548" t="s">
        <v>634</v>
      </c>
      <c r="F1548" t="str">
        <f t="shared" si="170"/>
        <v>Sample Only</v>
      </c>
      <c r="G1548">
        <f t="shared" si="171"/>
        <v>0</v>
      </c>
      <c r="H1548" t="s">
        <v>575</v>
      </c>
      <c r="I1548">
        <f t="shared" si="172"/>
        <v>0</v>
      </c>
      <c r="J1548" t="s">
        <v>564</v>
      </c>
      <c r="K1548" s="5">
        <v>5</v>
      </c>
      <c r="L1548" t="str">
        <f>Table_DataFromNL[[#This Row],[PROFILECODE]]&amp;"-"&amp;Table_DataFromNL[[#This Row],[RULENAME]]</f>
        <v>CP959-Sample Only</v>
      </c>
      <c r="M1548" t="e">
        <f t="shared" si="173"/>
        <v>#N/A</v>
      </c>
    </row>
    <row r="1549" spans="1:13" x14ac:dyDescent="0.25">
      <c r="A1549" t="str">
        <f t="shared" si="174"/>
        <v>CP959-Unit Below 250 mL</v>
      </c>
      <c r="B1549" t="s">
        <v>453</v>
      </c>
      <c r="C1549" t="str">
        <f t="shared" si="168"/>
        <v>Indianapolis</v>
      </c>
      <c r="D1549" t="str">
        <f t="shared" si="169"/>
        <v>Y</v>
      </c>
      <c r="E1549" t="s">
        <v>634</v>
      </c>
      <c r="F1549" t="str">
        <f t="shared" si="170"/>
        <v>Unit Below 250 mL</v>
      </c>
      <c r="G1549">
        <f t="shared" si="171"/>
        <v>0</v>
      </c>
      <c r="H1549" t="s">
        <v>576</v>
      </c>
      <c r="I1549">
        <f t="shared" si="172"/>
        <v>0</v>
      </c>
      <c r="J1549" t="s">
        <v>564</v>
      </c>
      <c r="K1549" s="5">
        <v>5</v>
      </c>
      <c r="L1549" t="str">
        <f>Table_DataFromNL[[#This Row],[PROFILECODE]]&amp;"-"&amp;Table_DataFromNL[[#This Row],[RULENAME]]</f>
        <v>CP959-Unit Below 250 mL</v>
      </c>
      <c r="M1549" t="e">
        <f t="shared" si="173"/>
        <v>#N/A</v>
      </c>
    </row>
    <row r="1550" spans="1:13" x14ac:dyDescent="0.25">
      <c r="A1550" t="str">
        <f t="shared" si="174"/>
        <v>CP959-Unit above 250 mL/underdraw</v>
      </c>
      <c r="B1550" t="s">
        <v>453</v>
      </c>
      <c r="C1550" t="str">
        <f t="shared" si="168"/>
        <v>Indianapolis</v>
      </c>
      <c r="D1550" t="str">
        <f t="shared" si="169"/>
        <v>Y</v>
      </c>
      <c r="E1550" t="s">
        <v>634</v>
      </c>
      <c r="F1550" t="str">
        <f t="shared" si="170"/>
        <v>Unit above 250 mL/underdraw</v>
      </c>
      <c r="G1550">
        <f t="shared" si="171"/>
        <v>0</v>
      </c>
      <c r="H1550" t="s">
        <v>577</v>
      </c>
      <c r="I1550">
        <f t="shared" si="172"/>
        <v>0</v>
      </c>
      <c r="J1550" t="s">
        <v>564</v>
      </c>
      <c r="K1550" s="5">
        <v>10</v>
      </c>
      <c r="L1550" t="str">
        <f>Table_DataFromNL[[#This Row],[PROFILECODE]]&amp;"-"&amp;Table_DataFromNL[[#This Row],[RULENAME]]</f>
        <v>CP959-Unit above 250 mL/underdraw</v>
      </c>
      <c r="M1550" t="e">
        <f t="shared" si="173"/>
        <v>#N/A</v>
      </c>
    </row>
    <row r="1551" spans="1:13" x14ac:dyDescent="0.25">
      <c r="A1551" t="str">
        <f t="shared" si="174"/>
        <v>CP959-RETURN - Buddy referral  -BONUS</v>
      </c>
      <c r="B1551" t="s">
        <v>453</v>
      </c>
      <c r="C1551" t="str">
        <f t="shared" si="168"/>
        <v>Indianapolis</v>
      </c>
      <c r="D1551" t="str">
        <f t="shared" si="169"/>
        <v>Y</v>
      </c>
      <c r="E1551" t="s">
        <v>634</v>
      </c>
      <c r="F1551" t="str">
        <f t="shared" si="170"/>
        <v>RETURN - Buddy referral  -BONUS</v>
      </c>
      <c r="G1551" t="str">
        <f t="shared" si="171"/>
        <v>Marketing</v>
      </c>
      <c r="H1551" t="s">
        <v>34</v>
      </c>
      <c r="I1551">
        <f t="shared" si="172"/>
        <v>50</v>
      </c>
      <c r="J1551" t="s">
        <v>578</v>
      </c>
      <c r="K1551" s="5">
        <v>100</v>
      </c>
      <c r="L1551" t="str">
        <f>Table_DataFromNL[[#This Row],[PROFILECODE]]&amp;"-"&amp;Table_DataFromNL[[#This Row],[RULENAME]]</f>
        <v>CP959-Referral</v>
      </c>
      <c r="M1551" t="str">
        <f t="shared" si="173"/>
        <v>CP959-RETURN - Buddy referral  -BONUS</v>
      </c>
    </row>
    <row r="1552" spans="1:13" x14ac:dyDescent="0.25">
      <c r="A1552" t="str">
        <f t="shared" si="174"/>
        <v>CP959-P Anti-D Pre-Existing Standard</v>
      </c>
      <c r="B1552" t="s">
        <v>453</v>
      </c>
      <c r="C1552" t="str">
        <f t="shared" si="168"/>
        <v>Indianapolis</v>
      </c>
      <c r="D1552" t="str">
        <f t="shared" si="169"/>
        <v>Y</v>
      </c>
      <c r="E1552" t="s">
        <v>634</v>
      </c>
      <c r="F1552" t="str">
        <f t="shared" si="170"/>
        <v>P Anti-D Pre-Existing Standard</v>
      </c>
      <c r="G1552" t="str">
        <f t="shared" si="171"/>
        <v>Specialty</v>
      </c>
      <c r="H1552" t="s">
        <v>469</v>
      </c>
      <c r="I1552" t="str">
        <f t="shared" si="172"/>
        <v>RETURN - 1st don of the week -STD</v>
      </c>
      <c r="J1552" t="s">
        <v>579</v>
      </c>
      <c r="K1552" s="5">
        <v>50</v>
      </c>
      <c r="L1552" t="str">
        <f>Table_DataFromNL[[#This Row],[PROFILECODE]]&amp;"-"&amp;Table_DataFromNL[[#This Row],[RULENAME]]</f>
        <v>CP959-P Anti-D Pre-Existing Standard</v>
      </c>
      <c r="M1552" t="e">
        <f t="shared" si="173"/>
        <v>#N/A</v>
      </c>
    </row>
    <row r="1553" spans="1:13" x14ac:dyDescent="0.25">
      <c r="A1553" t="str">
        <f t="shared" si="174"/>
        <v>CP959-RETURN - 1st don of the week -STD</v>
      </c>
      <c r="B1553" t="s">
        <v>453</v>
      </c>
      <c r="C1553" t="str">
        <f t="shared" si="168"/>
        <v>Indianapolis</v>
      </c>
      <c r="D1553" t="str">
        <f t="shared" si="169"/>
        <v>Y</v>
      </c>
      <c r="E1553" t="s">
        <v>634</v>
      </c>
      <c r="F1553" t="str">
        <f t="shared" si="170"/>
        <v>RETURN - 1st don of the week -STD</v>
      </c>
      <c r="G1553" t="str">
        <f t="shared" si="171"/>
        <v>Marketing</v>
      </c>
      <c r="H1553" t="s">
        <v>583</v>
      </c>
      <c r="I1553">
        <f t="shared" si="172"/>
        <v>22</v>
      </c>
      <c r="J1553" t="s">
        <v>579</v>
      </c>
      <c r="K1553" s="5">
        <v>45</v>
      </c>
      <c r="L1553" t="str">
        <f>Table_DataFromNL[[#This Row],[PROFILECODE]]&amp;"-"&amp;Table_DataFromNL[[#This Row],[RULENAME]]</f>
        <v>CP959-P NSP NS AP Standard</v>
      </c>
      <c r="M1553" t="str">
        <f t="shared" si="173"/>
        <v>CP959-RETURN - 1st don of the week -STD</v>
      </c>
    </row>
    <row r="1554" spans="1:13" x14ac:dyDescent="0.25">
      <c r="A1554" t="str">
        <f t="shared" si="174"/>
        <v>CP959-RETURN - 1st don of the week -STD</v>
      </c>
      <c r="B1554" t="s">
        <v>453</v>
      </c>
      <c r="C1554" t="str">
        <f t="shared" si="168"/>
        <v>Indianapolis</v>
      </c>
      <c r="D1554" t="str">
        <f t="shared" si="169"/>
        <v>Y</v>
      </c>
      <c r="E1554" t="s">
        <v>634</v>
      </c>
      <c r="F1554" t="str">
        <f t="shared" si="170"/>
        <v>RETURN - 1st don of the week -STD</v>
      </c>
      <c r="G1554" t="str">
        <f t="shared" si="171"/>
        <v>Marketing</v>
      </c>
      <c r="H1554" t="s">
        <v>584</v>
      </c>
      <c r="I1554">
        <f t="shared" si="172"/>
        <v>23</v>
      </c>
      <c r="J1554" t="s">
        <v>579</v>
      </c>
      <c r="K1554" s="5">
        <v>45</v>
      </c>
      <c r="L1554" t="str">
        <f>Table_DataFromNL[[#This Row],[PROFILECODE]]&amp;"-"&amp;Table_DataFromNL[[#This Row],[RULENAME]]</f>
        <v>CP959-P NSP NS Standard</v>
      </c>
      <c r="M1554" t="str">
        <f t="shared" si="173"/>
        <v>CP959-RETURN - 1st don of the week -STD</v>
      </c>
    </row>
    <row r="1555" spans="1:13" x14ac:dyDescent="0.25">
      <c r="A1555" t="str">
        <f t="shared" si="174"/>
        <v>CP869-1st Responder-Medical</v>
      </c>
      <c r="B1555" t="s">
        <v>208</v>
      </c>
      <c r="C1555" t="str">
        <f t="shared" si="168"/>
        <v>Irving</v>
      </c>
      <c r="D1555" t="str">
        <f t="shared" si="169"/>
        <v>Y</v>
      </c>
      <c r="E1555" t="s">
        <v>635</v>
      </c>
      <c r="F1555" t="str">
        <f t="shared" si="170"/>
        <v>1st Responder-Medical</v>
      </c>
      <c r="G1555">
        <f t="shared" si="171"/>
        <v>0</v>
      </c>
      <c r="H1555" t="s">
        <v>545</v>
      </c>
      <c r="I1555">
        <f t="shared" si="172"/>
        <v>0</v>
      </c>
      <c r="J1555" t="s">
        <v>546</v>
      </c>
      <c r="K1555" s="5">
        <v>5</v>
      </c>
      <c r="L1555" t="str">
        <f>Table_DataFromNL[[#This Row],[PROFILECODE]]&amp;"-"&amp;Table_DataFromNL[[#This Row],[RULENAME]]</f>
        <v>CP869-1st Responder-Medical</v>
      </c>
      <c r="M1555" t="e">
        <f t="shared" si="173"/>
        <v>#N/A</v>
      </c>
    </row>
    <row r="1556" spans="1:13" x14ac:dyDescent="0.25">
      <c r="A1556" t="str">
        <f t="shared" si="174"/>
        <v>CP869-2X Week P HBS Pre-Existing</v>
      </c>
      <c r="B1556" t="s">
        <v>208</v>
      </c>
      <c r="C1556" t="str">
        <f t="shared" si="168"/>
        <v>Irving</v>
      </c>
      <c r="D1556" t="str">
        <f t="shared" si="169"/>
        <v>Y</v>
      </c>
      <c r="E1556" t="s">
        <v>635</v>
      </c>
      <c r="F1556" t="str">
        <f t="shared" si="170"/>
        <v>2X Week P HBS Pre-Existing</v>
      </c>
      <c r="G1556" t="str">
        <f t="shared" si="171"/>
        <v>Specialty</v>
      </c>
      <c r="H1556" t="s">
        <v>471</v>
      </c>
      <c r="I1556" t="str">
        <f t="shared" si="172"/>
        <v>RETURN - 2nd don of the week -BONUS</v>
      </c>
      <c r="J1556" t="s">
        <v>546</v>
      </c>
      <c r="K1556" s="5">
        <v>30</v>
      </c>
      <c r="L1556" t="str">
        <f>Table_DataFromNL[[#This Row],[PROFILECODE]]&amp;"-"&amp;Table_DataFromNL[[#This Row],[RULENAME]]</f>
        <v>CP869-2X Week P HBS Pre-Existing</v>
      </c>
      <c r="M1556" t="str">
        <f t="shared" si="173"/>
        <v>CP869-2X Week P HBS Pre-Existing</v>
      </c>
    </row>
    <row r="1557" spans="1:13" x14ac:dyDescent="0.25">
      <c r="A1557" t="str">
        <f t="shared" si="174"/>
        <v>CP869-2X Week P HBS TWINRX</v>
      </c>
      <c r="B1557" t="s">
        <v>208</v>
      </c>
      <c r="C1557" t="str">
        <f t="shared" si="168"/>
        <v>Irving</v>
      </c>
      <c r="D1557" t="str">
        <f t="shared" si="169"/>
        <v>Y</v>
      </c>
      <c r="E1557" t="s">
        <v>635</v>
      </c>
      <c r="F1557" t="str">
        <f t="shared" si="170"/>
        <v>2X Week P HBS TWINRX</v>
      </c>
      <c r="G1557" t="str">
        <f t="shared" si="171"/>
        <v>Specialty</v>
      </c>
      <c r="H1557" t="s">
        <v>504</v>
      </c>
      <c r="I1557" t="str">
        <f t="shared" si="172"/>
        <v>RETURN - 2nd don of the week -BONUS</v>
      </c>
      <c r="J1557" t="s">
        <v>546</v>
      </c>
      <c r="K1557" s="5">
        <v>30</v>
      </c>
      <c r="L1557" t="str">
        <f>Table_DataFromNL[[#This Row],[PROFILECODE]]&amp;"-"&amp;Table_DataFromNL[[#This Row],[RULENAME]]</f>
        <v>CP869-2X Week P HBS TWINRX</v>
      </c>
      <c r="M1557" t="str">
        <f t="shared" si="173"/>
        <v>CP869-2X Week P HBS TWINRX</v>
      </c>
    </row>
    <row r="1558" spans="1:13" x14ac:dyDescent="0.25">
      <c r="A1558" t="str">
        <f t="shared" si="174"/>
        <v>CP869-2X Week P HBS TWINRX-AP</v>
      </c>
      <c r="B1558" t="s">
        <v>208</v>
      </c>
      <c r="C1558" t="str">
        <f t="shared" si="168"/>
        <v>Irving</v>
      </c>
      <c r="D1558" t="str">
        <f t="shared" si="169"/>
        <v>Y</v>
      </c>
      <c r="E1558" t="s">
        <v>635</v>
      </c>
      <c r="F1558" t="str">
        <f t="shared" si="170"/>
        <v>2X Week P HBS TWINRX-AP</v>
      </c>
      <c r="G1558" t="str">
        <f t="shared" si="171"/>
        <v>Specialty</v>
      </c>
      <c r="H1558" t="s">
        <v>505</v>
      </c>
      <c r="I1558" t="str">
        <f t="shared" si="172"/>
        <v>RETURN - 2nd don of the week -BONUS</v>
      </c>
      <c r="J1558" t="s">
        <v>546</v>
      </c>
      <c r="K1558" s="5">
        <v>30</v>
      </c>
      <c r="L1558" t="str">
        <f>Table_DataFromNL[[#This Row],[PROFILECODE]]&amp;"-"&amp;Table_DataFromNL[[#This Row],[RULENAME]]</f>
        <v>CP869-2X Week P HBS TWINRX-AP</v>
      </c>
      <c r="M1558" t="str">
        <f t="shared" si="173"/>
        <v>CP869-2X Week P HBS TWINRX-AP</v>
      </c>
    </row>
    <row r="1559" spans="1:13" x14ac:dyDescent="0.25">
      <c r="A1559" t="str">
        <f t="shared" si="174"/>
        <v>CP869-2X Week P NORM KIG10</v>
      </c>
      <c r="B1559" t="s">
        <v>208</v>
      </c>
      <c r="C1559" t="str">
        <f t="shared" si="168"/>
        <v>Irving</v>
      </c>
      <c r="D1559" t="str">
        <f t="shared" si="169"/>
        <v>Y</v>
      </c>
      <c r="E1559" t="s">
        <v>635</v>
      </c>
      <c r="F1559" t="str">
        <f t="shared" si="170"/>
        <v>2X Week P NORM KIG10</v>
      </c>
      <c r="G1559" t="str">
        <f t="shared" si="171"/>
        <v>?</v>
      </c>
      <c r="H1559" t="s">
        <v>547</v>
      </c>
      <c r="I1559" t="str">
        <f t="shared" si="172"/>
        <v>RETURN - 2nd don of the week -BONUS</v>
      </c>
      <c r="J1559" t="s">
        <v>546</v>
      </c>
      <c r="K1559" s="5">
        <v>20</v>
      </c>
      <c r="L1559" t="str">
        <f>Table_DataFromNL[[#This Row],[PROFILECODE]]&amp;"-"&amp;Table_DataFromNL[[#This Row],[RULENAME]]</f>
        <v>CP869-2X Week P NORM KIG10</v>
      </c>
      <c r="M1559" t="e">
        <f t="shared" si="173"/>
        <v>#N/A</v>
      </c>
    </row>
    <row r="1560" spans="1:13" x14ac:dyDescent="0.25">
      <c r="A1560" t="str">
        <f t="shared" si="174"/>
        <v>CP869-2X Week P NORM KIG10-1</v>
      </c>
      <c r="B1560" t="s">
        <v>208</v>
      </c>
      <c r="C1560" t="str">
        <f t="shared" si="168"/>
        <v>Irving</v>
      </c>
      <c r="D1560" t="str">
        <f t="shared" si="169"/>
        <v>Y</v>
      </c>
      <c r="E1560" t="s">
        <v>635</v>
      </c>
      <c r="F1560" t="str">
        <f t="shared" si="170"/>
        <v>2X Week P NORM KIG10-1</v>
      </c>
      <c r="G1560" t="str">
        <f t="shared" si="171"/>
        <v>?</v>
      </c>
      <c r="H1560" t="s">
        <v>548</v>
      </c>
      <c r="I1560" t="str">
        <f t="shared" si="172"/>
        <v>RETURN - 2nd don of the week -BONUS</v>
      </c>
      <c r="J1560" t="s">
        <v>546</v>
      </c>
      <c r="K1560" s="5">
        <v>20</v>
      </c>
      <c r="L1560" t="str">
        <f>Table_DataFromNL[[#This Row],[PROFILECODE]]&amp;"-"&amp;Table_DataFromNL[[#This Row],[RULENAME]]</f>
        <v>CP869-2X Week P NORM KIG10-1</v>
      </c>
      <c r="M1560" t="e">
        <f t="shared" si="173"/>
        <v>#N/A</v>
      </c>
    </row>
    <row r="1561" spans="1:13" x14ac:dyDescent="0.25">
      <c r="A1561" t="str">
        <f t="shared" si="174"/>
        <v>CP869-2X Week P NORM KIG10-2</v>
      </c>
      <c r="B1561" t="s">
        <v>208</v>
      </c>
      <c r="C1561" t="str">
        <f t="shared" si="168"/>
        <v>Irving</v>
      </c>
      <c r="D1561" t="str">
        <f t="shared" si="169"/>
        <v>Y</v>
      </c>
      <c r="E1561" t="s">
        <v>635</v>
      </c>
      <c r="F1561" t="str">
        <f t="shared" si="170"/>
        <v>2X Week P NORM KIG10-2</v>
      </c>
      <c r="G1561" t="str">
        <f t="shared" si="171"/>
        <v>?</v>
      </c>
      <c r="H1561" t="s">
        <v>549</v>
      </c>
      <c r="I1561" t="str">
        <f t="shared" si="172"/>
        <v>RETURN - 2nd don of the week -BONUS</v>
      </c>
      <c r="J1561" t="s">
        <v>546</v>
      </c>
      <c r="K1561" s="5">
        <v>20</v>
      </c>
      <c r="L1561" t="str">
        <f>Table_DataFromNL[[#This Row],[PROFILECODE]]&amp;"-"&amp;Table_DataFromNL[[#This Row],[RULENAME]]</f>
        <v>CP869-2X Week P NORM KIG10-2</v>
      </c>
      <c r="M1561" t="e">
        <f t="shared" si="173"/>
        <v>#N/A</v>
      </c>
    </row>
    <row r="1562" spans="1:13" x14ac:dyDescent="0.25">
      <c r="A1562" t="str">
        <f t="shared" si="174"/>
        <v>CP869-RETURN - 2nd don of the week -BONUS</v>
      </c>
      <c r="B1562" t="s">
        <v>208</v>
      </c>
      <c r="C1562" t="str">
        <f t="shared" si="168"/>
        <v>Irving</v>
      </c>
      <c r="D1562" t="str">
        <f t="shared" si="169"/>
        <v>Y</v>
      </c>
      <c r="E1562" t="s">
        <v>635</v>
      </c>
      <c r="F1562" t="str">
        <f t="shared" si="170"/>
        <v>RETURN - 2nd don of the week -BONUS</v>
      </c>
      <c r="G1562" t="str">
        <f t="shared" si="171"/>
        <v>Marketing</v>
      </c>
      <c r="H1562" t="s">
        <v>550</v>
      </c>
      <c r="I1562">
        <f t="shared" si="172"/>
        <v>26</v>
      </c>
      <c r="J1562" t="s">
        <v>546</v>
      </c>
      <c r="K1562" s="5">
        <v>20</v>
      </c>
      <c r="L1562" t="str">
        <f>Table_DataFromNL[[#This Row],[PROFILECODE]]&amp;"-"&amp;Table_DataFromNL[[#This Row],[RULENAME]]</f>
        <v>CP869-2X Week P NSP NS</v>
      </c>
      <c r="M1562" t="str">
        <f t="shared" si="173"/>
        <v>CP869-RETURN - 2nd don of the week -BONUS</v>
      </c>
    </row>
    <row r="1563" spans="1:13" x14ac:dyDescent="0.25">
      <c r="A1563" t="str">
        <f t="shared" si="174"/>
        <v>CP869-RETURN - 2nd don of the week -BONUS</v>
      </c>
      <c r="B1563" t="s">
        <v>208</v>
      </c>
      <c r="C1563" t="str">
        <f t="shared" si="168"/>
        <v>Irving</v>
      </c>
      <c r="D1563" t="str">
        <f t="shared" si="169"/>
        <v>Y</v>
      </c>
      <c r="E1563" t="s">
        <v>635</v>
      </c>
      <c r="F1563" t="str">
        <f t="shared" si="170"/>
        <v>RETURN - 2nd don of the week -BONUS</v>
      </c>
      <c r="G1563" t="str">
        <f t="shared" si="171"/>
        <v>Marketing</v>
      </c>
      <c r="H1563" t="s">
        <v>551</v>
      </c>
      <c r="I1563" t="str">
        <f t="shared" si="172"/>
        <v>RETURN - 2nd don of the week -BONUS</v>
      </c>
      <c r="J1563" t="s">
        <v>546</v>
      </c>
      <c r="K1563" s="5">
        <v>20</v>
      </c>
      <c r="L1563" t="str">
        <f>Table_DataFromNL[[#This Row],[PROFILECODE]]&amp;"-"&amp;Table_DataFromNL[[#This Row],[RULENAME]]</f>
        <v>CP869-2X Week P NSP NS AP</v>
      </c>
      <c r="M1563" t="str">
        <f t="shared" si="173"/>
        <v>CP869-RETURN - 2nd don of the week -BONUS</v>
      </c>
    </row>
    <row r="1564" spans="1:13" x14ac:dyDescent="0.25">
      <c r="A1564" t="str">
        <f t="shared" si="174"/>
        <v>CP869-RETURN - 6th don of the month -BONUS</v>
      </c>
      <c r="B1564" t="s">
        <v>208</v>
      </c>
      <c r="C1564" t="str">
        <f t="shared" si="168"/>
        <v>Irving</v>
      </c>
      <c r="D1564" t="str">
        <f t="shared" si="169"/>
        <v>Y</v>
      </c>
      <c r="E1564" t="s">
        <v>635</v>
      </c>
      <c r="F1564" t="str">
        <f t="shared" si="170"/>
        <v>RETURN - 6th don of the month -BONUS</v>
      </c>
      <c r="G1564" t="str">
        <f t="shared" si="171"/>
        <v>Marketing</v>
      </c>
      <c r="H1564" t="s">
        <v>552</v>
      </c>
      <c r="I1564">
        <f t="shared" si="172"/>
        <v>28</v>
      </c>
      <c r="J1564" t="s">
        <v>546</v>
      </c>
      <c r="K1564" s="5">
        <v>30</v>
      </c>
      <c r="L1564" t="str">
        <f>Table_DataFromNL[[#This Row],[PROFILECODE]]&amp;"-"&amp;Table_DataFromNL[[#This Row],[RULENAME]]</f>
        <v>CP869-6X Month</v>
      </c>
      <c r="M1564" t="str">
        <f t="shared" si="173"/>
        <v>CP869-RETURN - 6th don of the month -BONUS</v>
      </c>
    </row>
    <row r="1565" spans="1:13" x14ac:dyDescent="0.25">
      <c r="A1565" t="str">
        <f t="shared" si="174"/>
        <v>CP869-College ID Standard Bonus</v>
      </c>
      <c r="B1565" t="s">
        <v>208</v>
      </c>
      <c r="C1565" t="str">
        <f t="shared" si="168"/>
        <v>Irving</v>
      </c>
      <c r="D1565" t="str">
        <f t="shared" si="169"/>
        <v>Y</v>
      </c>
      <c r="E1565" t="s">
        <v>635</v>
      </c>
      <c r="F1565" t="str">
        <f t="shared" si="170"/>
        <v>College ID Standard Bonus</v>
      </c>
      <c r="G1565">
        <f t="shared" si="171"/>
        <v>0</v>
      </c>
      <c r="H1565" t="s">
        <v>553</v>
      </c>
      <c r="I1565">
        <f t="shared" si="172"/>
        <v>0</v>
      </c>
      <c r="J1565" t="s">
        <v>546</v>
      </c>
      <c r="K1565" s="5">
        <v>5</v>
      </c>
      <c r="L1565" t="str">
        <f>Table_DataFromNL[[#This Row],[PROFILECODE]]&amp;"-"&amp;Table_DataFromNL[[#This Row],[RULENAME]]</f>
        <v>CP869-College ID Standard Bonus</v>
      </c>
      <c r="M1565" t="e">
        <f t="shared" si="173"/>
        <v>#N/A</v>
      </c>
    </row>
    <row r="1566" spans="1:13" x14ac:dyDescent="0.25">
      <c r="A1566" t="str">
        <f t="shared" si="174"/>
        <v>CP869-Military ID</v>
      </c>
      <c r="B1566" t="s">
        <v>208</v>
      </c>
      <c r="C1566" t="str">
        <f t="shared" si="168"/>
        <v>Irving</v>
      </c>
      <c r="D1566" t="str">
        <f t="shared" si="169"/>
        <v>Y</v>
      </c>
      <c r="E1566" t="s">
        <v>635</v>
      </c>
      <c r="F1566" t="str">
        <f t="shared" si="170"/>
        <v>Military ID</v>
      </c>
      <c r="G1566">
        <f t="shared" si="171"/>
        <v>0</v>
      </c>
      <c r="H1566" t="s">
        <v>554</v>
      </c>
      <c r="I1566">
        <f t="shared" si="172"/>
        <v>0</v>
      </c>
      <c r="J1566" t="s">
        <v>546</v>
      </c>
      <c r="K1566" s="5">
        <v>5</v>
      </c>
      <c r="L1566" t="str">
        <f>Table_DataFromNL[[#This Row],[PROFILECODE]]&amp;"-"&amp;Table_DataFromNL[[#This Row],[RULENAME]]</f>
        <v>CP869-Military ID</v>
      </c>
      <c r="M1566" t="e">
        <f t="shared" si="173"/>
        <v>#N/A</v>
      </c>
    </row>
    <row r="1567" spans="1:13" x14ac:dyDescent="0.25">
      <c r="A1567" t="str">
        <f t="shared" si="174"/>
        <v>CP869-NEW DONOR -1st</v>
      </c>
      <c r="B1567" t="s">
        <v>208</v>
      </c>
      <c r="C1567" t="str">
        <f t="shared" si="168"/>
        <v>Irving</v>
      </c>
      <c r="D1567" t="str">
        <f t="shared" si="169"/>
        <v>Y</v>
      </c>
      <c r="E1567" t="s">
        <v>635</v>
      </c>
      <c r="F1567" t="str">
        <f t="shared" si="170"/>
        <v>NEW DONOR -1st</v>
      </c>
      <c r="G1567" t="str">
        <f t="shared" si="171"/>
        <v>Marketing</v>
      </c>
      <c r="H1567" t="s">
        <v>555</v>
      </c>
      <c r="I1567">
        <f t="shared" si="172"/>
        <v>1</v>
      </c>
      <c r="J1567" t="s">
        <v>546</v>
      </c>
      <c r="K1567" s="5">
        <v>100</v>
      </c>
      <c r="L1567" t="str">
        <f>Table_DataFromNL[[#This Row],[PROFILECODE]]&amp;"-"&amp;Table_DataFromNL[[#This Row],[RULENAME]]</f>
        <v>CP869-New Donor 1st Visit-Bonus</v>
      </c>
      <c r="M1567" t="str">
        <f t="shared" si="173"/>
        <v>CP869-NEW DONOR -1st</v>
      </c>
    </row>
    <row r="1568" spans="1:13" x14ac:dyDescent="0.25">
      <c r="A1568" t="str">
        <f t="shared" si="174"/>
        <v>CP869-NEW DONOR -2nd</v>
      </c>
      <c r="B1568" t="s">
        <v>208</v>
      </c>
      <c r="C1568" t="str">
        <f t="shared" si="168"/>
        <v>Irving</v>
      </c>
      <c r="D1568" t="str">
        <f t="shared" si="169"/>
        <v>Y</v>
      </c>
      <c r="E1568" t="s">
        <v>635</v>
      </c>
      <c r="F1568" t="str">
        <f t="shared" si="170"/>
        <v>NEW DONOR -2nd</v>
      </c>
      <c r="G1568" t="str">
        <f t="shared" si="171"/>
        <v>Marketing</v>
      </c>
      <c r="H1568" t="s">
        <v>556</v>
      </c>
      <c r="I1568">
        <f t="shared" si="172"/>
        <v>2</v>
      </c>
      <c r="J1568" t="s">
        <v>546</v>
      </c>
      <c r="K1568" s="5">
        <v>100</v>
      </c>
      <c r="L1568" t="str">
        <f>Table_DataFromNL[[#This Row],[PROFILECODE]]&amp;"-"&amp;Table_DataFromNL[[#This Row],[RULENAME]]</f>
        <v>CP869-New Donor 2nd Visit-Bonus</v>
      </c>
      <c r="M1568" t="str">
        <f t="shared" si="173"/>
        <v>CP869-NEW DONOR -2nd</v>
      </c>
    </row>
    <row r="1569" spans="1:13" x14ac:dyDescent="0.25">
      <c r="A1569" t="str">
        <f t="shared" si="174"/>
        <v>CP869-NEW DONOR -3rd</v>
      </c>
      <c r="B1569" t="s">
        <v>208</v>
      </c>
      <c r="C1569" t="str">
        <f t="shared" si="168"/>
        <v>Irving</v>
      </c>
      <c r="D1569" t="str">
        <f t="shared" si="169"/>
        <v>Y</v>
      </c>
      <c r="E1569" t="s">
        <v>635</v>
      </c>
      <c r="F1569" t="str">
        <f t="shared" si="170"/>
        <v>NEW DONOR -3rd</v>
      </c>
      <c r="G1569" t="str">
        <f t="shared" si="171"/>
        <v>Marketing</v>
      </c>
      <c r="H1569" t="s">
        <v>557</v>
      </c>
      <c r="I1569">
        <f t="shared" si="172"/>
        <v>3</v>
      </c>
      <c r="J1569" t="s">
        <v>546</v>
      </c>
      <c r="K1569" s="5">
        <v>100</v>
      </c>
      <c r="L1569" t="str">
        <f>Table_DataFromNL[[#This Row],[PROFILECODE]]&amp;"-"&amp;Table_DataFromNL[[#This Row],[RULENAME]]</f>
        <v>CP869-New Donor 3rd Visit-Bonus</v>
      </c>
      <c r="M1569" t="str">
        <f t="shared" si="173"/>
        <v>CP869-NEW DONOR -3rd</v>
      </c>
    </row>
    <row r="1570" spans="1:13" x14ac:dyDescent="0.25">
      <c r="A1570" t="str">
        <f t="shared" si="174"/>
        <v>CP869-NEW DONOR -4th</v>
      </c>
      <c r="B1570" t="s">
        <v>208</v>
      </c>
      <c r="C1570" t="str">
        <f t="shared" si="168"/>
        <v>Irving</v>
      </c>
      <c r="D1570" t="str">
        <f t="shared" si="169"/>
        <v>Y</v>
      </c>
      <c r="E1570" t="s">
        <v>635</v>
      </c>
      <c r="F1570" t="str">
        <f t="shared" si="170"/>
        <v>NEW DONOR -4th</v>
      </c>
      <c r="G1570" t="str">
        <f t="shared" si="171"/>
        <v>Marketing</v>
      </c>
      <c r="H1570" t="s">
        <v>558</v>
      </c>
      <c r="I1570">
        <f t="shared" si="172"/>
        <v>4</v>
      </c>
      <c r="J1570" t="s">
        <v>546</v>
      </c>
      <c r="K1570" s="5">
        <v>100</v>
      </c>
      <c r="L1570" t="str">
        <f>Table_DataFromNL[[#This Row],[PROFILECODE]]&amp;"-"&amp;Table_DataFromNL[[#This Row],[RULENAME]]</f>
        <v>CP869-New Donor 4th Visit-Bonus</v>
      </c>
      <c r="M1570" t="str">
        <f t="shared" si="173"/>
        <v>CP869-NEW DONOR -4th</v>
      </c>
    </row>
    <row r="1571" spans="1:13" x14ac:dyDescent="0.25">
      <c r="A1571" t="str">
        <f t="shared" si="174"/>
        <v>CP869-NEW DONOR -5th</v>
      </c>
      <c r="B1571" t="s">
        <v>208</v>
      </c>
      <c r="C1571" t="str">
        <f t="shared" si="168"/>
        <v>Irving</v>
      </c>
      <c r="D1571" t="str">
        <f t="shared" si="169"/>
        <v>Y</v>
      </c>
      <c r="E1571" t="s">
        <v>635</v>
      </c>
      <c r="F1571" t="str">
        <f t="shared" si="170"/>
        <v>NEW DONOR -5th</v>
      </c>
      <c r="G1571" t="str">
        <f t="shared" si="171"/>
        <v>Marketing</v>
      </c>
      <c r="H1571" t="s">
        <v>559</v>
      </c>
      <c r="I1571">
        <f t="shared" si="172"/>
        <v>5</v>
      </c>
      <c r="J1571" t="s">
        <v>546</v>
      </c>
      <c r="K1571" s="5">
        <v>100</v>
      </c>
      <c r="L1571" t="str">
        <f>Table_DataFromNL[[#This Row],[PROFILECODE]]&amp;"-"&amp;Table_DataFromNL[[#This Row],[RULENAME]]</f>
        <v>CP869-New Donor 5th Visit-Bonus</v>
      </c>
      <c r="M1571" t="str">
        <f t="shared" si="173"/>
        <v>CP869-NEW DONOR -5th</v>
      </c>
    </row>
    <row r="1572" spans="1:13" x14ac:dyDescent="0.25">
      <c r="A1572" t="str">
        <f t="shared" si="174"/>
        <v>CP869-NEW DONOR -6th</v>
      </c>
      <c r="B1572" t="s">
        <v>208</v>
      </c>
      <c r="C1572" t="str">
        <f t="shared" si="168"/>
        <v>Irving</v>
      </c>
      <c r="D1572" t="str">
        <f t="shared" si="169"/>
        <v>Y</v>
      </c>
      <c r="E1572" t="s">
        <v>635</v>
      </c>
      <c r="F1572" t="str">
        <f t="shared" si="170"/>
        <v>NEW DONOR -6th</v>
      </c>
      <c r="G1572" t="str">
        <f t="shared" si="171"/>
        <v>Marketing</v>
      </c>
      <c r="H1572" t="s">
        <v>560</v>
      </c>
      <c r="I1572">
        <f t="shared" si="172"/>
        <v>6</v>
      </c>
      <c r="J1572" t="s">
        <v>546</v>
      </c>
      <c r="K1572" s="5">
        <v>100</v>
      </c>
      <c r="L1572" t="str">
        <f>Table_DataFromNL[[#This Row],[PROFILECODE]]&amp;"-"&amp;Table_DataFromNL[[#This Row],[RULENAME]]</f>
        <v>CP869-New Donor 6th Visit-Bonus</v>
      </c>
      <c r="M1572" t="str">
        <f t="shared" si="173"/>
        <v>CP869-NEW DONOR -6th</v>
      </c>
    </row>
    <row r="1573" spans="1:13" x14ac:dyDescent="0.25">
      <c r="A1573" t="str">
        <f t="shared" si="174"/>
        <v>CP869-NEW DONOR -7th</v>
      </c>
      <c r="B1573" t="s">
        <v>208</v>
      </c>
      <c r="C1573" t="str">
        <f t="shared" si="168"/>
        <v>Irving</v>
      </c>
      <c r="D1573" t="str">
        <f t="shared" si="169"/>
        <v>Y</v>
      </c>
      <c r="E1573" t="s">
        <v>635</v>
      </c>
      <c r="F1573" t="str">
        <f t="shared" si="170"/>
        <v>NEW DONOR -7th</v>
      </c>
      <c r="G1573" t="str">
        <f t="shared" si="171"/>
        <v>Marketing</v>
      </c>
      <c r="H1573" t="s">
        <v>561</v>
      </c>
      <c r="I1573">
        <f t="shared" si="172"/>
        <v>7</v>
      </c>
      <c r="J1573" t="s">
        <v>546</v>
      </c>
      <c r="K1573" s="5">
        <v>50</v>
      </c>
      <c r="L1573" t="str">
        <f>Table_DataFromNL[[#This Row],[PROFILECODE]]&amp;"-"&amp;Table_DataFromNL[[#This Row],[RULENAME]]</f>
        <v>CP869-New Donor 7th Visit-Bonus</v>
      </c>
      <c r="M1573" t="str">
        <f t="shared" si="173"/>
        <v>CP869-NEW DONOR -7th</v>
      </c>
    </row>
    <row r="1574" spans="1:13" x14ac:dyDescent="0.25">
      <c r="A1574" t="str">
        <f t="shared" si="174"/>
        <v>CP869-NEW DONOR -8th</v>
      </c>
      <c r="B1574" t="s">
        <v>208</v>
      </c>
      <c r="C1574" t="str">
        <f t="shared" si="168"/>
        <v>Irving</v>
      </c>
      <c r="D1574" t="str">
        <f t="shared" si="169"/>
        <v>Y</v>
      </c>
      <c r="E1574" t="s">
        <v>635</v>
      </c>
      <c r="F1574" t="str">
        <f t="shared" si="170"/>
        <v>NEW DONOR -8th</v>
      </c>
      <c r="G1574" t="str">
        <f t="shared" si="171"/>
        <v>Marketing</v>
      </c>
      <c r="H1574" t="s">
        <v>562</v>
      </c>
      <c r="I1574">
        <f t="shared" si="172"/>
        <v>8</v>
      </c>
      <c r="J1574" t="s">
        <v>546</v>
      </c>
      <c r="K1574" s="5">
        <v>50</v>
      </c>
      <c r="L1574" t="str">
        <f>Table_DataFromNL[[#This Row],[PROFILECODE]]&amp;"-"&amp;Table_DataFromNL[[#This Row],[RULENAME]]</f>
        <v>CP869-New Donor 8th Visit-Bonus</v>
      </c>
      <c r="M1574" t="str">
        <f t="shared" si="173"/>
        <v>CP869-NEW DONOR -8th</v>
      </c>
    </row>
    <row r="1575" spans="1:13" x14ac:dyDescent="0.25">
      <c r="A1575" t="str">
        <f t="shared" si="174"/>
        <v>CP869-Community</v>
      </c>
      <c r="B1575" t="s">
        <v>208</v>
      </c>
      <c r="C1575" t="str">
        <f t="shared" si="168"/>
        <v>Irving</v>
      </c>
      <c r="D1575" t="str">
        <f t="shared" si="169"/>
        <v>Y</v>
      </c>
      <c r="E1575" t="s">
        <v>635</v>
      </c>
      <c r="F1575" t="str">
        <f t="shared" si="170"/>
        <v>Community</v>
      </c>
      <c r="G1575">
        <f t="shared" si="171"/>
        <v>0</v>
      </c>
      <c r="H1575" t="s">
        <v>563</v>
      </c>
      <c r="I1575">
        <f t="shared" si="172"/>
        <v>0</v>
      </c>
      <c r="J1575" t="s">
        <v>564</v>
      </c>
      <c r="K1575" s="5">
        <v>5</v>
      </c>
      <c r="L1575" t="str">
        <f>Table_DataFromNL[[#This Row],[PROFILECODE]]&amp;"-"&amp;Table_DataFromNL[[#This Row],[RULENAME]]</f>
        <v>CP869-Community</v>
      </c>
      <c r="M1575" t="e">
        <f t="shared" si="173"/>
        <v>#N/A</v>
      </c>
    </row>
    <row r="1576" spans="1:13" x14ac:dyDescent="0.25">
      <c r="A1576" t="str">
        <f t="shared" si="174"/>
        <v>CP869-HANGER_RECRUIT_5USD_once</v>
      </c>
      <c r="B1576" t="s">
        <v>208</v>
      </c>
      <c r="C1576" t="str">
        <f t="shared" si="168"/>
        <v>Irving</v>
      </c>
      <c r="D1576" t="str">
        <f t="shared" si="169"/>
        <v>Y</v>
      </c>
      <c r="E1576" t="s">
        <v>635</v>
      </c>
      <c r="F1576" t="str">
        <f t="shared" si="170"/>
        <v>HANGER_RECRUIT_5USD_once</v>
      </c>
      <c r="G1576">
        <f t="shared" si="171"/>
        <v>0</v>
      </c>
      <c r="H1576" t="s">
        <v>565</v>
      </c>
      <c r="I1576">
        <f t="shared" si="172"/>
        <v>0</v>
      </c>
      <c r="J1576" t="s">
        <v>564</v>
      </c>
      <c r="K1576" s="5">
        <v>5</v>
      </c>
      <c r="L1576" t="str">
        <f>Table_DataFromNL[[#This Row],[PROFILECODE]]&amp;"-"&amp;Table_DataFromNL[[#This Row],[RULENAME]]</f>
        <v>CP869-HANGER_RECRUIT_5USD_once</v>
      </c>
      <c r="M1576" t="e">
        <f t="shared" si="173"/>
        <v>#N/A</v>
      </c>
    </row>
    <row r="1577" spans="1:13" x14ac:dyDescent="0.25">
      <c r="A1577" t="str">
        <f t="shared" si="174"/>
        <v>CP869-Immunization Boost Payment</v>
      </c>
      <c r="B1577" t="s">
        <v>208</v>
      </c>
      <c r="C1577" t="str">
        <f t="shared" si="168"/>
        <v>Irving</v>
      </c>
      <c r="D1577" t="str">
        <f t="shared" si="169"/>
        <v>Y</v>
      </c>
      <c r="E1577" t="s">
        <v>635</v>
      </c>
      <c r="F1577" t="str">
        <f t="shared" si="170"/>
        <v>Immunization Boost Payment</v>
      </c>
      <c r="G1577">
        <f t="shared" si="171"/>
        <v>0</v>
      </c>
      <c r="H1577" t="s">
        <v>598</v>
      </c>
      <c r="I1577">
        <f t="shared" si="172"/>
        <v>0</v>
      </c>
      <c r="J1577" t="s">
        <v>564</v>
      </c>
      <c r="K1577" s="5">
        <v>50</v>
      </c>
      <c r="L1577" t="str">
        <f>Table_DataFromNL[[#This Row],[PROFILECODE]]&amp;"-"&amp;Table_DataFromNL[[#This Row],[RULENAME]]</f>
        <v>CP869-Immunization Boost Payment</v>
      </c>
      <c r="M1577" t="e">
        <f t="shared" si="173"/>
        <v>#N/A</v>
      </c>
    </row>
    <row r="1578" spans="1:13" x14ac:dyDescent="0.25">
      <c r="A1578" t="str">
        <f t="shared" si="174"/>
        <v>CP869-Immunization Series Payment</v>
      </c>
      <c r="B1578" t="s">
        <v>208</v>
      </c>
      <c r="C1578" t="str">
        <f t="shared" si="168"/>
        <v>Irving</v>
      </c>
      <c r="D1578" t="str">
        <f t="shared" si="169"/>
        <v>Y</v>
      </c>
      <c r="E1578" t="s">
        <v>635</v>
      </c>
      <c r="F1578" t="str">
        <f t="shared" si="170"/>
        <v>Immunization Series Payment</v>
      </c>
      <c r="G1578">
        <f t="shared" si="171"/>
        <v>0</v>
      </c>
      <c r="H1578" t="s">
        <v>599</v>
      </c>
      <c r="I1578">
        <f t="shared" si="172"/>
        <v>0</v>
      </c>
      <c r="J1578" t="s">
        <v>564</v>
      </c>
      <c r="K1578" s="5">
        <v>100</v>
      </c>
      <c r="L1578" t="str">
        <f>Table_DataFromNL[[#This Row],[PROFILECODE]]&amp;"-"&amp;Table_DataFromNL[[#This Row],[RULENAME]]</f>
        <v>CP869-Immunization Series Payment</v>
      </c>
      <c r="M1578" t="e">
        <f t="shared" si="173"/>
        <v>#N/A</v>
      </c>
    </row>
    <row r="1579" spans="1:13" x14ac:dyDescent="0.25">
      <c r="A1579" t="str">
        <f t="shared" si="174"/>
        <v>CP869-Inconv Fee $20-$50-Comment Req'd</v>
      </c>
      <c r="B1579" t="s">
        <v>208</v>
      </c>
      <c r="C1579" t="str">
        <f t="shared" si="168"/>
        <v>Irving</v>
      </c>
      <c r="D1579" t="str">
        <f t="shared" si="169"/>
        <v>Y</v>
      </c>
      <c r="E1579" t="s">
        <v>635</v>
      </c>
      <c r="F1579" t="str">
        <f t="shared" si="170"/>
        <v>Inconv Fee $20-$50-Comment Req'd</v>
      </c>
      <c r="G1579">
        <f t="shared" si="171"/>
        <v>0</v>
      </c>
      <c r="H1579" t="s">
        <v>566</v>
      </c>
      <c r="I1579">
        <f t="shared" si="172"/>
        <v>0</v>
      </c>
      <c r="J1579" t="s">
        <v>564</v>
      </c>
      <c r="K1579" s="5">
        <v>50</v>
      </c>
      <c r="L1579" t="str">
        <f>Table_DataFromNL[[#This Row],[PROFILECODE]]&amp;"-"&amp;Table_DataFromNL[[#This Row],[RULENAME]]</f>
        <v>CP869-Inconv Fee $20-$50-Comment Req'd</v>
      </c>
      <c r="M1579" t="e">
        <f t="shared" si="173"/>
        <v>#N/A</v>
      </c>
    </row>
    <row r="1580" spans="1:13" x14ac:dyDescent="0.25">
      <c r="A1580" t="str">
        <f t="shared" si="174"/>
        <v>CP869-Inconv Fee $5-$20-Comment Req'd</v>
      </c>
      <c r="B1580" t="s">
        <v>208</v>
      </c>
      <c r="C1580" t="str">
        <f t="shared" si="168"/>
        <v>Irving</v>
      </c>
      <c r="D1580" t="str">
        <f t="shared" si="169"/>
        <v>Y</v>
      </c>
      <c r="E1580" t="s">
        <v>635</v>
      </c>
      <c r="F1580" t="str">
        <f t="shared" si="170"/>
        <v>Inconv Fee $5-$20-Comment Req'd</v>
      </c>
      <c r="G1580">
        <f t="shared" si="171"/>
        <v>0</v>
      </c>
      <c r="H1580" t="s">
        <v>567</v>
      </c>
      <c r="I1580">
        <f t="shared" si="172"/>
        <v>0</v>
      </c>
      <c r="J1580" t="s">
        <v>564</v>
      </c>
      <c r="K1580" s="5">
        <v>20</v>
      </c>
      <c r="L1580" t="str">
        <f>Table_DataFromNL[[#This Row],[PROFILECODE]]&amp;"-"&amp;Table_DataFromNL[[#This Row],[RULENAME]]</f>
        <v>CP869-Inconv Fee $5-$20-Comment Req'd</v>
      </c>
      <c r="M1580" t="e">
        <f t="shared" si="173"/>
        <v>#N/A</v>
      </c>
    </row>
    <row r="1581" spans="1:13" x14ac:dyDescent="0.25">
      <c r="A1581" t="str">
        <f t="shared" si="174"/>
        <v>CP869-Inconv Fee$50-$100-Comment Req'd</v>
      </c>
      <c r="B1581" t="s">
        <v>208</v>
      </c>
      <c r="C1581" t="str">
        <f t="shared" si="168"/>
        <v>Irving</v>
      </c>
      <c r="D1581" t="str">
        <f t="shared" si="169"/>
        <v>Y</v>
      </c>
      <c r="E1581" t="s">
        <v>635</v>
      </c>
      <c r="F1581" t="str">
        <f t="shared" si="170"/>
        <v>Inconv Fee$50-$100-Comment Req'd</v>
      </c>
      <c r="G1581">
        <f t="shared" si="171"/>
        <v>0</v>
      </c>
      <c r="H1581" t="s">
        <v>568</v>
      </c>
      <c r="I1581">
        <f t="shared" si="172"/>
        <v>0</v>
      </c>
      <c r="J1581" t="s">
        <v>564</v>
      </c>
      <c r="K1581" s="5">
        <v>100</v>
      </c>
      <c r="L1581" t="str">
        <f>Table_DataFromNL[[#This Row],[PROFILECODE]]&amp;"-"&amp;Table_DataFromNL[[#This Row],[RULENAME]]</f>
        <v>CP869-Inconv Fee$50-$100-Comment Req'd</v>
      </c>
      <c r="M1581" t="e">
        <f t="shared" si="173"/>
        <v>#N/A</v>
      </c>
    </row>
    <row r="1582" spans="1:13" x14ac:dyDescent="0.25">
      <c r="A1582" t="str">
        <f t="shared" si="174"/>
        <v>CP869-NSP_ LAPSEDONOR_50_Twice</v>
      </c>
      <c r="B1582" t="s">
        <v>208</v>
      </c>
      <c r="C1582" t="str">
        <f t="shared" si="168"/>
        <v>Irving</v>
      </c>
      <c r="D1582" t="str">
        <f t="shared" si="169"/>
        <v>Y</v>
      </c>
      <c r="E1582" t="s">
        <v>635</v>
      </c>
      <c r="F1582" t="str">
        <f t="shared" si="170"/>
        <v>NSP_ LAPSEDONOR_50_Twice</v>
      </c>
      <c r="G1582">
        <f t="shared" si="171"/>
        <v>0</v>
      </c>
      <c r="H1582" t="s">
        <v>569</v>
      </c>
      <c r="I1582">
        <f t="shared" si="172"/>
        <v>0</v>
      </c>
      <c r="J1582" t="s">
        <v>564</v>
      </c>
      <c r="K1582" s="5">
        <v>50</v>
      </c>
      <c r="L1582" t="str">
        <f>Table_DataFromNL[[#This Row],[PROFILECODE]]&amp;"-"&amp;Table_DataFromNL[[#This Row],[RULENAME]]</f>
        <v>CP869-NSP_ LAPSEDONOR_50_Twice</v>
      </c>
      <c r="M1582" t="e">
        <f t="shared" si="173"/>
        <v>#N/A</v>
      </c>
    </row>
    <row r="1583" spans="1:13" x14ac:dyDescent="0.25">
      <c r="A1583" t="str">
        <f t="shared" si="174"/>
        <v>CP869-NSP_LD_25_2X</v>
      </c>
      <c r="B1583" t="s">
        <v>208</v>
      </c>
      <c r="C1583" t="str">
        <f t="shared" si="168"/>
        <v>Irving</v>
      </c>
      <c r="D1583" t="str">
        <f t="shared" si="169"/>
        <v>Y</v>
      </c>
      <c r="E1583" t="s">
        <v>635</v>
      </c>
      <c r="F1583" t="str">
        <f t="shared" si="170"/>
        <v>NSP_LD_25_2X</v>
      </c>
      <c r="G1583">
        <f t="shared" si="171"/>
        <v>0</v>
      </c>
      <c r="H1583" t="s">
        <v>570</v>
      </c>
      <c r="I1583">
        <f t="shared" si="172"/>
        <v>0</v>
      </c>
      <c r="J1583" t="s">
        <v>564</v>
      </c>
      <c r="K1583" s="5">
        <v>25</v>
      </c>
      <c r="L1583" t="str">
        <f>Table_DataFromNL[[#This Row],[PROFILECODE]]&amp;"-"&amp;Table_DataFromNL[[#This Row],[RULENAME]]</f>
        <v>CP869-NSP_LD_25_2X</v>
      </c>
      <c r="M1583" t="e">
        <f t="shared" si="173"/>
        <v>#N/A</v>
      </c>
    </row>
    <row r="1584" spans="1:13" x14ac:dyDescent="0.25">
      <c r="A1584" t="str">
        <f t="shared" si="174"/>
        <v>CP869-NSP_LD_50_1X</v>
      </c>
      <c r="B1584" t="s">
        <v>208</v>
      </c>
      <c r="C1584" t="str">
        <f t="shared" si="168"/>
        <v>Irving</v>
      </c>
      <c r="D1584" t="str">
        <f t="shared" si="169"/>
        <v>Y</v>
      </c>
      <c r="E1584" t="s">
        <v>635</v>
      </c>
      <c r="F1584" t="str">
        <f t="shared" si="170"/>
        <v>NSP_LD_50_1X</v>
      </c>
      <c r="G1584">
        <f t="shared" si="171"/>
        <v>0</v>
      </c>
      <c r="H1584" t="s">
        <v>571</v>
      </c>
      <c r="I1584">
        <f t="shared" si="172"/>
        <v>0</v>
      </c>
      <c r="J1584" t="s">
        <v>564</v>
      </c>
      <c r="K1584" s="5">
        <v>50</v>
      </c>
      <c r="L1584" t="str">
        <f>Table_DataFromNL[[#This Row],[PROFILECODE]]&amp;"-"&amp;Table_DataFromNL[[#This Row],[RULENAME]]</f>
        <v>CP869-NSP_LD_50_1X</v>
      </c>
      <c r="M1584" t="e">
        <f t="shared" si="173"/>
        <v>#N/A</v>
      </c>
    </row>
    <row r="1585" spans="1:13" x14ac:dyDescent="0.25">
      <c r="A1585" t="str">
        <f t="shared" si="174"/>
        <v>CP869-NSP_ORPHAN_100_once</v>
      </c>
      <c r="B1585" t="s">
        <v>208</v>
      </c>
      <c r="C1585" t="str">
        <f t="shared" si="168"/>
        <v>Irving</v>
      </c>
      <c r="D1585" t="str">
        <f t="shared" si="169"/>
        <v>Y</v>
      </c>
      <c r="E1585" t="s">
        <v>635</v>
      </c>
      <c r="F1585" t="str">
        <f t="shared" si="170"/>
        <v>NSP_ORPHAN_100_once</v>
      </c>
      <c r="G1585">
        <f t="shared" si="171"/>
        <v>0</v>
      </c>
      <c r="H1585" t="s">
        <v>572</v>
      </c>
      <c r="I1585">
        <f t="shared" si="172"/>
        <v>0</v>
      </c>
      <c r="J1585" t="s">
        <v>564</v>
      </c>
      <c r="K1585" s="5">
        <v>100</v>
      </c>
      <c r="L1585" t="str">
        <f>Table_DataFromNL[[#This Row],[PROFILECODE]]&amp;"-"&amp;Table_DataFromNL[[#This Row],[RULENAME]]</f>
        <v>CP869-NSP_ORPHAN_100_once</v>
      </c>
      <c r="M1585" t="e">
        <f t="shared" si="173"/>
        <v>#N/A</v>
      </c>
    </row>
    <row r="1586" spans="1:13" x14ac:dyDescent="0.25">
      <c r="A1586" t="str">
        <f t="shared" si="174"/>
        <v>CP869-Restick</v>
      </c>
      <c r="B1586" t="s">
        <v>208</v>
      </c>
      <c r="C1586" t="str">
        <f t="shared" si="168"/>
        <v>Irving</v>
      </c>
      <c r="D1586" t="str">
        <f t="shared" si="169"/>
        <v>Y</v>
      </c>
      <c r="E1586" t="s">
        <v>635</v>
      </c>
      <c r="F1586" t="str">
        <f t="shared" si="170"/>
        <v>Restick</v>
      </c>
      <c r="G1586">
        <f t="shared" si="171"/>
        <v>0</v>
      </c>
      <c r="H1586" t="s">
        <v>573</v>
      </c>
      <c r="I1586">
        <f t="shared" si="172"/>
        <v>0</v>
      </c>
      <c r="J1586" t="s">
        <v>564</v>
      </c>
      <c r="K1586" s="5">
        <v>5</v>
      </c>
      <c r="L1586" t="str">
        <f>Table_DataFromNL[[#This Row],[PROFILECODE]]&amp;"-"&amp;Table_DataFromNL[[#This Row],[RULENAME]]</f>
        <v>CP869-Restick</v>
      </c>
      <c r="M1586" t="e">
        <f t="shared" si="173"/>
        <v>#N/A</v>
      </c>
    </row>
    <row r="1587" spans="1:13" x14ac:dyDescent="0.25">
      <c r="A1587" t="str">
        <f t="shared" si="174"/>
        <v>CP869-SCRATCH_100_USD</v>
      </c>
      <c r="B1587" t="s">
        <v>208</v>
      </c>
      <c r="C1587" t="str">
        <f t="shared" si="168"/>
        <v>Irving</v>
      </c>
      <c r="D1587" t="str">
        <f t="shared" si="169"/>
        <v>Y</v>
      </c>
      <c r="E1587" t="s">
        <v>635</v>
      </c>
      <c r="F1587" t="str">
        <f t="shared" si="170"/>
        <v>SCRATCH_100_USD</v>
      </c>
      <c r="G1587">
        <f t="shared" si="171"/>
        <v>0</v>
      </c>
      <c r="H1587" t="s">
        <v>586</v>
      </c>
      <c r="I1587">
        <f t="shared" si="172"/>
        <v>0</v>
      </c>
      <c r="J1587" t="s">
        <v>564</v>
      </c>
      <c r="K1587" s="5">
        <v>100</v>
      </c>
      <c r="L1587" t="str">
        <f>Table_DataFromNL[[#This Row],[PROFILECODE]]&amp;"-"&amp;Table_DataFromNL[[#This Row],[RULENAME]]</f>
        <v>CP869-SCRATCH_100_USD</v>
      </c>
      <c r="M1587" t="e">
        <f t="shared" si="173"/>
        <v>#N/A</v>
      </c>
    </row>
    <row r="1588" spans="1:13" x14ac:dyDescent="0.25">
      <c r="A1588" t="str">
        <f t="shared" si="174"/>
        <v>CP869-SCRATCH_10_USD</v>
      </c>
      <c r="B1588" t="s">
        <v>208</v>
      </c>
      <c r="C1588" t="str">
        <f t="shared" si="168"/>
        <v>Irving</v>
      </c>
      <c r="D1588" t="str">
        <f t="shared" si="169"/>
        <v>Y</v>
      </c>
      <c r="E1588" t="s">
        <v>635</v>
      </c>
      <c r="F1588" t="str">
        <f t="shared" si="170"/>
        <v>SCRATCH_10_USD</v>
      </c>
      <c r="G1588">
        <f t="shared" si="171"/>
        <v>0</v>
      </c>
      <c r="H1588" t="s">
        <v>587</v>
      </c>
      <c r="I1588">
        <f t="shared" si="172"/>
        <v>0</v>
      </c>
      <c r="J1588" t="s">
        <v>564</v>
      </c>
      <c r="K1588" s="5">
        <v>10</v>
      </c>
      <c r="L1588" t="str">
        <f>Table_DataFromNL[[#This Row],[PROFILECODE]]&amp;"-"&amp;Table_DataFromNL[[#This Row],[RULENAME]]</f>
        <v>CP869-SCRATCH_10_USD</v>
      </c>
      <c r="M1588" t="e">
        <f t="shared" si="173"/>
        <v>#N/A</v>
      </c>
    </row>
    <row r="1589" spans="1:13" x14ac:dyDescent="0.25">
      <c r="A1589" t="str">
        <f t="shared" si="174"/>
        <v>CP869-SCRATCH_20_USD</v>
      </c>
      <c r="B1589" t="s">
        <v>208</v>
      </c>
      <c r="C1589" t="str">
        <f t="shared" si="168"/>
        <v>Irving</v>
      </c>
      <c r="D1589" t="str">
        <f t="shared" si="169"/>
        <v>Y</v>
      </c>
      <c r="E1589" t="s">
        <v>635</v>
      </c>
      <c r="F1589" t="str">
        <f t="shared" si="170"/>
        <v>SCRATCH_20_USD</v>
      </c>
      <c r="G1589">
        <f t="shared" si="171"/>
        <v>0</v>
      </c>
      <c r="H1589" t="s">
        <v>588</v>
      </c>
      <c r="I1589">
        <f t="shared" si="172"/>
        <v>0</v>
      </c>
      <c r="J1589" t="s">
        <v>564</v>
      </c>
      <c r="K1589" s="5">
        <v>20</v>
      </c>
      <c r="L1589" t="str">
        <f>Table_DataFromNL[[#This Row],[PROFILECODE]]&amp;"-"&amp;Table_DataFromNL[[#This Row],[RULENAME]]</f>
        <v>CP869-SCRATCH_20_USD</v>
      </c>
      <c r="M1589" t="e">
        <f t="shared" si="173"/>
        <v>#N/A</v>
      </c>
    </row>
    <row r="1590" spans="1:13" x14ac:dyDescent="0.25">
      <c r="A1590" t="str">
        <f t="shared" si="174"/>
        <v>CP869-SCRATCH_25_USD</v>
      </c>
      <c r="B1590" t="s">
        <v>208</v>
      </c>
      <c r="C1590" t="str">
        <f t="shared" si="168"/>
        <v>Irving</v>
      </c>
      <c r="D1590" t="str">
        <f t="shared" si="169"/>
        <v>Y</v>
      </c>
      <c r="E1590" t="s">
        <v>635</v>
      </c>
      <c r="F1590" t="str">
        <f t="shared" si="170"/>
        <v>SCRATCH_25_USD</v>
      </c>
      <c r="G1590">
        <f t="shared" si="171"/>
        <v>0</v>
      </c>
      <c r="H1590" t="s">
        <v>589</v>
      </c>
      <c r="I1590">
        <f t="shared" si="172"/>
        <v>0</v>
      </c>
      <c r="J1590" t="s">
        <v>564</v>
      </c>
      <c r="K1590" s="5">
        <v>25</v>
      </c>
      <c r="L1590" t="str">
        <f>Table_DataFromNL[[#This Row],[PROFILECODE]]&amp;"-"&amp;Table_DataFromNL[[#This Row],[RULENAME]]</f>
        <v>CP869-SCRATCH_25_USD</v>
      </c>
      <c r="M1590" t="e">
        <f t="shared" si="173"/>
        <v>#N/A</v>
      </c>
    </row>
    <row r="1591" spans="1:13" x14ac:dyDescent="0.25">
      <c r="A1591" t="str">
        <f t="shared" si="174"/>
        <v>CP869-SCRATCH_50_USD</v>
      </c>
      <c r="B1591" t="s">
        <v>208</v>
      </c>
      <c r="C1591" t="str">
        <f t="shared" si="168"/>
        <v>Irving</v>
      </c>
      <c r="D1591" t="str">
        <f t="shared" si="169"/>
        <v>Y</v>
      </c>
      <c r="E1591" t="s">
        <v>635</v>
      </c>
      <c r="F1591" t="str">
        <f t="shared" si="170"/>
        <v>SCRATCH_50_USD</v>
      </c>
      <c r="G1591">
        <f t="shared" si="171"/>
        <v>0</v>
      </c>
      <c r="H1591" t="s">
        <v>590</v>
      </c>
      <c r="I1591">
        <f t="shared" si="172"/>
        <v>0</v>
      </c>
      <c r="J1591" t="s">
        <v>564</v>
      </c>
      <c r="K1591" s="5">
        <v>50</v>
      </c>
      <c r="L1591" t="str">
        <f>Table_DataFromNL[[#This Row],[PROFILECODE]]&amp;"-"&amp;Table_DataFromNL[[#This Row],[RULENAME]]</f>
        <v>CP869-SCRATCH_50_USD</v>
      </c>
      <c r="M1591" t="e">
        <f t="shared" si="173"/>
        <v>#N/A</v>
      </c>
    </row>
    <row r="1592" spans="1:13" x14ac:dyDescent="0.25">
      <c r="A1592" t="str">
        <f t="shared" si="174"/>
        <v>CP869-SCRATCH_5_USD</v>
      </c>
      <c r="B1592" t="s">
        <v>208</v>
      </c>
      <c r="C1592" t="str">
        <f t="shared" si="168"/>
        <v>Irving</v>
      </c>
      <c r="D1592" t="str">
        <f t="shared" si="169"/>
        <v>Y</v>
      </c>
      <c r="E1592" t="s">
        <v>635</v>
      </c>
      <c r="F1592" t="str">
        <f t="shared" si="170"/>
        <v>SCRATCH_5_USD</v>
      </c>
      <c r="G1592">
        <f t="shared" si="171"/>
        <v>0</v>
      </c>
      <c r="H1592" t="s">
        <v>591</v>
      </c>
      <c r="I1592">
        <f t="shared" si="172"/>
        <v>0</v>
      </c>
      <c r="J1592" t="s">
        <v>564</v>
      </c>
      <c r="K1592" s="5">
        <v>5</v>
      </c>
      <c r="L1592" t="str">
        <f>Table_DataFromNL[[#This Row],[PROFILECODE]]&amp;"-"&amp;Table_DataFromNL[[#This Row],[RULENAME]]</f>
        <v>CP869-SCRATCH_5_USD</v>
      </c>
      <c r="M1592" t="e">
        <f t="shared" si="173"/>
        <v>#N/A</v>
      </c>
    </row>
    <row r="1593" spans="1:13" x14ac:dyDescent="0.25">
      <c r="A1593" t="str">
        <f t="shared" si="174"/>
        <v>CP869-SLOW_TEXT_5</v>
      </c>
      <c r="B1593" t="s">
        <v>208</v>
      </c>
      <c r="C1593" t="str">
        <f t="shared" si="168"/>
        <v>Irving</v>
      </c>
      <c r="D1593" t="str">
        <f t="shared" si="169"/>
        <v>Y</v>
      </c>
      <c r="E1593" t="s">
        <v>635</v>
      </c>
      <c r="F1593" t="str">
        <f t="shared" si="170"/>
        <v>SLOW_TEXT_5</v>
      </c>
      <c r="G1593">
        <f t="shared" si="171"/>
        <v>0</v>
      </c>
      <c r="H1593" t="s">
        <v>574</v>
      </c>
      <c r="I1593">
        <f t="shared" si="172"/>
        <v>0</v>
      </c>
      <c r="J1593" t="s">
        <v>564</v>
      </c>
      <c r="K1593" s="5">
        <v>5</v>
      </c>
      <c r="L1593" t="str">
        <f>Table_DataFromNL[[#This Row],[PROFILECODE]]&amp;"-"&amp;Table_DataFromNL[[#This Row],[RULENAME]]</f>
        <v>CP869-SLOW_TEXT_5</v>
      </c>
      <c r="M1593" t="e">
        <f t="shared" si="173"/>
        <v>#N/A</v>
      </c>
    </row>
    <row r="1594" spans="1:13" x14ac:dyDescent="0.25">
      <c r="A1594" t="str">
        <f t="shared" si="174"/>
        <v>CP869-Sample Only</v>
      </c>
      <c r="B1594" t="s">
        <v>208</v>
      </c>
      <c r="C1594" t="str">
        <f t="shared" si="168"/>
        <v>Irving</v>
      </c>
      <c r="D1594" t="str">
        <f t="shared" si="169"/>
        <v>Y</v>
      </c>
      <c r="E1594" t="s">
        <v>635</v>
      </c>
      <c r="F1594" t="str">
        <f t="shared" si="170"/>
        <v>Sample Only</v>
      </c>
      <c r="G1594">
        <f t="shared" si="171"/>
        <v>0</v>
      </c>
      <c r="H1594" t="s">
        <v>575</v>
      </c>
      <c r="I1594">
        <f t="shared" si="172"/>
        <v>0</v>
      </c>
      <c r="J1594" t="s">
        <v>564</v>
      </c>
      <c r="K1594" s="5">
        <v>5</v>
      </c>
      <c r="L1594" t="str">
        <f>Table_DataFromNL[[#This Row],[PROFILECODE]]&amp;"-"&amp;Table_DataFromNL[[#This Row],[RULENAME]]</f>
        <v>CP869-Sample Only</v>
      </c>
      <c r="M1594" t="e">
        <f t="shared" si="173"/>
        <v>#N/A</v>
      </c>
    </row>
    <row r="1595" spans="1:13" x14ac:dyDescent="0.25">
      <c r="A1595" t="str">
        <f t="shared" si="174"/>
        <v>CP869-Unit Below 250 mL</v>
      </c>
      <c r="B1595" t="s">
        <v>208</v>
      </c>
      <c r="C1595" t="str">
        <f t="shared" si="168"/>
        <v>Irving</v>
      </c>
      <c r="D1595" t="str">
        <f t="shared" si="169"/>
        <v>Y</v>
      </c>
      <c r="E1595" t="s">
        <v>635</v>
      </c>
      <c r="F1595" t="str">
        <f t="shared" si="170"/>
        <v>Unit Below 250 mL</v>
      </c>
      <c r="G1595">
        <f t="shared" si="171"/>
        <v>0</v>
      </c>
      <c r="H1595" t="s">
        <v>576</v>
      </c>
      <c r="I1595">
        <f t="shared" si="172"/>
        <v>0</v>
      </c>
      <c r="J1595" t="s">
        <v>564</v>
      </c>
      <c r="K1595" s="5">
        <v>5</v>
      </c>
      <c r="L1595" t="str">
        <f>Table_DataFromNL[[#This Row],[PROFILECODE]]&amp;"-"&amp;Table_DataFromNL[[#This Row],[RULENAME]]</f>
        <v>CP869-Unit Below 250 mL</v>
      </c>
      <c r="M1595" t="e">
        <f t="shared" si="173"/>
        <v>#N/A</v>
      </c>
    </row>
    <row r="1596" spans="1:13" x14ac:dyDescent="0.25">
      <c r="A1596" t="str">
        <f t="shared" si="174"/>
        <v>CP869-Unit above 250 mL/underdraw</v>
      </c>
      <c r="B1596" t="s">
        <v>208</v>
      </c>
      <c r="C1596" t="str">
        <f t="shared" si="168"/>
        <v>Irving</v>
      </c>
      <c r="D1596" t="str">
        <f t="shared" si="169"/>
        <v>Y</v>
      </c>
      <c r="E1596" t="s">
        <v>635</v>
      </c>
      <c r="F1596" t="str">
        <f t="shared" si="170"/>
        <v>Unit above 250 mL/underdraw</v>
      </c>
      <c r="G1596">
        <f t="shared" si="171"/>
        <v>0</v>
      </c>
      <c r="H1596" t="s">
        <v>577</v>
      </c>
      <c r="I1596">
        <f t="shared" si="172"/>
        <v>0</v>
      </c>
      <c r="J1596" t="s">
        <v>564</v>
      </c>
      <c r="K1596" s="5">
        <v>10</v>
      </c>
      <c r="L1596" t="str">
        <f>Table_DataFromNL[[#This Row],[PROFILECODE]]&amp;"-"&amp;Table_DataFromNL[[#This Row],[RULENAME]]</f>
        <v>CP869-Unit above 250 mL/underdraw</v>
      </c>
      <c r="M1596" t="e">
        <f t="shared" si="173"/>
        <v>#N/A</v>
      </c>
    </row>
    <row r="1597" spans="1:13" x14ac:dyDescent="0.25">
      <c r="A1597" t="str">
        <f t="shared" si="174"/>
        <v>CP869-RETURN - Buddy referral  -BONUS</v>
      </c>
      <c r="B1597" t="s">
        <v>208</v>
      </c>
      <c r="C1597" t="str">
        <f t="shared" si="168"/>
        <v>Irving</v>
      </c>
      <c r="D1597" t="str">
        <f t="shared" si="169"/>
        <v>Y</v>
      </c>
      <c r="E1597" t="s">
        <v>635</v>
      </c>
      <c r="F1597" t="str">
        <f t="shared" si="170"/>
        <v>RETURN - Buddy referral  -BONUS</v>
      </c>
      <c r="G1597" t="str">
        <f t="shared" si="171"/>
        <v>Marketing</v>
      </c>
      <c r="H1597" t="s">
        <v>34</v>
      </c>
      <c r="I1597">
        <f t="shared" si="172"/>
        <v>50</v>
      </c>
      <c r="J1597" t="s">
        <v>578</v>
      </c>
      <c r="K1597" s="5">
        <v>50</v>
      </c>
      <c r="L1597" t="str">
        <f>Table_DataFromNL[[#This Row],[PROFILECODE]]&amp;"-"&amp;Table_DataFromNL[[#This Row],[RULENAME]]</f>
        <v>CP869-Referral</v>
      </c>
      <c r="M1597" t="str">
        <f t="shared" si="173"/>
        <v>CP869-RETURN - Buddy referral  -BONUS</v>
      </c>
    </row>
    <row r="1598" spans="1:13" x14ac:dyDescent="0.25">
      <c r="A1598" t="str">
        <f t="shared" si="174"/>
        <v>CP869-P Anti-D Pre-Existing Standard</v>
      </c>
      <c r="B1598" t="s">
        <v>208</v>
      </c>
      <c r="C1598" t="str">
        <f t="shared" si="168"/>
        <v>Irving</v>
      </c>
      <c r="D1598" t="str">
        <f t="shared" si="169"/>
        <v>Y</v>
      </c>
      <c r="E1598" t="s">
        <v>635</v>
      </c>
      <c r="F1598" t="str">
        <f t="shared" si="170"/>
        <v>P Anti-D Pre-Existing Standard</v>
      </c>
      <c r="G1598" t="str">
        <f t="shared" si="171"/>
        <v>Specialty</v>
      </c>
      <c r="H1598" t="s">
        <v>469</v>
      </c>
      <c r="I1598" t="str">
        <f t="shared" si="172"/>
        <v>RETURN - 1st don of the week -STD</v>
      </c>
      <c r="J1598" t="s">
        <v>579</v>
      </c>
      <c r="K1598" s="5">
        <v>50</v>
      </c>
      <c r="L1598" t="str">
        <f>Table_DataFromNL[[#This Row],[PROFILECODE]]&amp;"-"&amp;Table_DataFromNL[[#This Row],[RULENAME]]</f>
        <v>CP869-P Anti-D Pre-Existing Standard</v>
      </c>
      <c r="M1598" t="str">
        <f t="shared" si="173"/>
        <v>CP869-P Anti-D Pre-Existing Standard</v>
      </c>
    </row>
    <row r="1599" spans="1:13" x14ac:dyDescent="0.25">
      <c r="A1599" t="str">
        <f t="shared" si="174"/>
        <v>CP869-P HBS Pre-Existing Standard</v>
      </c>
      <c r="B1599" t="s">
        <v>208</v>
      </c>
      <c r="C1599" t="str">
        <f t="shared" si="168"/>
        <v>Irving</v>
      </c>
      <c r="D1599" t="str">
        <f t="shared" si="169"/>
        <v>Y</v>
      </c>
      <c r="E1599" t="s">
        <v>635</v>
      </c>
      <c r="F1599" t="str">
        <f t="shared" si="170"/>
        <v>P HBS Pre-Existing Standard</v>
      </c>
      <c r="G1599" t="str">
        <f t="shared" si="171"/>
        <v>Specialty</v>
      </c>
      <c r="H1599" t="s">
        <v>472</v>
      </c>
      <c r="I1599" t="str">
        <f t="shared" si="172"/>
        <v>RETURN - 1st don of the week -STD</v>
      </c>
      <c r="J1599" t="s">
        <v>579</v>
      </c>
      <c r="K1599" s="5">
        <v>55</v>
      </c>
      <c r="L1599" t="str">
        <f>Table_DataFromNL[[#This Row],[PROFILECODE]]&amp;"-"&amp;Table_DataFromNL[[#This Row],[RULENAME]]</f>
        <v>CP869-P HBS Pre-Existing Standard</v>
      </c>
      <c r="M1599" t="str">
        <f t="shared" si="173"/>
        <v>CP869-P HBS Pre-Existing Standard</v>
      </c>
    </row>
    <row r="1600" spans="1:13" x14ac:dyDescent="0.25">
      <c r="A1600" t="str">
        <f t="shared" si="174"/>
        <v>CP869-P HBS Standard</v>
      </c>
      <c r="B1600" t="s">
        <v>208</v>
      </c>
      <c r="C1600" t="str">
        <f t="shared" si="168"/>
        <v>Irving</v>
      </c>
      <c r="D1600" t="str">
        <f t="shared" si="169"/>
        <v>Y</v>
      </c>
      <c r="E1600" t="s">
        <v>635</v>
      </c>
      <c r="F1600" t="str">
        <f t="shared" si="170"/>
        <v>P HBS Standard</v>
      </c>
      <c r="G1600" t="str">
        <f t="shared" si="171"/>
        <v>Specialty</v>
      </c>
      <c r="H1600" t="s">
        <v>473</v>
      </c>
      <c r="I1600" t="str">
        <f t="shared" si="172"/>
        <v>RETURN - 1st don of the week -STD</v>
      </c>
      <c r="J1600" t="s">
        <v>579</v>
      </c>
      <c r="K1600" s="5">
        <v>55</v>
      </c>
      <c r="L1600" t="str">
        <f>Table_DataFromNL[[#This Row],[PROFILECODE]]&amp;"-"&amp;Table_DataFromNL[[#This Row],[RULENAME]]</f>
        <v>CP869-P HBS Standard</v>
      </c>
      <c r="M1600" t="str">
        <f t="shared" si="173"/>
        <v>CP869-P HBS Standard</v>
      </c>
    </row>
    <row r="1601" spans="1:13" x14ac:dyDescent="0.25">
      <c r="A1601" t="str">
        <f t="shared" si="174"/>
        <v>CP869-P HBS TWINRIX Standard</v>
      </c>
      <c r="B1601" t="s">
        <v>208</v>
      </c>
      <c r="C1601" t="str">
        <f t="shared" si="168"/>
        <v>Irving</v>
      </c>
      <c r="D1601" t="str">
        <f t="shared" si="169"/>
        <v>Y</v>
      </c>
      <c r="E1601" t="s">
        <v>635</v>
      </c>
      <c r="F1601" t="str">
        <f t="shared" si="170"/>
        <v>P HBS TWINRIX Standard</v>
      </c>
      <c r="G1601" t="str">
        <f t="shared" si="171"/>
        <v>Specialty</v>
      </c>
      <c r="H1601" t="s">
        <v>506</v>
      </c>
      <c r="I1601" t="str">
        <f t="shared" si="172"/>
        <v>RETURN - 1st don of the week -STD</v>
      </c>
      <c r="J1601" t="s">
        <v>579</v>
      </c>
      <c r="K1601" s="5">
        <v>55</v>
      </c>
      <c r="L1601" t="str">
        <f>Table_DataFromNL[[#This Row],[PROFILECODE]]&amp;"-"&amp;Table_DataFromNL[[#This Row],[RULENAME]]</f>
        <v>CP869-P HBS TWINRIX Standard</v>
      </c>
      <c r="M1601" t="str">
        <f t="shared" si="173"/>
        <v>CP869-P HBS TWINRIX Standard</v>
      </c>
    </row>
    <row r="1602" spans="1:13" x14ac:dyDescent="0.25">
      <c r="A1602" t="str">
        <f t="shared" si="174"/>
        <v>CP869-P HBS TWINRIX-AP Standard</v>
      </c>
      <c r="B1602" t="s">
        <v>208</v>
      </c>
      <c r="C1602" t="str">
        <f t="shared" ref="C1602:C1665" si="175">VLOOKUP(B1602,CenterLU,2,FALSE)</f>
        <v>Irving</v>
      </c>
      <c r="D1602" t="str">
        <f t="shared" ref="D1602:D1665" si="176">VLOOKUP(B1602,CenterLU,3,FALSE)</f>
        <v>Y</v>
      </c>
      <c r="E1602" t="s">
        <v>635</v>
      </c>
      <c r="F1602" t="str">
        <f t="shared" ref="F1602:F1665" si="177">IF(VLOOKUP(H1602,RULENAMELU,3,FALSE)=0,H1602,VLOOKUP(H1602,RULENAMELU,3,FALSE))</f>
        <v>P HBS TWINRIX-AP Standard</v>
      </c>
      <c r="G1602" t="str">
        <f t="shared" ref="G1602:G1665" si="178">VLOOKUP(H1602,RULENAMELU,4,FALSE)</f>
        <v>Specialty</v>
      </c>
      <c r="H1602" t="s">
        <v>507</v>
      </c>
      <c r="I1602" t="str">
        <f t="shared" ref="I1602:I1665" si="179">VLOOKUP(H1602,RULENAMELU,5,FALSE)</f>
        <v>RETURN - 1st don of the week -STD</v>
      </c>
      <c r="J1602" t="s">
        <v>579</v>
      </c>
      <c r="K1602" s="5">
        <v>55</v>
      </c>
      <c r="L1602" t="str">
        <f>Table_DataFromNL[[#This Row],[PROFILECODE]]&amp;"-"&amp;Table_DataFromNL[[#This Row],[RULENAME]]</f>
        <v>CP869-P HBS TWINRIX-AP Standard</v>
      </c>
      <c r="M1602" t="str">
        <f t="shared" ref="M1602:M1665" si="180">IFERROR(VLOOKUP(A1602,PaychangesLU,1,FALSE),VLOOKUP(A1602,SpecialtyCheckLU,1,FALSE))</f>
        <v>CP869-P HBS TWINRIX-AP Standard</v>
      </c>
    </row>
    <row r="1603" spans="1:13" x14ac:dyDescent="0.25">
      <c r="A1603" t="str">
        <f t="shared" ref="A1603:A1666" si="181">B1603&amp;"-"&amp;F1603</f>
        <v>CP869-P NORM KIG 10 Standard</v>
      </c>
      <c r="B1603" t="s">
        <v>208</v>
      </c>
      <c r="C1603" t="str">
        <f t="shared" si="175"/>
        <v>Irving</v>
      </c>
      <c r="D1603" t="str">
        <f t="shared" si="176"/>
        <v>Y</v>
      </c>
      <c r="E1603" t="s">
        <v>635</v>
      </c>
      <c r="F1603" t="str">
        <f t="shared" si="177"/>
        <v>P NORM KIG 10 Standard</v>
      </c>
      <c r="G1603" t="str">
        <f t="shared" si="178"/>
        <v>?</v>
      </c>
      <c r="H1603" t="s">
        <v>580</v>
      </c>
      <c r="I1603">
        <f t="shared" si="179"/>
        <v>0</v>
      </c>
      <c r="J1603" t="s">
        <v>579</v>
      </c>
      <c r="K1603" s="5">
        <v>50</v>
      </c>
      <c r="L1603" t="str">
        <f>Table_DataFromNL[[#This Row],[PROFILECODE]]&amp;"-"&amp;Table_DataFromNL[[#This Row],[RULENAME]]</f>
        <v>CP869-P NORM KIG 10 Standard</v>
      </c>
      <c r="M1603" t="e">
        <f t="shared" si="180"/>
        <v>#N/A</v>
      </c>
    </row>
    <row r="1604" spans="1:13" x14ac:dyDescent="0.25">
      <c r="A1604" t="str">
        <f t="shared" si="181"/>
        <v>CP869-P NORM KIG 10-1 Standard</v>
      </c>
      <c r="B1604" t="s">
        <v>208</v>
      </c>
      <c r="C1604" t="str">
        <f t="shared" si="175"/>
        <v>Irving</v>
      </c>
      <c r="D1604" t="str">
        <f t="shared" si="176"/>
        <v>Y</v>
      </c>
      <c r="E1604" t="s">
        <v>635</v>
      </c>
      <c r="F1604" t="str">
        <f t="shared" si="177"/>
        <v>P NORM KIG 10-1 Standard</v>
      </c>
      <c r="G1604" t="str">
        <f t="shared" si="178"/>
        <v>?</v>
      </c>
      <c r="H1604" t="s">
        <v>581</v>
      </c>
      <c r="I1604">
        <f t="shared" si="179"/>
        <v>0</v>
      </c>
      <c r="J1604" t="s">
        <v>579</v>
      </c>
      <c r="K1604" s="5">
        <v>50</v>
      </c>
      <c r="L1604" t="str">
        <f>Table_DataFromNL[[#This Row],[PROFILECODE]]&amp;"-"&amp;Table_DataFromNL[[#This Row],[RULENAME]]</f>
        <v>CP869-P NORM KIG 10-1 Standard</v>
      </c>
      <c r="M1604" t="e">
        <f t="shared" si="180"/>
        <v>#N/A</v>
      </c>
    </row>
    <row r="1605" spans="1:13" x14ac:dyDescent="0.25">
      <c r="A1605" t="str">
        <f t="shared" si="181"/>
        <v>CP869-P NORM KIG 10-2 Standard</v>
      </c>
      <c r="B1605" t="s">
        <v>208</v>
      </c>
      <c r="C1605" t="str">
        <f t="shared" si="175"/>
        <v>Irving</v>
      </c>
      <c r="D1605" t="str">
        <f t="shared" si="176"/>
        <v>Y</v>
      </c>
      <c r="E1605" t="s">
        <v>635</v>
      </c>
      <c r="F1605" t="str">
        <f t="shared" si="177"/>
        <v>P NORM KIG 10-2 Standard</v>
      </c>
      <c r="G1605" t="str">
        <f t="shared" si="178"/>
        <v>?</v>
      </c>
      <c r="H1605" t="s">
        <v>582</v>
      </c>
      <c r="I1605">
        <f t="shared" si="179"/>
        <v>0</v>
      </c>
      <c r="J1605" t="s">
        <v>579</v>
      </c>
      <c r="K1605" s="5">
        <v>50</v>
      </c>
      <c r="L1605" t="str">
        <f>Table_DataFromNL[[#This Row],[PROFILECODE]]&amp;"-"&amp;Table_DataFromNL[[#This Row],[RULENAME]]</f>
        <v>CP869-P NORM KIG 10-2 Standard</v>
      </c>
      <c r="M1605" t="e">
        <f t="shared" si="180"/>
        <v>#N/A</v>
      </c>
    </row>
    <row r="1606" spans="1:13" x14ac:dyDescent="0.25">
      <c r="A1606" t="str">
        <f t="shared" si="181"/>
        <v>CP869-RETURN - 1st don of the week -STD</v>
      </c>
      <c r="B1606" t="s">
        <v>208</v>
      </c>
      <c r="C1606" t="str">
        <f t="shared" si="175"/>
        <v>Irving</v>
      </c>
      <c r="D1606" t="str">
        <f t="shared" si="176"/>
        <v>Y</v>
      </c>
      <c r="E1606" t="s">
        <v>635</v>
      </c>
      <c r="F1606" t="str">
        <f t="shared" si="177"/>
        <v>RETURN - 1st don of the week -STD</v>
      </c>
      <c r="G1606" t="str">
        <f t="shared" si="178"/>
        <v>Marketing</v>
      </c>
      <c r="H1606" t="s">
        <v>583</v>
      </c>
      <c r="I1606">
        <f t="shared" si="179"/>
        <v>22</v>
      </c>
      <c r="J1606" t="s">
        <v>579</v>
      </c>
      <c r="K1606" s="5">
        <v>50</v>
      </c>
      <c r="L1606" t="str">
        <f>Table_DataFromNL[[#This Row],[PROFILECODE]]&amp;"-"&amp;Table_DataFromNL[[#This Row],[RULENAME]]</f>
        <v>CP869-P NSP NS AP Standard</v>
      </c>
      <c r="M1606" t="str">
        <f t="shared" si="180"/>
        <v>CP869-RETURN - 1st don of the week -STD</v>
      </c>
    </row>
    <row r="1607" spans="1:13" x14ac:dyDescent="0.25">
      <c r="A1607" t="str">
        <f t="shared" si="181"/>
        <v>CP869-RETURN - 1st don of the week -STD</v>
      </c>
      <c r="B1607" t="s">
        <v>208</v>
      </c>
      <c r="C1607" t="str">
        <f t="shared" si="175"/>
        <v>Irving</v>
      </c>
      <c r="D1607" t="str">
        <f t="shared" si="176"/>
        <v>Y</v>
      </c>
      <c r="E1607" t="s">
        <v>635</v>
      </c>
      <c r="F1607" t="str">
        <f t="shared" si="177"/>
        <v>RETURN - 1st don of the week -STD</v>
      </c>
      <c r="G1607" t="str">
        <f t="shared" si="178"/>
        <v>Marketing</v>
      </c>
      <c r="H1607" t="s">
        <v>584</v>
      </c>
      <c r="I1607">
        <f t="shared" si="179"/>
        <v>23</v>
      </c>
      <c r="J1607" t="s">
        <v>579</v>
      </c>
      <c r="K1607" s="5">
        <v>50</v>
      </c>
      <c r="L1607" t="str">
        <f>Table_DataFromNL[[#This Row],[PROFILECODE]]&amp;"-"&amp;Table_DataFromNL[[#This Row],[RULENAME]]</f>
        <v>CP869-P NSP NS Standard</v>
      </c>
      <c r="M1607" t="str">
        <f t="shared" si="180"/>
        <v>CP869-RETURN - 1st don of the week -STD</v>
      </c>
    </row>
    <row r="1608" spans="1:13" x14ac:dyDescent="0.25">
      <c r="A1608" t="str">
        <f t="shared" si="181"/>
        <v>CP226-1st Responder-Medical</v>
      </c>
      <c r="B1608" t="s">
        <v>296</v>
      </c>
      <c r="C1608" t="str">
        <f t="shared" si="175"/>
        <v>Jonesboro</v>
      </c>
      <c r="D1608" t="str">
        <f t="shared" si="176"/>
        <v>Y</v>
      </c>
      <c r="E1608" t="s">
        <v>636</v>
      </c>
      <c r="F1608" t="str">
        <f t="shared" si="177"/>
        <v>1st Responder-Medical</v>
      </c>
      <c r="G1608">
        <f t="shared" si="178"/>
        <v>0</v>
      </c>
      <c r="H1608" t="s">
        <v>545</v>
      </c>
      <c r="I1608">
        <f t="shared" si="179"/>
        <v>0</v>
      </c>
      <c r="J1608" t="s">
        <v>546</v>
      </c>
      <c r="K1608" s="5">
        <v>5</v>
      </c>
      <c r="L1608" t="str">
        <f>Table_DataFromNL[[#This Row],[PROFILECODE]]&amp;"-"&amp;Table_DataFromNL[[#This Row],[RULENAME]]</f>
        <v>CP226-1st Responder-Medical</v>
      </c>
      <c r="M1608" t="e">
        <f t="shared" si="180"/>
        <v>#N/A</v>
      </c>
    </row>
    <row r="1609" spans="1:13" x14ac:dyDescent="0.25">
      <c r="A1609" t="str">
        <f t="shared" si="181"/>
        <v>CP226-College ID Standard Bonus</v>
      </c>
      <c r="B1609" t="s">
        <v>296</v>
      </c>
      <c r="C1609" t="str">
        <f t="shared" si="175"/>
        <v>Jonesboro</v>
      </c>
      <c r="D1609" t="str">
        <f t="shared" si="176"/>
        <v>Y</v>
      </c>
      <c r="E1609" t="s">
        <v>636</v>
      </c>
      <c r="F1609" t="str">
        <f t="shared" si="177"/>
        <v>College ID Standard Bonus</v>
      </c>
      <c r="G1609">
        <f t="shared" si="178"/>
        <v>0</v>
      </c>
      <c r="H1609" t="s">
        <v>553</v>
      </c>
      <c r="I1609">
        <f t="shared" si="179"/>
        <v>0</v>
      </c>
      <c r="J1609" t="s">
        <v>546</v>
      </c>
      <c r="K1609" s="5">
        <v>5</v>
      </c>
      <c r="L1609" t="str">
        <f>Table_DataFromNL[[#This Row],[PROFILECODE]]&amp;"-"&amp;Table_DataFromNL[[#This Row],[RULENAME]]</f>
        <v>CP226-College ID Standard Bonus</v>
      </c>
      <c r="M1609" t="e">
        <f t="shared" si="180"/>
        <v>#N/A</v>
      </c>
    </row>
    <row r="1610" spans="1:13" x14ac:dyDescent="0.25">
      <c r="A1610" t="str">
        <f t="shared" si="181"/>
        <v>CP226-Military ID</v>
      </c>
      <c r="B1610" t="s">
        <v>296</v>
      </c>
      <c r="C1610" t="str">
        <f t="shared" si="175"/>
        <v>Jonesboro</v>
      </c>
      <c r="D1610" t="str">
        <f t="shared" si="176"/>
        <v>Y</v>
      </c>
      <c r="E1610" t="s">
        <v>636</v>
      </c>
      <c r="F1610" t="str">
        <f t="shared" si="177"/>
        <v>Military ID</v>
      </c>
      <c r="G1610">
        <f t="shared" si="178"/>
        <v>0</v>
      </c>
      <c r="H1610" t="s">
        <v>554</v>
      </c>
      <c r="I1610">
        <f t="shared" si="179"/>
        <v>0</v>
      </c>
      <c r="J1610" t="s">
        <v>546</v>
      </c>
      <c r="K1610" s="5">
        <v>5</v>
      </c>
      <c r="L1610" t="str">
        <f>Table_DataFromNL[[#This Row],[PROFILECODE]]&amp;"-"&amp;Table_DataFromNL[[#This Row],[RULENAME]]</f>
        <v>CP226-Military ID</v>
      </c>
      <c r="M1610" t="e">
        <f t="shared" si="180"/>
        <v>#N/A</v>
      </c>
    </row>
    <row r="1611" spans="1:13" x14ac:dyDescent="0.25">
      <c r="A1611" t="str">
        <f t="shared" si="181"/>
        <v>CP226-NEW DONOR -1st</v>
      </c>
      <c r="B1611" t="s">
        <v>296</v>
      </c>
      <c r="C1611" t="str">
        <f t="shared" si="175"/>
        <v>Jonesboro</v>
      </c>
      <c r="D1611" t="str">
        <f t="shared" si="176"/>
        <v>Y</v>
      </c>
      <c r="E1611" t="s">
        <v>636</v>
      </c>
      <c r="F1611" t="str">
        <f t="shared" si="177"/>
        <v>NEW DONOR -1st</v>
      </c>
      <c r="G1611" t="str">
        <f t="shared" si="178"/>
        <v>Marketing</v>
      </c>
      <c r="H1611" t="s">
        <v>555</v>
      </c>
      <c r="I1611">
        <f t="shared" si="179"/>
        <v>1</v>
      </c>
      <c r="J1611" t="s">
        <v>546</v>
      </c>
      <c r="K1611" s="5">
        <v>50</v>
      </c>
      <c r="L1611" t="str">
        <f>Table_DataFromNL[[#This Row],[PROFILECODE]]&amp;"-"&amp;Table_DataFromNL[[#This Row],[RULENAME]]</f>
        <v>CP226-New Donor 1st Visit-Bonus</v>
      </c>
      <c r="M1611" t="str">
        <f t="shared" si="180"/>
        <v>CP226-NEW DONOR -1st</v>
      </c>
    </row>
    <row r="1612" spans="1:13" x14ac:dyDescent="0.25">
      <c r="A1612" t="str">
        <f t="shared" si="181"/>
        <v>CP226-NEW DONOR -2nd</v>
      </c>
      <c r="B1612" t="s">
        <v>296</v>
      </c>
      <c r="C1612" t="str">
        <f t="shared" si="175"/>
        <v>Jonesboro</v>
      </c>
      <c r="D1612" t="str">
        <f t="shared" si="176"/>
        <v>Y</v>
      </c>
      <c r="E1612" t="s">
        <v>636</v>
      </c>
      <c r="F1612" t="str">
        <f t="shared" si="177"/>
        <v>NEW DONOR -2nd</v>
      </c>
      <c r="G1612" t="str">
        <f t="shared" si="178"/>
        <v>Marketing</v>
      </c>
      <c r="H1612" t="s">
        <v>556</v>
      </c>
      <c r="I1612">
        <f t="shared" si="179"/>
        <v>2</v>
      </c>
      <c r="J1612" t="s">
        <v>546</v>
      </c>
      <c r="K1612" s="5">
        <v>50</v>
      </c>
      <c r="L1612" t="str">
        <f>Table_DataFromNL[[#This Row],[PROFILECODE]]&amp;"-"&amp;Table_DataFromNL[[#This Row],[RULENAME]]</f>
        <v>CP226-New Donor 2nd Visit-Bonus</v>
      </c>
      <c r="M1612" t="str">
        <f t="shared" si="180"/>
        <v>CP226-NEW DONOR -2nd</v>
      </c>
    </row>
    <row r="1613" spans="1:13" x14ac:dyDescent="0.25">
      <c r="A1613" t="str">
        <f t="shared" si="181"/>
        <v>CP226-NEW DONOR -3rd</v>
      </c>
      <c r="B1613" t="s">
        <v>296</v>
      </c>
      <c r="C1613" t="str">
        <f t="shared" si="175"/>
        <v>Jonesboro</v>
      </c>
      <c r="D1613" t="str">
        <f t="shared" si="176"/>
        <v>Y</v>
      </c>
      <c r="E1613" t="s">
        <v>636</v>
      </c>
      <c r="F1613" t="str">
        <f t="shared" si="177"/>
        <v>NEW DONOR -3rd</v>
      </c>
      <c r="G1613" t="str">
        <f t="shared" si="178"/>
        <v>Marketing</v>
      </c>
      <c r="H1613" t="s">
        <v>557</v>
      </c>
      <c r="I1613">
        <f t="shared" si="179"/>
        <v>3</v>
      </c>
      <c r="J1613" t="s">
        <v>546</v>
      </c>
      <c r="K1613" s="5">
        <v>50</v>
      </c>
      <c r="L1613" t="str">
        <f>Table_DataFromNL[[#This Row],[PROFILECODE]]&amp;"-"&amp;Table_DataFromNL[[#This Row],[RULENAME]]</f>
        <v>CP226-New Donor 3rd Visit-Bonus</v>
      </c>
      <c r="M1613" t="str">
        <f t="shared" si="180"/>
        <v>CP226-NEW DONOR -3rd</v>
      </c>
    </row>
    <row r="1614" spans="1:13" x14ac:dyDescent="0.25">
      <c r="A1614" t="str">
        <f t="shared" si="181"/>
        <v>CP226-NEW DONOR -4th</v>
      </c>
      <c r="B1614" t="s">
        <v>296</v>
      </c>
      <c r="C1614" t="str">
        <f t="shared" si="175"/>
        <v>Jonesboro</v>
      </c>
      <c r="D1614" t="str">
        <f t="shared" si="176"/>
        <v>Y</v>
      </c>
      <c r="E1614" t="s">
        <v>636</v>
      </c>
      <c r="F1614" t="str">
        <f t="shared" si="177"/>
        <v>NEW DONOR -4th</v>
      </c>
      <c r="G1614" t="str">
        <f t="shared" si="178"/>
        <v>Marketing</v>
      </c>
      <c r="H1614" t="s">
        <v>558</v>
      </c>
      <c r="I1614">
        <f t="shared" si="179"/>
        <v>4</v>
      </c>
      <c r="J1614" t="s">
        <v>546</v>
      </c>
      <c r="K1614" s="5">
        <v>50</v>
      </c>
      <c r="L1614" t="str">
        <f>Table_DataFromNL[[#This Row],[PROFILECODE]]&amp;"-"&amp;Table_DataFromNL[[#This Row],[RULENAME]]</f>
        <v>CP226-New Donor 4th Visit-Bonus</v>
      </c>
      <c r="M1614" t="str">
        <f t="shared" si="180"/>
        <v>CP226-NEW DONOR -4th</v>
      </c>
    </row>
    <row r="1615" spans="1:13" x14ac:dyDescent="0.25">
      <c r="A1615" t="str">
        <f t="shared" si="181"/>
        <v>CP226-NEW DONOR -5th</v>
      </c>
      <c r="B1615" t="s">
        <v>296</v>
      </c>
      <c r="C1615" t="str">
        <f t="shared" si="175"/>
        <v>Jonesboro</v>
      </c>
      <c r="D1615" t="str">
        <f t="shared" si="176"/>
        <v>Y</v>
      </c>
      <c r="E1615" t="s">
        <v>636</v>
      </c>
      <c r="F1615" t="str">
        <f t="shared" si="177"/>
        <v>NEW DONOR -5th</v>
      </c>
      <c r="G1615" t="str">
        <f t="shared" si="178"/>
        <v>Marketing</v>
      </c>
      <c r="H1615" t="s">
        <v>559</v>
      </c>
      <c r="I1615">
        <f t="shared" si="179"/>
        <v>5</v>
      </c>
      <c r="J1615" t="s">
        <v>546</v>
      </c>
      <c r="K1615" s="5">
        <v>50</v>
      </c>
      <c r="L1615" t="str">
        <f>Table_DataFromNL[[#This Row],[PROFILECODE]]&amp;"-"&amp;Table_DataFromNL[[#This Row],[RULENAME]]</f>
        <v>CP226-New Donor 5th Visit-Bonus</v>
      </c>
      <c r="M1615" t="str">
        <f t="shared" si="180"/>
        <v>CP226-NEW DONOR -5th</v>
      </c>
    </row>
    <row r="1616" spans="1:13" x14ac:dyDescent="0.25">
      <c r="A1616" t="str">
        <f t="shared" si="181"/>
        <v>CP226-NEW DONOR -6th</v>
      </c>
      <c r="B1616" t="s">
        <v>296</v>
      </c>
      <c r="C1616" t="str">
        <f t="shared" si="175"/>
        <v>Jonesboro</v>
      </c>
      <c r="D1616" t="str">
        <f t="shared" si="176"/>
        <v>Y</v>
      </c>
      <c r="E1616" t="s">
        <v>636</v>
      </c>
      <c r="F1616" t="str">
        <f t="shared" si="177"/>
        <v>NEW DONOR -6th</v>
      </c>
      <c r="G1616" t="str">
        <f t="shared" si="178"/>
        <v>Marketing</v>
      </c>
      <c r="H1616" t="s">
        <v>560</v>
      </c>
      <c r="I1616">
        <f t="shared" si="179"/>
        <v>6</v>
      </c>
      <c r="J1616" t="s">
        <v>546</v>
      </c>
      <c r="K1616" s="5">
        <v>50</v>
      </c>
      <c r="L1616" t="str">
        <f>Table_DataFromNL[[#This Row],[PROFILECODE]]&amp;"-"&amp;Table_DataFromNL[[#This Row],[RULENAME]]</f>
        <v>CP226-New Donor 6th Visit-Bonus</v>
      </c>
      <c r="M1616" t="str">
        <f t="shared" si="180"/>
        <v>CP226-NEW DONOR -6th</v>
      </c>
    </row>
    <row r="1617" spans="1:13" x14ac:dyDescent="0.25">
      <c r="A1617" t="str">
        <f t="shared" si="181"/>
        <v>CP226-NEW DONOR -7th</v>
      </c>
      <c r="B1617" t="s">
        <v>296</v>
      </c>
      <c r="C1617" t="str">
        <f t="shared" si="175"/>
        <v>Jonesboro</v>
      </c>
      <c r="D1617" t="str">
        <f t="shared" si="176"/>
        <v>Y</v>
      </c>
      <c r="E1617" t="s">
        <v>636</v>
      </c>
      <c r="F1617" t="str">
        <f t="shared" si="177"/>
        <v>NEW DONOR -7th</v>
      </c>
      <c r="G1617" t="str">
        <f t="shared" si="178"/>
        <v>Marketing</v>
      </c>
      <c r="H1617" t="s">
        <v>561</v>
      </c>
      <c r="I1617">
        <f t="shared" si="179"/>
        <v>7</v>
      </c>
      <c r="J1617" t="s">
        <v>546</v>
      </c>
      <c r="K1617" s="5">
        <v>50</v>
      </c>
      <c r="L1617" t="str">
        <f>Table_DataFromNL[[#This Row],[PROFILECODE]]&amp;"-"&amp;Table_DataFromNL[[#This Row],[RULENAME]]</f>
        <v>CP226-New Donor 7th Visit-Bonus</v>
      </c>
      <c r="M1617" t="str">
        <f t="shared" si="180"/>
        <v>CP226-NEW DONOR -7th</v>
      </c>
    </row>
    <row r="1618" spans="1:13" x14ac:dyDescent="0.25">
      <c r="A1618" t="str">
        <f t="shared" si="181"/>
        <v>CP226-NEW DONOR -8th</v>
      </c>
      <c r="B1618" t="s">
        <v>296</v>
      </c>
      <c r="C1618" t="str">
        <f t="shared" si="175"/>
        <v>Jonesboro</v>
      </c>
      <c r="D1618" t="str">
        <f t="shared" si="176"/>
        <v>Y</v>
      </c>
      <c r="E1618" t="s">
        <v>636</v>
      </c>
      <c r="F1618" t="str">
        <f t="shared" si="177"/>
        <v>NEW DONOR -8th</v>
      </c>
      <c r="G1618" t="str">
        <f t="shared" si="178"/>
        <v>Marketing</v>
      </c>
      <c r="H1618" t="s">
        <v>562</v>
      </c>
      <c r="I1618">
        <f t="shared" si="179"/>
        <v>8</v>
      </c>
      <c r="J1618" t="s">
        <v>546</v>
      </c>
      <c r="K1618" s="5">
        <v>50</v>
      </c>
      <c r="L1618" t="str">
        <f>Table_DataFromNL[[#This Row],[PROFILECODE]]&amp;"-"&amp;Table_DataFromNL[[#This Row],[RULENAME]]</f>
        <v>CP226-New Donor 8th Visit-Bonus</v>
      </c>
      <c r="M1618" t="str">
        <f t="shared" si="180"/>
        <v>CP226-NEW DONOR -8th</v>
      </c>
    </row>
    <row r="1619" spans="1:13" x14ac:dyDescent="0.25">
      <c r="A1619" t="str">
        <f t="shared" si="181"/>
        <v>CP226-Vaccinia - 1st Donation</v>
      </c>
      <c r="B1619" t="s">
        <v>296</v>
      </c>
      <c r="C1619" t="str">
        <f t="shared" si="175"/>
        <v>Jonesboro</v>
      </c>
      <c r="D1619" t="str">
        <f t="shared" si="176"/>
        <v>Y</v>
      </c>
      <c r="E1619" t="s">
        <v>636</v>
      </c>
      <c r="F1619" t="str">
        <f t="shared" si="177"/>
        <v>Vaccinia - 1st Donation</v>
      </c>
      <c r="G1619" t="str">
        <f t="shared" si="178"/>
        <v>Specialty</v>
      </c>
      <c r="H1619" t="s">
        <v>477</v>
      </c>
      <c r="I1619">
        <f t="shared" si="179"/>
        <v>0</v>
      </c>
      <c r="J1619" t="s">
        <v>546</v>
      </c>
      <c r="K1619" s="5">
        <v>150</v>
      </c>
      <c r="L1619" t="str">
        <f>Table_DataFromNL[[#This Row],[PROFILECODE]]&amp;"-"&amp;Table_DataFromNL[[#This Row],[RULENAME]]</f>
        <v>CP226-Vaccinia - 1st Donation</v>
      </c>
      <c r="M1619" t="str">
        <f t="shared" si="180"/>
        <v>CP226-Vaccinia - 1st Donation</v>
      </c>
    </row>
    <row r="1620" spans="1:13" x14ac:dyDescent="0.25">
      <c r="A1620" t="str">
        <f t="shared" si="181"/>
        <v>CP226-Vaccinia - 2nd Donation</v>
      </c>
      <c r="B1620" t="s">
        <v>296</v>
      </c>
      <c r="C1620" t="str">
        <f t="shared" si="175"/>
        <v>Jonesboro</v>
      </c>
      <c r="D1620" t="str">
        <f t="shared" si="176"/>
        <v>Y</v>
      </c>
      <c r="E1620" t="s">
        <v>636</v>
      </c>
      <c r="F1620" t="str">
        <f t="shared" si="177"/>
        <v>Vaccinia - 2nd Donation</v>
      </c>
      <c r="G1620" t="str">
        <f t="shared" si="178"/>
        <v>Specialty</v>
      </c>
      <c r="H1620" t="s">
        <v>478</v>
      </c>
      <c r="I1620">
        <f t="shared" si="179"/>
        <v>0</v>
      </c>
      <c r="J1620" t="s">
        <v>546</v>
      </c>
      <c r="K1620" s="5">
        <v>250</v>
      </c>
      <c r="L1620" t="str">
        <f>Table_DataFromNL[[#This Row],[PROFILECODE]]&amp;"-"&amp;Table_DataFromNL[[#This Row],[RULENAME]]</f>
        <v>CP226-Vaccinia - 2nd Donation</v>
      </c>
      <c r="M1620" t="str">
        <f t="shared" si="180"/>
        <v>CP226-Vaccinia - 2nd Donation</v>
      </c>
    </row>
    <row r="1621" spans="1:13" x14ac:dyDescent="0.25">
      <c r="A1621" t="str">
        <f t="shared" si="181"/>
        <v>CP226-Vaccinia - 3rd Donation</v>
      </c>
      <c r="B1621" t="s">
        <v>296</v>
      </c>
      <c r="C1621" t="str">
        <f t="shared" si="175"/>
        <v>Jonesboro</v>
      </c>
      <c r="D1621" t="str">
        <f t="shared" si="176"/>
        <v>Y</v>
      </c>
      <c r="E1621" t="s">
        <v>636</v>
      </c>
      <c r="F1621" t="str">
        <f t="shared" si="177"/>
        <v>Vaccinia - 3rd Donation</v>
      </c>
      <c r="G1621" t="str">
        <f t="shared" si="178"/>
        <v>Specialty</v>
      </c>
      <c r="H1621" t="s">
        <v>479</v>
      </c>
      <c r="I1621">
        <f t="shared" si="179"/>
        <v>0</v>
      </c>
      <c r="J1621" t="s">
        <v>546</v>
      </c>
      <c r="K1621" s="5">
        <v>300</v>
      </c>
      <c r="L1621" t="str">
        <f>Table_DataFromNL[[#This Row],[PROFILECODE]]&amp;"-"&amp;Table_DataFromNL[[#This Row],[RULENAME]]</f>
        <v>CP226-Vaccinia - 3rd Donation</v>
      </c>
      <c r="M1621" t="str">
        <f t="shared" si="180"/>
        <v>CP226-Vaccinia - 3rd Donation</v>
      </c>
    </row>
    <row r="1622" spans="1:13" x14ac:dyDescent="0.25">
      <c r="A1622" t="str">
        <f t="shared" si="181"/>
        <v>CP226-Vaccinia - 4th Donation</v>
      </c>
      <c r="B1622" t="s">
        <v>296</v>
      </c>
      <c r="C1622" t="str">
        <f t="shared" si="175"/>
        <v>Jonesboro</v>
      </c>
      <c r="D1622" t="str">
        <f t="shared" si="176"/>
        <v>Y</v>
      </c>
      <c r="E1622" t="s">
        <v>636</v>
      </c>
      <c r="F1622" t="str">
        <f t="shared" si="177"/>
        <v>Vaccinia - 4th Donation</v>
      </c>
      <c r="G1622" t="str">
        <f t="shared" si="178"/>
        <v>Specialty</v>
      </c>
      <c r="H1622" t="s">
        <v>480</v>
      </c>
      <c r="I1622">
        <f t="shared" si="179"/>
        <v>0</v>
      </c>
      <c r="J1622" t="s">
        <v>546</v>
      </c>
      <c r="K1622" s="5">
        <v>300</v>
      </c>
      <c r="L1622" t="str">
        <f>Table_DataFromNL[[#This Row],[PROFILECODE]]&amp;"-"&amp;Table_DataFromNL[[#This Row],[RULENAME]]</f>
        <v>CP226-Vaccinia - 4th Donation</v>
      </c>
      <c r="M1622" t="str">
        <f t="shared" si="180"/>
        <v>CP226-Vaccinia - 4th Donation</v>
      </c>
    </row>
    <row r="1623" spans="1:13" x14ac:dyDescent="0.25">
      <c r="A1623" t="str">
        <f t="shared" si="181"/>
        <v>CP226-Vaccinia AP - 1st Donation</v>
      </c>
      <c r="B1623" t="s">
        <v>296</v>
      </c>
      <c r="C1623" t="str">
        <f t="shared" si="175"/>
        <v>Jonesboro</v>
      </c>
      <c r="D1623" t="str">
        <f t="shared" si="176"/>
        <v>Y</v>
      </c>
      <c r="E1623" t="s">
        <v>636</v>
      </c>
      <c r="F1623" t="str">
        <f t="shared" si="177"/>
        <v>Vaccinia AP - 1st Donation</v>
      </c>
      <c r="G1623" t="str">
        <f t="shared" si="178"/>
        <v>Specialty</v>
      </c>
      <c r="H1623" t="s">
        <v>481</v>
      </c>
      <c r="I1623">
        <f t="shared" si="179"/>
        <v>0</v>
      </c>
      <c r="J1623" t="s">
        <v>546</v>
      </c>
      <c r="K1623" s="5">
        <v>150</v>
      </c>
      <c r="L1623" t="str">
        <f>Table_DataFromNL[[#This Row],[PROFILECODE]]&amp;"-"&amp;Table_DataFromNL[[#This Row],[RULENAME]]</f>
        <v>CP226-Vaccinia AP - 1st Donation</v>
      </c>
      <c r="M1623" t="str">
        <f t="shared" si="180"/>
        <v>CP226-Vaccinia AP - 1st Donation</v>
      </c>
    </row>
    <row r="1624" spans="1:13" x14ac:dyDescent="0.25">
      <c r="A1624" t="str">
        <f t="shared" si="181"/>
        <v>CP226-Vaccinia AP - 2nd Donation</v>
      </c>
      <c r="B1624" t="s">
        <v>296</v>
      </c>
      <c r="C1624" t="str">
        <f t="shared" si="175"/>
        <v>Jonesboro</v>
      </c>
      <c r="D1624" t="str">
        <f t="shared" si="176"/>
        <v>Y</v>
      </c>
      <c r="E1624" t="s">
        <v>636</v>
      </c>
      <c r="F1624" t="str">
        <f t="shared" si="177"/>
        <v>Vaccinia AP - 2nd Donation</v>
      </c>
      <c r="G1624" t="str">
        <f t="shared" si="178"/>
        <v>Specialty</v>
      </c>
      <c r="H1624" t="s">
        <v>482</v>
      </c>
      <c r="I1624">
        <f t="shared" si="179"/>
        <v>0</v>
      </c>
      <c r="J1624" t="s">
        <v>546</v>
      </c>
      <c r="K1624" s="5">
        <v>250</v>
      </c>
      <c r="L1624" t="str">
        <f>Table_DataFromNL[[#This Row],[PROFILECODE]]&amp;"-"&amp;Table_DataFromNL[[#This Row],[RULENAME]]</f>
        <v>CP226-Vaccinia AP - 2nd Donation</v>
      </c>
      <c r="M1624" t="str">
        <f t="shared" si="180"/>
        <v>CP226-Vaccinia AP - 2nd Donation</v>
      </c>
    </row>
    <row r="1625" spans="1:13" x14ac:dyDescent="0.25">
      <c r="A1625" t="str">
        <f t="shared" si="181"/>
        <v>CP226-Vaccinia AP - 3rd Donation</v>
      </c>
      <c r="B1625" t="s">
        <v>296</v>
      </c>
      <c r="C1625" t="str">
        <f t="shared" si="175"/>
        <v>Jonesboro</v>
      </c>
      <c r="D1625" t="str">
        <f t="shared" si="176"/>
        <v>Y</v>
      </c>
      <c r="E1625" t="s">
        <v>636</v>
      </c>
      <c r="F1625" t="str">
        <f t="shared" si="177"/>
        <v>Vaccinia AP - 3rd Donation</v>
      </c>
      <c r="G1625" t="str">
        <f t="shared" si="178"/>
        <v>Specialty</v>
      </c>
      <c r="H1625" t="s">
        <v>483</v>
      </c>
      <c r="I1625">
        <f t="shared" si="179"/>
        <v>0</v>
      </c>
      <c r="J1625" t="s">
        <v>546</v>
      </c>
      <c r="K1625" s="5">
        <v>300</v>
      </c>
      <c r="L1625" t="str">
        <f>Table_DataFromNL[[#This Row],[PROFILECODE]]&amp;"-"&amp;Table_DataFromNL[[#This Row],[RULENAME]]</f>
        <v>CP226-Vaccinia AP - 3rd Donation</v>
      </c>
      <c r="M1625" t="str">
        <f t="shared" si="180"/>
        <v>CP226-Vaccinia AP - 3rd Donation</v>
      </c>
    </row>
    <row r="1626" spans="1:13" x14ac:dyDescent="0.25">
      <c r="A1626" t="str">
        <f t="shared" si="181"/>
        <v>CP226-Vaccinia AP - 4th Donation</v>
      </c>
      <c r="B1626" t="s">
        <v>296</v>
      </c>
      <c r="C1626" t="str">
        <f t="shared" si="175"/>
        <v>Jonesboro</v>
      </c>
      <c r="D1626" t="str">
        <f t="shared" si="176"/>
        <v>Y</v>
      </c>
      <c r="E1626" t="s">
        <v>636</v>
      </c>
      <c r="F1626" t="str">
        <f t="shared" si="177"/>
        <v>Vaccinia AP - 4th Donation</v>
      </c>
      <c r="G1626" t="str">
        <f t="shared" si="178"/>
        <v>Specialty</v>
      </c>
      <c r="H1626" t="s">
        <v>484</v>
      </c>
      <c r="I1626">
        <f t="shared" si="179"/>
        <v>0</v>
      </c>
      <c r="J1626" t="s">
        <v>546</v>
      </c>
      <c r="K1626" s="5">
        <v>300</v>
      </c>
      <c r="L1626" t="str">
        <f>Table_DataFromNL[[#This Row],[PROFILECODE]]&amp;"-"&amp;Table_DataFromNL[[#This Row],[RULENAME]]</f>
        <v>CP226-Vaccinia AP - 4th Donation</v>
      </c>
      <c r="M1626" t="str">
        <f t="shared" si="180"/>
        <v>CP226-Vaccinia AP - 4th Donation</v>
      </c>
    </row>
    <row r="1627" spans="1:13" x14ac:dyDescent="0.25">
      <c r="A1627" t="str">
        <f t="shared" si="181"/>
        <v>CP226-Community</v>
      </c>
      <c r="B1627" t="s">
        <v>296</v>
      </c>
      <c r="C1627" t="str">
        <f t="shared" si="175"/>
        <v>Jonesboro</v>
      </c>
      <c r="D1627" t="str">
        <f t="shared" si="176"/>
        <v>Y</v>
      </c>
      <c r="E1627" t="s">
        <v>636</v>
      </c>
      <c r="F1627" t="str">
        <f t="shared" si="177"/>
        <v>Community</v>
      </c>
      <c r="G1627">
        <f t="shared" si="178"/>
        <v>0</v>
      </c>
      <c r="H1627" t="s">
        <v>563</v>
      </c>
      <c r="I1627">
        <f t="shared" si="179"/>
        <v>0</v>
      </c>
      <c r="J1627" t="s">
        <v>564</v>
      </c>
      <c r="K1627" s="5">
        <v>5</v>
      </c>
      <c r="L1627" t="str">
        <f>Table_DataFromNL[[#This Row],[PROFILECODE]]&amp;"-"&amp;Table_DataFromNL[[#This Row],[RULENAME]]</f>
        <v>CP226-Community</v>
      </c>
      <c r="M1627" t="e">
        <f t="shared" si="180"/>
        <v>#N/A</v>
      </c>
    </row>
    <row r="1628" spans="1:13" x14ac:dyDescent="0.25">
      <c r="A1628" t="str">
        <f t="shared" si="181"/>
        <v>CP226-HANGER_RECRUIT_5USD_once</v>
      </c>
      <c r="B1628" t="s">
        <v>296</v>
      </c>
      <c r="C1628" t="str">
        <f t="shared" si="175"/>
        <v>Jonesboro</v>
      </c>
      <c r="D1628" t="str">
        <f t="shared" si="176"/>
        <v>Y</v>
      </c>
      <c r="E1628" t="s">
        <v>636</v>
      </c>
      <c r="F1628" t="str">
        <f t="shared" si="177"/>
        <v>HANGER_RECRUIT_5USD_once</v>
      </c>
      <c r="G1628">
        <f t="shared" si="178"/>
        <v>0</v>
      </c>
      <c r="H1628" t="s">
        <v>565</v>
      </c>
      <c r="I1628">
        <f t="shared" si="179"/>
        <v>0</v>
      </c>
      <c r="J1628" t="s">
        <v>564</v>
      </c>
      <c r="K1628" s="5">
        <v>5</v>
      </c>
      <c r="L1628" t="str">
        <f>Table_DataFromNL[[#This Row],[PROFILECODE]]&amp;"-"&amp;Table_DataFromNL[[#This Row],[RULENAME]]</f>
        <v>CP226-HANGER_RECRUIT_5USD_once</v>
      </c>
      <c r="M1628" t="e">
        <f t="shared" si="180"/>
        <v>#N/A</v>
      </c>
    </row>
    <row r="1629" spans="1:13" x14ac:dyDescent="0.25">
      <c r="A1629" t="str">
        <f t="shared" si="181"/>
        <v>CP226-Inconv Fee $20-$50-Comment Req'd</v>
      </c>
      <c r="B1629" t="s">
        <v>296</v>
      </c>
      <c r="C1629" t="str">
        <f t="shared" si="175"/>
        <v>Jonesboro</v>
      </c>
      <c r="D1629" t="str">
        <f t="shared" si="176"/>
        <v>Y</v>
      </c>
      <c r="E1629" t="s">
        <v>636</v>
      </c>
      <c r="F1629" t="str">
        <f t="shared" si="177"/>
        <v>Inconv Fee $20-$50-Comment Req'd</v>
      </c>
      <c r="G1629">
        <f t="shared" si="178"/>
        <v>0</v>
      </c>
      <c r="H1629" t="s">
        <v>566</v>
      </c>
      <c r="I1629">
        <f t="shared" si="179"/>
        <v>0</v>
      </c>
      <c r="J1629" t="s">
        <v>564</v>
      </c>
      <c r="K1629" s="5">
        <v>50</v>
      </c>
      <c r="L1629" t="str">
        <f>Table_DataFromNL[[#This Row],[PROFILECODE]]&amp;"-"&amp;Table_DataFromNL[[#This Row],[RULENAME]]</f>
        <v>CP226-Inconv Fee $20-$50-Comment Req'd</v>
      </c>
      <c r="M1629" t="e">
        <f t="shared" si="180"/>
        <v>#N/A</v>
      </c>
    </row>
    <row r="1630" spans="1:13" x14ac:dyDescent="0.25">
      <c r="A1630" t="str">
        <f t="shared" si="181"/>
        <v>CP226-Inconv Fee $5-$20-Comment Req'd</v>
      </c>
      <c r="B1630" t="s">
        <v>296</v>
      </c>
      <c r="C1630" t="str">
        <f t="shared" si="175"/>
        <v>Jonesboro</v>
      </c>
      <c r="D1630" t="str">
        <f t="shared" si="176"/>
        <v>Y</v>
      </c>
      <c r="E1630" t="s">
        <v>636</v>
      </c>
      <c r="F1630" t="str">
        <f t="shared" si="177"/>
        <v>Inconv Fee $5-$20-Comment Req'd</v>
      </c>
      <c r="G1630">
        <f t="shared" si="178"/>
        <v>0</v>
      </c>
      <c r="H1630" t="s">
        <v>567</v>
      </c>
      <c r="I1630">
        <f t="shared" si="179"/>
        <v>0</v>
      </c>
      <c r="J1630" t="s">
        <v>564</v>
      </c>
      <c r="K1630" s="5">
        <v>20</v>
      </c>
      <c r="L1630" t="str">
        <f>Table_DataFromNL[[#This Row],[PROFILECODE]]&amp;"-"&amp;Table_DataFromNL[[#This Row],[RULENAME]]</f>
        <v>CP226-Inconv Fee $5-$20-Comment Req'd</v>
      </c>
      <c r="M1630" t="e">
        <f t="shared" si="180"/>
        <v>#N/A</v>
      </c>
    </row>
    <row r="1631" spans="1:13" x14ac:dyDescent="0.25">
      <c r="A1631" t="str">
        <f t="shared" si="181"/>
        <v>CP226-Inconv Fee$50-$100-Comment Req'd</v>
      </c>
      <c r="B1631" t="s">
        <v>296</v>
      </c>
      <c r="C1631" t="str">
        <f t="shared" si="175"/>
        <v>Jonesboro</v>
      </c>
      <c r="D1631" t="str">
        <f t="shared" si="176"/>
        <v>Y</v>
      </c>
      <c r="E1631" t="s">
        <v>636</v>
      </c>
      <c r="F1631" t="str">
        <f t="shared" si="177"/>
        <v>Inconv Fee$50-$100-Comment Req'd</v>
      </c>
      <c r="G1631">
        <f t="shared" si="178"/>
        <v>0</v>
      </c>
      <c r="H1631" t="s">
        <v>568</v>
      </c>
      <c r="I1631">
        <f t="shared" si="179"/>
        <v>0</v>
      </c>
      <c r="J1631" t="s">
        <v>564</v>
      </c>
      <c r="K1631" s="5">
        <v>100</v>
      </c>
      <c r="L1631" t="str">
        <f>Table_DataFromNL[[#This Row],[PROFILECODE]]&amp;"-"&amp;Table_DataFromNL[[#This Row],[RULENAME]]</f>
        <v>CP226-Inconv Fee$50-$100-Comment Req'd</v>
      </c>
      <c r="M1631" t="e">
        <f t="shared" si="180"/>
        <v>#N/A</v>
      </c>
    </row>
    <row r="1632" spans="1:13" x14ac:dyDescent="0.25">
      <c r="A1632" t="str">
        <f t="shared" si="181"/>
        <v>CP226-NSP_ LAPSEDONOR_50_Twice</v>
      </c>
      <c r="B1632" t="s">
        <v>296</v>
      </c>
      <c r="C1632" t="str">
        <f t="shared" si="175"/>
        <v>Jonesboro</v>
      </c>
      <c r="D1632" t="str">
        <f t="shared" si="176"/>
        <v>Y</v>
      </c>
      <c r="E1632" t="s">
        <v>636</v>
      </c>
      <c r="F1632" t="str">
        <f t="shared" si="177"/>
        <v>NSP_ LAPSEDONOR_50_Twice</v>
      </c>
      <c r="G1632">
        <f t="shared" si="178"/>
        <v>0</v>
      </c>
      <c r="H1632" t="s">
        <v>569</v>
      </c>
      <c r="I1632">
        <f t="shared" si="179"/>
        <v>0</v>
      </c>
      <c r="J1632" t="s">
        <v>564</v>
      </c>
      <c r="K1632" s="5">
        <v>50</v>
      </c>
      <c r="L1632" t="str">
        <f>Table_DataFromNL[[#This Row],[PROFILECODE]]&amp;"-"&amp;Table_DataFromNL[[#This Row],[RULENAME]]</f>
        <v>CP226-NSP_ LAPSEDONOR_50_Twice</v>
      </c>
      <c r="M1632" t="e">
        <f t="shared" si="180"/>
        <v>#N/A</v>
      </c>
    </row>
    <row r="1633" spans="1:13" x14ac:dyDescent="0.25">
      <c r="A1633" t="str">
        <f t="shared" si="181"/>
        <v>CP226-NSP_LD_25_2X</v>
      </c>
      <c r="B1633" t="s">
        <v>296</v>
      </c>
      <c r="C1633" t="str">
        <f t="shared" si="175"/>
        <v>Jonesboro</v>
      </c>
      <c r="D1633" t="str">
        <f t="shared" si="176"/>
        <v>Y</v>
      </c>
      <c r="E1633" t="s">
        <v>636</v>
      </c>
      <c r="F1633" t="str">
        <f t="shared" si="177"/>
        <v>NSP_LD_25_2X</v>
      </c>
      <c r="G1633">
        <f t="shared" si="178"/>
        <v>0</v>
      </c>
      <c r="H1633" t="s">
        <v>570</v>
      </c>
      <c r="I1633">
        <f t="shared" si="179"/>
        <v>0</v>
      </c>
      <c r="J1633" t="s">
        <v>564</v>
      </c>
      <c r="K1633" s="5">
        <v>25</v>
      </c>
      <c r="L1633" t="str">
        <f>Table_DataFromNL[[#This Row],[PROFILECODE]]&amp;"-"&amp;Table_DataFromNL[[#This Row],[RULENAME]]</f>
        <v>CP226-NSP_LD_25_2X</v>
      </c>
      <c r="M1633" t="e">
        <f t="shared" si="180"/>
        <v>#N/A</v>
      </c>
    </row>
    <row r="1634" spans="1:13" x14ac:dyDescent="0.25">
      <c r="A1634" t="str">
        <f t="shared" si="181"/>
        <v>CP226-NSP_LD_50_1X</v>
      </c>
      <c r="B1634" t="s">
        <v>296</v>
      </c>
      <c r="C1634" t="str">
        <f t="shared" si="175"/>
        <v>Jonesboro</v>
      </c>
      <c r="D1634" t="str">
        <f t="shared" si="176"/>
        <v>Y</v>
      </c>
      <c r="E1634" t="s">
        <v>636</v>
      </c>
      <c r="F1634" t="str">
        <f t="shared" si="177"/>
        <v>NSP_LD_50_1X</v>
      </c>
      <c r="G1634">
        <f t="shared" si="178"/>
        <v>0</v>
      </c>
      <c r="H1634" t="s">
        <v>571</v>
      </c>
      <c r="I1634">
        <f t="shared" si="179"/>
        <v>0</v>
      </c>
      <c r="J1634" t="s">
        <v>564</v>
      </c>
      <c r="K1634" s="5">
        <v>50</v>
      </c>
      <c r="L1634" t="str">
        <f>Table_DataFromNL[[#This Row],[PROFILECODE]]&amp;"-"&amp;Table_DataFromNL[[#This Row],[RULENAME]]</f>
        <v>CP226-NSP_LD_50_1X</v>
      </c>
      <c r="M1634" t="e">
        <f t="shared" si="180"/>
        <v>#N/A</v>
      </c>
    </row>
    <row r="1635" spans="1:13" x14ac:dyDescent="0.25">
      <c r="A1635" t="str">
        <f t="shared" si="181"/>
        <v>CP226-NSP_ORPHAN_100_once</v>
      </c>
      <c r="B1635" t="s">
        <v>296</v>
      </c>
      <c r="C1635" t="str">
        <f t="shared" si="175"/>
        <v>Jonesboro</v>
      </c>
      <c r="D1635" t="str">
        <f t="shared" si="176"/>
        <v>Y</v>
      </c>
      <c r="E1635" t="s">
        <v>636</v>
      </c>
      <c r="F1635" t="str">
        <f t="shared" si="177"/>
        <v>NSP_ORPHAN_100_once</v>
      </c>
      <c r="G1635">
        <f t="shared" si="178"/>
        <v>0</v>
      </c>
      <c r="H1635" t="s">
        <v>572</v>
      </c>
      <c r="I1635">
        <f t="shared" si="179"/>
        <v>0</v>
      </c>
      <c r="J1635" t="s">
        <v>564</v>
      </c>
      <c r="K1635" s="5">
        <v>100</v>
      </c>
      <c r="L1635" t="str">
        <f>Table_DataFromNL[[#This Row],[PROFILECODE]]&amp;"-"&amp;Table_DataFromNL[[#This Row],[RULENAME]]</f>
        <v>CP226-NSP_ORPHAN_100_once</v>
      </c>
      <c r="M1635" t="e">
        <f t="shared" si="180"/>
        <v>#N/A</v>
      </c>
    </row>
    <row r="1636" spans="1:13" x14ac:dyDescent="0.25">
      <c r="A1636" t="str">
        <f t="shared" si="181"/>
        <v>CP226-Referral - Vaccinia</v>
      </c>
      <c r="B1636" t="s">
        <v>296</v>
      </c>
      <c r="C1636" t="str">
        <f t="shared" si="175"/>
        <v>Jonesboro</v>
      </c>
      <c r="D1636" t="str">
        <f t="shared" si="176"/>
        <v>Y</v>
      </c>
      <c r="E1636" t="s">
        <v>636</v>
      </c>
      <c r="F1636" t="str">
        <f t="shared" si="177"/>
        <v>Referral - Vaccinia</v>
      </c>
      <c r="G1636">
        <f t="shared" si="178"/>
        <v>0</v>
      </c>
      <c r="H1636" t="s">
        <v>595</v>
      </c>
      <c r="I1636">
        <f t="shared" si="179"/>
        <v>0</v>
      </c>
      <c r="J1636" t="s">
        <v>564</v>
      </c>
      <c r="K1636" s="5">
        <v>250</v>
      </c>
      <c r="L1636" t="str">
        <f>Table_DataFromNL[[#This Row],[PROFILECODE]]&amp;"-"&amp;Table_DataFromNL[[#This Row],[RULENAME]]</f>
        <v>CP226-Referral - Vaccinia</v>
      </c>
      <c r="M1636" t="e">
        <f t="shared" si="180"/>
        <v>#N/A</v>
      </c>
    </row>
    <row r="1637" spans="1:13" x14ac:dyDescent="0.25">
      <c r="A1637" t="str">
        <f t="shared" si="181"/>
        <v>CP226-Restick</v>
      </c>
      <c r="B1637" t="s">
        <v>296</v>
      </c>
      <c r="C1637" t="str">
        <f t="shared" si="175"/>
        <v>Jonesboro</v>
      </c>
      <c r="D1637" t="str">
        <f t="shared" si="176"/>
        <v>Y</v>
      </c>
      <c r="E1637" t="s">
        <v>636</v>
      </c>
      <c r="F1637" t="str">
        <f t="shared" si="177"/>
        <v>Restick</v>
      </c>
      <c r="G1637">
        <f t="shared" si="178"/>
        <v>0</v>
      </c>
      <c r="H1637" t="s">
        <v>573</v>
      </c>
      <c r="I1637">
        <f t="shared" si="179"/>
        <v>0</v>
      </c>
      <c r="J1637" t="s">
        <v>564</v>
      </c>
      <c r="K1637" s="5">
        <v>5</v>
      </c>
      <c r="L1637" t="str">
        <f>Table_DataFromNL[[#This Row],[PROFILECODE]]&amp;"-"&amp;Table_DataFromNL[[#This Row],[RULENAME]]</f>
        <v>CP226-Restick</v>
      </c>
      <c r="M1637" t="e">
        <f t="shared" si="180"/>
        <v>#N/A</v>
      </c>
    </row>
    <row r="1638" spans="1:13" x14ac:dyDescent="0.25">
      <c r="A1638" t="str">
        <f t="shared" si="181"/>
        <v>CP226-SLOW_TEXT_5</v>
      </c>
      <c r="B1638" t="s">
        <v>296</v>
      </c>
      <c r="C1638" t="str">
        <f t="shared" si="175"/>
        <v>Jonesboro</v>
      </c>
      <c r="D1638" t="str">
        <f t="shared" si="176"/>
        <v>Y</v>
      </c>
      <c r="E1638" t="s">
        <v>636</v>
      </c>
      <c r="F1638" t="str">
        <f t="shared" si="177"/>
        <v>SLOW_TEXT_5</v>
      </c>
      <c r="G1638">
        <f t="shared" si="178"/>
        <v>0</v>
      </c>
      <c r="H1638" t="s">
        <v>574</v>
      </c>
      <c r="I1638">
        <f t="shared" si="179"/>
        <v>0</v>
      </c>
      <c r="J1638" t="s">
        <v>564</v>
      </c>
      <c r="K1638" s="5">
        <v>5</v>
      </c>
      <c r="L1638" t="str">
        <f>Table_DataFromNL[[#This Row],[PROFILECODE]]&amp;"-"&amp;Table_DataFromNL[[#This Row],[RULENAME]]</f>
        <v>CP226-SLOW_TEXT_5</v>
      </c>
      <c r="M1638" t="e">
        <f t="shared" si="180"/>
        <v>#N/A</v>
      </c>
    </row>
    <row r="1639" spans="1:13" x14ac:dyDescent="0.25">
      <c r="A1639" t="str">
        <f t="shared" si="181"/>
        <v>CP226-Sample Only</v>
      </c>
      <c r="B1639" t="s">
        <v>296</v>
      </c>
      <c r="C1639" t="str">
        <f t="shared" si="175"/>
        <v>Jonesboro</v>
      </c>
      <c r="D1639" t="str">
        <f t="shared" si="176"/>
        <v>Y</v>
      </c>
      <c r="E1639" t="s">
        <v>636</v>
      </c>
      <c r="F1639" t="str">
        <f t="shared" si="177"/>
        <v>Sample Only</v>
      </c>
      <c r="G1639">
        <f t="shared" si="178"/>
        <v>0</v>
      </c>
      <c r="H1639" t="s">
        <v>575</v>
      </c>
      <c r="I1639">
        <f t="shared" si="179"/>
        <v>0</v>
      </c>
      <c r="J1639" t="s">
        <v>564</v>
      </c>
      <c r="K1639" s="5">
        <v>5</v>
      </c>
      <c r="L1639" t="str">
        <f>Table_DataFromNL[[#This Row],[PROFILECODE]]&amp;"-"&amp;Table_DataFromNL[[#This Row],[RULENAME]]</f>
        <v>CP226-Sample Only</v>
      </c>
      <c r="M1639" t="e">
        <f t="shared" si="180"/>
        <v>#N/A</v>
      </c>
    </row>
    <row r="1640" spans="1:13" x14ac:dyDescent="0.25">
      <c r="A1640" t="str">
        <f t="shared" si="181"/>
        <v>CP226-Unit Below 250 mL</v>
      </c>
      <c r="B1640" t="s">
        <v>296</v>
      </c>
      <c r="C1640" t="str">
        <f t="shared" si="175"/>
        <v>Jonesboro</v>
      </c>
      <c r="D1640" t="str">
        <f t="shared" si="176"/>
        <v>Y</v>
      </c>
      <c r="E1640" t="s">
        <v>636</v>
      </c>
      <c r="F1640" t="str">
        <f t="shared" si="177"/>
        <v>Unit Below 250 mL</v>
      </c>
      <c r="G1640">
        <f t="shared" si="178"/>
        <v>0</v>
      </c>
      <c r="H1640" t="s">
        <v>576</v>
      </c>
      <c r="I1640">
        <f t="shared" si="179"/>
        <v>0</v>
      </c>
      <c r="J1640" t="s">
        <v>564</v>
      </c>
      <c r="K1640" s="5">
        <v>5</v>
      </c>
      <c r="L1640" t="str">
        <f>Table_DataFromNL[[#This Row],[PROFILECODE]]&amp;"-"&amp;Table_DataFromNL[[#This Row],[RULENAME]]</f>
        <v>CP226-Unit Below 250 mL</v>
      </c>
      <c r="M1640" t="e">
        <f t="shared" si="180"/>
        <v>#N/A</v>
      </c>
    </row>
    <row r="1641" spans="1:13" x14ac:dyDescent="0.25">
      <c r="A1641" t="str">
        <f t="shared" si="181"/>
        <v>CP226-Unit above 250 mL/underdraw</v>
      </c>
      <c r="B1641" t="s">
        <v>296</v>
      </c>
      <c r="C1641" t="str">
        <f t="shared" si="175"/>
        <v>Jonesboro</v>
      </c>
      <c r="D1641" t="str">
        <f t="shared" si="176"/>
        <v>Y</v>
      </c>
      <c r="E1641" t="s">
        <v>636</v>
      </c>
      <c r="F1641" t="str">
        <f t="shared" si="177"/>
        <v>Unit above 250 mL/underdraw</v>
      </c>
      <c r="G1641">
        <f t="shared" si="178"/>
        <v>0</v>
      </c>
      <c r="H1641" t="s">
        <v>577</v>
      </c>
      <c r="I1641">
        <f t="shared" si="179"/>
        <v>0</v>
      </c>
      <c r="J1641" t="s">
        <v>564</v>
      </c>
      <c r="K1641" s="5">
        <v>10</v>
      </c>
      <c r="L1641" t="str">
        <f>Table_DataFromNL[[#This Row],[PROFILECODE]]&amp;"-"&amp;Table_DataFromNL[[#This Row],[RULENAME]]</f>
        <v>CP226-Unit above 250 mL/underdraw</v>
      </c>
      <c r="M1641" t="e">
        <f t="shared" si="180"/>
        <v>#N/A</v>
      </c>
    </row>
    <row r="1642" spans="1:13" x14ac:dyDescent="0.25">
      <c r="A1642" t="str">
        <f t="shared" si="181"/>
        <v>CP226-Vaccinia Immunization</v>
      </c>
      <c r="B1642" t="s">
        <v>296</v>
      </c>
      <c r="C1642" t="str">
        <f t="shared" si="175"/>
        <v>Jonesboro</v>
      </c>
      <c r="D1642" t="str">
        <f t="shared" si="176"/>
        <v>Y</v>
      </c>
      <c r="E1642" t="s">
        <v>636</v>
      </c>
      <c r="F1642" t="str">
        <f t="shared" si="177"/>
        <v>Vaccinia Immunization</v>
      </c>
      <c r="G1642">
        <f t="shared" si="178"/>
        <v>0</v>
      </c>
      <c r="H1642" t="s">
        <v>596</v>
      </c>
      <c r="I1642">
        <f t="shared" si="179"/>
        <v>0</v>
      </c>
      <c r="J1642" t="s">
        <v>564</v>
      </c>
      <c r="K1642" s="5">
        <v>100</v>
      </c>
      <c r="L1642" t="str">
        <f>Table_DataFromNL[[#This Row],[PROFILECODE]]&amp;"-"&amp;Table_DataFromNL[[#This Row],[RULENAME]]</f>
        <v>CP226-Vaccinia Immunization</v>
      </c>
      <c r="M1642" t="e">
        <f t="shared" si="180"/>
        <v>#N/A</v>
      </c>
    </row>
    <row r="1643" spans="1:13" x14ac:dyDescent="0.25">
      <c r="A1643" t="str">
        <f t="shared" si="181"/>
        <v>CP226-RETURN - Buddy referral  -BONUS</v>
      </c>
      <c r="B1643" t="s">
        <v>296</v>
      </c>
      <c r="C1643" t="str">
        <f t="shared" si="175"/>
        <v>Jonesboro</v>
      </c>
      <c r="D1643" t="str">
        <f t="shared" si="176"/>
        <v>Y</v>
      </c>
      <c r="E1643" t="s">
        <v>636</v>
      </c>
      <c r="F1643" t="str">
        <f t="shared" si="177"/>
        <v>RETURN - Buddy referral  -BONUS</v>
      </c>
      <c r="G1643" t="str">
        <f t="shared" si="178"/>
        <v>Marketing</v>
      </c>
      <c r="H1643" t="s">
        <v>34</v>
      </c>
      <c r="I1643">
        <f t="shared" si="179"/>
        <v>50</v>
      </c>
      <c r="J1643" t="s">
        <v>578</v>
      </c>
      <c r="K1643" s="5">
        <v>50</v>
      </c>
      <c r="L1643" t="str">
        <f>Table_DataFromNL[[#This Row],[PROFILECODE]]&amp;"-"&amp;Table_DataFromNL[[#This Row],[RULENAME]]</f>
        <v>CP226-Referral</v>
      </c>
      <c r="M1643" t="str">
        <f t="shared" si="180"/>
        <v>CP226-RETURN - Buddy referral  -BONUS</v>
      </c>
    </row>
    <row r="1644" spans="1:13" x14ac:dyDescent="0.25">
      <c r="A1644" t="str">
        <f t="shared" si="181"/>
        <v>CP226-P Anti-D Pre-Existing Standard</v>
      </c>
      <c r="B1644" t="s">
        <v>296</v>
      </c>
      <c r="C1644" t="str">
        <f t="shared" si="175"/>
        <v>Jonesboro</v>
      </c>
      <c r="D1644" t="str">
        <f t="shared" si="176"/>
        <v>Y</v>
      </c>
      <c r="E1644" t="s">
        <v>636</v>
      </c>
      <c r="F1644" t="str">
        <f t="shared" si="177"/>
        <v>P Anti-D Pre-Existing Standard</v>
      </c>
      <c r="G1644" t="str">
        <f t="shared" si="178"/>
        <v>Specialty</v>
      </c>
      <c r="H1644" t="s">
        <v>469</v>
      </c>
      <c r="I1644" t="str">
        <f t="shared" si="179"/>
        <v>RETURN - 1st don of the week -STD</v>
      </c>
      <c r="J1644" t="s">
        <v>579</v>
      </c>
      <c r="K1644" s="5">
        <v>50</v>
      </c>
      <c r="L1644" t="str">
        <f>Table_DataFromNL[[#This Row],[PROFILECODE]]&amp;"-"&amp;Table_DataFromNL[[#This Row],[RULENAME]]</f>
        <v>CP226-P Anti-D Pre-Existing Standard</v>
      </c>
      <c r="M1644" t="str">
        <f t="shared" si="180"/>
        <v>CP226-P Anti-D Pre-Existing Standard</v>
      </c>
    </row>
    <row r="1645" spans="1:13" x14ac:dyDescent="0.25">
      <c r="A1645" t="str">
        <f t="shared" si="181"/>
        <v>CP226-P Anti-D Standard</v>
      </c>
      <c r="B1645" t="s">
        <v>296</v>
      </c>
      <c r="C1645" t="str">
        <f t="shared" si="175"/>
        <v>Jonesboro</v>
      </c>
      <c r="D1645" t="str">
        <f t="shared" si="176"/>
        <v>Y</v>
      </c>
      <c r="E1645" t="s">
        <v>636</v>
      </c>
      <c r="F1645" t="str">
        <f t="shared" si="177"/>
        <v>P Anti-D Standard</v>
      </c>
      <c r="G1645" t="str">
        <f t="shared" si="178"/>
        <v>Specialty</v>
      </c>
      <c r="H1645" t="s">
        <v>474</v>
      </c>
      <c r="I1645" t="str">
        <f t="shared" si="179"/>
        <v>RETURN - 1st don of the week -STD</v>
      </c>
      <c r="J1645" t="s">
        <v>579</v>
      </c>
      <c r="K1645" s="5">
        <v>75</v>
      </c>
      <c r="L1645" t="str">
        <f>Table_DataFromNL[[#This Row],[PROFILECODE]]&amp;"-"&amp;Table_DataFromNL[[#This Row],[RULENAME]]</f>
        <v>CP226-P Anti-D Standard</v>
      </c>
      <c r="M1645" t="str">
        <f t="shared" si="180"/>
        <v>CP226-P Anti-D Standard</v>
      </c>
    </row>
    <row r="1646" spans="1:13" x14ac:dyDescent="0.25">
      <c r="A1646" t="str">
        <f t="shared" si="181"/>
        <v>CP226-P HBS Pre-Existing Standard</v>
      </c>
      <c r="B1646" t="s">
        <v>296</v>
      </c>
      <c r="C1646" t="str">
        <f t="shared" si="175"/>
        <v>Jonesboro</v>
      </c>
      <c r="D1646" t="str">
        <f t="shared" si="176"/>
        <v>Y</v>
      </c>
      <c r="E1646" t="s">
        <v>636</v>
      </c>
      <c r="F1646" t="str">
        <f t="shared" si="177"/>
        <v>P HBS Pre-Existing Standard</v>
      </c>
      <c r="G1646" t="str">
        <f t="shared" si="178"/>
        <v>Specialty</v>
      </c>
      <c r="H1646" t="s">
        <v>472</v>
      </c>
      <c r="I1646" t="str">
        <f t="shared" si="179"/>
        <v>RETURN - 1st don of the week -STD</v>
      </c>
      <c r="J1646" t="s">
        <v>579</v>
      </c>
      <c r="K1646" s="5">
        <v>70</v>
      </c>
      <c r="L1646" t="str">
        <f>Table_DataFromNL[[#This Row],[PROFILECODE]]&amp;"-"&amp;Table_DataFromNL[[#This Row],[RULENAME]]</f>
        <v>CP226-P HBS Pre-Existing Standard</v>
      </c>
      <c r="M1646" t="str">
        <f t="shared" si="180"/>
        <v>CP226-P HBS Pre-Existing Standard</v>
      </c>
    </row>
    <row r="1647" spans="1:13" x14ac:dyDescent="0.25">
      <c r="A1647" t="str">
        <f t="shared" si="181"/>
        <v>CP226-P HBS TWINRIX Standard</v>
      </c>
      <c r="B1647" t="s">
        <v>296</v>
      </c>
      <c r="C1647" t="str">
        <f t="shared" si="175"/>
        <v>Jonesboro</v>
      </c>
      <c r="D1647" t="str">
        <f t="shared" si="176"/>
        <v>Y</v>
      </c>
      <c r="E1647" t="s">
        <v>636</v>
      </c>
      <c r="F1647" t="str">
        <f t="shared" si="177"/>
        <v>P HBS TWINRIX Standard</v>
      </c>
      <c r="G1647" t="str">
        <f t="shared" si="178"/>
        <v>Specialty</v>
      </c>
      <c r="H1647" t="s">
        <v>506</v>
      </c>
      <c r="I1647" t="str">
        <f t="shared" si="179"/>
        <v>RETURN - 1st don of the week -STD</v>
      </c>
      <c r="J1647" t="s">
        <v>579</v>
      </c>
      <c r="K1647" s="5">
        <v>70</v>
      </c>
      <c r="L1647" t="str">
        <f>Table_DataFromNL[[#This Row],[PROFILECODE]]&amp;"-"&amp;Table_DataFromNL[[#This Row],[RULENAME]]</f>
        <v>CP226-P HBS TWINRIX Standard</v>
      </c>
      <c r="M1647" t="str">
        <f t="shared" si="180"/>
        <v>CP226-P HBS TWINRIX Standard</v>
      </c>
    </row>
    <row r="1648" spans="1:13" x14ac:dyDescent="0.25">
      <c r="A1648" t="str">
        <f t="shared" si="181"/>
        <v>CP226-P HBS TWINRIX-AP Standard</v>
      </c>
      <c r="B1648" t="s">
        <v>296</v>
      </c>
      <c r="C1648" t="str">
        <f t="shared" si="175"/>
        <v>Jonesboro</v>
      </c>
      <c r="D1648" t="str">
        <f t="shared" si="176"/>
        <v>Y</v>
      </c>
      <c r="E1648" t="s">
        <v>636</v>
      </c>
      <c r="F1648" t="str">
        <f t="shared" si="177"/>
        <v>P HBS TWINRIX-AP Standard</v>
      </c>
      <c r="G1648" t="str">
        <f t="shared" si="178"/>
        <v>Specialty</v>
      </c>
      <c r="H1648" t="s">
        <v>507</v>
      </c>
      <c r="I1648" t="str">
        <f t="shared" si="179"/>
        <v>RETURN - 1st don of the week -STD</v>
      </c>
      <c r="J1648" t="s">
        <v>579</v>
      </c>
      <c r="K1648" s="5">
        <v>70</v>
      </c>
      <c r="L1648" t="str">
        <f>Table_DataFromNL[[#This Row],[PROFILECODE]]&amp;"-"&amp;Table_DataFromNL[[#This Row],[RULENAME]]</f>
        <v>CP226-P HBS TWINRIX-AP Standard</v>
      </c>
      <c r="M1648" t="str">
        <f t="shared" si="180"/>
        <v>CP226-P HBS TWINRIX-AP Standard</v>
      </c>
    </row>
    <row r="1649" spans="1:13" x14ac:dyDescent="0.25">
      <c r="A1649" t="str">
        <f t="shared" si="181"/>
        <v>CP226-RETURN - 1st don of the week -STD</v>
      </c>
      <c r="B1649" t="s">
        <v>296</v>
      </c>
      <c r="C1649" t="str">
        <f t="shared" si="175"/>
        <v>Jonesboro</v>
      </c>
      <c r="D1649" t="str">
        <f t="shared" si="176"/>
        <v>Y</v>
      </c>
      <c r="E1649" t="s">
        <v>636</v>
      </c>
      <c r="F1649" t="str">
        <f t="shared" si="177"/>
        <v>RETURN - 1st don of the week -STD</v>
      </c>
      <c r="G1649" t="str">
        <f t="shared" si="178"/>
        <v>Marketing</v>
      </c>
      <c r="H1649" t="s">
        <v>583</v>
      </c>
      <c r="I1649">
        <f t="shared" si="179"/>
        <v>22</v>
      </c>
      <c r="J1649" t="s">
        <v>579</v>
      </c>
      <c r="K1649" s="5">
        <v>50</v>
      </c>
      <c r="L1649" t="str">
        <f>Table_DataFromNL[[#This Row],[PROFILECODE]]&amp;"-"&amp;Table_DataFromNL[[#This Row],[RULENAME]]</f>
        <v>CP226-P NSP NS AP Standard</v>
      </c>
      <c r="M1649" t="str">
        <f t="shared" si="180"/>
        <v>CP226-RETURN - 1st don of the week -STD</v>
      </c>
    </row>
    <row r="1650" spans="1:13" x14ac:dyDescent="0.25">
      <c r="A1650" t="str">
        <f t="shared" si="181"/>
        <v>CP226-RETURN - 1st don of the week -STD</v>
      </c>
      <c r="B1650" t="s">
        <v>296</v>
      </c>
      <c r="C1650" t="str">
        <f t="shared" si="175"/>
        <v>Jonesboro</v>
      </c>
      <c r="D1650" t="str">
        <f t="shared" si="176"/>
        <v>Y</v>
      </c>
      <c r="E1650" t="s">
        <v>636</v>
      </c>
      <c r="F1650" t="str">
        <f t="shared" si="177"/>
        <v>RETURN - 1st don of the week -STD</v>
      </c>
      <c r="G1650" t="str">
        <f t="shared" si="178"/>
        <v>Marketing</v>
      </c>
      <c r="H1650" t="s">
        <v>584</v>
      </c>
      <c r="I1650">
        <f t="shared" si="179"/>
        <v>23</v>
      </c>
      <c r="J1650" t="s">
        <v>579</v>
      </c>
      <c r="K1650" s="5">
        <v>50</v>
      </c>
      <c r="L1650" t="str">
        <f>Table_DataFromNL[[#This Row],[PROFILECODE]]&amp;"-"&amp;Table_DataFromNL[[#This Row],[RULENAME]]</f>
        <v>CP226-P NSP NS Standard</v>
      </c>
      <c r="M1650" t="str">
        <f t="shared" si="180"/>
        <v>CP226-RETURN - 1st don of the week -STD</v>
      </c>
    </row>
    <row r="1651" spans="1:13" x14ac:dyDescent="0.25">
      <c r="A1651" t="str">
        <f t="shared" si="181"/>
        <v>CP226-P VZV Pre-Existing AP</v>
      </c>
      <c r="B1651" t="s">
        <v>296</v>
      </c>
      <c r="C1651" t="str">
        <f t="shared" si="175"/>
        <v>Jonesboro</v>
      </c>
      <c r="D1651" t="str">
        <f t="shared" si="176"/>
        <v>Y</v>
      </c>
      <c r="E1651" t="s">
        <v>636</v>
      </c>
      <c r="F1651" t="str">
        <f t="shared" si="177"/>
        <v>P VZV Pre-Existing AP</v>
      </c>
      <c r="G1651" t="str">
        <f t="shared" si="178"/>
        <v>Specialty</v>
      </c>
      <c r="H1651" t="s">
        <v>495</v>
      </c>
      <c r="I1651" t="str">
        <f t="shared" si="179"/>
        <v>RETURN - 1st don of the week -STD</v>
      </c>
      <c r="J1651" t="s">
        <v>579</v>
      </c>
      <c r="K1651" s="5">
        <v>60</v>
      </c>
      <c r="L1651" t="str">
        <f>Table_DataFromNL[[#This Row],[PROFILECODE]]&amp;"-"&amp;Table_DataFromNL[[#This Row],[RULENAME]]</f>
        <v>CP226-P VZV Pre-Existing AP</v>
      </c>
      <c r="M1651" t="str">
        <f t="shared" si="180"/>
        <v>CP226-P VZV Pre-Existing AP</v>
      </c>
    </row>
    <row r="1652" spans="1:13" x14ac:dyDescent="0.25">
      <c r="A1652" t="str">
        <f t="shared" si="181"/>
        <v>CP226-P Vaccinia AP Standard</v>
      </c>
      <c r="B1652" t="s">
        <v>296</v>
      </c>
      <c r="C1652" t="str">
        <f t="shared" si="175"/>
        <v>Jonesboro</v>
      </c>
      <c r="D1652" t="str">
        <f t="shared" si="176"/>
        <v>Y</v>
      </c>
      <c r="E1652" t="s">
        <v>636</v>
      </c>
      <c r="F1652" t="str">
        <f t="shared" si="177"/>
        <v>P Vaccinia AP Standard</v>
      </c>
      <c r="G1652" t="str">
        <f t="shared" si="178"/>
        <v>Specialty</v>
      </c>
      <c r="H1652" t="s">
        <v>475</v>
      </c>
      <c r="I1652">
        <f t="shared" si="179"/>
        <v>0</v>
      </c>
      <c r="J1652" t="s">
        <v>579</v>
      </c>
      <c r="K1652" s="5">
        <v>100</v>
      </c>
      <c r="L1652" t="str">
        <f>Table_DataFromNL[[#This Row],[PROFILECODE]]&amp;"-"&amp;Table_DataFromNL[[#This Row],[RULENAME]]</f>
        <v>CP226-P Vaccinia AP Standard</v>
      </c>
      <c r="M1652" t="str">
        <f t="shared" si="180"/>
        <v>CP226-P Vaccinia AP Standard</v>
      </c>
    </row>
    <row r="1653" spans="1:13" x14ac:dyDescent="0.25">
      <c r="A1653" t="str">
        <f t="shared" si="181"/>
        <v>CP226-P Vaccinia Standard</v>
      </c>
      <c r="B1653" t="s">
        <v>296</v>
      </c>
      <c r="C1653" t="str">
        <f t="shared" si="175"/>
        <v>Jonesboro</v>
      </c>
      <c r="D1653" t="str">
        <f t="shared" si="176"/>
        <v>Y</v>
      </c>
      <c r="E1653" t="s">
        <v>636</v>
      </c>
      <c r="F1653" t="str">
        <f t="shared" si="177"/>
        <v>P Vaccinia Standard</v>
      </c>
      <c r="G1653" t="str">
        <f t="shared" si="178"/>
        <v>Specialty</v>
      </c>
      <c r="H1653" t="s">
        <v>476</v>
      </c>
      <c r="I1653">
        <f t="shared" si="179"/>
        <v>0</v>
      </c>
      <c r="J1653" t="s">
        <v>579</v>
      </c>
      <c r="K1653" s="5">
        <v>100</v>
      </c>
      <c r="L1653" t="str">
        <f>Table_DataFromNL[[#This Row],[PROFILECODE]]&amp;"-"&amp;Table_DataFromNL[[#This Row],[RULENAME]]</f>
        <v>CP226-P Vaccinia Standard</v>
      </c>
      <c r="M1653" t="str">
        <f t="shared" si="180"/>
        <v>CP226-P Vaccinia Standard</v>
      </c>
    </row>
    <row r="1654" spans="1:13" x14ac:dyDescent="0.25">
      <c r="A1654" t="str">
        <f t="shared" si="181"/>
        <v>CP226-PVZV Pre-Existing Standard</v>
      </c>
      <c r="B1654" t="s">
        <v>296</v>
      </c>
      <c r="C1654" t="str">
        <f t="shared" si="175"/>
        <v>Jonesboro</v>
      </c>
      <c r="D1654" t="str">
        <f t="shared" si="176"/>
        <v>Y</v>
      </c>
      <c r="E1654" t="s">
        <v>636</v>
      </c>
      <c r="F1654" t="str">
        <f t="shared" si="177"/>
        <v>PVZV Pre-Existing Standard</v>
      </c>
      <c r="G1654" t="str">
        <f t="shared" si="178"/>
        <v>Specialty</v>
      </c>
      <c r="H1654" t="s">
        <v>497</v>
      </c>
      <c r="I1654" t="str">
        <f t="shared" si="179"/>
        <v>RETURN - 1st don of the week -STD</v>
      </c>
      <c r="J1654" t="s">
        <v>579</v>
      </c>
      <c r="K1654" s="5">
        <v>60</v>
      </c>
      <c r="L1654" t="str">
        <f>Table_DataFromNL[[#This Row],[PROFILECODE]]&amp;"-"&amp;Table_DataFromNL[[#This Row],[RULENAME]]</f>
        <v>CP226-PVZV Pre-Existing Standard</v>
      </c>
      <c r="M1654" t="str">
        <f t="shared" si="180"/>
        <v>CP226-PVZV Pre-Existing Standard</v>
      </c>
    </row>
    <row r="1655" spans="1:13" x14ac:dyDescent="0.25">
      <c r="A1655" t="str">
        <f t="shared" si="181"/>
        <v>CP574-1st Responder-Medical</v>
      </c>
      <c r="B1655" t="s">
        <v>432</v>
      </c>
      <c r="C1655" t="str">
        <f t="shared" si="175"/>
        <v>La Vergne</v>
      </c>
      <c r="D1655" t="str">
        <f t="shared" si="176"/>
        <v>Y</v>
      </c>
      <c r="E1655" t="s">
        <v>637</v>
      </c>
      <c r="F1655" t="str">
        <f t="shared" si="177"/>
        <v>1st Responder-Medical</v>
      </c>
      <c r="G1655">
        <f t="shared" si="178"/>
        <v>0</v>
      </c>
      <c r="H1655" t="s">
        <v>545</v>
      </c>
      <c r="I1655">
        <f t="shared" si="179"/>
        <v>0</v>
      </c>
      <c r="J1655" t="s">
        <v>546</v>
      </c>
      <c r="K1655" s="5">
        <v>5</v>
      </c>
      <c r="L1655" t="str">
        <f>Table_DataFromNL[[#This Row],[PROFILECODE]]&amp;"-"&amp;Table_DataFromNL[[#This Row],[RULENAME]]</f>
        <v>CP574-1st Responder-Medical</v>
      </c>
      <c r="M1655" t="e">
        <f t="shared" si="180"/>
        <v>#N/A</v>
      </c>
    </row>
    <row r="1656" spans="1:13" x14ac:dyDescent="0.25">
      <c r="A1656" t="str">
        <f t="shared" si="181"/>
        <v>CP574-RETURN - 5th don of the month -BONUS</v>
      </c>
      <c r="B1656" t="s">
        <v>432</v>
      </c>
      <c r="C1656" t="str">
        <f t="shared" si="175"/>
        <v>La Vergne</v>
      </c>
      <c r="D1656" t="str">
        <f t="shared" si="176"/>
        <v>Y</v>
      </c>
      <c r="E1656" t="s">
        <v>637</v>
      </c>
      <c r="F1656" t="str">
        <f t="shared" si="177"/>
        <v>RETURN - 5th don of the month -BONUS</v>
      </c>
      <c r="G1656" t="str">
        <f t="shared" si="178"/>
        <v>Marketing</v>
      </c>
      <c r="H1656" t="s">
        <v>609</v>
      </c>
      <c r="I1656">
        <f t="shared" si="179"/>
        <v>27</v>
      </c>
      <c r="J1656" t="s">
        <v>546</v>
      </c>
      <c r="K1656" s="5">
        <v>30</v>
      </c>
      <c r="L1656" t="str">
        <f>Table_DataFromNL[[#This Row],[PROFILECODE]]&amp;"-"&amp;Table_DataFromNL[[#This Row],[RULENAME]]</f>
        <v>CP574-5X Month</v>
      </c>
      <c r="M1656" t="str">
        <f t="shared" si="180"/>
        <v>CP574-RETURN - 5th don of the month -BONUS</v>
      </c>
    </row>
    <row r="1657" spans="1:13" x14ac:dyDescent="0.25">
      <c r="A1657" t="str">
        <f t="shared" si="181"/>
        <v>CP574-College ID Standard Bonus</v>
      </c>
      <c r="B1657" t="s">
        <v>432</v>
      </c>
      <c r="C1657" t="str">
        <f t="shared" si="175"/>
        <v>La Vergne</v>
      </c>
      <c r="D1657" t="str">
        <f t="shared" si="176"/>
        <v>Y</v>
      </c>
      <c r="E1657" t="s">
        <v>637</v>
      </c>
      <c r="F1657" t="str">
        <f t="shared" si="177"/>
        <v>College ID Standard Bonus</v>
      </c>
      <c r="G1657">
        <f t="shared" si="178"/>
        <v>0</v>
      </c>
      <c r="H1657" t="s">
        <v>553</v>
      </c>
      <c r="I1657">
        <f t="shared" si="179"/>
        <v>0</v>
      </c>
      <c r="J1657" t="s">
        <v>546</v>
      </c>
      <c r="K1657" s="5">
        <v>5</v>
      </c>
      <c r="L1657" t="str">
        <f>Table_DataFromNL[[#This Row],[PROFILECODE]]&amp;"-"&amp;Table_DataFromNL[[#This Row],[RULENAME]]</f>
        <v>CP574-College ID Standard Bonus</v>
      </c>
      <c r="M1657" t="e">
        <f t="shared" si="180"/>
        <v>#N/A</v>
      </c>
    </row>
    <row r="1658" spans="1:13" x14ac:dyDescent="0.25">
      <c r="A1658" t="str">
        <f t="shared" si="181"/>
        <v>CP574-Military ID</v>
      </c>
      <c r="B1658" t="s">
        <v>432</v>
      </c>
      <c r="C1658" t="str">
        <f t="shared" si="175"/>
        <v>La Vergne</v>
      </c>
      <c r="D1658" t="str">
        <f t="shared" si="176"/>
        <v>Y</v>
      </c>
      <c r="E1658" t="s">
        <v>637</v>
      </c>
      <c r="F1658" t="str">
        <f t="shared" si="177"/>
        <v>Military ID</v>
      </c>
      <c r="G1658">
        <f t="shared" si="178"/>
        <v>0</v>
      </c>
      <c r="H1658" t="s">
        <v>554</v>
      </c>
      <c r="I1658">
        <f t="shared" si="179"/>
        <v>0</v>
      </c>
      <c r="J1658" t="s">
        <v>546</v>
      </c>
      <c r="K1658" s="5">
        <v>5</v>
      </c>
      <c r="L1658" t="str">
        <f>Table_DataFromNL[[#This Row],[PROFILECODE]]&amp;"-"&amp;Table_DataFromNL[[#This Row],[RULENAME]]</f>
        <v>CP574-Military ID</v>
      </c>
      <c r="M1658" t="e">
        <f t="shared" si="180"/>
        <v>#N/A</v>
      </c>
    </row>
    <row r="1659" spans="1:13" x14ac:dyDescent="0.25">
      <c r="A1659" t="str">
        <f t="shared" si="181"/>
        <v>CP574-NEW DONOR -1st</v>
      </c>
      <c r="B1659" t="s">
        <v>432</v>
      </c>
      <c r="C1659" t="str">
        <f t="shared" si="175"/>
        <v>La Vergne</v>
      </c>
      <c r="D1659" t="str">
        <f t="shared" si="176"/>
        <v>Y</v>
      </c>
      <c r="E1659" t="s">
        <v>637</v>
      </c>
      <c r="F1659" t="str">
        <f t="shared" si="177"/>
        <v>NEW DONOR -1st</v>
      </c>
      <c r="G1659" t="str">
        <f t="shared" si="178"/>
        <v>Marketing</v>
      </c>
      <c r="H1659" t="s">
        <v>555</v>
      </c>
      <c r="I1659">
        <f t="shared" si="179"/>
        <v>1</v>
      </c>
      <c r="J1659" t="s">
        <v>546</v>
      </c>
      <c r="K1659" s="5">
        <v>65</v>
      </c>
      <c r="L1659" t="str">
        <f>Table_DataFromNL[[#This Row],[PROFILECODE]]&amp;"-"&amp;Table_DataFromNL[[#This Row],[RULENAME]]</f>
        <v>CP574-New Donor 1st Visit-Bonus</v>
      </c>
      <c r="M1659" t="str">
        <f t="shared" si="180"/>
        <v>CP574-NEW DONOR -1st</v>
      </c>
    </row>
    <row r="1660" spans="1:13" x14ac:dyDescent="0.25">
      <c r="A1660" t="str">
        <f t="shared" si="181"/>
        <v>CP574-NEW DONOR -2nd</v>
      </c>
      <c r="B1660" t="s">
        <v>432</v>
      </c>
      <c r="C1660" t="str">
        <f t="shared" si="175"/>
        <v>La Vergne</v>
      </c>
      <c r="D1660" t="str">
        <f t="shared" si="176"/>
        <v>Y</v>
      </c>
      <c r="E1660" t="s">
        <v>637</v>
      </c>
      <c r="F1660" t="str">
        <f t="shared" si="177"/>
        <v>NEW DONOR -2nd</v>
      </c>
      <c r="G1660" t="str">
        <f t="shared" si="178"/>
        <v>Marketing</v>
      </c>
      <c r="H1660" t="s">
        <v>556</v>
      </c>
      <c r="I1660">
        <f t="shared" si="179"/>
        <v>2</v>
      </c>
      <c r="J1660" t="s">
        <v>546</v>
      </c>
      <c r="K1660" s="5">
        <v>65</v>
      </c>
      <c r="L1660" t="str">
        <f>Table_DataFromNL[[#This Row],[PROFILECODE]]&amp;"-"&amp;Table_DataFromNL[[#This Row],[RULENAME]]</f>
        <v>CP574-New Donor 2nd Visit-Bonus</v>
      </c>
      <c r="M1660" t="str">
        <f t="shared" si="180"/>
        <v>CP574-NEW DONOR -2nd</v>
      </c>
    </row>
    <row r="1661" spans="1:13" x14ac:dyDescent="0.25">
      <c r="A1661" t="str">
        <f t="shared" si="181"/>
        <v>CP574-NEW DONOR -3rd</v>
      </c>
      <c r="B1661" t="s">
        <v>432</v>
      </c>
      <c r="C1661" t="str">
        <f t="shared" si="175"/>
        <v>La Vergne</v>
      </c>
      <c r="D1661" t="str">
        <f t="shared" si="176"/>
        <v>Y</v>
      </c>
      <c r="E1661" t="s">
        <v>637</v>
      </c>
      <c r="F1661" t="str">
        <f t="shared" si="177"/>
        <v>NEW DONOR -3rd</v>
      </c>
      <c r="G1661" t="str">
        <f t="shared" si="178"/>
        <v>Marketing</v>
      </c>
      <c r="H1661" t="s">
        <v>557</v>
      </c>
      <c r="I1661">
        <f t="shared" si="179"/>
        <v>3</v>
      </c>
      <c r="J1661" t="s">
        <v>546</v>
      </c>
      <c r="K1661" s="5">
        <v>65</v>
      </c>
      <c r="L1661" t="str">
        <f>Table_DataFromNL[[#This Row],[PROFILECODE]]&amp;"-"&amp;Table_DataFromNL[[#This Row],[RULENAME]]</f>
        <v>CP574-New Donor 3rd Visit-Bonus</v>
      </c>
      <c r="M1661" t="str">
        <f t="shared" si="180"/>
        <v>CP574-NEW DONOR -3rd</v>
      </c>
    </row>
    <row r="1662" spans="1:13" x14ac:dyDescent="0.25">
      <c r="A1662" t="str">
        <f t="shared" si="181"/>
        <v>CP574-NEW DONOR -4th</v>
      </c>
      <c r="B1662" t="s">
        <v>432</v>
      </c>
      <c r="C1662" t="str">
        <f t="shared" si="175"/>
        <v>La Vergne</v>
      </c>
      <c r="D1662" t="str">
        <f t="shared" si="176"/>
        <v>Y</v>
      </c>
      <c r="E1662" t="s">
        <v>637</v>
      </c>
      <c r="F1662" t="str">
        <f t="shared" si="177"/>
        <v>NEW DONOR -4th</v>
      </c>
      <c r="G1662" t="str">
        <f t="shared" si="178"/>
        <v>Marketing</v>
      </c>
      <c r="H1662" t="s">
        <v>558</v>
      </c>
      <c r="I1662">
        <f t="shared" si="179"/>
        <v>4</v>
      </c>
      <c r="J1662" t="s">
        <v>546</v>
      </c>
      <c r="K1662" s="5">
        <v>65</v>
      </c>
      <c r="L1662" t="str">
        <f>Table_DataFromNL[[#This Row],[PROFILECODE]]&amp;"-"&amp;Table_DataFromNL[[#This Row],[RULENAME]]</f>
        <v>CP574-New Donor 4th Visit-Bonus</v>
      </c>
      <c r="M1662" t="str">
        <f t="shared" si="180"/>
        <v>CP574-NEW DONOR -4th</v>
      </c>
    </row>
    <row r="1663" spans="1:13" x14ac:dyDescent="0.25">
      <c r="A1663" t="str">
        <f t="shared" si="181"/>
        <v>CP574-NEW DONOR -5th</v>
      </c>
      <c r="B1663" t="s">
        <v>432</v>
      </c>
      <c r="C1663" t="str">
        <f t="shared" si="175"/>
        <v>La Vergne</v>
      </c>
      <c r="D1663" t="str">
        <f t="shared" si="176"/>
        <v>Y</v>
      </c>
      <c r="E1663" t="s">
        <v>637</v>
      </c>
      <c r="F1663" t="str">
        <f t="shared" si="177"/>
        <v>NEW DONOR -5th</v>
      </c>
      <c r="G1663" t="str">
        <f t="shared" si="178"/>
        <v>Marketing</v>
      </c>
      <c r="H1663" t="s">
        <v>559</v>
      </c>
      <c r="I1663">
        <f t="shared" si="179"/>
        <v>5</v>
      </c>
      <c r="J1663" t="s">
        <v>546</v>
      </c>
      <c r="K1663" s="5">
        <v>65</v>
      </c>
      <c r="L1663" t="str">
        <f>Table_DataFromNL[[#This Row],[PROFILECODE]]&amp;"-"&amp;Table_DataFromNL[[#This Row],[RULENAME]]</f>
        <v>CP574-New Donor 5th Visit-Bonus</v>
      </c>
      <c r="M1663" t="str">
        <f t="shared" si="180"/>
        <v>CP574-NEW DONOR -5th</v>
      </c>
    </row>
    <row r="1664" spans="1:13" x14ac:dyDescent="0.25">
      <c r="A1664" t="str">
        <f t="shared" si="181"/>
        <v>CP574-NEW DONOR -6th</v>
      </c>
      <c r="B1664" t="s">
        <v>432</v>
      </c>
      <c r="C1664" t="str">
        <f t="shared" si="175"/>
        <v>La Vergne</v>
      </c>
      <c r="D1664" t="str">
        <f t="shared" si="176"/>
        <v>Y</v>
      </c>
      <c r="E1664" t="s">
        <v>637</v>
      </c>
      <c r="F1664" t="str">
        <f t="shared" si="177"/>
        <v>NEW DONOR -6th</v>
      </c>
      <c r="G1664" t="str">
        <f t="shared" si="178"/>
        <v>Marketing</v>
      </c>
      <c r="H1664" t="s">
        <v>560</v>
      </c>
      <c r="I1664">
        <f t="shared" si="179"/>
        <v>6</v>
      </c>
      <c r="J1664" t="s">
        <v>546</v>
      </c>
      <c r="K1664" s="5">
        <v>65</v>
      </c>
      <c r="L1664" t="str">
        <f>Table_DataFromNL[[#This Row],[PROFILECODE]]&amp;"-"&amp;Table_DataFromNL[[#This Row],[RULENAME]]</f>
        <v>CP574-New Donor 6th Visit-Bonus</v>
      </c>
      <c r="M1664" t="str">
        <f t="shared" si="180"/>
        <v>CP574-NEW DONOR -6th</v>
      </c>
    </row>
    <row r="1665" spans="1:13" x14ac:dyDescent="0.25">
      <c r="A1665" t="str">
        <f t="shared" si="181"/>
        <v>CP574-NEW DONOR -7th</v>
      </c>
      <c r="B1665" t="s">
        <v>432</v>
      </c>
      <c r="C1665" t="str">
        <f t="shared" si="175"/>
        <v>La Vergne</v>
      </c>
      <c r="D1665" t="str">
        <f t="shared" si="176"/>
        <v>Y</v>
      </c>
      <c r="E1665" t="s">
        <v>637</v>
      </c>
      <c r="F1665" t="str">
        <f t="shared" si="177"/>
        <v>NEW DONOR -7th</v>
      </c>
      <c r="G1665" t="str">
        <f t="shared" si="178"/>
        <v>Marketing</v>
      </c>
      <c r="H1665" t="s">
        <v>561</v>
      </c>
      <c r="I1665">
        <f t="shared" si="179"/>
        <v>7</v>
      </c>
      <c r="J1665" t="s">
        <v>546</v>
      </c>
      <c r="K1665" s="5">
        <v>65</v>
      </c>
      <c r="L1665" t="str">
        <f>Table_DataFromNL[[#This Row],[PROFILECODE]]&amp;"-"&amp;Table_DataFromNL[[#This Row],[RULENAME]]</f>
        <v>CP574-New Donor 7th Visit-Bonus</v>
      </c>
      <c r="M1665" t="str">
        <f t="shared" si="180"/>
        <v>CP574-NEW DONOR -7th</v>
      </c>
    </row>
    <row r="1666" spans="1:13" x14ac:dyDescent="0.25">
      <c r="A1666" t="str">
        <f t="shared" si="181"/>
        <v>CP574-NEW DONOR -8th</v>
      </c>
      <c r="B1666" t="s">
        <v>432</v>
      </c>
      <c r="C1666" t="str">
        <f t="shared" ref="C1666:C1729" si="182">VLOOKUP(B1666,CenterLU,2,FALSE)</f>
        <v>La Vergne</v>
      </c>
      <c r="D1666" t="str">
        <f t="shared" ref="D1666:D1729" si="183">VLOOKUP(B1666,CenterLU,3,FALSE)</f>
        <v>Y</v>
      </c>
      <c r="E1666" t="s">
        <v>637</v>
      </c>
      <c r="F1666" t="str">
        <f t="shared" ref="F1666:F1729" si="184">IF(VLOOKUP(H1666,RULENAMELU,3,FALSE)=0,H1666,VLOOKUP(H1666,RULENAMELU,3,FALSE))</f>
        <v>NEW DONOR -8th</v>
      </c>
      <c r="G1666" t="str">
        <f t="shared" ref="G1666:G1729" si="185">VLOOKUP(H1666,RULENAMELU,4,FALSE)</f>
        <v>Marketing</v>
      </c>
      <c r="H1666" t="s">
        <v>562</v>
      </c>
      <c r="I1666">
        <f t="shared" ref="I1666:I1729" si="186">VLOOKUP(H1666,RULENAMELU,5,FALSE)</f>
        <v>8</v>
      </c>
      <c r="J1666" t="s">
        <v>546</v>
      </c>
      <c r="K1666" s="5">
        <v>65</v>
      </c>
      <c r="L1666" t="str">
        <f>Table_DataFromNL[[#This Row],[PROFILECODE]]&amp;"-"&amp;Table_DataFromNL[[#This Row],[RULENAME]]</f>
        <v>CP574-New Donor 8th Visit-Bonus</v>
      </c>
      <c r="M1666" t="str">
        <f t="shared" ref="M1666:M1729" si="187">IFERROR(VLOOKUP(A1666,PaychangesLU,1,FALSE),VLOOKUP(A1666,SpecialtyCheckLU,1,FALSE))</f>
        <v>CP574-NEW DONOR -8th</v>
      </c>
    </row>
    <row r="1667" spans="1:13" x14ac:dyDescent="0.25">
      <c r="A1667" t="str">
        <f t="shared" ref="A1667:A1730" si="188">B1667&amp;"-"&amp;F1667</f>
        <v>CP574-Community</v>
      </c>
      <c r="B1667" t="s">
        <v>432</v>
      </c>
      <c r="C1667" t="str">
        <f t="shared" si="182"/>
        <v>La Vergne</v>
      </c>
      <c r="D1667" t="str">
        <f t="shared" si="183"/>
        <v>Y</v>
      </c>
      <c r="E1667" t="s">
        <v>637</v>
      </c>
      <c r="F1667" t="str">
        <f t="shared" si="184"/>
        <v>Community</v>
      </c>
      <c r="G1667">
        <f t="shared" si="185"/>
        <v>0</v>
      </c>
      <c r="H1667" t="s">
        <v>563</v>
      </c>
      <c r="I1667">
        <f t="shared" si="186"/>
        <v>0</v>
      </c>
      <c r="J1667" t="s">
        <v>564</v>
      </c>
      <c r="K1667" s="5">
        <v>5</v>
      </c>
      <c r="L1667" t="str">
        <f>Table_DataFromNL[[#This Row],[PROFILECODE]]&amp;"-"&amp;Table_DataFromNL[[#This Row],[RULENAME]]</f>
        <v>CP574-Community</v>
      </c>
      <c r="M1667" t="e">
        <f t="shared" si="187"/>
        <v>#N/A</v>
      </c>
    </row>
    <row r="1668" spans="1:13" x14ac:dyDescent="0.25">
      <c r="A1668" t="str">
        <f t="shared" si="188"/>
        <v>CP574-HANGER_RECRUIT_5USD_once</v>
      </c>
      <c r="B1668" t="s">
        <v>432</v>
      </c>
      <c r="C1668" t="str">
        <f t="shared" si="182"/>
        <v>La Vergne</v>
      </c>
      <c r="D1668" t="str">
        <f t="shared" si="183"/>
        <v>Y</v>
      </c>
      <c r="E1668" t="s">
        <v>637</v>
      </c>
      <c r="F1668" t="str">
        <f t="shared" si="184"/>
        <v>HANGER_RECRUIT_5USD_once</v>
      </c>
      <c r="G1668">
        <f t="shared" si="185"/>
        <v>0</v>
      </c>
      <c r="H1668" t="s">
        <v>565</v>
      </c>
      <c r="I1668">
        <f t="shared" si="186"/>
        <v>0</v>
      </c>
      <c r="J1668" t="s">
        <v>564</v>
      </c>
      <c r="K1668" s="5">
        <v>5</v>
      </c>
      <c r="L1668" t="str">
        <f>Table_DataFromNL[[#This Row],[PROFILECODE]]&amp;"-"&amp;Table_DataFromNL[[#This Row],[RULENAME]]</f>
        <v>CP574-HANGER_RECRUIT_5USD_once</v>
      </c>
      <c r="M1668" t="e">
        <f t="shared" si="187"/>
        <v>#N/A</v>
      </c>
    </row>
    <row r="1669" spans="1:13" x14ac:dyDescent="0.25">
      <c r="A1669" t="str">
        <f t="shared" si="188"/>
        <v>CP574-Inconv Fee $20-$50-Comment Req'd</v>
      </c>
      <c r="B1669" t="s">
        <v>432</v>
      </c>
      <c r="C1669" t="str">
        <f t="shared" si="182"/>
        <v>La Vergne</v>
      </c>
      <c r="D1669" t="str">
        <f t="shared" si="183"/>
        <v>Y</v>
      </c>
      <c r="E1669" t="s">
        <v>637</v>
      </c>
      <c r="F1669" t="str">
        <f t="shared" si="184"/>
        <v>Inconv Fee $20-$50-Comment Req'd</v>
      </c>
      <c r="G1669">
        <f t="shared" si="185"/>
        <v>0</v>
      </c>
      <c r="H1669" t="s">
        <v>566</v>
      </c>
      <c r="I1669">
        <f t="shared" si="186"/>
        <v>0</v>
      </c>
      <c r="J1669" t="s">
        <v>564</v>
      </c>
      <c r="K1669" s="5">
        <v>50</v>
      </c>
      <c r="L1669" t="str">
        <f>Table_DataFromNL[[#This Row],[PROFILECODE]]&amp;"-"&amp;Table_DataFromNL[[#This Row],[RULENAME]]</f>
        <v>CP574-Inconv Fee $20-$50-Comment Req'd</v>
      </c>
      <c r="M1669" t="e">
        <f t="shared" si="187"/>
        <v>#N/A</v>
      </c>
    </row>
    <row r="1670" spans="1:13" x14ac:dyDescent="0.25">
      <c r="A1670" t="str">
        <f t="shared" si="188"/>
        <v>CP574-Inconv Fee $5-$20-Comment Req'd</v>
      </c>
      <c r="B1670" t="s">
        <v>432</v>
      </c>
      <c r="C1670" t="str">
        <f t="shared" si="182"/>
        <v>La Vergne</v>
      </c>
      <c r="D1670" t="str">
        <f t="shared" si="183"/>
        <v>Y</v>
      </c>
      <c r="E1670" t="s">
        <v>637</v>
      </c>
      <c r="F1670" t="str">
        <f t="shared" si="184"/>
        <v>Inconv Fee $5-$20-Comment Req'd</v>
      </c>
      <c r="G1670">
        <f t="shared" si="185"/>
        <v>0</v>
      </c>
      <c r="H1670" t="s">
        <v>567</v>
      </c>
      <c r="I1670">
        <f t="shared" si="186"/>
        <v>0</v>
      </c>
      <c r="J1670" t="s">
        <v>564</v>
      </c>
      <c r="K1670" s="5">
        <v>20</v>
      </c>
      <c r="L1670" t="str">
        <f>Table_DataFromNL[[#This Row],[PROFILECODE]]&amp;"-"&amp;Table_DataFromNL[[#This Row],[RULENAME]]</f>
        <v>CP574-Inconv Fee $5-$20-Comment Req'd</v>
      </c>
      <c r="M1670" t="e">
        <f t="shared" si="187"/>
        <v>#N/A</v>
      </c>
    </row>
    <row r="1671" spans="1:13" x14ac:dyDescent="0.25">
      <c r="A1671" t="str">
        <f t="shared" si="188"/>
        <v>CP574-Inconv Fee$50-$100-Comment Req'd</v>
      </c>
      <c r="B1671" t="s">
        <v>432</v>
      </c>
      <c r="C1671" t="str">
        <f t="shared" si="182"/>
        <v>La Vergne</v>
      </c>
      <c r="D1671" t="str">
        <f t="shared" si="183"/>
        <v>Y</v>
      </c>
      <c r="E1671" t="s">
        <v>637</v>
      </c>
      <c r="F1671" t="str">
        <f t="shared" si="184"/>
        <v>Inconv Fee$50-$100-Comment Req'd</v>
      </c>
      <c r="G1671">
        <f t="shared" si="185"/>
        <v>0</v>
      </c>
      <c r="H1671" t="s">
        <v>568</v>
      </c>
      <c r="I1671">
        <f t="shared" si="186"/>
        <v>0</v>
      </c>
      <c r="J1671" t="s">
        <v>564</v>
      </c>
      <c r="K1671" s="5">
        <v>100</v>
      </c>
      <c r="L1671" t="str">
        <f>Table_DataFromNL[[#This Row],[PROFILECODE]]&amp;"-"&amp;Table_DataFromNL[[#This Row],[RULENAME]]</f>
        <v>CP574-Inconv Fee$50-$100-Comment Req'd</v>
      </c>
      <c r="M1671" t="e">
        <f t="shared" si="187"/>
        <v>#N/A</v>
      </c>
    </row>
    <row r="1672" spans="1:13" x14ac:dyDescent="0.25">
      <c r="A1672" t="str">
        <f t="shared" si="188"/>
        <v>CP574-NSP_ LAPSEDONOR_50_Twice</v>
      </c>
      <c r="B1672" t="s">
        <v>432</v>
      </c>
      <c r="C1672" t="str">
        <f t="shared" si="182"/>
        <v>La Vergne</v>
      </c>
      <c r="D1672" t="str">
        <f t="shared" si="183"/>
        <v>Y</v>
      </c>
      <c r="E1672" t="s">
        <v>637</v>
      </c>
      <c r="F1672" t="str">
        <f t="shared" si="184"/>
        <v>NSP_ LAPSEDONOR_50_Twice</v>
      </c>
      <c r="G1672">
        <f t="shared" si="185"/>
        <v>0</v>
      </c>
      <c r="H1672" t="s">
        <v>569</v>
      </c>
      <c r="I1672">
        <f t="shared" si="186"/>
        <v>0</v>
      </c>
      <c r="J1672" t="s">
        <v>564</v>
      </c>
      <c r="K1672" s="5">
        <v>50</v>
      </c>
      <c r="L1672" t="str">
        <f>Table_DataFromNL[[#This Row],[PROFILECODE]]&amp;"-"&amp;Table_DataFromNL[[#This Row],[RULENAME]]</f>
        <v>CP574-NSP_ LAPSEDONOR_50_Twice</v>
      </c>
      <c r="M1672" t="e">
        <f t="shared" si="187"/>
        <v>#N/A</v>
      </c>
    </row>
    <row r="1673" spans="1:13" x14ac:dyDescent="0.25">
      <c r="A1673" t="str">
        <f t="shared" si="188"/>
        <v>CP574-NSP_LD_25_2X</v>
      </c>
      <c r="B1673" t="s">
        <v>432</v>
      </c>
      <c r="C1673" t="str">
        <f t="shared" si="182"/>
        <v>La Vergne</v>
      </c>
      <c r="D1673" t="str">
        <f t="shared" si="183"/>
        <v>Y</v>
      </c>
      <c r="E1673" t="s">
        <v>637</v>
      </c>
      <c r="F1673" t="str">
        <f t="shared" si="184"/>
        <v>NSP_LD_25_2X</v>
      </c>
      <c r="G1673">
        <f t="shared" si="185"/>
        <v>0</v>
      </c>
      <c r="H1673" t="s">
        <v>570</v>
      </c>
      <c r="I1673">
        <f t="shared" si="186"/>
        <v>0</v>
      </c>
      <c r="J1673" t="s">
        <v>564</v>
      </c>
      <c r="K1673" s="5">
        <v>25</v>
      </c>
      <c r="L1673" t="str">
        <f>Table_DataFromNL[[#This Row],[PROFILECODE]]&amp;"-"&amp;Table_DataFromNL[[#This Row],[RULENAME]]</f>
        <v>CP574-NSP_LD_25_2X</v>
      </c>
      <c r="M1673" t="e">
        <f t="shared" si="187"/>
        <v>#N/A</v>
      </c>
    </row>
    <row r="1674" spans="1:13" x14ac:dyDescent="0.25">
      <c r="A1674" t="str">
        <f t="shared" si="188"/>
        <v>CP574-NSP_LD_50_1X</v>
      </c>
      <c r="B1674" t="s">
        <v>432</v>
      </c>
      <c r="C1674" t="str">
        <f t="shared" si="182"/>
        <v>La Vergne</v>
      </c>
      <c r="D1674" t="str">
        <f t="shared" si="183"/>
        <v>Y</v>
      </c>
      <c r="E1674" t="s">
        <v>637</v>
      </c>
      <c r="F1674" t="str">
        <f t="shared" si="184"/>
        <v>NSP_LD_50_1X</v>
      </c>
      <c r="G1674">
        <f t="shared" si="185"/>
        <v>0</v>
      </c>
      <c r="H1674" t="s">
        <v>571</v>
      </c>
      <c r="I1674">
        <f t="shared" si="186"/>
        <v>0</v>
      </c>
      <c r="J1674" t="s">
        <v>564</v>
      </c>
      <c r="K1674" s="5">
        <v>50</v>
      </c>
      <c r="L1674" t="str">
        <f>Table_DataFromNL[[#This Row],[PROFILECODE]]&amp;"-"&amp;Table_DataFromNL[[#This Row],[RULENAME]]</f>
        <v>CP574-NSP_LD_50_1X</v>
      </c>
      <c r="M1674" t="e">
        <f t="shared" si="187"/>
        <v>#N/A</v>
      </c>
    </row>
    <row r="1675" spans="1:13" x14ac:dyDescent="0.25">
      <c r="A1675" t="str">
        <f t="shared" si="188"/>
        <v>CP574-NSP_ORPHAN_100_once</v>
      </c>
      <c r="B1675" t="s">
        <v>432</v>
      </c>
      <c r="C1675" t="str">
        <f t="shared" si="182"/>
        <v>La Vergne</v>
      </c>
      <c r="D1675" t="str">
        <f t="shared" si="183"/>
        <v>Y</v>
      </c>
      <c r="E1675" t="s">
        <v>637</v>
      </c>
      <c r="F1675" t="str">
        <f t="shared" si="184"/>
        <v>NSP_ORPHAN_100_once</v>
      </c>
      <c r="G1675">
        <f t="shared" si="185"/>
        <v>0</v>
      </c>
      <c r="H1675" t="s">
        <v>572</v>
      </c>
      <c r="I1675">
        <f t="shared" si="186"/>
        <v>0</v>
      </c>
      <c r="J1675" t="s">
        <v>564</v>
      </c>
      <c r="K1675" s="5">
        <v>100</v>
      </c>
      <c r="L1675" t="str">
        <f>Table_DataFromNL[[#This Row],[PROFILECODE]]&amp;"-"&amp;Table_DataFromNL[[#This Row],[RULENAME]]</f>
        <v>CP574-NSP_ORPHAN_100_once</v>
      </c>
      <c r="M1675" t="e">
        <f t="shared" si="187"/>
        <v>#N/A</v>
      </c>
    </row>
    <row r="1676" spans="1:13" x14ac:dyDescent="0.25">
      <c r="A1676" t="str">
        <f t="shared" si="188"/>
        <v>CP574-Restick</v>
      </c>
      <c r="B1676" t="s">
        <v>432</v>
      </c>
      <c r="C1676" t="str">
        <f t="shared" si="182"/>
        <v>La Vergne</v>
      </c>
      <c r="D1676" t="str">
        <f t="shared" si="183"/>
        <v>Y</v>
      </c>
      <c r="E1676" t="s">
        <v>637</v>
      </c>
      <c r="F1676" t="str">
        <f t="shared" si="184"/>
        <v>Restick</v>
      </c>
      <c r="G1676">
        <f t="shared" si="185"/>
        <v>0</v>
      </c>
      <c r="H1676" t="s">
        <v>573</v>
      </c>
      <c r="I1676">
        <f t="shared" si="186"/>
        <v>0</v>
      </c>
      <c r="J1676" t="s">
        <v>564</v>
      </c>
      <c r="K1676" s="5">
        <v>5</v>
      </c>
      <c r="L1676" t="str">
        <f>Table_DataFromNL[[#This Row],[PROFILECODE]]&amp;"-"&amp;Table_DataFromNL[[#This Row],[RULENAME]]</f>
        <v>CP574-Restick</v>
      </c>
      <c r="M1676" t="e">
        <f t="shared" si="187"/>
        <v>#N/A</v>
      </c>
    </row>
    <row r="1677" spans="1:13" x14ac:dyDescent="0.25">
      <c r="A1677" t="str">
        <f t="shared" si="188"/>
        <v>CP574-SLOW_TEXT_5</v>
      </c>
      <c r="B1677" t="s">
        <v>432</v>
      </c>
      <c r="C1677" t="str">
        <f t="shared" si="182"/>
        <v>La Vergne</v>
      </c>
      <c r="D1677" t="str">
        <f t="shared" si="183"/>
        <v>Y</v>
      </c>
      <c r="E1677" t="s">
        <v>637</v>
      </c>
      <c r="F1677" t="str">
        <f t="shared" si="184"/>
        <v>SLOW_TEXT_5</v>
      </c>
      <c r="G1677">
        <f t="shared" si="185"/>
        <v>0</v>
      </c>
      <c r="H1677" t="s">
        <v>574</v>
      </c>
      <c r="I1677">
        <f t="shared" si="186"/>
        <v>0</v>
      </c>
      <c r="J1677" t="s">
        <v>564</v>
      </c>
      <c r="K1677" s="5">
        <v>5</v>
      </c>
      <c r="L1677" t="str">
        <f>Table_DataFromNL[[#This Row],[PROFILECODE]]&amp;"-"&amp;Table_DataFromNL[[#This Row],[RULENAME]]</f>
        <v>CP574-SLOW_TEXT_5</v>
      </c>
      <c r="M1677" t="e">
        <f t="shared" si="187"/>
        <v>#N/A</v>
      </c>
    </row>
    <row r="1678" spans="1:13" x14ac:dyDescent="0.25">
      <c r="A1678" t="str">
        <f t="shared" si="188"/>
        <v>CP574-Sample Only</v>
      </c>
      <c r="B1678" t="s">
        <v>432</v>
      </c>
      <c r="C1678" t="str">
        <f t="shared" si="182"/>
        <v>La Vergne</v>
      </c>
      <c r="D1678" t="str">
        <f t="shared" si="183"/>
        <v>Y</v>
      </c>
      <c r="E1678" t="s">
        <v>637</v>
      </c>
      <c r="F1678" t="str">
        <f t="shared" si="184"/>
        <v>Sample Only</v>
      </c>
      <c r="G1678">
        <f t="shared" si="185"/>
        <v>0</v>
      </c>
      <c r="H1678" t="s">
        <v>575</v>
      </c>
      <c r="I1678">
        <f t="shared" si="186"/>
        <v>0</v>
      </c>
      <c r="J1678" t="s">
        <v>564</v>
      </c>
      <c r="K1678" s="5">
        <v>5</v>
      </c>
      <c r="L1678" t="str">
        <f>Table_DataFromNL[[#This Row],[PROFILECODE]]&amp;"-"&amp;Table_DataFromNL[[#This Row],[RULENAME]]</f>
        <v>CP574-Sample Only</v>
      </c>
      <c r="M1678" t="e">
        <f t="shared" si="187"/>
        <v>#N/A</v>
      </c>
    </row>
    <row r="1679" spans="1:13" x14ac:dyDescent="0.25">
      <c r="A1679" t="str">
        <f t="shared" si="188"/>
        <v>CP574-Unit Below 250 mL</v>
      </c>
      <c r="B1679" t="s">
        <v>432</v>
      </c>
      <c r="C1679" t="str">
        <f t="shared" si="182"/>
        <v>La Vergne</v>
      </c>
      <c r="D1679" t="str">
        <f t="shared" si="183"/>
        <v>Y</v>
      </c>
      <c r="E1679" t="s">
        <v>637</v>
      </c>
      <c r="F1679" t="str">
        <f t="shared" si="184"/>
        <v>Unit Below 250 mL</v>
      </c>
      <c r="G1679">
        <f t="shared" si="185"/>
        <v>0</v>
      </c>
      <c r="H1679" t="s">
        <v>576</v>
      </c>
      <c r="I1679">
        <f t="shared" si="186"/>
        <v>0</v>
      </c>
      <c r="J1679" t="s">
        <v>564</v>
      </c>
      <c r="K1679" s="5">
        <v>5</v>
      </c>
      <c r="L1679" t="str">
        <f>Table_DataFromNL[[#This Row],[PROFILECODE]]&amp;"-"&amp;Table_DataFromNL[[#This Row],[RULENAME]]</f>
        <v>CP574-Unit Below 250 mL</v>
      </c>
      <c r="M1679" t="e">
        <f t="shared" si="187"/>
        <v>#N/A</v>
      </c>
    </row>
    <row r="1680" spans="1:13" x14ac:dyDescent="0.25">
      <c r="A1680" t="str">
        <f t="shared" si="188"/>
        <v>CP574-Unit above 250 mL/underdraw</v>
      </c>
      <c r="B1680" t="s">
        <v>432</v>
      </c>
      <c r="C1680" t="str">
        <f t="shared" si="182"/>
        <v>La Vergne</v>
      </c>
      <c r="D1680" t="str">
        <f t="shared" si="183"/>
        <v>Y</v>
      </c>
      <c r="E1680" t="s">
        <v>637</v>
      </c>
      <c r="F1680" t="str">
        <f t="shared" si="184"/>
        <v>Unit above 250 mL/underdraw</v>
      </c>
      <c r="G1680">
        <f t="shared" si="185"/>
        <v>0</v>
      </c>
      <c r="H1680" t="s">
        <v>577</v>
      </c>
      <c r="I1680">
        <f t="shared" si="186"/>
        <v>0</v>
      </c>
      <c r="J1680" t="s">
        <v>564</v>
      </c>
      <c r="K1680" s="5">
        <v>10</v>
      </c>
      <c r="L1680" t="str">
        <f>Table_DataFromNL[[#This Row],[PROFILECODE]]&amp;"-"&amp;Table_DataFromNL[[#This Row],[RULENAME]]</f>
        <v>CP574-Unit above 250 mL/underdraw</v>
      </c>
      <c r="M1680" t="e">
        <f t="shared" si="187"/>
        <v>#N/A</v>
      </c>
    </row>
    <row r="1681" spans="1:13" x14ac:dyDescent="0.25">
      <c r="A1681" t="str">
        <f t="shared" si="188"/>
        <v>CP574-RETURN - Buddy referral  -BONUS</v>
      </c>
      <c r="B1681" t="s">
        <v>432</v>
      </c>
      <c r="C1681" t="str">
        <f t="shared" si="182"/>
        <v>La Vergne</v>
      </c>
      <c r="D1681" t="str">
        <f t="shared" si="183"/>
        <v>Y</v>
      </c>
      <c r="E1681" t="s">
        <v>637</v>
      </c>
      <c r="F1681" t="str">
        <f t="shared" si="184"/>
        <v>RETURN - Buddy referral  -BONUS</v>
      </c>
      <c r="G1681" t="str">
        <f t="shared" si="185"/>
        <v>Marketing</v>
      </c>
      <c r="H1681" t="s">
        <v>34</v>
      </c>
      <c r="I1681">
        <f t="shared" si="186"/>
        <v>50</v>
      </c>
      <c r="J1681" t="s">
        <v>578</v>
      </c>
      <c r="K1681" s="5">
        <v>50</v>
      </c>
      <c r="L1681" t="str">
        <f>Table_DataFromNL[[#This Row],[PROFILECODE]]&amp;"-"&amp;Table_DataFromNL[[#This Row],[RULENAME]]</f>
        <v>CP574-Referral</v>
      </c>
      <c r="M1681" t="str">
        <f t="shared" si="187"/>
        <v>CP574-RETURN - Buddy referral  -BONUS</v>
      </c>
    </row>
    <row r="1682" spans="1:13" x14ac:dyDescent="0.25">
      <c r="A1682" t="str">
        <f t="shared" si="188"/>
        <v>CP574-P Anti-D Pre-Existing Standard</v>
      </c>
      <c r="B1682" t="s">
        <v>432</v>
      </c>
      <c r="C1682" t="str">
        <f t="shared" si="182"/>
        <v>La Vergne</v>
      </c>
      <c r="D1682" t="str">
        <f t="shared" si="183"/>
        <v>Y</v>
      </c>
      <c r="E1682" t="s">
        <v>637</v>
      </c>
      <c r="F1682" t="str">
        <f t="shared" si="184"/>
        <v>P Anti-D Pre-Existing Standard</v>
      </c>
      <c r="G1682" t="str">
        <f t="shared" si="185"/>
        <v>Specialty</v>
      </c>
      <c r="H1682" t="s">
        <v>469</v>
      </c>
      <c r="I1682" t="str">
        <f t="shared" si="186"/>
        <v>RETURN - 1st don of the week -STD</v>
      </c>
      <c r="J1682" t="s">
        <v>579</v>
      </c>
      <c r="K1682" s="5">
        <v>50</v>
      </c>
      <c r="L1682" t="str">
        <f>Table_DataFromNL[[#This Row],[PROFILECODE]]&amp;"-"&amp;Table_DataFromNL[[#This Row],[RULENAME]]</f>
        <v>CP574-P Anti-D Pre-Existing Standard</v>
      </c>
      <c r="M1682" t="str">
        <f t="shared" si="187"/>
        <v>CP574-P Anti-D Pre-Existing Standard</v>
      </c>
    </row>
    <row r="1683" spans="1:13" x14ac:dyDescent="0.25">
      <c r="A1683" t="str">
        <f t="shared" si="188"/>
        <v>CP574-RETURN - 1st don of the week -STD</v>
      </c>
      <c r="B1683" t="s">
        <v>432</v>
      </c>
      <c r="C1683" t="str">
        <f t="shared" si="182"/>
        <v>La Vergne</v>
      </c>
      <c r="D1683" t="str">
        <f t="shared" si="183"/>
        <v>Y</v>
      </c>
      <c r="E1683" t="s">
        <v>637</v>
      </c>
      <c r="F1683" t="str">
        <f t="shared" si="184"/>
        <v>RETURN - 1st don of the week -STD</v>
      </c>
      <c r="G1683" t="str">
        <f t="shared" si="185"/>
        <v>Marketing</v>
      </c>
      <c r="H1683" t="s">
        <v>607</v>
      </c>
      <c r="I1683">
        <f t="shared" si="186"/>
        <v>21</v>
      </c>
      <c r="J1683" t="s">
        <v>579</v>
      </c>
      <c r="K1683" s="5">
        <v>65</v>
      </c>
      <c r="L1683" t="str">
        <f>Table_DataFromNL[[#This Row],[PROFILECODE]]&amp;"-"&amp;Table_DataFromNL[[#This Row],[RULENAME]]</f>
        <v>CP574-P Normal Source PL Standard</v>
      </c>
      <c r="M1683" t="str">
        <f t="shared" si="187"/>
        <v>CP574-RETURN - 1st don of the week -STD</v>
      </c>
    </row>
    <row r="1684" spans="1:13" x14ac:dyDescent="0.25">
      <c r="A1684" t="str">
        <f t="shared" si="188"/>
        <v>CP227-1st Responder-Medical</v>
      </c>
      <c r="B1684" t="s">
        <v>104</v>
      </c>
      <c r="C1684" t="str">
        <f t="shared" si="182"/>
        <v>Lakewood</v>
      </c>
      <c r="D1684" t="str">
        <f t="shared" si="183"/>
        <v>Y</v>
      </c>
      <c r="E1684" t="s">
        <v>638</v>
      </c>
      <c r="F1684" t="str">
        <f t="shared" si="184"/>
        <v>1st Responder-Medical</v>
      </c>
      <c r="G1684">
        <f t="shared" si="185"/>
        <v>0</v>
      </c>
      <c r="H1684" t="s">
        <v>545</v>
      </c>
      <c r="I1684">
        <f t="shared" si="186"/>
        <v>0</v>
      </c>
      <c r="J1684" t="s">
        <v>546</v>
      </c>
      <c r="K1684" s="5">
        <v>5</v>
      </c>
      <c r="L1684" t="str">
        <f>Table_DataFromNL[[#This Row],[PROFILECODE]]&amp;"-"&amp;Table_DataFromNL[[#This Row],[RULENAME]]</f>
        <v>CP227-1st Responder-Medical</v>
      </c>
      <c r="M1684" t="e">
        <f t="shared" si="187"/>
        <v>#N/A</v>
      </c>
    </row>
    <row r="1685" spans="1:13" x14ac:dyDescent="0.25">
      <c r="A1685" t="str">
        <f t="shared" si="188"/>
        <v>CP227-RETURN - 2nd don of the week -BONUS</v>
      </c>
      <c r="B1685" t="s">
        <v>104</v>
      </c>
      <c r="C1685" t="str">
        <f t="shared" si="182"/>
        <v>Lakewood</v>
      </c>
      <c r="D1685" t="str">
        <f t="shared" si="183"/>
        <v>Y</v>
      </c>
      <c r="E1685" t="s">
        <v>638</v>
      </c>
      <c r="F1685" t="str">
        <f t="shared" si="184"/>
        <v>RETURN - 2nd don of the week -BONUS</v>
      </c>
      <c r="G1685" t="str">
        <f t="shared" si="185"/>
        <v>Marketing</v>
      </c>
      <c r="H1685" t="s">
        <v>550</v>
      </c>
      <c r="I1685">
        <f t="shared" si="186"/>
        <v>26</v>
      </c>
      <c r="J1685" t="s">
        <v>546</v>
      </c>
      <c r="K1685" s="5">
        <v>10</v>
      </c>
      <c r="L1685" t="str">
        <f>Table_DataFromNL[[#This Row],[PROFILECODE]]&amp;"-"&amp;Table_DataFromNL[[#This Row],[RULENAME]]</f>
        <v>CP227-2X Week P NSP NS</v>
      </c>
      <c r="M1685" t="str">
        <f t="shared" si="187"/>
        <v>CP227-RETURN - 2nd don of the week -BONUS</v>
      </c>
    </row>
    <row r="1686" spans="1:13" x14ac:dyDescent="0.25">
      <c r="A1686" t="str">
        <f t="shared" si="188"/>
        <v>CP227-RETURN - 2nd don of the week -BONUS</v>
      </c>
      <c r="B1686" t="s">
        <v>104</v>
      </c>
      <c r="C1686" t="str">
        <f t="shared" si="182"/>
        <v>Lakewood</v>
      </c>
      <c r="D1686" t="str">
        <f t="shared" si="183"/>
        <v>Y</v>
      </c>
      <c r="E1686" t="s">
        <v>638</v>
      </c>
      <c r="F1686" t="str">
        <f t="shared" si="184"/>
        <v>RETURN - 2nd don of the week -BONUS</v>
      </c>
      <c r="G1686" t="str">
        <f t="shared" si="185"/>
        <v>Marketing</v>
      </c>
      <c r="H1686" t="s">
        <v>551</v>
      </c>
      <c r="I1686" t="str">
        <f t="shared" si="186"/>
        <v>RETURN - 2nd don of the week -BONUS</v>
      </c>
      <c r="J1686" t="s">
        <v>546</v>
      </c>
      <c r="K1686" s="5">
        <v>10</v>
      </c>
      <c r="L1686" t="str">
        <f>Table_DataFromNL[[#This Row],[PROFILECODE]]&amp;"-"&amp;Table_DataFromNL[[#This Row],[RULENAME]]</f>
        <v>CP227-2X Week P NSP NS AP</v>
      </c>
      <c r="M1686" t="str">
        <f t="shared" si="187"/>
        <v>CP227-RETURN - 2nd don of the week -BONUS</v>
      </c>
    </row>
    <row r="1687" spans="1:13" x14ac:dyDescent="0.25">
      <c r="A1687" t="str">
        <f t="shared" si="188"/>
        <v>CP227-2X Week P VZV</v>
      </c>
      <c r="B1687" t="s">
        <v>104</v>
      </c>
      <c r="C1687" t="str">
        <f t="shared" si="182"/>
        <v>Lakewood</v>
      </c>
      <c r="D1687" t="str">
        <f t="shared" si="183"/>
        <v>Y</v>
      </c>
      <c r="E1687" t="s">
        <v>638</v>
      </c>
      <c r="F1687" t="str">
        <f t="shared" si="184"/>
        <v>2X Week P VZV</v>
      </c>
      <c r="G1687" t="str">
        <f t="shared" si="185"/>
        <v>Specialty</v>
      </c>
      <c r="H1687" t="s">
        <v>488</v>
      </c>
      <c r="I1687" t="str">
        <f t="shared" si="186"/>
        <v>RETURN - 2nd don of the week -BONUS</v>
      </c>
      <c r="J1687" t="s">
        <v>546</v>
      </c>
      <c r="K1687" s="5">
        <v>10</v>
      </c>
      <c r="L1687" t="str">
        <f>Table_DataFromNL[[#This Row],[PROFILECODE]]&amp;"-"&amp;Table_DataFromNL[[#This Row],[RULENAME]]</f>
        <v>CP227-2X Week P VZV</v>
      </c>
      <c r="M1687" t="str">
        <f t="shared" si="187"/>
        <v>CP227-2X Week P VZV</v>
      </c>
    </row>
    <row r="1688" spans="1:13" x14ac:dyDescent="0.25">
      <c r="A1688" t="str">
        <f t="shared" si="188"/>
        <v>CP227-2X Week P VZV AP</v>
      </c>
      <c r="B1688" t="s">
        <v>104</v>
      </c>
      <c r="C1688" t="str">
        <f t="shared" si="182"/>
        <v>Lakewood</v>
      </c>
      <c r="D1688" t="str">
        <f t="shared" si="183"/>
        <v>Y</v>
      </c>
      <c r="E1688" t="s">
        <v>638</v>
      </c>
      <c r="F1688" t="str">
        <f t="shared" si="184"/>
        <v>2X Week P VZV AP</v>
      </c>
      <c r="G1688" t="str">
        <f t="shared" si="185"/>
        <v>Specialty</v>
      </c>
      <c r="H1688" t="s">
        <v>489</v>
      </c>
      <c r="I1688" t="str">
        <f t="shared" si="186"/>
        <v>RETURN - 2nd don of the week -BONUS</v>
      </c>
      <c r="J1688" t="s">
        <v>546</v>
      </c>
      <c r="K1688" s="5">
        <v>10</v>
      </c>
      <c r="L1688" t="str">
        <f>Table_DataFromNL[[#This Row],[PROFILECODE]]&amp;"-"&amp;Table_DataFromNL[[#This Row],[RULENAME]]</f>
        <v>CP227-2X Week P VZV AP</v>
      </c>
      <c r="M1688" t="str">
        <f t="shared" si="187"/>
        <v>CP227-2X Week P VZV AP</v>
      </c>
    </row>
    <row r="1689" spans="1:13" x14ac:dyDescent="0.25">
      <c r="A1689" t="str">
        <f t="shared" si="188"/>
        <v>CP227-2X Week P VZV Pre-Existing</v>
      </c>
      <c r="B1689" t="s">
        <v>104</v>
      </c>
      <c r="C1689" t="str">
        <f t="shared" si="182"/>
        <v>Lakewood</v>
      </c>
      <c r="D1689" t="str">
        <f t="shared" si="183"/>
        <v>Y</v>
      </c>
      <c r="E1689" t="s">
        <v>638</v>
      </c>
      <c r="F1689" t="str">
        <f t="shared" si="184"/>
        <v>2X Week P VZV Pre-Existing</v>
      </c>
      <c r="G1689" t="str">
        <f t="shared" si="185"/>
        <v>Specialty</v>
      </c>
      <c r="H1689" t="s">
        <v>490</v>
      </c>
      <c r="I1689" t="str">
        <f t="shared" si="186"/>
        <v>RETURN - 2nd don of the week -BONUS</v>
      </c>
      <c r="J1689" t="s">
        <v>546</v>
      </c>
      <c r="K1689" s="5">
        <v>10</v>
      </c>
      <c r="L1689" t="str">
        <f>Table_DataFromNL[[#This Row],[PROFILECODE]]&amp;"-"&amp;Table_DataFromNL[[#This Row],[RULENAME]]</f>
        <v>CP227-2X Week P VZV Pre-Existing</v>
      </c>
      <c r="M1689" t="str">
        <f t="shared" si="187"/>
        <v>CP227-2X Week P VZV Pre-Existing</v>
      </c>
    </row>
    <row r="1690" spans="1:13" x14ac:dyDescent="0.25">
      <c r="A1690" t="str">
        <f t="shared" si="188"/>
        <v>CP227-2X Week P VZV Pre-Existing AP</v>
      </c>
      <c r="B1690" t="s">
        <v>104</v>
      </c>
      <c r="C1690" t="str">
        <f t="shared" si="182"/>
        <v>Lakewood</v>
      </c>
      <c r="D1690" t="str">
        <f t="shared" si="183"/>
        <v>Y</v>
      </c>
      <c r="E1690" t="s">
        <v>638</v>
      </c>
      <c r="F1690" t="str">
        <f t="shared" si="184"/>
        <v>2X Week P VZV Pre-Existing AP</v>
      </c>
      <c r="G1690" t="str">
        <f t="shared" si="185"/>
        <v>Specialty</v>
      </c>
      <c r="H1690" t="s">
        <v>491</v>
      </c>
      <c r="I1690" t="str">
        <f t="shared" si="186"/>
        <v>RETURN - 2nd don of the week -BONUS</v>
      </c>
      <c r="J1690" t="s">
        <v>546</v>
      </c>
      <c r="K1690" s="5">
        <v>10</v>
      </c>
      <c r="L1690" t="str">
        <f>Table_DataFromNL[[#This Row],[PROFILECODE]]&amp;"-"&amp;Table_DataFromNL[[#This Row],[RULENAME]]</f>
        <v>CP227-2X Week P VZV Pre-Existing AP</v>
      </c>
      <c r="M1690" t="str">
        <f t="shared" si="187"/>
        <v>CP227-2X Week P VZV Pre-Existing AP</v>
      </c>
    </row>
    <row r="1691" spans="1:13" x14ac:dyDescent="0.25">
      <c r="A1691" t="str">
        <f t="shared" si="188"/>
        <v>CP227-College ID Standard Bonus</v>
      </c>
      <c r="B1691" t="s">
        <v>104</v>
      </c>
      <c r="C1691" t="str">
        <f t="shared" si="182"/>
        <v>Lakewood</v>
      </c>
      <c r="D1691" t="str">
        <f t="shared" si="183"/>
        <v>Y</v>
      </c>
      <c r="E1691" t="s">
        <v>638</v>
      </c>
      <c r="F1691" t="str">
        <f t="shared" si="184"/>
        <v>College ID Standard Bonus</v>
      </c>
      <c r="G1691">
        <f t="shared" si="185"/>
        <v>0</v>
      </c>
      <c r="H1691" t="s">
        <v>553</v>
      </c>
      <c r="I1691">
        <f t="shared" si="186"/>
        <v>0</v>
      </c>
      <c r="J1691" t="s">
        <v>546</v>
      </c>
      <c r="K1691" s="5">
        <v>5</v>
      </c>
      <c r="L1691" t="str">
        <f>Table_DataFromNL[[#This Row],[PROFILECODE]]&amp;"-"&amp;Table_DataFromNL[[#This Row],[RULENAME]]</f>
        <v>CP227-College ID Standard Bonus</v>
      </c>
      <c r="M1691" t="e">
        <f t="shared" si="187"/>
        <v>#N/A</v>
      </c>
    </row>
    <row r="1692" spans="1:13" x14ac:dyDescent="0.25">
      <c r="A1692" t="str">
        <f t="shared" si="188"/>
        <v>CP227-Military ID</v>
      </c>
      <c r="B1692" t="s">
        <v>104</v>
      </c>
      <c r="C1692" t="str">
        <f t="shared" si="182"/>
        <v>Lakewood</v>
      </c>
      <c r="D1692" t="str">
        <f t="shared" si="183"/>
        <v>Y</v>
      </c>
      <c r="E1692" t="s">
        <v>638</v>
      </c>
      <c r="F1692" t="str">
        <f t="shared" si="184"/>
        <v>Military ID</v>
      </c>
      <c r="G1692">
        <f t="shared" si="185"/>
        <v>0</v>
      </c>
      <c r="H1692" t="s">
        <v>554</v>
      </c>
      <c r="I1692">
        <f t="shared" si="186"/>
        <v>0</v>
      </c>
      <c r="J1692" t="s">
        <v>546</v>
      </c>
      <c r="K1692" s="5">
        <v>5</v>
      </c>
      <c r="L1692" t="str">
        <f>Table_DataFromNL[[#This Row],[PROFILECODE]]&amp;"-"&amp;Table_DataFromNL[[#This Row],[RULENAME]]</f>
        <v>CP227-Military ID</v>
      </c>
      <c r="M1692" t="e">
        <f t="shared" si="187"/>
        <v>#N/A</v>
      </c>
    </row>
    <row r="1693" spans="1:13" x14ac:dyDescent="0.25">
      <c r="A1693" t="str">
        <f t="shared" si="188"/>
        <v>CP227-NEW DONOR -1st</v>
      </c>
      <c r="B1693" t="s">
        <v>104</v>
      </c>
      <c r="C1693" t="str">
        <f t="shared" si="182"/>
        <v>Lakewood</v>
      </c>
      <c r="D1693" t="str">
        <f t="shared" si="183"/>
        <v>Y</v>
      </c>
      <c r="E1693" t="s">
        <v>638</v>
      </c>
      <c r="F1693" t="str">
        <f t="shared" si="184"/>
        <v>NEW DONOR -1st</v>
      </c>
      <c r="G1693" t="str">
        <f t="shared" si="185"/>
        <v>Marketing</v>
      </c>
      <c r="H1693" t="s">
        <v>555</v>
      </c>
      <c r="I1693">
        <f t="shared" si="186"/>
        <v>1</v>
      </c>
      <c r="J1693" t="s">
        <v>546</v>
      </c>
      <c r="K1693" s="5">
        <v>55</v>
      </c>
      <c r="L1693" t="str">
        <f>Table_DataFromNL[[#This Row],[PROFILECODE]]&amp;"-"&amp;Table_DataFromNL[[#This Row],[RULENAME]]</f>
        <v>CP227-New Donor 1st Visit-Bonus</v>
      </c>
      <c r="M1693" t="str">
        <f t="shared" si="187"/>
        <v>CP227-NEW DONOR -1st</v>
      </c>
    </row>
    <row r="1694" spans="1:13" x14ac:dyDescent="0.25">
      <c r="A1694" t="str">
        <f t="shared" si="188"/>
        <v>CP227-NEW DONOR -2nd</v>
      </c>
      <c r="B1694" t="s">
        <v>104</v>
      </c>
      <c r="C1694" t="str">
        <f t="shared" si="182"/>
        <v>Lakewood</v>
      </c>
      <c r="D1694" t="str">
        <f t="shared" si="183"/>
        <v>Y</v>
      </c>
      <c r="E1694" t="s">
        <v>638</v>
      </c>
      <c r="F1694" t="str">
        <f t="shared" si="184"/>
        <v>NEW DONOR -2nd</v>
      </c>
      <c r="G1694" t="str">
        <f t="shared" si="185"/>
        <v>Marketing</v>
      </c>
      <c r="H1694" t="s">
        <v>556</v>
      </c>
      <c r="I1694">
        <f t="shared" si="186"/>
        <v>2</v>
      </c>
      <c r="J1694" t="s">
        <v>546</v>
      </c>
      <c r="K1694" s="5">
        <v>55</v>
      </c>
      <c r="L1694" t="str">
        <f>Table_DataFromNL[[#This Row],[PROFILECODE]]&amp;"-"&amp;Table_DataFromNL[[#This Row],[RULENAME]]</f>
        <v>CP227-New Donor 2nd Visit-Bonus</v>
      </c>
      <c r="M1694" t="str">
        <f t="shared" si="187"/>
        <v>CP227-NEW DONOR -2nd</v>
      </c>
    </row>
    <row r="1695" spans="1:13" x14ac:dyDescent="0.25">
      <c r="A1695" t="str">
        <f t="shared" si="188"/>
        <v>CP227-NEW DONOR -3rd</v>
      </c>
      <c r="B1695" t="s">
        <v>104</v>
      </c>
      <c r="C1695" t="str">
        <f t="shared" si="182"/>
        <v>Lakewood</v>
      </c>
      <c r="D1695" t="str">
        <f t="shared" si="183"/>
        <v>Y</v>
      </c>
      <c r="E1695" t="s">
        <v>638</v>
      </c>
      <c r="F1695" t="str">
        <f t="shared" si="184"/>
        <v>NEW DONOR -3rd</v>
      </c>
      <c r="G1695" t="str">
        <f t="shared" si="185"/>
        <v>Marketing</v>
      </c>
      <c r="H1695" t="s">
        <v>557</v>
      </c>
      <c r="I1695">
        <f t="shared" si="186"/>
        <v>3</v>
      </c>
      <c r="J1695" t="s">
        <v>546</v>
      </c>
      <c r="K1695" s="5">
        <v>55</v>
      </c>
      <c r="L1695" t="str">
        <f>Table_DataFromNL[[#This Row],[PROFILECODE]]&amp;"-"&amp;Table_DataFromNL[[#This Row],[RULENAME]]</f>
        <v>CP227-New Donor 3rd Visit-Bonus</v>
      </c>
      <c r="M1695" t="str">
        <f t="shared" si="187"/>
        <v>CP227-NEW DONOR -3rd</v>
      </c>
    </row>
    <row r="1696" spans="1:13" x14ac:dyDescent="0.25">
      <c r="A1696" t="str">
        <f t="shared" si="188"/>
        <v>CP227-NEW DONOR -4th</v>
      </c>
      <c r="B1696" t="s">
        <v>104</v>
      </c>
      <c r="C1696" t="str">
        <f t="shared" si="182"/>
        <v>Lakewood</v>
      </c>
      <c r="D1696" t="str">
        <f t="shared" si="183"/>
        <v>Y</v>
      </c>
      <c r="E1696" t="s">
        <v>638</v>
      </c>
      <c r="F1696" t="str">
        <f t="shared" si="184"/>
        <v>NEW DONOR -4th</v>
      </c>
      <c r="G1696" t="str">
        <f t="shared" si="185"/>
        <v>Marketing</v>
      </c>
      <c r="H1696" t="s">
        <v>558</v>
      </c>
      <c r="I1696">
        <f t="shared" si="186"/>
        <v>4</v>
      </c>
      <c r="J1696" t="s">
        <v>546</v>
      </c>
      <c r="K1696" s="5">
        <v>55</v>
      </c>
      <c r="L1696" t="str">
        <f>Table_DataFromNL[[#This Row],[PROFILECODE]]&amp;"-"&amp;Table_DataFromNL[[#This Row],[RULENAME]]</f>
        <v>CP227-New Donor 4th Visit-Bonus</v>
      </c>
      <c r="M1696" t="str">
        <f t="shared" si="187"/>
        <v>CP227-NEW DONOR -4th</v>
      </c>
    </row>
    <row r="1697" spans="1:13" x14ac:dyDescent="0.25">
      <c r="A1697" t="str">
        <f t="shared" si="188"/>
        <v>CP227-NEW DONOR -5th</v>
      </c>
      <c r="B1697" t="s">
        <v>104</v>
      </c>
      <c r="C1697" t="str">
        <f t="shared" si="182"/>
        <v>Lakewood</v>
      </c>
      <c r="D1697" t="str">
        <f t="shared" si="183"/>
        <v>Y</v>
      </c>
      <c r="E1697" t="s">
        <v>638</v>
      </c>
      <c r="F1697" t="str">
        <f t="shared" si="184"/>
        <v>NEW DONOR -5th</v>
      </c>
      <c r="G1697" t="str">
        <f t="shared" si="185"/>
        <v>Marketing</v>
      </c>
      <c r="H1697" t="s">
        <v>559</v>
      </c>
      <c r="I1697">
        <f t="shared" si="186"/>
        <v>5</v>
      </c>
      <c r="J1697" t="s">
        <v>546</v>
      </c>
      <c r="K1697" s="5">
        <v>55</v>
      </c>
      <c r="L1697" t="str">
        <f>Table_DataFromNL[[#This Row],[PROFILECODE]]&amp;"-"&amp;Table_DataFromNL[[#This Row],[RULENAME]]</f>
        <v>CP227-New Donor 5th Visit-Bonus</v>
      </c>
      <c r="M1697" t="str">
        <f t="shared" si="187"/>
        <v>CP227-NEW DONOR -5th</v>
      </c>
    </row>
    <row r="1698" spans="1:13" x14ac:dyDescent="0.25">
      <c r="A1698" t="str">
        <f t="shared" si="188"/>
        <v>CP227-NEW DONOR -6th</v>
      </c>
      <c r="B1698" t="s">
        <v>104</v>
      </c>
      <c r="C1698" t="str">
        <f t="shared" si="182"/>
        <v>Lakewood</v>
      </c>
      <c r="D1698" t="str">
        <f t="shared" si="183"/>
        <v>Y</v>
      </c>
      <c r="E1698" t="s">
        <v>638</v>
      </c>
      <c r="F1698" t="str">
        <f t="shared" si="184"/>
        <v>NEW DONOR -6th</v>
      </c>
      <c r="G1698" t="str">
        <f t="shared" si="185"/>
        <v>Marketing</v>
      </c>
      <c r="H1698" t="s">
        <v>560</v>
      </c>
      <c r="I1698">
        <f t="shared" si="186"/>
        <v>6</v>
      </c>
      <c r="J1698" t="s">
        <v>546</v>
      </c>
      <c r="K1698" s="5">
        <v>55</v>
      </c>
      <c r="L1698" t="str">
        <f>Table_DataFromNL[[#This Row],[PROFILECODE]]&amp;"-"&amp;Table_DataFromNL[[#This Row],[RULENAME]]</f>
        <v>CP227-New Donor 6th Visit-Bonus</v>
      </c>
      <c r="M1698" t="str">
        <f t="shared" si="187"/>
        <v>CP227-NEW DONOR -6th</v>
      </c>
    </row>
    <row r="1699" spans="1:13" x14ac:dyDescent="0.25">
      <c r="A1699" t="str">
        <f t="shared" si="188"/>
        <v>CP227-NEW DONOR -7th</v>
      </c>
      <c r="B1699" t="s">
        <v>104</v>
      </c>
      <c r="C1699" t="str">
        <f t="shared" si="182"/>
        <v>Lakewood</v>
      </c>
      <c r="D1699" t="str">
        <f t="shared" si="183"/>
        <v>Y</v>
      </c>
      <c r="E1699" t="s">
        <v>638</v>
      </c>
      <c r="F1699" t="str">
        <f t="shared" si="184"/>
        <v>NEW DONOR -7th</v>
      </c>
      <c r="G1699" t="str">
        <f t="shared" si="185"/>
        <v>Marketing</v>
      </c>
      <c r="H1699" t="s">
        <v>561</v>
      </c>
      <c r="I1699">
        <f t="shared" si="186"/>
        <v>7</v>
      </c>
      <c r="J1699" t="s">
        <v>546</v>
      </c>
      <c r="K1699" s="5">
        <v>55</v>
      </c>
      <c r="L1699" t="str">
        <f>Table_DataFromNL[[#This Row],[PROFILECODE]]&amp;"-"&amp;Table_DataFromNL[[#This Row],[RULENAME]]</f>
        <v>CP227-New Donor 7th Visit-Bonus</v>
      </c>
      <c r="M1699" t="str">
        <f t="shared" si="187"/>
        <v>CP227-NEW DONOR -7th</v>
      </c>
    </row>
    <row r="1700" spans="1:13" x14ac:dyDescent="0.25">
      <c r="A1700" t="str">
        <f t="shared" si="188"/>
        <v>CP227-NEW DONOR -8th</v>
      </c>
      <c r="B1700" t="s">
        <v>104</v>
      </c>
      <c r="C1700" t="str">
        <f t="shared" si="182"/>
        <v>Lakewood</v>
      </c>
      <c r="D1700" t="str">
        <f t="shared" si="183"/>
        <v>Y</v>
      </c>
      <c r="E1700" t="s">
        <v>638</v>
      </c>
      <c r="F1700" t="str">
        <f t="shared" si="184"/>
        <v>NEW DONOR -8th</v>
      </c>
      <c r="G1700" t="str">
        <f t="shared" si="185"/>
        <v>Marketing</v>
      </c>
      <c r="H1700" t="s">
        <v>562</v>
      </c>
      <c r="I1700">
        <f t="shared" si="186"/>
        <v>8</v>
      </c>
      <c r="J1700" t="s">
        <v>546</v>
      </c>
      <c r="K1700" s="5">
        <v>55</v>
      </c>
      <c r="L1700" t="str">
        <f>Table_DataFromNL[[#This Row],[PROFILECODE]]&amp;"-"&amp;Table_DataFromNL[[#This Row],[RULENAME]]</f>
        <v>CP227-New Donor 8th Visit-Bonus</v>
      </c>
      <c r="M1700" t="str">
        <f t="shared" si="187"/>
        <v>CP227-NEW DONOR -8th</v>
      </c>
    </row>
    <row r="1701" spans="1:13" x14ac:dyDescent="0.25">
      <c r="A1701" t="str">
        <f t="shared" si="188"/>
        <v>CP227-Vaccinia - 1st Donation</v>
      </c>
      <c r="B1701" t="s">
        <v>104</v>
      </c>
      <c r="C1701" t="str">
        <f t="shared" si="182"/>
        <v>Lakewood</v>
      </c>
      <c r="D1701" t="str">
        <f t="shared" si="183"/>
        <v>Y</v>
      </c>
      <c r="E1701" t="s">
        <v>638</v>
      </c>
      <c r="F1701" t="str">
        <f t="shared" si="184"/>
        <v>Vaccinia - 1st Donation</v>
      </c>
      <c r="G1701" t="str">
        <f t="shared" si="185"/>
        <v>Specialty</v>
      </c>
      <c r="H1701" t="s">
        <v>477</v>
      </c>
      <c r="I1701">
        <f t="shared" si="186"/>
        <v>0</v>
      </c>
      <c r="J1701" t="s">
        <v>546</v>
      </c>
      <c r="K1701" s="5">
        <v>150</v>
      </c>
      <c r="L1701" t="str">
        <f>Table_DataFromNL[[#This Row],[PROFILECODE]]&amp;"-"&amp;Table_DataFromNL[[#This Row],[RULENAME]]</f>
        <v>CP227-Vaccinia - 1st Donation</v>
      </c>
      <c r="M1701" t="str">
        <f t="shared" si="187"/>
        <v>CP227-Vaccinia - 1st Donation</v>
      </c>
    </row>
    <row r="1702" spans="1:13" x14ac:dyDescent="0.25">
      <c r="A1702" t="str">
        <f t="shared" si="188"/>
        <v>CP227-Vaccinia - 2nd Donation</v>
      </c>
      <c r="B1702" t="s">
        <v>104</v>
      </c>
      <c r="C1702" t="str">
        <f t="shared" si="182"/>
        <v>Lakewood</v>
      </c>
      <c r="D1702" t="str">
        <f t="shared" si="183"/>
        <v>Y</v>
      </c>
      <c r="E1702" t="s">
        <v>638</v>
      </c>
      <c r="F1702" t="str">
        <f t="shared" si="184"/>
        <v>Vaccinia - 2nd Donation</v>
      </c>
      <c r="G1702" t="str">
        <f t="shared" si="185"/>
        <v>Specialty</v>
      </c>
      <c r="H1702" t="s">
        <v>478</v>
      </c>
      <c r="I1702">
        <f t="shared" si="186"/>
        <v>0</v>
      </c>
      <c r="J1702" t="s">
        <v>546</v>
      </c>
      <c r="K1702" s="5">
        <v>250</v>
      </c>
      <c r="L1702" t="str">
        <f>Table_DataFromNL[[#This Row],[PROFILECODE]]&amp;"-"&amp;Table_DataFromNL[[#This Row],[RULENAME]]</f>
        <v>CP227-Vaccinia - 2nd Donation</v>
      </c>
      <c r="M1702" t="str">
        <f t="shared" si="187"/>
        <v>CP227-Vaccinia - 2nd Donation</v>
      </c>
    </row>
    <row r="1703" spans="1:13" x14ac:dyDescent="0.25">
      <c r="A1703" t="str">
        <f t="shared" si="188"/>
        <v>CP227-Vaccinia - 3rd Donation</v>
      </c>
      <c r="B1703" t="s">
        <v>104</v>
      </c>
      <c r="C1703" t="str">
        <f t="shared" si="182"/>
        <v>Lakewood</v>
      </c>
      <c r="D1703" t="str">
        <f t="shared" si="183"/>
        <v>Y</v>
      </c>
      <c r="E1703" t="s">
        <v>638</v>
      </c>
      <c r="F1703" t="str">
        <f t="shared" si="184"/>
        <v>Vaccinia - 3rd Donation</v>
      </c>
      <c r="G1703" t="str">
        <f t="shared" si="185"/>
        <v>Specialty</v>
      </c>
      <c r="H1703" t="s">
        <v>479</v>
      </c>
      <c r="I1703">
        <f t="shared" si="186"/>
        <v>0</v>
      </c>
      <c r="J1703" t="s">
        <v>546</v>
      </c>
      <c r="K1703" s="5">
        <v>300</v>
      </c>
      <c r="L1703" t="str">
        <f>Table_DataFromNL[[#This Row],[PROFILECODE]]&amp;"-"&amp;Table_DataFromNL[[#This Row],[RULENAME]]</f>
        <v>CP227-Vaccinia - 3rd Donation</v>
      </c>
      <c r="M1703" t="str">
        <f t="shared" si="187"/>
        <v>CP227-Vaccinia - 3rd Donation</v>
      </c>
    </row>
    <row r="1704" spans="1:13" x14ac:dyDescent="0.25">
      <c r="A1704" t="str">
        <f t="shared" si="188"/>
        <v>CP227-Vaccinia - 4th Donation</v>
      </c>
      <c r="B1704" t="s">
        <v>104</v>
      </c>
      <c r="C1704" t="str">
        <f t="shared" si="182"/>
        <v>Lakewood</v>
      </c>
      <c r="D1704" t="str">
        <f t="shared" si="183"/>
        <v>Y</v>
      </c>
      <c r="E1704" t="s">
        <v>638</v>
      </c>
      <c r="F1704" t="str">
        <f t="shared" si="184"/>
        <v>Vaccinia - 4th Donation</v>
      </c>
      <c r="G1704" t="str">
        <f t="shared" si="185"/>
        <v>Specialty</v>
      </c>
      <c r="H1704" t="s">
        <v>480</v>
      </c>
      <c r="I1704">
        <f t="shared" si="186"/>
        <v>0</v>
      </c>
      <c r="J1704" t="s">
        <v>546</v>
      </c>
      <c r="K1704" s="5">
        <v>300</v>
      </c>
      <c r="L1704" t="str">
        <f>Table_DataFromNL[[#This Row],[PROFILECODE]]&amp;"-"&amp;Table_DataFromNL[[#This Row],[RULENAME]]</f>
        <v>CP227-Vaccinia - 4th Donation</v>
      </c>
      <c r="M1704" t="str">
        <f t="shared" si="187"/>
        <v>CP227-Vaccinia - 4th Donation</v>
      </c>
    </row>
    <row r="1705" spans="1:13" x14ac:dyDescent="0.25">
      <c r="A1705" t="str">
        <f t="shared" si="188"/>
        <v>CP227-Vaccinia AP - 1st Donation</v>
      </c>
      <c r="B1705" t="s">
        <v>104</v>
      </c>
      <c r="C1705" t="str">
        <f t="shared" si="182"/>
        <v>Lakewood</v>
      </c>
      <c r="D1705" t="str">
        <f t="shared" si="183"/>
        <v>Y</v>
      </c>
      <c r="E1705" t="s">
        <v>638</v>
      </c>
      <c r="F1705" t="str">
        <f t="shared" si="184"/>
        <v>Vaccinia AP - 1st Donation</v>
      </c>
      <c r="G1705" t="str">
        <f t="shared" si="185"/>
        <v>Specialty</v>
      </c>
      <c r="H1705" t="s">
        <v>481</v>
      </c>
      <c r="I1705">
        <f t="shared" si="186"/>
        <v>0</v>
      </c>
      <c r="J1705" t="s">
        <v>546</v>
      </c>
      <c r="K1705" s="5">
        <v>150</v>
      </c>
      <c r="L1705" t="str">
        <f>Table_DataFromNL[[#This Row],[PROFILECODE]]&amp;"-"&amp;Table_DataFromNL[[#This Row],[RULENAME]]</f>
        <v>CP227-Vaccinia AP - 1st Donation</v>
      </c>
      <c r="M1705" t="str">
        <f t="shared" si="187"/>
        <v>CP227-Vaccinia AP - 1st Donation</v>
      </c>
    </row>
    <row r="1706" spans="1:13" x14ac:dyDescent="0.25">
      <c r="A1706" t="str">
        <f t="shared" si="188"/>
        <v>CP227-Vaccinia AP - 2nd Donation</v>
      </c>
      <c r="B1706" t="s">
        <v>104</v>
      </c>
      <c r="C1706" t="str">
        <f t="shared" si="182"/>
        <v>Lakewood</v>
      </c>
      <c r="D1706" t="str">
        <f t="shared" si="183"/>
        <v>Y</v>
      </c>
      <c r="E1706" t="s">
        <v>638</v>
      </c>
      <c r="F1706" t="str">
        <f t="shared" si="184"/>
        <v>Vaccinia AP - 2nd Donation</v>
      </c>
      <c r="G1706" t="str">
        <f t="shared" si="185"/>
        <v>Specialty</v>
      </c>
      <c r="H1706" t="s">
        <v>482</v>
      </c>
      <c r="I1706">
        <f t="shared" si="186"/>
        <v>0</v>
      </c>
      <c r="J1706" t="s">
        <v>546</v>
      </c>
      <c r="K1706" s="5">
        <v>250</v>
      </c>
      <c r="L1706" t="str">
        <f>Table_DataFromNL[[#This Row],[PROFILECODE]]&amp;"-"&amp;Table_DataFromNL[[#This Row],[RULENAME]]</f>
        <v>CP227-Vaccinia AP - 2nd Donation</v>
      </c>
      <c r="M1706" t="str">
        <f t="shared" si="187"/>
        <v>CP227-Vaccinia AP - 2nd Donation</v>
      </c>
    </row>
    <row r="1707" spans="1:13" x14ac:dyDescent="0.25">
      <c r="A1707" t="str">
        <f t="shared" si="188"/>
        <v>CP227-Vaccinia AP - 3rd Donation</v>
      </c>
      <c r="B1707" t="s">
        <v>104</v>
      </c>
      <c r="C1707" t="str">
        <f t="shared" si="182"/>
        <v>Lakewood</v>
      </c>
      <c r="D1707" t="str">
        <f t="shared" si="183"/>
        <v>Y</v>
      </c>
      <c r="E1707" t="s">
        <v>638</v>
      </c>
      <c r="F1707" t="str">
        <f t="shared" si="184"/>
        <v>Vaccinia AP - 3rd Donation</v>
      </c>
      <c r="G1707" t="str">
        <f t="shared" si="185"/>
        <v>Specialty</v>
      </c>
      <c r="H1707" t="s">
        <v>483</v>
      </c>
      <c r="I1707">
        <f t="shared" si="186"/>
        <v>0</v>
      </c>
      <c r="J1707" t="s">
        <v>546</v>
      </c>
      <c r="K1707" s="5">
        <v>300</v>
      </c>
      <c r="L1707" t="str">
        <f>Table_DataFromNL[[#This Row],[PROFILECODE]]&amp;"-"&amp;Table_DataFromNL[[#This Row],[RULENAME]]</f>
        <v>CP227-Vaccinia AP - 3rd Donation</v>
      </c>
      <c r="M1707" t="str">
        <f t="shared" si="187"/>
        <v>CP227-Vaccinia AP - 3rd Donation</v>
      </c>
    </row>
    <row r="1708" spans="1:13" x14ac:dyDescent="0.25">
      <c r="A1708" t="str">
        <f t="shared" si="188"/>
        <v>CP227-Vaccinia AP - 4th Donation</v>
      </c>
      <c r="B1708" t="s">
        <v>104</v>
      </c>
      <c r="C1708" t="str">
        <f t="shared" si="182"/>
        <v>Lakewood</v>
      </c>
      <c r="D1708" t="str">
        <f t="shared" si="183"/>
        <v>Y</v>
      </c>
      <c r="E1708" t="s">
        <v>638</v>
      </c>
      <c r="F1708" t="str">
        <f t="shared" si="184"/>
        <v>Vaccinia AP - 4th Donation</v>
      </c>
      <c r="G1708" t="str">
        <f t="shared" si="185"/>
        <v>Specialty</v>
      </c>
      <c r="H1708" t="s">
        <v>484</v>
      </c>
      <c r="I1708">
        <f t="shared" si="186"/>
        <v>0</v>
      </c>
      <c r="J1708" t="s">
        <v>546</v>
      </c>
      <c r="K1708" s="5">
        <v>300</v>
      </c>
      <c r="L1708" t="str">
        <f>Table_DataFromNL[[#This Row],[PROFILECODE]]&amp;"-"&amp;Table_DataFromNL[[#This Row],[RULENAME]]</f>
        <v>CP227-Vaccinia AP - 4th Donation</v>
      </c>
      <c r="M1708" t="str">
        <f t="shared" si="187"/>
        <v>CP227-Vaccinia AP - 4th Donation</v>
      </c>
    </row>
    <row r="1709" spans="1:13" x14ac:dyDescent="0.25">
      <c r="A1709" t="str">
        <f t="shared" si="188"/>
        <v>CP227-Community</v>
      </c>
      <c r="B1709" t="s">
        <v>104</v>
      </c>
      <c r="C1709" t="str">
        <f t="shared" si="182"/>
        <v>Lakewood</v>
      </c>
      <c r="D1709" t="str">
        <f t="shared" si="183"/>
        <v>Y</v>
      </c>
      <c r="E1709" t="s">
        <v>638</v>
      </c>
      <c r="F1709" t="str">
        <f t="shared" si="184"/>
        <v>Community</v>
      </c>
      <c r="G1709">
        <f t="shared" si="185"/>
        <v>0</v>
      </c>
      <c r="H1709" t="s">
        <v>563</v>
      </c>
      <c r="I1709">
        <f t="shared" si="186"/>
        <v>0</v>
      </c>
      <c r="J1709" t="s">
        <v>564</v>
      </c>
      <c r="K1709" s="5">
        <v>5</v>
      </c>
      <c r="L1709" t="str">
        <f>Table_DataFromNL[[#This Row],[PROFILECODE]]&amp;"-"&amp;Table_DataFromNL[[#This Row],[RULENAME]]</f>
        <v>CP227-Community</v>
      </c>
      <c r="M1709" t="e">
        <f t="shared" si="187"/>
        <v>#N/A</v>
      </c>
    </row>
    <row r="1710" spans="1:13" x14ac:dyDescent="0.25">
      <c r="A1710" t="str">
        <f t="shared" si="188"/>
        <v>CP227-HANGER_RECRUIT_5USD_once</v>
      </c>
      <c r="B1710" t="s">
        <v>104</v>
      </c>
      <c r="C1710" t="str">
        <f t="shared" si="182"/>
        <v>Lakewood</v>
      </c>
      <c r="D1710" t="str">
        <f t="shared" si="183"/>
        <v>Y</v>
      </c>
      <c r="E1710" t="s">
        <v>638</v>
      </c>
      <c r="F1710" t="str">
        <f t="shared" si="184"/>
        <v>HANGER_RECRUIT_5USD_once</v>
      </c>
      <c r="G1710">
        <f t="shared" si="185"/>
        <v>0</v>
      </c>
      <c r="H1710" t="s">
        <v>565</v>
      </c>
      <c r="I1710">
        <f t="shared" si="186"/>
        <v>0</v>
      </c>
      <c r="J1710" t="s">
        <v>564</v>
      </c>
      <c r="K1710" s="5">
        <v>5</v>
      </c>
      <c r="L1710" t="str">
        <f>Table_DataFromNL[[#This Row],[PROFILECODE]]&amp;"-"&amp;Table_DataFromNL[[#This Row],[RULENAME]]</f>
        <v>CP227-HANGER_RECRUIT_5USD_once</v>
      </c>
      <c r="M1710" t="e">
        <f t="shared" si="187"/>
        <v>#N/A</v>
      </c>
    </row>
    <row r="1711" spans="1:13" x14ac:dyDescent="0.25">
      <c r="A1711" t="str">
        <f t="shared" si="188"/>
        <v>CP227-Immunization Boost Payment</v>
      </c>
      <c r="B1711" t="s">
        <v>104</v>
      </c>
      <c r="C1711" t="str">
        <f t="shared" si="182"/>
        <v>Lakewood</v>
      </c>
      <c r="D1711" t="str">
        <f t="shared" si="183"/>
        <v>Y</v>
      </c>
      <c r="E1711" t="s">
        <v>638</v>
      </c>
      <c r="F1711" t="str">
        <f t="shared" si="184"/>
        <v>Immunization Boost Payment</v>
      </c>
      <c r="G1711">
        <f t="shared" si="185"/>
        <v>0</v>
      </c>
      <c r="H1711" t="s">
        <v>598</v>
      </c>
      <c r="I1711">
        <f t="shared" si="186"/>
        <v>0</v>
      </c>
      <c r="J1711" t="s">
        <v>564</v>
      </c>
      <c r="K1711" s="5">
        <v>50</v>
      </c>
      <c r="L1711" t="str">
        <f>Table_DataFromNL[[#This Row],[PROFILECODE]]&amp;"-"&amp;Table_DataFromNL[[#This Row],[RULENAME]]</f>
        <v>CP227-Immunization Boost Payment</v>
      </c>
      <c r="M1711" t="e">
        <f t="shared" si="187"/>
        <v>#N/A</v>
      </c>
    </row>
    <row r="1712" spans="1:13" x14ac:dyDescent="0.25">
      <c r="A1712" t="str">
        <f t="shared" si="188"/>
        <v>CP227-Immunization Series Payment</v>
      </c>
      <c r="B1712" t="s">
        <v>104</v>
      </c>
      <c r="C1712" t="str">
        <f t="shared" si="182"/>
        <v>Lakewood</v>
      </c>
      <c r="D1712" t="str">
        <f t="shared" si="183"/>
        <v>Y</v>
      </c>
      <c r="E1712" t="s">
        <v>638</v>
      </c>
      <c r="F1712" t="str">
        <f t="shared" si="184"/>
        <v>Immunization Series Payment</v>
      </c>
      <c r="G1712">
        <f t="shared" si="185"/>
        <v>0</v>
      </c>
      <c r="H1712" t="s">
        <v>599</v>
      </c>
      <c r="I1712">
        <f t="shared" si="186"/>
        <v>0</v>
      </c>
      <c r="J1712" t="s">
        <v>564</v>
      </c>
      <c r="K1712" s="5">
        <v>100</v>
      </c>
      <c r="L1712" t="str">
        <f>Table_DataFromNL[[#This Row],[PROFILECODE]]&amp;"-"&amp;Table_DataFromNL[[#This Row],[RULENAME]]</f>
        <v>CP227-Immunization Series Payment</v>
      </c>
      <c r="M1712" t="e">
        <f t="shared" si="187"/>
        <v>#N/A</v>
      </c>
    </row>
    <row r="1713" spans="1:13" x14ac:dyDescent="0.25">
      <c r="A1713" t="str">
        <f t="shared" si="188"/>
        <v>CP227-Inconv Fee $20-$50-Comment Req'd</v>
      </c>
      <c r="B1713" t="s">
        <v>104</v>
      </c>
      <c r="C1713" t="str">
        <f t="shared" si="182"/>
        <v>Lakewood</v>
      </c>
      <c r="D1713" t="str">
        <f t="shared" si="183"/>
        <v>Y</v>
      </c>
      <c r="E1713" t="s">
        <v>638</v>
      </c>
      <c r="F1713" t="str">
        <f t="shared" si="184"/>
        <v>Inconv Fee $20-$50-Comment Req'd</v>
      </c>
      <c r="G1713">
        <f t="shared" si="185"/>
        <v>0</v>
      </c>
      <c r="H1713" t="s">
        <v>566</v>
      </c>
      <c r="I1713">
        <f t="shared" si="186"/>
        <v>0</v>
      </c>
      <c r="J1713" t="s">
        <v>564</v>
      </c>
      <c r="K1713" s="5">
        <v>50</v>
      </c>
      <c r="L1713" t="str">
        <f>Table_DataFromNL[[#This Row],[PROFILECODE]]&amp;"-"&amp;Table_DataFromNL[[#This Row],[RULENAME]]</f>
        <v>CP227-Inconv Fee $20-$50-Comment Req'd</v>
      </c>
      <c r="M1713" t="e">
        <f t="shared" si="187"/>
        <v>#N/A</v>
      </c>
    </row>
    <row r="1714" spans="1:13" x14ac:dyDescent="0.25">
      <c r="A1714" t="str">
        <f t="shared" si="188"/>
        <v>CP227-Inconv Fee $5-$20-Comment Req'd</v>
      </c>
      <c r="B1714" t="s">
        <v>104</v>
      </c>
      <c r="C1714" t="str">
        <f t="shared" si="182"/>
        <v>Lakewood</v>
      </c>
      <c r="D1714" t="str">
        <f t="shared" si="183"/>
        <v>Y</v>
      </c>
      <c r="E1714" t="s">
        <v>638</v>
      </c>
      <c r="F1714" t="str">
        <f t="shared" si="184"/>
        <v>Inconv Fee $5-$20-Comment Req'd</v>
      </c>
      <c r="G1714">
        <f t="shared" si="185"/>
        <v>0</v>
      </c>
      <c r="H1714" t="s">
        <v>567</v>
      </c>
      <c r="I1714">
        <f t="shared" si="186"/>
        <v>0</v>
      </c>
      <c r="J1714" t="s">
        <v>564</v>
      </c>
      <c r="K1714" s="5">
        <v>20</v>
      </c>
      <c r="L1714" t="str">
        <f>Table_DataFromNL[[#This Row],[PROFILECODE]]&amp;"-"&amp;Table_DataFromNL[[#This Row],[RULENAME]]</f>
        <v>CP227-Inconv Fee $5-$20-Comment Req'd</v>
      </c>
      <c r="M1714" t="e">
        <f t="shared" si="187"/>
        <v>#N/A</v>
      </c>
    </row>
    <row r="1715" spans="1:13" x14ac:dyDescent="0.25">
      <c r="A1715" t="str">
        <f t="shared" si="188"/>
        <v>CP227-Inconv Fee$50-$100-Comment Req'd</v>
      </c>
      <c r="B1715" t="s">
        <v>104</v>
      </c>
      <c r="C1715" t="str">
        <f t="shared" si="182"/>
        <v>Lakewood</v>
      </c>
      <c r="D1715" t="str">
        <f t="shared" si="183"/>
        <v>Y</v>
      </c>
      <c r="E1715" t="s">
        <v>638</v>
      </c>
      <c r="F1715" t="str">
        <f t="shared" si="184"/>
        <v>Inconv Fee$50-$100-Comment Req'd</v>
      </c>
      <c r="G1715">
        <f t="shared" si="185"/>
        <v>0</v>
      </c>
      <c r="H1715" t="s">
        <v>568</v>
      </c>
      <c r="I1715">
        <f t="shared" si="186"/>
        <v>0</v>
      </c>
      <c r="J1715" t="s">
        <v>564</v>
      </c>
      <c r="K1715" s="5">
        <v>100</v>
      </c>
      <c r="L1715" t="str">
        <f>Table_DataFromNL[[#This Row],[PROFILECODE]]&amp;"-"&amp;Table_DataFromNL[[#This Row],[RULENAME]]</f>
        <v>CP227-Inconv Fee$50-$100-Comment Req'd</v>
      </c>
      <c r="M1715" t="e">
        <f t="shared" si="187"/>
        <v>#N/A</v>
      </c>
    </row>
    <row r="1716" spans="1:13" x14ac:dyDescent="0.25">
      <c r="A1716" t="str">
        <f t="shared" si="188"/>
        <v>CP227-NSP_ LAPSEDONOR_50_Twice</v>
      </c>
      <c r="B1716" t="s">
        <v>104</v>
      </c>
      <c r="C1716" t="str">
        <f t="shared" si="182"/>
        <v>Lakewood</v>
      </c>
      <c r="D1716" t="str">
        <f t="shared" si="183"/>
        <v>Y</v>
      </c>
      <c r="E1716" t="s">
        <v>638</v>
      </c>
      <c r="F1716" t="str">
        <f t="shared" si="184"/>
        <v>NSP_ LAPSEDONOR_50_Twice</v>
      </c>
      <c r="G1716">
        <f t="shared" si="185"/>
        <v>0</v>
      </c>
      <c r="H1716" t="s">
        <v>569</v>
      </c>
      <c r="I1716">
        <f t="shared" si="186"/>
        <v>0</v>
      </c>
      <c r="J1716" t="s">
        <v>564</v>
      </c>
      <c r="K1716" s="5">
        <v>50</v>
      </c>
      <c r="L1716" t="str">
        <f>Table_DataFromNL[[#This Row],[PROFILECODE]]&amp;"-"&amp;Table_DataFromNL[[#This Row],[RULENAME]]</f>
        <v>CP227-NSP_ LAPSEDONOR_50_Twice</v>
      </c>
      <c r="M1716" t="e">
        <f t="shared" si="187"/>
        <v>#N/A</v>
      </c>
    </row>
    <row r="1717" spans="1:13" x14ac:dyDescent="0.25">
      <c r="A1717" t="str">
        <f t="shared" si="188"/>
        <v>CP227-NSP_LD_25_2X</v>
      </c>
      <c r="B1717" t="s">
        <v>104</v>
      </c>
      <c r="C1717" t="str">
        <f t="shared" si="182"/>
        <v>Lakewood</v>
      </c>
      <c r="D1717" t="str">
        <f t="shared" si="183"/>
        <v>Y</v>
      </c>
      <c r="E1717" t="s">
        <v>638</v>
      </c>
      <c r="F1717" t="str">
        <f t="shared" si="184"/>
        <v>NSP_LD_25_2X</v>
      </c>
      <c r="G1717">
        <f t="shared" si="185"/>
        <v>0</v>
      </c>
      <c r="H1717" t="s">
        <v>570</v>
      </c>
      <c r="I1717">
        <f t="shared" si="186"/>
        <v>0</v>
      </c>
      <c r="J1717" t="s">
        <v>564</v>
      </c>
      <c r="K1717" s="5">
        <v>25</v>
      </c>
      <c r="L1717" t="str">
        <f>Table_DataFromNL[[#This Row],[PROFILECODE]]&amp;"-"&amp;Table_DataFromNL[[#This Row],[RULENAME]]</f>
        <v>CP227-NSP_LD_25_2X</v>
      </c>
      <c r="M1717" t="e">
        <f t="shared" si="187"/>
        <v>#N/A</v>
      </c>
    </row>
    <row r="1718" spans="1:13" x14ac:dyDescent="0.25">
      <c r="A1718" t="str">
        <f t="shared" si="188"/>
        <v>CP227-NSP_LD_50_1X</v>
      </c>
      <c r="B1718" t="s">
        <v>104</v>
      </c>
      <c r="C1718" t="str">
        <f t="shared" si="182"/>
        <v>Lakewood</v>
      </c>
      <c r="D1718" t="str">
        <f t="shared" si="183"/>
        <v>Y</v>
      </c>
      <c r="E1718" t="s">
        <v>638</v>
      </c>
      <c r="F1718" t="str">
        <f t="shared" si="184"/>
        <v>NSP_LD_50_1X</v>
      </c>
      <c r="G1718">
        <f t="shared" si="185"/>
        <v>0</v>
      </c>
      <c r="H1718" t="s">
        <v>571</v>
      </c>
      <c r="I1718">
        <f t="shared" si="186"/>
        <v>0</v>
      </c>
      <c r="J1718" t="s">
        <v>564</v>
      </c>
      <c r="K1718" s="5">
        <v>50</v>
      </c>
      <c r="L1718" t="str">
        <f>Table_DataFromNL[[#This Row],[PROFILECODE]]&amp;"-"&amp;Table_DataFromNL[[#This Row],[RULENAME]]</f>
        <v>CP227-NSP_LD_50_1X</v>
      </c>
      <c r="M1718" t="e">
        <f t="shared" si="187"/>
        <v>#N/A</v>
      </c>
    </row>
    <row r="1719" spans="1:13" x14ac:dyDescent="0.25">
      <c r="A1719" t="str">
        <f t="shared" si="188"/>
        <v>CP227-NSP_ORPHAN_100_once</v>
      </c>
      <c r="B1719" t="s">
        <v>104</v>
      </c>
      <c r="C1719" t="str">
        <f t="shared" si="182"/>
        <v>Lakewood</v>
      </c>
      <c r="D1719" t="str">
        <f t="shared" si="183"/>
        <v>Y</v>
      </c>
      <c r="E1719" t="s">
        <v>638</v>
      </c>
      <c r="F1719" t="str">
        <f t="shared" si="184"/>
        <v>NSP_ORPHAN_100_once</v>
      </c>
      <c r="G1719">
        <f t="shared" si="185"/>
        <v>0</v>
      </c>
      <c r="H1719" t="s">
        <v>572</v>
      </c>
      <c r="I1719">
        <f t="shared" si="186"/>
        <v>0</v>
      </c>
      <c r="J1719" t="s">
        <v>564</v>
      </c>
      <c r="K1719" s="5">
        <v>100</v>
      </c>
      <c r="L1719" t="str">
        <f>Table_DataFromNL[[#This Row],[PROFILECODE]]&amp;"-"&amp;Table_DataFromNL[[#This Row],[RULENAME]]</f>
        <v>CP227-NSP_ORPHAN_100_once</v>
      </c>
      <c r="M1719" t="e">
        <f t="shared" si="187"/>
        <v>#N/A</v>
      </c>
    </row>
    <row r="1720" spans="1:13" x14ac:dyDescent="0.25">
      <c r="A1720" t="str">
        <f t="shared" si="188"/>
        <v>CP227-Referral - Vaccinia</v>
      </c>
      <c r="B1720" t="s">
        <v>104</v>
      </c>
      <c r="C1720" t="str">
        <f t="shared" si="182"/>
        <v>Lakewood</v>
      </c>
      <c r="D1720" t="str">
        <f t="shared" si="183"/>
        <v>Y</v>
      </c>
      <c r="E1720" t="s">
        <v>638</v>
      </c>
      <c r="F1720" t="str">
        <f t="shared" si="184"/>
        <v>Referral - Vaccinia</v>
      </c>
      <c r="G1720">
        <f t="shared" si="185"/>
        <v>0</v>
      </c>
      <c r="H1720" t="s">
        <v>595</v>
      </c>
      <c r="I1720">
        <f t="shared" si="186"/>
        <v>0</v>
      </c>
      <c r="J1720" t="s">
        <v>564</v>
      </c>
      <c r="K1720" s="5">
        <v>250</v>
      </c>
      <c r="L1720" t="str">
        <f>Table_DataFromNL[[#This Row],[PROFILECODE]]&amp;"-"&amp;Table_DataFromNL[[#This Row],[RULENAME]]</f>
        <v>CP227-Referral - Vaccinia</v>
      </c>
      <c r="M1720" t="e">
        <f t="shared" si="187"/>
        <v>#N/A</v>
      </c>
    </row>
    <row r="1721" spans="1:13" x14ac:dyDescent="0.25">
      <c r="A1721" t="str">
        <f t="shared" si="188"/>
        <v>CP227-Restick</v>
      </c>
      <c r="B1721" t="s">
        <v>104</v>
      </c>
      <c r="C1721" t="str">
        <f t="shared" si="182"/>
        <v>Lakewood</v>
      </c>
      <c r="D1721" t="str">
        <f t="shared" si="183"/>
        <v>Y</v>
      </c>
      <c r="E1721" t="s">
        <v>638</v>
      </c>
      <c r="F1721" t="str">
        <f t="shared" si="184"/>
        <v>Restick</v>
      </c>
      <c r="G1721">
        <f t="shared" si="185"/>
        <v>0</v>
      </c>
      <c r="H1721" t="s">
        <v>573</v>
      </c>
      <c r="I1721">
        <f t="shared" si="186"/>
        <v>0</v>
      </c>
      <c r="J1721" t="s">
        <v>564</v>
      </c>
      <c r="K1721" s="5">
        <v>5</v>
      </c>
      <c r="L1721" t="str">
        <f>Table_DataFromNL[[#This Row],[PROFILECODE]]&amp;"-"&amp;Table_DataFromNL[[#This Row],[RULENAME]]</f>
        <v>CP227-Restick</v>
      </c>
      <c r="M1721" t="e">
        <f t="shared" si="187"/>
        <v>#N/A</v>
      </c>
    </row>
    <row r="1722" spans="1:13" x14ac:dyDescent="0.25">
      <c r="A1722" t="str">
        <f t="shared" si="188"/>
        <v>CP227-SLOW_TEXT_5</v>
      </c>
      <c r="B1722" t="s">
        <v>104</v>
      </c>
      <c r="C1722" t="str">
        <f t="shared" si="182"/>
        <v>Lakewood</v>
      </c>
      <c r="D1722" t="str">
        <f t="shared" si="183"/>
        <v>Y</v>
      </c>
      <c r="E1722" t="s">
        <v>638</v>
      </c>
      <c r="F1722" t="str">
        <f t="shared" si="184"/>
        <v>SLOW_TEXT_5</v>
      </c>
      <c r="G1722">
        <f t="shared" si="185"/>
        <v>0</v>
      </c>
      <c r="H1722" t="s">
        <v>574</v>
      </c>
      <c r="I1722">
        <f t="shared" si="186"/>
        <v>0</v>
      </c>
      <c r="J1722" t="s">
        <v>564</v>
      </c>
      <c r="K1722" s="5">
        <v>5</v>
      </c>
      <c r="L1722" t="str">
        <f>Table_DataFromNL[[#This Row],[PROFILECODE]]&amp;"-"&amp;Table_DataFromNL[[#This Row],[RULENAME]]</f>
        <v>CP227-SLOW_TEXT_5</v>
      </c>
      <c r="M1722" t="e">
        <f t="shared" si="187"/>
        <v>#N/A</v>
      </c>
    </row>
    <row r="1723" spans="1:13" x14ac:dyDescent="0.25">
      <c r="A1723" t="str">
        <f t="shared" si="188"/>
        <v>CP227-Sample Only</v>
      </c>
      <c r="B1723" t="s">
        <v>104</v>
      </c>
      <c r="C1723" t="str">
        <f t="shared" si="182"/>
        <v>Lakewood</v>
      </c>
      <c r="D1723" t="str">
        <f t="shared" si="183"/>
        <v>Y</v>
      </c>
      <c r="E1723" t="s">
        <v>638</v>
      </c>
      <c r="F1723" t="str">
        <f t="shared" si="184"/>
        <v>Sample Only</v>
      </c>
      <c r="G1723">
        <f t="shared" si="185"/>
        <v>0</v>
      </c>
      <c r="H1723" t="s">
        <v>575</v>
      </c>
      <c r="I1723">
        <f t="shared" si="186"/>
        <v>0</v>
      </c>
      <c r="J1723" t="s">
        <v>564</v>
      </c>
      <c r="K1723" s="5">
        <v>5</v>
      </c>
      <c r="L1723" t="str">
        <f>Table_DataFromNL[[#This Row],[PROFILECODE]]&amp;"-"&amp;Table_DataFromNL[[#This Row],[RULENAME]]</f>
        <v>CP227-Sample Only</v>
      </c>
      <c r="M1723" t="e">
        <f t="shared" si="187"/>
        <v>#N/A</v>
      </c>
    </row>
    <row r="1724" spans="1:13" x14ac:dyDescent="0.25">
      <c r="A1724" t="str">
        <f t="shared" si="188"/>
        <v>CP227-Unit Below 250 mL</v>
      </c>
      <c r="B1724" t="s">
        <v>104</v>
      </c>
      <c r="C1724" t="str">
        <f t="shared" si="182"/>
        <v>Lakewood</v>
      </c>
      <c r="D1724" t="str">
        <f t="shared" si="183"/>
        <v>Y</v>
      </c>
      <c r="E1724" t="s">
        <v>638</v>
      </c>
      <c r="F1724" t="str">
        <f t="shared" si="184"/>
        <v>Unit Below 250 mL</v>
      </c>
      <c r="G1724">
        <f t="shared" si="185"/>
        <v>0</v>
      </c>
      <c r="H1724" t="s">
        <v>576</v>
      </c>
      <c r="I1724">
        <f t="shared" si="186"/>
        <v>0</v>
      </c>
      <c r="J1724" t="s">
        <v>564</v>
      </c>
      <c r="K1724" s="5">
        <v>5</v>
      </c>
      <c r="L1724" t="str">
        <f>Table_DataFromNL[[#This Row],[PROFILECODE]]&amp;"-"&amp;Table_DataFromNL[[#This Row],[RULENAME]]</f>
        <v>CP227-Unit Below 250 mL</v>
      </c>
      <c r="M1724" t="e">
        <f t="shared" si="187"/>
        <v>#N/A</v>
      </c>
    </row>
    <row r="1725" spans="1:13" x14ac:dyDescent="0.25">
      <c r="A1725" t="str">
        <f t="shared" si="188"/>
        <v>CP227-Unit above 250 mL/underdraw</v>
      </c>
      <c r="B1725" t="s">
        <v>104</v>
      </c>
      <c r="C1725" t="str">
        <f t="shared" si="182"/>
        <v>Lakewood</v>
      </c>
      <c r="D1725" t="str">
        <f t="shared" si="183"/>
        <v>Y</v>
      </c>
      <c r="E1725" t="s">
        <v>638</v>
      </c>
      <c r="F1725" t="str">
        <f t="shared" si="184"/>
        <v>Unit above 250 mL/underdraw</v>
      </c>
      <c r="G1725">
        <f t="shared" si="185"/>
        <v>0</v>
      </c>
      <c r="H1725" t="s">
        <v>577</v>
      </c>
      <c r="I1725">
        <f t="shared" si="186"/>
        <v>0</v>
      </c>
      <c r="J1725" t="s">
        <v>564</v>
      </c>
      <c r="K1725" s="5">
        <v>10</v>
      </c>
      <c r="L1725" t="str">
        <f>Table_DataFromNL[[#This Row],[PROFILECODE]]&amp;"-"&amp;Table_DataFromNL[[#This Row],[RULENAME]]</f>
        <v>CP227-Unit above 250 mL/underdraw</v>
      </c>
      <c r="M1725" t="e">
        <f t="shared" si="187"/>
        <v>#N/A</v>
      </c>
    </row>
    <row r="1726" spans="1:13" x14ac:dyDescent="0.25">
      <c r="A1726" t="str">
        <f t="shared" si="188"/>
        <v>CP227-Vaccinia Immunization</v>
      </c>
      <c r="B1726" t="s">
        <v>104</v>
      </c>
      <c r="C1726" t="str">
        <f t="shared" si="182"/>
        <v>Lakewood</v>
      </c>
      <c r="D1726" t="str">
        <f t="shared" si="183"/>
        <v>Y</v>
      </c>
      <c r="E1726" t="s">
        <v>638</v>
      </c>
      <c r="F1726" t="str">
        <f t="shared" si="184"/>
        <v>Vaccinia Immunization</v>
      </c>
      <c r="G1726">
        <f t="shared" si="185"/>
        <v>0</v>
      </c>
      <c r="H1726" t="s">
        <v>596</v>
      </c>
      <c r="I1726">
        <f t="shared" si="186"/>
        <v>0</v>
      </c>
      <c r="J1726" t="s">
        <v>564</v>
      </c>
      <c r="K1726" s="5">
        <v>100</v>
      </c>
      <c r="L1726" t="str">
        <f>Table_DataFromNL[[#This Row],[PROFILECODE]]&amp;"-"&amp;Table_DataFromNL[[#This Row],[RULENAME]]</f>
        <v>CP227-Vaccinia Immunization</v>
      </c>
      <c r="M1726" t="e">
        <f t="shared" si="187"/>
        <v>#N/A</v>
      </c>
    </row>
    <row r="1727" spans="1:13" x14ac:dyDescent="0.25">
      <c r="A1727" t="str">
        <f t="shared" si="188"/>
        <v>CP227-RETURN - Buddy referral  -BONUS</v>
      </c>
      <c r="B1727" t="s">
        <v>104</v>
      </c>
      <c r="C1727" t="str">
        <f t="shared" si="182"/>
        <v>Lakewood</v>
      </c>
      <c r="D1727" t="str">
        <f t="shared" si="183"/>
        <v>Y</v>
      </c>
      <c r="E1727" t="s">
        <v>638</v>
      </c>
      <c r="F1727" t="str">
        <f t="shared" si="184"/>
        <v>RETURN - Buddy referral  -BONUS</v>
      </c>
      <c r="G1727" t="str">
        <f t="shared" si="185"/>
        <v>Marketing</v>
      </c>
      <c r="H1727" t="s">
        <v>34</v>
      </c>
      <c r="I1727">
        <f t="shared" si="186"/>
        <v>50</v>
      </c>
      <c r="J1727" t="s">
        <v>578</v>
      </c>
      <c r="K1727" s="5">
        <v>0</v>
      </c>
      <c r="L1727" t="str">
        <f>Table_DataFromNL[[#This Row],[PROFILECODE]]&amp;"-"&amp;Table_DataFromNL[[#This Row],[RULENAME]]</f>
        <v>CP227-Referral</v>
      </c>
      <c r="M1727" t="str">
        <f t="shared" si="187"/>
        <v>CP227-RETURN - Buddy referral  -BONUS</v>
      </c>
    </row>
    <row r="1728" spans="1:13" x14ac:dyDescent="0.25">
      <c r="A1728" t="str">
        <f t="shared" si="188"/>
        <v>CP227-P Anti-D Pre-Existing Standard</v>
      </c>
      <c r="B1728" t="s">
        <v>104</v>
      </c>
      <c r="C1728" t="str">
        <f t="shared" si="182"/>
        <v>Lakewood</v>
      </c>
      <c r="D1728" t="str">
        <f t="shared" si="183"/>
        <v>Y</v>
      </c>
      <c r="E1728" t="s">
        <v>638</v>
      </c>
      <c r="F1728" t="str">
        <f t="shared" si="184"/>
        <v>P Anti-D Pre-Existing Standard</v>
      </c>
      <c r="G1728" t="str">
        <f t="shared" si="185"/>
        <v>Specialty</v>
      </c>
      <c r="H1728" t="s">
        <v>469</v>
      </c>
      <c r="I1728" t="str">
        <f t="shared" si="186"/>
        <v>RETURN - 1st don of the week -STD</v>
      </c>
      <c r="J1728" t="s">
        <v>579</v>
      </c>
      <c r="K1728" s="5">
        <v>50</v>
      </c>
      <c r="L1728" t="str">
        <f>Table_DataFromNL[[#This Row],[PROFILECODE]]&amp;"-"&amp;Table_DataFromNL[[#This Row],[RULENAME]]</f>
        <v>CP227-P Anti-D Pre-Existing Standard</v>
      </c>
      <c r="M1728" t="str">
        <f t="shared" si="187"/>
        <v>CP227-P Anti-D Pre-Existing Standard</v>
      </c>
    </row>
    <row r="1729" spans="1:13" x14ac:dyDescent="0.25">
      <c r="A1729" t="str">
        <f t="shared" si="188"/>
        <v>CP227-RETURN - 1st don of the week -STD</v>
      </c>
      <c r="B1729" t="s">
        <v>104</v>
      </c>
      <c r="C1729" t="str">
        <f t="shared" si="182"/>
        <v>Lakewood</v>
      </c>
      <c r="D1729" t="str">
        <f t="shared" si="183"/>
        <v>Y</v>
      </c>
      <c r="E1729" t="s">
        <v>638</v>
      </c>
      <c r="F1729" t="str">
        <f t="shared" si="184"/>
        <v>RETURN - 1st don of the week -STD</v>
      </c>
      <c r="G1729" t="str">
        <f t="shared" si="185"/>
        <v>Marketing</v>
      </c>
      <c r="H1729" t="s">
        <v>583</v>
      </c>
      <c r="I1729">
        <f t="shared" si="186"/>
        <v>22</v>
      </c>
      <c r="J1729" t="s">
        <v>579</v>
      </c>
      <c r="K1729" s="5">
        <v>55</v>
      </c>
      <c r="L1729" t="str">
        <f>Table_DataFromNL[[#This Row],[PROFILECODE]]&amp;"-"&amp;Table_DataFromNL[[#This Row],[RULENAME]]</f>
        <v>CP227-P NSP NS AP Standard</v>
      </c>
      <c r="M1729" t="str">
        <f t="shared" si="187"/>
        <v>CP227-RETURN - 1st don of the week -STD</v>
      </c>
    </row>
    <row r="1730" spans="1:13" x14ac:dyDescent="0.25">
      <c r="A1730" t="str">
        <f t="shared" si="188"/>
        <v>CP227-RETURN - 1st don of the week -STD</v>
      </c>
      <c r="B1730" t="s">
        <v>104</v>
      </c>
      <c r="C1730" t="str">
        <f t="shared" ref="C1730:C1793" si="189">VLOOKUP(B1730,CenterLU,2,FALSE)</f>
        <v>Lakewood</v>
      </c>
      <c r="D1730" t="str">
        <f t="shared" ref="D1730:D1793" si="190">VLOOKUP(B1730,CenterLU,3,FALSE)</f>
        <v>Y</v>
      </c>
      <c r="E1730" t="s">
        <v>638</v>
      </c>
      <c r="F1730" t="str">
        <f t="shared" ref="F1730:F1793" si="191">IF(VLOOKUP(H1730,RULENAMELU,3,FALSE)=0,H1730,VLOOKUP(H1730,RULENAMELU,3,FALSE))</f>
        <v>RETURN - 1st don of the week -STD</v>
      </c>
      <c r="G1730" t="str">
        <f t="shared" ref="G1730:G1793" si="192">VLOOKUP(H1730,RULENAMELU,4,FALSE)</f>
        <v>Marketing</v>
      </c>
      <c r="H1730" t="s">
        <v>584</v>
      </c>
      <c r="I1730">
        <f t="shared" ref="I1730:I1793" si="193">VLOOKUP(H1730,RULENAMELU,5,FALSE)</f>
        <v>23</v>
      </c>
      <c r="J1730" t="s">
        <v>579</v>
      </c>
      <c r="K1730" s="5">
        <v>55</v>
      </c>
      <c r="L1730" t="str">
        <f>Table_DataFromNL[[#This Row],[PROFILECODE]]&amp;"-"&amp;Table_DataFromNL[[#This Row],[RULENAME]]</f>
        <v>CP227-P NSP NS Standard</v>
      </c>
      <c r="M1730" t="str">
        <f t="shared" ref="M1730:M1793" si="194">IFERROR(VLOOKUP(A1730,PaychangesLU,1,FALSE),VLOOKUP(A1730,SpecialtyCheckLU,1,FALSE))</f>
        <v>CP227-RETURN - 1st don of the week -STD</v>
      </c>
    </row>
    <row r="1731" spans="1:13" x14ac:dyDescent="0.25">
      <c r="A1731" t="str">
        <f t="shared" ref="A1731:A1794" si="195">B1731&amp;"-"&amp;F1731</f>
        <v>CP227-P VZV Pre-Existing AP</v>
      </c>
      <c r="B1731" t="s">
        <v>104</v>
      </c>
      <c r="C1731" t="str">
        <f t="shared" si="189"/>
        <v>Lakewood</v>
      </c>
      <c r="D1731" t="str">
        <f t="shared" si="190"/>
        <v>Y</v>
      </c>
      <c r="E1731" t="s">
        <v>638</v>
      </c>
      <c r="F1731" t="str">
        <f t="shared" si="191"/>
        <v>P VZV Pre-Existing AP</v>
      </c>
      <c r="G1731" t="str">
        <f t="shared" si="192"/>
        <v>Specialty</v>
      </c>
      <c r="H1731" t="s">
        <v>495</v>
      </c>
      <c r="I1731" t="str">
        <f t="shared" si="193"/>
        <v>RETURN - 1st don of the week -STD</v>
      </c>
      <c r="J1731" t="s">
        <v>579</v>
      </c>
      <c r="K1731" s="5">
        <v>65</v>
      </c>
      <c r="L1731" t="str">
        <f>Table_DataFromNL[[#This Row],[PROFILECODE]]&amp;"-"&amp;Table_DataFromNL[[#This Row],[RULENAME]]</f>
        <v>CP227-P VZV Pre-Existing AP</v>
      </c>
      <c r="M1731" t="str">
        <f t="shared" si="194"/>
        <v>CP227-P VZV Pre-Existing AP</v>
      </c>
    </row>
    <row r="1732" spans="1:13" x14ac:dyDescent="0.25">
      <c r="A1732" t="str">
        <f t="shared" si="195"/>
        <v>CP227-P VZV Standard</v>
      </c>
      <c r="B1732" t="s">
        <v>104</v>
      </c>
      <c r="C1732" t="str">
        <f t="shared" si="189"/>
        <v>Lakewood</v>
      </c>
      <c r="D1732" t="str">
        <f t="shared" si="190"/>
        <v>Y</v>
      </c>
      <c r="E1732" t="s">
        <v>638</v>
      </c>
      <c r="F1732" t="str">
        <f t="shared" si="191"/>
        <v>P VZV Standard</v>
      </c>
      <c r="G1732" t="str">
        <f t="shared" si="192"/>
        <v>Specialty</v>
      </c>
      <c r="H1732" t="s">
        <v>496</v>
      </c>
      <c r="I1732" t="str">
        <f t="shared" si="193"/>
        <v>RETURN - 1st don of the week -STD</v>
      </c>
      <c r="J1732" t="s">
        <v>579</v>
      </c>
      <c r="K1732" s="5">
        <v>65</v>
      </c>
      <c r="L1732" t="str">
        <f>Table_DataFromNL[[#This Row],[PROFILECODE]]&amp;"-"&amp;Table_DataFromNL[[#This Row],[RULENAME]]</f>
        <v>CP227-P VZV Standard</v>
      </c>
      <c r="M1732" t="str">
        <f t="shared" si="194"/>
        <v>CP227-P VZV Standard</v>
      </c>
    </row>
    <row r="1733" spans="1:13" x14ac:dyDescent="0.25">
      <c r="A1733" t="str">
        <f t="shared" si="195"/>
        <v>CP227-P Vaccinia AP Standard</v>
      </c>
      <c r="B1733" t="s">
        <v>104</v>
      </c>
      <c r="C1733" t="str">
        <f t="shared" si="189"/>
        <v>Lakewood</v>
      </c>
      <c r="D1733" t="str">
        <f t="shared" si="190"/>
        <v>Y</v>
      </c>
      <c r="E1733" t="s">
        <v>638</v>
      </c>
      <c r="F1733" t="str">
        <f t="shared" si="191"/>
        <v>P Vaccinia AP Standard</v>
      </c>
      <c r="G1733" t="str">
        <f t="shared" si="192"/>
        <v>Specialty</v>
      </c>
      <c r="H1733" t="s">
        <v>475</v>
      </c>
      <c r="I1733">
        <f t="shared" si="193"/>
        <v>0</v>
      </c>
      <c r="J1733" t="s">
        <v>579</v>
      </c>
      <c r="K1733" s="5">
        <v>100</v>
      </c>
      <c r="L1733" t="str">
        <f>Table_DataFromNL[[#This Row],[PROFILECODE]]&amp;"-"&amp;Table_DataFromNL[[#This Row],[RULENAME]]</f>
        <v>CP227-P Vaccinia AP Standard</v>
      </c>
      <c r="M1733" t="str">
        <f t="shared" si="194"/>
        <v>CP227-P Vaccinia AP Standard</v>
      </c>
    </row>
    <row r="1734" spans="1:13" x14ac:dyDescent="0.25">
      <c r="A1734" t="str">
        <f t="shared" si="195"/>
        <v>CP227-P Vaccinia Standard</v>
      </c>
      <c r="B1734" t="s">
        <v>104</v>
      </c>
      <c r="C1734" t="str">
        <f t="shared" si="189"/>
        <v>Lakewood</v>
      </c>
      <c r="D1734" t="str">
        <f t="shared" si="190"/>
        <v>Y</v>
      </c>
      <c r="E1734" t="s">
        <v>638</v>
      </c>
      <c r="F1734" t="str">
        <f t="shared" si="191"/>
        <v>P Vaccinia Standard</v>
      </c>
      <c r="G1734" t="str">
        <f t="shared" si="192"/>
        <v>Specialty</v>
      </c>
      <c r="H1734" t="s">
        <v>476</v>
      </c>
      <c r="I1734">
        <f t="shared" si="193"/>
        <v>0</v>
      </c>
      <c r="J1734" t="s">
        <v>579</v>
      </c>
      <c r="K1734" s="5">
        <v>100</v>
      </c>
      <c r="L1734" t="str">
        <f>Table_DataFromNL[[#This Row],[PROFILECODE]]&amp;"-"&amp;Table_DataFromNL[[#This Row],[RULENAME]]</f>
        <v>CP227-P Vaccinia Standard</v>
      </c>
      <c r="M1734" t="str">
        <f t="shared" si="194"/>
        <v>CP227-P Vaccinia Standard</v>
      </c>
    </row>
    <row r="1735" spans="1:13" x14ac:dyDescent="0.25">
      <c r="A1735" t="str">
        <f t="shared" si="195"/>
        <v>CP227-PVZV Pre-Existing Standard</v>
      </c>
      <c r="B1735" t="s">
        <v>104</v>
      </c>
      <c r="C1735" t="str">
        <f t="shared" si="189"/>
        <v>Lakewood</v>
      </c>
      <c r="D1735" t="str">
        <f t="shared" si="190"/>
        <v>Y</v>
      </c>
      <c r="E1735" t="s">
        <v>638</v>
      </c>
      <c r="F1735" t="str">
        <f t="shared" si="191"/>
        <v>PVZV Pre-Existing Standard</v>
      </c>
      <c r="G1735" t="str">
        <f t="shared" si="192"/>
        <v>Specialty</v>
      </c>
      <c r="H1735" t="s">
        <v>497</v>
      </c>
      <c r="I1735" t="str">
        <f t="shared" si="193"/>
        <v>RETURN - 1st don of the week -STD</v>
      </c>
      <c r="J1735" t="s">
        <v>579</v>
      </c>
      <c r="K1735" s="5">
        <v>65</v>
      </c>
      <c r="L1735" t="str">
        <f>Table_DataFromNL[[#This Row],[PROFILECODE]]&amp;"-"&amp;Table_DataFromNL[[#This Row],[RULENAME]]</f>
        <v>CP227-PVZV Pre-Existing Standard</v>
      </c>
      <c r="M1735" t="str">
        <f t="shared" si="194"/>
        <v>CP227-PVZV Pre-Existing Standard</v>
      </c>
    </row>
    <row r="1736" spans="1:13" x14ac:dyDescent="0.25">
      <c r="A1736" t="str">
        <f t="shared" si="195"/>
        <v>CP228-1st Responder-Medical</v>
      </c>
      <c r="B1736" t="s">
        <v>58</v>
      </c>
      <c r="C1736" t="str">
        <f t="shared" si="189"/>
        <v>Laredo</v>
      </c>
      <c r="D1736" t="str">
        <f t="shared" si="190"/>
        <v>Y</v>
      </c>
      <c r="E1736" t="s">
        <v>639</v>
      </c>
      <c r="F1736" t="str">
        <f t="shared" si="191"/>
        <v>1st Responder-Medical</v>
      </c>
      <c r="G1736">
        <f t="shared" si="192"/>
        <v>0</v>
      </c>
      <c r="H1736" t="s">
        <v>545</v>
      </c>
      <c r="I1736">
        <f t="shared" si="193"/>
        <v>0</v>
      </c>
      <c r="J1736" t="s">
        <v>546</v>
      </c>
      <c r="K1736" s="5">
        <v>5</v>
      </c>
      <c r="L1736" t="str">
        <f>Table_DataFromNL[[#This Row],[PROFILECODE]]&amp;"-"&amp;Table_DataFromNL[[#This Row],[RULENAME]]</f>
        <v>CP228-1st Responder-Medical</v>
      </c>
      <c r="M1736" t="e">
        <f t="shared" si="194"/>
        <v>#N/A</v>
      </c>
    </row>
    <row r="1737" spans="1:13" x14ac:dyDescent="0.25">
      <c r="A1737" t="str">
        <f t="shared" si="195"/>
        <v>CP228-RETURN - 2nd don of the week -BONUS</v>
      </c>
      <c r="B1737" t="s">
        <v>58</v>
      </c>
      <c r="C1737" t="str">
        <f t="shared" si="189"/>
        <v>Laredo</v>
      </c>
      <c r="D1737" t="str">
        <f t="shared" si="190"/>
        <v>Y</v>
      </c>
      <c r="E1737" t="s">
        <v>639</v>
      </c>
      <c r="F1737" t="str">
        <f t="shared" si="191"/>
        <v>RETURN - 2nd don of the week -BONUS</v>
      </c>
      <c r="G1737" t="str">
        <f t="shared" si="192"/>
        <v>Marketing</v>
      </c>
      <c r="H1737" t="s">
        <v>550</v>
      </c>
      <c r="I1737">
        <f t="shared" si="193"/>
        <v>26</v>
      </c>
      <c r="J1737" t="s">
        <v>546</v>
      </c>
      <c r="K1737" s="5">
        <v>10</v>
      </c>
      <c r="L1737" t="str">
        <f>Table_DataFromNL[[#This Row],[PROFILECODE]]&amp;"-"&amp;Table_DataFromNL[[#This Row],[RULENAME]]</f>
        <v>CP228-2X Week P NSP NS</v>
      </c>
      <c r="M1737" t="str">
        <f t="shared" si="194"/>
        <v>CP228-RETURN - 2nd don of the week -BONUS</v>
      </c>
    </row>
    <row r="1738" spans="1:13" x14ac:dyDescent="0.25">
      <c r="A1738" t="str">
        <f t="shared" si="195"/>
        <v>CP228-RETURN - 2nd don of the week -BONUS</v>
      </c>
      <c r="B1738" t="s">
        <v>58</v>
      </c>
      <c r="C1738" t="str">
        <f t="shared" si="189"/>
        <v>Laredo</v>
      </c>
      <c r="D1738" t="str">
        <f t="shared" si="190"/>
        <v>Y</v>
      </c>
      <c r="E1738" t="s">
        <v>639</v>
      </c>
      <c r="F1738" t="str">
        <f t="shared" si="191"/>
        <v>RETURN - 2nd don of the week -BONUS</v>
      </c>
      <c r="G1738" t="str">
        <f t="shared" si="192"/>
        <v>Marketing</v>
      </c>
      <c r="H1738" t="s">
        <v>551</v>
      </c>
      <c r="I1738" t="str">
        <f t="shared" si="193"/>
        <v>RETURN - 2nd don of the week -BONUS</v>
      </c>
      <c r="J1738" t="s">
        <v>546</v>
      </c>
      <c r="K1738" s="5">
        <v>10</v>
      </c>
      <c r="L1738" t="str">
        <f>Table_DataFromNL[[#This Row],[PROFILECODE]]&amp;"-"&amp;Table_DataFromNL[[#This Row],[RULENAME]]</f>
        <v>CP228-2X Week P NSP NS AP</v>
      </c>
      <c r="M1738" t="str">
        <f t="shared" si="194"/>
        <v>CP228-RETURN - 2nd don of the week -BONUS</v>
      </c>
    </row>
    <row r="1739" spans="1:13" x14ac:dyDescent="0.25">
      <c r="A1739" t="str">
        <f t="shared" si="195"/>
        <v>CP228-2X Week P VZV</v>
      </c>
      <c r="B1739" t="s">
        <v>58</v>
      </c>
      <c r="C1739" t="str">
        <f t="shared" si="189"/>
        <v>Laredo</v>
      </c>
      <c r="D1739" t="str">
        <f t="shared" si="190"/>
        <v>Y</v>
      </c>
      <c r="E1739" t="s">
        <v>639</v>
      </c>
      <c r="F1739" t="str">
        <f t="shared" si="191"/>
        <v>2X Week P VZV</v>
      </c>
      <c r="G1739" t="str">
        <f t="shared" si="192"/>
        <v>Specialty</v>
      </c>
      <c r="H1739" t="s">
        <v>488</v>
      </c>
      <c r="I1739" t="str">
        <f t="shared" si="193"/>
        <v>RETURN - 2nd don of the week -BONUS</v>
      </c>
      <c r="J1739" t="s">
        <v>546</v>
      </c>
      <c r="K1739" s="5">
        <v>10</v>
      </c>
      <c r="L1739" t="str">
        <f>Table_DataFromNL[[#This Row],[PROFILECODE]]&amp;"-"&amp;Table_DataFromNL[[#This Row],[RULENAME]]</f>
        <v>CP228-2X Week P VZV</v>
      </c>
      <c r="M1739" t="str">
        <f t="shared" si="194"/>
        <v>CP228-2X Week P VZV</v>
      </c>
    </row>
    <row r="1740" spans="1:13" x14ac:dyDescent="0.25">
      <c r="A1740" t="str">
        <f t="shared" si="195"/>
        <v>CP228-2X Week P VZV AP</v>
      </c>
      <c r="B1740" t="s">
        <v>58</v>
      </c>
      <c r="C1740" t="str">
        <f t="shared" si="189"/>
        <v>Laredo</v>
      </c>
      <c r="D1740" t="str">
        <f t="shared" si="190"/>
        <v>Y</v>
      </c>
      <c r="E1740" t="s">
        <v>639</v>
      </c>
      <c r="F1740" t="str">
        <f t="shared" si="191"/>
        <v>2X Week P VZV AP</v>
      </c>
      <c r="G1740" t="str">
        <f t="shared" si="192"/>
        <v>Specialty</v>
      </c>
      <c r="H1740" t="s">
        <v>489</v>
      </c>
      <c r="I1740" t="str">
        <f t="shared" si="193"/>
        <v>RETURN - 2nd don of the week -BONUS</v>
      </c>
      <c r="J1740" t="s">
        <v>546</v>
      </c>
      <c r="K1740" s="5">
        <v>10</v>
      </c>
      <c r="L1740" t="str">
        <f>Table_DataFromNL[[#This Row],[PROFILECODE]]&amp;"-"&amp;Table_DataFromNL[[#This Row],[RULENAME]]</f>
        <v>CP228-2X Week P VZV AP</v>
      </c>
      <c r="M1740" t="str">
        <f t="shared" si="194"/>
        <v>CP228-2X Week P VZV AP</v>
      </c>
    </row>
    <row r="1741" spans="1:13" x14ac:dyDescent="0.25">
      <c r="A1741" t="str">
        <f t="shared" si="195"/>
        <v>CP228-2X Week P VZV Pre-Existing</v>
      </c>
      <c r="B1741" t="s">
        <v>58</v>
      </c>
      <c r="C1741" t="str">
        <f t="shared" si="189"/>
        <v>Laredo</v>
      </c>
      <c r="D1741" t="str">
        <f t="shared" si="190"/>
        <v>Y</v>
      </c>
      <c r="E1741" t="s">
        <v>639</v>
      </c>
      <c r="F1741" t="str">
        <f t="shared" si="191"/>
        <v>2X Week P VZV Pre-Existing</v>
      </c>
      <c r="G1741" t="str">
        <f t="shared" si="192"/>
        <v>Specialty</v>
      </c>
      <c r="H1741" t="s">
        <v>490</v>
      </c>
      <c r="I1741" t="str">
        <f t="shared" si="193"/>
        <v>RETURN - 2nd don of the week -BONUS</v>
      </c>
      <c r="J1741" t="s">
        <v>546</v>
      </c>
      <c r="K1741" s="5">
        <v>10</v>
      </c>
      <c r="L1741" t="str">
        <f>Table_DataFromNL[[#This Row],[PROFILECODE]]&amp;"-"&amp;Table_DataFromNL[[#This Row],[RULENAME]]</f>
        <v>CP228-2X Week P VZV Pre-Existing</v>
      </c>
      <c r="M1741" t="str">
        <f t="shared" si="194"/>
        <v>CP228-2X Week P VZV Pre-Existing</v>
      </c>
    </row>
    <row r="1742" spans="1:13" x14ac:dyDescent="0.25">
      <c r="A1742" t="str">
        <f t="shared" si="195"/>
        <v>CP228-2X Week P VZV Pre-Existing AP</v>
      </c>
      <c r="B1742" t="s">
        <v>58</v>
      </c>
      <c r="C1742" t="str">
        <f t="shared" si="189"/>
        <v>Laredo</v>
      </c>
      <c r="D1742" t="str">
        <f t="shared" si="190"/>
        <v>Y</v>
      </c>
      <c r="E1742" t="s">
        <v>639</v>
      </c>
      <c r="F1742" t="str">
        <f t="shared" si="191"/>
        <v>2X Week P VZV Pre-Existing AP</v>
      </c>
      <c r="G1742" t="str">
        <f t="shared" si="192"/>
        <v>Specialty</v>
      </c>
      <c r="H1742" t="s">
        <v>491</v>
      </c>
      <c r="I1742" t="str">
        <f t="shared" si="193"/>
        <v>RETURN - 2nd don of the week -BONUS</v>
      </c>
      <c r="J1742" t="s">
        <v>546</v>
      </c>
      <c r="K1742" s="5">
        <v>10</v>
      </c>
      <c r="L1742" t="str">
        <f>Table_DataFromNL[[#This Row],[PROFILECODE]]&amp;"-"&amp;Table_DataFromNL[[#This Row],[RULENAME]]</f>
        <v>CP228-2X Week P VZV Pre-Existing AP</v>
      </c>
      <c r="M1742" t="str">
        <f t="shared" si="194"/>
        <v>CP228-2X Week P VZV Pre-Existing AP</v>
      </c>
    </row>
    <row r="1743" spans="1:13" x14ac:dyDescent="0.25">
      <c r="A1743" t="str">
        <f t="shared" si="195"/>
        <v>CP228-RETURN - 6th don of the month -BONUS</v>
      </c>
      <c r="B1743" t="s">
        <v>58</v>
      </c>
      <c r="C1743" t="str">
        <f t="shared" si="189"/>
        <v>Laredo</v>
      </c>
      <c r="D1743" t="str">
        <f t="shared" si="190"/>
        <v>Y</v>
      </c>
      <c r="E1743" t="s">
        <v>639</v>
      </c>
      <c r="F1743" t="str">
        <f t="shared" si="191"/>
        <v>RETURN - 6th don of the month -BONUS</v>
      </c>
      <c r="G1743" t="str">
        <f t="shared" si="192"/>
        <v>Marketing</v>
      </c>
      <c r="H1743" t="s">
        <v>552</v>
      </c>
      <c r="I1743">
        <f t="shared" si="193"/>
        <v>28</v>
      </c>
      <c r="J1743" t="s">
        <v>546</v>
      </c>
      <c r="K1743" s="5">
        <v>30</v>
      </c>
      <c r="L1743" t="str">
        <f>Table_DataFromNL[[#This Row],[PROFILECODE]]&amp;"-"&amp;Table_DataFromNL[[#This Row],[RULENAME]]</f>
        <v>CP228-6X Month</v>
      </c>
      <c r="M1743" t="str">
        <f t="shared" si="194"/>
        <v>CP228-RETURN - 6th don of the month -BONUS</v>
      </c>
    </row>
    <row r="1744" spans="1:13" x14ac:dyDescent="0.25">
      <c r="A1744" t="str">
        <f t="shared" si="195"/>
        <v>CP228-College ID Standard Bonus</v>
      </c>
      <c r="B1744" t="s">
        <v>58</v>
      </c>
      <c r="C1744" t="str">
        <f t="shared" si="189"/>
        <v>Laredo</v>
      </c>
      <c r="D1744" t="str">
        <f t="shared" si="190"/>
        <v>Y</v>
      </c>
      <c r="E1744" t="s">
        <v>639</v>
      </c>
      <c r="F1744" t="str">
        <f t="shared" si="191"/>
        <v>College ID Standard Bonus</v>
      </c>
      <c r="G1744">
        <f t="shared" si="192"/>
        <v>0</v>
      </c>
      <c r="H1744" t="s">
        <v>553</v>
      </c>
      <c r="I1744">
        <f t="shared" si="193"/>
        <v>0</v>
      </c>
      <c r="J1744" t="s">
        <v>546</v>
      </c>
      <c r="K1744" s="5">
        <v>5</v>
      </c>
      <c r="L1744" t="str">
        <f>Table_DataFromNL[[#This Row],[PROFILECODE]]&amp;"-"&amp;Table_DataFromNL[[#This Row],[RULENAME]]</f>
        <v>CP228-College ID Standard Bonus</v>
      </c>
      <c r="M1744" t="e">
        <f t="shared" si="194"/>
        <v>#N/A</v>
      </c>
    </row>
    <row r="1745" spans="1:13" x14ac:dyDescent="0.25">
      <c r="A1745" t="str">
        <f t="shared" si="195"/>
        <v>CP228-Military ID</v>
      </c>
      <c r="B1745" t="s">
        <v>58</v>
      </c>
      <c r="C1745" t="str">
        <f t="shared" si="189"/>
        <v>Laredo</v>
      </c>
      <c r="D1745" t="str">
        <f t="shared" si="190"/>
        <v>Y</v>
      </c>
      <c r="E1745" t="s">
        <v>639</v>
      </c>
      <c r="F1745" t="str">
        <f t="shared" si="191"/>
        <v>Military ID</v>
      </c>
      <c r="G1745">
        <f t="shared" si="192"/>
        <v>0</v>
      </c>
      <c r="H1745" t="s">
        <v>554</v>
      </c>
      <c r="I1745">
        <f t="shared" si="193"/>
        <v>0</v>
      </c>
      <c r="J1745" t="s">
        <v>546</v>
      </c>
      <c r="K1745" s="5">
        <v>5</v>
      </c>
      <c r="L1745" t="str">
        <f>Table_DataFromNL[[#This Row],[PROFILECODE]]&amp;"-"&amp;Table_DataFromNL[[#This Row],[RULENAME]]</f>
        <v>CP228-Military ID</v>
      </c>
      <c r="M1745" t="e">
        <f t="shared" si="194"/>
        <v>#N/A</v>
      </c>
    </row>
    <row r="1746" spans="1:13" x14ac:dyDescent="0.25">
      <c r="A1746" t="str">
        <f t="shared" si="195"/>
        <v>CP228-NEW DONOR -1st</v>
      </c>
      <c r="B1746" t="s">
        <v>58</v>
      </c>
      <c r="C1746" t="str">
        <f t="shared" si="189"/>
        <v>Laredo</v>
      </c>
      <c r="D1746" t="str">
        <f t="shared" si="190"/>
        <v>Y</v>
      </c>
      <c r="E1746" t="s">
        <v>639</v>
      </c>
      <c r="F1746" t="str">
        <f t="shared" si="191"/>
        <v>NEW DONOR -1st</v>
      </c>
      <c r="G1746" t="str">
        <f t="shared" si="192"/>
        <v>Marketing</v>
      </c>
      <c r="H1746" t="s">
        <v>555</v>
      </c>
      <c r="I1746">
        <f t="shared" si="193"/>
        <v>1</v>
      </c>
      <c r="J1746" t="s">
        <v>546</v>
      </c>
      <c r="K1746" s="5">
        <v>65</v>
      </c>
      <c r="L1746" t="str">
        <f>Table_DataFromNL[[#This Row],[PROFILECODE]]&amp;"-"&amp;Table_DataFromNL[[#This Row],[RULENAME]]</f>
        <v>CP228-New Donor 1st Visit-Bonus</v>
      </c>
      <c r="M1746" t="str">
        <f t="shared" si="194"/>
        <v>CP228-NEW DONOR -1st</v>
      </c>
    </row>
    <row r="1747" spans="1:13" x14ac:dyDescent="0.25">
      <c r="A1747" t="str">
        <f t="shared" si="195"/>
        <v>CP228-NEW DONOR -2nd</v>
      </c>
      <c r="B1747" t="s">
        <v>58</v>
      </c>
      <c r="C1747" t="str">
        <f t="shared" si="189"/>
        <v>Laredo</v>
      </c>
      <c r="D1747" t="str">
        <f t="shared" si="190"/>
        <v>Y</v>
      </c>
      <c r="E1747" t="s">
        <v>639</v>
      </c>
      <c r="F1747" t="str">
        <f t="shared" si="191"/>
        <v>NEW DONOR -2nd</v>
      </c>
      <c r="G1747" t="str">
        <f t="shared" si="192"/>
        <v>Marketing</v>
      </c>
      <c r="H1747" t="s">
        <v>556</v>
      </c>
      <c r="I1747">
        <f t="shared" si="193"/>
        <v>2</v>
      </c>
      <c r="J1747" t="s">
        <v>546</v>
      </c>
      <c r="K1747" s="5">
        <v>65</v>
      </c>
      <c r="L1747" t="str">
        <f>Table_DataFromNL[[#This Row],[PROFILECODE]]&amp;"-"&amp;Table_DataFromNL[[#This Row],[RULENAME]]</f>
        <v>CP228-New Donor 2nd Visit-Bonus</v>
      </c>
      <c r="M1747" t="str">
        <f t="shared" si="194"/>
        <v>CP228-NEW DONOR -2nd</v>
      </c>
    </row>
    <row r="1748" spans="1:13" x14ac:dyDescent="0.25">
      <c r="A1748" t="str">
        <f t="shared" si="195"/>
        <v>CP228-NEW DONOR -3rd</v>
      </c>
      <c r="B1748" t="s">
        <v>58</v>
      </c>
      <c r="C1748" t="str">
        <f t="shared" si="189"/>
        <v>Laredo</v>
      </c>
      <c r="D1748" t="str">
        <f t="shared" si="190"/>
        <v>Y</v>
      </c>
      <c r="E1748" t="s">
        <v>639</v>
      </c>
      <c r="F1748" t="str">
        <f t="shared" si="191"/>
        <v>NEW DONOR -3rd</v>
      </c>
      <c r="G1748" t="str">
        <f t="shared" si="192"/>
        <v>Marketing</v>
      </c>
      <c r="H1748" t="s">
        <v>557</v>
      </c>
      <c r="I1748">
        <f t="shared" si="193"/>
        <v>3</v>
      </c>
      <c r="J1748" t="s">
        <v>546</v>
      </c>
      <c r="K1748" s="5">
        <v>65</v>
      </c>
      <c r="L1748" t="str">
        <f>Table_DataFromNL[[#This Row],[PROFILECODE]]&amp;"-"&amp;Table_DataFromNL[[#This Row],[RULENAME]]</f>
        <v>CP228-New Donor 3rd Visit-Bonus</v>
      </c>
      <c r="M1748" t="str">
        <f t="shared" si="194"/>
        <v>CP228-NEW DONOR -3rd</v>
      </c>
    </row>
    <row r="1749" spans="1:13" x14ac:dyDescent="0.25">
      <c r="A1749" t="str">
        <f t="shared" si="195"/>
        <v>CP228-NEW DONOR -4th</v>
      </c>
      <c r="B1749" t="s">
        <v>58</v>
      </c>
      <c r="C1749" t="str">
        <f t="shared" si="189"/>
        <v>Laredo</v>
      </c>
      <c r="D1749" t="str">
        <f t="shared" si="190"/>
        <v>Y</v>
      </c>
      <c r="E1749" t="s">
        <v>639</v>
      </c>
      <c r="F1749" t="str">
        <f t="shared" si="191"/>
        <v>NEW DONOR -4th</v>
      </c>
      <c r="G1749" t="str">
        <f t="shared" si="192"/>
        <v>Marketing</v>
      </c>
      <c r="H1749" t="s">
        <v>558</v>
      </c>
      <c r="I1749">
        <f t="shared" si="193"/>
        <v>4</v>
      </c>
      <c r="J1749" t="s">
        <v>546</v>
      </c>
      <c r="K1749" s="5">
        <v>65</v>
      </c>
      <c r="L1749" t="str">
        <f>Table_DataFromNL[[#This Row],[PROFILECODE]]&amp;"-"&amp;Table_DataFromNL[[#This Row],[RULENAME]]</f>
        <v>CP228-New Donor 4th Visit-Bonus</v>
      </c>
      <c r="M1749" t="str">
        <f t="shared" si="194"/>
        <v>CP228-NEW DONOR -4th</v>
      </c>
    </row>
    <row r="1750" spans="1:13" x14ac:dyDescent="0.25">
      <c r="A1750" t="str">
        <f t="shared" si="195"/>
        <v>CP228-NEW DONOR -5th</v>
      </c>
      <c r="B1750" t="s">
        <v>58</v>
      </c>
      <c r="C1750" t="str">
        <f t="shared" si="189"/>
        <v>Laredo</v>
      </c>
      <c r="D1750" t="str">
        <f t="shared" si="190"/>
        <v>Y</v>
      </c>
      <c r="E1750" t="s">
        <v>639</v>
      </c>
      <c r="F1750" t="str">
        <f t="shared" si="191"/>
        <v>NEW DONOR -5th</v>
      </c>
      <c r="G1750" t="str">
        <f t="shared" si="192"/>
        <v>Marketing</v>
      </c>
      <c r="H1750" t="s">
        <v>559</v>
      </c>
      <c r="I1750">
        <f t="shared" si="193"/>
        <v>5</v>
      </c>
      <c r="J1750" t="s">
        <v>546</v>
      </c>
      <c r="K1750" s="5">
        <v>65</v>
      </c>
      <c r="L1750" t="str">
        <f>Table_DataFromNL[[#This Row],[PROFILECODE]]&amp;"-"&amp;Table_DataFromNL[[#This Row],[RULENAME]]</f>
        <v>CP228-New Donor 5th Visit-Bonus</v>
      </c>
      <c r="M1750" t="str">
        <f t="shared" si="194"/>
        <v>CP228-NEW DONOR -5th</v>
      </c>
    </row>
    <row r="1751" spans="1:13" x14ac:dyDescent="0.25">
      <c r="A1751" t="str">
        <f t="shared" si="195"/>
        <v>CP228-NEW DONOR -6th</v>
      </c>
      <c r="B1751" t="s">
        <v>58</v>
      </c>
      <c r="C1751" t="str">
        <f t="shared" si="189"/>
        <v>Laredo</v>
      </c>
      <c r="D1751" t="str">
        <f t="shared" si="190"/>
        <v>Y</v>
      </c>
      <c r="E1751" t="s">
        <v>639</v>
      </c>
      <c r="F1751" t="str">
        <f t="shared" si="191"/>
        <v>NEW DONOR -6th</v>
      </c>
      <c r="G1751" t="str">
        <f t="shared" si="192"/>
        <v>Marketing</v>
      </c>
      <c r="H1751" t="s">
        <v>560</v>
      </c>
      <c r="I1751">
        <f t="shared" si="193"/>
        <v>6</v>
      </c>
      <c r="J1751" t="s">
        <v>546</v>
      </c>
      <c r="K1751" s="5">
        <v>65</v>
      </c>
      <c r="L1751" t="str">
        <f>Table_DataFromNL[[#This Row],[PROFILECODE]]&amp;"-"&amp;Table_DataFromNL[[#This Row],[RULENAME]]</f>
        <v>CP228-New Donor 6th Visit-Bonus</v>
      </c>
      <c r="M1751" t="str">
        <f t="shared" si="194"/>
        <v>CP228-NEW DONOR -6th</v>
      </c>
    </row>
    <row r="1752" spans="1:13" x14ac:dyDescent="0.25">
      <c r="A1752" t="str">
        <f t="shared" si="195"/>
        <v>CP228-NEW DONOR -7th</v>
      </c>
      <c r="B1752" t="s">
        <v>58</v>
      </c>
      <c r="C1752" t="str">
        <f t="shared" si="189"/>
        <v>Laredo</v>
      </c>
      <c r="D1752" t="str">
        <f t="shared" si="190"/>
        <v>Y</v>
      </c>
      <c r="E1752" t="s">
        <v>639</v>
      </c>
      <c r="F1752" t="str">
        <f t="shared" si="191"/>
        <v>NEW DONOR -7th</v>
      </c>
      <c r="G1752" t="str">
        <f t="shared" si="192"/>
        <v>Marketing</v>
      </c>
      <c r="H1752" t="s">
        <v>561</v>
      </c>
      <c r="I1752">
        <f t="shared" si="193"/>
        <v>7</v>
      </c>
      <c r="J1752" t="s">
        <v>546</v>
      </c>
      <c r="K1752" s="5">
        <v>65</v>
      </c>
      <c r="L1752" t="str">
        <f>Table_DataFromNL[[#This Row],[PROFILECODE]]&amp;"-"&amp;Table_DataFromNL[[#This Row],[RULENAME]]</f>
        <v>CP228-New Donor 7th Visit-Bonus</v>
      </c>
      <c r="M1752" t="str">
        <f t="shared" si="194"/>
        <v>CP228-NEW DONOR -7th</v>
      </c>
    </row>
    <row r="1753" spans="1:13" x14ac:dyDescent="0.25">
      <c r="A1753" t="str">
        <f t="shared" si="195"/>
        <v>CP228-NEW DONOR -8th</v>
      </c>
      <c r="B1753" t="s">
        <v>58</v>
      </c>
      <c r="C1753" t="str">
        <f t="shared" si="189"/>
        <v>Laredo</v>
      </c>
      <c r="D1753" t="str">
        <f t="shared" si="190"/>
        <v>Y</v>
      </c>
      <c r="E1753" t="s">
        <v>639</v>
      </c>
      <c r="F1753" t="str">
        <f t="shared" si="191"/>
        <v>NEW DONOR -8th</v>
      </c>
      <c r="G1753" t="str">
        <f t="shared" si="192"/>
        <v>Marketing</v>
      </c>
      <c r="H1753" t="s">
        <v>562</v>
      </c>
      <c r="I1753">
        <f t="shared" si="193"/>
        <v>8</v>
      </c>
      <c r="J1753" t="s">
        <v>546</v>
      </c>
      <c r="K1753" s="5">
        <v>65</v>
      </c>
      <c r="L1753" t="str">
        <f>Table_DataFromNL[[#This Row],[PROFILECODE]]&amp;"-"&amp;Table_DataFromNL[[#This Row],[RULENAME]]</f>
        <v>CP228-New Donor 8th Visit-Bonus</v>
      </c>
      <c r="M1753" t="str">
        <f t="shared" si="194"/>
        <v>CP228-NEW DONOR -8th</v>
      </c>
    </row>
    <row r="1754" spans="1:13" x14ac:dyDescent="0.25">
      <c r="A1754" t="str">
        <f t="shared" si="195"/>
        <v>CP228-Vaccinia - 1st Donation</v>
      </c>
      <c r="B1754" t="s">
        <v>58</v>
      </c>
      <c r="C1754" t="str">
        <f t="shared" si="189"/>
        <v>Laredo</v>
      </c>
      <c r="D1754" t="str">
        <f t="shared" si="190"/>
        <v>Y</v>
      </c>
      <c r="E1754" t="s">
        <v>639</v>
      </c>
      <c r="F1754" t="str">
        <f t="shared" si="191"/>
        <v>Vaccinia - 1st Donation</v>
      </c>
      <c r="G1754" t="str">
        <f t="shared" si="192"/>
        <v>Specialty</v>
      </c>
      <c r="H1754" t="s">
        <v>477</v>
      </c>
      <c r="I1754">
        <f t="shared" si="193"/>
        <v>0</v>
      </c>
      <c r="J1754" t="s">
        <v>546</v>
      </c>
      <c r="K1754" s="5">
        <v>150</v>
      </c>
      <c r="L1754" t="str">
        <f>Table_DataFromNL[[#This Row],[PROFILECODE]]&amp;"-"&amp;Table_DataFromNL[[#This Row],[RULENAME]]</f>
        <v>CP228-Vaccinia - 1st Donation</v>
      </c>
      <c r="M1754" t="str">
        <f t="shared" si="194"/>
        <v>CP228-Vaccinia - 1st Donation</v>
      </c>
    </row>
    <row r="1755" spans="1:13" x14ac:dyDescent="0.25">
      <c r="A1755" t="str">
        <f t="shared" si="195"/>
        <v>CP228-Vaccinia - 2nd Donation</v>
      </c>
      <c r="B1755" t="s">
        <v>58</v>
      </c>
      <c r="C1755" t="str">
        <f t="shared" si="189"/>
        <v>Laredo</v>
      </c>
      <c r="D1755" t="str">
        <f t="shared" si="190"/>
        <v>Y</v>
      </c>
      <c r="E1755" t="s">
        <v>639</v>
      </c>
      <c r="F1755" t="str">
        <f t="shared" si="191"/>
        <v>Vaccinia - 2nd Donation</v>
      </c>
      <c r="G1755" t="str">
        <f t="shared" si="192"/>
        <v>Specialty</v>
      </c>
      <c r="H1755" t="s">
        <v>478</v>
      </c>
      <c r="I1755">
        <f t="shared" si="193"/>
        <v>0</v>
      </c>
      <c r="J1755" t="s">
        <v>546</v>
      </c>
      <c r="K1755" s="5">
        <v>250</v>
      </c>
      <c r="L1755" t="str">
        <f>Table_DataFromNL[[#This Row],[PROFILECODE]]&amp;"-"&amp;Table_DataFromNL[[#This Row],[RULENAME]]</f>
        <v>CP228-Vaccinia - 2nd Donation</v>
      </c>
      <c r="M1755" t="str">
        <f t="shared" si="194"/>
        <v>CP228-Vaccinia - 2nd Donation</v>
      </c>
    </row>
    <row r="1756" spans="1:13" x14ac:dyDescent="0.25">
      <c r="A1756" t="str">
        <f t="shared" si="195"/>
        <v>CP228-Vaccinia - 3rd Donation</v>
      </c>
      <c r="B1756" t="s">
        <v>58</v>
      </c>
      <c r="C1756" t="str">
        <f t="shared" si="189"/>
        <v>Laredo</v>
      </c>
      <c r="D1756" t="str">
        <f t="shared" si="190"/>
        <v>Y</v>
      </c>
      <c r="E1756" t="s">
        <v>639</v>
      </c>
      <c r="F1756" t="str">
        <f t="shared" si="191"/>
        <v>Vaccinia - 3rd Donation</v>
      </c>
      <c r="G1756" t="str">
        <f t="shared" si="192"/>
        <v>Specialty</v>
      </c>
      <c r="H1756" t="s">
        <v>479</v>
      </c>
      <c r="I1756">
        <f t="shared" si="193"/>
        <v>0</v>
      </c>
      <c r="J1756" t="s">
        <v>546</v>
      </c>
      <c r="K1756" s="5">
        <v>300</v>
      </c>
      <c r="L1756" t="str">
        <f>Table_DataFromNL[[#This Row],[PROFILECODE]]&amp;"-"&amp;Table_DataFromNL[[#This Row],[RULENAME]]</f>
        <v>CP228-Vaccinia - 3rd Donation</v>
      </c>
      <c r="M1756" t="str">
        <f t="shared" si="194"/>
        <v>CP228-Vaccinia - 3rd Donation</v>
      </c>
    </row>
    <row r="1757" spans="1:13" x14ac:dyDescent="0.25">
      <c r="A1757" t="str">
        <f t="shared" si="195"/>
        <v>CP228-Vaccinia - 4th Donation</v>
      </c>
      <c r="B1757" t="s">
        <v>58</v>
      </c>
      <c r="C1757" t="str">
        <f t="shared" si="189"/>
        <v>Laredo</v>
      </c>
      <c r="D1757" t="str">
        <f t="shared" si="190"/>
        <v>Y</v>
      </c>
      <c r="E1757" t="s">
        <v>639</v>
      </c>
      <c r="F1757" t="str">
        <f t="shared" si="191"/>
        <v>Vaccinia - 4th Donation</v>
      </c>
      <c r="G1757" t="str">
        <f t="shared" si="192"/>
        <v>Specialty</v>
      </c>
      <c r="H1757" t="s">
        <v>480</v>
      </c>
      <c r="I1757">
        <f t="shared" si="193"/>
        <v>0</v>
      </c>
      <c r="J1757" t="s">
        <v>546</v>
      </c>
      <c r="K1757" s="5">
        <v>300</v>
      </c>
      <c r="L1757" t="str">
        <f>Table_DataFromNL[[#This Row],[PROFILECODE]]&amp;"-"&amp;Table_DataFromNL[[#This Row],[RULENAME]]</f>
        <v>CP228-Vaccinia - 4th Donation</v>
      </c>
      <c r="M1757" t="str">
        <f t="shared" si="194"/>
        <v>CP228-Vaccinia - 4th Donation</v>
      </c>
    </row>
    <row r="1758" spans="1:13" x14ac:dyDescent="0.25">
      <c r="A1758" t="str">
        <f t="shared" si="195"/>
        <v>CP228-Vaccinia AP - 1st Donation</v>
      </c>
      <c r="B1758" t="s">
        <v>58</v>
      </c>
      <c r="C1758" t="str">
        <f t="shared" si="189"/>
        <v>Laredo</v>
      </c>
      <c r="D1758" t="str">
        <f t="shared" si="190"/>
        <v>Y</v>
      </c>
      <c r="E1758" t="s">
        <v>639</v>
      </c>
      <c r="F1758" t="str">
        <f t="shared" si="191"/>
        <v>Vaccinia AP - 1st Donation</v>
      </c>
      <c r="G1758" t="str">
        <f t="shared" si="192"/>
        <v>Specialty</v>
      </c>
      <c r="H1758" t="s">
        <v>481</v>
      </c>
      <c r="I1758">
        <f t="shared" si="193"/>
        <v>0</v>
      </c>
      <c r="J1758" t="s">
        <v>546</v>
      </c>
      <c r="K1758" s="5">
        <v>150</v>
      </c>
      <c r="L1758" t="str">
        <f>Table_DataFromNL[[#This Row],[PROFILECODE]]&amp;"-"&amp;Table_DataFromNL[[#This Row],[RULENAME]]</f>
        <v>CP228-Vaccinia AP - 1st Donation</v>
      </c>
      <c r="M1758" t="str">
        <f t="shared" si="194"/>
        <v>CP228-Vaccinia AP - 1st Donation</v>
      </c>
    </row>
    <row r="1759" spans="1:13" x14ac:dyDescent="0.25">
      <c r="A1759" t="str">
        <f t="shared" si="195"/>
        <v>CP228-Vaccinia AP - 2nd Donation</v>
      </c>
      <c r="B1759" t="s">
        <v>58</v>
      </c>
      <c r="C1759" t="str">
        <f t="shared" si="189"/>
        <v>Laredo</v>
      </c>
      <c r="D1759" t="str">
        <f t="shared" si="190"/>
        <v>Y</v>
      </c>
      <c r="E1759" t="s">
        <v>639</v>
      </c>
      <c r="F1759" t="str">
        <f t="shared" si="191"/>
        <v>Vaccinia AP - 2nd Donation</v>
      </c>
      <c r="G1759" t="str">
        <f t="shared" si="192"/>
        <v>Specialty</v>
      </c>
      <c r="H1759" t="s">
        <v>482</v>
      </c>
      <c r="I1759">
        <f t="shared" si="193"/>
        <v>0</v>
      </c>
      <c r="J1759" t="s">
        <v>546</v>
      </c>
      <c r="K1759" s="5">
        <v>250</v>
      </c>
      <c r="L1759" t="str">
        <f>Table_DataFromNL[[#This Row],[PROFILECODE]]&amp;"-"&amp;Table_DataFromNL[[#This Row],[RULENAME]]</f>
        <v>CP228-Vaccinia AP - 2nd Donation</v>
      </c>
      <c r="M1759" t="str">
        <f t="shared" si="194"/>
        <v>CP228-Vaccinia AP - 2nd Donation</v>
      </c>
    </row>
    <row r="1760" spans="1:13" x14ac:dyDescent="0.25">
      <c r="A1760" t="str">
        <f t="shared" si="195"/>
        <v>CP228-Vaccinia AP - 3rd Donation</v>
      </c>
      <c r="B1760" t="s">
        <v>58</v>
      </c>
      <c r="C1760" t="str">
        <f t="shared" si="189"/>
        <v>Laredo</v>
      </c>
      <c r="D1760" t="str">
        <f t="shared" si="190"/>
        <v>Y</v>
      </c>
      <c r="E1760" t="s">
        <v>639</v>
      </c>
      <c r="F1760" t="str">
        <f t="shared" si="191"/>
        <v>Vaccinia AP - 3rd Donation</v>
      </c>
      <c r="G1760" t="str">
        <f t="shared" si="192"/>
        <v>Specialty</v>
      </c>
      <c r="H1760" t="s">
        <v>483</v>
      </c>
      <c r="I1760">
        <f t="shared" si="193"/>
        <v>0</v>
      </c>
      <c r="J1760" t="s">
        <v>546</v>
      </c>
      <c r="K1760" s="5">
        <v>300</v>
      </c>
      <c r="L1760" t="str">
        <f>Table_DataFromNL[[#This Row],[PROFILECODE]]&amp;"-"&amp;Table_DataFromNL[[#This Row],[RULENAME]]</f>
        <v>CP228-Vaccinia AP - 3rd Donation</v>
      </c>
      <c r="M1760" t="str">
        <f t="shared" si="194"/>
        <v>CP228-Vaccinia AP - 3rd Donation</v>
      </c>
    </row>
    <row r="1761" spans="1:13" x14ac:dyDescent="0.25">
      <c r="A1761" t="str">
        <f t="shared" si="195"/>
        <v>CP228-Vaccinia AP - 4th Donation</v>
      </c>
      <c r="B1761" t="s">
        <v>58</v>
      </c>
      <c r="C1761" t="str">
        <f t="shared" si="189"/>
        <v>Laredo</v>
      </c>
      <c r="D1761" t="str">
        <f t="shared" si="190"/>
        <v>Y</v>
      </c>
      <c r="E1761" t="s">
        <v>639</v>
      </c>
      <c r="F1761" t="str">
        <f t="shared" si="191"/>
        <v>Vaccinia AP - 4th Donation</v>
      </c>
      <c r="G1761" t="str">
        <f t="shared" si="192"/>
        <v>Specialty</v>
      </c>
      <c r="H1761" t="s">
        <v>484</v>
      </c>
      <c r="I1761">
        <f t="shared" si="193"/>
        <v>0</v>
      </c>
      <c r="J1761" t="s">
        <v>546</v>
      </c>
      <c r="K1761" s="5">
        <v>300</v>
      </c>
      <c r="L1761" t="str">
        <f>Table_DataFromNL[[#This Row],[PROFILECODE]]&amp;"-"&amp;Table_DataFromNL[[#This Row],[RULENAME]]</f>
        <v>CP228-Vaccinia AP - 4th Donation</v>
      </c>
      <c r="M1761" t="str">
        <f t="shared" si="194"/>
        <v>CP228-Vaccinia AP - 4th Donation</v>
      </c>
    </row>
    <row r="1762" spans="1:13" x14ac:dyDescent="0.25">
      <c r="A1762" t="str">
        <f t="shared" si="195"/>
        <v>CP228-Community</v>
      </c>
      <c r="B1762" t="s">
        <v>58</v>
      </c>
      <c r="C1762" t="str">
        <f t="shared" si="189"/>
        <v>Laredo</v>
      </c>
      <c r="D1762" t="str">
        <f t="shared" si="190"/>
        <v>Y</v>
      </c>
      <c r="E1762" t="s">
        <v>639</v>
      </c>
      <c r="F1762" t="str">
        <f t="shared" si="191"/>
        <v>Community</v>
      </c>
      <c r="G1762">
        <f t="shared" si="192"/>
        <v>0</v>
      </c>
      <c r="H1762" t="s">
        <v>563</v>
      </c>
      <c r="I1762">
        <f t="shared" si="193"/>
        <v>0</v>
      </c>
      <c r="J1762" t="s">
        <v>564</v>
      </c>
      <c r="K1762" s="5">
        <v>5</v>
      </c>
      <c r="L1762" t="str">
        <f>Table_DataFromNL[[#This Row],[PROFILECODE]]&amp;"-"&amp;Table_DataFromNL[[#This Row],[RULENAME]]</f>
        <v>CP228-Community</v>
      </c>
      <c r="M1762" t="e">
        <f t="shared" si="194"/>
        <v>#N/A</v>
      </c>
    </row>
    <row r="1763" spans="1:13" x14ac:dyDescent="0.25">
      <c r="A1763" t="str">
        <f t="shared" si="195"/>
        <v>CP228-HANGER_RECRUIT_5USD_once</v>
      </c>
      <c r="B1763" t="s">
        <v>58</v>
      </c>
      <c r="C1763" t="str">
        <f t="shared" si="189"/>
        <v>Laredo</v>
      </c>
      <c r="D1763" t="str">
        <f t="shared" si="190"/>
        <v>Y</v>
      </c>
      <c r="E1763" t="s">
        <v>639</v>
      </c>
      <c r="F1763" t="str">
        <f t="shared" si="191"/>
        <v>HANGER_RECRUIT_5USD_once</v>
      </c>
      <c r="G1763">
        <f t="shared" si="192"/>
        <v>0</v>
      </c>
      <c r="H1763" t="s">
        <v>565</v>
      </c>
      <c r="I1763">
        <f t="shared" si="193"/>
        <v>0</v>
      </c>
      <c r="J1763" t="s">
        <v>564</v>
      </c>
      <c r="K1763" s="5">
        <v>5</v>
      </c>
      <c r="L1763" t="str">
        <f>Table_DataFromNL[[#This Row],[PROFILECODE]]&amp;"-"&amp;Table_DataFromNL[[#This Row],[RULENAME]]</f>
        <v>CP228-HANGER_RECRUIT_5USD_once</v>
      </c>
      <c r="M1763" t="e">
        <f t="shared" si="194"/>
        <v>#N/A</v>
      </c>
    </row>
    <row r="1764" spans="1:13" x14ac:dyDescent="0.25">
      <c r="A1764" t="str">
        <f t="shared" si="195"/>
        <v>CP228-Immunization Boost Payment</v>
      </c>
      <c r="B1764" t="s">
        <v>58</v>
      </c>
      <c r="C1764" t="str">
        <f t="shared" si="189"/>
        <v>Laredo</v>
      </c>
      <c r="D1764" t="str">
        <f t="shared" si="190"/>
        <v>Y</v>
      </c>
      <c r="E1764" t="s">
        <v>639</v>
      </c>
      <c r="F1764" t="str">
        <f t="shared" si="191"/>
        <v>Immunization Boost Payment</v>
      </c>
      <c r="G1764">
        <f t="shared" si="192"/>
        <v>0</v>
      </c>
      <c r="H1764" t="s">
        <v>598</v>
      </c>
      <c r="I1764">
        <f t="shared" si="193"/>
        <v>0</v>
      </c>
      <c r="J1764" t="s">
        <v>564</v>
      </c>
      <c r="K1764" s="5">
        <v>50</v>
      </c>
      <c r="L1764" t="str">
        <f>Table_DataFromNL[[#This Row],[PROFILECODE]]&amp;"-"&amp;Table_DataFromNL[[#This Row],[RULENAME]]</f>
        <v>CP228-Immunization Boost Payment</v>
      </c>
      <c r="M1764" t="e">
        <f t="shared" si="194"/>
        <v>#N/A</v>
      </c>
    </row>
    <row r="1765" spans="1:13" x14ac:dyDescent="0.25">
      <c r="A1765" t="str">
        <f t="shared" si="195"/>
        <v>CP228-Immunization Series Payment</v>
      </c>
      <c r="B1765" t="s">
        <v>58</v>
      </c>
      <c r="C1765" t="str">
        <f t="shared" si="189"/>
        <v>Laredo</v>
      </c>
      <c r="D1765" t="str">
        <f t="shared" si="190"/>
        <v>Y</v>
      </c>
      <c r="E1765" t="s">
        <v>639</v>
      </c>
      <c r="F1765" t="str">
        <f t="shared" si="191"/>
        <v>Immunization Series Payment</v>
      </c>
      <c r="G1765">
        <f t="shared" si="192"/>
        <v>0</v>
      </c>
      <c r="H1765" t="s">
        <v>599</v>
      </c>
      <c r="I1765">
        <f t="shared" si="193"/>
        <v>0</v>
      </c>
      <c r="J1765" t="s">
        <v>564</v>
      </c>
      <c r="K1765" s="5">
        <v>100</v>
      </c>
      <c r="L1765" t="str">
        <f>Table_DataFromNL[[#This Row],[PROFILECODE]]&amp;"-"&amp;Table_DataFromNL[[#This Row],[RULENAME]]</f>
        <v>CP228-Immunization Series Payment</v>
      </c>
      <c r="M1765" t="e">
        <f t="shared" si="194"/>
        <v>#N/A</v>
      </c>
    </row>
    <row r="1766" spans="1:13" x14ac:dyDescent="0.25">
      <c r="A1766" t="str">
        <f t="shared" si="195"/>
        <v>CP228-Inconv Fee $20-$50-Comment Req'd</v>
      </c>
      <c r="B1766" t="s">
        <v>58</v>
      </c>
      <c r="C1766" t="str">
        <f t="shared" si="189"/>
        <v>Laredo</v>
      </c>
      <c r="D1766" t="str">
        <f t="shared" si="190"/>
        <v>Y</v>
      </c>
      <c r="E1766" t="s">
        <v>639</v>
      </c>
      <c r="F1766" t="str">
        <f t="shared" si="191"/>
        <v>Inconv Fee $20-$50-Comment Req'd</v>
      </c>
      <c r="G1766">
        <f t="shared" si="192"/>
        <v>0</v>
      </c>
      <c r="H1766" t="s">
        <v>566</v>
      </c>
      <c r="I1766">
        <f t="shared" si="193"/>
        <v>0</v>
      </c>
      <c r="J1766" t="s">
        <v>564</v>
      </c>
      <c r="K1766" s="5">
        <v>50</v>
      </c>
      <c r="L1766" t="str">
        <f>Table_DataFromNL[[#This Row],[PROFILECODE]]&amp;"-"&amp;Table_DataFromNL[[#This Row],[RULENAME]]</f>
        <v>CP228-Inconv Fee $20-$50-Comment Req'd</v>
      </c>
      <c r="M1766" t="e">
        <f t="shared" si="194"/>
        <v>#N/A</v>
      </c>
    </row>
    <row r="1767" spans="1:13" x14ac:dyDescent="0.25">
      <c r="A1767" t="str">
        <f t="shared" si="195"/>
        <v>CP228-Inconv Fee $5-$20-Comment Req'd</v>
      </c>
      <c r="B1767" t="s">
        <v>58</v>
      </c>
      <c r="C1767" t="str">
        <f t="shared" si="189"/>
        <v>Laredo</v>
      </c>
      <c r="D1767" t="str">
        <f t="shared" si="190"/>
        <v>Y</v>
      </c>
      <c r="E1767" t="s">
        <v>639</v>
      </c>
      <c r="F1767" t="str">
        <f t="shared" si="191"/>
        <v>Inconv Fee $5-$20-Comment Req'd</v>
      </c>
      <c r="G1767">
        <f t="shared" si="192"/>
        <v>0</v>
      </c>
      <c r="H1767" t="s">
        <v>567</v>
      </c>
      <c r="I1767">
        <f t="shared" si="193"/>
        <v>0</v>
      </c>
      <c r="J1767" t="s">
        <v>564</v>
      </c>
      <c r="K1767" s="5">
        <v>20</v>
      </c>
      <c r="L1767" t="str">
        <f>Table_DataFromNL[[#This Row],[PROFILECODE]]&amp;"-"&amp;Table_DataFromNL[[#This Row],[RULENAME]]</f>
        <v>CP228-Inconv Fee $5-$20-Comment Req'd</v>
      </c>
      <c r="M1767" t="e">
        <f t="shared" si="194"/>
        <v>#N/A</v>
      </c>
    </row>
    <row r="1768" spans="1:13" x14ac:dyDescent="0.25">
      <c r="A1768" t="str">
        <f t="shared" si="195"/>
        <v>CP228-Inconv Fee$50-$100-Comment Req'd</v>
      </c>
      <c r="B1768" t="s">
        <v>58</v>
      </c>
      <c r="C1768" t="str">
        <f t="shared" si="189"/>
        <v>Laredo</v>
      </c>
      <c r="D1768" t="str">
        <f t="shared" si="190"/>
        <v>Y</v>
      </c>
      <c r="E1768" t="s">
        <v>639</v>
      </c>
      <c r="F1768" t="str">
        <f t="shared" si="191"/>
        <v>Inconv Fee$50-$100-Comment Req'd</v>
      </c>
      <c r="G1768">
        <f t="shared" si="192"/>
        <v>0</v>
      </c>
      <c r="H1768" t="s">
        <v>568</v>
      </c>
      <c r="I1768">
        <f t="shared" si="193"/>
        <v>0</v>
      </c>
      <c r="J1768" t="s">
        <v>564</v>
      </c>
      <c r="K1768" s="5">
        <v>100</v>
      </c>
      <c r="L1768" t="str">
        <f>Table_DataFromNL[[#This Row],[PROFILECODE]]&amp;"-"&amp;Table_DataFromNL[[#This Row],[RULENAME]]</f>
        <v>CP228-Inconv Fee$50-$100-Comment Req'd</v>
      </c>
      <c r="M1768" t="e">
        <f t="shared" si="194"/>
        <v>#N/A</v>
      </c>
    </row>
    <row r="1769" spans="1:13" x14ac:dyDescent="0.25">
      <c r="A1769" t="str">
        <f t="shared" si="195"/>
        <v>CP228-NSP_ LAPSEDONOR_50_Twice</v>
      </c>
      <c r="B1769" t="s">
        <v>58</v>
      </c>
      <c r="C1769" t="str">
        <f t="shared" si="189"/>
        <v>Laredo</v>
      </c>
      <c r="D1769" t="str">
        <f t="shared" si="190"/>
        <v>Y</v>
      </c>
      <c r="E1769" t="s">
        <v>639</v>
      </c>
      <c r="F1769" t="str">
        <f t="shared" si="191"/>
        <v>NSP_ LAPSEDONOR_50_Twice</v>
      </c>
      <c r="G1769">
        <f t="shared" si="192"/>
        <v>0</v>
      </c>
      <c r="H1769" t="s">
        <v>569</v>
      </c>
      <c r="I1769">
        <f t="shared" si="193"/>
        <v>0</v>
      </c>
      <c r="J1769" t="s">
        <v>564</v>
      </c>
      <c r="K1769" s="5">
        <v>50</v>
      </c>
      <c r="L1769" t="str">
        <f>Table_DataFromNL[[#This Row],[PROFILECODE]]&amp;"-"&amp;Table_DataFromNL[[#This Row],[RULENAME]]</f>
        <v>CP228-NSP_ LAPSEDONOR_50_Twice</v>
      </c>
      <c r="M1769" t="e">
        <f t="shared" si="194"/>
        <v>#N/A</v>
      </c>
    </row>
    <row r="1770" spans="1:13" x14ac:dyDescent="0.25">
      <c r="A1770" t="str">
        <f t="shared" si="195"/>
        <v>CP228-NSP_LD_25_2X</v>
      </c>
      <c r="B1770" t="s">
        <v>58</v>
      </c>
      <c r="C1770" t="str">
        <f t="shared" si="189"/>
        <v>Laredo</v>
      </c>
      <c r="D1770" t="str">
        <f t="shared" si="190"/>
        <v>Y</v>
      </c>
      <c r="E1770" t="s">
        <v>639</v>
      </c>
      <c r="F1770" t="str">
        <f t="shared" si="191"/>
        <v>NSP_LD_25_2X</v>
      </c>
      <c r="G1770">
        <f t="shared" si="192"/>
        <v>0</v>
      </c>
      <c r="H1770" t="s">
        <v>570</v>
      </c>
      <c r="I1770">
        <f t="shared" si="193"/>
        <v>0</v>
      </c>
      <c r="J1770" t="s">
        <v>564</v>
      </c>
      <c r="K1770" s="5">
        <v>25</v>
      </c>
      <c r="L1770" t="str">
        <f>Table_DataFromNL[[#This Row],[PROFILECODE]]&amp;"-"&amp;Table_DataFromNL[[#This Row],[RULENAME]]</f>
        <v>CP228-NSP_LD_25_2X</v>
      </c>
      <c r="M1770" t="e">
        <f t="shared" si="194"/>
        <v>#N/A</v>
      </c>
    </row>
    <row r="1771" spans="1:13" x14ac:dyDescent="0.25">
      <c r="A1771" t="str">
        <f t="shared" si="195"/>
        <v>CP228-NSP_LD_50_1X</v>
      </c>
      <c r="B1771" t="s">
        <v>58</v>
      </c>
      <c r="C1771" t="str">
        <f t="shared" si="189"/>
        <v>Laredo</v>
      </c>
      <c r="D1771" t="str">
        <f t="shared" si="190"/>
        <v>Y</v>
      </c>
      <c r="E1771" t="s">
        <v>639</v>
      </c>
      <c r="F1771" t="str">
        <f t="shared" si="191"/>
        <v>NSP_LD_50_1X</v>
      </c>
      <c r="G1771">
        <f t="shared" si="192"/>
        <v>0</v>
      </c>
      <c r="H1771" t="s">
        <v>571</v>
      </c>
      <c r="I1771">
        <f t="shared" si="193"/>
        <v>0</v>
      </c>
      <c r="J1771" t="s">
        <v>564</v>
      </c>
      <c r="K1771" s="5">
        <v>50</v>
      </c>
      <c r="L1771" t="str">
        <f>Table_DataFromNL[[#This Row],[PROFILECODE]]&amp;"-"&amp;Table_DataFromNL[[#This Row],[RULENAME]]</f>
        <v>CP228-NSP_LD_50_1X</v>
      </c>
      <c r="M1771" t="e">
        <f t="shared" si="194"/>
        <v>#N/A</v>
      </c>
    </row>
    <row r="1772" spans="1:13" x14ac:dyDescent="0.25">
      <c r="A1772" t="str">
        <f t="shared" si="195"/>
        <v>CP228-NSP_ORPHAN_100_once</v>
      </c>
      <c r="B1772" t="s">
        <v>58</v>
      </c>
      <c r="C1772" t="str">
        <f t="shared" si="189"/>
        <v>Laredo</v>
      </c>
      <c r="D1772" t="str">
        <f t="shared" si="190"/>
        <v>Y</v>
      </c>
      <c r="E1772" t="s">
        <v>639</v>
      </c>
      <c r="F1772" t="str">
        <f t="shared" si="191"/>
        <v>NSP_ORPHAN_100_once</v>
      </c>
      <c r="G1772">
        <f t="shared" si="192"/>
        <v>0</v>
      </c>
      <c r="H1772" t="s">
        <v>572</v>
      </c>
      <c r="I1772">
        <f t="shared" si="193"/>
        <v>0</v>
      </c>
      <c r="J1772" t="s">
        <v>564</v>
      </c>
      <c r="K1772" s="5">
        <v>100</v>
      </c>
      <c r="L1772" t="str">
        <f>Table_DataFromNL[[#This Row],[PROFILECODE]]&amp;"-"&amp;Table_DataFromNL[[#This Row],[RULENAME]]</f>
        <v>CP228-NSP_ORPHAN_100_once</v>
      </c>
      <c r="M1772" t="e">
        <f t="shared" si="194"/>
        <v>#N/A</v>
      </c>
    </row>
    <row r="1773" spans="1:13" x14ac:dyDescent="0.25">
      <c r="A1773" t="str">
        <f t="shared" si="195"/>
        <v>CP228-Referral - Vaccinia</v>
      </c>
      <c r="B1773" t="s">
        <v>58</v>
      </c>
      <c r="C1773" t="str">
        <f t="shared" si="189"/>
        <v>Laredo</v>
      </c>
      <c r="D1773" t="str">
        <f t="shared" si="190"/>
        <v>Y</v>
      </c>
      <c r="E1773" t="s">
        <v>639</v>
      </c>
      <c r="F1773" t="str">
        <f t="shared" si="191"/>
        <v>Referral - Vaccinia</v>
      </c>
      <c r="G1773">
        <f t="shared" si="192"/>
        <v>0</v>
      </c>
      <c r="H1773" t="s">
        <v>595</v>
      </c>
      <c r="I1773">
        <f t="shared" si="193"/>
        <v>0</v>
      </c>
      <c r="J1773" t="s">
        <v>564</v>
      </c>
      <c r="K1773" s="5">
        <v>250</v>
      </c>
      <c r="L1773" t="str">
        <f>Table_DataFromNL[[#This Row],[PROFILECODE]]&amp;"-"&amp;Table_DataFromNL[[#This Row],[RULENAME]]</f>
        <v>CP228-Referral - Vaccinia</v>
      </c>
      <c r="M1773" t="e">
        <f t="shared" si="194"/>
        <v>#N/A</v>
      </c>
    </row>
    <row r="1774" spans="1:13" x14ac:dyDescent="0.25">
      <c r="A1774" t="str">
        <f t="shared" si="195"/>
        <v>CP228-Restick</v>
      </c>
      <c r="B1774" t="s">
        <v>58</v>
      </c>
      <c r="C1774" t="str">
        <f t="shared" si="189"/>
        <v>Laredo</v>
      </c>
      <c r="D1774" t="str">
        <f t="shared" si="190"/>
        <v>Y</v>
      </c>
      <c r="E1774" t="s">
        <v>639</v>
      </c>
      <c r="F1774" t="str">
        <f t="shared" si="191"/>
        <v>Restick</v>
      </c>
      <c r="G1774">
        <f t="shared" si="192"/>
        <v>0</v>
      </c>
      <c r="H1774" t="s">
        <v>573</v>
      </c>
      <c r="I1774">
        <f t="shared" si="193"/>
        <v>0</v>
      </c>
      <c r="J1774" t="s">
        <v>564</v>
      </c>
      <c r="K1774" s="5">
        <v>5</v>
      </c>
      <c r="L1774" t="str">
        <f>Table_DataFromNL[[#This Row],[PROFILECODE]]&amp;"-"&amp;Table_DataFromNL[[#This Row],[RULENAME]]</f>
        <v>CP228-Restick</v>
      </c>
      <c r="M1774" t="e">
        <f t="shared" si="194"/>
        <v>#N/A</v>
      </c>
    </row>
    <row r="1775" spans="1:13" x14ac:dyDescent="0.25">
      <c r="A1775" t="str">
        <f t="shared" si="195"/>
        <v>CP228-SCRATCH_100_USD</v>
      </c>
      <c r="B1775" t="s">
        <v>58</v>
      </c>
      <c r="C1775" t="str">
        <f t="shared" si="189"/>
        <v>Laredo</v>
      </c>
      <c r="D1775" t="str">
        <f t="shared" si="190"/>
        <v>Y</v>
      </c>
      <c r="E1775" t="s">
        <v>639</v>
      </c>
      <c r="F1775" t="str">
        <f t="shared" si="191"/>
        <v>SCRATCH_100_USD</v>
      </c>
      <c r="G1775">
        <f t="shared" si="192"/>
        <v>0</v>
      </c>
      <c r="H1775" t="s">
        <v>586</v>
      </c>
      <c r="I1775">
        <f t="shared" si="193"/>
        <v>0</v>
      </c>
      <c r="J1775" t="s">
        <v>564</v>
      </c>
      <c r="K1775" s="5">
        <v>100</v>
      </c>
      <c r="L1775" t="str">
        <f>Table_DataFromNL[[#This Row],[PROFILECODE]]&amp;"-"&amp;Table_DataFromNL[[#This Row],[RULENAME]]</f>
        <v>CP228-SCRATCH_100_USD</v>
      </c>
      <c r="M1775" t="e">
        <f t="shared" si="194"/>
        <v>#N/A</v>
      </c>
    </row>
    <row r="1776" spans="1:13" x14ac:dyDescent="0.25">
      <c r="A1776" t="str">
        <f t="shared" si="195"/>
        <v>CP228-SCRATCH_10_USD</v>
      </c>
      <c r="B1776" t="s">
        <v>58</v>
      </c>
      <c r="C1776" t="str">
        <f t="shared" si="189"/>
        <v>Laredo</v>
      </c>
      <c r="D1776" t="str">
        <f t="shared" si="190"/>
        <v>Y</v>
      </c>
      <c r="E1776" t="s">
        <v>639</v>
      </c>
      <c r="F1776" t="str">
        <f t="shared" si="191"/>
        <v>SCRATCH_10_USD</v>
      </c>
      <c r="G1776">
        <f t="shared" si="192"/>
        <v>0</v>
      </c>
      <c r="H1776" t="s">
        <v>587</v>
      </c>
      <c r="I1776">
        <f t="shared" si="193"/>
        <v>0</v>
      </c>
      <c r="J1776" t="s">
        <v>564</v>
      </c>
      <c r="K1776" s="5">
        <v>10</v>
      </c>
      <c r="L1776" t="str">
        <f>Table_DataFromNL[[#This Row],[PROFILECODE]]&amp;"-"&amp;Table_DataFromNL[[#This Row],[RULENAME]]</f>
        <v>CP228-SCRATCH_10_USD</v>
      </c>
      <c r="M1776" t="e">
        <f t="shared" si="194"/>
        <v>#N/A</v>
      </c>
    </row>
    <row r="1777" spans="1:13" x14ac:dyDescent="0.25">
      <c r="A1777" t="str">
        <f t="shared" si="195"/>
        <v>CP228-SCRATCH_20_USD</v>
      </c>
      <c r="B1777" t="s">
        <v>58</v>
      </c>
      <c r="C1777" t="str">
        <f t="shared" si="189"/>
        <v>Laredo</v>
      </c>
      <c r="D1777" t="str">
        <f t="shared" si="190"/>
        <v>Y</v>
      </c>
      <c r="E1777" t="s">
        <v>639</v>
      </c>
      <c r="F1777" t="str">
        <f t="shared" si="191"/>
        <v>SCRATCH_20_USD</v>
      </c>
      <c r="G1777">
        <f t="shared" si="192"/>
        <v>0</v>
      </c>
      <c r="H1777" t="s">
        <v>588</v>
      </c>
      <c r="I1777">
        <f t="shared" si="193"/>
        <v>0</v>
      </c>
      <c r="J1777" t="s">
        <v>564</v>
      </c>
      <c r="K1777" s="5">
        <v>20</v>
      </c>
      <c r="L1777" t="str">
        <f>Table_DataFromNL[[#This Row],[PROFILECODE]]&amp;"-"&amp;Table_DataFromNL[[#This Row],[RULENAME]]</f>
        <v>CP228-SCRATCH_20_USD</v>
      </c>
      <c r="M1777" t="e">
        <f t="shared" si="194"/>
        <v>#N/A</v>
      </c>
    </row>
    <row r="1778" spans="1:13" x14ac:dyDescent="0.25">
      <c r="A1778" t="str">
        <f t="shared" si="195"/>
        <v>CP228-SCRATCH_25_USD</v>
      </c>
      <c r="B1778" t="s">
        <v>58</v>
      </c>
      <c r="C1778" t="str">
        <f t="shared" si="189"/>
        <v>Laredo</v>
      </c>
      <c r="D1778" t="str">
        <f t="shared" si="190"/>
        <v>Y</v>
      </c>
      <c r="E1778" t="s">
        <v>639</v>
      </c>
      <c r="F1778" t="str">
        <f t="shared" si="191"/>
        <v>SCRATCH_25_USD</v>
      </c>
      <c r="G1778">
        <f t="shared" si="192"/>
        <v>0</v>
      </c>
      <c r="H1778" t="s">
        <v>589</v>
      </c>
      <c r="I1778">
        <f t="shared" si="193"/>
        <v>0</v>
      </c>
      <c r="J1778" t="s">
        <v>564</v>
      </c>
      <c r="K1778" s="5">
        <v>25</v>
      </c>
      <c r="L1778" t="str">
        <f>Table_DataFromNL[[#This Row],[PROFILECODE]]&amp;"-"&amp;Table_DataFromNL[[#This Row],[RULENAME]]</f>
        <v>CP228-SCRATCH_25_USD</v>
      </c>
      <c r="M1778" t="e">
        <f t="shared" si="194"/>
        <v>#N/A</v>
      </c>
    </row>
    <row r="1779" spans="1:13" x14ac:dyDescent="0.25">
      <c r="A1779" t="str">
        <f t="shared" si="195"/>
        <v>CP228-SCRATCH_50_USD</v>
      </c>
      <c r="B1779" t="s">
        <v>58</v>
      </c>
      <c r="C1779" t="str">
        <f t="shared" si="189"/>
        <v>Laredo</v>
      </c>
      <c r="D1779" t="str">
        <f t="shared" si="190"/>
        <v>Y</v>
      </c>
      <c r="E1779" t="s">
        <v>639</v>
      </c>
      <c r="F1779" t="str">
        <f t="shared" si="191"/>
        <v>SCRATCH_50_USD</v>
      </c>
      <c r="G1779">
        <f t="shared" si="192"/>
        <v>0</v>
      </c>
      <c r="H1779" t="s">
        <v>590</v>
      </c>
      <c r="I1779">
        <f t="shared" si="193"/>
        <v>0</v>
      </c>
      <c r="J1779" t="s">
        <v>564</v>
      </c>
      <c r="K1779" s="5">
        <v>50</v>
      </c>
      <c r="L1779" t="str">
        <f>Table_DataFromNL[[#This Row],[PROFILECODE]]&amp;"-"&amp;Table_DataFromNL[[#This Row],[RULENAME]]</f>
        <v>CP228-SCRATCH_50_USD</v>
      </c>
      <c r="M1779" t="e">
        <f t="shared" si="194"/>
        <v>#N/A</v>
      </c>
    </row>
    <row r="1780" spans="1:13" x14ac:dyDescent="0.25">
      <c r="A1780" t="str">
        <f t="shared" si="195"/>
        <v>CP228-SCRATCH_5_USD</v>
      </c>
      <c r="B1780" t="s">
        <v>58</v>
      </c>
      <c r="C1780" t="str">
        <f t="shared" si="189"/>
        <v>Laredo</v>
      </c>
      <c r="D1780" t="str">
        <f t="shared" si="190"/>
        <v>Y</v>
      </c>
      <c r="E1780" t="s">
        <v>639</v>
      </c>
      <c r="F1780" t="str">
        <f t="shared" si="191"/>
        <v>SCRATCH_5_USD</v>
      </c>
      <c r="G1780">
        <f t="shared" si="192"/>
        <v>0</v>
      </c>
      <c r="H1780" t="s">
        <v>591</v>
      </c>
      <c r="I1780">
        <f t="shared" si="193"/>
        <v>0</v>
      </c>
      <c r="J1780" t="s">
        <v>564</v>
      </c>
      <c r="K1780" s="5">
        <v>5</v>
      </c>
      <c r="L1780" t="str">
        <f>Table_DataFromNL[[#This Row],[PROFILECODE]]&amp;"-"&amp;Table_DataFromNL[[#This Row],[RULENAME]]</f>
        <v>CP228-SCRATCH_5_USD</v>
      </c>
      <c r="M1780" t="e">
        <f t="shared" si="194"/>
        <v>#N/A</v>
      </c>
    </row>
    <row r="1781" spans="1:13" x14ac:dyDescent="0.25">
      <c r="A1781" t="str">
        <f t="shared" si="195"/>
        <v>CP228-SLOW_TEXT_5</v>
      </c>
      <c r="B1781" t="s">
        <v>58</v>
      </c>
      <c r="C1781" t="str">
        <f t="shared" si="189"/>
        <v>Laredo</v>
      </c>
      <c r="D1781" t="str">
        <f t="shared" si="190"/>
        <v>Y</v>
      </c>
      <c r="E1781" t="s">
        <v>639</v>
      </c>
      <c r="F1781" t="str">
        <f t="shared" si="191"/>
        <v>SLOW_TEXT_5</v>
      </c>
      <c r="G1781">
        <f t="shared" si="192"/>
        <v>0</v>
      </c>
      <c r="H1781" t="s">
        <v>574</v>
      </c>
      <c r="I1781">
        <f t="shared" si="193"/>
        <v>0</v>
      </c>
      <c r="J1781" t="s">
        <v>564</v>
      </c>
      <c r="K1781" s="5">
        <v>5</v>
      </c>
      <c r="L1781" t="str">
        <f>Table_DataFromNL[[#This Row],[PROFILECODE]]&amp;"-"&amp;Table_DataFromNL[[#This Row],[RULENAME]]</f>
        <v>CP228-SLOW_TEXT_5</v>
      </c>
      <c r="M1781" t="e">
        <f t="shared" si="194"/>
        <v>#N/A</v>
      </c>
    </row>
    <row r="1782" spans="1:13" x14ac:dyDescent="0.25">
      <c r="A1782" t="str">
        <f t="shared" si="195"/>
        <v>CP228-Sample Only</v>
      </c>
      <c r="B1782" t="s">
        <v>58</v>
      </c>
      <c r="C1782" t="str">
        <f t="shared" si="189"/>
        <v>Laredo</v>
      </c>
      <c r="D1782" t="str">
        <f t="shared" si="190"/>
        <v>Y</v>
      </c>
      <c r="E1782" t="s">
        <v>639</v>
      </c>
      <c r="F1782" t="str">
        <f t="shared" si="191"/>
        <v>Sample Only</v>
      </c>
      <c r="G1782">
        <f t="shared" si="192"/>
        <v>0</v>
      </c>
      <c r="H1782" t="s">
        <v>575</v>
      </c>
      <c r="I1782">
        <f t="shared" si="193"/>
        <v>0</v>
      </c>
      <c r="J1782" t="s">
        <v>564</v>
      </c>
      <c r="K1782" s="5">
        <v>5</v>
      </c>
      <c r="L1782" t="str">
        <f>Table_DataFromNL[[#This Row],[PROFILECODE]]&amp;"-"&amp;Table_DataFromNL[[#This Row],[RULENAME]]</f>
        <v>CP228-Sample Only</v>
      </c>
      <c r="M1782" t="e">
        <f t="shared" si="194"/>
        <v>#N/A</v>
      </c>
    </row>
    <row r="1783" spans="1:13" x14ac:dyDescent="0.25">
      <c r="A1783" t="str">
        <f t="shared" si="195"/>
        <v>CP228-Unit Below 250 mL</v>
      </c>
      <c r="B1783" t="s">
        <v>58</v>
      </c>
      <c r="C1783" t="str">
        <f t="shared" si="189"/>
        <v>Laredo</v>
      </c>
      <c r="D1783" t="str">
        <f t="shared" si="190"/>
        <v>Y</v>
      </c>
      <c r="E1783" t="s">
        <v>639</v>
      </c>
      <c r="F1783" t="str">
        <f t="shared" si="191"/>
        <v>Unit Below 250 mL</v>
      </c>
      <c r="G1783">
        <f t="shared" si="192"/>
        <v>0</v>
      </c>
      <c r="H1783" t="s">
        <v>576</v>
      </c>
      <c r="I1783">
        <f t="shared" si="193"/>
        <v>0</v>
      </c>
      <c r="J1783" t="s">
        <v>564</v>
      </c>
      <c r="K1783" s="5">
        <v>5</v>
      </c>
      <c r="L1783" t="str">
        <f>Table_DataFromNL[[#This Row],[PROFILECODE]]&amp;"-"&amp;Table_DataFromNL[[#This Row],[RULENAME]]</f>
        <v>CP228-Unit Below 250 mL</v>
      </c>
      <c r="M1783" t="e">
        <f t="shared" si="194"/>
        <v>#N/A</v>
      </c>
    </row>
    <row r="1784" spans="1:13" x14ac:dyDescent="0.25">
      <c r="A1784" t="str">
        <f t="shared" si="195"/>
        <v>CP228-Unit above 250 mL/underdraw</v>
      </c>
      <c r="B1784" t="s">
        <v>58</v>
      </c>
      <c r="C1784" t="str">
        <f t="shared" si="189"/>
        <v>Laredo</v>
      </c>
      <c r="D1784" t="str">
        <f t="shared" si="190"/>
        <v>Y</v>
      </c>
      <c r="E1784" t="s">
        <v>639</v>
      </c>
      <c r="F1784" t="str">
        <f t="shared" si="191"/>
        <v>Unit above 250 mL/underdraw</v>
      </c>
      <c r="G1784">
        <f t="shared" si="192"/>
        <v>0</v>
      </c>
      <c r="H1784" t="s">
        <v>577</v>
      </c>
      <c r="I1784">
        <f t="shared" si="193"/>
        <v>0</v>
      </c>
      <c r="J1784" t="s">
        <v>564</v>
      </c>
      <c r="K1784" s="5">
        <v>10</v>
      </c>
      <c r="L1784" t="str">
        <f>Table_DataFromNL[[#This Row],[PROFILECODE]]&amp;"-"&amp;Table_DataFromNL[[#This Row],[RULENAME]]</f>
        <v>CP228-Unit above 250 mL/underdraw</v>
      </c>
      <c r="M1784" t="e">
        <f t="shared" si="194"/>
        <v>#N/A</v>
      </c>
    </row>
    <row r="1785" spans="1:13" x14ac:dyDescent="0.25">
      <c r="A1785" t="str">
        <f t="shared" si="195"/>
        <v>CP228-Vaccinia Immunization</v>
      </c>
      <c r="B1785" t="s">
        <v>58</v>
      </c>
      <c r="C1785" t="str">
        <f t="shared" si="189"/>
        <v>Laredo</v>
      </c>
      <c r="D1785" t="str">
        <f t="shared" si="190"/>
        <v>Y</v>
      </c>
      <c r="E1785" t="s">
        <v>639</v>
      </c>
      <c r="F1785" t="str">
        <f t="shared" si="191"/>
        <v>Vaccinia Immunization</v>
      </c>
      <c r="G1785">
        <f t="shared" si="192"/>
        <v>0</v>
      </c>
      <c r="H1785" t="s">
        <v>596</v>
      </c>
      <c r="I1785">
        <f t="shared" si="193"/>
        <v>0</v>
      </c>
      <c r="J1785" t="s">
        <v>564</v>
      </c>
      <c r="K1785" s="5">
        <v>100</v>
      </c>
      <c r="L1785" t="str">
        <f>Table_DataFromNL[[#This Row],[PROFILECODE]]&amp;"-"&amp;Table_DataFromNL[[#This Row],[RULENAME]]</f>
        <v>CP228-Vaccinia Immunization</v>
      </c>
      <c r="M1785" t="e">
        <f t="shared" si="194"/>
        <v>#N/A</v>
      </c>
    </row>
    <row r="1786" spans="1:13" x14ac:dyDescent="0.25">
      <c r="A1786" t="str">
        <f t="shared" si="195"/>
        <v>CP228-RETURN - Buddy referral  -BONUS</v>
      </c>
      <c r="B1786" t="s">
        <v>58</v>
      </c>
      <c r="C1786" t="str">
        <f t="shared" si="189"/>
        <v>Laredo</v>
      </c>
      <c r="D1786" t="str">
        <f t="shared" si="190"/>
        <v>Y</v>
      </c>
      <c r="E1786" t="s">
        <v>639</v>
      </c>
      <c r="F1786" t="str">
        <f t="shared" si="191"/>
        <v>RETURN - Buddy referral  -BONUS</v>
      </c>
      <c r="G1786" t="str">
        <f t="shared" si="192"/>
        <v>Marketing</v>
      </c>
      <c r="H1786" t="s">
        <v>34</v>
      </c>
      <c r="I1786">
        <f t="shared" si="193"/>
        <v>50</v>
      </c>
      <c r="J1786" t="s">
        <v>578</v>
      </c>
      <c r="K1786" s="5">
        <v>50</v>
      </c>
      <c r="L1786" t="str">
        <f>Table_DataFromNL[[#This Row],[PROFILECODE]]&amp;"-"&amp;Table_DataFromNL[[#This Row],[RULENAME]]</f>
        <v>CP228-Referral</v>
      </c>
      <c r="M1786" t="str">
        <f t="shared" si="194"/>
        <v>CP228-RETURN - Buddy referral  -BONUS</v>
      </c>
    </row>
    <row r="1787" spans="1:13" x14ac:dyDescent="0.25">
      <c r="A1787" t="str">
        <f t="shared" si="195"/>
        <v>CP228-P Anti-D Pre-Existing Standard</v>
      </c>
      <c r="B1787" t="s">
        <v>58</v>
      </c>
      <c r="C1787" t="str">
        <f t="shared" si="189"/>
        <v>Laredo</v>
      </c>
      <c r="D1787" t="str">
        <f t="shared" si="190"/>
        <v>Y</v>
      </c>
      <c r="E1787" t="s">
        <v>639</v>
      </c>
      <c r="F1787" t="str">
        <f t="shared" si="191"/>
        <v>P Anti-D Pre-Existing Standard</v>
      </c>
      <c r="G1787" t="str">
        <f t="shared" si="192"/>
        <v>Specialty</v>
      </c>
      <c r="H1787" t="s">
        <v>469</v>
      </c>
      <c r="I1787" t="str">
        <f t="shared" si="193"/>
        <v>RETURN - 1st don of the week -STD</v>
      </c>
      <c r="J1787" t="s">
        <v>579</v>
      </c>
      <c r="K1787" s="5">
        <v>50</v>
      </c>
      <c r="L1787" t="str">
        <f>Table_DataFromNL[[#This Row],[PROFILECODE]]&amp;"-"&amp;Table_DataFromNL[[#This Row],[RULENAME]]</f>
        <v>CP228-P Anti-D Pre-Existing Standard</v>
      </c>
      <c r="M1787" t="str">
        <f t="shared" si="194"/>
        <v>CP228-P Anti-D Pre-Existing Standard</v>
      </c>
    </row>
    <row r="1788" spans="1:13" x14ac:dyDescent="0.25">
      <c r="A1788" t="str">
        <f t="shared" si="195"/>
        <v>CP228-RETURN - 1st don of the week -STD</v>
      </c>
      <c r="B1788" t="s">
        <v>58</v>
      </c>
      <c r="C1788" t="str">
        <f t="shared" si="189"/>
        <v>Laredo</v>
      </c>
      <c r="D1788" t="str">
        <f t="shared" si="190"/>
        <v>Y</v>
      </c>
      <c r="E1788" t="s">
        <v>639</v>
      </c>
      <c r="F1788" t="str">
        <f t="shared" si="191"/>
        <v>RETURN - 1st don of the week -STD</v>
      </c>
      <c r="G1788" t="str">
        <f t="shared" si="192"/>
        <v>Marketing</v>
      </c>
      <c r="H1788" t="s">
        <v>583</v>
      </c>
      <c r="I1788">
        <f t="shared" si="193"/>
        <v>22</v>
      </c>
      <c r="J1788" t="s">
        <v>579</v>
      </c>
      <c r="K1788" s="5">
        <v>65</v>
      </c>
      <c r="L1788" t="str">
        <f>Table_DataFromNL[[#This Row],[PROFILECODE]]&amp;"-"&amp;Table_DataFromNL[[#This Row],[RULENAME]]</f>
        <v>CP228-P NSP NS AP Standard</v>
      </c>
      <c r="M1788" t="str">
        <f t="shared" si="194"/>
        <v>CP228-RETURN - 1st don of the week -STD</v>
      </c>
    </row>
    <row r="1789" spans="1:13" x14ac:dyDescent="0.25">
      <c r="A1789" t="str">
        <f t="shared" si="195"/>
        <v>CP228-RETURN - 1st don of the week -STD</v>
      </c>
      <c r="B1789" t="s">
        <v>58</v>
      </c>
      <c r="C1789" t="str">
        <f t="shared" si="189"/>
        <v>Laredo</v>
      </c>
      <c r="D1789" t="str">
        <f t="shared" si="190"/>
        <v>Y</v>
      </c>
      <c r="E1789" t="s">
        <v>639</v>
      </c>
      <c r="F1789" t="str">
        <f t="shared" si="191"/>
        <v>RETURN - 1st don of the week -STD</v>
      </c>
      <c r="G1789" t="str">
        <f t="shared" si="192"/>
        <v>Marketing</v>
      </c>
      <c r="H1789" t="s">
        <v>584</v>
      </c>
      <c r="I1789">
        <f t="shared" si="193"/>
        <v>23</v>
      </c>
      <c r="J1789" t="s">
        <v>579</v>
      </c>
      <c r="K1789" s="5">
        <v>65</v>
      </c>
      <c r="L1789" t="str">
        <f>Table_DataFromNL[[#This Row],[PROFILECODE]]&amp;"-"&amp;Table_DataFromNL[[#This Row],[RULENAME]]</f>
        <v>CP228-P NSP NS Standard</v>
      </c>
      <c r="M1789" t="str">
        <f t="shared" si="194"/>
        <v>CP228-RETURN - 1st don of the week -STD</v>
      </c>
    </row>
    <row r="1790" spans="1:13" x14ac:dyDescent="0.25">
      <c r="A1790" t="str">
        <f t="shared" si="195"/>
        <v>CP228-P VZV Pre-Existing AP</v>
      </c>
      <c r="B1790" t="s">
        <v>58</v>
      </c>
      <c r="C1790" t="str">
        <f t="shared" si="189"/>
        <v>Laredo</v>
      </c>
      <c r="D1790" t="str">
        <f t="shared" si="190"/>
        <v>Y</v>
      </c>
      <c r="E1790" t="s">
        <v>639</v>
      </c>
      <c r="F1790" t="str">
        <f t="shared" si="191"/>
        <v>P VZV Pre-Existing AP</v>
      </c>
      <c r="G1790" t="str">
        <f t="shared" si="192"/>
        <v>Specialty</v>
      </c>
      <c r="H1790" t="s">
        <v>495</v>
      </c>
      <c r="I1790" t="str">
        <f t="shared" si="193"/>
        <v>RETURN - 1st don of the week -STD</v>
      </c>
      <c r="J1790" t="s">
        <v>579</v>
      </c>
      <c r="K1790" s="5">
        <v>75</v>
      </c>
      <c r="L1790" t="str">
        <f>Table_DataFromNL[[#This Row],[PROFILECODE]]&amp;"-"&amp;Table_DataFromNL[[#This Row],[RULENAME]]</f>
        <v>CP228-P VZV Pre-Existing AP</v>
      </c>
      <c r="M1790" t="str">
        <f t="shared" si="194"/>
        <v>CP228-P VZV Pre-Existing AP</v>
      </c>
    </row>
    <row r="1791" spans="1:13" x14ac:dyDescent="0.25">
      <c r="A1791" t="str">
        <f t="shared" si="195"/>
        <v>CP228-P VZV Standard</v>
      </c>
      <c r="B1791" t="s">
        <v>58</v>
      </c>
      <c r="C1791" t="str">
        <f t="shared" si="189"/>
        <v>Laredo</v>
      </c>
      <c r="D1791" t="str">
        <f t="shared" si="190"/>
        <v>Y</v>
      </c>
      <c r="E1791" t="s">
        <v>639</v>
      </c>
      <c r="F1791" t="str">
        <f t="shared" si="191"/>
        <v>P VZV Standard</v>
      </c>
      <c r="G1791" t="str">
        <f t="shared" si="192"/>
        <v>Specialty</v>
      </c>
      <c r="H1791" t="s">
        <v>496</v>
      </c>
      <c r="I1791" t="str">
        <f t="shared" si="193"/>
        <v>RETURN - 1st don of the week -STD</v>
      </c>
      <c r="J1791" t="s">
        <v>579</v>
      </c>
      <c r="K1791" s="5">
        <v>75</v>
      </c>
      <c r="L1791" t="str">
        <f>Table_DataFromNL[[#This Row],[PROFILECODE]]&amp;"-"&amp;Table_DataFromNL[[#This Row],[RULENAME]]</f>
        <v>CP228-P VZV Standard</v>
      </c>
      <c r="M1791" t="str">
        <f t="shared" si="194"/>
        <v>CP228-P VZV Standard</v>
      </c>
    </row>
    <row r="1792" spans="1:13" x14ac:dyDescent="0.25">
      <c r="A1792" t="str">
        <f t="shared" si="195"/>
        <v>CP228-P Vaccinia AP Standard</v>
      </c>
      <c r="B1792" t="s">
        <v>58</v>
      </c>
      <c r="C1792" t="str">
        <f t="shared" si="189"/>
        <v>Laredo</v>
      </c>
      <c r="D1792" t="str">
        <f t="shared" si="190"/>
        <v>Y</v>
      </c>
      <c r="E1792" t="s">
        <v>639</v>
      </c>
      <c r="F1792" t="str">
        <f t="shared" si="191"/>
        <v>P Vaccinia AP Standard</v>
      </c>
      <c r="G1792" t="str">
        <f t="shared" si="192"/>
        <v>Specialty</v>
      </c>
      <c r="H1792" t="s">
        <v>475</v>
      </c>
      <c r="I1792">
        <f t="shared" si="193"/>
        <v>0</v>
      </c>
      <c r="J1792" t="s">
        <v>579</v>
      </c>
      <c r="K1792" s="5">
        <v>100</v>
      </c>
      <c r="L1792" t="str">
        <f>Table_DataFromNL[[#This Row],[PROFILECODE]]&amp;"-"&amp;Table_DataFromNL[[#This Row],[RULENAME]]</f>
        <v>CP228-P Vaccinia AP Standard</v>
      </c>
      <c r="M1792" t="str">
        <f t="shared" si="194"/>
        <v>CP228-P Vaccinia AP Standard</v>
      </c>
    </row>
    <row r="1793" spans="1:13" x14ac:dyDescent="0.25">
      <c r="A1793" t="str">
        <f t="shared" si="195"/>
        <v>CP228-P Vaccinia Standard</v>
      </c>
      <c r="B1793" t="s">
        <v>58</v>
      </c>
      <c r="C1793" t="str">
        <f t="shared" si="189"/>
        <v>Laredo</v>
      </c>
      <c r="D1793" t="str">
        <f t="shared" si="190"/>
        <v>Y</v>
      </c>
      <c r="E1793" t="s">
        <v>639</v>
      </c>
      <c r="F1793" t="str">
        <f t="shared" si="191"/>
        <v>P Vaccinia Standard</v>
      </c>
      <c r="G1793" t="str">
        <f t="shared" si="192"/>
        <v>Specialty</v>
      </c>
      <c r="H1793" t="s">
        <v>476</v>
      </c>
      <c r="I1793">
        <f t="shared" si="193"/>
        <v>0</v>
      </c>
      <c r="J1793" t="s">
        <v>579</v>
      </c>
      <c r="K1793" s="5">
        <v>100</v>
      </c>
      <c r="L1793" t="str">
        <f>Table_DataFromNL[[#This Row],[PROFILECODE]]&amp;"-"&amp;Table_DataFromNL[[#This Row],[RULENAME]]</f>
        <v>CP228-P Vaccinia Standard</v>
      </c>
      <c r="M1793" t="str">
        <f t="shared" si="194"/>
        <v>CP228-P Vaccinia Standard</v>
      </c>
    </row>
    <row r="1794" spans="1:13" x14ac:dyDescent="0.25">
      <c r="A1794" t="str">
        <f t="shared" si="195"/>
        <v>CP228-PVZV Pre-Existing Standard</v>
      </c>
      <c r="B1794" t="s">
        <v>58</v>
      </c>
      <c r="C1794" t="str">
        <f t="shared" ref="C1794:C1857" si="196">VLOOKUP(B1794,CenterLU,2,FALSE)</f>
        <v>Laredo</v>
      </c>
      <c r="D1794" t="str">
        <f t="shared" ref="D1794:D1857" si="197">VLOOKUP(B1794,CenterLU,3,FALSE)</f>
        <v>Y</v>
      </c>
      <c r="E1794" t="s">
        <v>639</v>
      </c>
      <c r="F1794" t="str">
        <f t="shared" ref="F1794:F1857" si="198">IF(VLOOKUP(H1794,RULENAMELU,3,FALSE)=0,H1794,VLOOKUP(H1794,RULENAMELU,3,FALSE))</f>
        <v>PVZV Pre-Existing Standard</v>
      </c>
      <c r="G1794" t="str">
        <f t="shared" ref="G1794:G1857" si="199">VLOOKUP(H1794,RULENAMELU,4,FALSE)</f>
        <v>Specialty</v>
      </c>
      <c r="H1794" t="s">
        <v>497</v>
      </c>
      <c r="I1794" t="str">
        <f t="shared" ref="I1794:I1857" si="200">VLOOKUP(H1794,RULENAMELU,5,FALSE)</f>
        <v>RETURN - 1st don of the week -STD</v>
      </c>
      <c r="J1794" t="s">
        <v>579</v>
      </c>
      <c r="K1794" s="5">
        <v>75</v>
      </c>
      <c r="L1794" t="str">
        <f>Table_DataFromNL[[#This Row],[PROFILECODE]]&amp;"-"&amp;Table_DataFromNL[[#This Row],[RULENAME]]</f>
        <v>CP228-PVZV Pre-Existing Standard</v>
      </c>
      <c r="M1794" t="str">
        <f t="shared" ref="M1794:M1857" si="201">IFERROR(VLOOKUP(A1794,PaychangesLU,1,FALSE),VLOOKUP(A1794,SpecialtyCheckLU,1,FALSE))</f>
        <v>CP228-PVZV Pre-Existing Standard</v>
      </c>
    </row>
    <row r="1795" spans="1:13" x14ac:dyDescent="0.25">
      <c r="A1795" t="str">
        <f t="shared" ref="A1795:A1858" si="202">B1795&amp;"-"&amp;F1795</f>
        <v>CP570-1st Responder-Medical</v>
      </c>
      <c r="B1795" t="s">
        <v>165</v>
      </c>
      <c r="C1795" t="str">
        <f t="shared" si="196"/>
        <v>Las Vegas</v>
      </c>
      <c r="D1795" t="str">
        <f t="shared" si="197"/>
        <v>Y</v>
      </c>
      <c r="E1795" t="s">
        <v>640</v>
      </c>
      <c r="F1795" t="str">
        <f t="shared" si="198"/>
        <v>1st Responder-Medical</v>
      </c>
      <c r="G1795">
        <f t="shared" si="199"/>
        <v>0</v>
      </c>
      <c r="H1795" t="s">
        <v>545</v>
      </c>
      <c r="I1795">
        <f t="shared" si="200"/>
        <v>0</v>
      </c>
      <c r="J1795" t="s">
        <v>546</v>
      </c>
      <c r="K1795" s="5">
        <v>5</v>
      </c>
      <c r="L1795" t="str">
        <f>Table_DataFromNL[[#This Row],[PROFILECODE]]&amp;"-"&amp;Table_DataFromNL[[#This Row],[RULENAME]]</f>
        <v>CP570-1st Responder-Medical</v>
      </c>
      <c r="M1795" t="e">
        <f t="shared" si="201"/>
        <v>#N/A</v>
      </c>
    </row>
    <row r="1796" spans="1:13" x14ac:dyDescent="0.25">
      <c r="A1796" t="str">
        <f t="shared" si="202"/>
        <v>CP570-RETURN - 2nd don of the week -BONUS</v>
      </c>
      <c r="B1796" t="s">
        <v>165</v>
      </c>
      <c r="C1796" t="str">
        <f t="shared" si="196"/>
        <v>Las Vegas</v>
      </c>
      <c r="D1796" t="str">
        <f t="shared" si="197"/>
        <v>Y</v>
      </c>
      <c r="E1796" t="s">
        <v>640</v>
      </c>
      <c r="F1796" t="str">
        <f t="shared" si="198"/>
        <v>RETURN - 2nd don of the week -BONUS</v>
      </c>
      <c r="G1796" t="str">
        <f t="shared" si="199"/>
        <v>Marketing</v>
      </c>
      <c r="H1796" t="s">
        <v>550</v>
      </c>
      <c r="I1796">
        <f t="shared" si="200"/>
        <v>26</v>
      </c>
      <c r="J1796" t="s">
        <v>546</v>
      </c>
      <c r="K1796" s="5">
        <v>25</v>
      </c>
      <c r="L1796" t="str">
        <f>Table_DataFromNL[[#This Row],[PROFILECODE]]&amp;"-"&amp;Table_DataFromNL[[#This Row],[RULENAME]]</f>
        <v>CP570-2X Week P NSP NS</v>
      </c>
      <c r="M1796" t="str">
        <f t="shared" si="201"/>
        <v>CP570-RETURN - 2nd don of the week -BONUS</v>
      </c>
    </row>
    <row r="1797" spans="1:13" x14ac:dyDescent="0.25">
      <c r="A1797" t="str">
        <f t="shared" si="202"/>
        <v>CP570-RETURN - 2nd don of the week -BONUS</v>
      </c>
      <c r="B1797" t="s">
        <v>165</v>
      </c>
      <c r="C1797" t="str">
        <f t="shared" si="196"/>
        <v>Las Vegas</v>
      </c>
      <c r="D1797" t="str">
        <f t="shared" si="197"/>
        <v>Y</v>
      </c>
      <c r="E1797" t="s">
        <v>640</v>
      </c>
      <c r="F1797" t="str">
        <f t="shared" si="198"/>
        <v>RETURN - 2nd don of the week -BONUS</v>
      </c>
      <c r="G1797" t="str">
        <f t="shared" si="199"/>
        <v>Marketing</v>
      </c>
      <c r="H1797" t="s">
        <v>551</v>
      </c>
      <c r="I1797" t="str">
        <f t="shared" si="200"/>
        <v>RETURN - 2nd don of the week -BONUS</v>
      </c>
      <c r="J1797" t="s">
        <v>546</v>
      </c>
      <c r="K1797" s="5">
        <v>25</v>
      </c>
      <c r="L1797" t="str">
        <f>Table_DataFromNL[[#This Row],[PROFILECODE]]&amp;"-"&amp;Table_DataFromNL[[#This Row],[RULENAME]]</f>
        <v>CP570-2X Week P NSP NS AP</v>
      </c>
      <c r="M1797" t="str">
        <f t="shared" si="201"/>
        <v>CP570-RETURN - 2nd don of the week -BONUS</v>
      </c>
    </row>
    <row r="1798" spans="1:13" x14ac:dyDescent="0.25">
      <c r="A1798" t="str">
        <f t="shared" si="202"/>
        <v>CP570-RETURN - 8th don of the month -BONUS</v>
      </c>
      <c r="B1798" t="s">
        <v>165</v>
      </c>
      <c r="C1798" t="str">
        <f t="shared" si="196"/>
        <v>Las Vegas</v>
      </c>
      <c r="D1798" t="str">
        <f t="shared" si="197"/>
        <v>Y</v>
      </c>
      <c r="E1798" t="s">
        <v>640</v>
      </c>
      <c r="F1798" t="str">
        <f t="shared" si="198"/>
        <v>RETURN - 8th don of the month -BONUS</v>
      </c>
      <c r="G1798" t="str">
        <f t="shared" si="199"/>
        <v>Marketing</v>
      </c>
      <c r="H1798" t="s">
        <v>641</v>
      </c>
      <c r="I1798">
        <f t="shared" si="200"/>
        <v>30</v>
      </c>
      <c r="J1798" t="s">
        <v>546</v>
      </c>
      <c r="K1798" s="5">
        <v>25</v>
      </c>
      <c r="L1798" t="str">
        <f>Table_DataFromNL[[#This Row],[PROFILECODE]]&amp;"-"&amp;Table_DataFromNL[[#This Row],[RULENAME]]</f>
        <v>CP570-8X Month</v>
      </c>
      <c r="M1798" t="str">
        <f t="shared" si="201"/>
        <v>CP570-RETURN - 8th don of the month -BONUS</v>
      </c>
    </row>
    <row r="1799" spans="1:13" x14ac:dyDescent="0.25">
      <c r="A1799" t="str">
        <f t="shared" si="202"/>
        <v>CP570-College ID Standard Bonus</v>
      </c>
      <c r="B1799" t="s">
        <v>165</v>
      </c>
      <c r="C1799" t="str">
        <f t="shared" si="196"/>
        <v>Las Vegas</v>
      </c>
      <c r="D1799" t="str">
        <f t="shared" si="197"/>
        <v>Y</v>
      </c>
      <c r="E1799" t="s">
        <v>640</v>
      </c>
      <c r="F1799" t="str">
        <f t="shared" si="198"/>
        <v>College ID Standard Bonus</v>
      </c>
      <c r="G1799">
        <f t="shared" si="199"/>
        <v>0</v>
      </c>
      <c r="H1799" t="s">
        <v>553</v>
      </c>
      <c r="I1799">
        <f t="shared" si="200"/>
        <v>0</v>
      </c>
      <c r="J1799" t="s">
        <v>546</v>
      </c>
      <c r="K1799" s="5">
        <v>5</v>
      </c>
      <c r="L1799" t="str">
        <f>Table_DataFromNL[[#This Row],[PROFILECODE]]&amp;"-"&amp;Table_DataFromNL[[#This Row],[RULENAME]]</f>
        <v>CP570-College ID Standard Bonus</v>
      </c>
      <c r="M1799" t="e">
        <f t="shared" si="201"/>
        <v>#N/A</v>
      </c>
    </row>
    <row r="1800" spans="1:13" x14ac:dyDescent="0.25">
      <c r="A1800" t="str">
        <f t="shared" si="202"/>
        <v>CP570-Military ID</v>
      </c>
      <c r="B1800" t="s">
        <v>165</v>
      </c>
      <c r="C1800" t="str">
        <f t="shared" si="196"/>
        <v>Las Vegas</v>
      </c>
      <c r="D1800" t="str">
        <f t="shared" si="197"/>
        <v>Y</v>
      </c>
      <c r="E1800" t="s">
        <v>640</v>
      </c>
      <c r="F1800" t="str">
        <f t="shared" si="198"/>
        <v>Military ID</v>
      </c>
      <c r="G1800">
        <f t="shared" si="199"/>
        <v>0</v>
      </c>
      <c r="H1800" t="s">
        <v>554</v>
      </c>
      <c r="I1800">
        <f t="shared" si="200"/>
        <v>0</v>
      </c>
      <c r="J1800" t="s">
        <v>546</v>
      </c>
      <c r="K1800" s="5">
        <v>5</v>
      </c>
      <c r="L1800" t="str">
        <f>Table_DataFromNL[[#This Row],[PROFILECODE]]&amp;"-"&amp;Table_DataFromNL[[#This Row],[RULENAME]]</f>
        <v>CP570-Military ID</v>
      </c>
      <c r="M1800" t="e">
        <f t="shared" si="201"/>
        <v>#N/A</v>
      </c>
    </row>
    <row r="1801" spans="1:13" x14ac:dyDescent="0.25">
      <c r="A1801" t="str">
        <f t="shared" si="202"/>
        <v>CP570-NEW DONOR -1st</v>
      </c>
      <c r="B1801" t="s">
        <v>165</v>
      </c>
      <c r="C1801" t="str">
        <f t="shared" si="196"/>
        <v>Las Vegas</v>
      </c>
      <c r="D1801" t="str">
        <f t="shared" si="197"/>
        <v>Y</v>
      </c>
      <c r="E1801" t="s">
        <v>640</v>
      </c>
      <c r="F1801" t="str">
        <f t="shared" si="198"/>
        <v>NEW DONOR -1st</v>
      </c>
      <c r="G1801" t="str">
        <f t="shared" si="199"/>
        <v>Marketing</v>
      </c>
      <c r="H1801" t="s">
        <v>555</v>
      </c>
      <c r="I1801">
        <f t="shared" si="200"/>
        <v>1</v>
      </c>
      <c r="J1801" t="s">
        <v>546</v>
      </c>
      <c r="K1801" s="5">
        <v>100</v>
      </c>
      <c r="L1801" t="str">
        <f>Table_DataFromNL[[#This Row],[PROFILECODE]]&amp;"-"&amp;Table_DataFromNL[[#This Row],[RULENAME]]</f>
        <v>CP570-New Donor 1st Visit-Bonus</v>
      </c>
      <c r="M1801" t="str">
        <f t="shared" si="201"/>
        <v>CP570-NEW DONOR -1st</v>
      </c>
    </row>
    <row r="1802" spans="1:13" x14ac:dyDescent="0.25">
      <c r="A1802" t="str">
        <f t="shared" si="202"/>
        <v>CP570-NEW DONOR -2nd</v>
      </c>
      <c r="B1802" t="s">
        <v>165</v>
      </c>
      <c r="C1802" t="str">
        <f t="shared" si="196"/>
        <v>Las Vegas</v>
      </c>
      <c r="D1802" t="str">
        <f t="shared" si="197"/>
        <v>Y</v>
      </c>
      <c r="E1802" t="s">
        <v>640</v>
      </c>
      <c r="F1802" t="str">
        <f t="shared" si="198"/>
        <v>NEW DONOR -2nd</v>
      </c>
      <c r="G1802" t="str">
        <f t="shared" si="199"/>
        <v>Marketing</v>
      </c>
      <c r="H1802" t="s">
        <v>556</v>
      </c>
      <c r="I1802">
        <f t="shared" si="200"/>
        <v>2</v>
      </c>
      <c r="J1802" t="s">
        <v>546</v>
      </c>
      <c r="K1802" s="5">
        <v>100</v>
      </c>
      <c r="L1802" t="str">
        <f>Table_DataFromNL[[#This Row],[PROFILECODE]]&amp;"-"&amp;Table_DataFromNL[[#This Row],[RULENAME]]</f>
        <v>CP570-New Donor 2nd Visit-Bonus</v>
      </c>
      <c r="M1802" t="str">
        <f t="shared" si="201"/>
        <v>CP570-NEW DONOR -2nd</v>
      </c>
    </row>
    <row r="1803" spans="1:13" x14ac:dyDescent="0.25">
      <c r="A1803" t="str">
        <f t="shared" si="202"/>
        <v>CP570-NEW DONOR -3rd</v>
      </c>
      <c r="B1803" t="s">
        <v>165</v>
      </c>
      <c r="C1803" t="str">
        <f t="shared" si="196"/>
        <v>Las Vegas</v>
      </c>
      <c r="D1803" t="str">
        <f t="shared" si="197"/>
        <v>Y</v>
      </c>
      <c r="E1803" t="s">
        <v>640</v>
      </c>
      <c r="F1803" t="str">
        <f t="shared" si="198"/>
        <v>NEW DONOR -3rd</v>
      </c>
      <c r="G1803" t="str">
        <f t="shared" si="199"/>
        <v>Marketing</v>
      </c>
      <c r="H1803" t="s">
        <v>557</v>
      </c>
      <c r="I1803">
        <f t="shared" si="200"/>
        <v>3</v>
      </c>
      <c r="J1803" t="s">
        <v>546</v>
      </c>
      <c r="K1803" s="5">
        <v>100</v>
      </c>
      <c r="L1803" t="str">
        <f>Table_DataFromNL[[#This Row],[PROFILECODE]]&amp;"-"&amp;Table_DataFromNL[[#This Row],[RULENAME]]</f>
        <v>CP570-New Donor 3rd Visit-Bonus</v>
      </c>
      <c r="M1803" t="str">
        <f t="shared" si="201"/>
        <v>CP570-NEW DONOR -3rd</v>
      </c>
    </row>
    <row r="1804" spans="1:13" x14ac:dyDescent="0.25">
      <c r="A1804" t="str">
        <f t="shared" si="202"/>
        <v>CP570-NEW DONOR -4th</v>
      </c>
      <c r="B1804" t="s">
        <v>165</v>
      </c>
      <c r="C1804" t="str">
        <f t="shared" si="196"/>
        <v>Las Vegas</v>
      </c>
      <c r="D1804" t="str">
        <f t="shared" si="197"/>
        <v>Y</v>
      </c>
      <c r="E1804" t="s">
        <v>640</v>
      </c>
      <c r="F1804" t="str">
        <f t="shared" si="198"/>
        <v>NEW DONOR -4th</v>
      </c>
      <c r="G1804" t="str">
        <f t="shared" si="199"/>
        <v>Marketing</v>
      </c>
      <c r="H1804" t="s">
        <v>558</v>
      </c>
      <c r="I1804">
        <f t="shared" si="200"/>
        <v>4</v>
      </c>
      <c r="J1804" t="s">
        <v>546</v>
      </c>
      <c r="K1804" s="5">
        <v>100</v>
      </c>
      <c r="L1804" t="str">
        <f>Table_DataFromNL[[#This Row],[PROFILECODE]]&amp;"-"&amp;Table_DataFromNL[[#This Row],[RULENAME]]</f>
        <v>CP570-New Donor 4th Visit-Bonus</v>
      </c>
      <c r="M1804" t="str">
        <f t="shared" si="201"/>
        <v>CP570-NEW DONOR -4th</v>
      </c>
    </row>
    <row r="1805" spans="1:13" x14ac:dyDescent="0.25">
      <c r="A1805" t="str">
        <f t="shared" si="202"/>
        <v>CP570-NEW DONOR -5th</v>
      </c>
      <c r="B1805" t="s">
        <v>165</v>
      </c>
      <c r="C1805" t="str">
        <f t="shared" si="196"/>
        <v>Las Vegas</v>
      </c>
      <c r="D1805" t="str">
        <f t="shared" si="197"/>
        <v>Y</v>
      </c>
      <c r="E1805" t="s">
        <v>640</v>
      </c>
      <c r="F1805" t="str">
        <f t="shared" si="198"/>
        <v>NEW DONOR -5th</v>
      </c>
      <c r="G1805" t="str">
        <f t="shared" si="199"/>
        <v>Marketing</v>
      </c>
      <c r="H1805" t="s">
        <v>559</v>
      </c>
      <c r="I1805">
        <f t="shared" si="200"/>
        <v>5</v>
      </c>
      <c r="J1805" t="s">
        <v>546</v>
      </c>
      <c r="K1805" s="5">
        <v>50</v>
      </c>
      <c r="L1805" t="str">
        <f>Table_DataFromNL[[#This Row],[PROFILECODE]]&amp;"-"&amp;Table_DataFromNL[[#This Row],[RULENAME]]</f>
        <v>CP570-New Donor 5th Visit-Bonus</v>
      </c>
      <c r="M1805" t="str">
        <f t="shared" si="201"/>
        <v>CP570-NEW DONOR -5th</v>
      </c>
    </row>
    <row r="1806" spans="1:13" x14ac:dyDescent="0.25">
      <c r="A1806" t="str">
        <f t="shared" si="202"/>
        <v>CP570-NEW DONOR -6th</v>
      </c>
      <c r="B1806" t="s">
        <v>165</v>
      </c>
      <c r="C1806" t="str">
        <f t="shared" si="196"/>
        <v>Las Vegas</v>
      </c>
      <c r="D1806" t="str">
        <f t="shared" si="197"/>
        <v>Y</v>
      </c>
      <c r="E1806" t="s">
        <v>640</v>
      </c>
      <c r="F1806" t="str">
        <f t="shared" si="198"/>
        <v>NEW DONOR -6th</v>
      </c>
      <c r="G1806" t="str">
        <f t="shared" si="199"/>
        <v>Marketing</v>
      </c>
      <c r="H1806" t="s">
        <v>560</v>
      </c>
      <c r="I1806">
        <f t="shared" si="200"/>
        <v>6</v>
      </c>
      <c r="J1806" t="s">
        <v>546</v>
      </c>
      <c r="K1806" s="5">
        <v>50</v>
      </c>
      <c r="L1806" t="str">
        <f>Table_DataFromNL[[#This Row],[PROFILECODE]]&amp;"-"&amp;Table_DataFromNL[[#This Row],[RULENAME]]</f>
        <v>CP570-New Donor 6th Visit-Bonus</v>
      </c>
      <c r="M1806" t="str">
        <f t="shared" si="201"/>
        <v>CP570-NEW DONOR -6th</v>
      </c>
    </row>
    <row r="1807" spans="1:13" x14ac:dyDescent="0.25">
      <c r="A1807" t="str">
        <f t="shared" si="202"/>
        <v>CP570-NEW DONOR -7th</v>
      </c>
      <c r="B1807" t="s">
        <v>165</v>
      </c>
      <c r="C1807" t="str">
        <f t="shared" si="196"/>
        <v>Las Vegas</v>
      </c>
      <c r="D1807" t="str">
        <f t="shared" si="197"/>
        <v>Y</v>
      </c>
      <c r="E1807" t="s">
        <v>640</v>
      </c>
      <c r="F1807" t="str">
        <f t="shared" si="198"/>
        <v>NEW DONOR -7th</v>
      </c>
      <c r="G1807" t="str">
        <f t="shared" si="199"/>
        <v>Marketing</v>
      </c>
      <c r="H1807" t="s">
        <v>561</v>
      </c>
      <c r="I1807">
        <f t="shared" si="200"/>
        <v>7</v>
      </c>
      <c r="J1807" t="s">
        <v>546</v>
      </c>
      <c r="K1807" s="5">
        <v>50</v>
      </c>
      <c r="L1807" t="str">
        <f>Table_DataFromNL[[#This Row],[PROFILECODE]]&amp;"-"&amp;Table_DataFromNL[[#This Row],[RULENAME]]</f>
        <v>CP570-New Donor 7th Visit-Bonus</v>
      </c>
      <c r="M1807" t="str">
        <f t="shared" si="201"/>
        <v>CP570-NEW DONOR -7th</v>
      </c>
    </row>
    <row r="1808" spans="1:13" x14ac:dyDescent="0.25">
      <c r="A1808" t="str">
        <f t="shared" si="202"/>
        <v>CP570-NEW DONOR -8th</v>
      </c>
      <c r="B1808" t="s">
        <v>165</v>
      </c>
      <c r="C1808" t="str">
        <f t="shared" si="196"/>
        <v>Las Vegas</v>
      </c>
      <c r="D1808" t="str">
        <f t="shared" si="197"/>
        <v>Y</v>
      </c>
      <c r="E1808" t="s">
        <v>640</v>
      </c>
      <c r="F1808" t="str">
        <f t="shared" si="198"/>
        <v>NEW DONOR -8th</v>
      </c>
      <c r="G1808" t="str">
        <f t="shared" si="199"/>
        <v>Marketing</v>
      </c>
      <c r="H1808" t="s">
        <v>562</v>
      </c>
      <c r="I1808">
        <f t="shared" si="200"/>
        <v>8</v>
      </c>
      <c r="J1808" t="s">
        <v>546</v>
      </c>
      <c r="K1808" s="5">
        <v>50</v>
      </c>
      <c r="L1808" t="str">
        <f>Table_DataFromNL[[#This Row],[PROFILECODE]]&amp;"-"&amp;Table_DataFromNL[[#This Row],[RULENAME]]</f>
        <v>CP570-New Donor 8th Visit-Bonus</v>
      </c>
      <c r="M1808" t="str">
        <f t="shared" si="201"/>
        <v>CP570-NEW DONOR -8th</v>
      </c>
    </row>
    <row r="1809" spans="1:13" x14ac:dyDescent="0.25">
      <c r="A1809" t="str">
        <f t="shared" si="202"/>
        <v>CP570-Community</v>
      </c>
      <c r="B1809" t="s">
        <v>165</v>
      </c>
      <c r="C1809" t="str">
        <f t="shared" si="196"/>
        <v>Las Vegas</v>
      </c>
      <c r="D1809" t="str">
        <f t="shared" si="197"/>
        <v>Y</v>
      </c>
      <c r="E1809" t="s">
        <v>640</v>
      </c>
      <c r="F1809" t="str">
        <f t="shared" si="198"/>
        <v>Community</v>
      </c>
      <c r="G1809">
        <f t="shared" si="199"/>
        <v>0</v>
      </c>
      <c r="H1809" t="s">
        <v>563</v>
      </c>
      <c r="I1809">
        <f t="shared" si="200"/>
        <v>0</v>
      </c>
      <c r="J1809" t="s">
        <v>564</v>
      </c>
      <c r="K1809" s="5">
        <v>5</v>
      </c>
      <c r="L1809" t="str">
        <f>Table_DataFromNL[[#This Row],[PROFILECODE]]&amp;"-"&amp;Table_DataFromNL[[#This Row],[RULENAME]]</f>
        <v>CP570-Community</v>
      </c>
      <c r="M1809" t="e">
        <f t="shared" si="201"/>
        <v>#N/A</v>
      </c>
    </row>
    <row r="1810" spans="1:13" x14ac:dyDescent="0.25">
      <c r="A1810" t="str">
        <f t="shared" si="202"/>
        <v>CP570-HANGER_RECRUIT_5USD_once</v>
      </c>
      <c r="B1810" t="s">
        <v>165</v>
      </c>
      <c r="C1810" t="str">
        <f t="shared" si="196"/>
        <v>Las Vegas</v>
      </c>
      <c r="D1810" t="str">
        <f t="shared" si="197"/>
        <v>Y</v>
      </c>
      <c r="E1810" t="s">
        <v>640</v>
      </c>
      <c r="F1810" t="str">
        <f t="shared" si="198"/>
        <v>HANGER_RECRUIT_5USD_once</v>
      </c>
      <c r="G1810">
        <f t="shared" si="199"/>
        <v>0</v>
      </c>
      <c r="H1810" t="s">
        <v>565</v>
      </c>
      <c r="I1810">
        <f t="shared" si="200"/>
        <v>0</v>
      </c>
      <c r="J1810" t="s">
        <v>564</v>
      </c>
      <c r="K1810" s="5">
        <v>5</v>
      </c>
      <c r="L1810" t="str">
        <f>Table_DataFromNL[[#This Row],[PROFILECODE]]&amp;"-"&amp;Table_DataFromNL[[#This Row],[RULENAME]]</f>
        <v>CP570-HANGER_RECRUIT_5USD_once</v>
      </c>
      <c r="M1810" t="e">
        <f t="shared" si="201"/>
        <v>#N/A</v>
      </c>
    </row>
    <row r="1811" spans="1:13" x14ac:dyDescent="0.25">
      <c r="A1811" t="str">
        <f t="shared" si="202"/>
        <v>CP570-Inconv Fee $20-$50-Comment Req'd</v>
      </c>
      <c r="B1811" t="s">
        <v>165</v>
      </c>
      <c r="C1811" t="str">
        <f t="shared" si="196"/>
        <v>Las Vegas</v>
      </c>
      <c r="D1811" t="str">
        <f t="shared" si="197"/>
        <v>Y</v>
      </c>
      <c r="E1811" t="s">
        <v>640</v>
      </c>
      <c r="F1811" t="str">
        <f t="shared" si="198"/>
        <v>Inconv Fee $20-$50-Comment Req'd</v>
      </c>
      <c r="G1811">
        <f t="shared" si="199"/>
        <v>0</v>
      </c>
      <c r="H1811" t="s">
        <v>566</v>
      </c>
      <c r="I1811">
        <f t="shared" si="200"/>
        <v>0</v>
      </c>
      <c r="J1811" t="s">
        <v>564</v>
      </c>
      <c r="K1811" s="5">
        <v>50</v>
      </c>
      <c r="L1811" t="str">
        <f>Table_DataFromNL[[#This Row],[PROFILECODE]]&amp;"-"&amp;Table_DataFromNL[[#This Row],[RULENAME]]</f>
        <v>CP570-Inconv Fee $20-$50-Comment Req'd</v>
      </c>
      <c r="M1811" t="e">
        <f t="shared" si="201"/>
        <v>#N/A</v>
      </c>
    </row>
    <row r="1812" spans="1:13" x14ac:dyDescent="0.25">
      <c r="A1812" t="str">
        <f t="shared" si="202"/>
        <v>CP570-Inconv Fee $5-$20-Comment Req'd</v>
      </c>
      <c r="B1812" t="s">
        <v>165</v>
      </c>
      <c r="C1812" t="str">
        <f t="shared" si="196"/>
        <v>Las Vegas</v>
      </c>
      <c r="D1812" t="str">
        <f t="shared" si="197"/>
        <v>Y</v>
      </c>
      <c r="E1812" t="s">
        <v>640</v>
      </c>
      <c r="F1812" t="str">
        <f t="shared" si="198"/>
        <v>Inconv Fee $5-$20-Comment Req'd</v>
      </c>
      <c r="G1812">
        <f t="shared" si="199"/>
        <v>0</v>
      </c>
      <c r="H1812" t="s">
        <v>567</v>
      </c>
      <c r="I1812">
        <f t="shared" si="200"/>
        <v>0</v>
      </c>
      <c r="J1812" t="s">
        <v>564</v>
      </c>
      <c r="K1812" s="5">
        <v>20</v>
      </c>
      <c r="L1812" t="str">
        <f>Table_DataFromNL[[#This Row],[PROFILECODE]]&amp;"-"&amp;Table_DataFromNL[[#This Row],[RULENAME]]</f>
        <v>CP570-Inconv Fee $5-$20-Comment Req'd</v>
      </c>
      <c r="M1812" t="e">
        <f t="shared" si="201"/>
        <v>#N/A</v>
      </c>
    </row>
    <row r="1813" spans="1:13" x14ac:dyDescent="0.25">
      <c r="A1813" t="str">
        <f t="shared" si="202"/>
        <v>CP570-Inconv Fee$50-$100-Comment Req'd</v>
      </c>
      <c r="B1813" t="s">
        <v>165</v>
      </c>
      <c r="C1813" t="str">
        <f t="shared" si="196"/>
        <v>Las Vegas</v>
      </c>
      <c r="D1813" t="str">
        <f t="shared" si="197"/>
        <v>Y</v>
      </c>
      <c r="E1813" t="s">
        <v>640</v>
      </c>
      <c r="F1813" t="str">
        <f t="shared" si="198"/>
        <v>Inconv Fee$50-$100-Comment Req'd</v>
      </c>
      <c r="G1813">
        <f t="shared" si="199"/>
        <v>0</v>
      </c>
      <c r="H1813" t="s">
        <v>568</v>
      </c>
      <c r="I1813">
        <f t="shared" si="200"/>
        <v>0</v>
      </c>
      <c r="J1813" t="s">
        <v>564</v>
      </c>
      <c r="K1813" s="5">
        <v>100</v>
      </c>
      <c r="L1813" t="str">
        <f>Table_DataFromNL[[#This Row],[PROFILECODE]]&amp;"-"&amp;Table_DataFromNL[[#This Row],[RULENAME]]</f>
        <v>CP570-Inconv Fee$50-$100-Comment Req'd</v>
      </c>
      <c r="M1813" t="e">
        <f t="shared" si="201"/>
        <v>#N/A</v>
      </c>
    </row>
    <row r="1814" spans="1:13" x14ac:dyDescent="0.25">
      <c r="A1814" t="str">
        <f t="shared" si="202"/>
        <v>CP570-NSP_ LAPSEDONOR_50_Twice</v>
      </c>
      <c r="B1814" t="s">
        <v>165</v>
      </c>
      <c r="C1814" t="str">
        <f t="shared" si="196"/>
        <v>Las Vegas</v>
      </c>
      <c r="D1814" t="str">
        <f t="shared" si="197"/>
        <v>Y</v>
      </c>
      <c r="E1814" t="s">
        <v>640</v>
      </c>
      <c r="F1814" t="str">
        <f t="shared" si="198"/>
        <v>NSP_ LAPSEDONOR_50_Twice</v>
      </c>
      <c r="G1814">
        <f t="shared" si="199"/>
        <v>0</v>
      </c>
      <c r="H1814" t="s">
        <v>569</v>
      </c>
      <c r="I1814">
        <f t="shared" si="200"/>
        <v>0</v>
      </c>
      <c r="J1814" t="s">
        <v>564</v>
      </c>
      <c r="K1814" s="5">
        <v>50</v>
      </c>
      <c r="L1814" t="str">
        <f>Table_DataFromNL[[#This Row],[PROFILECODE]]&amp;"-"&amp;Table_DataFromNL[[#This Row],[RULENAME]]</f>
        <v>CP570-NSP_ LAPSEDONOR_50_Twice</v>
      </c>
      <c r="M1814" t="e">
        <f t="shared" si="201"/>
        <v>#N/A</v>
      </c>
    </row>
    <row r="1815" spans="1:13" x14ac:dyDescent="0.25">
      <c r="A1815" t="str">
        <f t="shared" si="202"/>
        <v>CP570-NSP_LD_25_2X</v>
      </c>
      <c r="B1815" t="s">
        <v>165</v>
      </c>
      <c r="C1815" t="str">
        <f t="shared" si="196"/>
        <v>Las Vegas</v>
      </c>
      <c r="D1815" t="str">
        <f t="shared" si="197"/>
        <v>Y</v>
      </c>
      <c r="E1815" t="s">
        <v>640</v>
      </c>
      <c r="F1815" t="str">
        <f t="shared" si="198"/>
        <v>NSP_LD_25_2X</v>
      </c>
      <c r="G1815">
        <f t="shared" si="199"/>
        <v>0</v>
      </c>
      <c r="H1815" t="s">
        <v>570</v>
      </c>
      <c r="I1815">
        <f t="shared" si="200"/>
        <v>0</v>
      </c>
      <c r="J1815" t="s">
        <v>564</v>
      </c>
      <c r="K1815" s="5">
        <v>25</v>
      </c>
      <c r="L1815" t="str">
        <f>Table_DataFromNL[[#This Row],[PROFILECODE]]&amp;"-"&amp;Table_DataFromNL[[#This Row],[RULENAME]]</f>
        <v>CP570-NSP_LD_25_2X</v>
      </c>
      <c r="M1815" t="e">
        <f t="shared" si="201"/>
        <v>#N/A</v>
      </c>
    </row>
    <row r="1816" spans="1:13" x14ac:dyDescent="0.25">
      <c r="A1816" t="str">
        <f t="shared" si="202"/>
        <v>CP570-NSP_LD_50_1X</v>
      </c>
      <c r="B1816" t="s">
        <v>165</v>
      </c>
      <c r="C1816" t="str">
        <f t="shared" si="196"/>
        <v>Las Vegas</v>
      </c>
      <c r="D1816" t="str">
        <f t="shared" si="197"/>
        <v>Y</v>
      </c>
      <c r="E1816" t="s">
        <v>640</v>
      </c>
      <c r="F1816" t="str">
        <f t="shared" si="198"/>
        <v>NSP_LD_50_1X</v>
      </c>
      <c r="G1816">
        <f t="shared" si="199"/>
        <v>0</v>
      </c>
      <c r="H1816" t="s">
        <v>571</v>
      </c>
      <c r="I1816">
        <f t="shared" si="200"/>
        <v>0</v>
      </c>
      <c r="J1816" t="s">
        <v>564</v>
      </c>
      <c r="K1816" s="5">
        <v>50</v>
      </c>
      <c r="L1816" t="str">
        <f>Table_DataFromNL[[#This Row],[PROFILECODE]]&amp;"-"&amp;Table_DataFromNL[[#This Row],[RULENAME]]</f>
        <v>CP570-NSP_LD_50_1X</v>
      </c>
      <c r="M1816" t="e">
        <f t="shared" si="201"/>
        <v>#N/A</v>
      </c>
    </row>
    <row r="1817" spans="1:13" x14ac:dyDescent="0.25">
      <c r="A1817" t="str">
        <f t="shared" si="202"/>
        <v>CP570-NSP_ORPHAN_100_once</v>
      </c>
      <c r="B1817" t="s">
        <v>165</v>
      </c>
      <c r="C1817" t="str">
        <f t="shared" si="196"/>
        <v>Las Vegas</v>
      </c>
      <c r="D1817" t="str">
        <f t="shared" si="197"/>
        <v>Y</v>
      </c>
      <c r="E1817" t="s">
        <v>640</v>
      </c>
      <c r="F1817" t="str">
        <f t="shared" si="198"/>
        <v>NSP_ORPHAN_100_once</v>
      </c>
      <c r="G1817">
        <f t="shared" si="199"/>
        <v>0</v>
      </c>
      <c r="H1817" t="s">
        <v>572</v>
      </c>
      <c r="I1817">
        <f t="shared" si="200"/>
        <v>0</v>
      </c>
      <c r="J1817" t="s">
        <v>564</v>
      </c>
      <c r="K1817" s="5">
        <v>100</v>
      </c>
      <c r="L1817" t="str">
        <f>Table_DataFromNL[[#This Row],[PROFILECODE]]&amp;"-"&amp;Table_DataFromNL[[#This Row],[RULENAME]]</f>
        <v>CP570-NSP_ORPHAN_100_once</v>
      </c>
      <c r="M1817" t="e">
        <f t="shared" si="201"/>
        <v>#N/A</v>
      </c>
    </row>
    <row r="1818" spans="1:13" x14ac:dyDescent="0.25">
      <c r="A1818" t="str">
        <f t="shared" si="202"/>
        <v>CP570-Restick</v>
      </c>
      <c r="B1818" t="s">
        <v>165</v>
      </c>
      <c r="C1818" t="str">
        <f t="shared" si="196"/>
        <v>Las Vegas</v>
      </c>
      <c r="D1818" t="str">
        <f t="shared" si="197"/>
        <v>Y</v>
      </c>
      <c r="E1818" t="s">
        <v>640</v>
      </c>
      <c r="F1818" t="str">
        <f t="shared" si="198"/>
        <v>Restick</v>
      </c>
      <c r="G1818">
        <f t="shared" si="199"/>
        <v>0</v>
      </c>
      <c r="H1818" t="s">
        <v>573</v>
      </c>
      <c r="I1818">
        <f t="shared" si="200"/>
        <v>0</v>
      </c>
      <c r="J1818" t="s">
        <v>564</v>
      </c>
      <c r="K1818" s="5">
        <v>5</v>
      </c>
      <c r="L1818" t="str">
        <f>Table_DataFromNL[[#This Row],[PROFILECODE]]&amp;"-"&amp;Table_DataFromNL[[#This Row],[RULENAME]]</f>
        <v>CP570-Restick</v>
      </c>
      <c r="M1818" t="e">
        <f t="shared" si="201"/>
        <v>#N/A</v>
      </c>
    </row>
    <row r="1819" spans="1:13" x14ac:dyDescent="0.25">
      <c r="A1819" t="str">
        <f t="shared" si="202"/>
        <v>CP570-SLOW_TEXT_5</v>
      </c>
      <c r="B1819" t="s">
        <v>165</v>
      </c>
      <c r="C1819" t="str">
        <f t="shared" si="196"/>
        <v>Las Vegas</v>
      </c>
      <c r="D1819" t="str">
        <f t="shared" si="197"/>
        <v>Y</v>
      </c>
      <c r="E1819" t="s">
        <v>640</v>
      </c>
      <c r="F1819" t="str">
        <f t="shared" si="198"/>
        <v>SLOW_TEXT_5</v>
      </c>
      <c r="G1819">
        <f t="shared" si="199"/>
        <v>0</v>
      </c>
      <c r="H1819" t="s">
        <v>574</v>
      </c>
      <c r="I1819">
        <f t="shared" si="200"/>
        <v>0</v>
      </c>
      <c r="J1819" t="s">
        <v>564</v>
      </c>
      <c r="K1819" s="5">
        <v>5</v>
      </c>
      <c r="L1819" t="str">
        <f>Table_DataFromNL[[#This Row],[PROFILECODE]]&amp;"-"&amp;Table_DataFromNL[[#This Row],[RULENAME]]</f>
        <v>CP570-SLOW_TEXT_5</v>
      </c>
      <c r="M1819" t="e">
        <f t="shared" si="201"/>
        <v>#N/A</v>
      </c>
    </row>
    <row r="1820" spans="1:13" x14ac:dyDescent="0.25">
      <c r="A1820" t="str">
        <f t="shared" si="202"/>
        <v>CP570-Sample Only</v>
      </c>
      <c r="B1820" t="s">
        <v>165</v>
      </c>
      <c r="C1820" t="str">
        <f t="shared" si="196"/>
        <v>Las Vegas</v>
      </c>
      <c r="D1820" t="str">
        <f t="shared" si="197"/>
        <v>Y</v>
      </c>
      <c r="E1820" t="s">
        <v>640</v>
      </c>
      <c r="F1820" t="str">
        <f t="shared" si="198"/>
        <v>Sample Only</v>
      </c>
      <c r="G1820">
        <f t="shared" si="199"/>
        <v>0</v>
      </c>
      <c r="H1820" t="s">
        <v>575</v>
      </c>
      <c r="I1820">
        <f t="shared" si="200"/>
        <v>0</v>
      </c>
      <c r="J1820" t="s">
        <v>564</v>
      </c>
      <c r="K1820" s="5">
        <v>5</v>
      </c>
      <c r="L1820" t="str">
        <f>Table_DataFromNL[[#This Row],[PROFILECODE]]&amp;"-"&amp;Table_DataFromNL[[#This Row],[RULENAME]]</f>
        <v>CP570-Sample Only</v>
      </c>
      <c r="M1820" t="e">
        <f t="shared" si="201"/>
        <v>#N/A</v>
      </c>
    </row>
    <row r="1821" spans="1:13" x14ac:dyDescent="0.25">
      <c r="A1821" t="str">
        <f t="shared" si="202"/>
        <v>CP570-Unit Below 250 mL</v>
      </c>
      <c r="B1821" t="s">
        <v>165</v>
      </c>
      <c r="C1821" t="str">
        <f t="shared" si="196"/>
        <v>Las Vegas</v>
      </c>
      <c r="D1821" t="str">
        <f t="shared" si="197"/>
        <v>Y</v>
      </c>
      <c r="E1821" t="s">
        <v>640</v>
      </c>
      <c r="F1821" t="str">
        <f t="shared" si="198"/>
        <v>Unit Below 250 mL</v>
      </c>
      <c r="G1821">
        <f t="shared" si="199"/>
        <v>0</v>
      </c>
      <c r="H1821" t="s">
        <v>576</v>
      </c>
      <c r="I1821">
        <f t="shared" si="200"/>
        <v>0</v>
      </c>
      <c r="J1821" t="s">
        <v>564</v>
      </c>
      <c r="K1821" s="5">
        <v>5</v>
      </c>
      <c r="L1821" t="str">
        <f>Table_DataFromNL[[#This Row],[PROFILECODE]]&amp;"-"&amp;Table_DataFromNL[[#This Row],[RULENAME]]</f>
        <v>CP570-Unit Below 250 mL</v>
      </c>
      <c r="M1821" t="e">
        <f t="shared" si="201"/>
        <v>#N/A</v>
      </c>
    </row>
    <row r="1822" spans="1:13" x14ac:dyDescent="0.25">
      <c r="A1822" t="str">
        <f t="shared" si="202"/>
        <v>CP570-Unit above 250 mL/underdraw</v>
      </c>
      <c r="B1822" t="s">
        <v>165</v>
      </c>
      <c r="C1822" t="str">
        <f t="shared" si="196"/>
        <v>Las Vegas</v>
      </c>
      <c r="D1822" t="str">
        <f t="shared" si="197"/>
        <v>Y</v>
      </c>
      <c r="E1822" t="s">
        <v>640</v>
      </c>
      <c r="F1822" t="str">
        <f t="shared" si="198"/>
        <v>Unit above 250 mL/underdraw</v>
      </c>
      <c r="G1822">
        <f t="shared" si="199"/>
        <v>0</v>
      </c>
      <c r="H1822" t="s">
        <v>577</v>
      </c>
      <c r="I1822">
        <f t="shared" si="200"/>
        <v>0</v>
      </c>
      <c r="J1822" t="s">
        <v>564</v>
      </c>
      <c r="K1822" s="5">
        <v>10</v>
      </c>
      <c r="L1822" t="str">
        <f>Table_DataFromNL[[#This Row],[PROFILECODE]]&amp;"-"&amp;Table_DataFromNL[[#This Row],[RULENAME]]</f>
        <v>CP570-Unit above 250 mL/underdraw</v>
      </c>
      <c r="M1822" t="e">
        <f t="shared" si="201"/>
        <v>#N/A</v>
      </c>
    </row>
    <row r="1823" spans="1:13" x14ac:dyDescent="0.25">
      <c r="A1823" t="str">
        <f t="shared" si="202"/>
        <v>CP570-RETURN - Buddy referral  -BONUS</v>
      </c>
      <c r="B1823" t="s">
        <v>165</v>
      </c>
      <c r="C1823" t="str">
        <f t="shared" si="196"/>
        <v>Las Vegas</v>
      </c>
      <c r="D1823" t="str">
        <f t="shared" si="197"/>
        <v>Y</v>
      </c>
      <c r="E1823" t="s">
        <v>640</v>
      </c>
      <c r="F1823" t="str">
        <f t="shared" si="198"/>
        <v>RETURN - Buddy referral  -BONUS</v>
      </c>
      <c r="G1823" t="str">
        <f t="shared" si="199"/>
        <v>Marketing</v>
      </c>
      <c r="H1823" t="s">
        <v>34</v>
      </c>
      <c r="I1823">
        <f t="shared" si="200"/>
        <v>50</v>
      </c>
      <c r="J1823" t="s">
        <v>578</v>
      </c>
      <c r="K1823" s="5">
        <v>50</v>
      </c>
      <c r="L1823" t="str">
        <f>Table_DataFromNL[[#This Row],[PROFILECODE]]&amp;"-"&amp;Table_DataFromNL[[#This Row],[RULENAME]]</f>
        <v>CP570-Referral</v>
      </c>
      <c r="M1823" t="str">
        <f t="shared" si="201"/>
        <v>CP570-RETURN - Buddy referral  -BONUS</v>
      </c>
    </row>
    <row r="1824" spans="1:13" x14ac:dyDescent="0.25">
      <c r="A1824" t="str">
        <f t="shared" si="202"/>
        <v>CP570-P Anti-D Pre-Existing Standard</v>
      </c>
      <c r="B1824" t="s">
        <v>165</v>
      </c>
      <c r="C1824" t="str">
        <f t="shared" si="196"/>
        <v>Las Vegas</v>
      </c>
      <c r="D1824" t="str">
        <f t="shared" si="197"/>
        <v>Y</v>
      </c>
      <c r="E1824" t="s">
        <v>640</v>
      </c>
      <c r="F1824" t="str">
        <f t="shared" si="198"/>
        <v>P Anti-D Pre-Existing Standard</v>
      </c>
      <c r="G1824" t="str">
        <f t="shared" si="199"/>
        <v>Specialty</v>
      </c>
      <c r="H1824" t="s">
        <v>469</v>
      </c>
      <c r="I1824" t="str">
        <f t="shared" si="200"/>
        <v>RETURN - 1st don of the week -STD</v>
      </c>
      <c r="J1824" t="s">
        <v>579</v>
      </c>
      <c r="K1824" s="5">
        <v>50</v>
      </c>
      <c r="L1824" t="str">
        <f>Table_DataFromNL[[#This Row],[PROFILECODE]]&amp;"-"&amp;Table_DataFromNL[[#This Row],[RULENAME]]</f>
        <v>CP570-P Anti-D Pre-Existing Standard</v>
      </c>
      <c r="M1824" t="str">
        <f t="shared" si="201"/>
        <v>CP570-P Anti-D Pre-Existing Standard</v>
      </c>
    </row>
    <row r="1825" spans="1:13" x14ac:dyDescent="0.25">
      <c r="A1825" t="str">
        <f t="shared" si="202"/>
        <v>CP570-RETURN - 1st don of the week -STD</v>
      </c>
      <c r="B1825" t="s">
        <v>165</v>
      </c>
      <c r="C1825" t="str">
        <f t="shared" si="196"/>
        <v>Las Vegas</v>
      </c>
      <c r="D1825" t="str">
        <f t="shared" si="197"/>
        <v>Y</v>
      </c>
      <c r="E1825" t="s">
        <v>640</v>
      </c>
      <c r="F1825" t="str">
        <f t="shared" si="198"/>
        <v>RETURN - 1st don of the week -STD</v>
      </c>
      <c r="G1825" t="str">
        <f t="shared" si="199"/>
        <v>Marketing</v>
      </c>
      <c r="H1825" t="s">
        <v>583</v>
      </c>
      <c r="I1825">
        <f t="shared" si="200"/>
        <v>22</v>
      </c>
      <c r="J1825" t="s">
        <v>579</v>
      </c>
      <c r="K1825" s="5">
        <v>50</v>
      </c>
      <c r="L1825" t="str">
        <f>Table_DataFromNL[[#This Row],[PROFILECODE]]&amp;"-"&amp;Table_DataFromNL[[#This Row],[RULENAME]]</f>
        <v>CP570-P NSP NS AP Standard</v>
      </c>
      <c r="M1825" t="str">
        <f t="shared" si="201"/>
        <v>CP570-RETURN - 1st don of the week -STD</v>
      </c>
    </row>
    <row r="1826" spans="1:13" x14ac:dyDescent="0.25">
      <c r="A1826" t="str">
        <f t="shared" si="202"/>
        <v>CP570-RETURN - 1st don of the week -STD</v>
      </c>
      <c r="B1826" t="s">
        <v>165</v>
      </c>
      <c r="C1826" t="str">
        <f t="shared" si="196"/>
        <v>Las Vegas</v>
      </c>
      <c r="D1826" t="str">
        <f t="shared" si="197"/>
        <v>Y</v>
      </c>
      <c r="E1826" t="s">
        <v>640</v>
      </c>
      <c r="F1826" t="str">
        <f t="shared" si="198"/>
        <v>RETURN - 1st don of the week -STD</v>
      </c>
      <c r="G1826" t="str">
        <f t="shared" si="199"/>
        <v>Marketing</v>
      </c>
      <c r="H1826" t="s">
        <v>584</v>
      </c>
      <c r="I1826">
        <f t="shared" si="200"/>
        <v>23</v>
      </c>
      <c r="J1826" t="s">
        <v>579</v>
      </c>
      <c r="K1826" s="5">
        <v>50</v>
      </c>
      <c r="L1826" t="str">
        <f>Table_DataFromNL[[#This Row],[PROFILECODE]]&amp;"-"&amp;Table_DataFromNL[[#This Row],[RULENAME]]</f>
        <v>CP570-P NSP NS Standard</v>
      </c>
      <c r="M1826" t="str">
        <f t="shared" si="201"/>
        <v>CP570-RETURN - 1st don of the week -STD</v>
      </c>
    </row>
    <row r="1827" spans="1:13" x14ac:dyDescent="0.25">
      <c r="A1827" t="str">
        <f t="shared" si="202"/>
        <v>CP069-1st Responder-Medical</v>
      </c>
      <c r="B1827" t="s">
        <v>258</v>
      </c>
      <c r="C1827" t="str">
        <f t="shared" si="196"/>
        <v>Lincoln</v>
      </c>
      <c r="D1827" t="str">
        <f t="shared" si="197"/>
        <v>Y</v>
      </c>
      <c r="E1827" t="s">
        <v>642</v>
      </c>
      <c r="F1827" t="str">
        <f t="shared" si="198"/>
        <v>1st Responder-Medical</v>
      </c>
      <c r="G1827">
        <f t="shared" si="199"/>
        <v>0</v>
      </c>
      <c r="H1827" t="s">
        <v>545</v>
      </c>
      <c r="I1827">
        <f t="shared" si="200"/>
        <v>0</v>
      </c>
      <c r="J1827" t="s">
        <v>546</v>
      </c>
      <c r="K1827" s="5">
        <v>5</v>
      </c>
      <c r="L1827" t="str">
        <f>Table_DataFromNL[[#This Row],[PROFILECODE]]&amp;"-"&amp;Table_DataFromNL[[#This Row],[RULENAME]]</f>
        <v>CP069-1st Responder-Medical</v>
      </c>
      <c r="M1827" t="e">
        <f t="shared" si="201"/>
        <v>#N/A</v>
      </c>
    </row>
    <row r="1828" spans="1:13" x14ac:dyDescent="0.25">
      <c r="A1828" t="str">
        <f t="shared" si="202"/>
        <v>CP069-2X Week P CMV</v>
      </c>
      <c r="B1828" t="s">
        <v>258</v>
      </c>
      <c r="C1828" t="str">
        <f t="shared" si="196"/>
        <v>Lincoln</v>
      </c>
      <c r="D1828" t="str">
        <f t="shared" si="197"/>
        <v>Y</v>
      </c>
      <c r="E1828" t="s">
        <v>642</v>
      </c>
      <c r="F1828" t="str">
        <f t="shared" si="198"/>
        <v>2X Week P CMV</v>
      </c>
      <c r="G1828" t="str">
        <f t="shared" si="199"/>
        <v>Specialty</v>
      </c>
      <c r="H1828" t="s">
        <v>498</v>
      </c>
      <c r="I1828" t="str">
        <f t="shared" si="200"/>
        <v>RETURN - 2nd don of the week -BONUS</v>
      </c>
      <c r="J1828" t="s">
        <v>546</v>
      </c>
      <c r="K1828" s="5">
        <v>50</v>
      </c>
      <c r="L1828" t="str">
        <f>Table_DataFromNL[[#This Row],[PROFILECODE]]&amp;"-"&amp;Table_DataFromNL[[#This Row],[RULENAME]]</f>
        <v>CP069-2X Week P CMV</v>
      </c>
      <c r="M1828" t="str">
        <f t="shared" si="201"/>
        <v>CP069-2X Week P CMV</v>
      </c>
    </row>
    <row r="1829" spans="1:13" x14ac:dyDescent="0.25">
      <c r="A1829" t="str">
        <f t="shared" si="202"/>
        <v>CP069-2X Week P HBS Pre-Existing</v>
      </c>
      <c r="B1829" t="s">
        <v>258</v>
      </c>
      <c r="C1829" t="str">
        <f t="shared" si="196"/>
        <v>Lincoln</v>
      </c>
      <c r="D1829" t="str">
        <f t="shared" si="197"/>
        <v>Y</v>
      </c>
      <c r="E1829" t="s">
        <v>642</v>
      </c>
      <c r="F1829" t="str">
        <f t="shared" si="198"/>
        <v>2X Week P HBS Pre-Existing</v>
      </c>
      <c r="G1829" t="str">
        <f t="shared" si="199"/>
        <v>Specialty</v>
      </c>
      <c r="H1829" t="s">
        <v>471</v>
      </c>
      <c r="I1829" t="str">
        <f t="shared" si="200"/>
        <v>RETURN - 2nd don of the week -BONUS</v>
      </c>
      <c r="J1829" t="s">
        <v>546</v>
      </c>
      <c r="K1829" s="5">
        <v>70</v>
      </c>
      <c r="L1829" t="str">
        <f>Table_DataFromNL[[#This Row],[PROFILECODE]]&amp;"-"&amp;Table_DataFromNL[[#This Row],[RULENAME]]</f>
        <v>CP069-2X Week P HBS Pre-Existing</v>
      </c>
      <c r="M1829" t="str">
        <f t="shared" si="201"/>
        <v>CP069-2X Week P HBS Pre-Existing</v>
      </c>
    </row>
    <row r="1830" spans="1:13" x14ac:dyDescent="0.25">
      <c r="A1830" t="str">
        <f t="shared" si="202"/>
        <v>CP069-2X Week P HBS TWINRX</v>
      </c>
      <c r="B1830" t="s">
        <v>258</v>
      </c>
      <c r="C1830" t="str">
        <f t="shared" si="196"/>
        <v>Lincoln</v>
      </c>
      <c r="D1830" t="str">
        <f t="shared" si="197"/>
        <v>Y</v>
      </c>
      <c r="E1830" t="s">
        <v>642</v>
      </c>
      <c r="F1830" t="str">
        <f t="shared" si="198"/>
        <v>2X Week P HBS TWINRX</v>
      </c>
      <c r="G1830" t="str">
        <f t="shared" si="199"/>
        <v>Specialty</v>
      </c>
      <c r="H1830" t="s">
        <v>504</v>
      </c>
      <c r="I1830" t="str">
        <f t="shared" si="200"/>
        <v>RETURN - 2nd don of the week -BONUS</v>
      </c>
      <c r="J1830" t="s">
        <v>546</v>
      </c>
      <c r="K1830" s="5">
        <v>70</v>
      </c>
      <c r="L1830" t="str">
        <f>Table_DataFromNL[[#This Row],[PROFILECODE]]&amp;"-"&amp;Table_DataFromNL[[#This Row],[RULENAME]]</f>
        <v>CP069-2X Week P HBS TWINRX</v>
      </c>
      <c r="M1830" t="str">
        <f t="shared" si="201"/>
        <v>CP069-2X Week P HBS TWINRX</v>
      </c>
    </row>
    <row r="1831" spans="1:13" x14ac:dyDescent="0.25">
      <c r="A1831" t="str">
        <f t="shared" si="202"/>
        <v>CP069-2X Week P HBS TWINRX-AP</v>
      </c>
      <c r="B1831" t="s">
        <v>258</v>
      </c>
      <c r="C1831" t="str">
        <f t="shared" si="196"/>
        <v>Lincoln</v>
      </c>
      <c r="D1831" t="str">
        <f t="shared" si="197"/>
        <v>Y</v>
      </c>
      <c r="E1831" t="s">
        <v>642</v>
      </c>
      <c r="F1831" t="str">
        <f t="shared" si="198"/>
        <v>2X Week P HBS TWINRX-AP</v>
      </c>
      <c r="G1831" t="str">
        <f t="shared" si="199"/>
        <v>Specialty</v>
      </c>
      <c r="H1831" t="s">
        <v>505</v>
      </c>
      <c r="I1831" t="str">
        <f t="shared" si="200"/>
        <v>RETURN - 2nd don of the week -BONUS</v>
      </c>
      <c r="J1831" t="s">
        <v>546</v>
      </c>
      <c r="K1831" s="5">
        <v>70</v>
      </c>
      <c r="L1831" t="str">
        <f>Table_DataFromNL[[#This Row],[PROFILECODE]]&amp;"-"&amp;Table_DataFromNL[[#This Row],[RULENAME]]</f>
        <v>CP069-2X Week P HBS TWINRX-AP</v>
      </c>
      <c r="M1831" t="str">
        <f t="shared" si="201"/>
        <v>CP069-2X Week P HBS TWINRX-AP</v>
      </c>
    </row>
    <row r="1832" spans="1:13" x14ac:dyDescent="0.25">
      <c r="A1832" t="str">
        <f t="shared" si="202"/>
        <v>CP069-RETURN - 2nd don of the week -BONUS</v>
      </c>
      <c r="B1832" t="s">
        <v>258</v>
      </c>
      <c r="C1832" t="str">
        <f t="shared" si="196"/>
        <v>Lincoln</v>
      </c>
      <c r="D1832" t="str">
        <f t="shared" si="197"/>
        <v>Y</v>
      </c>
      <c r="E1832" t="s">
        <v>642</v>
      </c>
      <c r="F1832" t="str">
        <f t="shared" si="198"/>
        <v>RETURN - 2nd don of the week -BONUS</v>
      </c>
      <c r="G1832" t="str">
        <f t="shared" si="199"/>
        <v>Marketing</v>
      </c>
      <c r="H1832" t="s">
        <v>550</v>
      </c>
      <c r="I1832">
        <f t="shared" si="200"/>
        <v>26</v>
      </c>
      <c r="J1832" t="s">
        <v>546</v>
      </c>
      <c r="K1832" s="5">
        <v>50</v>
      </c>
      <c r="L1832" t="str">
        <f>Table_DataFromNL[[#This Row],[PROFILECODE]]&amp;"-"&amp;Table_DataFromNL[[#This Row],[RULENAME]]</f>
        <v>CP069-2X Week P NSP NS</v>
      </c>
      <c r="M1832" t="str">
        <f t="shared" si="201"/>
        <v>CP069-RETURN - 2nd don of the week -BONUS</v>
      </c>
    </row>
    <row r="1833" spans="1:13" x14ac:dyDescent="0.25">
      <c r="A1833" t="str">
        <f t="shared" si="202"/>
        <v>CP069-RETURN - 2nd don of the week -BONUS</v>
      </c>
      <c r="B1833" t="s">
        <v>258</v>
      </c>
      <c r="C1833" t="str">
        <f t="shared" si="196"/>
        <v>Lincoln</v>
      </c>
      <c r="D1833" t="str">
        <f t="shared" si="197"/>
        <v>Y</v>
      </c>
      <c r="E1833" t="s">
        <v>642</v>
      </c>
      <c r="F1833" t="str">
        <f t="shared" si="198"/>
        <v>RETURN - 2nd don of the week -BONUS</v>
      </c>
      <c r="G1833" t="str">
        <f t="shared" si="199"/>
        <v>Marketing</v>
      </c>
      <c r="H1833" t="s">
        <v>551</v>
      </c>
      <c r="I1833" t="str">
        <f t="shared" si="200"/>
        <v>RETURN - 2nd don of the week -BONUS</v>
      </c>
      <c r="J1833" t="s">
        <v>546</v>
      </c>
      <c r="K1833" s="5">
        <v>50</v>
      </c>
      <c r="L1833" t="str">
        <f>Table_DataFromNL[[#This Row],[PROFILECODE]]&amp;"-"&amp;Table_DataFromNL[[#This Row],[RULENAME]]</f>
        <v>CP069-2X Week P NSP NS AP</v>
      </c>
      <c r="M1833" t="str">
        <f t="shared" si="201"/>
        <v>CP069-RETURN - 2nd don of the week -BONUS</v>
      </c>
    </row>
    <row r="1834" spans="1:13" x14ac:dyDescent="0.25">
      <c r="A1834" t="str">
        <f t="shared" si="202"/>
        <v>CP069-RETURN - 6th don of the month -BONUS</v>
      </c>
      <c r="B1834" t="s">
        <v>258</v>
      </c>
      <c r="C1834" t="str">
        <f t="shared" si="196"/>
        <v>Lincoln</v>
      </c>
      <c r="D1834" t="str">
        <f t="shared" si="197"/>
        <v>Y</v>
      </c>
      <c r="E1834" t="s">
        <v>642</v>
      </c>
      <c r="F1834" t="str">
        <f t="shared" si="198"/>
        <v>RETURN - 6th don of the month -BONUS</v>
      </c>
      <c r="G1834" t="str">
        <f t="shared" si="199"/>
        <v>Marketing</v>
      </c>
      <c r="H1834" t="s">
        <v>552</v>
      </c>
      <c r="I1834">
        <f t="shared" si="200"/>
        <v>28</v>
      </c>
      <c r="J1834" t="s">
        <v>546</v>
      </c>
      <c r="K1834" s="5">
        <v>30</v>
      </c>
      <c r="L1834" t="str">
        <f>Table_DataFromNL[[#This Row],[PROFILECODE]]&amp;"-"&amp;Table_DataFromNL[[#This Row],[RULENAME]]</f>
        <v>CP069-6X Month</v>
      </c>
      <c r="M1834" t="str">
        <f t="shared" si="201"/>
        <v>CP069-RETURN - 6th don of the month -BONUS</v>
      </c>
    </row>
    <row r="1835" spans="1:13" x14ac:dyDescent="0.25">
      <c r="A1835" t="str">
        <f t="shared" si="202"/>
        <v>CP069-College ID Standard Bonus</v>
      </c>
      <c r="B1835" t="s">
        <v>258</v>
      </c>
      <c r="C1835" t="str">
        <f t="shared" si="196"/>
        <v>Lincoln</v>
      </c>
      <c r="D1835" t="str">
        <f t="shared" si="197"/>
        <v>Y</v>
      </c>
      <c r="E1835" t="s">
        <v>642</v>
      </c>
      <c r="F1835" t="str">
        <f t="shared" si="198"/>
        <v>College ID Standard Bonus</v>
      </c>
      <c r="G1835">
        <f t="shared" si="199"/>
        <v>0</v>
      </c>
      <c r="H1835" t="s">
        <v>553</v>
      </c>
      <c r="I1835">
        <f t="shared" si="200"/>
        <v>0</v>
      </c>
      <c r="J1835" t="s">
        <v>546</v>
      </c>
      <c r="K1835" s="5">
        <v>5</v>
      </c>
      <c r="L1835" t="str">
        <f>Table_DataFromNL[[#This Row],[PROFILECODE]]&amp;"-"&amp;Table_DataFromNL[[#This Row],[RULENAME]]</f>
        <v>CP069-College ID Standard Bonus</v>
      </c>
      <c r="M1835" t="e">
        <f t="shared" si="201"/>
        <v>#N/A</v>
      </c>
    </row>
    <row r="1836" spans="1:13" x14ac:dyDescent="0.25">
      <c r="A1836" t="str">
        <f t="shared" si="202"/>
        <v>CP069-Military ID</v>
      </c>
      <c r="B1836" t="s">
        <v>258</v>
      </c>
      <c r="C1836" t="str">
        <f t="shared" si="196"/>
        <v>Lincoln</v>
      </c>
      <c r="D1836" t="str">
        <f t="shared" si="197"/>
        <v>Y</v>
      </c>
      <c r="E1836" t="s">
        <v>642</v>
      </c>
      <c r="F1836" t="str">
        <f t="shared" si="198"/>
        <v>Military ID</v>
      </c>
      <c r="G1836">
        <f t="shared" si="199"/>
        <v>0</v>
      </c>
      <c r="H1836" t="s">
        <v>554</v>
      </c>
      <c r="I1836">
        <f t="shared" si="200"/>
        <v>0</v>
      </c>
      <c r="J1836" t="s">
        <v>546</v>
      </c>
      <c r="K1836" s="5">
        <v>5</v>
      </c>
      <c r="L1836" t="str">
        <f>Table_DataFromNL[[#This Row],[PROFILECODE]]&amp;"-"&amp;Table_DataFromNL[[#This Row],[RULENAME]]</f>
        <v>CP069-Military ID</v>
      </c>
      <c r="M1836" t="e">
        <f t="shared" si="201"/>
        <v>#N/A</v>
      </c>
    </row>
    <row r="1837" spans="1:13" x14ac:dyDescent="0.25">
      <c r="A1837" t="str">
        <f t="shared" si="202"/>
        <v>CP069-NEW DONOR -1st</v>
      </c>
      <c r="B1837" t="s">
        <v>258</v>
      </c>
      <c r="C1837" t="str">
        <f t="shared" si="196"/>
        <v>Lincoln</v>
      </c>
      <c r="D1837" t="str">
        <f t="shared" si="197"/>
        <v>Y</v>
      </c>
      <c r="E1837" t="s">
        <v>642</v>
      </c>
      <c r="F1837" t="str">
        <f t="shared" si="198"/>
        <v>NEW DONOR -1st</v>
      </c>
      <c r="G1837" t="str">
        <f t="shared" si="199"/>
        <v>Marketing</v>
      </c>
      <c r="H1837" t="s">
        <v>555</v>
      </c>
      <c r="I1837">
        <f t="shared" si="200"/>
        <v>1</v>
      </c>
      <c r="J1837" t="s">
        <v>546</v>
      </c>
      <c r="K1837" s="5">
        <v>100</v>
      </c>
      <c r="L1837" t="str">
        <f>Table_DataFromNL[[#This Row],[PROFILECODE]]&amp;"-"&amp;Table_DataFromNL[[#This Row],[RULENAME]]</f>
        <v>CP069-New Donor 1st Visit-Bonus</v>
      </c>
      <c r="M1837" t="str">
        <f t="shared" si="201"/>
        <v>CP069-NEW DONOR -1st</v>
      </c>
    </row>
    <row r="1838" spans="1:13" x14ac:dyDescent="0.25">
      <c r="A1838" t="str">
        <f t="shared" si="202"/>
        <v>CP069-NEW DONOR -2nd</v>
      </c>
      <c r="B1838" t="s">
        <v>258</v>
      </c>
      <c r="C1838" t="str">
        <f t="shared" si="196"/>
        <v>Lincoln</v>
      </c>
      <c r="D1838" t="str">
        <f t="shared" si="197"/>
        <v>Y</v>
      </c>
      <c r="E1838" t="s">
        <v>642</v>
      </c>
      <c r="F1838" t="str">
        <f t="shared" si="198"/>
        <v>NEW DONOR -2nd</v>
      </c>
      <c r="G1838" t="str">
        <f t="shared" si="199"/>
        <v>Marketing</v>
      </c>
      <c r="H1838" t="s">
        <v>556</v>
      </c>
      <c r="I1838">
        <f t="shared" si="200"/>
        <v>2</v>
      </c>
      <c r="J1838" t="s">
        <v>546</v>
      </c>
      <c r="K1838" s="5">
        <v>100</v>
      </c>
      <c r="L1838" t="str">
        <f>Table_DataFromNL[[#This Row],[PROFILECODE]]&amp;"-"&amp;Table_DataFromNL[[#This Row],[RULENAME]]</f>
        <v>CP069-New Donor 2nd Visit-Bonus</v>
      </c>
      <c r="M1838" t="str">
        <f t="shared" si="201"/>
        <v>CP069-NEW DONOR -2nd</v>
      </c>
    </row>
    <row r="1839" spans="1:13" x14ac:dyDescent="0.25">
      <c r="A1839" t="str">
        <f t="shared" si="202"/>
        <v>CP069-NEW DONOR -3rd</v>
      </c>
      <c r="B1839" t="s">
        <v>258</v>
      </c>
      <c r="C1839" t="str">
        <f t="shared" si="196"/>
        <v>Lincoln</v>
      </c>
      <c r="D1839" t="str">
        <f t="shared" si="197"/>
        <v>Y</v>
      </c>
      <c r="E1839" t="s">
        <v>642</v>
      </c>
      <c r="F1839" t="str">
        <f t="shared" si="198"/>
        <v>NEW DONOR -3rd</v>
      </c>
      <c r="G1839" t="str">
        <f t="shared" si="199"/>
        <v>Marketing</v>
      </c>
      <c r="H1839" t="s">
        <v>557</v>
      </c>
      <c r="I1839">
        <f t="shared" si="200"/>
        <v>3</v>
      </c>
      <c r="J1839" t="s">
        <v>546</v>
      </c>
      <c r="K1839" s="5">
        <v>100</v>
      </c>
      <c r="L1839" t="str">
        <f>Table_DataFromNL[[#This Row],[PROFILECODE]]&amp;"-"&amp;Table_DataFromNL[[#This Row],[RULENAME]]</f>
        <v>CP069-New Donor 3rd Visit-Bonus</v>
      </c>
      <c r="M1839" t="str">
        <f t="shared" si="201"/>
        <v>CP069-NEW DONOR -3rd</v>
      </c>
    </row>
    <row r="1840" spans="1:13" x14ac:dyDescent="0.25">
      <c r="A1840" t="str">
        <f t="shared" si="202"/>
        <v>CP069-NEW DONOR -4th</v>
      </c>
      <c r="B1840" t="s">
        <v>258</v>
      </c>
      <c r="C1840" t="str">
        <f t="shared" si="196"/>
        <v>Lincoln</v>
      </c>
      <c r="D1840" t="str">
        <f t="shared" si="197"/>
        <v>Y</v>
      </c>
      <c r="E1840" t="s">
        <v>642</v>
      </c>
      <c r="F1840" t="str">
        <f t="shared" si="198"/>
        <v>NEW DONOR -4th</v>
      </c>
      <c r="G1840" t="str">
        <f t="shared" si="199"/>
        <v>Marketing</v>
      </c>
      <c r="H1840" t="s">
        <v>558</v>
      </c>
      <c r="I1840">
        <f t="shared" si="200"/>
        <v>4</v>
      </c>
      <c r="J1840" t="s">
        <v>546</v>
      </c>
      <c r="K1840" s="5">
        <v>100</v>
      </c>
      <c r="L1840" t="str">
        <f>Table_DataFromNL[[#This Row],[PROFILECODE]]&amp;"-"&amp;Table_DataFromNL[[#This Row],[RULENAME]]</f>
        <v>CP069-New Donor 4th Visit-Bonus</v>
      </c>
      <c r="M1840" t="str">
        <f t="shared" si="201"/>
        <v>CP069-NEW DONOR -4th</v>
      </c>
    </row>
    <row r="1841" spans="1:13" x14ac:dyDescent="0.25">
      <c r="A1841" t="str">
        <f t="shared" si="202"/>
        <v>CP069-NEW DONOR -5th</v>
      </c>
      <c r="B1841" t="s">
        <v>258</v>
      </c>
      <c r="C1841" t="str">
        <f t="shared" si="196"/>
        <v>Lincoln</v>
      </c>
      <c r="D1841" t="str">
        <f t="shared" si="197"/>
        <v>Y</v>
      </c>
      <c r="E1841" t="s">
        <v>642</v>
      </c>
      <c r="F1841" t="str">
        <f t="shared" si="198"/>
        <v>NEW DONOR -5th</v>
      </c>
      <c r="G1841" t="str">
        <f t="shared" si="199"/>
        <v>Marketing</v>
      </c>
      <c r="H1841" t="s">
        <v>559</v>
      </c>
      <c r="I1841">
        <f t="shared" si="200"/>
        <v>5</v>
      </c>
      <c r="J1841" t="s">
        <v>546</v>
      </c>
      <c r="K1841" s="5">
        <v>40</v>
      </c>
      <c r="L1841" t="str">
        <f>Table_DataFromNL[[#This Row],[PROFILECODE]]&amp;"-"&amp;Table_DataFromNL[[#This Row],[RULENAME]]</f>
        <v>CP069-New Donor 5th Visit-Bonus</v>
      </c>
      <c r="M1841" t="str">
        <f t="shared" si="201"/>
        <v>CP069-NEW DONOR -5th</v>
      </c>
    </row>
    <row r="1842" spans="1:13" x14ac:dyDescent="0.25">
      <c r="A1842" t="str">
        <f t="shared" si="202"/>
        <v>CP069-NEW DONOR -6th</v>
      </c>
      <c r="B1842" t="s">
        <v>258</v>
      </c>
      <c r="C1842" t="str">
        <f t="shared" si="196"/>
        <v>Lincoln</v>
      </c>
      <c r="D1842" t="str">
        <f t="shared" si="197"/>
        <v>Y</v>
      </c>
      <c r="E1842" t="s">
        <v>642</v>
      </c>
      <c r="F1842" t="str">
        <f t="shared" si="198"/>
        <v>NEW DONOR -6th</v>
      </c>
      <c r="G1842" t="str">
        <f t="shared" si="199"/>
        <v>Marketing</v>
      </c>
      <c r="H1842" t="s">
        <v>560</v>
      </c>
      <c r="I1842">
        <f t="shared" si="200"/>
        <v>6</v>
      </c>
      <c r="J1842" t="s">
        <v>546</v>
      </c>
      <c r="K1842" s="5">
        <v>40</v>
      </c>
      <c r="L1842" t="str">
        <f>Table_DataFromNL[[#This Row],[PROFILECODE]]&amp;"-"&amp;Table_DataFromNL[[#This Row],[RULENAME]]</f>
        <v>CP069-New Donor 6th Visit-Bonus</v>
      </c>
      <c r="M1842" t="str">
        <f t="shared" si="201"/>
        <v>CP069-NEW DONOR -6th</v>
      </c>
    </row>
    <row r="1843" spans="1:13" x14ac:dyDescent="0.25">
      <c r="A1843" t="str">
        <f t="shared" si="202"/>
        <v>CP069-NEW DONOR -7th</v>
      </c>
      <c r="B1843" t="s">
        <v>258</v>
      </c>
      <c r="C1843" t="str">
        <f t="shared" si="196"/>
        <v>Lincoln</v>
      </c>
      <c r="D1843" t="str">
        <f t="shared" si="197"/>
        <v>Y</v>
      </c>
      <c r="E1843" t="s">
        <v>642</v>
      </c>
      <c r="F1843" t="str">
        <f t="shared" si="198"/>
        <v>NEW DONOR -7th</v>
      </c>
      <c r="G1843" t="str">
        <f t="shared" si="199"/>
        <v>Marketing</v>
      </c>
      <c r="H1843" t="s">
        <v>561</v>
      </c>
      <c r="I1843">
        <f t="shared" si="200"/>
        <v>7</v>
      </c>
      <c r="J1843" t="s">
        <v>546</v>
      </c>
      <c r="K1843" s="5">
        <v>40</v>
      </c>
      <c r="L1843" t="str">
        <f>Table_DataFromNL[[#This Row],[PROFILECODE]]&amp;"-"&amp;Table_DataFromNL[[#This Row],[RULENAME]]</f>
        <v>CP069-New Donor 7th Visit-Bonus</v>
      </c>
      <c r="M1843" t="str">
        <f t="shared" si="201"/>
        <v>CP069-NEW DONOR -7th</v>
      </c>
    </row>
    <row r="1844" spans="1:13" x14ac:dyDescent="0.25">
      <c r="A1844" t="str">
        <f t="shared" si="202"/>
        <v>CP069-NEW DONOR -8th</v>
      </c>
      <c r="B1844" t="s">
        <v>258</v>
      </c>
      <c r="C1844" t="str">
        <f t="shared" si="196"/>
        <v>Lincoln</v>
      </c>
      <c r="D1844" t="str">
        <f t="shared" si="197"/>
        <v>Y</v>
      </c>
      <c r="E1844" t="s">
        <v>642</v>
      </c>
      <c r="F1844" t="str">
        <f t="shared" si="198"/>
        <v>NEW DONOR -8th</v>
      </c>
      <c r="G1844" t="str">
        <f t="shared" si="199"/>
        <v>Marketing</v>
      </c>
      <c r="H1844" t="s">
        <v>562</v>
      </c>
      <c r="I1844">
        <f t="shared" si="200"/>
        <v>8</v>
      </c>
      <c r="J1844" t="s">
        <v>546</v>
      </c>
      <c r="K1844" s="5">
        <v>40</v>
      </c>
      <c r="L1844" t="str">
        <f>Table_DataFromNL[[#This Row],[PROFILECODE]]&amp;"-"&amp;Table_DataFromNL[[#This Row],[RULENAME]]</f>
        <v>CP069-New Donor 8th Visit-Bonus</v>
      </c>
      <c r="M1844" t="str">
        <f t="shared" si="201"/>
        <v>CP069-NEW DONOR -8th</v>
      </c>
    </row>
    <row r="1845" spans="1:13" x14ac:dyDescent="0.25">
      <c r="A1845" t="str">
        <f t="shared" si="202"/>
        <v>CP069-Community</v>
      </c>
      <c r="B1845" t="s">
        <v>258</v>
      </c>
      <c r="C1845" t="str">
        <f t="shared" si="196"/>
        <v>Lincoln</v>
      </c>
      <c r="D1845" t="str">
        <f t="shared" si="197"/>
        <v>Y</v>
      </c>
      <c r="E1845" t="s">
        <v>642</v>
      </c>
      <c r="F1845" t="str">
        <f t="shared" si="198"/>
        <v>Community</v>
      </c>
      <c r="G1845">
        <f t="shared" si="199"/>
        <v>0</v>
      </c>
      <c r="H1845" t="s">
        <v>563</v>
      </c>
      <c r="I1845">
        <f t="shared" si="200"/>
        <v>0</v>
      </c>
      <c r="J1845" t="s">
        <v>564</v>
      </c>
      <c r="K1845" s="5">
        <v>5</v>
      </c>
      <c r="L1845" t="str">
        <f>Table_DataFromNL[[#This Row],[PROFILECODE]]&amp;"-"&amp;Table_DataFromNL[[#This Row],[RULENAME]]</f>
        <v>CP069-Community</v>
      </c>
      <c r="M1845" t="e">
        <f t="shared" si="201"/>
        <v>#N/A</v>
      </c>
    </row>
    <row r="1846" spans="1:13" x14ac:dyDescent="0.25">
      <c r="A1846" t="str">
        <f t="shared" si="202"/>
        <v>CP069-HANGER_RECRUIT_5USD_once</v>
      </c>
      <c r="B1846" t="s">
        <v>258</v>
      </c>
      <c r="C1846" t="str">
        <f t="shared" si="196"/>
        <v>Lincoln</v>
      </c>
      <c r="D1846" t="str">
        <f t="shared" si="197"/>
        <v>Y</v>
      </c>
      <c r="E1846" t="s">
        <v>642</v>
      </c>
      <c r="F1846" t="str">
        <f t="shared" si="198"/>
        <v>HANGER_RECRUIT_5USD_once</v>
      </c>
      <c r="G1846">
        <f t="shared" si="199"/>
        <v>0</v>
      </c>
      <c r="H1846" t="s">
        <v>565</v>
      </c>
      <c r="I1846">
        <f t="shared" si="200"/>
        <v>0</v>
      </c>
      <c r="J1846" t="s">
        <v>564</v>
      </c>
      <c r="K1846" s="5">
        <v>5</v>
      </c>
      <c r="L1846" t="str">
        <f>Table_DataFromNL[[#This Row],[PROFILECODE]]&amp;"-"&amp;Table_DataFromNL[[#This Row],[RULENAME]]</f>
        <v>CP069-HANGER_RECRUIT_5USD_once</v>
      </c>
      <c r="M1846" t="e">
        <f t="shared" si="201"/>
        <v>#N/A</v>
      </c>
    </row>
    <row r="1847" spans="1:13" x14ac:dyDescent="0.25">
      <c r="A1847" t="str">
        <f t="shared" si="202"/>
        <v>CP069-Immunization Boost Payment</v>
      </c>
      <c r="B1847" t="s">
        <v>258</v>
      </c>
      <c r="C1847" t="str">
        <f t="shared" si="196"/>
        <v>Lincoln</v>
      </c>
      <c r="D1847" t="str">
        <f t="shared" si="197"/>
        <v>Y</v>
      </c>
      <c r="E1847" t="s">
        <v>642</v>
      </c>
      <c r="F1847" t="str">
        <f t="shared" si="198"/>
        <v>Immunization Boost Payment</v>
      </c>
      <c r="G1847">
        <f t="shared" si="199"/>
        <v>0</v>
      </c>
      <c r="H1847" t="s">
        <v>598</v>
      </c>
      <c r="I1847">
        <f t="shared" si="200"/>
        <v>0</v>
      </c>
      <c r="J1847" t="s">
        <v>564</v>
      </c>
      <c r="K1847" s="5">
        <v>50</v>
      </c>
      <c r="L1847" t="str">
        <f>Table_DataFromNL[[#This Row],[PROFILECODE]]&amp;"-"&amp;Table_DataFromNL[[#This Row],[RULENAME]]</f>
        <v>CP069-Immunization Boost Payment</v>
      </c>
      <c r="M1847" t="e">
        <f t="shared" si="201"/>
        <v>#N/A</v>
      </c>
    </row>
    <row r="1848" spans="1:13" x14ac:dyDescent="0.25">
      <c r="A1848" t="str">
        <f t="shared" si="202"/>
        <v>CP069-Immunization Series Payment</v>
      </c>
      <c r="B1848" t="s">
        <v>258</v>
      </c>
      <c r="C1848" t="str">
        <f t="shared" si="196"/>
        <v>Lincoln</v>
      </c>
      <c r="D1848" t="str">
        <f t="shared" si="197"/>
        <v>Y</v>
      </c>
      <c r="E1848" t="s">
        <v>642</v>
      </c>
      <c r="F1848" t="str">
        <f t="shared" si="198"/>
        <v>Immunization Series Payment</v>
      </c>
      <c r="G1848">
        <f t="shared" si="199"/>
        <v>0</v>
      </c>
      <c r="H1848" t="s">
        <v>599</v>
      </c>
      <c r="I1848">
        <f t="shared" si="200"/>
        <v>0</v>
      </c>
      <c r="J1848" t="s">
        <v>564</v>
      </c>
      <c r="K1848" s="5">
        <v>100</v>
      </c>
      <c r="L1848" t="str">
        <f>Table_DataFromNL[[#This Row],[PROFILECODE]]&amp;"-"&amp;Table_DataFromNL[[#This Row],[RULENAME]]</f>
        <v>CP069-Immunization Series Payment</v>
      </c>
      <c r="M1848" t="e">
        <f t="shared" si="201"/>
        <v>#N/A</v>
      </c>
    </row>
    <row r="1849" spans="1:13" x14ac:dyDescent="0.25">
      <c r="A1849" t="str">
        <f t="shared" si="202"/>
        <v>CP069-Inconv Fee $20-$50-Comment Req'd</v>
      </c>
      <c r="B1849" t="s">
        <v>258</v>
      </c>
      <c r="C1849" t="str">
        <f t="shared" si="196"/>
        <v>Lincoln</v>
      </c>
      <c r="D1849" t="str">
        <f t="shared" si="197"/>
        <v>Y</v>
      </c>
      <c r="E1849" t="s">
        <v>642</v>
      </c>
      <c r="F1849" t="str">
        <f t="shared" si="198"/>
        <v>Inconv Fee $20-$50-Comment Req'd</v>
      </c>
      <c r="G1849">
        <f t="shared" si="199"/>
        <v>0</v>
      </c>
      <c r="H1849" t="s">
        <v>566</v>
      </c>
      <c r="I1849">
        <f t="shared" si="200"/>
        <v>0</v>
      </c>
      <c r="J1849" t="s">
        <v>564</v>
      </c>
      <c r="K1849" s="5">
        <v>50</v>
      </c>
      <c r="L1849" t="str">
        <f>Table_DataFromNL[[#This Row],[PROFILECODE]]&amp;"-"&amp;Table_DataFromNL[[#This Row],[RULENAME]]</f>
        <v>CP069-Inconv Fee $20-$50-Comment Req'd</v>
      </c>
      <c r="M1849" t="e">
        <f t="shared" si="201"/>
        <v>#N/A</v>
      </c>
    </row>
    <row r="1850" spans="1:13" x14ac:dyDescent="0.25">
      <c r="A1850" t="str">
        <f t="shared" si="202"/>
        <v>CP069-Inconv Fee $5-$20-Comment Req'd</v>
      </c>
      <c r="B1850" t="s">
        <v>258</v>
      </c>
      <c r="C1850" t="str">
        <f t="shared" si="196"/>
        <v>Lincoln</v>
      </c>
      <c r="D1850" t="str">
        <f t="shared" si="197"/>
        <v>Y</v>
      </c>
      <c r="E1850" t="s">
        <v>642</v>
      </c>
      <c r="F1850" t="str">
        <f t="shared" si="198"/>
        <v>Inconv Fee $5-$20-Comment Req'd</v>
      </c>
      <c r="G1850">
        <f t="shared" si="199"/>
        <v>0</v>
      </c>
      <c r="H1850" t="s">
        <v>567</v>
      </c>
      <c r="I1850">
        <f t="shared" si="200"/>
        <v>0</v>
      </c>
      <c r="J1850" t="s">
        <v>564</v>
      </c>
      <c r="K1850" s="5">
        <v>20</v>
      </c>
      <c r="L1850" t="str">
        <f>Table_DataFromNL[[#This Row],[PROFILECODE]]&amp;"-"&amp;Table_DataFromNL[[#This Row],[RULENAME]]</f>
        <v>CP069-Inconv Fee $5-$20-Comment Req'd</v>
      </c>
      <c r="M1850" t="e">
        <f t="shared" si="201"/>
        <v>#N/A</v>
      </c>
    </row>
    <row r="1851" spans="1:13" x14ac:dyDescent="0.25">
      <c r="A1851" t="str">
        <f t="shared" si="202"/>
        <v>CP069-Inconv Fee$50-$100-Comment Req'd</v>
      </c>
      <c r="B1851" t="s">
        <v>258</v>
      </c>
      <c r="C1851" t="str">
        <f t="shared" si="196"/>
        <v>Lincoln</v>
      </c>
      <c r="D1851" t="str">
        <f t="shared" si="197"/>
        <v>Y</v>
      </c>
      <c r="E1851" t="s">
        <v>642</v>
      </c>
      <c r="F1851" t="str">
        <f t="shared" si="198"/>
        <v>Inconv Fee$50-$100-Comment Req'd</v>
      </c>
      <c r="G1851">
        <f t="shared" si="199"/>
        <v>0</v>
      </c>
      <c r="H1851" t="s">
        <v>568</v>
      </c>
      <c r="I1851">
        <f t="shared" si="200"/>
        <v>0</v>
      </c>
      <c r="J1851" t="s">
        <v>564</v>
      </c>
      <c r="K1851" s="5">
        <v>100</v>
      </c>
      <c r="L1851" t="str">
        <f>Table_DataFromNL[[#This Row],[PROFILECODE]]&amp;"-"&amp;Table_DataFromNL[[#This Row],[RULENAME]]</f>
        <v>CP069-Inconv Fee$50-$100-Comment Req'd</v>
      </c>
      <c r="M1851" t="e">
        <f t="shared" si="201"/>
        <v>#N/A</v>
      </c>
    </row>
    <row r="1852" spans="1:13" x14ac:dyDescent="0.25">
      <c r="A1852" t="str">
        <f t="shared" si="202"/>
        <v>CP069-NSP_ LAPSEDONOR_50_Twice</v>
      </c>
      <c r="B1852" t="s">
        <v>258</v>
      </c>
      <c r="C1852" t="str">
        <f t="shared" si="196"/>
        <v>Lincoln</v>
      </c>
      <c r="D1852" t="str">
        <f t="shared" si="197"/>
        <v>Y</v>
      </c>
      <c r="E1852" t="s">
        <v>642</v>
      </c>
      <c r="F1852" t="str">
        <f t="shared" si="198"/>
        <v>NSP_ LAPSEDONOR_50_Twice</v>
      </c>
      <c r="G1852">
        <f t="shared" si="199"/>
        <v>0</v>
      </c>
      <c r="H1852" t="s">
        <v>569</v>
      </c>
      <c r="I1852">
        <f t="shared" si="200"/>
        <v>0</v>
      </c>
      <c r="J1852" t="s">
        <v>564</v>
      </c>
      <c r="K1852" s="5">
        <v>50</v>
      </c>
      <c r="L1852" t="str">
        <f>Table_DataFromNL[[#This Row],[PROFILECODE]]&amp;"-"&amp;Table_DataFromNL[[#This Row],[RULENAME]]</f>
        <v>CP069-NSP_ LAPSEDONOR_50_Twice</v>
      </c>
      <c r="M1852" t="e">
        <f t="shared" si="201"/>
        <v>#N/A</v>
      </c>
    </row>
    <row r="1853" spans="1:13" x14ac:dyDescent="0.25">
      <c r="A1853" t="str">
        <f t="shared" si="202"/>
        <v>CP069-NSP_LD_25_2X</v>
      </c>
      <c r="B1853" t="s">
        <v>258</v>
      </c>
      <c r="C1853" t="str">
        <f t="shared" si="196"/>
        <v>Lincoln</v>
      </c>
      <c r="D1853" t="str">
        <f t="shared" si="197"/>
        <v>Y</v>
      </c>
      <c r="E1853" t="s">
        <v>642</v>
      </c>
      <c r="F1853" t="str">
        <f t="shared" si="198"/>
        <v>NSP_LD_25_2X</v>
      </c>
      <c r="G1853">
        <f t="shared" si="199"/>
        <v>0</v>
      </c>
      <c r="H1853" t="s">
        <v>570</v>
      </c>
      <c r="I1853">
        <f t="shared" si="200"/>
        <v>0</v>
      </c>
      <c r="J1853" t="s">
        <v>564</v>
      </c>
      <c r="K1853" s="5">
        <v>25</v>
      </c>
      <c r="L1853" t="str">
        <f>Table_DataFromNL[[#This Row],[PROFILECODE]]&amp;"-"&amp;Table_DataFromNL[[#This Row],[RULENAME]]</f>
        <v>CP069-NSP_LD_25_2X</v>
      </c>
      <c r="M1853" t="e">
        <f t="shared" si="201"/>
        <v>#N/A</v>
      </c>
    </row>
    <row r="1854" spans="1:13" x14ac:dyDescent="0.25">
      <c r="A1854" t="str">
        <f t="shared" si="202"/>
        <v>CP069-NSP_LD_50_1X</v>
      </c>
      <c r="B1854" t="s">
        <v>258</v>
      </c>
      <c r="C1854" t="str">
        <f t="shared" si="196"/>
        <v>Lincoln</v>
      </c>
      <c r="D1854" t="str">
        <f t="shared" si="197"/>
        <v>Y</v>
      </c>
      <c r="E1854" t="s">
        <v>642</v>
      </c>
      <c r="F1854" t="str">
        <f t="shared" si="198"/>
        <v>NSP_LD_50_1X</v>
      </c>
      <c r="G1854">
        <f t="shared" si="199"/>
        <v>0</v>
      </c>
      <c r="H1854" t="s">
        <v>571</v>
      </c>
      <c r="I1854">
        <f t="shared" si="200"/>
        <v>0</v>
      </c>
      <c r="J1854" t="s">
        <v>564</v>
      </c>
      <c r="K1854" s="5">
        <v>50</v>
      </c>
      <c r="L1854" t="str">
        <f>Table_DataFromNL[[#This Row],[PROFILECODE]]&amp;"-"&amp;Table_DataFromNL[[#This Row],[RULENAME]]</f>
        <v>CP069-NSP_LD_50_1X</v>
      </c>
      <c r="M1854" t="e">
        <f t="shared" si="201"/>
        <v>#N/A</v>
      </c>
    </row>
    <row r="1855" spans="1:13" x14ac:dyDescent="0.25">
      <c r="A1855" t="str">
        <f t="shared" si="202"/>
        <v>CP069-NSP_ORPHAN_100_once</v>
      </c>
      <c r="B1855" t="s">
        <v>258</v>
      </c>
      <c r="C1855" t="str">
        <f t="shared" si="196"/>
        <v>Lincoln</v>
      </c>
      <c r="D1855" t="str">
        <f t="shared" si="197"/>
        <v>Y</v>
      </c>
      <c r="E1855" t="s">
        <v>642</v>
      </c>
      <c r="F1855" t="str">
        <f t="shared" si="198"/>
        <v>NSP_ORPHAN_100_once</v>
      </c>
      <c r="G1855">
        <f t="shared" si="199"/>
        <v>0</v>
      </c>
      <c r="H1855" t="s">
        <v>572</v>
      </c>
      <c r="I1855">
        <f t="shared" si="200"/>
        <v>0</v>
      </c>
      <c r="J1855" t="s">
        <v>564</v>
      </c>
      <c r="K1855" s="5">
        <v>100</v>
      </c>
      <c r="L1855" t="str">
        <f>Table_DataFromNL[[#This Row],[PROFILECODE]]&amp;"-"&amp;Table_DataFromNL[[#This Row],[RULENAME]]</f>
        <v>CP069-NSP_ORPHAN_100_once</v>
      </c>
      <c r="M1855" t="e">
        <f t="shared" si="201"/>
        <v>#N/A</v>
      </c>
    </row>
    <row r="1856" spans="1:13" x14ac:dyDescent="0.25">
      <c r="A1856" t="str">
        <f t="shared" si="202"/>
        <v>CP069-Restick</v>
      </c>
      <c r="B1856" t="s">
        <v>258</v>
      </c>
      <c r="C1856" t="str">
        <f t="shared" si="196"/>
        <v>Lincoln</v>
      </c>
      <c r="D1856" t="str">
        <f t="shared" si="197"/>
        <v>Y</v>
      </c>
      <c r="E1856" t="s">
        <v>642</v>
      </c>
      <c r="F1856" t="str">
        <f t="shared" si="198"/>
        <v>Restick</v>
      </c>
      <c r="G1856">
        <f t="shared" si="199"/>
        <v>0</v>
      </c>
      <c r="H1856" t="s">
        <v>573</v>
      </c>
      <c r="I1856">
        <f t="shared" si="200"/>
        <v>0</v>
      </c>
      <c r="J1856" t="s">
        <v>564</v>
      </c>
      <c r="K1856" s="5">
        <v>5</v>
      </c>
      <c r="L1856" t="str">
        <f>Table_DataFromNL[[#This Row],[PROFILECODE]]&amp;"-"&amp;Table_DataFromNL[[#This Row],[RULENAME]]</f>
        <v>CP069-Restick</v>
      </c>
      <c r="M1856" t="e">
        <f t="shared" si="201"/>
        <v>#N/A</v>
      </c>
    </row>
    <row r="1857" spans="1:13" x14ac:dyDescent="0.25">
      <c r="A1857" t="str">
        <f t="shared" si="202"/>
        <v>CP069-SLOW_TEXT_5</v>
      </c>
      <c r="B1857" t="s">
        <v>258</v>
      </c>
      <c r="C1857" t="str">
        <f t="shared" si="196"/>
        <v>Lincoln</v>
      </c>
      <c r="D1857" t="str">
        <f t="shared" si="197"/>
        <v>Y</v>
      </c>
      <c r="E1857" t="s">
        <v>642</v>
      </c>
      <c r="F1857" t="str">
        <f t="shared" si="198"/>
        <v>SLOW_TEXT_5</v>
      </c>
      <c r="G1857">
        <f t="shared" si="199"/>
        <v>0</v>
      </c>
      <c r="H1857" t="s">
        <v>574</v>
      </c>
      <c r="I1857">
        <f t="shared" si="200"/>
        <v>0</v>
      </c>
      <c r="J1857" t="s">
        <v>564</v>
      </c>
      <c r="K1857" s="5">
        <v>5</v>
      </c>
      <c r="L1857" t="str">
        <f>Table_DataFromNL[[#This Row],[PROFILECODE]]&amp;"-"&amp;Table_DataFromNL[[#This Row],[RULENAME]]</f>
        <v>CP069-SLOW_TEXT_5</v>
      </c>
      <c r="M1857" t="e">
        <f t="shared" si="201"/>
        <v>#N/A</v>
      </c>
    </row>
    <row r="1858" spans="1:13" x14ac:dyDescent="0.25">
      <c r="A1858" t="str">
        <f t="shared" si="202"/>
        <v>CP069-Sample Only</v>
      </c>
      <c r="B1858" t="s">
        <v>258</v>
      </c>
      <c r="C1858" t="str">
        <f t="shared" ref="C1858:C1921" si="203">VLOOKUP(B1858,CenterLU,2,FALSE)</f>
        <v>Lincoln</v>
      </c>
      <c r="D1858" t="str">
        <f t="shared" ref="D1858:D1921" si="204">VLOOKUP(B1858,CenterLU,3,FALSE)</f>
        <v>Y</v>
      </c>
      <c r="E1858" t="s">
        <v>642</v>
      </c>
      <c r="F1858" t="str">
        <f t="shared" ref="F1858:F1921" si="205">IF(VLOOKUP(H1858,RULENAMELU,3,FALSE)=0,H1858,VLOOKUP(H1858,RULENAMELU,3,FALSE))</f>
        <v>Sample Only</v>
      </c>
      <c r="G1858">
        <f t="shared" ref="G1858:G1921" si="206">VLOOKUP(H1858,RULENAMELU,4,FALSE)</f>
        <v>0</v>
      </c>
      <c r="H1858" t="s">
        <v>575</v>
      </c>
      <c r="I1858">
        <f t="shared" ref="I1858:I1921" si="207">VLOOKUP(H1858,RULENAMELU,5,FALSE)</f>
        <v>0</v>
      </c>
      <c r="J1858" t="s">
        <v>564</v>
      </c>
      <c r="K1858" s="5">
        <v>5</v>
      </c>
      <c r="L1858" t="str">
        <f>Table_DataFromNL[[#This Row],[PROFILECODE]]&amp;"-"&amp;Table_DataFromNL[[#This Row],[RULENAME]]</f>
        <v>CP069-Sample Only</v>
      </c>
      <c r="M1858" t="e">
        <f t="shared" ref="M1858:M1921" si="208">IFERROR(VLOOKUP(A1858,PaychangesLU,1,FALSE),VLOOKUP(A1858,SpecialtyCheckLU,1,FALSE))</f>
        <v>#N/A</v>
      </c>
    </row>
    <row r="1859" spans="1:13" x14ac:dyDescent="0.25">
      <c r="A1859" t="str">
        <f t="shared" ref="A1859:A1922" si="209">B1859&amp;"-"&amp;F1859</f>
        <v>CP069-Unit Below 250 mL</v>
      </c>
      <c r="B1859" t="s">
        <v>258</v>
      </c>
      <c r="C1859" t="str">
        <f t="shared" si="203"/>
        <v>Lincoln</v>
      </c>
      <c r="D1859" t="str">
        <f t="shared" si="204"/>
        <v>Y</v>
      </c>
      <c r="E1859" t="s">
        <v>642</v>
      </c>
      <c r="F1859" t="str">
        <f t="shared" si="205"/>
        <v>Unit Below 250 mL</v>
      </c>
      <c r="G1859">
        <f t="shared" si="206"/>
        <v>0</v>
      </c>
      <c r="H1859" t="s">
        <v>576</v>
      </c>
      <c r="I1859">
        <f t="shared" si="207"/>
        <v>0</v>
      </c>
      <c r="J1859" t="s">
        <v>564</v>
      </c>
      <c r="K1859" s="5">
        <v>5</v>
      </c>
      <c r="L1859" t="str">
        <f>Table_DataFromNL[[#This Row],[PROFILECODE]]&amp;"-"&amp;Table_DataFromNL[[#This Row],[RULENAME]]</f>
        <v>CP069-Unit Below 250 mL</v>
      </c>
      <c r="M1859" t="e">
        <f t="shared" si="208"/>
        <v>#N/A</v>
      </c>
    </row>
    <row r="1860" spans="1:13" x14ac:dyDescent="0.25">
      <c r="A1860" t="str">
        <f t="shared" si="209"/>
        <v>CP069-Unit above 250 mL/underdraw</v>
      </c>
      <c r="B1860" t="s">
        <v>258</v>
      </c>
      <c r="C1860" t="str">
        <f t="shared" si="203"/>
        <v>Lincoln</v>
      </c>
      <c r="D1860" t="str">
        <f t="shared" si="204"/>
        <v>Y</v>
      </c>
      <c r="E1860" t="s">
        <v>642</v>
      </c>
      <c r="F1860" t="str">
        <f t="shared" si="205"/>
        <v>Unit above 250 mL/underdraw</v>
      </c>
      <c r="G1860">
        <f t="shared" si="206"/>
        <v>0</v>
      </c>
      <c r="H1860" t="s">
        <v>577</v>
      </c>
      <c r="I1860">
        <f t="shared" si="207"/>
        <v>0</v>
      </c>
      <c r="J1860" t="s">
        <v>564</v>
      </c>
      <c r="K1860" s="5">
        <v>10</v>
      </c>
      <c r="L1860" t="str">
        <f>Table_DataFromNL[[#This Row],[PROFILECODE]]&amp;"-"&amp;Table_DataFromNL[[#This Row],[RULENAME]]</f>
        <v>CP069-Unit above 250 mL/underdraw</v>
      </c>
      <c r="M1860" t="e">
        <f t="shared" si="208"/>
        <v>#N/A</v>
      </c>
    </row>
    <row r="1861" spans="1:13" x14ac:dyDescent="0.25">
      <c r="A1861" t="str">
        <f t="shared" si="209"/>
        <v>CP069-RETURN - Buddy referral  -BONUS</v>
      </c>
      <c r="B1861" t="s">
        <v>258</v>
      </c>
      <c r="C1861" t="str">
        <f t="shared" si="203"/>
        <v>Lincoln</v>
      </c>
      <c r="D1861" t="str">
        <f t="shared" si="204"/>
        <v>Y</v>
      </c>
      <c r="E1861" t="s">
        <v>642</v>
      </c>
      <c r="F1861" t="str">
        <f t="shared" si="205"/>
        <v>RETURN - Buddy referral  -BONUS</v>
      </c>
      <c r="G1861" t="str">
        <f t="shared" si="206"/>
        <v>Marketing</v>
      </c>
      <c r="H1861" t="s">
        <v>34</v>
      </c>
      <c r="I1861">
        <f t="shared" si="207"/>
        <v>50</v>
      </c>
      <c r="J1861" t="s">
        <v>578</v>
      </c>
      <c r="K1861" s="5">
        <v>50</v>
      </c>
      <c r="L1861" t="str">
        <f>Table_DataFromNL[[#This Row],[PROFILECODE]]&amp;"-"&amp;Table_DataFromNL[[#This Row],[RULENAME]]</f>
        <v>CP069-Referral</v>
      </c>
      <c r="M1861" t="str">
        <f t="shared" si="208"/>
        <v>CP069-RETURN - Buddy referral  -BONUS</v>
      </c>
    </row>
    <row r="1862" spans="1:13" x14ac:dyDescent="0.25">
      <c r="A1862" t="str">
        <f t="shared" si="209"/>
        <v>CP069-P Anti-D Pre-Existing Standard</v>
      </c>
      <c r="B1862" t="s">
        <v>258</v>
      </c>
      <c r="C1862" t="str">
        <f t="shared" si="203"/>
        <v>Lincoln</v>
      </c>
      <c r="D1862" t="str">
        <f t="shared" si="204"/>
        <v>Y</v>
      </c>
      <c r="E1862" t="s">
        <v>642</v>
      </c>
      <c r="F1862" t="str">
        <f t="shared" si="205"/>
        <v>P Anti-D Pre-Existing Standard</v>
      </c>
      <c r="G1862" t="str">
        <f t="shared" si="206"/>
        <v>Specialty</v>
      </c>
      <c r="H1862" t="s">
        <v>469</v>
      </c>
      <c r="I1862" t="str">
        <f t="shared" si="207"/>
        <v>RETURN - 1st don of the week -STD</v>
      </c>
      <c r="J1862" t="s">
        <v>579</v>
      </c>
      <c r="K1862" s="5">
        <v>100</v>
      </c>
      <c r="L1862" t="str">
        <f>Table_DataFromNL[[#This Row],[PROFILECODE]]&amp;"-"&amp;Table_DataFromNL[[#This Row],[RULENAME]]</f>
        <v>CP069-P Anti-D Pre-Existing Standard</v>
      </c>
      <c r="M1862" t="str">
        <f t="shared" si="208"/>
        <v>CP069-P Anti-D Pre-Existing Standard</v>
      </c>
    </row>
    <row r="1863" spans="1:13" x14ac:dyDescent="0.25">
      <c r="A1863" t="str">
        <f t="shared" si="209"/>
        <v>CP069-P Anti-D Standard</v>
      </c>
      <c r="B1863" t="s">
        <v>258</v>
      </c>
      <c r="C1863" t="str">
        <f t="shared" si="203"/>
        <v>Lincoln</v>
      </c>
      <c r="D1863" t="str">
        <f t="shared" si="204"/>
        <v>Y</v>
      </c>
      <c r="E1863" t="s">
        <v>642</v>
      </c>
      <c r="F1863" t="str">
        <f t="shared" si="205"/>
        <v>P Anti-D Standard</v>
      </c>
      <c r="G1863" t="str">
        <f t="shared" si="206"/>
        <v>Specialty</v>
      </c>
      <c r="H1863" t="s">
        <v>474</v>
      </c>
      <c r="I1863" t="str">
        <f t="shared" si="207"/>
        <v>RETURN - 1st don of the week -STD</v>
      </c>
      <c r="J1863" t="s">
        <v>579</v>
      </c>
      <c r="K1863" s="5">
        <v>100</v>
      </c>
      <c r="L1863" t="str">
        <f>Table_DataFromNL[[#This Row],[PROFILECODE]]&amp;"-"&amp;Table_DataFromNL[[#This Row],[RULENAME]]</f>
        <v>CP069-P Anti-D Standard</v>
      </c>
      <c r="M1863" t="str">
        <f t="shared" si="208"/>
        <v>CP069-P Anti-D Standard</v>
      </c>
    </row>
    <row r="1864" spans="1:13" x14ac:dyDescent="0.25">
      <c r="A1864" t="str">
        <f t="shared" si="209"/>
        <v>CP069-P CMV Standard</v>
      </c>
      <c r="B1864" t="s">
        <v>258</v>
      </c>
      <c r="C1864" t="str">
        <f t="shared" si="203"/>
        <v>Lincoln</v>
      </c>
      <c r="D1864" t="str">
        <f t="shared" si="204"/>
        <v>Y</v>
      </c>
      <c r="E1864" t="s">
        <v>642</v>
      </c>
      <c r="F1864" t="str">
        <f t="shared" si="205"/>
        <v>P CMV Standard</v>
      </c>
      <c r="G1864" t="str">
        <f t="shared" si="206"/>
        <v>Specialty</v>
      </c>
      <c r="H1864" t="s">
        <v>501</v>
      </c>
      <c r="I1864" t="str">
        <f t="shared" si="207"/>
        <v>RETURN - 1st don of the week -STD</v>
      </c>
      <c r="J1864" t="s">
        <v>579</v>
      </c>
      <c r="K1864" s="5">
        <v>45</v>
      </c>
      <c r="L1864" t="str">
        <f>Table_DataFromNL[[#This Row],[PROFILECODE]]&amp;"-"&amp;Table_DataFromNL[[#This Row],[RULENAME]]</f>
        <v>CP069-P CMV Standard</v>
      </c>
      <c r="M1864" t="str">
        <f t="shared" si="208"/>
        <v>CP069-P CMV Standard</v>
      </c>
    </row>
    <row r="1865" spans="1:13" x14ac:dyDescent="0.25">
      <c r="A1865" t="str">
        <f t="shared" si="209"/>
        <v>CP069-P HBS Pre-Existing Standard</v>
      </c>
      <c r="B1865" t="s">
        <v>258</v>
      </c>
      <c r="C1865" t="str">
        <f t="shared" si="203"/>
        <v>Lincoln</v>
      </c>
      <c r="D1865" t="str">
        <f t="shared" si="204"/>
        <v>Y</v>
      </c>
      <c r="E1865" t="s">
        <v>642</v>
      </c>
      <c r="F1865" t="str">
        <f t="shared" si="205"/>
        <v>P HBS Pre-Existing Standard</v>
      </c>
      <c r="G1865" t="str">
        <f t="shared" si="206"/>
        <v>Specialty</v>
      </c>
      <c r="H1865" t="s">
        <v>472</v>
      </c>
      <c r="I1865" t="str">
        <f t="shared" si="207"/>
        <v>RETURN - 1st don of the week -STD</v>
      </c>
      <c r="J1865" t="s">
        <v>579</v>
      </c>
      <c r="K1865" s="5">
        <v>40</v>
      </c>
      <c r="L1865" t="str">
        <f>Table_DataFromNL[[#This Row],[PROFILECODE]]&amp;"-"&amp;Table_DataFromNL[[#This Row],[RULENAME]]</f>
        <v>CP069-P HBS Pre-Existing Standard</v>
      </c>
      <c r="M1865" t="str">
        <f t="shared" si="208"/>
        <v>CP069-P HBS Pre-Existing Standard</v>
      </c>
    </row>
    <row r="1866" spans="1:13" x14ac:dyDescent="0.25">
      <c r="A1866" t="str">
        <f t="shared" si="209"/>
        <v>CP069-P HBS TWINRIX Standard</v>
      </c>
      <c r="B1866" t="s">
        <v>258</v>
      </c>
      <c r="C1866" t="str">
        <f t="shared" si="203"/>
        <v>Lincoln</v>
      </c>
      <c r="D1866" t="str">
        <f t="shared" si="204"/>
        <v>Y</v>
      </c>
      <c r="E1866" t="s">
        <v>642</v>
      </c>
      <c r="F1866" t="str">
        <f t="shared" si="205"/>
        <v>P HBS TWINRIX Standard</v>
      </c>
      <c r="G1866" t="str">
        <f t="shared" si="206"/>
        <v>Specialty</v>
      </c>
      <c r="H1866" t="s">
        <v>506</v>
      </c>
      <c r="I1866" t="str">
        <f t="shared" si="207"/>
        <v>RETURN - 1st don of the week -STD</v>
      </c>
      <c r="J1866" t="s">
        <v>579</v>
      </c>
      <c r="K1866" s="5">
        <v>40</v>
      </c>
      <c r="L1866" t="str">
        <f>Table_DataFromNL[[#This Row],[PROFILECODE]]&amp;"-"&amp;Table_DataFromNL[[#This Row],[RULENAME]]</f>
        <v>CP069-P HBS TWINRIX Standard</v>
      </c>
      <c r="M1866" t="str">
        <f t="shared" si="208"/>
        <v>CP069-P HBS TWINRIX Standard</v>
      </c>
    </row>
    <row r="1867" spans="1:13" x14ac:dyDescent="0.25">
      <c r="A1867" t="str">
        <f t="shared" si="209"/>
        <v>CP069-P HBS TWINRIX-AP Standard</v>
      </c>
      <c r="B1867" t="s">
        <v>258</v>
      </c>
      <c r="C1867" t="str">
        <f t="shared" si="203"/>
        <v>Lincoln</v>
      </c>
      <c r="D1867" t="str">
        <f t="shared" si="204"/>
        <v>Y</v>
      </c>
      <c r="E1867" t="s">
        <v>642</v>
      </c>
      <c r="F1867" t="str">
        <f t="shared" si="205"/>
        <v>P HBS TWINRIX-AP Standard</v>
      </c>
      <c r="G1867" t="str">
        <f t="shared" si="206"/>
        <v>Specialty</v>
      </c>
      <c r="H1867" t="s">
        <v>507</v>
      </c>
      <c r="I1867" t="str">
        <f t="shared" si="207"/>
        <v>RETURN - 1st don of the week -STD</v>
      </c>
      <c r="J1867" t="s">
        <v>579</v>
      </c>
      <c r="K1867" s="5">
        <v>40</v>
      </c>
      <c r="L1867" t="str">
        <f>Table_DataFromNL[[#This Row],[PROFILECODE]]&amp;"-"&amp;Table_DataFromNL[[#This Row],[RULENAME]]</f>
        <v>CP069-P HBS TWINRIX-AP Standard</v>
      </c>
      <c r="M1867" t="str">
        <f t="shared" si="208"/>
        <v>CP069-P HBS TWINRIX-AP Standard</v>
      </c>
    </row>
    <row r="1868" spans="1:13" x14ac:dyDescent="0.25">
      <c r="A1868" t="str">
        <f t="shared" si="209"/>
        <v>CP069-RETURN - 1st don of the week -STD</v>
      </c>
      <c r="B1868" t="s">
        <v>258</v>
      </c>
      <c r="C1868" t="str">
        <f t="shared" si="203"/>
        <v>Lincoln</v>
      </c>
      <c r="D1868" t="str">
        <f t="shared" si="204"/>
        <v>Y</v>
      </c>
      <c r="E1868" t="s">
        <v>642</v>
      </c>
      <c r="F1868" t="str">
        <f t="shared" si="205"/>
        <v>RETURN - 1st don of the week -STD</v>
      </c>
      <c r="G1868" t="str">
        <f t="shared" si="206"/>
        <v>Marketing</v>
      </c>
      <c r="H1868" t="s">
        <v>583</v>
      </c>
      <c r="I1868">
        <f t="shared" si="207"/>
        <v>22</v>
      </c>
      <c r="J1868" t="s">
        <v>579</v>
      </c>
      <c r="K1868" s="5">
        <v>40</v>
      </c>
      <c r="L1868" t="str">
        <f>Table_DataFromNL[[#This Row],[PROFILECODE]]&amp;"-"&amp;Table_DataFromNL[[#This Row],[RULENAME]]</f>
        <v>CP069-P NSP NS AP Standard</v>
      </c>
      <c r="M1868" t="str">
        <f t="shared" si="208"/>
        <v>CP069-RETURN - 1st don of the week -STD</v>
      </c>
    </row>
    <row r="1869" spans="1:13" x14ac:dyDescent="0.25">
      <c r="A1869" t="str">
        <f t="shared" si="209"/>
        <v>CP069-RETURN - 1st don of the week -STD</v>
      </c>
      <c r="B1869" t="s">
        <v>258</v>
      </c>
      <c r="C1869" t="str">
        <f t="shared" si="203"/>
        <v>Lincoln</v>
      </c>
      <c r="D1869" t="str">
        <f t="shared" si="204"/>
        <v>Y</v>
      </c>
      <c r="E1869" t="s">
        <v>642</v>
      </c>
      <c r="F1869" t="str">
        <f t="shared" si="205"/>
        <v>RETURN - 1st don of the week -STD</v>
      </c>
      <c r="G1869" t="str">
        <f t="shared" si="206"/>
        <v>Marketing</v>
      </c>
      <c r="H1869" t="s">
        <v>584</v>
      </c>
      <c r="I1869">
        <f t="shared" si="207"/>
        <v>23</v>
      </c>
      <c r="J1869" t="s">
        <v>579</v>
      </c>
      <c r="K1869" s="5">
        <v>40</v>
      </c>
      <c r="L1869" t="str">
        <f>Table_DataFromNL[[#This Row],[PROFILECODE]]&amp;"-"&amp;Table_DataFromNL[[#This Row],[RULENAME]]</f>
        <v>CP069-P NSP NS Standard</v>
      </c>
      <c r="M1869" t="str">
        <f t="shared" si="208"/>
        <v>CP069-RETURN - 1st don of the week -STD</v>
      </c>
    </row>
    <row r="1870" spans="1:13" x14ac:dyDescent="0.25">
      <c r="A1870" t="str">
        <f t="shared" si="209"/>
        <v>CP069-P Tetanus AP Standard</v>
      </c>
      <c r="B1870" t="s">
        <v>258</v>
      </c>
      <c r="C1870" t="str">
        <f t="shared" si="203"/>
        <v>Lincoln</v>
      </c>
      <c r="D1870" t="str">
        <f t="shared" si="204"/>
        <v>Y</v>
      </c>
      <c r="E1870" t="s">
        <v>642</v>
      </c>
      <c r="F1870" t="str">
        <f t="shared" si="205"/>
        <v>P Tetanus AP Standard</v>
      </c>
      <c r="G1870" t="str">
        <f t="shared" si="206"/>
        <v>Specialty</v>
      </c>
      <c r="H1870" t="s">
        <v>492</v>
      </c>
      <c r="I1870" t="str">
        <f t="shared" si="207"/>
        <v>RETURN - 1st don of the week -STD</v>
      </c>
      <c r="J1870" t="s">
        <v>579</v>
      </c>
      <c r="K1870" s="5">
        <v>100</v>
      </c>
      <c r="L1870" t="str">
        <f>Table_DataFromNL[[#This Row],[PROFILECODE]]&amp;"-"&amp;Table_DataFromNL[[#This Row],[RULENAME]]</f>
        <v>CP069-P Tetanus AP Standard</v>
      </c>
      <c r="M1870" t="str">
        <f t="shared" si="208"/>
        <v>CP069-P Tetanus AP Standard</v>
      </c>
    </row>
    <row r="1871" spans="1:13" x14ac:dyDescent="0.25">
      <c r="A1871" t="str">
        <f t="shared" si="209"/>
        <v>CP069-P Tetanus Pre-Existing Standard</v>
      </c>
      <c r="B1871" t="s">
        <v>258</v>
      </c>
      <c r="C1871" t="str">
        <f t="shared" si="203"/>
        <v>Lincoln</v>
      </c>
      <c r="D1871" t="str">
        <f t="shared" si="204"/>
        <v>Y</v>
      </c>
      <c r="E1871" t="s">
        <v>642</v>
      </c>
      <c r="F1871" t="str">
        <f t="shared" si="205"/>
        <v>P Tetanus Pre-Existing Standard</v>
      </c>
      <c r="G1871" t="str">
        <f t="shared" si="206"/>
        <v>Specialty</v>
      </c>
      <c r="H1871" t="s">
        <v>493</v>
      </c>
      <c r="I1871" t="str">
        <f t="shared" si="207"/>
        <v>RETURN - 1st don of the week -STD</v>
      </c>
      <c r="J1871" t="s">
        <v>579</v>
      </c>
      <c r="K1871" s="5">
        <v>100</v>
      </c>
      <c r="L1871" t="str">
        <f>Table_DataFromNL[[#This Row],[PROFILECODE]]&amp;"-"&amp;Table_DataFromNL[[#This Row],[RULENAME]]</f>
        <v>CP069-P Tetanus Pre-Existing Standard</v>
      </c>
      <c r="M1871" t="str">
        <f t="shared" si="208"/>
        <v>CP069-P Tetanus Pre-Existing Standard</v>
      </c>
    </row>
    <row r="1872" spans="1:13" x14ac:dyDescent="0.25">
      <c r="A1872" t="str">
        <f t="shared" si="209"/>
        <v>CP069-P Tetanus Standard</v>
      </c>
      <c r="B1872" t="s">
        <v>258</v>
      </c>
      <c r="C1872" t="str">
        <f t="shared" si="203"/>
        <v>Lincoln</v>
      </c>
      <c r="D1872" t="str">
        <f t="shared" si="204"/>
        <v>Y</v>
      </c>
      <c r="E1872" t="s">
        <v>642</v>
      </c>
      <c r="F1872" t="str">
        <f t="shared" si="205"/>
        <v>P Tetanus Standard</v>
      </c>
      <c r="G1872" t="str">
        <f t="shared" si="206"/>
        <v>Specialty</v>
      </c>
      <c r="H1872" t="s">
        <v>494</v>
      </c>
      <c r="I1872" t="str">
        <f t="shared" si="207"/>
        <v>RETURN - 1st don of the week -STD</v>
      </c>
      <c r="J1872" t="s">
        <v>579</v>
      </c>
      <c r="K1872" s="5">
        <v>100</v>
      </c>
      <c r="L1872" t="str">
        <f>Table_DataFromNL[[#This Row],[PROFILECODE]]&amp;"-"&amp;Table_DataFromNL[[#This Row],[RULENAME]]</f>
        <v>CP069-P Tetanus Standard</v>
      </c>
      <c r="M1872" t="str">
        <f t="shared" si="208"/>
        <v>CP069-P Tetanus Standard</v>
      </c>
    </row>
    <row r="1873" spans="1:13" x14ac:dyDescent="0.25">
      <c r="A1873" t="str">
        <f t="shared" si="209"/>
        <v>CP069-P Tetanus Tox Standard</v>
      </c>
      <c r="B1873" t="s">
        <v>258</v>
      </c>
      <c r="C1873" t="str">
        <f t="shared" si="203"/>
        <v>Lincoln</v>
      </c>
      <c r="D1873" t="str">
        <f t="shared" si="204"/>
        <v>Y</v>
      </c>
      <c r="E1873" t="s">
        <v>642</v>
      </c>
      <c r="F1873" t="str">
        <f t="shared" si="205"/>
        <v>P Tetanus Tox Standard</v>
      </c>
      <c r="G1873" t="str">
        <f t="shared" si="206"/>
        <v>Specialty</v>
      </c>
      <c r="H1873" t="s">
        <v>508</v>
      </c>
      <c r="I1873" t="str">
        <f t="shared" si="207"/>
        <v>RETURN - 1st don of the week -STD</v>
      </c>
      <c r="J1873" t="s">
        <v>579</v>
      </c>
      <c r="K1873" s="5">
        <v>100</v>
      </c>
      <c r="L1873" t="str">
        <f>Table_DataFromNL[[#This Row],[PROFILECODE]]&amp;"-"&amp;Table_DataFromNL[[#This Row],[RULENAME]]</f>
        <v>CP069-P Tetanus Tox Standard</v>
      </c>
      <c r="M1873" t="str">
        <f t="shared" si="208"/>
        <v>CP069-P Tetanus Tox Standard</v>
      </c>
    </row>
    <row r="1874" spans="1:13" x14ac:dyDescent="0.25">
      <c r="A1874" t="str">
        <f t="shared" si="209"/>
        <v>CP137-1st Responder-Medical</v>
      </c>
      <c r="B1874" t="s">
        <v>274</v>
      </c>
      <c r="C1874" t="str">
        <f t="shared" si="203"/>
        <v>Lincoln N</v>
      </c>
      <c r="D1874" t="str">
        <f t="shared" si="204"/>
        <v>Y</v>
      </c>
      <c r="E1874" t="s">
        <v>643</v>
      </c>
      <c r="F1874" t="str">
        <f t="shared" si="205"/>
        <v>1st Responder-Medical</v>
      </c>
      <c r="G1874">
        <f t="shared" si="206"/>
        <v>0</v>
      </c>
      <c r="H1874" t="s">
        <v>545</v>
      </c>
      <c r="I1874">
        <f t="shared" si="207"/>
        <v>0</v>
      </c>
      <c r="J1874" t="s">
        <v>546</v>
      </c>
      <c r="K1874" s="5">
        <v>5</v>
      </c>
      <c r="L1874" t="str">
        <f>Table_DataFromNL[[#This Row],[PROFILECODE]]&amp;"-"&amp;Table_DataFromNL[[#This Row],[RULENAME]]</f>
        <v>CP137-1st Responder-Medical</v>
      </c>
      <c r="M1874" t="e">
        <f t="shared" si="208"/>
        <v>#N/A</v>
      </c>
    </row>
    <row r="1875" spans="1:13" x14ac:dyDescent="0.25">
      <c r="A1875" t="str">
        <f t="shared" si="209"/>
        <v>CP137-RETURN - 2nd don of the week -BONUS</v>
      </c>
      <c r="B1875" t="s">
        <v>274</v>
      </c>
      <c r="C1875" t="str">
        <f t="shared" si="203"/>
        <v>Lincoln N</v>
      </c>
      <c r="D1875" t="str">
        <f t="shared" si="204"/>
        <v>Y</v>
      </c>
      <c r="E1875" t="s">
        <v>643</v>
      </c>
      <c r="F1875" t="str">
        <f t="shared" si="205"/>
        <v>RETURN - 2nd don of the week -BONUS</v>
      </c>
      <c r="G1875" t="str">
        <f t="shared" si="206"/>
        <v>Marketing</v>
      </c>
      <c r="H1875" t="s">
        <v>550</v>
      </c>
      <c r="I1875">
        <f t="shared" si="207"/>
        <v>26</v>
      </c>
      <c r="J1875" t="s">
        <v>546</v>
      </c>
      <c r="K1875" s="5">
        <v>50</v>
      </c>
      <c r="L1875" t="str">
        <f>Table_DataFromNL[[#This Row],[PROFILECODE]]&amp;"-"&amp;Table_DataFromNL[[#This Row],[RULENAME]]</f>
        <v>CP137-2X Week P NSP NS</v>
      </c>
      <c r="M1875" t="str">
        <f t="shared" si="208"/>
        <v>CP137-RETURN - 2nd don of the week -BONUS</v>
      </c>
    </row>
    <row r="1876" spans="1:13" x14ac:dyDescent="0.25">
      <c r="A1876" t="str">
        <f t="shared" si="209"/>
        <v>CP137-RETURN - 2nd don of the week -BONUS</v>
      </c>
      <c r="B1876" t="s">
        <v>274</v>
      </c>
      <c r="C1876" t="str">
        <f t="shared" si="203"/>
        <v>Lincoln N</v>
      </c>
      <c r="D1876" t="str">
        <f t="shared" si="204"/>
        <v>Y</v>
      </c>
      <c r="E1876" t="s">
        <v>643</v>
      </c>
      <c r="F1876" t="str">
        <f t="shared" si="205"/>
        <v>RETURN - 2nd don of the week -BONUS</v>
      </c>
      <c r="G1876" t="str">
        <f t="shared" si="206"/>
        <v>Marketing</v>
      </c>
      <c r="H1876" t="s">
        <v>551</v>
      </c>
      <c r="I1876" t="str">
        <f t="shared" si="207"/>
        <v>RETURN - 2nd don of the week -BONUS</v>
      </c>
      <c r="J1876" t="s">
        <v>546</v>
      </c>
      <c r="K1876" s="5">
        <v>50</v>
      </c>
      <c r="L1876" t="str">
        <f>Table_DataFromNL[[#This Row],[PROFILECODE]]&amp;"-"&amp;Table_DataFromNL[[#This Row],[RULENAME]]</f>
        <v>CP137-2X Week P NSP NS AP</v>
      </c>
      <c r="M1876" t="str">
        <f t="shared" si="208"/>
        <v>CP137-RETURN - 2nd don of the week -BONUS</v>
      </c>
    </row>
    <row r="1877" spans="1:13" x14ac:dyDescent="0.25">
      <c r="A1877" t="str">
        <f t="shared" si="209"/>
        <v>CP137-College ID Standard Bonus</v>
      </c>
      <c r="B1877" t="s">
        <v>274</v>
      </c>
      <c r="C1877" t="str">
        <f t="shared" si="203"/>
        <v>Lincoln N</v>
      </c>
      <c r="D1877" t="str">
        <f t="shared" si="204"/>
        <v>Y</v>
      </c>
      <c r="E1877" t="s">
        <v>643</v>
      </c>
      <c r="F1877" t="str">
        <f t="shared" si="205"/>
        <v>College ID Standard Bonus</v>
      </c>
      <c r="G1877">
        <f t="shared" si="206"/>
        <v>0</v>
      </c>
      <c r="H1877" t="s">
        <v>553</v>
      </c>
      <c r="I1877">
        <f t="shared" si="207"/>
        <v>0</v>
      </c>
      <c r="J1877" t="s">
        <v>546</v>
      </c>
      <c r="K1877" s="5">
        <v>5</v>
      </c>
      <c r="L1877" t="str">
        <f>Table_DataFromNL[[#This Row],[PROFILECODE]]&amp;"-"&amp;Table_DataFromNL[[#This Row],[RULENAME]]</f>
        <v>CP137-College ID Standard Bonus</v>
      </c>
      <c r="M1877" t="e">
        <f t="shared" si="208"/>
        <v>#N/A</v>
      </c>
    </row>
    <row r="1878" spans="1:13" x14ac:dyDescent="0.25">
      <c r="A1878" t="str">
        <f t="shared" si="209"/>
        <v>CP137-Military ID</v>
      </c>
      <c r="B1878" t="s">
        <v>274</v>
      </c>
      <c r="C1878" t="str">
        <f t="shared" si="203"/>
        <v>Lincoln N</v>
      </c>
      <c r="D1878" t="str">
        <f t="shared" si="204"/>
        <v>Y</v>
      </c>
      <c r="E1878" t="s">
        <v>643</v>
      </c>
      <c r="F1878" t="str">
        <f t="shared" si="205"/>
        <v>Military ID</v>
      </c>
      <c r="G1878">
        <f t="shared" si="206"/>
        <v>0</v>
      </c>
      <c r="H1878" t="s">
        <v>554</v>
      </c>
      <c r="I1878">
        <f t="shared" si="207"/>
        <v>0</v>
      </c>
      <c r="J1878" t="s">
        <v>546</v>
      </c>
      <c r="K1878" s="5">
        <v>5</v>
      </c>
      <c r="L1878" t="str">
        <f>Table_DataFromNL[[#This Row],[PROFILECODE]]&amp;"-"&amp;Table_DataFromNL[[#This Row],[RULENAME]]</f>
        <v>CP137-Military ID</v>
      </c>
      <c r="M1878" t="e">
        <f t="shared" si="208"/>
        <v>#N/A</v>
      </c>
    </row>
    <row r="1879" spans="1:13" x14ac:dyDescent="0.25">
      <c r="A1879" t="str">
        <f t="shared" si="209"/>
        <v>CP137-NEW DONOR -1st</v>
      </c>
      <c r="B1879" t="s">
        <v>274</v>
      </c>
      <c r="C1879" t="str">
        <f t="shared" si="203"/>
        <v>Lincoln N</v>
      </c>
      <c r="D1879" t="str">
        <f t="shared" si="204"/>
        <v>Y</v>
      </c>
      <c r="E1879" t="s">
        <v>643</v>
      </c>
      <c r="F1879" t="str">
        <f t="shared" si="205"/>
        <v>NEW DONOR -1st</v>
      </c>
      <c r="G1879" t="str">
        <f t="shared" si="206"/>
        <v>Marketing</v>
      </c>
      <c r="H1879" t="s">
        <v>555</v>
      </c>
      <c r="I1879">
        <f t="shared" si="207"/>
        <v>1</v>
      </c>
      <c r="J1879" t="s">
        <v>546</v>
      </c>
      <c r="K1879" s="5">
        <v>100</v>
      </c>
      <c r="L1879" t="str">
        <f>Table_DataFromNL[[#This Row],[PROFILECODE]]&amp;"-"&amp;Table_DataFromNL[[#This Row],[RULENAME]]</f>
        <v>CP137-New Donor 1st Visit-Bonus</v>
      </c>
      <c r="M1879" t="str">
        <f t="shared" si="208"/>
        <v>CP137-NEW DONOR -1st</v>
      </c>
    </row>
    <row r="1880" spans="1:13" x14ac:dyDescent="0.25">
      <c r="A1880" t="str">
        <f t="shared" si="209"/>
        <v>CP137-NEW DONOR -2nd</v>
      </c>
      <c r="B1880" t="s">
        <v>274</v>
      </c>
      <c r="C1880" t="str">
        <f t="shared" si="203"/>
        <v>Lincoln N</v>
      </c>
      <c r="D1880" t="str">
        <f t="shared" si="204"/>
        <v>Y</v>
      </c>
      <c r="E1880" t="s">
        <v>643</v>
      </c>
      <c r="F1880" t="str">
        <f t="shared" si="205"/>
        <v>NEW DONOR -2nd</v>
      </c>
      <c r="G1880" t="str">
        <f t="shared" si="206"/>
        <v>Marketing</v>
      </c>
      <c r="H1880" t="s">
        <v>556</v>
      </c>
      <c r="I1880">
        <f t="shared" si="207"/>
        <v>2</v>
      </c>
      <c r="J1880" t="s">
        <v>546</v>
      </c>
      <c r="K1880" s="5">
        <v>100</v>
      </c>
      <c r="L1880" t="str">
        <f>Table_DataFromNL[[#This Row],[PROFILECODE]]&amp;"-"&amp;Table_DataFromNL[[#This Row],[RULENAME]]</f>
        <v>CP137-New Donor 2nd Visit-Bonus</v>
      </c>
      <c r="M1880" t="str">
        <f t="shared" si="208"/>
        <v>CP137-NEW DONOR -2nd</v>
      </c>
    </row>
    <row r="1881" spans="1:13" x14ac:dyDescent="0.25">
      <c r="A1881" t="str">
        <f t="shared" si="209"/>
        <v>CP137-NEW DONOR -3rd</v>
      </c>
      <c r="B1881" t="s">
        <v>274</v>
      </c>
      <c r="C1881" t="str">
        <f t="shared" si="203"/>
        <v>Lincoln N</v>
      </c>
      <c r="D1881" t="str">
        <f t="shared" si="204"/>
        <v>Y</v>
      </c>
      <c r="E1881" t="s">
        <v>643</v>
      </c>
      <c r="F1881" t="str">
        <f t="shared" si="205"/>
        <v>NEW DONOR -3rd</v>
      </c>
      <c r="G1881" t="str">
        <f t="shared" si="206"/>
        <v>Marketing</v>
      </c>
      <c r="H1881" t="s">
        <v>557</v>
      </c>
      <c r="I1881">
        <f t="shared" si="207"/>
        <v>3</v>
      </c>
      <c r="J1881" t="s">
        <v>546</v>
      </c>
      <c r="K1881" s="5">
        <v>100</v>
      </c>
      <c r="L1881" t="str">
        <f>Table_DataFromNL[[#This Row],[PROFILECODE]]&amp;"-"&amp;Table_DataFromNL[[#This Row],[RULENAME]]</f>
        <v>CP137-New Donor 3rd Visit-Bonus</v>
      </c>
      <c r="M1881" t="str">
        <f t="shared" si="208"/>
        <v>CP137-NEW DONOR -3rd</v>
      </c>
    </row>
    <row r="1882" spans="1:13" x14ac:dyDescent="0.25">
      <c r="A1882" t="str">
        <f t="shared" si="209"/>
        <v>CP137-NEW DONOR -4th</v>
      </c>
      <c r="B1882" t="s">
        <v>274</v>
      </c>
      <c r="C1882" t="str">
        <f t="shared" si="203"/>
        <v>Lincoln N</v>
      </c>
      <c r="D1882" t="str">
        <f t="shared" si="204"/>
        <v>Y</v>
      </c>
      <c r="E1882" t="s">
        <v>643</v>
      </c>
      <c r="F1882" t="str">
        <f t="shared" si="205"/>
        <v>NEW DONOR -4th</v>
      </c>
      <c r="G1882" t="str">
        <f t="shared" si="206"/>
        <v>Marketing</v>
      </c>
      <c r="H1882" t="s">
        <v>558</v>
      </c>
      <c r="I1882">
        <f t="shared" si="207"/>
        <v>4</v>
      </c>
      <c r="J1882" t="s">
        <v>546</v>
      </c>
      <c r="K1882" s="5">
        <v>100</v>
      </c>
      <c r="L1882" t="str">
        <f>Table_DataFromNL[[#This Row],[PROFILECODE]]&amp;"-"&amp;Table_DataFromNL[[#This Row],[RULENAME]]</f>
        <v>CP137-New Donor 4th Visit-Bonus</v>
      </c>
      <c r="M1882" t="str">
        <f t="shared" si="208"/>
        <v>CP137-NEW DONOR -4th</v>
      </c>
    </row>
    <row r="1883" spans="1:13" x14ac:dyDescent="0.25">
      <c r="A1883" t="str">
        <f t="shared" si="209"/>
        <v>CP137-NEW DONOR -5th</v>
      </c>
      <c r="B1883" t="s">
        <v>274</v>
      </c>
      <c r="C1883" t="str">
        <f t="shared" si="203"/>
        <v>Lincoln N</v>
      </c>
      <c r="D1883" t="str">
        <f t="shared" si="204"/>
        <v>Y</v>
      </c>
      <c r="E1883" t="s">
        <v>643</v>
      </c>
      <c r="F1883" t="str">
        <f t="shared" si="205"/>
        <v>NEW DONOR -5th</v>
      </c>
      <c r="G1883" t="str">
        <f t="shared" si="206"/>
        <v>Marketing</v>
      </c>
      <c r="H1883" t="s">
        <v>559</v>
      </c>
      <c r="I1883">
        <f t="shared" si="207"/>
        <v>5</v>
      </c>
      <c r="J1883" t="s">
        <v>546</v>
      </c>
      <c r="K1883" s="5">
        <v>40</v>
      </c>
      <c r="L1883" t="str">
        <f>Table_DataFromNL[[#This Row],[PROFILECODE]]&amp;"-"&amp;Table_DataFromNL[[#This Row],[RULENAME]]</f>
        <v>CP137-New Donor 5th Visit-Bonus</v>
      </c>
      <c r="M1883" t="str">
        <f t="shared" si="208"/>
        <v>CP137-NEW DONOR -5th</v>
      </c>
    </row>
    <row r="1884" spans="1:13" x14ac:dyDescent="0.25">
      <c r="A1884" t="str">
        <f t="shared" si="209"/>
        <v>CP137-NEW DONOR -6th</v>
      </c>
      <c r="B1884" t="s">
        <v>274</v>
      </c>
      <c r="C1884" t="str">
        <f t="shared" si="203"/>
        <v>Lincoln N</v>
      </c>
      <c r="D1884" t="str">
        <f t="shared" si="204"/>
        <v>Y</v>
      </c>
      <c r="E1884" t="s">
        <v>643</v>
      </c>
      <c r="F1884" t="str">
        <f t="shared" si="205"/>
        <v>NEW DONOR -6th</v>
      </c>
      <c r="G1884" t="str">
        <f t="shared" si="206"/>
        <v>Marketing</v>
      </c>
      <c r="H1884" t="s">
        <v>560</v>
      </c>
      <c r="I1884">
        <f t="shared" si="207"/>
        <v>6</v>
      </c>
      <c r="J1884" t="s">
        <v>546</v>
      </c>
      <c r="K1884" s="5">
        <v>40</v>
      </c>
      <c r="L1884" t="str">
        <f>Table_DataFromNL[[#This Row],[PROFILECODE]]&amp;"-"&amp;Table_DataFromNL[[#This Row],[RULENAME]]</f>
        <v>CP137-New Donor 6th Visit-Bonus</v>
      </c>
      <c r="M1884" t="str">
        <f t="shared" si="208"/>
        <v>CP137-NEW DONOR -6th</v>
      </c>
    </row>
    <row r="1885" spans="1:13" x14ac:dyDescent="0.25">
      <c r="A1885" t="str">
        <f t="shared" si="209"/>
        <v>CP137-NEW DONOR -7th</v>
      </c>
      <c r="B1885" t="s">
        <v>274</v>
      </c>
      <c r="C1885" t="str">
        <f t="shared" si="203"/>
        <v>Lincoln N</v>
      </c>
      <c r="D1885" t="str">
        <f t="shared" si="204"/>
        <v>Y</v>
      </c>
      <c r="E1885" t="s">
        <v>643</v>
      </c>
      <c r="F1885" t="str">
        <f t="shared" si="205"/>
        <v>NEW DONOR -7th</v>
      </c>
      <c r="G1885" t="str">
        <f t="shared" si="206"/>
        <v>Marketing</v>
      </c>
      <c r="H1885" t="s">
        <v>561</v>
      </c>
      <c r="I1885">
        <f t="shared" si="207"/>
        <v>7</v>
      </c>
      <c r="J1885" t="s">
        <v>546</v>
      </c>
      <c r="K1885" s="5">
        <v>40</v>
      </c>
      <c r="L1885" t="str">
        <f>Table_DataFromNL[[#This Row],[PROFILECODE]]&amp;"-"&amp;Table_DataFromNL[[#This Row],[RULENAME]]</f>
        <v>CP137-New Donor 7th Visit-Bonus</v>
      </c>
      <c r="M1885" t="str">
        <f t="shared" si="208"/>
        <v>CP137-NEW DONOR -7th</v>
      </c>
    </row>
    <row r="1886" spans="1:13" x14ac:dyDescent="0.25">
      <c r="A1886" t="str">
        <f t="shared" si="209"/>
        <v>CP137-NEW DONOR -8th</v>
      </c>
      <c r="B1886" t="s">
        <v>274</v>
      </c>
      <c r="C1886" t="str">
        <f t="shared" si="203"/>
        <v>Lincoln N</v>
      </c>
      <c r="D1886" t="str">
        <f t="shared" si="204"/>
        <v>Y</v>
      </c>
      <c r="E1886" t="s">
        <v>643</v>
      </c>
      <c r="F1886" t="str">
        <f t="shared" si="205"/>
        <v>NEW DONOR -8th</v>
      </c>
      <c r="G1886" t="str">
        <f t="shared" si="206"/>
        <v>Marketing</v>
      </c>
      <c r="H1886" t="s">
        <v>562</v>
      </c>
      <c r="I1886">
        <f t="shared" si="207"/>
        <v>8</v>
      </c>
      <c r="J1886" t="s">
        <v>546</v>
      </c>
      <c r="K1886" s="5">
        <v>40</v>
      </c>
      <c r="L1886" t="str">
        <f>Table_DataFromNL[[#This Row],[PROFILECODE]]&amp;"-"&amp;Table_DataFromNL[[#This Row],[RULENAME]]</f>
        <v>CP137-New Donor 8th Visit-Bonus</v>
      </c>
      <c r="M1886" t="str">
        <f t="shared" si="208"/>
        <v>CP137-NEW DONOR -8th</v>
      </c>
    </row>
    <row r="1887" spans="1:13" x14ac:dyDescent="0.25">
      <c r="A1887" t="str">
        <f t="shared" si="209"/>
        <v>CP137-Community</v>
      </c>
      <c r="B1887" t="s">
        <v>274</v>
      </c>
      <c r="C1887" t="str">
        <f t="shared" si="203"/>
        <v>Lincoln N</v>
      </c>
      <c r="D1887" t="str">
        <f t="shared" si="204"/>
        <v>Y</v>
      </c>
      <c r="E1887" t="s">
        <v>643</v>
      </c>
      <c r="F1887" t="str">
        <f t="shared" si="205"/>
        <v>Community</v>
      </c>
      <c r="G1887">
        <f t="shared" si="206"/>
        <v>0</v>
      </c>
      <c r="H1887" t="s">
        <v>563</v>
      </c>
      <c r="I1887">
        <f t="shared" si="207"/>
        <v>0</v>
      </c>
      <c r="J1887" t="s">
        <v>564</v>
      </c>
      <c r="K1887" s="5">
        <v>5</v>
      </c>
      <c r="L1887" t="str">
        <f>Table_DataFromNL[[#This Row],[PROFILECODE]]&amp;"-"&amp;Table_DataFromNL[[#This Row],[RULENAME]]</f>
        <v>CP137-Community</v>
      </c>
      <c r="M1887" t="e">
        <f t="shared" si="208"/>
        <v>#N/A</v>
      </c>
    </row>
    <row r="1888" spans="1:13" x14ac:dyDescent="0.25">
      <c r="A1888" t="str">
        <f t="shared" si="209"/>
        <v>CP137-HANGER_RECRUIT_5USD_once</v>
      </c>
      <c r="B1888" t="s">
        <v>274</v>
      </c>
      <c r="C1888" t="str">
        <f t="shared" si="203"/>
        <v>Lincoln N</v>
      </c>
      <c r="D1888" t="str">
        <f t="shared" si="204"/>
        <v>Y</v>
      </c>
      <c r="E1888" t="s">
        <v>643</v>
      </c>
      <c r="F1888" t="str">
        <f t="shared" si="205"/>
        <v>HANGER_RECRUIT_5USD_once</v>
      </c>
      <c r="G1888">
        <f t="shared" si="206"/>
        <v>0</v>
      </c>
      <c r="H1888" t="s">
        <v>565</v>
      </c>
      <c r="I1888">
        <f t="shared" si="207"/>
        <v>0</v>
      </c>
      <c r="J1888" t="s">
        <v>564</v>
      </c>
      <c r="K1888" s="5">
        <v>5</v>
      </c>
      <c r="L1888" t="str">
        <f>Table_DataFromNL[[#This Row],[PROFILECODE]]&amp;"-"&amp;Table_DataFromNL[[#This Row],[RULENAME]]</f>
        <v>CP137-HANGER_RECRUIT_5USD_once</v>
      </c>
      <c r="M1888" t="e">
        <f t="shared" si="208"/>
        <v>#N/A</v>
      </c>
    </row>
    <row r="1889" spans="1:13" x14ac:dyDescent="0.25">
      <c r="A1889" t="str">
        <f t="shared" si="209"/>
        <v>CP137-Inconv Fee $20-$50-Comment Req'd</v>
      </c>
      <c r="B1889" t="s">
        <v>274</v>
      </c>
      <c r="C1889" t="str">
        <f t="shared" si="203"/>
        <v>Lincoln N</v>
      </c>
      <c r="D1889" t="str">
        <f t="shared" si="204"/>
        <v>Y</v>
      </c>
      <c r="E1889" t="s">
        <v>643</v>
      </c>
      <c r="F1889" t="str">
        <f t="shared" si="205"/>
        <v>Inconv Fee $20-$50-Comment Req'd</v>
      </c>
      <c r="G1889">
        <f t="shared" si="206"/>
        <v>0</v>
      </c>
      <c r="H1889" t="s">
        <v>566</v>
      </c>
      <c r="I1889">
        <f t="shared" si="207"/>
        <v>0</v>
      </c>
      <c r="J1889" t="s">
        <v>564</v>
      </c>
      <c r="K1889" s="5">
        <v>50</v>
      </c>
      <c r="L1889" t="str">
        <f>Table_DataFromNL[[#This Row],[PROFILECODE]]&amp;"-"&amp;Table_DataFromNL[[#This Row],[RULENAME]]</f>
        <v>CP137-Inconv Fee $20-$50-Comment Req'd</v>
      </c>
      <c r="M1889" t="e">
        <f t="shared" si="208"/>
        <v>#N/A</v>
      </c>
    </row>
    <row r="1890" spans="1:13" x14ac:dyDescent="0.25">
      <c r="A1890" t="str">
        <f t="shared" si="209"/>
        <v>CP137-Inconv Fee $5-$20-Comment Req'd</v>
      </c>
      <c r="B1890" t="s">
        <v>274</v>
      </c>
      <c r="C1890" t="str">
        <f t="shared" si="203"/>
        <v>Lincoln N</v>
      </c>
      <c r="D1890" t="str">
        <f t="shared" si="204"/>
        <v>Y</v>
      </c>
      <c r="E1890" t="s">
        <v>643</v>
      </c>
      <c r="F1890" t="str">
        <f t="shared" si="205"/>
        <v>Inconv Fee $5-$20-Comment Req'd</v>
      </c>
      <c r="G1890">
        <f t="shared" si="206"/>
        <v>0</v>
      </c>
      <c r="H1890" t="s">
        <v>567</v>
      </c>
      <c r="I1890">
        <f t="shared" si="207"/>
        <v>0</v>
      </c>
      <c r="J1890" t="s">
        <v>564</v>
      </c>
      <c r="K1890" s="5">
        <v>20</v>
      </c>
      <c r="L1890" t="str">
        <f>Table_DataFromNL[[#This Row],[PROFILECODE]]&amp;"-"&amp;Table_DataFromNL[[#This Row],[RULENAME]]</f>
        <v>CP137-Inconv Fee $5-$20-Comment Req'd</v>
      </c>
      <c r="M1890" t="e">
        <f t="shared" si="208"/>
        <v>#N/A</v>
      </c>
    </row>
    <row r="1891" spans="1:13" x14ac:dyDescent="0.25">
      <c r="A1891" t="str">
        <f t="shared" si="209"/>
        <v>CP137-Inconv Fee$50-$100-Comment Req'd</v>
      </c>
      <c r="B1891" t="s">
        <v>274</v>
      </c>
      <c r="C1891" t="str">
        <f t="shared" si="203"/>
        <v>Lincoln N</v>
      </c>
      <c r="D1891" t="str">
        <f t="shared" si="204"/>
        <v>Y</v>
      </c>
      <c r="E1891" t="s">
        <v>643</v>
      </c>
      <c r="F1891" t="str">
        <f t="shared" si="205"/>
        <v>Inconv Fee$50-$100-Comment Req'd</v>
      </c>
      <c r="G1891">
        <f t="shared" si="206"/>
        <v>0</v>
      </c>
      <c r="H1891" t="s">
        <v>568</v>
      </c>
      <c r="I1891">
        <f t="shared" si="207"/>
        <v>0</v>
      </c>
      <c r="J1891" t="s">
        <v>564</v>
      </c>
      <c r="K1891" s="5">
        <v>100</v>
      </c>
      <c r="L1891" t="str">
        <f>Table_DataFromNL[[#This Row],[PROFILECODE]]&amp;"-"&amp;Table_DataFromNL[[#This Row],[RULENAME]]</f>
        <v>CP137-Inconv Fee$50-$100-Comment Req'd</v>
      </c>
      <c r="M1891" t="e">
        <f t="shared" si="208"/>
        <v>#N/A</v>
      </c>
    </row>
    <row r="1892" spans="1:13" x14ac:dyDescent="0.25">
      <c r="A1892" t="str">
        <f t="shared" si="209"/>
        <v>CP137-NSP_ LAPSEDONOR_50_Twice</v>
      </c>
      <c r="B1892" t="s">
        <v>274</v>
      </c>
      <c r="C1892" t="str">
        <f t="shared" si="203"/>
        <v>Lincoln N</v>
      </c>
      <c r="D1892" t="str">
        <f t="shared" si="204"/>
        <v>Y</v>
      </c>
      <c r="E1892" t="s">
        <v>643</v>
      </c>
      <c r="F1892" t="str">
        <f t="shared" si="205"/>
        <v>NSP_ LAPSEDONOR_50_Twice</v>
      </c>
      <c r="G1892">
        <f t="shared" si="206"/>
        <v>0</v>
      </c>
      <c r="H1892" t="s">
        <v>569</v>
      </c>
      <c r="I1892">
        <f t="shared" si="207"/>
        <v>0</v>
      </c>
      <c r="J1892" t="s">
        <v>564</v>
      </c>
      <c r="K1892" s="5">
        <v>50</v>
      </c>
      <c r="L1892" t="str">
        <f>Table_DataFromNL[[#This Row],[PROFILECODE]]&amp;"-"&amp;Table_DataFromNL[[#This Row],[RULENAME]]</f>
        <v>CP137-NSP_ LAPSEDONOR_50_Twice</v>
      </c>
      <c r="M1892" t="e">
        <f t="shared" si="208"/>
        <v>#N/A</v>
      </c>
    </row>
    <row r="1893" spans="1:13" x14ac:dyDescent="0.25">
      <c r="A1893" t="str">
        <f t="shared" si="209"/>
        <v>CP137-NSP_LD_25_2X</v>
      </c>
      <c r="B1893" t="s">
        <v>274</v>
      </c>
      <c r="C1893" t="str">
        <f t="shared" si="203"/>
        <v>Lincoln N</v>
      </c>
      <c r="D1893" t="str">
        <f t="shared" si="204"/>
        <v>Y</v>
      </c>
      <c r="E1893" t="s">
        <v>643</v>
      </c>
      <c r="F1893" t="str">
        <f t="shared" si="205"/>
        <v>NSP_LD_25_2X</v>
      </c>
      <c r="G1893">
        <f t="shared" si="206"/>
        <v>0</v>
      </c>
      <c r="H1893" t="s">
        <v>570</v>
      </c>
      <c r="I1893">
        <f t="shared" si="207"/>
        <v>0</v>
      </c>
      <c r="J1893" t="s">
        <v>564</v>
      </c>
      <c r="K1893" s="5">
        <v>25</v>
      </c>
      <c r="L1893" t="str">
        <f>Table_DataFromNL[[#This Row],[PROFILECODE]]&amp;"-"&amp;Table_DataFromNL[[#This Row],[RULENAME]]</f>
        <v>CP137-NSP_LD_25_2X</v>
      </c>
      <c r="M1893" t="e">
        <f t="shared" si="208"/>
        <v>#N/A</v>
      </c>
    </row>
    <row r="1894" spans="1:13" x14ac:dyDescent="0.25">
      <c r="A1894" t="str">
        <f t="shared" si="209"/>
        <v>CP137-NSP_LD_50_1X</v>
      </c>
      <c r="B1894" t="s">
        <v>274</v>
      </c>
      <c r="C1894" t="str">
        <f t="shared" si="203"/>
        <v>Lincoln N</v>
      </c>
      <c r="D1894" t="str">
        <f t="shared" si="204"/>
        <v>Y</v>
      </c>
      <c r="E1894" t="s">
        <v>643</v>
      </c>
      <c r="F1894" t="str">
        <f t="shared" si="205"/>
        <v>NSP_LD_50_1X</v>
      </c>
      <c r="G1894">
        <f t="shared" si="206"/>
        <v>0</v>
      </c>
      <c r="H1894" t="s">
        <v>571</v>
      </c>
      <c r="I1894">
        <f t="shared" si="207"/>
        <v>0</v>
      </c>
      <c r="J1894" t="s">
        <v>564</v>
      </c>
      <c r="K1894" s="5">
        <v>50</v>
      </c>
      <c r="L1894" t="str">
        <f>Table_DataFromNL[[#This Row],[PROFILECODE]]&amp;"-"&amp;Table_DataFromNL[[#This Row],[RULENAME]]</f>
        <v>CP137-NSP_LD_50_1X</v>
      </c>
      <c r="M1894" t="e">
        <f t="shared" si="208"/>
        <v>#N/A</v>
      </c>
    </row>
    <row r="1895" spans="1:13" x14ac:dyDescent="0.25">
      <c r="A1895" t="str">
        <f t="shared" si="209"/>
        <v>CP137-NSP_ORPHAN_100_once</v>
      </c>
      <c r="B1895" t="s">
        <v>274</v>
      </c>
      <c r="C1895" t="str">
        <f t="shared" si="203"/>
        <v>Lincoln N</v>
      </c>
      <c r="D1895" t="str">
        <f t="shared" si="204"/>
        <v>Y</v>
      </c>
      <c r="E1895" t="s">
        <v>643</v>
      </c>
      <c r="F1895" t="str">
        <f t="shared" si="205"/>
        <v>NSP_ORPHAN_100_once</v>
      </c>
      <c r="G1895">
        <f t="shared" si="206"/>
        <v>0</v>
      </c>
      <c r="H1895" t="s">
        <v>572</v>
      </c>
      <c r="I1895">
        <f t="shared" si="207"/>
        <v>0</v>
      </c>
      <c r="J1895" t="s">
        <v>564</v>
      </c>
      <c r="K1895" s="5">
        <v>100</v>
      </c>
      <c r="L1895" t="str">
        <f>Table_DataFromNL[[#This Row],[PROFILECODE]]&amp;"-"&amp;Table_DataFromNL[[#This Row],[RULENAME]]</f>
        <v>CP137-NSP_ORPHAN_100_once</v>
      </c>
      <c r="M1895" t="e">
        <f t="shared" si="208"/>
        <v>#N/A</v>
      </c>
    </row>
    <row r="1896" spans="1:13" x14ac:dyDescent="0.25">
      <c r="A1896" t="str">
        <f t="shared" si="209"/>
        <v>CP137-Restick</v>
      </c>
      <c r="B1896" t="s">
        <v>274</v>
      </c>
      <c r="C1896" t="str">
        <f t="shared" si="203"/>
        <v>Lincoln N</v>
      </c>
      <c r="D1896" t="str">
        <f t="shared" si="204"/>
        <v>Y</v>
      </c>
      <c r="E1896" t="s">
        <v>643</v>
      </c>
      <c r="F1896" t="str">
        <f t="shared" si="205"/>
        <v>Restick</v>
      </c>
      <c r="G1896">
        <f t="shared" si="206"/>
        <v>0</v>
      </c>
      <c r="H1896" t="s">
        <v>573</v>
      </c>
      <c r="I1896">
        <f t="shared" si="207"/>
        <v>0</v>
      </c>
      <c r="J1896" t="s">
        <v>564</v>
      </c>
      <c r="K1896" s="5">
        <v>5</v>
      </c>
      <c r="L1896" t="str">
        <f>Table_DataFromNL[[#This Row],[PROFILECODE]]&amp;"-"&amp;Table_DataFromNL[[#This Row],[RULENAME]]</f>
        <v>CP137-Restick</v>
      </c>
      <c r="M1896" t="e">
        <f t="shared" si="208"/>
        <v>#N/A</v>
      </c>
    </row>
    <row r="1897" spans="1:13" x14ac:dyDescent="0.25">
      <c r="A1897" t="str">
        <f t="shared" si="209"/>
        <v>CP137-SLOW_TEXT_5</v>
      </c>
      <c r="B1897" t="s">
        <v>274</v>
      </c>
      <c r="C1897" t="str">
        <f t="shared" si="203"/>
        <v>Lincoln N</v>
      </c>
      <c r="D1897" t="str">
        <f t="shared" si="204"/>
        <v>Y</v>
      </c>
      <c r="E1897" t="s">
        <v>643</v>
      </c>
      <c r="F1897" t="str">
        <f t="shared" si="205"/>
        <v>SLOW_TEXT_5</v>
      </c>
      <c r="G1897">
        <f t="shared" si="206"/>
        <v>0</v>
      </c>
      <c r="H1897" t="s">
        <v>574</v>
      </c>
      <c r="I1897">
        <f t="shared" si="207"/>
        <v>0</v>
      </c>
      <c r="J1897" t="s">
        <v>564</v>
      </c>
      <c r="K1897" s="5">
        <v>5</v>
      </c>
      <c r="L1897" t="str">
        <f>Table_DataFromNL[[#This Row],[PROFILECODE]]&amp;"-"&amp;Table_DataFromNL[[#This Row],[RULENAME]]</f>
        <v>CP137-SLOW_TEXT_5</v>
      </c>
      <c r="M1897" t="e">
        <f t="shared" si="208"/>
        <v>#N/A</v>
      </c>
    </row>
    <row r="1898" spans="1:13" x14ac:dyDescent="0.25">
      <c r="A1898" t="str">
        <f t="shared" si="209"/>
        <v>CP137-Sample Only</v>
      </c>
      <c r="B1898" t="s">
        <v>274</v>
      </c>
      <c r="C1898" t="str">
        <f t="shared" si="203"/>
        <v>Lincoln N</v>
      </c>
      <c r="D1898" t="str">
        <f t="shared" si="204"/>
        <v>Y</v>
      </c>
      <c r="E1898" t="s">
        <v>643</v>
      </c>
      <c r="F1898" t="str">
        <f t="shared" si="205"/>
        <v>Sample Only</v>
      </c>
      <c r="G1898">
        <f t="shared" si="206"/>
        <v>0</v>
      </c>
      <c r="H1898" t="s">
        <v>575</v>
      </c>
      <c r="I1898">
        <f t="shared" si="207"/>
        <v>0</v>
      </c>
      <c r="J1898" t="s">
        <v>564</v>
      </c>
      <c r="K1898" s="5">
        <v>5</v>
      </c>
      <c r="L1898" t="str">
        <f>Table_DataFromNL[[#This Row],[PROFILECODE]]&amp;"-"&amp;Table_DataFromNL[[#This Row],[RULENAME]]</f>
        <v>CP137-Sample Only</v>
      </c>
      <c r="M1898" t="e">
        <f t="shared" si="208"/>
        <v>#N/A</v>
      </c>
    </row>
    <row r="1899" spans="1:13" x14ac:dyDescent="0.25">
      <c r="A1899" t="str">
        <f t="shared" si="209"/>
        <v>CP137-Unit Below 250 mL</v>
      </c>
      <c r="B1899" t="s">
        <v>274</v>
      </c>
      <c r="C1899" t="str">
        <f t="shared" si="203"/>
        <v>Lincoln N</v>
      </c>
      <c r="D1899" t="str">
        <f t="shared" si="204"/>
        <v>Y</v>
      </c>
      <c r="E1899" t="s">
        <v>643</v>
      </c>
      <c r="F1899" t="str">
        <f t="shared" si="205"/>
        <v>Unit Below 250 mL</v>
      </c>
      <c r="G1899">
        <f t="shared" si="206"/>
        <v>0</v>
      </c>
      <c r="H1899" t="s">
        <v>576</v>
      </c>
      <c r="I1899">
        <f t="shared" si="207"/>
        <v>0</v>
      </c>
      <c r="J1899" t="s">
        <v>564</v>
      </c>
      <c r="K1899" s="5">
        <v>5</v>
      </c>
      <c r="L1899" t="str">
        <f>Table_DataFromNL[[#This Row],[PROFILECODE]]&amp;"-"&amp;Table_DataFromNL[[#This Row],[RULENAME]]</f>
        <v>CP137-Unit Below 250 mL</v>
      </c>
      <c r="M1899" t="e">
        <f t="shared" si="208"/>
        <v>#N/A</v>
      </c>
    </row>
    <row r="1900" spans="1:13" x14ac:dyDescent="0.25">
      <c r="A1900" t="str">
        <f t="shared" si="209"/>
        <v>CP137-Unit above 250 mL/underdraw</v>
      </c>
      <c r="B1900" t="s">
        <v>274</v>
      </c>
      <c r="C1900" t="str">
        <f t="shared" si="203"/>
        <v>Lincoln N</v>
      </c>
      <c r="D1900" t="str">
        <f t="shared" si="204"/>
        <v>Y</v>
      </c>
      <c r="E1900" t="s">
        <v>643</v>
      </c>
      <c r="F1900" t="str">
        <f t="shared" si="205"/>
        <v>Unit above 250 mL/underdraw</v>
      </c>
      <c r="G1900">
        <f t="shared" si="206"/>
        <v>0</v>
      </c>
      <c r="H1900" t="s">
        <v>577</v>
      </c>
      <c r="I1900">
        <f t="shared" si="207"/>
        <v>0</v>
      </c>
      <c r="J1900" t="s">
        <v>564</v>
      </c>
      <c r="K1900" s="5">
        <v>10</v>
      </c>
      <c r="L1900" t="str">
        <f>Table_DataFromNL[[#This Row],[PROFILECODE]]&amp;"-"&amp;Table_DataFromNL[[#This Row],[RULENAME]]</f>
        <v>CP137-Unit above 250 mL/underdraw</v>
      </c>
      <c r="M1900" t="e">
        <f t="shared" si="208"/>
        <v>#N/A</v>
      </c>
    </row>
    <row r="1901" spans="1:13" x14ac:dyDescent="0.25">
      <c r="A1901" t="str">
        <f t="shared" si="209"/>
        <v>CP137-RETURN - Buddy referral  -BONUS</v>
      </c>
      <c r="B1901" t="s">
        <v>274</v>
      </c>
      <c r="C1901" t="str">
        <f t="shared" si="203"/>
        <v>Lincoln N</v>
      </c>
      <c r="D1901" t="str">
        <f t="shared" si="204"/>
        <v>Y</v>
      </c>
      <c r="E1901" t="s">
        <v>643</v>
      </c>
      <c r="F1901" t="str">
        <f t="shared" si="205"/>
        <v>RETURN - Buddy referral  -BONUS</v>
      </c>
      <c r="G1901" t="str">
        <f t="shared" si="206"/>
        <v>Marketing</v>
      </c>
      <c r="H1901" t="s">
        <v>34</v>
      </c>
      <c r="I1901">
        <f t="shared" si="207"/>
        <v>50</v>
      </c>
      <c r="J1901" t="s">
        <v>578</v>
      </c>
      <c r="K1901" s="5">
        <v>50</v>
      </c>
      <c r="L1901" t="str">
        <f>Table_DataFromNL[[#This Row],[PROFILECODE]]&amp;"-"&amp;Table_DataFromNL[[#This Row],[RULENAME]]</f>
        <v>CP137-Referral</v>
      </c>
      <c r="M1901" t="str">
        <f t="shared" si="208"/>
        <v>CP137-RETURN - Buddy referral  -BONUS</v>
      </c>
    </row>
    <row r="1902" spans="1:13" x14ac:dyDescent="0.25">
      <c r="A1902" t="str">
        <f t="shared" si="209"/>
        <v>CP137-P Anti-D Pre-Existing Standard</v>
      </c>
      <c r="B1902" t="s">
        <v>274</v>
      </c>
      <c r="C1902" t="str">
        <f t="shared" si="203"/>
        <v>Lincoln N</v>
      </c>
      <c r="D1902" t="str">
        <f t="shared" si="204"/>
        <v>Y</v>
      </c>
      <c r="E1902" t="s">
        <v>643</v>
      </c>
      <c r="F1902" t="str">
        <f t="shared" si="205"/>
        <v>P Anti-D Pre-Existing Standard</v>
      </c>
      <c r="G1902" t="str">
        <f t="shared" si="206"/>
        <v>Specialty</v>
      </c>
      <c r="H1902" t="s">
        <v>469</v>
      </c>
      <c r="I1902" t="str">
        <f t="shared" si="207"/>
        <v>RETURN - 1st don of the week -STD</v>
      </c>
      <c r="J1902" t="s">
        <v>579</v>
      </c>
      <c r="K1902" s="5">
        <v>50</v>
      </c>
      <c r="L1902" t="str">
        <f>Table_DataFromNL[[#This Row],[PROFILECODE]]&amp;"-"&amp;Table_DataFromNL[[#This Row],[RULENAME]]</f>
        <v>CP137-P Anti-D Pre-Existing Standard</v>
      </c>
      <c r="M1902" t="str">
        <f t="shared" si="208"/>
        <v>CP137-P Anti-D Pre-Existing Standard</v>
      </c>
    </row>
    <row r="1903" spans="1:13" x14ac:dyDescent="0.25">
      <c r="A1903" t="str">
        <f t="shared" si="209"/>
        <v>CP137-RETURN - 1st don of the week -STD</v>
      </c>
      <c r="B1903" t="s">
        <v>274</v>
      </c>
      <c r="C1903" t="str">
        <f t="shared" si="203"/>
        <v>Lincoln N</v>
      </c>
      <c r="D1903" t="str">
        <f t="shared" si="204"/>
        <v>Y</v>
      </c>
      <c r="E1903" t="s">
        <v>643</v>
      </c>
      <c r="F1903" t="str">
        <f t="shared" si="205"/>
        <v>RETURN - 1st don of the week -STD</v>
      </c>
      <c r="G1903" t="str">
        <f t="shared" si="206"/>
        <v>Marketing</v>
      </c>
      <c r="H1903" t="s">
        <v>583</v>
      </c>
      <c r="I1903">
        <f t="shared" si="207"/>
        <v>22</v>
      </c>
      <c r="J1903" t="s">
        <v>579</v>
      </c>
      <c r="K1903" s="5">
        <v>40</v>
      </c>
      <c r="L1903" t="str">
        <f>Table_DataFromNL[[#This Row],[PROFILECODE]]&amp;"-"&amp;Table_DataFromNL[[#This Row],[RULENAME]]</f>
        <v>CP137-P NSP NS AP Standard</v>
      </c>
      <c r="M1903" t="str">
        <f t="shared" si="208"/>
        <v>CP137-RETURN - 1st don of the week -STD</v>
      </c>
    </row>
    <row r="1904" spans="1:13" x14ac:dyDescent="0.25">
      <c r="A1904" t="str">
        <f t="shared" si="209"/>
        <v>CP137-RETURN - 1st don of the week -STD</v>
      </c>
      <c r="B1904" t="s">
        <v>274</v>
      </c>
      <c r="C1904" t="str">
        <f t="shared" si="203"/>
        <v>Lincoln N</v>
      </c>
      <c r="D1904" t="str">
        <f t="shared" si="204"/>
        <v>Y</v>
      </c>
      <c r="E1904" t="s">
        <v>643</v>
      </c>
      <c r="F1904" t="str">
        <f t="shared" si="205"/>
        <v>RETURN - 1st don of the week -STD</v>
      </c>
      <c r="G1904" t="str">
        <f t="shared" si="206"/>
        <v>Marketing</v>
      </c>
      <c r="H1904" t="s">
        <v>584</v>
      </c>
      <c r="I1904">
        <f t="shared" si="207"/>
        <v>23</v>
      </c>
      <c r="J1904" t="s">
        <v>579</v>
      </c>
      <c r="K1904" s="5">
        <v>40</v>
      </c>
      <c r="L1904" t="str">
        <f>Table_DataFromNL[[#This Row],[PROFILECODE]]&amp;"-"&amp;Table_DataFromNL[[#This Row],[RULENAME]]</f>
        <v>CP137-P NSP NS Standard</v>
      </c>
      <c r="M1904" t="str">
        <f t="shared" si="208"/>
        <v>CP137-RETURN - 1st don of the week -STD</v>
      </c>
    </row>
    <row r="1905" spans="1:13" x14ac:dyDescent="0.25">
      <c r="A1905" t="str">
        <f t="shared" si="209"/>
        <v>CP949-1st Responder-Medical</v>
      </c>
      <c r="B1905" t="s">
        <v>225</v>
      </c>
      <c r="C1905" t="str">
        <f t="shared" si="203"/>
        <v>lithia Springs</v>
      </c>
      <c r="D1905" t="str">
        <f t="shared" si="204"/>
        <v>Y</v>
      </c>
      <c r="E1905" t="s">
        <v>644</v>
      </c>
      <c r="F1905" t="str">
        <f t="shared" si="205"/>
        <v>1st Responder-Medical</v>
      </c>
      <c r="G1905">
        <f t="shared" si="206"/>
        <v>0</v>
      </c>
      <c r="H1905" t="s">
        <v>545</v>
      </c>
      <c r="I1905">
        <f t="shared" si="207"/>
        <v>0</v>
      </c>
      <c r="J1905" t="s">
        <v>546</v>
      </c>
      <c r="K1905" s="5">
        <v>5</v>
      </c>
      <c r="L1905" t="str">
        <f>Table_DataFromNL[[#This Row],[PROFILECODE]]&amp;"-"&amp;Table_DataFromNL[[#This Row],[RULENAME]]</f>
        <v>CP949-1st Responder-Medical</v>
      </c>
      <c r="M1905" t="e">
        <f t="shared" si="208"/>
        <v>#N/A</v>
      </c>
    </row>
    <row r="1906" spans="1:13" x14ac:dyDescent="0.25">
      <c r="A1906" t="str">
        <f t="shared" si="209"/>
        <v>CP949-RETURN - 2nd don of the week -BONUS</v>
      </c>
      <c r="B1906" t="s">
        <v>225</v>
      </c>
      <c r="C1906" t="str">
        <f t="shared" si="203"/>
        <v>lithia Springs</v>
      </c>
      <c r="D1906" t="str">
        <f t="shared" si="204"/>
        <v>Y</v>
      </c>
      <c r="E1906" t="s">
        <v>644</v>
      </c>
      <c r="F1906" t="str">
        <f t="shared" si="205"/>
        <v>RETURN - 2nd don of the week -BONUS</v>
      </c>
      <c r="G1906" t="str">
        <f t="shared" si="206"/>
        <v>Marketing</v>
      </c>
      <c r="H1906" t="s">
        <v>550</v>
      </c>
      <c r="I1906">
        <f t="shared" si="207"/>
        <v>26</v>
      </c>
      <c r="J1906" t="s">
        <v>546</v>
      </c>
      <c r="K1906" s="5">
        <v>15</v>
      </c>
      <c r="L1906" t="str">
        <f>Table_DataFromNL[[#This Row],[PROFILECODE]]&amp;"-"&amp;Table_DataFromNL[[#This Row],[RULENAME]]</f>
        <v>CP949-2X Week P NSP NS</v>
      </c>
      <c r="M1906" t="str">
        <f t="shared" si="208"/>
        <v>CP949-RETURN - 2nd don of the week -BONUS</v>
      </c>
    </row>
    <row r="1907" spans="1:13" x14ac:dyDescent="0.25">
      <c r="A1907" t="str">
        <f t="shared" si="209"/>
        <v>CP949-RETURN - 2nd don of the week -BONUS</v>
      </c>
      <c r="B1907" t="s">
        <v>225</v>
      </c>
      <c r="C1907" t="str">
        <f t="shared" si="203"/>
        <v>lithia Springs</v>
      </c>
      <c r="D1907" t="str">
        <f t="shared" si="204"/>
        <v>Y</v>
      </c>
      <c r="E1907" t="s">
        <v>644</v>
      </c>
      <c r="F1907" t="str">
        <f t="shared" si="205"/>
        <v>RETURN - 2nd don of the week -BONUS</v>
      </c>
      <c r="G1907" t="str">
        <f t="shared" si="206"/>
        <v>Marketing</v>
      </c>
      <c r="H1907" t="s">
        <v>551</v>
      </c>
      <c r="I1907" t="str">
        <f t="shared" si="207"/>
        <v>RETURN - 2nd don of the week -BONUS</v>
      </c>
      <c r="J1907" t="s">
        <v>546</v>
      </c>
      <c r="K1907" s="5">
        <v>15</v>
      </c>
      <c r="L1907" t="str">
        <f>Table_DataFromNL[[#This Row],[PROFILECODE]]&amp;"-"&amp;Table_DataFromNL[[#This Row],[RULENAME]]</f>
        <v>CP949-2X Week P NSP NS AP</v>
      </c>
      <c r="M1907" t="str">
        <f t="shared" si="208"/>
        <v>CP949-RETURN - 2nd don of the week -BONUS</v>
      </c>
    </row>
    <row r="1908" spans="1:13" x14ac:dyDescent="0.25">
      <c r="A1908" t="str">
        <f t="shared" si="209"/>
        <v>CP949-College ID Standard Bonus</v>
      </c>
      <c r="B1908" t="s">
        <v>225</v>
      </c>
      <c r="C1908" t="str">
        <f t="shared" si="203"/>
        <v>lithia Springs</v>
      </c>
      <c r="D1908" t="str">
        <f t="shared" si="204"/>
        <v>Y</v>
      </c>
      <c r="E1908" t="s">
        <v>644</v>
      </c>
      <c r="F1908" t="str">
        <f t="shared" si="205"/>
        <v>College ID Standard Bonus</v>
      </c>
      <c r="G1908">
        <f t="shared" si="206"/>
        <v>0</v>
      </c>
      <c r="H1908" t="s">
        <v>553</v>
      </c>
      <c r="I1908">
        <f t="shared" si="207"/>
        <v>0</v>
      </c>
      <c r="J1908" t="s">
        <v>546</v>
      </c>
      <c r="K1908" s="5">
        <v>5</v>
      </c>
      <c r="L1908" t="str">
        <f>Table_DataFromNL[[#This Row],[PROFILECODE]]&amp;"-"&amp;Table_DataFromNL[[#This Row],[RULENAME]]</f>
        <v>CP949-College ID Standard Bonus</v>
      </c>
      <c r="M1908" t="e">
        <f t="shared" si="208"/>
        <v>#N/A</v>
      </c>
    </row>
    <row r="1909" spans="1:13" x14ac:dyDescent="0.25">
      <c r="A1909" t="str">
        <f t="shared" si="209"/>
        <v>CP949-Military ID</v>
      </c>
      <c r="B1909" t="s">
        <v>225</v>
      </c>
      <c r="C1909" t="str">
        <f t="shared" si="203"/>
        <v>lithia Springs</v>
      </c>
      <c r="D1909" t="str">
        <f t="shared" si="204"/>
        <v>Y</v>
      </c>
      <c r="E1909" t="s">
        <v>644</v>
      </c>
      <c r="F1909" t="str">
        <f t="shared" si="205"/>
        <v>Military ID</v>
      </c>
      <c r="G1909">
        <f t="shared" si="206"/>
        <v>0</v>
      </c>
      <c r="H1909" t="s">
        <v>554</v>
      </c>
      <c r="I1909">
        <f t="shared" si="207"/>
        <v>0</v>
      </c>
      <c r="J1909" t="s">
        <v>546</v>
      </c>
      <c r="K1909" s="5">
        <v>5</v>
      </c>
      <c r="L1909" t="str">
        <f>Table_DataFromNL[[#This Row],[PROFILECODE]]&amp;"-"&amp;Table_DataFromNL[[#This Row],[RULENAME]]</f>
        <v>CP949-Military ID</v>
      </c>
      <c r="M1909" t="e">
        <f t="shared" si="208"/>
        <v>#N/A</v>
      </c>
    </row>
    <row r="1910" spans="1:13" x14ac:dyDescent="0.25">
      <c r="A1910" t="str">
        <f t="shared" si="209"/>
        <v>CP949-NEW DONOR -1st</v>
      </c>
      <c r="B1910" t="s">
        <v>225</v>
      </c>
      <c r="C1910" t="str">
        <f t="shared" si="203"/>
        <v>lithia Springs</v>
      </c>
      <c r="D1910" t="str">
        <f t="shared" si="204"/>
        <v>Y</v>
      </c>
      <c r="E1910" t="s">
        <v>644</v>
      </c>
      <c r="F1910" t="str">
        <f t="shared" si="205"/>
        <v>NEW DONOR -1st</v>
      </c>
      <c r="G1910" t="str">
        <f t="shared" si="206"/>
        <v>Marketing</v>
      </c>
      <c r="H1910" t="s">
        <v>555</v>
      </c>
      <c r="I1910">
        <f t="shared" si="207"/>
        <v>1</v>
      </c>
      <c r="J1910" t="s">
        <v>546</v>
      </c>
      <c r="K1910" s="5">
        <v>100</v>
      </c>
      <c r="L1910" t="str">
        <f>Table_DataFromNL[[#This Row],[PROFILECODE]]&amp;"-"&amp;Table_DataFromNL[[#This Row],[RULENAME]]</f>
        <v>CP949-New Donor 1st Visit-Bonus</v>
      </c>
      <c r="M1910" t="str">
        <f t="shared" si="208"/>
        <v>CP949-NEW DONOR -1st</v>
      </c>
    </row>
    <row r="1911" spans="1:13" x14ac:dyDescent="0.25">
      <c r="A1911" t="str">
        <f t="shared" si="209"/>
        <v>CP949-NEW DONOR -2nd</v>
      </c>
      <c r="B1911" t="s">
        <v>225</v>
      </c>
      <c r="C1911" t="str">
        <f t="shared" si="203"/>
        <v>lithia Springs</v>
      </c>
      <c r="D1911" t="str">
        <f t="shared" si="204"/>
        <v>Y</v>
      </c>
      <c r="E1911" t="s">
        <v>644</v>
      </c>
      <c r="F1911" t="str">
        <f t="shared" si="205"/>
        <v>NEW DONOR -2nd</v>
      </c>
      <c r="G1911" t="str">
        <f t="shared" si="206"/>
        <v>Marketing</v>
      </c>
      <c r="H1911" t="s">
        <v>556</v>
      </c>
      <c r="I1911">
        <f t="shared" si="207"/>
        <v>2</v>
      </c>
      <c r="J1911" t="s">
        <v>546</v>
      </c>
      <c r="K1911" s="5">
        <v>100</v>
      </c>
      <c r="L1911" t="str">
        <f>Table_DataFromNL[[#This Row],[PROFILECODE]]&amp;"-"&amp;Table_DataFromNL[[#This Row],[RULENAME]]</f>
        <v>CP949-New Donor 2nd Visit-Bonus</v>
      </c>
      <c r="M1911" t="str">
        <f t="shared" si="208"/>
        <v>CP949-NEW DONOR -2nd</v>
      </c>
    </row>
    <row r="1912" spans="1:13" x14ac:dyDescent="0.25">
      <c r="A1912" t="str">
        <f t="shared" si="209"/>
        <v>CP949-NEW DONOR -3rd</v>
      </c>
      <c r="B1912" t="s">
        <v>225</v>
      </c>
      <c r="C1912" t="str">
        <f t="shared" si="203"/>
        <v>lithia Springs</v>
      </c>
      <c r="D1912" t="str">
        <f t="shared" si="204"/>
        <v>Y</v>
      </c>
      <c r="E1912" t="s">
        <v>644</v>
      </c>
      <c r="F1912" t="str">
        <f t="shared" si="205"/>
        <v>NEW DONOR -3rd</v>
      </c>
      <c r="G1912" t="str">
        <f t="shared" si="206"/>
        <v>Marketing</v>
      </c>
      <c r="H1912" t="s">
        <v>557</v>
      </c>
      <c r="I1912">
        <f t="shared" si="207"/>
        <v>3</v>
      </c>
      <c r="J1912" t="s">
        <v>546</v>
      </c>
      <c r="K1912" s="5">
        <v>100</v>
      </c>
      <c r="L1912" t="str">
        <f>Table_DataFromNL[[#This Row],[PROFILECODE]]&amp;"-"&amp;Table_DataFromNL[[#This Row],[RULENAME]]</f>
        <v>CP949-New Donor 3rd Visit-Bonus</v>
      </c>
      <c r="M1912" t="str">
        <f t="shared" si="208"/>
        <v>CP949-NEW DONOR -3rd</v>
      </c>
    </row>
    <row r="1913" spans="1:13" x14ac:dyDescent="0.25">
      <c r="A1913" t="str">
        <f t="shared" si="209"/>
        <v>CP949-NEW DONOR -4th</v>
      </c>
      <c r="B1913" t="s">
        <v>225</v>
      </c>
      <c r="C1913" t="str">
        <f t="shared" si="203"/>
        <v>lithia Springs</v>
      </c>
      <c r="D1913" t="str">
        <f t="shared" si="204"/>
        <v>Y</v>
      </c>
      <c r="E1913" t="s">
        <v>644</v>
      </c>
      <c r="F1913" t="str">
        <f t="shared" si="205"/>
        <v>NEW DONOR -4th</v>
      </c>
      <c r="G1913" t="str">
        <f t="shared" si="206"/>
        <v>Marketing</v>
      </c>
      <c r="H1913" t="s">
        <v>558</v>
      </c>
      <c r="I1913">
        <f t="shared" si="207"/>
        <v>4</v>
      </c>
      <c r="J1913" t="s">
        <v>546</v>
      </c>
      <c r="K1913" s="5">
        <v>100</v>
      </c>
      <c r="L1913" t="str">
        <f>Table_DataFromNL[[#This Row],[PROFILECODE]]&amp;"-"&amp;Table_DataFromNL[[#This Row],[RULENAME]]</f>
        <v>CP949-New Donor 4th Visit-Bonus</v>
      </c>
      <c r="M1913" t="str">
        <f t="shared" si="208"/>
        <v>CP949-NEW DONOR -4th</v>
      </c>
    </row>
    <row r="1914" spans="1:13" x14ac:dyDescent="0.25">
      <c r="A1914" t="str">
        <f t="shared" si="209"/>
        <v>CP949-NEW DONOR -5th</v>
      </c>
      <c r="B1914" t="s">
        <v>225</v>
      </c>
      <c r="C1914" t="str">
        <f t="shared" si="203"/>
        <v>lithia Springs</v>
      </c>
      <c r="D1914" t="str">
        <f t="shared" si="204"/>
        <v>Y</v>
      </c>
      <c r="E1914" t="s">
        <v>644</v>
      </c>
      <c r="F1914" t="str">
        <f t="shared" si="205"/>
        <v>NEW DONOR -5th</v>
      </c>
      <c r="G1914" t="str">
        <f t="shared" si="206"/>
        <v>Marketing</v>
      </c>
      <c r="H1914" t="s">
        <v>559</v>
      </c>
      <c r="I1914">
        <f t="shared" si="207"/>
        <v>5</v>
      </c>
      <c r="J1914" t="s">
        <v>546</v>
      </c>
      <c r="K1914" s="5">
        <v>50</v>
      </c>
      <c r="L1914" t="str">
        <f>Table_DataFromNL[[#This Row],[PROFILECODE]]&amp;"-"&amp;Table_DataFromNL[[#This Row],[RULENAME]]</f>
        <v>CP949-New Donor 5th Visit-Bonus</v>
      </c>
      <c r="M1914" t="str">
        <f t="shared" si="208"/>
        <v>CP949-NEW DONOR -5th</v>
      </c>
    </row>
    <row r="1915" spans="1:13" x14ac:dyDescent="0.25">
      <c r="A1915" t="str">
        <f t="shared" si="209"/>
        <v>CP949-NEW DONOR -6th</v>
      </c>
      <c r="B1915" t="s">
        <v>225</v>
      </c>
      <c r="C1915" t="str">
        <f t="shared" si="203"/>
        <v>lithia Springs</v>
      </c>
      <c r="D1915" t="str">
        <f t="shared" si="204"/>
        <v>Y</v>
      </c>
      <c r="E1915" t="s">
        <v>644</v>
      </c>
      <c r="F1915" t="str">
        <f t="shared" si="205"/>
        <v>NEW DONOR -6th</v>
      </c>
      <c r="G1915" t="str">
        <f t="shared" si="206"/>
        <v>Marketing</v>
      </c>
      <c r="H1915" t="s">
        <v>560</v>
      </c>
      <c r="I1915">
        <f t="shared" si="207"/>
        <v>6</v>
      </c>
      <c r="J1915" t="s">
        <v>546</v>
      </c>
      <c r="K1915" s="5">
        <v>50</v>
      </c>
      <c r="L1915" t="str">
        <f>Table_DataFromNL[[#This Row],[PROFILECODE]]&amp;"-"&amp;Table_DataFromNL[[#This Row],[RULENAME]]</f>
        <v>CP949-New Donor 6th Visit-Bonus</v>
      </c>
      <c r="M1915" t="str">
        <f t="shared" si="208"/>
        <v>CP949-NEW DONOR -6th</v>
      </c>
    </row>
    <row r="1916" spans="1:13" x14ac:dyDescent="0.25">
      <c r="A1916" t="str">
        <f t="shared" si="209"/>
        <v>CP949-NEW DONOR -7th</v>
      </c>
      <c r="B1916" t="s">
        <v>225</v>
      </c>
      <c r="C1916" t="str">
        <f t="shared" si="203"/>
        <v>lithia Springs</v>
      </c>
      <c r="D1916" t="str">
        <f t="shared" si="204"/>
        <v>Y</v>
      </c>
      <c r="E1916" t="s">
        <v>644</v>
      </c>
      <c r="F1916" t="str">
        <f t="shared" si="205"/>
        <v>NEW DONOR -7th</v>
      </c>
      <c r="G1916" t="str">
        <f t="shared" si="206"/>
        <v>Marketing</v>
      </c>
      <c r="H1916" t="s">
        <v>561</v>
      </c>
      <c r="I1916">
        <f t="shared" si="207"/>
        <v>7</v>
      </c>
      <c r="J1916" t="s">
        <v>546</v>
      </c>
      <c r="K1916" s="5">
        <v>50</v>
      </c>
      <c r="L1916" t="str">
        <f>Table_DataFromNL[[#This Row],[PROFILECODE]]&amp;"-"&amp;Table_DataFromNL[[#This Row],[RULENAME]]</f>
        <v>CP949-New Donor 7th Visit-Bonus</v>
      </c>
      <c r="M1916" t="str">
        <f t="shared" si="208"/>
        <v>CP949-NEW DONOR -7th</v>
      </c>
    </row>
    <row r="1917" spans="1:13" x14ac:dyDescent="0.25">
      <c r="A1917" t="str">
        <f t="shared" si="209"/>
        <v>CP949-NEW DONOR -8th</v>
      </c>
      <c r="B1917" t="s">
        <v>225</v>
      </c>
      <c r="C1917" t="str">
        <f t="shared" si="203"/>
        <v>lithia Springs</v>
      </c>
      <c r="D1917" t="str">
        <f t="shared" si="204"/>
        <v>Y</v>
      </c>
      <c r="E1917" t="s">
        <v>644</v>
      </c>
      <c r="F1917" t="str">
        <f t="shared" si="205"/>
        <v>NEW DONOR -8th</v>
      </c>
      <c r="G1917" t="str">
        <f t="shared" si="206"/>
        <v>Marketing</v>
      </c>
      <c r="H1917" t="s">
        <v>562</v>
      </c>
      <c r="I1917">
        <f t="shared" si="207"/>
        <v>8</v>
      </c>
      <c r="J1917" t="s">
        <v>546</v>
      </c>
      <c r="K1917" s="5">
        <v>50</v>
      </c>
      <c r="L1917" t="str">
        <f>Table_DataFromNL[[#This Row],[PROFILECODE]]&amp;"-"&amp;Table_DataFromNL[[#This Row],[RULENAME]]</f>
        <v>CP949-New Donor 8th Visit-Bonus</v>
      </c>
      <c r="M1917" t="str">
        <f t="shared" si="208"/>
        <v>CP949-NEW DONOR -8th</v>
      </c>
    </row>
    <row r="1918" spans="1:13" x14ac:dyDescent="0.25">
      <c r="A1918" t="str">
        <f t="shared" si="209"/>
        <v>CP949-Community</v>
      </c>
      <c r="B1918" t="s">
        <v>225</v>
      </c>
      <c r="C1918" t="str">
        <f t="shared" si="203"/>
        <v>lithia Springs</v>
      </c>
      <c r="D1918" t="str">
        <f t="shared" si="204"/>
        <v>Y</v>
      </c>
      <c r="E1918" t="s">
        <v>644</v>
      </c>
      <c r="F1918" t="str">
        <f t="shared" si="205"/>
        <v>Community</v>
      </c>
      <c r="G1918">
        <f t="shared" si="206"/>
        <v>0</v>
      </c>
      <c r="H1918" t="s">
        <v>563</v>
      </c>
      <c r="I1918">
        <f t="shared" si="207"/>
        <v>0</v>
      </c>
      <c r="J1918" t="s">
        <v>564</v>
      </c>
      <c r="K1918" s="5">
        <v>5</v>
      </c>
      <c r="L1918" t="str">
        <f>Table_DataFromNL[[#This Row],[PROFILECODE]]&amp;"-"&amp;Table_DataFromNL[[#This Row],[RULENAME]]</f>
        <v>CP949-Community</v>
      </c>
      <c r="M1918" t="e">
        <f t="shared" si="208"/>
        <v>#N/A</v>
      </c>
    </row>
    <row r="1919" spans="1:13" x14ac:dyDescent="0.25">
      <c r="A1919" t="str">
        <f t="shared" si="209"/>
        <v>CP949-HANGER_RECRUIT_5USD_once</v>
      </c>
      <c r="B1919" t="s">
        <v>225</v>
      </c>
      <c r="C1919" t="str">
        <f t="shared" si="203"/>
        <v>lithia Springs</v>
      </c>
      <c r="D1919" t="str">
        <f t="shared" si="204"/>
        <v>Y</v>
      </c>
      <c r="E1919" t="s">
        <v>644</v>
      </c>
      <c r="F1919" t="str">
        <f t="shared" si="205"/>
        <v>HANGER_RECRUIT_5USD_once</v>
      </c>
      <c r="G1919">
        <f t="shared" si="206"/>
        <v>0</v>
      </c>
      <c r="H1919" t="s">
        <v>565</v>
      </c>
      <c r="I1919">
        <f t="shared" si="207"/>
        <v>0</v>
      </c>
      <c r="J1919" t="s">
        <v>564</v>
      </c>
      <c r="K1919" s="5">
        <v>5</v>
      </c>
      <c r="L1919" t="str">
        <f>Table_DataFromNL[[#This Row],[PROFILECODE]]&amp;"-"&amp;Table_DataFromNL[[#This Row],[RULENAME]]</f>
        <v>CP949-HANGER_RECRUIT_5USD_once</v>
      </c>
      <c r="M1919" t="e">
        <f t="shared" si="208"/>
        <v>#N/A</v>
      </c>
    </row>
    <row r="1920" spans="1:13" x14ac:dyDescent="0.25">
      <c r="A1920" t="str">
        <f t="shared" si="209"/>
        <v>CP949-Inconv Fee $20-$50-Comment Req'd</v>
      </c>
      <c r="B1920" t="s">
        <v>225</v>
      </c>
      <c r="C1920" t="str">
        <f t="shared" si="203"/>
        <v>lithia Springs</v>
      </c>
      <c r="D1920" t="str">
        <f t="shared" si="204"/>
        <v>Y</v>
      </c>
      <c r="E1920" t="s">
        <v>644</v>
      </c>
      <c r="F1920" t="str">
        <f t="shared" si="205"/>
        <v>Inconv Fee $20-$50-Comment Req'd</v>
      </c>
      <c r="G1920">
        <f t="shared" si="206"/>
        <v>0</v>
      </c>
      <c r="H1920" t="s">
        <v>566</v>
      </c>
      <c r="I1920">
        <f t="shared" si="207"/>
        <v>0</v>
      </c>
      <c r="J1920" t="s">
        <v>564</v>
      </c>
      <c r="K1920" s="5">
        <v>50</v>
      </c>
      <c r="L1920" t="str">
        <f>Table_DataFromNL[[#This Row],[PROFILECODE]]&amp;"-"&amp;Table_DataFromNL[[#This Row],[RULENAME]]</f>
        <v>CP949-Inconv Fee $20-$50-Comment Req'd</v>
      </c>
      <c r="M1920" t="e">
        <f t="shared" si="208"/>
        <v>#N/A</v>
      </c>
    </row>
    <row r="1921" spans="1:13" x14ac:dyDescent="0.25">
      <c r="A1921" t="str">
        <f t="shared" si="209"/>
        <v>CP949-Inconv Fee $5-$20-Comment Req'd</v>
      </c>
      <c r="B1921" t="s">
        <v>225</v>
      </c>
      <c r="C1921" t="str">
        <f t="shared" si="203"/>
        <v>lithia Springs</v>
      </c>
      <c r="D1921" t="str">
        <f t="shared" si="204"/>
        <v>Y</v>
      </c>
      <c r="E1921" t="s">
        <v>644</v>
      </c>
      <c r="F1921" t="str">
        <f t="shared" si="205"/>
        <v>Inconv Fee $5-$20-Comment Req'd</v>
      </c>
      <c r="G1921">
        <f t="shared" si="206"/>
        <v>0</v>
      </c>
      <c r="H1921" t="s">
        <v>567</v>
      </c>
      <c r="I1921">
        <f t="shared" si="207"/>
        <v>0</v>
      </c>
      <c r="J1921" t="s">
        <v>564</v>
      </c>
      <c r="K1921" s="5">
        <v>20</v>
      </c>
      <c r="L1921" t="str">
        <f>Table_DataFromNL[[#This Row],[PROFILECODE]]&amp;"-"&amp;Table_DataFromNL[[#This Row],[RULENAME]]</f>
        <v>CP949-Inconv Fee $5-$20-Comment Req'd</v>
      </c>
      <c r="M1921" t="e">
        <f t="shared" si="208"/>
        <v>#N/A</v>
      </c>
    </row>
    <row r="1922" spans="1:13" x14ac:dyDescent="0.25">
      <c r="A1922" t="str">
        <f t="shared" si="209"/>
        <v>CP949-Inconv Fee$50-$100-Comment Req'd</v>
      </c>
      <c r="B1922" t="s">
        <v>225</v>
      </c>
      <c r="C1922" t="str">
        <f t="shared" ref="C1922:C1985" si="210">VLOOKUP(B1922,CenterLU,2,FALSE)</f>
        <v>lithia Springs</v>
      </c>
      <c r="D1922" t="str">
        <f t="shared" ref="D1922:D1985" si="211">VLOOKUP(B1922,CenterLU,3,FALSE)</f>
        <v>Y</v>
      </c>
      <c r="E1922" t="s">
        <v>644</v>
      </c>
      <c r="F1922" t="str">
        <f t="shared" ref="F1922:F1985" si="212">IF(VLOOKUP(H1922,RULENAMELU,3,FALSE)=0,H1922,VLOOKUP(H1922,RULENAMELU,3,FALSE))</f>
        <v>Inconv Fee$50-$100-Comment Req'd</v>
      </c>
      <c r="G1922">
        <f t="shared" ref="G1922:G1985" si="213">VLOOKUP(H1922,RULENAMELU,4,FALSE)</f>
        <v>0</v>
      </c>
      <c r="H1922" t="s">
        <v>568</v>
      </c>
      <c r="I1922">
        <f t="shared" ref="I1922:I1985" si="214">VLOOKUP(H1922,RULENAMELU,5,FALSE)</f>
        <v>0</v>
      </c>
      <c r="J1922" t="s">
        <v>564</v>
      </c>
      <c r="K1922" s="5">
        <v>100</v>
      </c>
      <c r="L1922" t="str">
        <f>Table_DataFromNL[[#This Row],[PROFILECODE]]&amp;"-"&amp;Table_DataFromNL[[#This Row],[RULENAME]]</f>
        <v>CP949-Inconv Fee$50-$100-Comment Req'd</v>
      </c>
      <c r="M1922" t="e">
        <f t="shared" ref="M1922:M1985" si="215">IFERROR(VLOOKUP(A1922,PaychangesLU,1,FALSE),VLOOKUP(A1922,SpecialtyCheckLU,1,FALSE))</f>
        <v>#N/A</v>
      </c>
    </row>
    <row r="1923" spans="1:13" x14ac:dyDescent="0.25">
      <c r="A1923" t="str">
        <f t="shared" ref="A1923:A1986" si="216">B1923&amp;"-"&amp;F1923</f>
        <v>CP949-MONDAY_COUPON_RETENTION_10_once</v>
      </c>
      <c r="B1923" t="s">
        <v>225</v>
      </c>
      <c r="C1923" t="str">
        <f t="shared" si="210"/>
        <v>lithia Springs</v>
      </c>
      <c r="D1923" t="str">
        <f t="shared" si="211"/>
        <v>Y</v>
      </c>
      <c r="E1923" t="s">
        <v>644</v>
      </c>
      <c r="F1923" t="str">
        <f t="shared" si="212"/>
        <v>MONDAY_COUPON_RETENTION_10_once</v>
      </c>
      <c r="G1923">
        <f t="shared" si="213"/>
        <v>0</v>
      </c>
      <c r="H1923" t="s">
        <v>594</v>
      </c>
      <c r="I1923">
        <f t="shared" si="214"/>
        <v>0</v>
      </c>
      <c r="J1923" t="s">
        <v>564</v>
      </c>
      <c r="K1923" s="5">
        <v>10</v>
      </c>
      <c r="L1923" t="str">
        <f>Table_DataFromNL[[#This Row],[PROFILECODE]]&amp;"-"&amp;Table_DataFromNL[[#This Row],[RULENAME]]</f>
        <v>CP949-MONDAY_COUPON_RETENTION_10_once</v>
      </c>
      <c r="M1923" t="e">
        <f t="shared" si="215"/>
        <v>#N/A</v>
      </c>
    </row>
    <row r="1924" spans="1:13" x14ac:dyDescent="0.25">
      <c r="A1924" t="str">
        <f t="shared" si="216"/>
        <v>CP949-NSP_ LAPSEDONOR_50_Twice</v>
      </c>
      <c r="B1924" t="s">
        <v>225</v>
      </c>
      <c r="C1924" t="str">
        <f t="shared" si="210"/>
        <v>lithia Springs</v>
      </c>
      <c r="D1924" t="str">
        <f t="shared" si="211"/>
        <v>Y</v>
      </c>
      <c r="E1924" t="s">
        <v>644</v>
      </c>
      <c r="F1924" t="str">
        <f t="shared" si="212"/>
        <v>NSP_ LAPSEDONOR_50_Twice</v>
      </c>
      <c r="G1924">
        <f t="shared" si="213"/>
        <v>0</v>
      </c>
      <c r="H1924" t="s">
        <v>569</v>
      </c>
      <c r="I1924">
        <f t="shared" si="214"/>
        <v>0</v>
      </c>
      <c r="J1924" t="s">
        <v>564</v>
      </c>
      <c r="K1924" s="5">
        <v>50</v>
      </c>
      <c r="L1924" t="str">
        <f>Table_DataFromNL[[#This Row],[PROFILECODE]]&amp;"-"&amp;Table_DataFromNL[[#This Row],[RULENAME]]</f>
        <v>CP949-NSP_ LAPSEDONOR_50_Twice</v>
      </c>
      <c r="M1924" t="e">
        <f t="shared" si="215"/>
        <v>#N/A</v>
      </c>
    </row>
    <row r="1925" spans="1:13" x14ac:dyDescent="0.25">
      <c r="A1925" t="str">
        <f t="shared" si="216"/>
        <v>CP949-NSP_LD_25_2X</v>
      </c>
      <c r="B1925" t="s">
        <v>225</v>
      </c>
      <c r="C1925" t="str">
        <f t="shared" si="210"/>
        <v>lithia Springs</v>
      </c>
      <c r="D1925" t="str">
        <f t="shared" si="211"/>
        <v>Y</v>
      </c>
      <c r="E1925" t="s">
        <v>644</v>
      </c>
      <c r="F1925" t="str">
        <f t="shared" si="212"/>
        <v>NSP_LD_25_2X</v>
      </c>
      <c r="G1925">
        <f t="shared" si="213"/>
        <v>0</v>
      </c>
      <c r="H1925" t="s">
        <v>570</v>
      </c>
      <c r="I1925">
        <f t="shared" si="214"/>
        <v>0</v>
      </c>
      <c r="J1925" t="s">
        <v>564</v>
      </c>
      <c r="K1925" s="5">
        <v>25</v>
      </c>
      <c r="L1925" t="str">
        <f>Table_DataFromNL[[#This Row],[PROFILECODE]]&amp;"-"&amp;Table_DataFromNL[[#This Row],[RULENAME]]</f>
        <v>CP949-NSP_LD_25_2X</v>
      </c>
      <c r="M1925" t="e">
        <f t="shared" si="215"/>
        <v>#N/A</v>
      </c>
    </row>
    <row r="1926" spans="1:13" x14ac:dyDescent="0.25">
      <c r="A1926" t="str">
        <f t="shared" si="216"/>
        <v>CP949-NSP_LD_50_1X</v>
      </c>
      <c r="B1926" t="s">
        <v>225</v>
      </c>
      <c r="C1926" t="str">
        <f t="shared" si="210"/>
        <v>lithia Springs</v>
      </c>
      <c r="D1926" t="str">
        <f t="shared" si="211"/>
        <v>Y</v>
      </c>
      <c r="E1926" t="s">
        <v>644</v>
      </c>
      <c r="F1926" t="str">
        <f t="shared" si="212"/>
        <v>NSP_LD_50_1X</v>
      </c>
      <c r="G1926">
        <f t="shared" si="213"/>
        <v>0</v>
      </c>
      <c r="H1926" t="s">
        <v>571</v>
      </c>
      <c r="I1926">
        <f t="shared" si="214"/>
        <v>0</v>
      </c>
      <c r="J1926" t="s">
        <v>564</v>
      </c>
      <c r="K1926" s="5">
        <v>50</v>
      </c>
      <c r="L1926" t="str">
        <f>Table_DataFromNL[[#This Row],[PROFILECODE]]&amp;"-"&amp;Table_DataFromNL[[#This Row],[RULENAME]]</f>
        <v>CP949-NSP_LD_50_1X</v>
      </c>
      <c r="M1926" t="e">
        <f t="shared" si="215"/>
        <v>#N/A</v>
      </c>
    </row>
    <row r="1927" spans="1:13" x14ac:dyDescent="0.25">
      <c r="A1927" t="str">
        <f t="shared" si="216"/>
        <v>CP949-NSP_ORPHAN_100_once</v>
      </c>
      <c r="B1927" t="s">
        <v>225</v>
      </c>
      <c r="C1927" t="str">
        <f t="shared" si="210"/>
        <v>lithia Springs</v>
      </c>
      <c r="D1927" t="str">
        <f t="shared" si="211"/>
        <v>Y</v>
      </c>
      <c r="E1927" t="s">
        <v>644</v>
      </c>
      <c r="F1927" t="str">
        <f t="shared" si="212"/>
        <v>NSP_ORPHAN_100_once</v>
      </c>
      <c r="G1927">
        <f t="shared" si="213"/>
        <v>0</v>
      </c>
      <c r="H1927" t="s">
        <v>572</v>
      </c>
      <c r="I1927">
        <f t="shared" si="214"/>
        <v>0</v>
      </c>
      <c r="J1927" t="s">
        <v>564</v>
      </c>
      <c r="K1927" s="5">
        <v>100</v>
      </c>
      <c r="L1927" t="str">
        <f>Table_DataFromNL[[#This Row],[PROFILECODE]]&amp;"-"&amp;Table_DataFromNL[[#This Row],[RULENAME]]</f>
        <v>CP949-NSP_ORPHAN_100_once</v>
      </c>
      <c r="M1927" t="e">
        <f t="shared" si="215"/>
        <v>#N/A</v>
      </c>
    </row>
    <row r="1928" spans="1:13" x14ac:dyDescent="0.25">
      <c r="A1928" t="str">
        <f t="shared" si="216"/>
        <v>CP949-Restick</v>
      </c>
      <c r="B1928" t="s">
        <v>225</v>
      </c>
      <c r="C1928" t="str">
        <f t="shared" si="210"/>
        <v>lithia Springs</v>
      </c>
      <c r="D1928" t="str">
        <f t="shared" si="211"/>
        <v>Y</v>
      </c>
      <c r="E1928" t="s">
        <v>644</v>
      </c>
      <c r="F1928" t="str">
        <f t="shared" si="212"/>
        <v>Restick</v>
      </c>
      <c r="G1928">
        <f t="shared" si="213"/>
        <v>0</v>
      </c>
      <c r="H1928" t="s">
        <v>573</v>
      </c>
      <c r="I1928">
        <f t="shared" si="214"/>
        <v>0</v>
      </c>
      <c r="J1928" t="s">
        <v>564</v>
      </c>
      <c r="K1928" s="5">
        <v>5</v>
      </c>
      <c r="L1928" t="str">
        <f>Table_DataFromNL[[#This Row],[PROFILECODE]]&amp;"-"&amp;Table_DataFromNL[[#This Row],[RULENAME]]</f>
        <v>CP949-Restick</v>
      </c>
      <c r="M1928" t="e">
        <f t="shared" si="215"/>
        <v>#N/A</v>
      </c>
    </row>
    <row r="1929" spans="1:13" x14ac:dyDescent="0.25">
      <c r="A1929" t="str">
        <f t="shared" si="216"/>
        <v>CP949-SLOW_TEXT_5</v>
      </c>
      <c r="B1929" t="s">
        <v>225</v>
      </c>
      <c r="C1929" t="str">
        <f t="shared" si="210"/>
        <v>lithia Springs</v>
      </c>
      <c r="D1929" t="str">
        <f t="shared" si="211"/>
        <v>Y</v>
      </c>
      <c r="E1929" t="s">
        <v>644</v>
      </c>
      <c r="F1929" t="str">
        <f t="shared" si="212"/>
        <v>SLOW_TEXT_5</v>
      </c>
      <c r="G1929">
        <f t="shared" si="213"/>
        <v>0</v>
      </c>
      <c r="H1929" t="s">
        <v>574</v>
      </c>
      <c r="I1929">
        <f t="shared" si="214"/>
        <v>0</v>
      </c>
      <c r="J1929" t="s">
        <v>564</v>
      </c>
      <c r="K1929" s="5">
        <v>5</v>
      </c>
      <c r="L1929" t="str">
        <f>Table_DataFromNL[[#This Row],[PROFILECODE]]&amp;"-"&amp;Table_DataFromNL[[#This Row],[RULENAME]]</f>
        <v>CP949-SLOW_TEXT_5</v>
      </c>
      <c r="M1929" t="e">
        <f t="shared" si="215"/>
        <v>#N/A</v>
      </c>
    </row>
    <row r="1930" spans="1:13" x14ac:dyDescent="0.25">
      <c r="A1930" t="str">
        <f t="shared" si="216"/>
        <v>CP949-Sample Only</v>
      </c>
      <c r="B1930" t="s">
        <v>225</v>
      </c>
      <c r="C1930" t="str">
        <f t="shared" si="210"/>
        <v>lithia Springs</v>
      </c>
      <c r="D1930" t="str">
        <f t="shared" si="211"/>
        <v>Y</v>
      </c>
      <c r="E1930" t="s">
        <v>644</v>
      </c>
      <c r="F1930" t="str">
        <f t="shared" si="212"/>
        <v>Sample Only</v>
      </c>
      <c r="G1930">
        <f t="shared" si="213"/>
        <v>0</v>
      </c>
      <c r="H1930" t="s">
        <v>575</v>
      </c>
      <c r="I1930">
        <f t="shared" si="214"/>
        <v>0</v>
      </c>
      <c r="J1930" t="s">
        <v>564</v>
      </c>
      <c r="K1930" s="5">
        <v>5</v>
      </c>
      <c r="L1930" t="str">
        <f>Table_DataFromNL[[#This Row],[PROFILECODE]]&amp;"-"&amp;Table_DataFromNL[[#This Row],[RULENAME]]</f>
        <v>CP949-Sample Only</v>
      </c>
      <c r="M1930" t="e">
        <f t="shared" si="215"/>
        <v>#N/A</v>
      </c>
    </row>
    <row r="1931" spans="1:13" x14ac:dyDescent="0.25">
      <c r="A1931" t="str">
        <f t="shared" si="216"/>
        <v>CP949-Unit Below 250 mL</v>
      </c>
      <c r="B1931" t="s">
        <v>225</v>
      </c>
      <c r="C1931" t="str">
        <f t="shared" si="210"/>
        <v>lithia Springs</v>
      </c>
      <c r="D1931" t="str">
        <f t="shared" si="211"/>
        <v>Y</v>
      </c>
      <c r="E1931" t="s">
        <v>644</v>
      </c>
      <c r="F1931" t="str">
        <f t="shared" si="212"/>
        <v>Unit Below 250 mL</v>
      </c>
      <c r="G1931">
        <f t="shared" si="213"/>
        <v>0</v>
      </c>
      <c r="H1931" t="s">
        <v>576</v>
      </c>
      <c r="I1931">
        <f t="shared" si="214"/>
        <v>0</v>
      </c>
      <c r="J1931" t="s">
        <v>564</v>
      </c>
      <c r="K1931" s="5">
        <v>5</v>
      </c>
      <c r="L1931" t="str">
        <f>Table_DataFromNL[[#This Row],[PROFILECODE]]&amp;"-"&amp;Table_DataFromNL[[#This Row],[RULENAME]]</f>
        <v>CP949-Unit Below 250 mL</v>
      </c>
      <c r="M1931" t="e">
        <f t="shared" si="215"/>
        <v>#N/A</v>
      </c>
    </row>
    <row r="1932" spans="1:13" x14ac:dyDescent="0.25">
      <c r="A1932" t="str">
        <f t="shared" si="216"/>
        <v>CP949-Unit above 250 mL/underdraw</v>
      </c>
      <c r="B1932" t="s">
        <v>225</v>
      </c>
      <c r="C1932" t="str">
        <f t="shared" si="210"/>
        <v>lithia Springs</v>
      </c>
      <c r="D1932" t="str">
        <f t="shared" si="211"/>
        <v>Y</v>
      </c>
      <c r="E1932" t="s">
        <v>644</v>
      </c>
      <c r="F1932" t="str">
        <f t="shared" si="212"/>
        <v>Unit above 250 mL/underdraw</v>
      </c>
      <c r="G1932">
        <f t="shared" si="213"/>
        <v>0</v>
      </c>
      <c r="H1932" t="s">
        <v>577</v>
      </c>
      <c r="I1932">
        <f t="shared" si="214"/>
        <v>0</v>
      </c>
      <c r="J1932" t="s">
        <v>564</v>
      </c>
      <c r="K1932" s="5">
        <v>10</v>
      </c>
      <c r="L1932" t="str">
        <f>Table_DataFromNL[[#This Row],[PROFILECODE]]&amp;"-"&amp;Table_DataFromNL[[#This Row],[RULENAME]]</f>
        <v>CP949-Unit above 250 mL/underdraw</v>
      </c>
      <c r="M1932" t="e">
        <f t="shared" si="215"/>
        <v>#N/A</v>
      </c>
    </row>
    <row r="1933" spans="1:13" x14ac:dyDescent="0.25">
      <c r="A1933" t="str">
        <f t="shared" si="216"/>
        <v>CP949-RETURN - Buddy referral  -BONUS</v>
      </c>
      <c r="B1933" t="s">
        <v>225</v>
      </c>
      <c r="C1933" t="str">
        <f t="shared" si="210"/>
        <v>lithia Springs</v>
      </c>
      <c r="D1933" t="str">
        <f t="shared" si="211"/>
        <v>Y</v>
      </c>
      <c r="E1933" t="s">
        <v>644</v>
      </c>
      <c r="F1933" t="str">
        <f t="shared" si="212"/>
        <v>RETURN - Buddy referral  -BONUS</v>
      </c>
      <c r="G1933" t="str">
        <f t="shared" si="213"/>
        <v>Marketing</v>
      </c>
      <c r="H1933" t="s">
        <v>34</v>
      </c>
      <c r="I1933">
        <f t="shared" si="214"/>
        <v>50</v>
      </c>
      <c r="J1933" t="s">
        <v>578</v>
      </c>
      <c r="K1933" s="5">
        <v>50</v>
      </c>
      <c r="L1933" t="str">
        <f>Table_DataFromNL[[#This Row],[PROFILECODE]]&amp;"-"&amp;Table_DataFromNL[[#This Row],[RULENAME]]</f>
        <v>CP949-Referral</v>
      </c>
      <c r="M1933" t="str">
        <f t="shared" si="215"/>
        <v>CP949-RETURN - Buddy referral  -BONUS</v>
      </c>
    </row>
    <row r="1934" spans="1:13" x14ac:dyDescent="0.25">
      <c r="A1934" t="str">
        <f t="shared" si="216"/>
        <v>CP949-P Anti-D Pre-Existing Standard</v>
      </c>
      <c r="B1934" t="s">
        <v>225</v>
      </c>
      <c r="C1934" t="str">
        <f t="shared" si="210"/>
        <v>lithia Springs</v>
      </c>
      <c r="D1934" t="str">
        <f t="shared" si="211"/>
        <v>Y</v>
      </c>
      <c r="E1934" t="s">
        <v>644</v>
      </c>
      <c r="F1934" t="str">
        <f t="shared" si="212"/>
        <v>P Anti-D Pre-Existing Standard</v>
      </c>
      <c r="G1934" t="str">
        <f t="shared" si="213"/>
        <v>Specialty</v>
      </c>
      <c r="H1934" t="s">
        <v>469</v>
      </c>
      <c r="I1934" t="str">
        <f t="shared" si="214"/>
        <v>RETURN - 1st don of the week -STD</v>
      </c>
      <c r="J1934" t="s">
        <v>579</v>
      </c>
      <c r="K1934" s="5">
        <v>50</v>
      </c>
      <c r="L1934" t="str">
        <f>Table_DataFromNL[[#This Row],[PROFILECODE]]&amp;"-"&amp;Table_DataFromNL[[#This Row],[RULENAME]]</f>
        <v>CP949-P Anti-D Pre-Existing Standard</v>
      </c>
      <c r="M1934" t="str">
        <f t="shared" si="215"/>
        <v>CP949-P Anti-D Pre-Existing Standard</v>
      </c>
    </row>
    <row r="1935" spans="1:13" x14ac:dyDescent="0.25">
      <c r="A1935" t="str">
        <f t="shared" si="216"/>
        <v>CP949-RETURN - 1st don of the week -STD</v>
      </c>
      <c r="B1935" t="s">
        <v>225</v>
      </c>
      <c r="C1935" t="str">
        <f t="shared" si="210"/>
        <v>lithia Springs</v>
      </c>
      <c r="D1935" t="str">
        <f t="shared" si="211"/>
        <v>Y</v>
      </c>
      <c r="E1935" t="s">
        <v>644</v>
      </c>
      <c r="F1935" t="str">
        <f t="shared" si="212"/>
        <v>RETURN - 1st don of the week -STD</v>
      </c>
      <c r="G1935" t="str">
        <f t="shared" si="213"/>
        <v>Marketing</v>
      </c>
      <c r="H1935" t="s">
        <v>583</v>
      </c>
      <c r="I1935">
        <f t="shared" si="214"/>
        <v>22</v>
      </c>
      <c r="J1935" t="s">
        <v>579</v>
      </c>
      <c r="K1935" s="5">
        <v>50</v>
      </c>
      <c r="L1935" t="str">
        <f>Table_DataFromNL[[#This Row],[PROFILECODE]]&amp;"-"&amp;Table_DataFromNL[[#This Row],[RULENAME]]</f>
        <v>CP949-P NSP NS AP Standard</v>
      </c>
      <c r="M1935" t="str">
        <f t="shared" si="215"/>
        <v>CP949-RETURN - 1st don of the week -STD</v>
      </c>
    </row>
    <row r="1936" spans="1:13" x14ac:dyDescent="0.25">
      <c r="A1936" t="str">
        <f t="shared" si="216"/>
        <v>CP949-RETURN - 1st don of the week -STD</v>
      </c>
      <c r="B1936" t="s">
        <v>225</v>
      </c>
      <c r="C1936" t="str">
        <f t="shared" si="210"/>
        <v>lithia Springs</v>
      </c>
      <c r="D1936" t="str">
        <f t="shared" si="211"/>
        <v>Y</v>
      </c>
      <c r="E1936" t="s">
        <v>644</v>
      </c>
      <c r="F1936" t="str">
        <f t="shared" si="212"/>
        <v>RETURN - 1st don of the week -STD</v>
      </c>
      <c r="G1936" t="str">
        <f t="shared" si="213"/>
        <v>Marketing</v>
      </c>
      <c r="H1936" t="s">
        <v>584</v>
      </c>
      <c r="I1936">
        <f t="shared" si="214"/>
        <v>23</v>
      </c>
      <c r="J1936" t="s">
        <v>579</v>
      </c>
      <c r="K1936" s="5">
        <v>50</v>
      </c>
      <c r="L1936" t="str">
        <f>Table_DataFromNL[[#This Row],[PROFILECODE]]&amp;"-"&amp;Table_DataFromNL[[#This Row],[RULENAME]]</f>
        <v>CP949-P NSP NS Standard</v>
      </c>
      <c r="M1936" t="str">
        <f t="shared" si="215"/>
        <v>CP949-RETURN - 1st don of the week -STD</v>
      </c>
    </row>
    <row r="1937" spans="1:13" x14ac:dyDescent="0.25">
      <c r="A1937" t="str">
        <f t="shared" si="216"/>
        <v>CP283-1st Responder-Medical</v>
      </c>
      <c r="B1937" t="s">
        <v>123</v>
      </c>
      <c r="C1937" t="str">
        <f t="shared" si="210"/>
        <v>Little Rock</v>
      </c>
      <c r="D1937" t="str">
        <f t="shared" si="211"/>
        <v>Y</v>
      </c>
      <c r="E1937" t="s">
        <v>645</v>
      </c>
      <c r="F1937" t="str">
        <f t="shared" si="212"/>
        <v>1st Responder-Medical</v>
      </c>
      <c r="G1937">
        <f t="shared" si="213"/>
        <v>0</v>
      </c>
      <c r="H1937" t="s">
        <v>545</v>
      </c>
      <c r="I1937">
        <f t="shared" si="214"/>
        <v>0</v>
      </c>
      <c r="J1937" t="s">
        <v>546</v>
      </c>
      <c r="K1937" s="5">
        <v>5</v>
      </c>
      <c r="L1937" t="str">
        <f>Table_DataFromNL[[#This Row],[PROFILECODE]]&amp;"-"&amp;Table_DataFromNL[[#This Row],[RULENAME]]</f>
        <v>CP283-1st Responder-Medical</v>
      </c>
      <c r="M1937" t="e">
        <f t="shared" si="215"/>
        <v>#N/A</v>
      </c>
    </row>
    <row r="1938" spans="1:13" x14ac:dyDescent="0.25">
      <c r="A1938" t="str">
        <f t="shared" si="216"/>
        <v>CP283-RETURN - 2nd don of the week -BONUS</v>
      </c>
      <c r="B1938" t="s">
        <v>123</v>
      </c>
      <c r="C1938" t="str">
        <f t="shared" si="210"/>
        <v>Little Rock</v>
      </c>
      <c r="D1938" t="str">
        <f t="shared" si="211"/>
        <v>Y</v>
      </c>
      <c r="E1938" t="s">
        <v>645</v>
      </c>
      <c r="F1938" t="str">
        <f t="shared" si="212"/>
        <v>RETURN - 2nd don of the week -BONUS</v>
      </c>
      <c r="G1938" t="str">
        <f t="shared" si="213"/>
        <v>Marketing</v>
      </c>
      <c r="H1938" t="s">
        <v>550</v>
      </c>
      <c r="I1938">
        <f t="shared" si="214"/>
        <v>26</v>
      </c>
      <c r="J1938" t="s">
        <v>546</v>
      </c>
      <c r="K1938" s="5">
        <v>6</v>
      </c>
      <c r="L1938" t="str">
        <f>Table_DataFromNL[[#This Row],[PROFILECODE]]&amp;"-"&amp;Table_DataFromNL[[#This Row],[RULENAME]]</f>
        <v>CP283-2X Week P NSP NS</v>
      </c>
      <c r="M1938" t="str">
        <f t="shared" si="215"/>
        <v>CP283-RETURN - 2nd don of the week -BONUS</v>
      </c>
    </row>
    <row r="1939" spans="1:13" x14ac:dyDescent="0.25">
      <c r="A1939" t="str">
        <f t="shared" si="216"/>
        <v>CP283-RETURN - 2nd don of the week -BONUS</v>
      </c>
      <c r="B1939" t="s">
        <v>123</v>
      </c>
      <c r="C1939" t="str">
        <f t="shared" si="210"/>
        <v>Little Rock</v>
      </c>
      <c r="D1939" t="str">
        <f t="shared" si="211"/>
        <v>Y</v>
      </c>
      <c r="E1939" t="s">
        <v>645</v>
      </c>
      <c r="F1939" t="str">
        <f t="shared" si="212"/>
        <v>RETURN - 2nd don of the week -BONUS</v>
      </c>
      <c r="G1939" t="str">
        <f t="shared" si="213"/>
        <v>Marketing</v>
      </c>
      <c r="H1939" t="s">
        <v>551</v>
      </c>
      <c r="I1939" t="str">
        <f t="shared" si="214"/>
        <v>RETURN - 2nd don of the week -BONUS</v>
      </c>
      <c r="J1939" t="s">
        <v>546</v>
      </c>
      <c r="K1939" s="5">
        <v>6</v>
      </c>
      <c r="L1939" t="str">
        <f>Table_DataFromNL[[#This Row],[PROFILECODE]]&amp;"-"&amp;Table_DataFromNL[[#This Row],[RULENAME]]</f>
        <v>CP283-2X Week P NSP NS AP</v>
      </c>
      <c r="M1939" t="str">
        <f t="shared" si="215"/>
        <v>CP283-RETURN - 2nd don of the week -BONUS</v>
      </c>
    </row>
    <row r="1940" spans="1:13" x14ac:dyDescent="0.25">
      <c r="A1940" t="str">
        <f t="shared" si="216"/>
        <v>CP283-2X Week P VZV</v>
      </c>
      <c r="B1940" t="s">
        <v>123</v>
      </c>
      <c r="C1940" t="str">
        <f t="shared" si="210"/>
        <v>Little Rock</v>
      </c>
      <c r="D1940" t="str">
        <f t="shared" si="211"/>
        <v>Y</v>
      </c>
      <c r="E1940" t="s">
        <v>645</v>
      </c>
      <c r="F1940" t="str">
        <f t="shared" si="212"/>
        <v>2X Week P VZV</v>
      </c>
      <c r="G1940" t="str">
        <f t="shared" si="213"/>
        <v>Specialty</v>
      </c>
      <c r="H1940" t="s">
        <v>488</v>
      </c>
      <c r="I1940" t="str">
        <f t="shared" si="214"/>
        <v>RETURN - 2nd don of the week -BONUS</v>
      </c>
      <c r="J1940" t="s">
        <v>546</v>
      </c>
      <c r="K1940" s="5">
        <v>6</v>
      </c>
      <c r="L1940" t="str">
        <f>Table_DataFromNL[[#This Row],[PROFILECODE]]&amp;"-"&amp;Table_DataFromNL[[#This Row],[RULENAME]]</f>
        <v>CP283-2X Week P VZV</v>
      </c>
      <c r="M1940" t="str">
        <f t="shared" si="215"/>
        <v>CP283-2X Week P VZV</v>
      </c>
    </row>
    <row r="1941" spans="1:13" x14ac:dyDescent="0.25">
      <c r="A1941" t="str">
        <f t="shared" si="216"/>
        <v>CP283-2X Week P VZV AP</v>
      </c>
      <c r="B1941" t="s">
        <v>123</v>
      </c>
      <c r="C1941" t="str">
        <f t="shared" si="210"/>
        <v>Little Rock</v>
      </c>
      <c r="D1941" t="str">
        <f t="shared" si="211"/>
        <v>Y</v>
      </c>
      <c r="E1941" t="s">
        <v>645</v>
      </c>
      <c r="F1941" t="str">
        <f t="shared" si="212"/>
        <v>2X Week P VZV AP</v>
      </c>
      <c r="G1941" t="str">
        <f t="shared" si="213"/>
        <v>Specialty</v>
      </c>
      <c r="H1941" t="s">
        <v>489</v>
      </c>
      <c r="I1941" t="str">
        <f t="shared" si="214"/>
        <v>RETURN - 2nd don of the week -BONUS</v>
      </c>
      <c r="J1941" t="s">
        <v>546</v>
      </c>
      <c r="K1941" s="5">
        <v>6</v>
      </c>
      <c r="L1941" t="str">
        <f>Table_DataFromNL[[#This Row],[PROFILECODE]]&amp;"-"&amp;Table_DataFromNL[[#This Row],[RULENAME]]</f>
        <v>CP283-2X Week P VZV AP</v>
      </c>
      <c r="M1941" t="str">
        <f t="shared" si="215"/>
        <v>CP283-2X Week P VZV AP</v>
      </c>
    </row>
    <row r="1942" spans="1:13" x14ac:dyDescent="0.25">
      <c r="A1942" t="str">
        <f t="shared" si="216"/>
        <v>CP283-2X Week P VZV Pre-Existing</v>
      </c>
      <c r="B1942" t="s">
        <v>123</v>
      </c>
      <c r="C1942" t="str">
        <f t="shared" si="210"/>
        <v>Little Rock</v>
      </c>
      <c r="D1942" t="str">
        <f t="shared" si="211"/>
        <v>Y</v>
      </c>
      <c r="E1942" t="s">
        <v>645</v>
      </c>
      <c r="F1942" t="str">
        <f t="shared" si="212"/>
        <v>2X Week P VZV Pre-Existing</v>
      </c>
      <c r="G1942" t="str">
        <f t="shared" si="213"/>
        <v>Specialty</v>
      </c>
      <c r="H1942" t="s">
        <v>490</v>
      </c>
      <c r="I1942" t="str">
        <f t="shared" si="214"/>
        <v>RETURN - 2nd don of the week -BONUS</v>
      </c>
      <c r="J1942" t="s">
        <v>546</v>
      </c>
      <c r="K1942" s="5">
        <v>6</v>
      </c>
      <c r="L1942" t="str">
        <f>Table_DataFromNL[[#This Row],[PROFILECODE]]&amp;"-"&amp;Table_DataFromNL[[#This Row],[RULENAME]]</f>
        <v>CP283-2X Week P VZV Pre-Existing</v>
      </c>
      <c r="M1942" t="str">
        <f t="shared" si="215"/>
        <v>CP283-2X Week P VZV Pre-Existing</v>
      </c>
    </row>
    <row r="1943" spans="1:13" x14ac:dyDescent="0.25">
      <c r="A1943" t="str">
        <f t="shared" si="216"/>
        <v>CP283-2X Week P VZV Pre-Existing AP</v>
      </c>
      <c r="B1943" t="s">
        <v>123</v>
      </c>
      <c r="C1943" t="str">
        <f t="shared" si="210"/>
        <v>Little Rock</v>
      </c>
      <c r="D1943" t="str">
        <f t="shared" si="211"/>
        <v>Y</v>
      </c>
      <c r="E1943" t="s">
        <v>645</v>
      </c>
      <c r="F1943" t="str">
        <f t="shared" si="212"/>
        <v>2X Week P VZV Pre-Existing AP</v>
      </c>
      <c r="G1943" t="str">
        <f t="shared" si="213"/>
        <v>Specialty</v>
      </c>
      <c r="H1943" t="s">
        <v>491</v>
      </c>
      <c r="I1943" t="str">
        <f t="shared" si="214"/>
        <v>RETURN - 2nd don of the week -BONUS</v>
      </c>
      <c r="J1943" t="s">
        <v>546</v>
      </c>
      <c r="K1943" s="5">
        <v>6</v>
      </c>
      <c r="L1943" t="str">
        <f>Table_DataFromNL[[#This Row],[PROFILECODE]]&amp;"-"&amp;Table_DataFromNL[[#This Row],[RULENAME]]</f>
        <v>CP283-2X Week P VZV Pre-Existing AP</v>
      </c>
      <c r="M1943" t="str">
        <f t="shared" si="215"/>
        <v>CP283-2X Week P VZV Pre-Existing AP</v>
      </c>
    </row>
    <row r="1944" spans="1:13" x14ac:dyDescent="0.25">
      <c r="A1944" t="str">
        <f t="shared" si="216"/>
        <v>CP283-College ID Standard Bonus</v>
      </c>
      <c r="B1944" t="s">
        <v>123</v>
      </c>
      <c r="C1944" t="str">
        <f t="shared" si="210"/>
        <v>Little Rock</v>
      </c>
      <c r="D1944" t="str">
        <f t="shared" si="211"/>
        <v>Y</v>
      </c>
      <c r="E1944" t="s">
        <v>645</v>
      </c>
      <c r="F1944" t="str">
        <f t="shared" si="212"/>
        <v>College ID Standard Bonus</v>
      </c>
      <c r="G1944">
        <f t="shared" si="213"/>
        <v>0</v>
      </c>
      <c r="H1944" t="s">
        <v>553</v>
      </c>
      <c r="I1944">
        <f t="shared" si="214"/>
        <v>0</v>
      </c>
      <c r="J1944" t="s">
        <v>546</v>
      </c>
      <c r="K1944" s="5">
        <v>5</v>
      </c>
      <c r="L1944" t="str">
        <f>Table_DataFromNL[[#This Row],[PROFILECODE]]&amp;"-"&amp;Table_DataFromNL[[#This Row],[RULENAME]]</f>
        <v>CP283-College ID Standard Bonus</v>
      </c>
      <c r="M1944" t="e">
        <f t="shared" si="215"/>
        <v>#N/A</v>
      </c>
    </row>
    <row r="1945" spans="1:13" x14ac:dyDescent="0.25">
      <c r="A1945" t="str">
        <f t="shared" si="216"/>
        <v>CP283-Military ID</v>
      </c>
      <c r="B1945" t="s">
        <v>123</v>
      </c>
      <c r="C1945" t="str">
        <f t="shared" si="210"/>
        <v>Little Rock</v>
      </c>
      <c r="D1945" t="str">
        <f t="shared" si="211"/>
        <v>Y</v>
      </c>
      <c r="E1945" t="s">
        <v>645</v>
      </c>
      <c r="F1945" t="str">
        <f t="shared" si="212"/>
        <v>Military ID</v>
      </c>
      <c r="G1945">
        <f t="shared" si="213"/>
        <v>0</v>
      </c>
      <c r="H1945" t="s">
        <v>554</v>
      </c>
      <c r="I1945">
        <f t="shared" si="214"/>
        <v>0</v>
      </c>
      <c r="J1945" t="s">
        <v>546</v>
      </c>
      <c r="K1945" s="5">
        <v>5</v>
      </c>
      <c r="L1945" t="str">
        <f>Table_DataFromNL[[#This Row],[PROFILECODE]]&amp;"-"&amp;Table_DataFromNL[[#This Row],[RULENAME]]</f>
        <v>CP283-Military ID</v>
      </c>
      <c r="M1945" t="e">
        <f t="shared" si="215"/>
        <v>#N/A</v>
      </c>
    </row>
    <row r="1946" spans="1:13" x14ac:dyDescent="0.25">
      <c r="A1946" t="str">
        <f t="shared" si="216"/>
        <v>CP283-NEW DONOR -1st</v>
      </c>
      <c r="B1946" t="s">
        <v>123</v>
      </c>
      <c r="C1946" t="str">
        <f t="shared" si="210"/>
        <v>Little Rock</v>
      </c>
      <c r="D1946" t="str">
        <f t="shared" si="211"/>
        <v>Y</v>
      </c>
      <c r="E1946" t="s">
        <v>645</v>
      </c>
      <c r="F1946" t="str">
        <f t="shared" si="212"/>
        <v>NEW DONOR -1st</v>
      </c>
      <c r="G1946" t="str">
        <f t="shared" si="213"/>
        <v>Marketing</v>
      </c>
      <c r="H1946" t="s">
        <v>555</v>
      </c>
      <c r="I1946">
        <f t="shared" si="214"/>
        <v>1</v>
      </c>
      <c r="J1946" t="s">
        <v>546</v>
      </c>
      <c r="K1946" s="5">
        <v>60</v>
      </c>
      <c r="L1946" t="str">
        <f>Table_DataFromNL[[#This Row],[PROFILECODE]]&amp;"-"&amp;Table_DataFromNL[[#This Row],[RULENAME]]</f>
        <v>CP283-New Donor 1st Visit-Bonus</v>
      </c>
      <c r="M1946" t="str">
        <f t="shared" si="215"/>
        <v>CP283-NEW DONOR -1st</v>
      </c>
    </row>
    <row r="1947" spans="1:13" x14ac:dyDescent="0.25">
      <c r="A1947" t="str">
        <f t="shared" si="216"/>
        <v>CP283-NEW DONOR -2nd</v>
      </c>
      <c r="B1947" t="s">
        <v>123</v>
      </c>
      <c r="C1947" t="str">
        <f t="shared" si="210"/>
        <v>Little Rock</v>
      </c>
      <c r="D1947" t="str">
        <f t="shared" si="211"/>
        <v>Y</v>
      </c>
      <c r="E1947" t="s">
        <v>645</v>
      </c>
      <c r="F1947" t="str">
        <f t="shared" si="212"/>
        <v>NEW DONOR -2nd</v>
      </c>
      <c r="G1947" t="str">
        <f t="shared" si="213"/>
        <v>Marketing</v>
      </c>
      <c r="H1947" t="s">
        <v>556</v>
      </c>
      <c r="I1947">
        <f t="shared" si="214"/>
        <v>2</v>
      </c>
      <c r="J1947" t="s">
        <v>546</v>
      </c>
      <c r="K1947" s="5">
        <v>60</v>
      </c>
      <c r="L1947" t="str">
        <f>Table_DataFromNL[[#This Row],[PROFILECODE]]&amp;"-"&amp;Table_DataFromNL[[#This Row],[RULENAME]]</f>
        <v>CP283-New Donor 2nd Visit-Bonus</v>
      </c>
      <c r="M1947" t="str">
        <f t="shared" si="215"/>
        <v>CP283-NEW DONOR -2nd</v>
      </c>
    </row>
    <row r="1948" spans="1:13" x14ac:dyDescent="0.25">
      <c r="A1948" t="str">
        <f t="shared" si="216"/>
        <v>CP283-NEW DONOR -3rd</v>
      </c>
      <c r="B1948" t="s">
        <v>123</v>
      </c>
      <c r="C1948" t="str">
        <f t="shared" si="210"/>
        <v>Little Rock</v>
      </c>
      <c r="D1948" t="str">
        <f t="shared" si="211"/>
        <v>Y</v>
      </c>
      <c r="E1948" t="s">
        <v>645</v>
      </c>
      <c r="F1948" t="str">
        <f t="shared" si="212"/>
        <v>NEW DONOR -3rd</v>
      </c>
      <c r="G1948" t="str">
        <f t="shared" si="213"/>
        <v>Marketing</v>
      </c>
      <c r="H1948" t="s">
        <v>557</v>
      </c>
      <c r="I1948">
        <f t="shared" si="214"/>
        <v>3</v>
      </c>
      <c r="J1948" t="s">
        <v>546</v>
      </c>
      <c r="K1948" s="5">
        <v>60</v>
      </c>
      <c r="L1948" t="str">
        <f>Table_DataFromNL[[#This Row],[PROFILECODE]]&amp;"-"&amp;Table_DataFromNL[[#This Row],[RULENAME]]</f>
        <v>CP283-New Donor 3rd Visit-Bonus</v>
      </c>
      <c r="M1948" t="str">
        <f t="shared" si="215"/>
        <v>CP283-NEW DONOR -3rd</v>
      </c>
    </row>
    <row r="1949" spans="1:13" x14ac:dyDescent="0.25">
      <c r="A1949" t="str">
        <f t="shared" si="216"/>
        <v>CP283-NEW DONOR -4th</v>
      </c>
      <c r="B1949" t="s">
        <v>123</v>
      </c>
      <c r="C1949" t="str">
        <f t="shared" si="210"/>
        <v>Little Rock</v>
      </c>
      <c r="D1949" t="str">
        <f t="shared" si="211"/>
        <v>Y</v>
      </c>
      <c r="E1949" t="s">
        <v>645</v>
      </c>
      <c r="F1949" t="str">
        <f t="shared" si="212"/>
        <v>NEW DONOR -4th</v>
      </c>
      <c r="G1949" t="str">
        <f t="shared" si="213"/>
        <v>Marketing</v>
      </c>
      <c r="H1949" t="s">
        <v>558</v>
      </c>
      <c r="I1949">
        <f t="shared" si="214"/>
        <v>4</v>
      </c>
      <c r="J1949" t="s">
        <v>546</v>
      </c>
      <c r="K1949" s="5">
        <v>60</v>
      </c>
      <c r="L1949" t="str">
        <f>Table_DataFromNL[[#This Row],[PROFILECODE]]&amp;"-"&amp;Table_DataFromNL[[#This Row],[RULENAME]]</f>
        <v>CP283-New Donor 4th Visit-Bonus</v>
      </c>
      <c r="M1949" t="str">
        <f t="shared" si="215"/>
        <v>CP283-NEW DONOR -4th</v>
      </c>
    </row>
    <row r="1950" spans="1:13" x14ac:dyDescent="0.25">
      <c r="A1950" t="str">
        <f t="shared" si="216"/>
        <v>CP283-NEW DONOR -5th</v>
      </c>
      <c r="B1950" t="s">
        <v>123</v>
      </c>
      <c r="C1950" t="str">
        <f t="shared" si="210"/>
        <v>Little Rock</v>
      </c>
      <c r="D1950" t="str">
        <f t="shared" si="211"/>
        <v>Y</v>
      </c>
      <c r="E1950" t="s">
        <v>645</v>
      </c>
      <c r="F1950" t="str">
        <f t="shared" si="212"/>
        <v>NEW DONOR -5th</v>
      </c>
      <c r="G1950" t="str">
        <f t="shared" si="213"/>
        <v>Marketing</v>
      </c>
      <c r="H1950" t="s">
        <v>559</v>
      </c>
      <c r="I1950">
        <f t="shared" si="214"/>
        <v>5</v>
      </c>
      <c r="J1950" t="s">
        <v>546</v>
      </c>
      <c r="K1950" s="5">
        <v>60</v>
      </c>
      <c r="L1950" t="str">
        <f>Table_DataFromNL[[#This Row],[PROFILECODE]]&amp;"-"&amp;Table_DataFromNL[[#This Row],[RULENAME]]</f>
        <v>CP283-New Donor 5th Visit-Bonus</v>
      </c>
      <c r="M1950" t="str">
        <f t="shared" si="215"/>
        <v>CP283-NEW DONOR -5th</v>
      </c>
    </row>
    <row r="1951" spans="1:13" x14ac:dyDescent="0.25">
      <c r="A1951" t="str">
        <f t="shared" si="216"/>
        <v>CP283-NEW DONOR -6th</v>
      </c>
      <c r="B1951" t="s">
        <v>123</v>
      </c>
      <c r="C1951" t="str">
        <f t="shared" si="210"/>
        <v>Little Rock</v>
      </c>
      <c r="D1951" t="str">
        <f t="shared" si="211"/>
        <v>Y</v>
      </c>
      <c r="E1951" t="s">
        <v>645</v>
      </c>
      <c r="F1951" t="str">
        <f t="shared" si="212"/>
        <v>NEW DONOR -6th</v>
      </c>
      <c r="G1951" t="str">
        <f t="shared" si="213"/>
        <v>Marketing</v>
      </c>
      <c r="H1951" t="s">
        <v>560</v>
      </c>
      <c r="I1951">
        <f t="shared" si="214"/>
        <v>6</v>
      </c>
      <c r="J1951" t="s">
        <v>546</v>
      </c>
      <c r="K1951" s="5">
        <v>60</v>
      </c>
      <c r="L1951" t="str">
        <f>Table_DataFromNL[[#This Row],[PROFILECODE]]&amp;"-"&amp;Table_DataFromNL[[#This Row],[RULENAME]]</f>
        <v>CP283-New Donor 6th Visit-Bonus</v>
      </c>
      <c r="M1951" t="str">
        <f t="shared" si="215"/>
        <v>CP283-NEW DONOR -6th</v>
      </c>
    </row>
    <row r="1952" spans="1:13" x14ac:dyDescent="0.25">
      <c r="A1952" t="str">
        <f t="shared" si="216"/>
        <v>CP283-NEW DONOR -7th</v>
      </c>
      <c r="B1952" t="s">
        <v>123</v>
      </c>
      <c r="C1952" t="str">
        <f t="shared" si="210"/>
        <v>Little Rock</v>
      </c>
      <c r="D1952" t="str">
        <f t="shared" si="211"/>
        <v>Y</v>
      </c>
      <c r="E1952" t="s">
        <v>645</v>
      </c>
      <c r="F1952" t="str">
        <f t="shared" si="212"/>
        <v>NEW DONOR -7th</v>
      </c>
      <c r="G1952" t="str">
        <f t="shared" si="213"/>
        <v>Marketing</v>
      </c>
      <c r="H1952" t="s">
        <v>561</v>
      </c>
      <c r="I1952">
        <f t="shared" si="214"/>
        <v>7</v>
      </c>
      <c r="J1952" t="s">
        <v>546</v>
      </c>
      <c r="K1952" s="5">
        <v>60</v>
      </c>
      <c r="L1952" t="str">
        <f>Table_DataFromNL[[#This Row],[PROFILECODE]]&amp;"-"&amp;Table_DataFromNL[[#This Row],[RULENAME]]</f>
        <v>CP283-New Donor 7th Visit-Bonus</v>
      </c>
      <c r="M1952" t="str">
        <f t="shared" si="215"/>
        <v>CP283-NEW DONOR -7th</v>
      </c>
    </row>
    <row r="1953" spans="1:13" x14ac:dyDescent="0.25">
      <c r="A1953" t="str">
        <f t="shared" si="216"/>
        <v>CP283-NEW DONOR -8th</v>
      </c>
      <c r="B1953" t="s">
        <v>123</v>
      </c>
      <c r="C1953" t="str">
        <f t="shared" si="210"/>
        <v>Little Rock</v>
      </c>
      <c r="D1953" t="str">
        <f t="shared" si="211"/>
        <v>Y</v>
      </c>
      <c r="E1953" t="s">
        <v>645</v>
      </c>
      <c r="F1953" t="str">
        <f t="shared" si="212"/>
        <v>NEW DONOR -8th</v>
      </c>
      <c r="G1953" t="str">
        <f t="shared" si="213"/>
        <v>Marketing</v>
      </c>
      <c r="H1953" t="s">
        <v>562</v>
      </c>
      <c r="I1953">
        <f t="shared" si="214"/>
        <v>8</v>
      </c>
      <c r="J1953" t="s">
        <v>546</v>
      </c>
      <c r="K1953" s="5">
        <v>60</v>
      </c>
      <c r="L1953" t="str">
        <f>Table_DataFromNL[[#This Row],[PROFILECODE]]&amp;"-"&amp;Table_DataFromNL[[#This Row],[RULENAME]]</f>
        <v>CP283-New Donor 8th Visit-Bonus</v>
      </c>
      <c r="M1953" t="str">
        <f t="shared" si="215"/>
        <v>CP283-NEW DONOR -8th</v>
      </c>
    </row>
    <row r="1954" spans="1:13" x14ac:dyDescent="0.25">
      <c r="A1954" t="str">
        <f t="shared" si="216"/>
        <v>CP283-Vaccinia - 1st Donation</v>
      </c>
      <c r="B1954" t="s">
        <v>123</v>
      </c>
      <c r="C1954" t="str">
        <f t="shared" si="210"/>
        <v>Little Rock</v>
      </c>
      <c r="D1954" t="str">
        <f t="shared" si="211"/>
        <v>Y</v>
      </c>
      <c r="E1954" t="s">
        <v>645</v>
      </c>
      <c r="F1954" t="str">
        <f t="shared" si="212"/>
        <v>Vaccinia - 1st Donation</v>
      </c>
      <c r="G1954" t="str">
        <f t="shared" si="213"/>
        <v>Specialty</v>
      </c>
      <c r="H1954" t="s">
        <v>477</v>
      </c>
      <c r="I1954">
        <f t="shared" si="214"/>
        <v>0</v>
      </c>
      <c r="J1954" t="s">
        <v>546</v>
      </c>
      <c r="K1954" s="5">
        <v>150</v>
      </c>
      <c r="L1954" t="str">
        <f>Table_DataFromNL[[#This Row],[PROFILECODE]]&amp;"-"&amp;Table_DataFromNL[[#This Row],[RULENAME]]</f>
        <v>CP283-Vaccinia - 1st Donation</v>
      </c>
      <c r="M1954" t="str">
        <f t="shared" si="215"/>
        <v>CP283-Vaccinia - 1st Donation</v>
      </c>
    </row>
    <row r="1955" spans="1:13" x14ac:dyDescent="0.25">
      <c r="A1955" t="str">
        <f t="shared" si="216"/>
        <v>CP283-Vaccinia - 2nd Donation</v>
      </c>
      <c r="B1955" t="s">
        <v>123</v>
      </c>
      <c r="C1955" t="str">
        <f t="shared" si="210"/>
        <v>Little Rock</v>
      </c>
      <c r="D1955" t="str">
        <f t="shared" si="211"/>
        <v>Y</v>
      </c>
      <c r="E1955" t="s">
        <v>645</v>
      </c>
      <c r="F1955" t="str">
        <f t="shared" si="212"/>
        <v>Vaccinia - 2nd Donation</v>
      </c>
      <c r="G1955" t="str">
        <f t="shared" si="213"/>
        <v>Specialty</v>
      </c>
      <c r="H1955" t="s">
        <v>478</v>
      </c>
      <c r="I1955">
        <f t="shared" si="214"/>
        <v>0</v>
      </c>
      <c r="J1955" t="s">
        <v>546</v>
      </c>
      <c r="K1955" s="5">
        <v>250</v>
      </c>
      <c r="L1955" t="str">
        <f>Table_DataFromNL[[#This Row],[PROFILECODE]]&amp;"-"&amp;Table_DataFromNL[[#This Row],[RULENAME]]</f>
        <v>CP283-Vaccinia - 2nd Donation</v>
      </c>
      <c r="M1955" t="str">
        <f t="shared" si="215"/>
        <v>CP283-Vaccinia - 2nd Donation</v>
      </c>
    </row>
    <row r="1956" spans="1:13" x14ac:dyDescent="0.25">
      <c r="A1956" t="str">
        <f t="shared" si="216"/>
        <v>CP283-Vaccinia - 3rd Donation</v>
      </c>
      <c r="B1956" t="s">
        <v>123</v>
      </c>
      <c r="C1956" t="str">
        <f t="shared" si="210"/>
        <v>Little Rock</v>
      </c>
      <c r="D1956" t="str">
        <f t="shared" si="211"/>
        <v>Y</v>
      </c>
      <c r="E1956" t="s">
        <v>645</v>
      </c>
      <c r="F1956" t="str">
        <f t="shared" si="212"/>
        <v>Vaccinia - 3rd Donation</v>
      </c>
      <c r="G1956" t="str">
        <f t="shared" si="213"/>
        <v>Specialty</v>
      </c>
      <c r="H1956" t="s">
        <v>479</v>
      </c>
      <c r="I1956">
        <f t="shared" si="214"/>
        <v>0</v>
      </c>
      <c r="J1956" t="s">
        <v>546</v>
      </c>
      <c r="K1956" s="5">
        <v>300</v>
      </c>
      <c r="L1956" t="str">
        <f>Table_DataFromNL[[#This Row],[PROFILECODE]]&amp;"-"&amp;Table_DataFromNL[[#This Row],[RULENAME]]</f>
        <v>CP283-Vaccinia - 3rd Donation</v>
      </c>
      <c r="M1956" t="str">
        <f t="shared" si="215"/>
        <v>CP283-Vaccinia - 3rd Donation</v>
      </c>
    </row>
    <row r="1957" spans="1:13" x14ac:dyDescent="0.25">
      <c r="A1957" t="str">
        <f t="shared" si="216"/>
        <v>CP283-Vaccinia - 4th Donation</v>
      </c>
      <c r="B1957" t="s">
        <v>123</v>
      </c>
      <c r="C1957" t="str">
        <f t="shared" si="210"/>
        <v>Little Rock</v>
      </c>
      <c r="D1957" t="str">
        <f t="shared" si="211"/>
        <v>Y</v>
      </c>
      <c r="E1957" t="s">
        <v>645</v>
      </c>
      <c r="F1957" t="str">
        <f t="shared" si="212"/>
        <v>Vaccinia - 4th Donation</v>
      </c>
      <c r="G1957" t="str">
        <f t="shared" si="213"/>
        <v>Specialty</v>
      </c>
      <c r="H1957" t="s">
        <v>480</v>
      </c>
      <c r="I1957">
        <f t="shared" si="214"/>
        <v>0</v>
      </c>
      <c r="J1957" t="s">
        <v>546</v>
      </c>
      <c r="K1957" s="5">
        <v>300</v>
      </c>
      <c r="L1957" t="str">
        <f>Table_DataFromNL[[#This Row],[PROFILECODE]]&amp;"-"&amp;Table_DataFromNL[[#This Row],[RULENAME]]</f>
        <v>CP283-Vaccinia - 4th Donation</v>
      </c>
      <c r="M1957" t="str">
        <f t="shared" si="215"/>
        <v>CP283-Vaccinia - 4th Donation</v>
      </c>
    </row>
    <row r="1958" spans="1:13" x14ac:dyDescent="0.25">
      <c r="A1958" t="str">
        <f t="shared" si="216"/>
        <v>CP283-Vaccinia AP - 1st Donation</v>
      </c>
      <c r="B1958" t="s">
        <v>123</v>
      </c>
      <c r="C1958" t="str">
        <f t="shared" si="210"/>
        <v>Little Rock</v>
      </c>
      <c r="D1958" t="str">
        <f t="shared" si="211"/>
        <v>Y</v>
      </c>
      <c r="E1958" t="s">
        <v>645</v>
      </c>
      <c r="F1958" t="str">
        <f t="shared" si="212"/>
        <v>Vaccinia AP - 1st Donation</v>
      </c>
      <c r="G1958" t="str">
        <f t="shared" si="213"/>
        <v>Specialty</v>
      </c>
      <c r="H1958" t="s">
        <v>481</v>
      </c>
      <c r="I1958">
        <f t="shared" si="214"/>
        <v>0</v>
      </c>
      <c r="J1958" t="s">
        <v>546</v>
      </c>
      <c r="K1958" s="5">
        <v>150</v>
      </c>
      <c r="L1958" t="str">
        <f>Table_DataFromNL[[#This Row],[PROFILECODE]]&amp;"-"&amp;Table_DataFromNL[[#This Row],[RULENAME]]</f>
        <v>CP283-Vaccinia AP - 1st Donation</v>
      </c>
      <c r="M1958" t="str">
        <f t="shared" si="215"/>
        <v>CP283-Vaccinia AP - 1st Donation</v>
      </c>
    </row>
    <row r="1959" spans="1:13" x14ac:dyDescent="0.25">
      <c r="A1959" t="str">
        <f t="shared" si="216"/>
        <v>CP283-Vaccinia AP - 2nd Donation</v>
      </c>
      <c r="B1959" t="s">
        <v>123</v>
      </c>
      <c r="C1959" t="str">
        <f t="shared" si="210"/>
        <v>Little Rock</v>
      </c>
      <c r="D1959" t="str">
        <f t="shared" si="211"/>
        <v>Y</v>
      </c>
      <c r="E1959" t="s">
        <v>645</v>
      </c>
      <c r="F1959" t="str">
        <f t="shared" si="212"/>
        <v>Vaccinia AP - 2nd Donation</v>
      </c>
      <c r="G1959" t="str">
        <f t="shared" si="213"/>
        <v>Specialty</v>
      </c>
      <c r="H1959" t="s">
        <v>482</v>
      </c>
      <c r="I1959">
        <f t="shared" si="214"/>
        <v>0</v>
      </c>
      <c r="J1959" t="s">
        <v>546</v>
      </c>
      <c r="K1959" s="5">
        <v>250</v>
      </c>
      <c r="L1959" t="str">
        <f>Table_DataFromNL[[#This Row],[PROFILECODE]]&amp;"-"&amp;Table_DataFromNL[[#This Row],[RULENAME]]</f>
        <v>CP283-Vaccinia AP - 2nd Donation</v>
      </c>
      <c r="M1959" t="str">
        <f t="shared" si="215"/>
        <v>CP283-Vaccinia AP - 2nd Donation</v>
      </c>
    </row>
    <row r="1960" spans="1:13" x14ac:dyDescent="0.25">
      <c r="A1960" t="str">
        <f t="shared" si="216"/>
        <v>CP283-Vaccinia AP - 3rd Donation</v>
      </c>
      <c r="B1960" t="s">
        <v>123</v>
      </c>
      <c r="C1960" t="str">
        <f t="shared" si="210"/>
        <v>Little Rock</v>
      </c>
      <c r="D1960" t="str">
        <f t="shared" si="211"/>
        <v>Y</v>
      </c>
      <c r="E1960" t="s">
        <v>645</v>
      </c>
      <c r="F1960" t="str">
        <f t="shared" si="212"/>
        <v>Vaccinia AP - 3rd Donation</v>
      </c>
      <c r="G1960" t="str">
        <f t="shared" si="213"/>
        <v>Specialty</v>
      </c>
      <c r="H1960" t="s">
        <v>483</v>
      </c>
      <c r="I1960">
        <f t="shared" si="214"/>
        <v>0</v>
      </c>
      <c r="J1960" t="s">
        <v>546</v>
      </c>
      <c r="K1960" s="5">
        <v>300</v>
      </c>
      <c r="L1960" t="str">
        <f>Table_DataFromNL[[#This Row],[PROFILECODE]]&amp;"-"&amp;Table_DataFromNL[[#This Row],[RULENAME]]</f>
        <v>CP283-Vaccinia AP - 3rd Donation</v>
      </c>
      <c r="M1960" t="str">
        <f t="shared" si="215"/>
        <v>CP283-Vaccinia AP - 3rd Donation</v>
      </c>
    </row>
    <row r="1961" spans="1:13" x14ac:dyDescent="0.25">
      <c r="A1961" t="str">
        <f t="shared" si="216"/>
        <v>CP283-Vaccinia AP - 4th Donation</v>
      </c>
      <c r="B1961" t="s">
        <v>123</v>
      </c>
      <c r="C1961" t="str">
        <f t="shared" si="210"/>
        <v>Little Rock</v>
      </c>
      <c r="D1961" t="str">
        <f t="shared" si="211"/>
        <v>Y</v>
      </c>
      <c r="E1961" t="s">
        <v>645</v>
      </c>
      <c r="F1961" t="str">
        <f t="shared" si="212"/>
        <v>Vaccinia AP - 4th Donation</v>
      </c>
      <c r="G1961" t="str">
        <f t="shared" si="213"/>
        <v>Specialty</v>
      </c>
      <c r="H1961" t="s">
        <v>484</v>
      </c>
      <c r="I1961">
        <f t="shared" si="214"/>
        <v>0</v>
      </c>
      <c r="J1961" t="s">
        <v>546</v>
      </c>
      <c r="K1961" s="5">
        <v>300</v>
      </c>
      <c r="L1961" t="str">
        <f>Table_DataFromNL[[#This Row],[PROFILECODE]]&amp;"-"&amp;Table_DataFromNL[[#This Row],[RULENAME]]</f>
        <v>CP283-Vaccinia AP - 4th Donation</v>
      </c>
      <c r="M1961" t="str">
        <f t="shared" si="215"/>
        <v>CP283-Vaccinia AP - 4th Donation</v>
      </c>
    </row>
    <row r="1962" spans="1:13" x14ac:dyDescent="0.25">
      <c r="A1962" t="str">
        <f t="shared" si="216"/>
        <v>CP283-Community</v>
      </c>
      <c r="B1962" t="s">
        <v>123</v>
      </c>
      <c r="C1962" t="str">
        <f t="shared" si="210"/>
        <v>Little Rock</v>
      </c>
      <c r="D1962" t="str">
        <f t="shared" si="211"/>
        <v>Y</v>
      </c>
      <c r="E1962" t="s">
        <v>645</v>
      </c>
      <c r="F1962" t="str">
        <f t="shared" si="212"/>
        <v>Community</v>
      </c>
      <c r="G1962">
        <f t="shared" si="213"/>
        <v>0</v>
      </c>
      <c r="H1962" t="s">
        <v>563</v>
      </c>
      <c r="I1962">
        <f t="shared" si="214"/>
        <v>0</v>
      </c>
      <c r="J1962" t="s">
        <v>564</v>
      </c>
      <c r="K1962" s="5">
        <v>5</v>
      </c>
      <c r="L1962" t="str">
        <f>Table_DataFromNL[[#This Row],[PROFILECODE]]&amp;"-"&amp;Table_DataFromNL[[#This Row],[RULENAME]]</f>
        <v>CP283-Community</v>
      </c>
      <c r="M1962" t="e">
        <f t="shared" si="215"/>
        <v>#N/A</v>
      </c>
    </row>
    <row r="1963" spans="1:13" x14ac:dyDescent="0.25">
      <c r="A1963" t="str">
        <f t="shared" si="216"/>
        <v>CP283-HANGER_RECRUIT_5USD_once</v>
      </c>
      <c r="B1963" t="s">
        <v>123</v>
      </c>
      <c r="C1963" t="str">
        <f t="shared" si="210"/>
        <v>Little Rock</v>
      </c>
      <c r="D1963" t="str">
        <f t="shared" si="211"/>
        <v>Y</v>
      </c>
      <c r="E1963" t="s">
        <v>645</v>
      </c>
      <c r="F1963" t="str">
        <f t="shared" si="212"/>
        <v>HANGER_RECRUIT_5USD_once</v>
      </c>
      <c r="G1963">
        <f t="shared" si="213"/>
        <v>0</v>
      </c>
      <c r="H1963" t="s">
        <v>565</v>
      </c>
      <c r="I1963">
        <f t="shared" si="214"/>
        <v>0</v>
      </c>
      <c r="J1963" t="s">
        <v>564</v>
      </c>
      <c r="K1963" s="5">
        <v>5</v>
      </c>
      <c r="L1963" t="str">
        <f>Table_DataFromNL[[#This Row],[PROFILECODE]]&amp;"-"&amp;Table_DataFromNL[[#This Row],[RULENAME]]</f>
        <v>CP283-HANGER_RECRUIT_5USD_once</v>
      </c>
      <c r="M1963" t="e">
        <f t="shared" si="215"/>
        <v>#N/A</v>
      </c>
    </row>
    <row r="1964" spans="1:13" x14ac:dyDescent="0.25">
      <c r="A1964" t="str">
        <f t="shared" si="216"/>
        <v>CP283-Immunization Boost Payment</v>
      </c>
      <c r="B1964" t="s">
        <v>123</v>
      </c>
      <c r="C1964" t="str">
        <f t="shared" si="210"/>
        <v>Little Rock</v>
      </c>
      <c r="D1964" t="str">
        <f t="shared" si="211"/>
        <v>Y</v>
      </c>
      <c r="E1964" t="s">
        <v>645</v>
      </c>
      <c r="F1964" t="str">
        <f t="shared" si="212"/>
        <v>Immunization Boost Payment</v>
      </c>
      <c r="G1964">
        <f t="shared" si="213"/>
        <v>0</v>
      </c>
      <c r="H1964" t="s">
        <v>598</v>
      </c>
      <c r="I1964">
        <f t="shared" si="214"/>
        <v>0</v>
      </c>
      <c r="J1964" t="s">
        <v>564</v>
      </c>
      <c r="K1964" s="5">
        <v>50</v>
      </c>
      <c r="L1964" t="str">
        <f>Table_DataFromNL[[#This Row],[PROFILECODE]]&amp;"-"&amp;Table_DataFromNL[[#This Row],[RULENAME]]</f>
        <v>CP283-Immunization Boost Payment</v>
      </c>
      <c r="M1964" t="e">
        <f t="shared" si="215"/>
        <v>#N/A</v>
      </c>
    </row>
    <row r="1965" spans="1:13" x14ac:dyDescent="0.25">
      <c r="A1965" t="str">
        <f t="shared" si="216"/>
        <v>CP283-Immunization Series Payment</v>
      </c>
      <c r="B1965" t="s">
        <v>123</v>
      </c>
      <c r="C1965" t="str">
        <f t="shared" si="210"/>
        <v>Little Rock</v>
      </c>
      <c r="D1965" t="str">
        <f t="shared" si="211"/>
        <v>Y</v>
      </c>
      <c r="E1965" t="s">
        <v>645</v>
      </c>
      <c r="F1965" t="str">
        <f t="shared" si="212"/>
        <v>Immunization Series Payment</v>
      </c>
      <c r="G1965">
        <f t="shared" si="213"/>
        <v>0</v>
      </c>
      <c r="H1965" t="s">
        <v>599</v>
      </c>
      <c r="I1965">
        <f t="shared" si="214"/>
        <v>0</v>
      </c>
      <c r="J1965" t="s">
        <v>564</v>
      </c>
      <c r="K1965" s="5">
        <v>100</v>
      </c>
      <c r="L1965" t="str">
        <f>Table_DataFromNL[[#This Row],[PROFILECODE]]&amp;"-"&amp;Table_DataFromNL[[#This Row],[RULENAME]]</f>
        <v>CP283-Immunization Series Payment</v>
      </c>
      <c r="M1965" t="e">
        <f t="shared" si="215"/>
        <v>#N/A</v>
      </c>
    </row>
    <row r="1966" spans="1:13" x14ac:dyDescent="0.25">
      <c r="A1966" t="str">
        <f t="shared" si="216"/>
        <v>CP283-Inconv Fee $20-$50-Comment Req'd</v>
      </c>
      <c r="B1966" t="s">
        <v>123</v>
      </c>
      <c r="C1966" t="str">
        <f t="shared" si="210"/>
        <v>Little Rock</v>
      </c>
      <c r="D1966" t="str">
        <f t="shared" si="211"/>
        <v>Y</v>
      </c>
      <c r="E1966" t="s">
        <v>645</v>
      </c>
      <c r="F1966" t="str">
        <f t="shared" si="212"/>
        <v>Inconv Fee $20-$50-Comment Req'd</v>
      </c>
      <c r="G1966">
        <f t="shared" si="213"/>
        <v>0</v>
      </c>
      <c r="H1966" t="s">
        <v>566</v>
      </c>
      <c r="I1966">
        <f t="shared" si="214"/>
        <v>0</v>
      </c>
      <c r="J1966" t="s">
        <v>564</v>
      </c>
      <c r="K1966" s="5">
        <v>50</v>
      </c>
      <c r="L1966" t="str">
        <f>Table_DataFromNL[[#This Row],[PROFILECODE]]&amp;"-"&amp;Table_DataFromNL[[#This Row],[RULENAME]]</f>
        <v>CP283-Inconv Fee $20-$50-Comment Req'd</v>
      </c>
      <c r="M1966" t="e">
        <f t="shared" si="215"/>
        <v>#N/A</v>
      </c>
    </row>
    <row r="1967" spans="1:13" x14ac:dyDescent="0.25">
      <c r="A1967" t="str">
        <f t="shared" si="216"/>
        <v>CP283-Inconv Fee $5-$20-Comment Req'd</v>
      </c>
      <c r="B1967" t="s">
        <v>123</v>
      </c>
      <c r="C1967" t="str">
        <f t="shared" si="210"/>
        <v>Little Rock</v>
      </c>
      <c r="D1967" t="str">
        <f t="shared" si="211"/>
        <v>Y</v>
      </c>
      <c r="E1967" t="s">
        <v>645</v>
      </c>
      <c r="F1967" t="str">
        <f t="shared" si="212"/>
        <v>Inconv Fee $5-$20-Comment Req'd</v>
      </c>
      <c r="G1967">
        <f t="shared" si="213"/>
        <v>0</v>
      </c>
      <c r="H1967" t="s">
        <v>567</v>
      </c>
      <c r="I1967">
        <f t="shared" si="214"/>
        <v>0</v>
      </c>
      <c r="J1967" t="s">
        <v>564</v>
      </c>
      <c r="K1967" s="5">
        <v>20</v>
      </c>
      <c r="L1967" t="str">
        <f>Table_DataFromNL[[#This Row],[PROFILECODE]]&amp;"-"&amp;Table_DataFromNL[[#This Row],[RULENAME]]</f>
        <v>CP283-Inconv Fee $5-$20-Comment Req'd</v>
      </c>
      <c r="M1967" t="e">
        <f t="shared" si="215"/>
        <v>#N/A</v>
      </c>
    </row>
    <row r="1968" spans="1:13" x14ac:dyDescent="0.25">
      <c r="A1968" t="str">
        <f t="shared" si="216"/>
        <v>CP283-Inconv Fee$50-$100-Comment Req'd</v>
      </c>
      <c r="B1968" t="s">
        <v>123</v>
      </c>
      <c r="C1968" t="str">
        <f t="shared" si="210"/>
        <v>Little Rock</v>
      </c>
      <c r="D1968" t="str">
        <f t="shared" si="211"/>
        <v>Y</v>
      </c>
      <c r="E1968" t="s">
        <v>645</v>
      </c>
      <c r="F1968" t="str">
        <f t="shared" si="212"/>
        <v>Inconv Fee$50-$100-Comment Req'd</v>
      </c>
      <c r="G1968">
        <f t="shared" si="213"/>
        <v>0</v>
      </c>
      <c r="H1968" t="s">
        <v>568</v>
      </c>
      <c r="I1968">
        <f t="shared" si="214"/>
        <v>0</v>
      </c>
      <c r="J1968" t="s">
        <v>564</v>
      </c>
      <c r="K1968" s="5">
        <v>100</v>
      </c>
      <c r="L1968" t="str">
        <f>Table_DataFromNL[[#This Row],[PROFILECODE]]&amp;"-"&amp;Table_DataFromNL[[#This Row],[RULENAME]]</f>
        <v>CP283-Inconv Fee$50-$100-Comment Req'd</v>
      </c>
      <c r="M1968" t="e">
        <f t="shared" si="215"/>
        <v>#N/A</v>
      </c>
    </row>
    <row r="1969" spans="1:13" x14ac:dyDescent="0.25">
      <c r="A1969" t="str">
        <f t="shared" si="216"/>
        <v>CP283-NSP_ LAPSEDONOR_50_Twice</v>
      </c>
      <c r="B1969" t="s">
        <v>123</v>
      </c>
      <c r="C1969" t="str">
        <f t="shared" si="210"/>
        <v>Little Rock</v>
      </c>
      <c r="D1969" t="str">
        <f t="shared" si="211"/>
        <v>Y</v>
      </c>
      <c r="E1969" t="s">
        <v>645</v>
      </c>
      <c r="F1969" t="str">
        <f t="shared" si="212"/>
        <v>NSP_ LAPSEDONOR_50_Twice</v>
      </c>
      <c r="G1969">
        <f t="shared" si="213"/>
        <v>0</v>
      </c>
      <c r="H1969" t="s">
        <v>569</v>
      </c>
      <c r="I1969">
        <f t="shared" si="214"/>
        <v>0</v>
      </c>
      <c r="J1969" t="s">
        <v>564</v>
      </c>
      <c r="K1969" s="5">
        <v>50</v>
      </c>
      <c r="L1969" t="str">
        <f>Table_DataFromNL[[#This Row],[PROFILECODE]]&amp;"-"&amp;Table_DataFromNL[[#This Row],[RULENAME]]</f>
        <v>CP283-NSP_ LAPSEDONOR_50_Twice</v>
      </c>
      <c r="M1969" t="e">
        <f t="shared" si="215"/>
        <v>#N/A</v>
      </c>
    </row>
    <row r="1970" spans="1:13" x14ac:dyDescent="0.25">
      <c r="A1970" t="str">
        <f t="shared" si="216"/>
        <v>CP283-NSP_LD_25_2X</v>
      </c>
      <c r="B1970" t="s">
        <v>123</v>
      </c>
      <c r="C1970" t="str">
        <f t="shared" si="210"/>
        <v>Little Rock</v>
      </c>
      <c r="D1970" t="str">
        <f t="shared" si="211"/>
        <v>Y</v>
      </c>
      <c r="E1970" t="s">
        <v>645</v>
      </c>
      <c r="F1970" t="str">
        <f t="shared" si="212"/>
        <v>NSP_LD_25_2X</v>
      </c>
      <c r="G1970">
        <f t="shared" si="213"/>
        <v>0</v>
      </c>
      <c r="H1970" t="s">
        <v>570</v>
      </c>
      <c r="I1970">
        <f t="shared" si="214"/>
        <v>0</v>
      </c>
      <c r="J1970" t="s">
        <v>564</v>
      </c>
      <c r="K1970" s="5">
        <v>25</v>
      </c>
      <c r="L1970" t="str">
        <f>Table_DataFromNL[[#This Row],[PROFILECODE]]&amp;"-"&amp;Table_DataFromNL[[#This Row],[RULENAME]]</f>
        <v>CP283-NSP_LD_25_2X</v>
      </c>
      <c r="M1970" t="e">
        <f t="shared" si="215"/>
        <v>#N/A</v>
      </c>
    </row>
    <row r="1971" spans="1:13" x14ac:dyDescent="0.25">
      <c r="A1971" t="str">
        <f t="shared" si="216"/>
        <v>CP283-NSP_LD_50_1X</v>
      </c>
      <c r="B1971" t="s">
        <v>123</v>
      </c>
      <c r="C1971" t="str">
        <f t="shared" si="210"/>
        <v>Little Rock</v>
      </c>
      <c r="D1971" t="str">
        <f t="shared" si="211"/>
        <v>Y</v>
      </c>
      <c r="E1971" t="s">
        <v>645</v>
      </c>
      <c r="F1971" t="str">
        <f t="shared" si="212"/>
        <v>NSP_LD_50_1X</v>
      </c>
      <c r="G1971">
        <f t="shared" si="213"/>
        <v>0</v>
      </c>
      <c r="H1971" t="s">
        <v>571</v>
      </c>
      <c r="I1971">
        <f t="shared" si="214"/>
        <v>0</v>
      </c>
      <c r="J1971" t="s">
        <v>564</v>
      </c>
      <c r="K1971" s="5">
        <v>50</v>
      </c>
      <c r="L1971" t="str">
        <f>Table_DataFromNL[[#This Row],[PROFILECODE]]&amp;"-"&amp;Table_DataFromNL[[#This Row],[RULENAME]]</f>
        <v>CP283-NSP_LD_50_1X</v>
      </c>
      <c r="M1971" t="e">
        <f t="shared" si="215"/>
        <v>#N/A</v>
      </c>
    </row>
    <row r="1972" spans="1:13" x14ac:dyDescent="0.25">
      <c r="A1972" t="str">
        <f t="shared" si="216"/>
        <v>CP283-NSP_ORPHAN_100_once</v>
      </c>
      <c r="B1972" t="s">
        <v>123</v>
      </c>
      <c r="C1972" t="str">
        <f t="shared" si="210"/>
        <v>Little Rock</v>
      </c>
      <c r="D1972" t="str">
        <f t="shared" si="211"/>
        <v>Y</v>
      </c>
      <c r="E1972" t="s">
        <v>645</v>
      </c>
      <c r="F1972" t="str">
        <f t="shared" si="212"/>
        <v>NSP_ORPHAN_100_once</v>
      </c>
      <c r="G1972">
        <f t="shared" si="213"/>
        <v>0</v>
      </c>
      <c r="H1972" t="s">
        <v>572</v>
      </c>
      <c r="I1972">
        <f t="shared" si="214"/>
        <v>0</v>
      </c>
      <c r="J1972" t="s">
        <v>564</v>
      </c>
      <c r="K1972" s="5">
        <v>100</v>
      </c>
      <c r="L1972" t="str">
        <f>Table_DataFromNL[[#This Row],[PROFILECODE]]&amp;"-"&amp;Table_DataFromNL[[#This Row],[RULENAME]]</f>
        <v>CP283-NSP_ORPHAN_100_once</v>
      </c>
      <c r="M1972" t="e">
        <f t="shared" si="215"/>
        <v>#N/A</v>
      </c>
    </row>
    <row r="1973" spans="1:13" x14ac:dyDescent="0.25">
      <c r="A1973" t="str">
        <f t="shared" si="216"/>
        <v>CP283-Referral - Vaccinia</v>
      </c>
      <c r="B1973" t="s">
        <v>123</v>
      </c>
      <c r="C1973" t="str">
        <f t="shared" si="210"/>
        <v>Little Rock</v>
      </c>
      <c r="D1973" t="str">
        <f t="shared" si="211"/>
        <v>Y</v>
      </c>
      <c r="E1973" t="s">
        <v>645</v>
      </c>
      <c r="F1973" t="str">
        <f t="shared" si="212"/>
        <v>Referral - Vaccinia</v>
      </c>
      <c r="G1973">
        <f t="shared" si="213"/>
        <v>0</v>
      </c>
      <c r="H1973" t="s">
        <v>595</v>
      </c>
      <c r="I1973">
        <f t="shared" si="214"/>
        <v>0</v>
      </c>
      <c r="J1973" t="s">
        <v>564</v>
      </c>
      <c r="K1973" s="5">
        <v>250</v>
      </c>
      <c r="L1973" t="str">
        <f>Table_DataFromNL[[#This Row],[PROFILECODE]]&amp;"-"&amp;Table_DataFromNL[[#This Row],[RULENAME]]</f>
        <v>CP283-Referral - Vaccinia</v>
      </c>
      <c r="M1973" t="e">
        <f t="shared" si="215"/>
        <v>#N/A</v>
      </c>
    </row>
    <row r="1974" spans="1:13" x14ac:dyDescent="0.25">
      <c r="A1974" t="str">
        <f t="shared" si="216"/>
        <v>CP283-Restick</v>
      </c>
      <c r="B1974" t="s">
        <v>123</v>
      </c>
      <c r="C1974" t="str">
        <f t="shared" si="210"/>
        <v>Little Rock</v>
      </c>
      <c r="D1974" t="str">
        <f t="shared" si="211"/>
        <v>Y</v>
      </c>
      <c r="E1974" t="s">
        <v>645</v>
      </c>
      <c r="F1974" t="str">
        <f t="shared" si="212"/>
        <v>Restick</v>
      </c>
      <c r="G1974">
        <f t="shared" si="213"/>
        <v>0</v>
      </c>
      <c r="H1974" t="s">
        <v>573</v>
      </c>
      <c r="I1974">
        <f t="shared" si="214"/>
        <v>0</v>
      </c>
      <c r="J1974" t="s">
        <v>564</v>
      </c>
      <c r="K1974" s="5">
        <v>5</v>
      </c>
      <c r="L1974" t="str">
        <f>Table_DataFromNL[[#This Row],[PROFILECODE]]&amp;"-"&amp;Table_DataFromNL[[#This Row],[RULENAME]]</f>
        <v>CP283-Restick</v>
      </c>
      <c r="M1974" t="e">
        <f t="shared" si="215"/>
        <v>#N/A</v>
      </c>
    </row>
    <row r="1975" spans="1:13" x14ac:dyDescent="0.25">
      <c r="A1975" t="str">
        <f t="shared" si="216"/>
        <v>CP283-SLOW_TEXT_5</v>
      </c>
      <c r="B1975" t="s">
        <v>123</v>
      </c>
      <c r="C1975" t="str">
        <f t="shared" si="210"/>
        <v>Little Rock</v>
      </c>
      <c r="D1975" t="str">
        <f t="shared" si="211"/>
        <v>Y</v>
      </c>
      <c r="E1975" t="s">
        <v>645</v>
      </c>
      <c r="F1975" t="str">
        <f t="shared" si="212"/>
        <v>SLOW_TEXT_5</v>
      </c>
      <c r="G1975">
        <f t="shared" si="213"/>
        <v>0</v>
      </c>
      <c r="H1975" t="s">
        <v>574</v>
      </c>
      <c r="I1975">
        <f t="shared" si="214"/>
        <v>0</v>
      </c>
      <c r="J1975" t="s">
        <v>564</v>
      </c>
      <c r="K1975" s="5">
        <v>5</v>
      </c>
      <c r="L1975" t="str">
        <f>Table_DataFromNL[[#This Row],[PROFILECODE]]&amp;"-"&amp;Table_DataFromNL[[#This Row],[RULENAME]]</f>
        <v>CP283-SLOW_TEXT_5</v>
      </c>
      <c r="M1975" t="e">
        <f t="shared" si="215"/>
        <v>#N/A</v>
      </c>
    </row>
    <row r="1976" spans="1:13" x14ac:dyDescent="0.25">
      <c r="A1976" t="str">
        <f t="shared" si="216"/>
        <v>CP283-Sample Only</v>
      </c>
      <c r="B1976" t="s">
        <v>123</v>
      </c>
      <c r="C1976" t="str">
        <f t="shared" si="210"/>
        <v>Little Rock</v>
      </c>
      <c r="D1976" t="str">
        <f t="shared" si="211"/>
        <v>Y</v>
      </c>
      <c r="E1976" t="s">
        <v>645</v>
      </c>
      <c r="F1976" t="str">
        <f t="shared" si="212"/>
        <v>Sample Only</v>
      </c>
      <c r="G1976">
        <f t="shared" si="213"/>
        <v>0</v>
      </c>
      <c r="H1976" t="s">
        <v>575</v>
      </c>
      <c r="I1976">
        <f t="shared" si="214"/>
        <v>0</v>
      </c>
      <c r="J1976" t="s">
        <v>564</v>
      </c>
      <c r="K1976" s="5">
        <v>5</v>
      </c>
      <c r="L1976" t="str">
        <f>Table_DataFromNL[[#This Row],[PROFILECODE]]&amp;"-"&amp;Table_DataFromNL[[#This Row],[RULENAME]]</f>
        <v>CP283-Sample Only</v>
      </c>
      <c r="M1976" t="e">
        <f t="shared" si="215"/>
        <v>#N/A</v>
      </c>
    </row>
    <row r="1977" spans="1:13" x14ac:dyDescent="0.25">
      <c r="A1977" t="str">
        <f t="shared" si="216"/>
        <v>CP283-Unit Below 250 mL</v>
      </c>
      <c r="B1977" t="s">
        <v>123</v>
      </c>
      <c r="C1977" t="str">
        <f t="shared" si="210"/>
        <v>Little Rock</v>
      </c>
      <c r="D1977" t="str">
        <f t="shared" si="211"/>
        <v>Y</v>
      </c>
      <c r="E1977" t="s">
        <v>645</v>
      </c>
      <c r="F1977" t="str">
        <f t="shared" si="212"/>
        <v>Unit Below 250 mL</v>
      </c>
      <c r="G1977">
        <f t="shared" si="213"/>
        <v>0</v>
      </c>
      <c r="H1977" t="s">
        <v>576</v>
      </c>
      <c r="I1977">
        <f t="shared" si="214"/>
        <v>0</v>
      </c>
      <c r="J1977" t="s">
        <v>564</v>
      </c>
      <c r="K1977" s="5">
        <v>5</v>
      </c>
      <c r="L1977" t="str">
        <f>Table_DataFromNL[[#This Row],[PROFILECODE]]&amp;"-"&amp;Table_DataFromNL[[#This Row],[RULENAME]]</f>
        <v>CP283-Unit Below 250 mL</v>
      </c>
      <c r="M1977" t="e">
        <f t="shared" si="215"/>
        <v>#N/A</v>
      </c>
    </row>
    <row r="1978" spans="1:13" x14ac:dyDescent="0.25">
      <c r="A1978" t="str">
        <f t="shared" si="216"/>
        <v>CP283-Unit above 250 mL/underdraw</v>
      </c>
      <c r="B1978" t="s">
        <v>123</v>
      </c>
      <c r="C1978" t="str">
        <f t="shared" si="210"/>
        <v>Little Rock</v>
      </c>
      <c r="D1978" t="str">
        <f t="shared" si="211"/>
        <v>Y</v>
      </c>
      <c r="E1978" t="s">
        <v>645</v>
      </c>
      <c r="F1978" t="str">
        <f t="shared" si="212"/>
        <v>Unit above 250 mL/underdraw</v>
      </c>
      <c r="G1978">
        <f t="shared" si="213"/>
        <v>0</v>
      </c>
      <c r="H1978" t="s">
        <v>577</v>
      </c>
      <c r="I1978">
        <f t="shared" si="214"/>
        <v>0</v>
      </c>
      <c r="J1978" t="s">
        <v>564</v>
      </c>
      <c r="K1978" s="5">
        <v>10</v>
      </c>
      <c r="L1978" t="str">
        <f>Table_DataFromNL[[#This Row],[PROFILECODE]]&amp;"-"&amp;Table_DataFromNL[[#This Row],[RULENAME]]</f>
        <v>CP283-Unit above 250 mL/underdraw</v>
      </c>
      <c r="M1978" t="e">
        <f t="shared" si="215"/>
        <v>#N/A</v>
      </c>
    </row>
    <row r="1979" spans="1:13" x14ac:dyDescent="0.25">
      <c r="A1979" t="str">
        <f t="shared" si="216"/>
        <v>CP283-Vaccinia Immunization</v>
      </c>
      <c r="B1979" t="s">
        <v>123</v>
      </c>
      <c r="C1979" t="str">
        <f t="shared" si="210"/>
        <v>Little Rock</v>
      </c>
      <c r="D1979" t="str">
        <f t="shared" si="211"/>
        <v>Y</v>
      </c>
      <c r="E1979" t="s">
        <v>645</v>
      </c>
      <c r="F1979" t="str">
        <f t="shared" si="212"/>
        <v>Vaccinia Immunization</v>
      </c>
      <c r="G1979">
        <f t="shared" si="213"/>
        <v>0</v>
      </c>
      <c r="H1979" t="s">
        <v>596</v>
      </c>
      <c r="I1979">
        <f t="shared" si="214"/>
        <v>0</v>
      </c>
      <c r="J1979" t="s">
        <v>564</v>
      </c>
      <c r="K1979" s="5">
        <v>100</v>
      </c>
      <c r="L1979" t="str">
        <f>Table_DataFromNL[[#This Row],[PROFILECODE]]&amp;"-"&amp;Table_DataFromNL[[#This Row],[RULENAME]]</f>
        <v>CP283-Vaccinia Immunization</v>
      </c>
      <c r="M1979" t="e">
        <f t="shared" si="215"/>
        <v>#N/A</v>
      </c>
    </row>
    <row r="1980" spans="1:13" x14ac:dyDescent="0.25">
      <c r="A1980" t="str">
        <f t="shared" si="216"/>
        <v>CP283-RETURN - Buddy referral  -BONUS</v>
      </c>
      <c r="B1980" t="s">
        <v>123</v>
      </c>
      <c r="C1980" t="str">
        <f t="shared" si="210"/>
        <v>Little Rock</v>
      </c>
      <c r="D1980" t="str">
        <f t="shared" si="211"/>
        <v>Y</v>
      </c>
      <c r="E1980" t="s">
        <v>645</v>
      </c>
      <c r="F1980" t="str">
        <f t="shared" si="212"/>
        <v>RETURN - Buddy referral  -BONUS</v>
      </c>
      <c r="G1980" t="str">
        <f t="shared" si="213"/>
        <v>Marketing</v>
      </c>
      <c r="H1980" t="s">
        <v>34</v>
      </c>
      <c r="I1980">
        <f t="shared" si="214"/>
        <v>50</v>
      </c>
      <c r="J1980" t="s">
        <v>578</v>
      </c>
      <c r="K1980" s="5">
        <v>50</v>
      </c>
      <c r="L1980" t="str">
        <f>Table_DataFromNL[[#This Row],[PROFILECODE]]&amp;"-"&amp;Table_DataFromNL[[#This Row],[RULENAME]]</f>
        <v>CP283-Referral</v>
      </c>
      <c r="M1980" t="str">
        <f t="shared" si="215"/>
        <v>CP283-RETURN - Buddy referral  -BONUS</v>
      </c>
    </row>
    <row r="1981" spans="1:13" x14ac:dyDescent="0.25">
      <c r="A1981" t="str">
        <f t="shared" si="216"/>
        <v>CP283-P Anti-D Pre-Existing Standard</v>
      </c>
      <c r="B1981" t="s">
        <v>123</v>
      </c>
      <c r="C1981" t="str">
        <f t="shared" si="210"/>
        <v>Little Rock</v>
      </c>
      <c r="D1981" t="str">
        <f t="shared" si="211"/>
        <v>Y</v>
      </c>
      <c r="E1981" t="s">
        <v>645</v>
      </c>
      <c r="F1981" t="str">
        <f t="shared" si="212"/>
        <v>P Anti-D Pre-Existing Standard</v>
      </c>
      <c r="G1981" t="str">
        <f t="shared" si="213"/>
        <v>Specialty</v>
      </c>
      <c r="H1981" t="s">
        <v>469</v>
      </c>
      <c r="I1981" t="str">
        <f t="shared" si="214"/>
        <v>RETURN - 1st don of the week -STD</v>
      </c>
      <c r="J1981" t="s">
        <v>579</v>
      </c>
      <c r="K1981" s="5">
        <v>50</v>
      </c>
      <c r="L1981" t="str">
        <f>Table_DataFromNL[[#This Row],[PROFILECODE]]&amp;"-"&amp;Table_DataFromNL[[#This Row],[RULENAME]]</f>
        <v>CP283-P Anti-D Pre-Existing Standard</v>
      </c>
      <c r="M1981" t="str">
        <f t="shared" si="215"/>
        <v>CP283-P Anti-D Pre-Existing Standard</v>
      </c>
    </row>
    <row r="1982" spans="1:13" x14ac:dyDescent="0.25">
      <c r="A1982" t="str">
        <f t="shared" si="216"/>
        <v>CP283-RETURN - 1st don of the week -STD</v>
      </c>
      <c r="B1982" t="s">
        <v>123</v>
      </c>
      <c r="C1982" t="str">
        <f t="shared" si="210"/>
        <v>Little Rock</v>
      </c>
      <c r="D1982" t="str">
        <f t="shared" si="211"/>
        <v>Y</v>
      </c>
      <c r="E1982" t="s">
        <v>645</v>
      </c>
      <c r="F1982" t="str">
        <f t="shared" si="212"/>
        <v>RETURN - 1st don of the week -STD</v>
      </c>
      <c r="G1982" t="str">
        <f t="shared" si="213"/>
        <v>Marketing</v>
      </c>
      <c r="H1982" t="s">
        <v>583</v>
      </c>
      <c r="I1982">
        <f t="shared" si="214"/>
        <v>22</v>
      </c>
      <c r="J1982" t="s">
        <v>579</v>
      </c>
      <c r="K1982" s="5">
        <v>60</v>
      </c>
      <c r="L1982" t="str">
        <f>Table_DataFromNL[[#This Row],[PROFILECODE]]&amp;"-"&amp;Table_DataFromNL[[#This Row],[RULENAME]]</f>
        <v>CP283-P NSP NS AP Standard</v>
      </c>
      <c r="M1982" t="str">
        <f t="shared" si="215"/>
        <v>CP283-RETURN - 1st don of the week -STD</v>
      </c>
    </row>
    <row r="1983" spans="1:13" x14ac:dyDescent="0.25">
      <c r="A1983" t="str">
        <f t="shared" si="216"/>
        <v>CP283-RETURN - 1st don of the week -STD</v>
      </c>
      <c r="B1983" t="s">
        <v>123</v>
      </c>
      <c r="C1983" t="str">
        <f t="shared" si="210"/>
        <v>Little Rock</v>
      </c>
      <c r="D1983" t="str">
        <f t="shared" si="211"/>
        <v>Y</v>
      </c>
      <c r="E1983" t="s">
        <v>645</v>
      </c>
      <c r="F1983" t="str">
        <f t="shared" si="212"/>
        <v>RETURN - 1st don of the week -STD</v>
      </c>
      <c r="G1983" t="str">
        <f t="shared" si="213"/>
        <v>Marketing</v>
      </c>
      <c r="H1983" t="s">
        <v>584</v>
      </c>
      <c r="I1983">
        <f t="shared" si="214"/>
        <v>23</v>
      </c>
      <c r="J1983" t="s">
        <v>579</v>
      </c>
      <c r="K1983" s="5">
        <v>60</v>
      </c>
      <c r="L1983" t="str">
        <f>Table_DataFromNL[[#This Row],[PROFILECODE]]&amp;"-"&amp;Table_DataFromNL[[#This Row],[RULENAME]]</f>
        <v>CP283-P NSP NS Standard</v>
      </c>
      <c r="M1983" t="str">
        <f t="shared" si="215"/>
        <v>CP283-RETURN - 1st don of the week -STD</v>
      </c>
    </row>
    <row r="1984" spans="1:13" x14ac:dyDescent="0.25">
      <c r="A1984" t="str">
        <f t="shared" si="216"/>
        <v>CP283-P VZV Pre-Existing AP</v>
      </c>
      <c r="B1984" t="s">
        <v>123</v>
      </c>
      <c r="C1984" t="str">
        <f t="shared" si="210"/>
        <v>Little Rock</v>
      </c>
      <c r="D1984" t="str">
        <f t="shared" si="211"/>
        <v>Y</v>
      </c>
      <c r="E1984" t="s">
        <v>645</v>
      </c>
      <c r="F1984" t="str">
        <f t="shared" si="212"/>
        <v>P VZV Pre-Existing AP</v>
      </c>
      <c r="G1984" t="str">
        <f t="shared" si="213"/>
        <v>Specialty</v>
      </c>
      <c r="H1984" t="s">
        <v>495</v>
      </c>
      <c r="I1984" t="str">
        <f t="shared" si="214"/>
        <v>RETURN - 1st don of the week -STD</v>
      </c>
      <c r="J1984" t="s">
        <v>579</v>
      </c>
      <c r="K1984" s="5">
        <v>70</v>
      </c>
      <c r="L1984" t="str">
        <f>Table_DataFromNL[[#This Row],[PROFILECODE]]&amp;"-"&amp;Table_DataFromNL[[#This Row],[RULENAME]]</f>
        <v>CP283-P VZV Pre-Existing AP</v>
      </c>
      <c r="M1984" t="str">
        <f t="shared" si="215"/>
        <v>CP283-P VZV Pre-Existing AP</v>
      </c>
    </row>
    <row r="1985" spans="1:13" x14ac:dyDescent="0.25">
      <c r="A1985" t="str">
        <f t="shared" si="216"/>
        <v>CP283-P VZV Standard</v>
      </c>
      <c r="B1985" t="s">
        <v>123</v>
      </c>
      <c r="C1985" t="str">
        <f t="shared" si="210"/>
        <v>Little Rock</v>
      </c>
      <c r="D1985" t="str">
        <f t="shared" si="211"/>
        <v>Y</v>
      </c>
      <c r="E1985" t="s">
        <v>645</v>
      </c>
      <c r="F1985" t="str">
        <f t="shared" si="212"/>
        <v>P VZV Standard</v>
      </c>
      <c r="G1985" t="str">
        <f t="shared" si="213"/>
        <v>Specialty</v>
      </c>
      <c r="H1985" t="s">
        <v>496</v>
      </c>
      <c r="I1985" t="str">
        <f t="shared" si="214"/>
        <v>RETURN - 1st don of the week -STD</v>
      </c>
      <c r="J1985" t="s">
        <v>579</v>
      </c>
      <c r="K1985" s="5">
        <v>70</v>
      </c>
      <c r="L1985" t="str">
        <f>Table_DataFromNL[[#This Row],[PROFILECODE]]&amp;"-"&amp;Table_DataFromNL[[#This Row],[RULENAME]]</f>
        <v>CP283-P VZV Standard</v>
      </c>
      <c r="M1985" t="str">
        <f t="shared" si="215"/>
        <v>CP283-P VZV Standard</v>
      </c>
    </row>
    <row r="1986" spans="1:13" x14ac:dyDescent="0.25">
      <c r="A1986" t="str">
        <f t="shared" si="216"/>
        <v>CP283-P Vaccinia AP Standard</v>
      </c>
      <c r="B1986" t="s">
        <v>123</v>
      </c>
      <c r="C1986" t="str">
        <f t="shared" ref="C1986:C2049" si="217">VLOOKUP(B1986,CenterLU,2,FALSE)</f>
        <v>Little Rock</v>
      </c>
      <c r="D1986" t="str">
        <f t="shared" ref="D1986:D2049" si="218">VLOOKUP(B1986,CenterLU,3,FALSE)</f>
        <v>Y</v>
      </c>
      <c r="E1986" t="s">
        <v>645</v>
      </c>
      <c r="F1986" t="str">
        <f t="shared" ref="F1986:F2049" si="219">IF(VLOOKUP(H1986,RULENAMELU,3,FALSE)=0,H1986,VLOOKUP(H1986,RULENAMELU,3,FALSE))</f>
        <v>P Vaccinia AP Standard</v>
      </c>
      <c r="G1986" t="str">
        <f t="shared" ref="G1986:G2049" si="220">VLOOKUP(H1986,RULENAMELU,4,FALSE)</f>
        <v>Specialty</v>
      </c>
      <c r="H1986" t="s">
        <v>475</v>
      </c>
      <c r="I1986">
        <f t="shared" ref="I1986:I2049" si="221">VLOOKUP(H1986,RULENAMELU,5,FALSE)</f>
        <v>0</v>
      </c>
      <c r="J1986" t="s">
        <v>579</v>
      </c>
      <c r="K1986" s="5">
        <v>100</v>
      </c>
      <c r="L1986" t="str">
        <f>Table_DataFromNL[[#This Row],[PROFILECODE]]&amp;"-"&amp;Table_DataFromNL[[#This Row],[RULENAME]]</f>
        <v>CP283-P Vaccinia AP Standard</v>
      </c>
      <c r="M1986" t="str">
        <f t="shared" ref="M1986:M2049" si="222">IFERROR(VLOOKUP(A1986,PaychangesLU,1,FALSE),VLOOKUP(A1986,SpecialtyCheckLU,1,FALSE))</f>
        <v>CP283-P Vaccinia AP Standard</v>
      </c>
    </row>
    <row r="1987" spans="1:13" x14ac:dyDescent="0.25">
      <c r="A1987" t="str">
        <f t="shared" ref="A1987:A2050" si="223">B1987&amp;"-"&amp;F1987</f>
        <v>CP283-P Vaccinia Standard</v>
      </c>
      <c r="B1987" t="s">
        <v>123</v>
      </c>
      <c r="C1987" t="str">
        <f t="shared" si="217"/>
        <v>Little Rock</v>
      </c>
      <c r="D1987" t="str">
        <f t="shared" si="218"/>
        <v>Y</v>
      </c>
      <c r="E1987" t="s">
        <v>645</v>
      </c>
      <c r="F1987" t="str">
        <f t="shared" si="219"/>
        <v>P Vaccinia Standard</v>
      </c>
      <c r="G1987" t="str">
        <f t="shared" si="220"/>
        <v>Specialty</v>
      </c>
      <c r="H1987" t="s">
        <v>476</v>
      </c>
      <c r="I1987">
        <f t="shared" si="221"/>
        <v>0</v>
      </c>
      <c r="J1987" t="s">
        <v>579</v>
      </c>
      <c r="K1987" s="5">
        <v>100</v>
      </c>
      <c r="L1987" t="str">
        <f>Table_DataFromNL[[#This Row],[PROFILECODE]]&amp;"-"&amp;Table_DataFromNL[[#This Row],[RULENAME]]</f>
        <v>CP283-P Vaccinia Standard</v>
      </c>
      <c r="M1987" t="str">
        <f t="shared" si="222"/>
        <v>CP283-P Vaccinia Standard</v>
      </c>
    </row>
    <row r="1988" spans="1:13" x14ac:dyDescent="0.25">
      <c r="A1988" t="str">
        <f t="shared" si="223"/>
        <v>CP283-PVZV Pre-Existing Standard</v>
      </c>
      <c r="B1988" t="s">
        <v>123</v>
      </c>
      <c r="C1988" t="str">
        <f t="shared" si="217"/>
        <v>Little Rock</v>
      </c>
      <c r="D1988" t="str">
        <f t="shared" si="218"/>
        <v>Y</v>
      </c>
      <c r="E1988" t="s">
        <v>645</v>
      </c>
      <c r="F1988" t="str">
        <f t="shared" si="219"/>
        <v>PVZV Pre-Existing Standard</v>
      </c>
      <c r="G1988" t="str">
        <f t="shared" si="220"/>
        <v>Specialty</v>
      </c>
      <c r="H1988" t="s">
        <v>497</v>
      </c>
      <c r="I1988" t="str">
        <f t="shared" si="221"/>
        <v>RETURN - 1st don of the week -STD</v>
      </c>
      <c r="J1988" t="s">
        <v>579</v>
      </c>
      <c r="K1988" s="5">
        <v>70</v>
      </c>
      <c r="L1988" t="str">
        <f>Table_DataFromNL[[#This Row],[PROFILECODE]]&amp;"-"&amp;Table_DataFromNL[[#This Row],[RULENAME]]</f>
        <v>CP283-PVZV Pre-Existing Standard</v>
      </c>
      <c r="M1988" t="str">
        <f t="shared" si="222"/>
        <v>CP283-PVZV Pre-Existing Standard</v>
      </c>
    </row>
    <row r="1989" spans="1:13" x14ac:dyDescent="0.25">
      <c r="A1989" t="str">
        <f t="shared" si="223"/>
        <v>CP284-1st Responder-Medical</v>
      </c>
      <c r="B1989" t="s">
        <v>133</v>
      </c>
      <c r="C1989" t="str">
        <f t="shared" si="217"/>
        <v>Lubbock 34th</v>
      </c>
      <c r="D1989" t="str">
        <f t="shared" si="218"/>
        <v>Y</v>
      </c>
      <c r="E1989" t="s">
        <v>646</v>
      </c>
      <c r="F1989" t="str">
        <f t="shared" si="219"/>
        <v>1st Responder-Medical</v>
      </c>
      <c r="G1989">
        <f t="shared" si="220"/>
        <v>0</v>
      </c>
      <c r="H1989" t="s">
        <v>545</v>
      </c>
      <c r="I1989">
        <f t="shared" si="221"/>
        <v>0</v>
      </c>
      <c r="J1989" t="s">
        <v>546</v>
      </c>
      <c r="K1989" s="5">
        <v>5</v>
      </c>
      <c r="L1989" t="str">
        <f>Table_DataFromNL[[#This Row],[PROFILECODE]]&amp;"-"&amp;Table_DataFromNL[[#This Row],[RULENAME]]</f>
        <v>CP284-1st Responder-Medical</v>
      </c>
      <c r="M1989" t="e">
        <f t="shared" si="222"/>
        <v>#N/A</v>
      </c>
    </row>
    <row r="1990" spans="1:13" x14ac:dyDescent="0.25">
      <c r="A1990" t="str">
        <f t="shared" si="223"/>
        <v>CP284-RETURN - 2nd don of the week -BONUS</v>
      </c>
      <c r="B1990" t="s">
        <v>133</v>
      </c>
      <c r="C1990" t="str">
        <f t="shared" si="217"/>
        <v>Lubbock 34th</v>
      </c>
      <c r="D1990" t="str">
        <f t="shared" si="218"/>
        <v>Y</v>
      </c>
      <c r="E1990" t="s">
        <v>646</v>
      </c>
      <c r="F1990" t="str">
        <f t="shared" si="219"/>
        <v>RETURN - 2nd don of the week -BONUS</v>
      </c>
      <c r="G1990" t="str">
        <f t="shared" si="220"/>
        <v>Marketing</v>
      </c>
      <c r="H1990" t="s">
        <v>550</v>
      </c>
      <c r="I1990">
        <f t="shared" si="221"/>
        <v>26</v>
      </c>
      <c r="J1990" t="s">
        <v>546</v>
      </c>
      <c r="K1990" s="5">
        <v>6</v>
      </c>
      <c r="L1990" t="str">
        <f>Table_DataFromNL[[#This Row],[PROFILECODE]]&amp;"-"&amp;Table_DataFromNL[[#This Row],[RULENAME]]</f>
        <v>CP284-2X Week P NSP NS</v>
      </c>
      <c r="M1990" t="str">
        <f t="shared" si="222"/>
        <v>CP284-RETURN - 2nd don of the week -BONUS</v>
      </c>
    </row>
    <row r="1991" spans="1:13" x14ac:dyDescent="0.25">
      <c r="A1991" t="str">
        <f t="shared" si="223"/>
        <v>CP284-RETURN - 2nd don of the week -BONUS</v>
      </c>
      <c r="B1991" t="s">
        <v>133</v>
      </c>
      <c r="C1991" t="str">
        <f t="shared" si="217"/>
        <v>Lubbock 34th</v>
      </c>
      <c r="D1991" t="str">
        <f t="shared" si="218"/>
        <v>Y</v>
      </c>
      <c r="E1991" t="s">
        <v>646</v>
      </c>
      <c r="F1991" t="str">
        <f t="shared" si="219"/>
        <v>RETURN - 2nd don of the week -BONUS</v>
      </c>
      <c r="G1991" t="str">
        <f t="shared" si="220"/>
        <v>Marketing</v>
      </c>
      <c r="H1991" t="s">
        <v>551</v>
      </c>
      <c r="I1991" t="str">
        <f t="shared" si="221"/>
        <v>RETURN - 2nd don of the week -BONUS</v>
      </c>
      <c r="J1991" t="s">
        <v>546</v>
      </c>
      <c r="K1991" s="5">
        <v>6</v>
      </c>
      <c r="L1991" t="str">
        <f>Table_DataFromNL[[#This Row],[PROFILECODE]]&amp;"-"&amp;Table_DataFromNL[[#This Row],[RULENAME]]</f>
        <v>CP284-2X Week P NSP NS AP</v>
      </c>
      <c r="M1991" t="str">
        <f t="shared" si="222"/>
        <v>CP284-RETURN - 2nd don of the week -BONUS</v>
      </c>
    </row>
    <row r="1992" spans="1:13" x14ac:dyDescent="0.25">
      <c r="A1992" t="str">
        <f t="shared" si="223"/>
        <v>CP284-2X Week P VZV</v>
      </c>
      <c r="B1992" t="s">
        <v>133</v>
      </c>
      <c r="C1992" t="str">
        <f t="shared" si="217"/>
        <v>Lubbock 34th</v>
      </c>
      <c r="D1992" t="str">
        <f t="shared" si="218"/>
        <v>Y</v>
      </c>
      <c r="E1992" t="s">
        <v>646</v>
      </c>
      <c r="F1992" t="str">
        <f t="shared" si="219"/>
        <v>2X Week P VZV</v>
      </c>
      <c r="G1992" t="str">
        <f t="shared" si="220"/>
        <v>Specialty</v>
      </c>
      <c r="H1992" t="s">
        <v>488</v>
      </c>
      <c r="I1992" t="str">
        <f t="shared" si="221"/>
        <v>RETURN - 2nd don of the week -BONUS</v>
      </c>
      <c r="J1992" t="s">
        <v>546</v>
      </c>
      <c r="K1992" s="5">
        <v>6</v>
      </c>
      <c r="L1992" t="str">
        <f>Table_DataFromNL[[#This Row],[PROFILECODE]]&amp;"-"&amp;Table_DataFromNL[[#This Row],[RULENAME]]</f>
        <v>CP284-2X Week P VZV</v>
      </c>
      <c r="M1992" t="str">
        <f t="shared" si="222"/>
        <v>CP284-2X Week P VZV</v>
      </c>
    </row>
    <row r="1993" spans="1:13" x14ac:dyDescent="0.25">
      <c r="A1993" t="str">
        <f t="shared" si="223"/>
        <v>CP284-2X Week P VZV AP</v>
      </c>
      <c r="B1993" t="s">
        <v>133</v>
      </c>
      <c r="C1993" t="str">
        <f t="shared" si="217"/>
        <v>Lubbock 34th</v>
      </c>
      <c r="D1993" t="str">
        <f t="shared" si="218"/>
        <v>Y</v>
      </c>
      <c r="E1993" t="s">
        <v>646</v>
      </c>
      <c r="F1993" t="str">
        <f t="shared" si="219"/>
        <v>2X Week P VZV AP</v>
      </c>
      <c r="G1993" t="str">
        <f t="shared" si="220"/>
        <v>Specialty</v>
      </c>
      <c r="H1993" t="s">
        <v>489</v>
      </c>
      <c r="I1993" t="str">
        <f t="shared" si="221"/>
        <v>RETURN - 2nd don of the week -BONUS</v>
      </c>
      <c r="J1993" t="s">
        <v>546</v>
      </c>
      <c r="K1993" s="5">
        <v>6</v>
      </c>
      <c r="L1993" t="str">
        <f>Table_DataFromNL[[#This Row],[PROFILECODE]]&amp;"-"&amp;Table_DataFromNL[[#This Row],[RULENAME]]</f>
        <v>CP284-2X Week P VZV AP</v>
      </c>
      <c r="M1993" t="str">
        <f t="shared" si="222"/>
        <v>CP284-2X Week P VZV AP</v>
      </c>
    </row>
    <row r="1994" spans="1:13" x14ac:dyDescent="0.25">
      <c r="A1994" t="str">
        <f t="shared" si="223"/>
        <v>CP284-2X Week P VZV Pre-Existing</v>
      </c>
      <c r="B1994" t="s">
        <v>133</v>
      </c>
      <c r="C1994" t="str">
        <f t="shared" si="217"/>
        <v>Lubbock 34th</v>
      </c>
      <c r="D1994" t="str">
        <f t="shared" si="218"/>
        <v>Y</v>
      </c>
      <c r="E1994" t="s">
        <v>646</v>
      </c>
      <c r="F1994" t="str">
        <f t="shared" si="219"/>
        <v>2X Week P VZV Pre-Existing</v>
      </c>
      <c r="G1994" t="str">
        <f t="shared" si="220"/>
        <v>Specialty</v>
      </c>
      <c r="H1994" t="s">
        <v>490</v>
      </c>
      <c r="I1994" t="str">
        <f t="shared" si="221"/>
        <v>RETURN - 2nd don of the week -BONUS</v>
      </c>
      <c r="J1994" t="s">
        <v>546</v>
      </c>
      <c r="K1994" s="5">
        <v>6</v>
      </c>
      <c r="L1994" t="str">
        <f>Table_DataFromNL[[#This Row],[PROFILECODE]]&amp;"-"&amp;Table_DataFromNL[[#This Row],[RULENAME]]</f>
        <v>CP284-2X Week P VZV Pre-Existing</v>
      </c>
      <c r="M1994" t="str">
        <f t="shared" si="222"/>
        <v>CP284-2X Week P VZV Pre-Existing</v>
      </c>
    </row>
    <row r="1995" spans="1:13" x14ac:dyDescent="0.25">
      <c r="A1995" t="str">
        <f t="shared" si="223"/>
        <v>CP284-2X Week P VZV Pre-Existing AP</v>
      </c>
      <c r="B1995" t="s">
        <v>133</v>
      </c>
      <c r="C1995" t="str">
        <f t="shared" si="217"/>
        <v>Lubbock 34th</v>
      </c>
      <c r="D1995" t="str">
        <f t="shared" si="218"/>
        <v>Y</v>
      </c>
      <c r="E1995" t="s">
        <v>646</v>
      </c>
      <c r="F1995" t="str">
        <f t="shared" si="219"/>
        <v>2X Week P VZV Pre-Existing AP</v>
      </c>
      <c r="G1995" t="str">
        <f t="shared" si="220"/>
        <v>Specialty</v>
      </c>
      <c r="H1995" t="s">
        <v>491</v>
      </c>
      <c r="I1995" t="str">
        <f t="shared" si="221"/>
        <v>RETURN - 2nd don of the week -BONUS</v>
      </c>
      <c r="J1995" t="s">
        <v>546</v>
      </c>
      <c r="K1995" s="5">
        <v>6</v>
      </c>
      <c r="L1995" t="str">
        <f>Table_DataFromNL[[#This Row],[PROFILECODE]]&amp;"-"&amp;Table_DataFromNL[[#This Row],[RULENAME]]</f>
        <v>CP284-2X Week P VZV Pre-Existing AP</v>
      </c>
      <c r="M1995" t="str">
        <f t="shared" si="222"/>
        <v>CP284-2X Week P VZV Pre-Existing AP</v>
      </c>
    </row>
    <row r="1996" spans="1:13" x14ac:dyDescent="0.25">
      <c r="A1996" t="str">
        <f t="shared" si="223"/>
        <v>CP284-College ID Standard Bonus</v>
      </c>
      <c r="B1996" t="s">
        <v>133</v>
      </c>
      <c r="C1996" t="str">
        <f t="shared" si="217"/>
        <v>Lubbock 34th</v>
      </c>
      <c r="D1996" t="str">
        <f t="shared" si="218"/>
        <v>Y</v>
      </c>
      <c r="E1996" t="s">
        <v>646</v>
      </c>
      <c r="F1996" t="str">
        <f t="shared" si="219"/>
        <v>College ID Standard Bonus</v>
      </c>
      <c r="G1996">
        <f t="shared" si="220"/>
        <v>0</v>
      </c>
      <c r="H1996" t="s">
        <v>553</v>
      </c>
      <c r="I1996">
        <f t="shared" si="221"/>
        <v>0</v>
      </c>
      <c r="J1996" t="s">
        <v>546</v>
      </c>
      <c r="K1996" s="5">
        <v>5</v>
      </c>
      <c r="L1996" t="str">
        <f>Table_DataFromNL[[#This Row],[PROFILECODE]]&amp;"-"&amp;Table_DataFromNL[[#This Row],[RULENAME]]</f>
        <v>CP284-College ID Standard Bonus</v>
      </c>
      <c r="M1996" t="e">
        <f t="shared" si="222"/>
        <v>#N/A</v>
      </c>
    </row>
    <row r="1997" spans="1:13" x14ac:dyDescent="0.25">
      <c r="A1997" t="str">
        <f t="shared" si="223"/>
        <v>CP284-Military ID</v>
      </c>
      <c r="B1997" t="s">
        <v>133</v>
      </c>
      <c r="C1997" t="str">
        <f t="shared" si="217"/>
        <v>Lubbock 34th</v>
      </c>
      <c r="D1997" t="str">
        <f t="shared" si="218"/>
        <v>Y</v>
      </c>
      <c r="E1997" t="s">
        <v>646</v>
      </c>
      <c r="F1997" t="str">
        <f t="shared" si="219"/>
        <v>Military ID</v>
      </c>
      <c r="G1997">
        <f t="shared" si="220"/>
        <v>0</v>
      </c>
      <c r="H1997" t="s">
        <v>554</v>
      </c>
      <c r="I1997">
        <f t="shared" si="221"/>
        <v>0</v>
      </c>
      <c r="J1997" t="s">
        <v>546</v>
      </c>
      <c r="K1997" s="5">
        <v>5</v>
      </c>
      <c r="L1997" t="str">
        <f>Table_DataFromNL[[#This Row],[PROFILECODE]]&amp;"-"&amp;Table_DataFromNL[[#This Row],[RULENAME]]</f>
        <v>CP284-Military ID</v>
      </c>
      <c r="M1997" t="e">
        <f t="shared" si="222"/>
        <v>#N/A</v>
      </c>
    </row>
    <row r="1998" spans="1:13" x14ac:dyDescent="0.25">
      <c r="A1998" t="str">
        <f t="shared" si="223"/>
        <v>CP284-NEW DONOR -1st</v>
      </c>
      <c r="B1998" t="s">
        <v>133</v>
      </c>
      <c r="C1998" t="str">
        <f t="shared" si="217"/>
        <v>Lubbock 34th</v>
      </c>
      <c r="D1998" t="str">
        <f t="shared" si="218"/>
        <v>Y</v>
      </c>
      <c r="E1998" t="s">
        <v>646</v>
      </c>
      <c r="F1998" t="str">
        <f t="shared" si="219"/>
        <v>NEW DONOR -1st</v>
      </c>
      <c r="G1998" t="str">
        <f t="shared" si="220"/>
        <v>Marketing</v>
      </c>
      <c r="H1998" t="s">
        <v>555</v>
      </c>
      <c r="I1998">
        <f t="shared" si="221"/>
        <v>1</v>
      </c>
      <c r="J1998" t="s">
        <v>546</v>
      </c>
      <c r="K1998" s="5">
        <v>64</v>
      </c>
      <c r="L1998" t="str">
        <f>Table_DataFromNL[[#This Row],[PROFILECODE]]&amp;"-"&amp;Table_DataFromNL[[#This Row],[RULENAME]]</f>
        <v>CP284-New Donor 1st Visit-Bonus</v>
      </c>
      <c r="M1998" t="str">
        <f t="shared" si="222"/>
        <v>CP284-NEW DONOR -1st</v>
      </c>
    </row>
    <row r="1999" spans="1:13" x14ac:dyDescent="0.25">
      <c r="A1999" t="str">
        <f t="shared" si="223"/>
        <v>CP284-NEW DONOR -2nd</v>
      </c>
      <c r="B1999" t="s">
        <v>133</v>
      </c>
      <c r="C1999" t="str">
        <f t="shared" si="217"/>
        <v>Lubbock 34th</v>
      </c>
      <c r="D1999" t="str">
        <f t="shared" si="218"/>
        <v>Y</v>
      </c>
      <c r="E1999" t="s">
        <v>646</v>
      </c>
      <c r="F1999" t="str">
        <f t="shared" si="219"/>
        <v>NEW DONOR -2nd</v>
      </c>
      <c r="G1999" t="str">
        <f t="shared" si="220"/>
        <v>Marketing</v>
      </c>
      <c r="H1999" t="s">
        <v>556</v>
      </c>
      <c r="I1999">
        <f t="shared" si="221"/>
        <v>2</v>
      </c>
      <c r="J1999" t="s">
        <v>546</v>
      </c>
      <c r="K1999" s="5">
        <v>64</v>
      </c>
      <c r="L1999" t="str">
        <f>Table_DataFromNL[[#This Row],[PROFILECODE]]&amp;"-"&amp;Table_DataFromNL[[#This Row],[RULENAME]]</f>
        <v>CP284-New Donor 2nd Visit-Bonus</v>
      </c>
      <c r="M1999" t="str">
        <f t="shared" si="222"/>
        <v>CP284-NEW DONOR -2nd</v>
      </c>
    </row>
    <row r="2000" spans="1:13" x14ac:dyDescent="0.25">
      <c r="A2000" t="str">
        <f t="shared" si="223"/>
        <v>CP284-NEW DONOR -3rd</v>
      </c>
      <c r="B2000" t="s">
        <v>133</v>
      </c>
      <c r="C2000" t="str">
        <f t="shared" si="217"/>
        <v>Lubbock 34th</v>
      </c>
      <c r="D2000" t="str">
        <f t="shared" si="218"/>
        <v>Y</v>
      </c>
      <c r="E2000" t="s">
        <v>646</v>
      </c>
      <c r="F2000" t="str">
        <f t="shared" si="219"/>
        <v>NEW DONOR -3rd</v>
      </c>
      <c r="G2000" t="str">
        <f t="shared" si="220"/>
        <v>Marketing</v>
      </c>
      <c r="H2000" t="s">
        <v>557</v>
      </c>
      <c r="I2000">
        <f t="shared" si="221"/>
        <v>3</v>
      </c>
      <c r="J2000" t="s">
        <v>546</v>
      </c>
      <c r="K2000" s="5">
        <v>64</v>
      </c>
      <c r="L2000" t="str">
        <f>Table_DataFromNL[[#This Row],[PROFILECODE]]&amp;"-"&amp;Table_DataFromNL[[#This Row],[RULENAME]]</f>
        <v>CP284-New Donor 3rd Visit-Bonus</v>
      </c>
      <c r="M2000" t="str">
        <f t="shared" si="222"/>
        <v>CP284-NEW DONOR -3rd</v>
      </c>
    </row>
    <row r="2001" spans="1:13" x14ac:dyDescent="0.25">
      <c r="A2001" t="str">
        <f t="shared" si="223"/>
        <v>CP284-NEW DONOR -4th</v>
      </c>
      <c r="B2001" t="s">
        <v>133</v>
      </c>
      <c r="C2001" t="str">
        <f t="shared" si="217"/>
        <v>Lubbock 34th</v>
      </c>
      <c r="D2001" t="str">
        <f t="shared" si="218"/>
        <v>Y</v>
      </c>
      <c r="E2001" t="s">
        <v>646</v>
      </c>
      <c r="F2001" t="str">
        <f t="shared" si="219"/>
        <v>NEW DONOR -4th</v>
      </c>
      <c r="G2001" t="str">
        <f t="shared" si="220"/>
        <v>Marketing</v>
      </c>
      <c r="H2001" t="s">
        <v>558</v>
      </c>
      <c r="I2001">
        <f t="shared" si="221"/>
        <v>4</v>
      </c>
      <c r="J2001" t="s">
        <v>546</v>
      </c>
      <c r="K2001" s="5">
        <v>64</v>
      </c>
      <c r="L2001" t="str">
        <f>Table_DataFromNL[[#This Row],[PROFILECODE]]&amp;"-"&amp;Table_DataFromNL[[#This Row],[RULENAME]]</f>
        <v>CP284-New Donor 4th Visit-Bonus</v>
      </c>
      <c r="M2001" t="str">
        <f t="shared" si="222"/>
        <v>CP284-NEW DONOR -4th</v>
      </c>
    </row>
    <row r="2002" spans="1:13" x14ac:dyDescent="0.25">
      <c r="A2002" t="str">
        <f t="shared" si="223"/>
        <v>CP284-NEW DONOR -5th</v>
      </c>
      <c r="B2002" t="s">
        <v>133</v>
      </c>
      <c r="C2002" t="str">
        <f t="shared" si="217"/>
        <v>Lubbock 34th</v>
      </c>
      <c r="D2002" t="str">
        <f t="shared" si="218"/>
        <v>Y</v>
      </c>
      <c r="E2002" t="s">
        <v>646</v>
      </c>
      <c r="F2002" t="str">
        <f t="shared" si="219"/>
        <v>NEW DONOR -5th</v>
      </c>
      <c r="G2002" t="str">
        <f t="shared" si="220"/>
        <v>Marketing</v>
      </c>
      <c r="H2002" t="s">
        <v>559</v>
      </c>
      <c r="I2002">
        <f t="shared" si="221"/>
        <v>5</v>
      </c>
      <c r="J2002" t="s">
        <v>546</v>
      </c>
      <c r="K2002" s="5">
        <v>64</v>
      </c>
      <c r="L2002" t="str">
        <f>Table_DataFromNL[[#This Row],[PROFILECODE]]&amp;"-"&amp;Table_DataFromNL[[#This Row],[RULENAME]]</f>
        <v>CP284-New Donor 5th Visit-Bonus</v>
      </c>
      <c r="M2002" t="str">
        <f t="shared" si="222"/>
        <v>CP284-NEW DONOR -5th</v>
      </c>
    </row>
    <row r="2003" spans="1:13" x14ac:dyDescent="0.25">
      <c r="A2003" t="str">
        <f t="shared" si="223"/>
        <v>CP284-NEW DONOR -6th</v>
      </c>
      <c r="B2003" t="s">
        <v>133</v>
      </c>
      <c r="C2003" t="str">
        <f t="shared" si="217"/>
        <v>Lubbock 34th</v>
      </c>
      <c r="D2003" t="str">
        <f t="shared" si="218"/>
        <v>Y</v>
      </c>
      <c r="E2003" t="s">
        <v>646</v>
      </c>
      <c r="F2003" t="str">
        <f t="shared" si="219"/>
        <v>NEW DONOR -6th</v>
      </c>
      <c r="G2003" t="str">
        <f t="shared" si="220"/>
        <v>Marketing</v>
      </c>
      <c r="H2003" t="s">
        <v>560</v>
      </c>
      <c r="I2003">
        <f t="shared" si="221"/>
        <v>6</v>
      </c>
      <c r="J2003" t="s">
        <v>546</v>
      </c>
      <c r="K2003" s="5">
        <v>64</v>
      </c>
      <c r="L2003" t="str">
        <f>Table_DataFromNL[[#This Row],[PROFILECODE]]&amp;"-"&amp;Table_DataFromNL[[#This Row],[RULENAME]]</f>
        <v>CP284-New Donor 6th Visit-Bonus</v>
      </c>
      <c r="M2003" t="str">
        <f t="shared" si="222"/>
        <v>CP284-NEW DONOR -6th</v>
      </c>
    </row>
    <row r="2004" spans="1:13" x14ac:dyDescent="0.25">
      <c r="A2004" t="str">
        <f t="shared" si="223"/>
        <v>CP284-NEW DONOR -7th</v>
      </c>
      <c r="B2004" t="s">
        <v>133</v>
      </c>
      <c r="C2004" t="str">
        <f t="shared" si="217"/>
        <v>Lubbock 34th</v>
      </c>
      <c r="D2004" t="str">
        <f t="shared" si="218"/>
        <v>Y</v>
      </c>
      <c r="E2004" t="s">
        <v>646</v>
      </c>
      <c r="F2004" t="str">
        <f t="shared" si="219"/>
        <v>NEW DONOR -7th</v>
      </c>
      <c r="G2004" t="str">
        <f t="shared" si="220"/>
        <v>Marketing</v>
      </c>
      <c r="H2004" t="s">
        <v>561</v>
      </c>
      <c r="I2004">
        <f t="shared" si="221"/>
        <v>7</v>
      </c>
      <c r="J2004" t="s">
        <v>546</v>
      </c>
      <c r="K2004" s="5">
        <v>64</v>
      </c>
      <c r="L2004" t="str">
        <f>Table_DataFromNL[[#This Row],[PROFILECODE]]&amp;"-"&amp;Table_DataFromNL[[#This Row],[RULENAME]]</f>
        <v>CP284-New Donor 7th Visit-Bonus</v>
      </c>
      <c r="M2004" t="str">
        <f t="shared" si="222"/>
        <v>CP284-NEW DONOR -7th</v>
      </c>
    </row>
    <row r="2005" spans="1:13" x14ac:dyDescent="0.25">
      <c r="A2005" t="str">
        <f t="shared" si="223"/>
        <v>CP284-NEW DONOR -8th</v>
      </c>
      <c r="B2005" t="s">
        <v>133</v>
      </c>
      <c r="C2005" t="str">
        <f t="shared" si="217"/>
        <v>Lubbock 34th</v>
      </c>
      <c r="D2005" t="str">
        <f t="shared" si="218"/>
        <v>Y</v>
      </c>
      <c r="E2005" t="s">
        <v>646</v>
      </c>
      <c r="F2005" t="str">
        <f t="shared" si="219"/>
        <v>NEW DONOR -8th</v>
      </c>
      <c r="G2005" t="str">
        <f t="shared" si="220"/>
        <v>Marketing</v>
      </c>
      <c r="H2005" t="s">
        <v>562</v>
      </c>
      <c r="I2005">
        <f t="shared" si="221"/>
        <v>8</v>
      </c>
      <c r="J2005" t="s">
        <v>546</v>
      </c>
      <c r="K2005" s="5">
        <v>64</v>
      </c>
      <c r="L2005" t="str">
        <f>Table_DataFromNL[[#This Row],[PROFILECODE]]&amp;"-"&amp;Table_DataFromNL[[#This Row],[RULENAME]]</f>
        <v>CP284-New Donor 8th Visit-Bonus</v>
      </c>
      <c r="M2005" t="str">
        <f t="shared" si="222"/>
        <v>CP284-NEW DONOR -8th</v>
      </c>
    </row>
    <row r="2006" spans="1:13" x14ac:dyDescent="0.25">
      <c r="A2006" t="str">
        <f t="shared" si="223"/>
        <v>CP284-Vaccinia - 1st Donation</v>
      </c>
      <c r="B2006" t="s">
        <v>133</v>
      </c>
      <c r="C2006" t="str">
        <f t="shared" si="217"/>
        <v>Lubbock 34th</v>
      </c>
      <c r="D2006" t="str">
        <f t="shared" si="218"/>
        <v>Y</v>
      </c>
      <c r="E2006" t="s">
        <v>646</v>
      </c>
      <c r="F2006" t="str">
        <f t="shared" si="219"/>
        <v>Vaccinia - 1st Donation</v>
      </c>
      <c r="G2006" t="str">
        <f t="shared" si="220"/>
        <v>Specialty</v>
      </c>
      <c r="H2006" t="s">
        <v>477</v>
      </c>
      <c r="I2006">
        <f t="shared" si="221"/>
        <v>0</v>
      </c>
      <c r="J2006" t="s">
        <v>546</v>
      </c>
      <c r="K2006" s="5">
        <v>150</v>
      </c>
      <c r="L2006" t="str">
        <f>Table_DataFromNL[[#This Row],[PROFILECODE]]&amp;"-"&amp;Table_DataFromNL[[#This Row],[RULENAME]]</f>
        <v>CP284-Vaccinia - 1st Donation</v>
      </c>
      <c r="M2006" t="str">
        <f t="shared" si="222"/>
        <v>CP284-Vaccinia - 1st Donation</v>
      </c>
    </row>
    <row r="2007" spans="1:13" x14ac:dyDescent="0.25">
      <c r="A2007" t="str">
        <f t="shared" si="223"/>
        <v>CP284-Vaccinia - 2nd Donation</v>
      </c>
      <c r="B2007" t="s">
        <v>133</v>
      </c>
      <c r="C2007" t="str">
        <f t="shared" si="217"/>
        <v>Lubbock 34th</v>
      </c>
      <c r="D2007" t="str">
        <f t="shared" si="218"/>
        <v>Y</v>
      </c>
      <c r="E2007" t="s">
        <v>646</v>
      </c>
      <c r="F2007" t="str">
        <f t="shared" si="219"/>
        <v>Vaccinia - 2nd Donation</v>
      </c>
      <c r="G2007" t="str">
        <f t="shared" si="220"/>
        <v>Specialty</v>
      </c>
      <c r="H2007" t="s">
        <v>478</v>
      </c>
      <c r="I2007">
        <f t="shared" si="221"/>
        <v>0</v>
      </c>
      <c r="J2007" t="s">
        <v>546</v>
      </c>
      <c r="K2007" s="5">
        <v>250</v>
      </c>
      <c r="L2007" t="str">
        <f>Table_DataFromNL[[#This Row],[PROFILECODE]]&amp;"-"&amp;Table_DataFromNL[[#This Row],[RULENAME]]</f>
        <v>CP284-Vaccinia - 2nd Donation</v>
      </c>
      <c r="M2007" t="str">
        <f t="shared" si="222"/>
        <v>CP284-Vaccinia - 2nd Donation</v>
      </c>
    </row>
    <row r="2008" spans="1:13" x14ac:dyDescent="0.25">
      <c r="A2008" t="str">
        <f t="shared" si="223"/>
        <v>CP284-Vaccinia - 3rd Donation</v>
      </c>
      <c r="B2008" t="s">
        <v>133</v>
      </c>
      <c r="C2008" t="str">
        <f t="shared" si="217"/>
        <v>Lubbock 34th</v>
      </c>
      <c r="D2008" t="str">
        <f t="shared" si="218"/>
        <v>Y</v>
      </c>
      <c r="E2008" t="s">
        <v>646</v>
      </c>
      <c r="F2008" t="str">
        <f t="shared" si="219"/>
        <v>Vaccinia - 3rd Donation</v>
      </c>
      <c r="G2008" t="str">
        <f t="shared" si="220"/>
        <v>Specialty</v>
      </c>
      <c r="H2008" t="s">
        <v>479</v>
      </c>
      <c r="I2008">
        <f t="shared" si="221"/>
        <v>0</v>
      </c>
      <c r="J2008" t="s">
        <v>546</v>
      </c>
      <c r="K2008" s="5">
        <v>300</v>
      </c>
      <c r="L2008" t="str">
        <f>Table_DataFromNL[[#This Row],[PROFILECODE]]&amp;"-"&amp;Table_DataFromNL[[#This Row],[RULENAME]]</f>
        <v>CP284-Vaccinia - 3rd Donation</v>
      </c>
      <c r="M2008" t="str">
        <f t="shared" si="222"/>
        <v>CP284-Vaccinia - 3rd Donation</v>
      </c>
    </row>
    <row r="2009" spans="1:13" x14ac:dyDescent="0.25">
      <c r="A2009" t="str">
        <f t="shared" si="223"/>
        <v>CP284-Vaccinia - 4th Donation</v>
      </c>
      <c r="B2009" t="s">
        <v>133</v>
      </c>
      <c r="C2009" t="str">
        <f t="shared" si="217"/>
        <v>Lubbock 34th</v>
      </c>
      <c r="D2009" t="str">
        <f t="shared" si="218"/>
        <v>Y</v>
      </c>
      <c r="E2009" t="s">
        <v>646</v>
      </c>
      <c r="F2009" t="str">
        <f t="shared" si="219"/>
        <v>Vaccinia - 4th Donation</v>
      </c>
      <c r="G2009" t="str">
        <f t="shared" si="220"/>
        <v>Specialty</v>
      </c>
      <c r="H2009" t="s">
        <v>480</v>
      </c>
      <c r="I2009">
        <f t="shared" si="221"/>
        <v>0</v>
      </c>
      <c r="J2009" t="s">
        <v>546</v>
      </c>
      <c r="K2009" s="5">
        <v>300</v>
      </c>
      <c r="L2009" t="str">
        <f>Table_DataFromNL[[#This Row],[PROFILECODE]]&amp;"-"&amp;Table_DataFromNL[[#This Row],[RULENAME]]</f>
        <v>CP284-Vaccinia - 4th Donation</v>
      </c>
      <c r="M2009" t="str">
        <f t="shared" si="222"/>
        <v>CP284-Vaccinia - 4th Donation</v>
      </c>
    </row>
    <row r="2010" spans="1:13" x14ac:dyDescent="0.25">
      <c r="A2010" t="str">
        <f t="shared" si="223"/>
        <v>CP284-Vaccinia AP - 1st Donation</v>
      </c>
      <c r="B2010" t="s">
        <v>133</v>
      </c>
      <c r="C2010" t="str">
        <f t="shared" si="217"/>
        <v>Lubbock 34th</v>
      </c>
      <c r="D2010" t="str">
        <f t="shared" si="218"/>
        <v>Y</v>
      </c>
      <c r="E2010" t="s">
        <v>646</v>
      </c>
      <c r="F2010" t="str">
        <f t="shared" si="219"/>
        <v>Vaccinia AP - 1st Donation</v>
      </c>
      <c r="G2010" t="str">
        <f t="shared" si="220"/>
        <v>Specialty</v>
      </c>
      <c r="H2010" t="s">
        <v>481</v>
      </c>
      <c r="I2010">
        <f t="shared" si="221"/>
        <v>0</v>
      </c>
      <c r="J2010" t="s">
        <v>546</v>
      </c>
      <c r="K2010" s="5">
        <v>150</v>
      </c>
      <c r="L2010" t="str">
        <f>Table_DataFromNL[[#This Row],[PROFILECODE]]&amp;"-"&amp;Table_DataFromNL[[#This Row],[RULENAME]]</f>
        <v>CP284-Vaccinia AP - 1st Donation</v>
      </c>
      <c r="M2010" t="str">
        <f t="shared" si="222"/>
        <v>CP284-Vaccinia AP - 1st Donation</v>
      </c>
    </row>
    <row r="2011" spans="1:13" x14ac:dyDescent="0.25">
      <c r="A2011" t="str">
        <f t="shared" si="223"/>
        <v>CP284-Vaccinia AP - 2nd Donation</v>
      </c>
      <c r="B2011" t="s">
        <v>133</v>
      </c>
      <c r="C2011" t="str">
        <f t="shared" si="217"/>
        <v>Lubbock 34th</v>
      </c>
      <c r="D2011" t="str">
        <f t="shared" si="218"/>
        <v>Y</v>
      </c>
      <c r="E2011" t="s">
        <v>646</v>
      </c>
      <c r="F2011" t="str">
        <f t="shared" si="219"/>
        <v>Vaccinia AP - 2nd Donation</v>
      </c>
      <c r="G2011" t="str">
        <f t="shared" si="220"/>
        <v>Specialty</v>
      </c>
      <c r="H2011" t="s">
        <v>482</v>
      </c>
      <c r="I2011">
        <f t="shared" si="221"/>
        <v>0</v>
      </c>
      <c r="J2011" t="s">
        <v>546</v>
      </c>
      <c r="K2011" s="5">
        <v>250</v>
      </c>
      <c r="L2011" t="str">
        <f>Table_DataFromNL[[#This Row],[PROFILECODE]]&amp;"-"&amp;Table_DataFromNL[[#This Row],[RULENAME]]</f>
        <v>CP284-Vaccinia AP - 2nd Donation</v>
      </c>
      <c r="M2011" t="str">
        <f t="shared" si="222"/>
        <v>CP284-Vaccinia AP - 2nd Donation</v>
      </c>
    </row>
    <row r="2012" spans="1:13" x14ac:dyDescent="0.25">
      <c r="A2012" t="str">
        <f t="shared" si="223"/>
        <v>CP284-Vaccinia AP - 3rd Donation</v>
      </c>
      <c r="B2012" t="s">
        <v>133</v>
      </c>
      <c r="C2012" t="str">
        <f t="shared" si="217"/>
        <v>Lubbock 34th</v>
      </c>
      <c r="D2012" t="str">
        <f t="shared" si="218"/>
        <v>Y</v>
      </c>
      <c r="E2012" t="s">
        <v>646</v>
      </c>
      <c r="F2012" t="str">
        <f t="shared" si="219"/>
        <v>Vaccinia AP - 3rd Donation</v>
      </c>
      <c r="G2012" t="str">
        <f t="shared" si="220"/>
        <v>Specialty</v>
      </c>
      <c r="H2012" t="s">
        <v>483</v>
      </c>
      <c r="I2012">
        <f t="shared" si="221"/>
        <v>0</v>
      </c>
      <c r="J2012" t="s">
        <v>546</v>
      </c>
      <c r="K2012" s="5">
        <v>300</v>
      </c>
      <c r="L2012" t="str">
        <f>Table_DataFromNL[[#This Row],[PROFILECODE]]&amp;"-"&amp;Table_DataFromNL[[#This Row],[RULENAME]]</f>
        <v>CP284-Vaccinia AP - 3rd Donation</v>
      </c>
      <c r="M2012" t="str">
        <f t="shared" si="222"/>
        <v>CP284-Vaccinia AP - 3rd Donation</v>
      </c>
    </row>
    <row r="2013" spans="1:13" x14ac:dyDescent="0.25">
      <c r="A2013" t="str">
        <f t="shared" si="223"/>
        <v>CP284-Vaccinia AP - 4th Donation</v>
      </c>
      <c r="B2013" t="s">
        <v>133</v>
      </c>
      <c r="C2013" t="str">
        <f t="shared" si="217"/>
        <v>Lubbock 34th</v>
      </c>
      <c r="D2013" t="str">
        <f t="shared" si="218"/>
        <v>Y</v>
      </c>
      <c r="E2013" t="s">
        <v>646</v>
      </c>
      <c r="F2013" t="str">
        <f t="shared" si="219"/>
        <v>Vaccinia AP - 4th Donation</v>
      </c>
      <c r="G2013" t="str">
        <f t="shared" si="220"/>
        <v>Specialty</v>
      </c>
      <c r="H2013" t="s">
        <v>484</v>
      </c>
      <c r="I2013">
        <f t="shared" si="221"/>
        <v>0</v>
      </c>
      <c r="J2013" t="s">
        <v>546</v>
      </c>
      <c r="K2013" s="5">
        <v>300</v>
      </c>
      <c r="L2013" t="str">
        <f>Table_DataFromNL[[#This Row],[PROFILECODE]]&amp;"-"&amp;Table_DataFromNL[[#This Row],[RULENAME]]</f>
        <v>CP284-Vaccinia AP - 4th Donation</v>
      </c>
      <c r="M2013" t="str">
        <f t="shared" si="222"/>
        <v>CP284-Vaccinia AP - 4th Donation</v>
      </c>
    </row>
    <row r="2014" spans="1:13" x14ac:dyDescent="0.25">
      <c r="A2014" t="str">
        <f t="shared" si="223"/>
        <v>CP284-Community</v>
      </c>
      <c r="B2014" t="s">
        <v>133</v>
      </c>
      <c r="C2014" t="str">
        <f t="shared" si="217"/>
        <v>Lubbock 34th</v>
      </c>
      <c r="D2014" t="str">
        <f t="shared" si="218"/>
        <v>Y</v>
      </c>
      <c r="E2014" t="s">
        <v>646</v>
      </c>
      <c r="F2014" t="str">
        <f t="shared" si="219"/>
        <v>Community</v>
      </c>
      <c r="G2014">
        <f t="shared" si="220"/>
        <v>0</v>
      </c>
      <c r="H2014" t="s">
        <v>563</v>
      </c>
      <c r="I2014">
        <f t="shared" si="221"/>
        <v>0</v>
      </c>
      <c r="J2014" t="s">
        <v>564</v>
      </c>
      <c r="K2014" s="5">
        <v>5</v>
      </c>
      <c r="L2014" t="str">
        <f>Table_DataFromNL[[#This Row],[PROFILECODE]]&amp;"-"&amp;Table_DataFromNL[[#This Row],[RULENAME]]</f>
        <v>CP284-Community</v>
      </c>
      <c r="M2014" t="e">
        <f t="shared" si="222"/>
        <v>#N/A</v>
      </c>
    </row>
    <row r="2015" spans="1:13" x14ac:dyDescent="0.25">
      <c r="A2015" t="str">
        <f t="shared" si="223"/>
        <v>CP284-HANGER_RECRUIT_5USD_once</v>
      </c>
      <c r="B2015" t="s">
        <v>133</v>
      </c>
      <c r="C2015" t="str">
        <f t="shared" si="217"/>
        <v>Lubbock 34th</v>
      </c>
      <c r="D2015" t="str">
        <f t="shared" si="218"/>
        <v>Y</v>
      </c>
      <c r="E2015" t="s">
        <v>646</v>
      </c>
      <c r="F2015" t="str">
        <f t="shared" si="219"/>
        <v>HANGER_RECRUIT_5USD_once</v>
      </c>
      <c r="G2015">
        <f t="shared" si="220"/>
        <v>0</v>
      </c>
      <c r="H2015" t="s">
        <v>565</v>
      </c>
      <c r="I2015">
        <f t="shared" si="221"/>
        <v>0</v>
      </c>
      <c r="J2015" t="s">
        <v>564</v>
      </c>
      <c r="K2015" s="5">
        <v>5</v>
      </c>
      <c r="L2015" t="str">
        <f>Table_DataFromNL[[#This Row],[PROFILECODE]]&amp;"-"&amp;Table_DataFromNL[[#This Row],[RULENAME]]</f>
        <v>CP284-HANGER_RECRUIT_5USD_once</v>
      </c>
      <c r="M2015" t="e">
        <f t="shared" si="222"/>
        <v>#N/A</v>
      </c>
    </row>
    <row r="2016" spans="1:13" x14ac:dyDescent="0.25">
      <c r="A2016" t="str">
        <f t="shared" si="223"/>
        <v>CP284-Immunization Boost Payment</v>
      </c>
      <c r="B2016" t="s">
        <v>133</v>
      </c>
      <c r="C2016" t="str">
        <f t="shared" si="217"/>
        <v>Lubbock 34th</v>
      </c>
      <c r="D2016" t="str">
        <f t="shared" si="218"/>
        <v>Y</v>
      </c>
      <c r="E2016" t="s">
        <v>646</v>
      </c>
      <c r="F2016" t="str">
        <f t="shared" si="219"/>
        <v>Immunization Boost Payment</v>
      </c>
      <c r="G2016">
        <f t="shared" si="220"/>
        <v>0</v>
      </c>
      <c r="H2016" t="s">
        <v>598</v>
      </c>
      <c r="I2016">
        <f t="shared" si="221"/>
        <v>0</v>
      </c>
      <c r="J2016" t="s">
        <v>564</v>
      </c>
      <c r="K2016" s="5">
        <v>50</v>
      </c>
      <c r="L2016" t="str">
        <f>Table_DataFromNL[[#This Row],[PROFILECODE]]&amp;"-"&amp;Table_DataFromNL[[#This Row],[RULENAME]]</f>
        <v>CP284-Immunization Boost Payment</v>
      </c>
      <c r="M2016" t="e">
        <f t="shared" si="222"/>
        <v>#N/A</v>
      </c>
    </row>
    <row r="2017" spans="1:13" x14ac:dyDescent="0.25">
      <c r="A2017" t="str">
        <f t="shared" si="223"/>
        <v>CP284-Immunization Series Payment</v>
      </c>
      <c r="B2017" t="s">
        <v>133</v>
      </c>
      <c r="C2017" t="str">
        <f t="shared" si="217"/>
        <v>Lubbock 34th</v>
      </c>
      <c r="D2017" t="str">
        <f t="shared" si="218"/>
        <v>Y</v>
      </c>
      <c r="E2017" t="s">
        <v>646</v>
      </c>
      <c r="F2017" t="str">
        <f t="shared" si="219"/>
        <v>Immunization Series Payment</v>
      </c>
      <c r="G2017">
        <f t="shared" si="220"/>
        <v>0</v>
      </c>
      <c r="H2017" t="s">
        <v>599</v>
      </c>
      <c r="I2017">
        <f t="shared" si="221"/>
        <v>0</v>
      </c>
      <c r="J2017" t="s">
        <v>564</v>
      </c>
      <c r="K2017" s="5">
        <v>100</v>
      </c>
      <c r="L2017" t="str">
        <f>Table_DataFromNL[[#This Row],[PROFILECODE]]&amp;"-"&amp;Table_DataFromNL[[#This Row],[RULENAME]]</f>
        <v>CP284-Immunization Series Payment</v>
      </c>
      <c r="M2017" t="e">
        <f t="shared" si="222"/>
        <v>#N/A</v>
      </c>
    </row>
    <row r="2018" spans="1:13" x14ac:dyDescent="0.25">
      <c r="A2018" t="str">
        <f t="shared" si="223"/>
        <v>CP284-Inconv Fee $20-$50-Comment Req'd</v>
      </c>
      <c r="B2018" t="s">
        <v>133</v>
      </c>
      <c r="C2018" t="str">
        <f t="shared" si="217"/>
        <v>Lubbock 34th</v>
      </c>
      <c r="D2018" t="str">
        <f t="shared" si="218"/>
        <v>Y</v>
      </c>
      <c r="E2018" t="s">
        <v>646</v>
      </c>
      <c r="F2018" t="str">
        <f t="shared" si="219"/>
        <v>Inconv Fee $20-$50-Comment Req'd</v>
      </c>
      <c r="G2018">
        <f t="shared" si="220"/>
        <v>0</v>
      </c>
      <c r="H2018" t="s">
        <v>566</v>
      </c>
      <c r="I2018">
        <f t="shared" si="221"/>
        <v>0</v>
      </c>
      <c r="J2018" t="s">
        <v>564</v>
      </c>
      <c r="K2018" s="5">
        <v>50</v>
      </c>
      <c r="L2018" t="str">
        <f>Table_DataFromNL[[#This Row],[PROFILECODE]]&amp;"-"&amp;Table_DataFromNL[[#This Row],[RULENAME]]</f>
        <v>CP284-Inconv Fee $20-$50-Comment Req'd</v>
      </c>
      <c r="M2018" t="e">
        <f t="shared" si="222"/>
        <v>#N/A</v>
      </c>
    </row>
    <row r="2019" spans="1:13" x14ac:dyDescent="0.25">
      <c r="A2019" t="str">
        <f t="shared" si="223"/>
        <v>CP284-Inconv Fee $5-$20-Comment Req'd</v>
      </c>
      <c r="B2019" t="s">
        <v>133</v>
      </c>
      <c r="C2019" t="str">
        <f t="shared" si="217"/>
        <v>Lubbock 34th</v>
      </c>
      <c r="D2019" t="str">
        <f t="shared" si="218"/>
        <v>Y</v>
      </c>
      <c r="E2019" t="s">
        <v>646</v>
      </c>
      <c r="F2019" t="str">
        <f t="shared" si="219"/>
        <v>Inconv Fee $5-$20-Comment Req'd</v>
      </c>
      <c r="G2019">
        <f t="shared" si="220"/>
        <v>0</v>
      </c>
      <c r="H2019" t="s">
        <v>567</v>
      </c>
      <c r="I2019">
        <f t="shared" si="221"/>
        <v>0</v>
      </c>
      <c r="J2019" t="s">
        <v>564</v>
      </c>
      <c r="K2019" s="5">
        <v>20</v>
      </c>
      <c r="L2019" t="str">
        <f>Table_DataFromNL[[#This Row],[PROFILECODE]]&amp;"-"&amp;Table_DataFromNL[[#This Row],[RULENAME]]</f>
        <v>CP284-Inconv Fee $5-$20-Comment Req'd</v>
      </c>
      <c r="M2019" t="e">
        <f t="shared" si="222"/>
        <v>#N/A</v>
      </c>
    </row>
    <row r="2020" spans="1:13" x14ac:dyDescent="0.25">
      <c r="A2020" t="str">
        <f t="shared" si="223"/>
        <v>CP284-Inconv Fee$50-$100-Comment Req'd</v>
      </c>
      <c r="B2020" t="s">
        <v>133</v>
      </c>
      <c r="C2020" t="str">
        <f t="shared" si="217"/>
        <v>Lubbock 34th</v>
      </c>
      <c r="D2020" t="str">
        <f t="shared" si="218"/>
        <v>Y</v>
      </c>
      <c r="E2020" t="s">
        <v>646</v>
      </c>
      <c r="F2020" t="str">
        <f t="shared" si="219"/>
        <v>Inconv Fee$50-$100-Comment Req'd</v>
      </c>
      <c r="G2020">
        <f t="shared" si="220"/>
        <v>0</v>
      </c>
      <c r="H2020" t="s">
        <v>568</v>
      </c>
      <c r="I2020">
        <f t="shared" si="221"/>
        <v>0</v>
      </c>
      <c r="J2020" t="s">
        <v>564</v>
      </c>
      <c r="K2020" s="5">
        <v>100</v>
      </c>
      <c r="L2020" t="str">
        <f>Table_DataFromNL[[#This Row],[PROFILECODE]]&amp;"-"&amp;Table_DataFromNL[[#This Row],[RULENAME]]</f>
        <v>CP284-Inconv Fee$50-$100-Comment Req'd</v>
      </c>
      <c r="M2020" t="e">
        <f t="shared" si="222"/>
        <v>#N/A</v>
      </c>
    </row>
    <row r="2021" spans="1:13" x14ac:dyDescent="0.25">
      <c r="A2021" t="str">
        <f t="shared" si="223"/>
        <v>CP284-NSP_ LAPSEDONOR_50_Twice</v>
      </c>
      <c r="B2021" t="s">
        <v>133</v>
      </c>
      <c r="C2021" t="str">
        <f t="shared" si="217"/>
        <v>Lubbock 34th</v>
      </c>
      <c r="D2021" t="str">
        <f t="shared" si="218"/>
        <v>Y</v>
      </c>
      <c r="E2021" t="s">
        <v>646</v>
      </c>
      <c r="F2021" t="str">
        <f t="shared" si="219"/>
        <v>NSP_ LAPSEDONOR_50_Twice</v>
      </c>
      <c r="G2021">
        <f t="shared" si="220"/>
        <v>0</v>
      </c>
      <c r="H2021" t="s">
        <v>569</v>
      </c>
      <c r="I2021">
        <f t="shared" si="221"/>
        <v>0</v>
      </c>
      <c r="J2021" t="s">
        <v>564</v>
      </c>
      <c r="K2021" s="5">
        <v>50</v>
      </c>
      <c r="L2021" t="str">
        <f>Table_DataFromNL[[#This Row],[PROFILECODE]]&amp;"-"&amp;Table_DataFromNL[[#This Row],[RULENAME]]</f>
        <v>CP284-NSP_ LAPSEDONOR_50_Twice</v>
      </c>
      <c r="M2021" t="e">
        <f t="shared" si="222"/>
        <v>#N/A</v>
      </c>
    </row>
    <row r="2022" spans="1:13" x14ac:dyDescent="0.25">
      <c r="A2022" t="str">
        <f t="shared" si="223"/>
        <v>CP284-NSP_LD_25_2X</v>
      </c>
      <c r="B2022" t="s">
        <v>133</v>
      </c>
      <c r="C2022" t="str">
        <f t="shared" si="217"/>
        <v>Lubbock 34th</v>
      </c>
      <c r="D2022" t="str">
        <f t="shared" si="218"/>
        <v>Y</v>
      </c>
      <c r="E2022" t="s">
        <v>646</v>
      </c>
      <c r="F2022" t="str">
        <f t="shared" si="219"/>
        <v>NSP_LD_25_2X</v>
      </c>
      <c r="G2022">
        <f t="shared" si="220"/>
        <v>0</v>
      </c>
      <c r="H2022" t="s">
        <v>570</v>
      </c>
      <c r="I2022">
        <f t="shared" si="221"/>
        <v>0</v>
      </c>
      <c r="J2022" t="s">
        <v>564</v>
      </c>
      <c r="K2022" s="5">
        <v>25</v>
      </c>
      <c r="L2022" t="str">
        <f>Table_DataFromNL[[#This Row],[PROFILECODE]]&amp;"-"&amp;Table_DataFromNL[[#This Row],[RULENAME]]</f>
        <v>CP284-NSP_LD_25_2X</v>
      </c>
      <c r="M2022" t="e">
        <f t="shared" si="222"/>
        <v>#N/A</v>
      </c>
    </row>
    <row r="2023" spans="1:13" x14ac:dyDescent="0.25">
      <c r="A2023" t="str">
        <f t="shared" si="223"/>
        <v>CP284-NSP_LD_50_1X</v>
      </c>
      <c r="B2023" t="s">
        <v>133</v>
      </c>
      <c r="C2023" t="str">
        <f t="shared" si="217"/>
        <v>Lubbock 34th</v>
      </c>
      <c r="D2023" t="str">
        <f t="shared" si="218"/>
        <v>Y</v>
      </c>
      <c r="E2023" t="s">
        <v>646</v>
      </c>
      <c r="F2023" t="str">
        <f t="shared" si="219"/>
        <v>NSP_LD_50_1X</v>
      </c>
      <c r="G2023">
        <f t="shared" si="220"/>
        <v>0</v>
      </c>
      <c r="H2023" t="s">
        <v>571</v>
      </c>
      <c r="I2023">
        <f t="shared" si="221"/>
        <v>0</v>
      </c>
      <c r="J2023" t="s">
        <v>564</v>
      </c>
      <c r="K2023" s="5">
        <v>50</v>
      </c>
      <c r="L2023" t="str">
        <f>Table_DataFromNL[[#This Row],[PROFILECODE]]&amp;"-"&amp;Table_DataFromNL[[#This Row],[RULENAME]]</f>
        <v>CP284-NSP_LD_50_1X</v>
      </c>
      <c r="M2023" t="e">
        <f t="shared" si="222"/>
        <v>#N/A</v>
      </c>
    </row>
    <row r="2024" spans="1:13" x14ac:dyDescent="0.25">
      <c r="A2024" t="str">
        <f t="shared" si="223"/>
        <v>CP284-NSP_ORPHAN_100_once</v>
      </c>
      <c r="B2024" t="s">
        <v>133</v>
      </c>
      <c r="C2024" t="str">
        <f t="shared" si="217"/>
        <v>Lubbock 34th</v>
      </c>
      <c r="D2024" t="str">
        <f t="shared" si="218"/>
        <v>Y</v>
      </c>
      <c r="E2024" t="s">
        <v>646</v>
      </c>
      <c r="F2024" t="str">
        <f t="shared" si="219"/>
        <v>NSP_ORPHAN_100_once</v>
      </c>
      <c r="G2024">
        <f t="shared" si="220"/>
        <v>0</v>
      </c>
      <c r="H2024" t="s">
        <v>572</v>
      </c>
      <c r="I2024">
        <f t="shared" si="221"/>
        <v>0</v>
      </c>
      <c r="J2024" t="s">
        <v>564</v>
      </c>
      <c r="K2024" s="5">
        <v>100</v>
      </c>
      <c r="L2024" t="str">
        <f>Table_DataFromNL[[#This Row],[PROFILECODE]]&amp;"-"&amp;Table_DataFromNL[[#This Row],[RULENAME]]</f>
        <v>CP284-NSP_ORPHAN_100_once</v>
      </c>
      <c r="M2024" t="e">
        <f t="shared" si="222"/>
        <v>#N/A</v>
      </c>
    </row>
    <row r="2025" spans="1:13" x14ac:dyDescent="0.25">
      <c r="A2025" t="str">
        <f t="shared" si="223"/>
        <v>CP284-Referral - Vaccinia</v>
      </c>
      <c r="B2025" t="s">
        <v>133</v>
      </c>
      <c r="C2025" t="str">
        <f t="shared" si="217"/>
        <v>Lubbock 34th</v>
      </c>
      <c r="D2025" t="str">
        <f t="shared" si="218"/>
        <v>Y</v>
      </c>
      <c r="E2025" t="s">
        <v>646</v>
      </c>
      <c r="F2025" t="str">
        <f t="shared" si="219"/>
        <v>Referral - Vaccinia</v>
      </c>
      <c r="G2025">
        <f t="shared" si="220"/>
        <v>0</v>
      </c>
      <c r="H2025" t="s">
        <v>595</v>
      </c>
      <c r="I2025">
        <f t="shared" si="221"/>
        <v>0</v>
      </c>
      <c r="J2025" t="s">
        <v>564</v>
      </c>
      <c r="K2025" s="5">
        <v>250</v>
      </c>
      <c r="L2025" t="str">
        <f>Table_DataFromNL[[#This Row],[PROFILECODE]]&amp;"-"&amp;Table_DataFromNL[[#This Row],[RULENAME]]</f>
        <v>CP284-Referral - Vaccinia</v>
      </c>
      <c r="M2025" t="e">
        <f t="shared" si="222"/>
        <v>#N/A</v>
      </c>
    </row>
    <row r="2026" spans="1:13" x14ac:dyDescent="0.25">
      <c r="A2026" t="str">
        <f t="shared" si="223"/>
        <v>CP284-Restick</v>
      </c>
      <c r="B2026" t="s">
        <v>133</v>
      </c>
      <c r="C2026" t="str">
        <f t="shared" si="217"/>
        <v>Lubbock 34th</v>
      </c>
      <c r="D2026" t="str">
        <f t="shared" si="218"/>
        <v>Y</v>
      </c>
      <c r="E2026" t="s">
        <v>646</v>
      </c>
      <c r="F2026" t="str">
        <f t="shared" si="219"/>
        <v>Restick</v>
      </c>
      <c r="G2026">
        <f t="shared" si="220"/>
        <v>0</v>
      </c>
      <c r="H2026" t="s">
        <v>573</v>
      </c>
      <c r="I2026">
        <f t="shared" si="221"/>
        <v>0</v>
      </c>
      <c r="J2026" t="s">
        <v>564</v>
      </c>
      <c r="K2026" s="5">
        <v>5</v>
      </c>
      <c r="L2026" t="str">
        <f>Table_DataFromNL[[#This Row],[PROFILECODE]]&amp;"-"&amp;Table_DataFromNL[[#This Row],[RULENAME]]</f>
        <v>CP284-Restick</v>
      </c>
      <c r="M2026" t="e">
        <f t="shared" si="222"/>
        <v>#N/A</v>
      </c>
    </row>
    <row r="2027" spans="1:13" x14ac:dyDescent="0.25">
      <c r="A2027" t="str">
        <f t="shared" si="223"/>
        <v>CP284-SCRATCH_100_USD</v>
      </c>
      <c r="B2027" t="s">
        <v>133</v>
      </c>
      <c r="C2027" t="str">
        <f t="shared" si="217"/>
        <v>Lubbock 34th</v>
      </c>
      <c r="D2027" t="str">
        <f t="shared" si="218"/>
        <v>Y</v>
      </c>
      <c r="E2027" t="s">
        <v>646</v>
      </c>
      <c r="F2027" t="str">
        <f t="shared" si="219"/>
        <v>SCRATCH_100_USD</v>
      </c>
      <c r="G2027">
        <f t="shared" si="220"/>
        <v>0</v>
      </c>
      <c r="H2027" t="s">
        <v>586</v>
      </c>
      <c r="I2027">
        <f t="shared" si="221"/>
        <v>0</v>
      </c>
      <c r="J2027" t="s">
        <v>564</v>
      </c>
      <c r="K2027" s="5">
        <v>100</v>
      </c>
      <c r="L2027" t="str">
        <f>Table_DataFromNL[[#This Row],[PROFILECODE]]&amp;"-"&amp;Table_DataFromNL[[#This Row],[RULENAME]]</f>
        <v>CP284-SCRATCH_100_USD</v>
      </c>
      <c r="M2027" t="e">
        <f t="shared" si="222"/>
        <v>#N/A</v>
      </c>
    </row>
    <row r="2028" spans="1:13" x14ac:dyDescent="0.25">
      <c r="A2028" t="str">
        <f t="shared" si="223"/>
        <v>CP284-SCRATCH_10_USD</v>
      </c>
      <c r="B2028" t="s">
        <v>133</v>
      </c>
      <c r="C2028" t="str">
        <f t="shared" si="217"/>
        <v>Lubbock 34th</v>
      </c>
      <c r="D2028" t="str">
        <f t="shared" si="218"/>
        <v>Y</v>
      </c>
      <c r="E2028" t="s">
        <v>646</v>
      </c>
      <c r="F2028" t="str">
        <f t="shared" si="219"/>
        <v>SCRATCH_10_USD</v>
      </c>
      <c r="G2028">
        <f t="shared" si="220"/>
        <v>0</v>
      </c>
      <c r="H2028" t="s">
        <v>587</v>
      </c>
      <c r="I2028">
        <f t="shared" si="221"/>
        <v>0</v>
      </c>
      <c r="J2028" t="s">
        <v>564</v>
      </c>
      <c r="K2028" s="5">
        <v>10</v>
      </c>
      <c r="L2028" t="str">
        <f>Table_DataFromNL[[#This Row],[PROFILECODE]]&amp;"-"&amp;Table_DataFromNL[[#This Row],[RULENAME]]</f>
        <v>CP284-SCRATCH_10_USD</v>
      </c>
      <c r="M2028" t="e">
        <f t="shared" si="222"/>
        <v>#N/A</v>
      </c>
    </row>
    <row r="2029" spans="1:13" x14ac:dyDescent="0.25">
      <c r="A2029" t="str">
        <f t="shared" si="223"/>
        <v>CP284-SCRATCH_20_USD</v>
      </c>
      <c r="B2029" t="s">
        <v>133</v>
      </c>
      <c r="C2029" t="str">
        <f t="shared" si="217"/>
        <v>Lubbock 34th</v>
      </c>
      <c r="D2029" t="str">
        <f t="shared" si="218"/>
        <v>Y</v>
      </c>
      <c r="E2029" t="s">
        <v>646</v>
      </c>
      <c r="F2029" t="str">
        <f t="shared" si="219"/>
        <v>SCRATCH_20_USD</v>
      </c>
      <c r="G2029">
        <f t="shared" si="220"/>
        <v>0</v>
      </c>
      <c r="H2029" t="s">
        <v>588</v>
      </c>
      <c r="I2029">
        <f t="shared" si="221"/>
        <v>0</v>
      </c>
      <c r="J2029" t="s">
        <v>564</v>
      </c>
      <c r="K2029" s="5">
        <v>20</v>
      </c>
      <c r="L2029" t="str">
        <f>Table_DataFromNL[[#This Row],[PROFILECODE]]&amp;"-"&amp;Table_DataFromNL[[#This Row],[RULENAME]]</f>
        <v>CP284-SCRATCH_20_USD</v>
      </c>
      <c r="M2029" t="e">
        <f t="shared" si="222"/>
        <v>#N/A</v>
      </c>
    </row>
    <row r="2030" spans="1:13" x14ac:dyDescent="0.25">
      <c r="A2030" t="str">
        <f t="shared" si="223"/>
        <v>CP284-SCRATCH_25_USD</v>
      </c>
      <c r="B2030" t="s">
        <v>133</v>
      </c>
      <c r="C2030" t="str">
        <f t="shared" si="217"/>
        <v>Lubbock 34th</v>
      </c>
      <c r="D2030" t="str">
        <f t="shared" si="218"/>
        <v>Y</v>
      </c>
      <c r="E2030" t="s">
        <v>646</v>
      </c>
      <c r="F2030" t="str">
        <f t="shared" si="219"/>
        <v>SCRATCH_25_USD</v>
      </c>
      <c r="G2030">
        <f t="shared" si="220"/>
        <v>0</v>
      </c>
      <c r="H2030" t="s">
        <v>589</v>
      </c>
      <c r="I2030">
        <f t="shared" si="221"/>
        <v>0</v>
      </c>
      <c r="J2030" t="s">
        <v>564</v>
      </c>
      <c r="K2030" s="5">
        <v>25</v>
      </c>
      <c r="L2030" t="str">
        <f>Table_DataFromNL[[#This Row],[PROFILECODE]]&amp;"-"&amp;Table_DataFromNL[[#This Row],[RULENAME]]</f>
        <v>CP284-SCRATCH_25_USD</v>
      </c>
      <c r="M2030" t="e">
        <f t="shared" si="222"/>
        <v>#N/A</v>
      </c>
    </row>
    <row r="2031" spans="1:13" x14ac:dyDescent="0.25">
      <c r="A2031" t="str">
        <f t="shared" si="223"/>
        <v>CP284-SCRATCH_50_USD</v>
      </c>
      <c r="B2031" t="s">
        <v>133</v>
      </c>
      <c r="C2031" t="str">
        <f t="shared" si="217"/>
        <v>Lubbock 34th</v>
      </c>
      <c r="D2031" t="str">
        <f t="shared" si="218"/>
        <v>Y</v>
      </c>
      <c r="E2031" t="s">
        <v>646</v>
      </c>
      <c r="F2031" t="str">
        <f t="shared" si="219"/>
        <v>SCRATCH_50_USD</v>
      </c>
      <c r="G2031">
        <f t="shared" si="220"/>
        <v>0</v>
      </c>
      <c r="H2031" t="s">
        <v>590</v>
      </c>
      <c r="I2031">
        <f t="shared" si="221"/>
        <v>0</v>
      </c>
      <c r="J2031" t="s">
        <v>564</v>
      </c>
      <c r="K2031" s="5">
        <v>50</v>
      </c>
      <c r="L2031" t="str">
        <f>Table_DataFromNL[[#This Row],[PROFILECODE]]&amp;"-"&amp;Table_DataFromNL[[#This Row],[RULENAME]]</f>
        <v>CP284-SCRATCH_50_USD</v>
      </c>
      <c r="M2031" t="e">
        <f t="shared" si="222"/>
        <v>#N/A</v>
      </c>
    </row>
    <row r="2032" spans="1:13" x14ac:dyDescent="0.25">
      <c r="A2032" t="str">
        <f t="shared" si="223"/>
        <v>CP284-SCRATCH_5_USD</v>
      </c>
      <c r="B2032" t="s">
        <v>133</v>
      </c>
      <c r="C2032" t="str">
        <f t="shared" si="217"/>
        <v>Lubbock 34th</v>
      </c>
      <c r="D2032" t="str">
        <f t="shared" si="218"/>
        <v>Y</v>
      </c>
      <c r="E2032" t="s">
        <v>646</v>
      </c>
      <c r="F2032" t="str">
        <f t="shared" si="219"/>
        <v>SCRATCH_5_USD</v>
      </c>
      <c r="G2032">
        <f t="shared" si="220"/>
        <v>0</v>
      </c>
      <c r="H2032" t="s">
        <v>591</v>
      </c>
      <c r="I2032">
        <f t="shared" si="221"/>
        <v>0</v>
      </c>
      <c r="J2032" t="s">
        <v>564</v>
      </c>
      <c r="K2032" s="5">
        <v>5</v>
      </c>
      <c r="L2032" t="str">
        <f>Table_DataFromNL[[#This Row],[PROFILECODE]]&amp;"-"&amp;Table_DataFromNL[[#This Row],[RULENAME]]</f>
        <v>CP284-SCRATCH_5_USD</v>
      </c>
      <c r="M2032" t="e">
        <f t="shared" si="222"/>
        <v>#N/A</v>
      </c>
    </row>
    <row r="2033" spans="1:13" x14ac:dyDescent="0.25">
      <c r="A2033" t="str">
        <f t="shared" si="223"/>
        <v>CP284-SLOW_TEXT_5</v>
      </c>
      <c r="B2033" t="s">
        <v>133</v>
      </c>
      <c r="C2033" t="str">
        <f t="shared" si="217"/>
        <v>Lubbock 34th</v>
      </c>
      <c r="D2033" t="str">
        <f t="shared" si="218"/>
        <v>Y</v>
      </c>
      <c r="E2033" t="s">
        <v>646</v>
      </c>
      <c r="F2033" t="str">
        <f t="shared" si="219"/>
        <v>SLOW_TEXT_5</v>
      </c>
      <c r="G2033">
        <f t="shared" si="220"/>
        <v>0</v>
      </c>
      <c r="H2033" t="s">
        <v>574</v>
      </c>
      <c r="I2033">
        <f t="shared" si="221"/>
        <v>0</v>
      </c>
      <c r="J2033" t="s">
        <v>564</v>
      </c>
      <c r="K2033" s="5">
        <v>5</v>
      </c>
      <c r="L2033" t="str">
        <f>Table_DataFromNL[[#This Row],[PROFILECODE]]&amp;"-"&amp;Table_DataFromNL[[#This Row],[RULENAME]]</f>
        <v>CP284-SLOW_TEXT_5</v>
      </c>
      <c r="M2033" t="e">
        <f t="shared" si="222"/>
        <v>#N/A</v>
      </c>
    </row>
    <row r="2034" spans="1:13" x14ac:dyDescent="0.25">
      <c r="A2034" t="str">
        <f t="shared" si="223"/>
        <v>CP284-Sample Only</v>
      </c>
      <c r="B2034" t="s">
        <v>133</v>
      </c>
      <c r="C2034" t="str">
        <f t="shared" si="217"/>
        <v>Lubbock 34th</v>
      </c>
      <c r="D2034" t="str">
        <f t="shared" si="218"/>
        <v>Y</v>
      </c>
      <c r="E2034" t="s">
        <v>646</v>
      </c>
      <c r="F2034" t="str">
        <f t="shared" si="219"/>
        <v>Sample Only</v>
      </c>
      <c r="G2034">
        <f t="shared" si="220"/>
        <v>0</v>
      </c>
      <c r="H2034" t="s">
        <v>575</v>
      </c>
      <c r="I2034">
        <f t="shared" si="221"/>
        <v>0</v>
      </c>
      <c r="J2034" t="s">
        <v>564</v>
      </c>
      <c r="K2034" s="5">
        <v>5</v>
      </c>
      <c r="L2034" t="str">
        <f>Table_DataFromNL[[#This Row],[PROFILECODE]]&amp;"-"&amp;Table_DataFromNL[[#This Row],[RULENAME]]</f>
        <v>CP284-Sample Only</v>
      </c>
      <c r="M2034" t="e">
        <f t="shared" si="222"/>
        <v>#N/A</v>
      </c>
    </row>
    <row r="2035" spans="1:13" x14ac:dyDescent="0.25">
      <c r="A2035" t="str">
        <f t="shared" si="223"/>
        <v>CP284-Unit Below 250 mL</v>
      </c>
      <c r="B2035" t="s">
        <v>133</v>
      </c>
      <c r="C2035" t="str">
        <f t="shared" si="217"/>
        <v>Lubbock 34th</v>
      </c>
      <c r="D2035" t="str">
        <f t="shared" si="218"/>
        <v>Y</v>
      </c>
      <c r="E2035" t="s">
        <v>646</v>
      </c>
      <c r="F2035" t="str">
        <f t="shared" si="219"/>
        <v>Unit Below 250 mL</v>
      </c>
      <c r="G2035">
        <f t="shared" si="220"/>
        <v>0</v>
      </c>
      <c r="H2035" t="s">
        <v>576</v>
      </c>
      <c r="I2035">
        <f t="shared" si="221"/>
        <v>0</v>
      </c>
      <c r="J2035" t="s">
        <v>564</v>
      </c>
      <c r="K2035" s="5">
        <v>5</v>
      </c>
      <c r="L2035" t="str">
        <f>Table_DataFromNL[[#This Row],[PROFILECODE]]&amp;"-"&amp;Table_DataFromNL[[#This Row],[RULENAME]]</f>
        <v>CP284-Unit Below 250 mL</v>
      </c>
      <c r="M2035" t="e">
        <f t="shared" si="222"/>
        <v>#N/A</v>
      </c>
    </row>
    <row r="2036" spans="1:13" x14ac:dyDescent="0.25">
      <c r="A2036" t="str">
        <f t="shared" si="223"/>
        <v>CP284-Unit above 250 mL/underdraw</v>
      </c>
      <c r="B2036" t="s">
        <v>133</v>
      </c>
      <c r="C2036" t="str">
        <f t="shared" si="217"/>
        <v>Lubbock 34th</v>
      </c>
      <c r="D2036" t="str">
        <f t="shared" si="218"/>
        <v>Y</v>
      </c>
      <c r="E2036" t="s">
        <v>646</v>
      </c>
      <c r="F2036" t="str">
        <f t="shared" si="219"/>
        <v>Unit above 250 mL/underdraw</v>
      </c>
      <c r="G2036">
        <f t="shared" si="220"/>
        <v>0</v>
      </c>
      <c r="H2036" t="s">
        <v>577</v>
      </c>
      <c r="I2036">
        <f t="shared" si="221"/>
        <v>0</v>
      </c>
      <c r="J2036" t="s">
        <v>564</v>
      </c>
      <c r="K2036" s="5">
        <v>10</v>
      </c>
      <c r="L2036" t="str">
        <f>Table_DataFromNL[[#This Row],[PROFILECODE]]&amp;"-"&amp;Table_DataFromNL[[#This Row],[RULENAME]]</f>
        <v>CP284-Unit above 250 mL/underdraw</v>
      </c>
      <c r="M2036" t="e">
        <f t="shared" si="222"/>
        <v>#N/A</v>
      </c>
    </row>
    <row r="2037" spans="1:13" x14ac:dyDescent="0.25">
      <c r="A2037" t="str">
        <f t="shared" si="223"/>
        <v>CP284-Vaccinia Immunization</v>
      </c>
      <c r="B2037" t="s">
        <v>133</v>
      </c>
      <c r="C2037" t="str">
        <f t="shared" si="217"/>
        <v>Lubbock 34th</v>
      </c>
      <c r="D2037" t="str">
        <f t="shared" si="218"/>
        <v>Y</v>
      </c>
      <c r="E2037" t="s">
        <v>646</v>
      </c>
      <c r="F2037" t="str">
        <f t="shared" si="219"/>
        <v>Vaccinia Immunization</v>
      </c>
      <c r="G2037">
        <f t="shared" si="220"/>
        <v>0</v>
      </c>
      <c r="H2037" t="s">
        <v>596</v>
      </c>
      <c r="I2037">
        <f t="shared" si="221"/>
        <v>0</v>
      </c>
      <c r="J2037" t="s">
        <v>564</v>
      </c>
      <c r="K2037" s="5">
        <v>100</v>
      </c>
      <c r="L2037" t="str">
        <f>Table_DataFromNL[[#This Row],[PROFILECODE]]&amp;"-"&amp;Table_DataFromNL[[#This Row],[RULENAME]]</f>
        <v>CP284-Vaccinia Immunization</v>
      </c>
      <c r="M2037" t="e">
        <f t="shared" si="222"/>
        <v>#N/A</v>
      </c>
    </row>
    <row r="2038" spans="1:13" x14ac:dyDescent="0.25">
      <c r="A2038" t="str">
        <f t="shared" si="223"/>
        <v>CP284-RETURN - Buddy referral  -BONUS</v>
      </c>
      <c r="B2038" t="s">
        <v>133</v>
      </c>
      <c r="C2038" t="str">
        <f t="shared" si="217"/>
        <v>Lubbock 34th</v>
      </c>
      <c r="D2038" t="str">
        <f t="shared" si="218"/>
        <v>Y</v>
      </c>
      <c r="E2038" t="s">
        <v>646</v>
      </c>
      <c r="F2038" t="str">
        <f t="shared" si="219"/>
        <v>RETURN - Buddy referral  -BONUS</v>
      </c>
      <c r="G2038" t="str">
        <f t="shared" si="220"/>
        <v>Marketing</v>
      </c>
      <c r="H2038" t="s">
        <v>34</v>
      </c>
      <c r="I2038">
        <f t="shared" si="221"/>
        <v>50</v>
      </c>
      <c r="J2038" t="s">
        <v>578</v>
      </c>
      <c r="K2038" s="5">
        <v>50</v>
      </c>
      <c r="L2038" t="str">
        <f>Table_DataFromNL[[#This Row],[PROFILECODE]]&amp;"-"&amp;Table_DataFromNL[[#This Row],[RULENAME]]</f>
        <v>CP284-Referral</v>
      </c>
      <c r="M2038" t="str">
        <f t="shared" si="222"/>
        <v>CP284-RETURN - Buddy referral  -BONUS</v>
      </c>
    </row>
    <row r="2039" spans="1:13" x14ac:dyDescent="0.25">
      <c r="A2039" t="str">
        <f t="shared" si="223"/>
        <v>CP284-P Anti-D Pre-Existing Standard</v>
      </c>
      <c r="B2039" t="s">
        <v>133</v>
      </c>
      <c r="C2039" t="str">
        <f t="shared" si="217"/>
        <v>Lubbock 34th</v>
      </c>
      <c r="D2039" t="str">
        <f t="shared" si="218"/>
        <v>Y</v>
      </c>
      <c r="E2039" t="s">
        <v>646</v>
      </c>
      <c r="F2039" t="str">
        <f t="shared" si="219"/>
        <v>P Anti-D Pre-Existing Standard</v>
      </c>
      <c r="G2039" t="str">
        <f t="shared" si="220"/>
        <v>Specialty</v>
      </c>
      <c r="H2039" t="s">
        <v>469</v>
      </c>
      <c r="I2039" t="str">
        <f t="shared" si="221"/>
        <v>RETURN - 1st don of the week -STD</v>
      </c>
      <c r="J2039" t="s">
        <v>579</v>
      </c>
      <c r="K2039" s="5">
        <v>50</v>
      </c>
      <c r="L2039" t="str">
        <f>Table_DataFromNL[[#This Row],[PROFILECODE]]&amp;"-"&amp;Table_DataFromNL[[#This Row],[RULENAME]]</f>
        <v>CP284-P Anti-D Pre-Existing Standard</v>
      </c>
      <c r="M2039" t="str">
        <f t="shared" si="222"/>
        <v>CP284-P Anti-D Pre-Existing Standard</v>
      </c>
    </row>
    <row r="2040" spans="1:13" x14ac:dyDescent="0.25">
      <c r="A2040" t="str">
        <f t="shared" si="223"/>
        <v>CP284-RETURN - 1st don of the week -STD</v>
      </c>
      <c r="B2040" t="s">
        <v>133</v>
      </c>
      <c r="C2040" t="str">
        <f t="shared" si="217"/>
        <v>Lubbock 34th</v>
      </c>
      <c r="D2040" t="str">
        <f t="shared" si="218"/>
        <v>Y</v>
      </c>
      <c r="E2040" t="s">
        <v>646</v>
      </c>
      <c r="F2040" t="str">
        <f t="shared" si="219"/>
        <v>RETURN - 1st don of the week -STD</v>
      </c>
      <c r="G2040" t="str">
        <f t="shared" si="220"/>
        <v>Marketing</v>
      </c>
      <c r="H2040" t="s">
        <v>583</v>
      </c>
      <c r="I2040">
        <f t="shared" si="221"/>
        <v>22</v>
      </c>
      <c r="J2040" t="s">
        <v>579</v>
      </c>
      <c r="K2040" s="5">
        <v>64</v>
      </c>
      <c r="L2040" t="str">
        <f>Table_DataFromNL[[#This Row],[PROFILECODE]]&amp;"-"&amp;Table_DataFromNL[[#This Row],[RULENAME]]</f>
        <v>CP284-P NSP NS AP Standard</v>
      </c>
      <c r="M2040" t="str">
        <f t="shared" si="222"/>
        <v>CP284-RETURN - 1st don of the week -STD</v>
      </c>
    </row>
    <row r="2041" spans="1:13" x14ac:dyDescent="0.25">
      <c r="A2041" t="str">
        <f t="shared" si="223"/>
        <v>CP284-RETURN - 1st don of the week -STD</v>
      </c>
      <c r="B2041" t="s">
        <v>133</v>
      </c>
      <c r="C2041" t="str">
        <f t="shared" si="217"/>
        <v>Lubbock 34th</v>
      </c>
      <c r="D2041" t="str">
        <f t="shared" si="218"/>
        <v>Y</v>
      </c>
      <c r="E2041" t="s">
        <v>646</v>
      </c>
      <c r="F2041" t="str">
        <f t="shared" si="219"/>
        <v>RETURN - 1st don of the week -STD</v>
      </c>
      <c r="G2041" t="str">
        <f t="shared" si="220"/>
        <v>Marketing</v>
      </c>
      <c r="H2041" t="s">
        <v>584</v>
      </c>
      <c r="I2041">
        <f t="shared" si="221"/>
        <v>23</v>
      </c>
      <c r="J2041" t="s">
        <v>579</v>
      </c>
      <c r="K2041" s="5">
        <v>64</v>
      </c>
      <c r="L2041" t="str">
        <f>Table_DataFromNL[[#This Row],[PROFILECODE]]&amp;"-"&amp;Table_DataFromNL[[#This Row],[RULENAME]]</f>
        <v>CP284-P NSP NS Standard</v>
      </c>
      <c r="M2041" t="str">
        <f t="shared" si="222"/>
        <v>CP284-RETURN - 1st don of the week -STD</v>
      </c>
    </row>
    <row r="2042" spans="1:13" x14ac:dyDescent="0.25">
      <c r="A2042" t="str">
        <f t="shared" si="223"/>
        <v>CP284-P VZV Pre-Existing AP</v>
      </c>
      <c r="B2042" t="s">
        <v>133</v>
      </c>
      <c r="C2042" t="str">
        <f t="shared" si="217"/>
        <v>Lubbock 34th</v>
      </c>
      <c r="D2042" t="str">
        <f t="shared" si="218"/>
        <v>Y</v>
      </c>
      <c r="E2042" t="s">
        <v>646</v>
      </c>
      <c r="F2042" t="str">
        <f t="shared" si="219"/>
        <v>P VZV Pre-Existing AP</v>
      </c>
      <c r="G2042" t="str">
        <f t="shared" si="220"/>
        <v>Specialty</v>
      </c>
      <c r="H2042" t="s">
        <v>495</v>
      </c>
      <c r="I2042" t="str">
        <f t="shared" si="221"/>
        <v>RETURN - 1st don of the week -STD</v>
      </c>
      <c r="J2042" t="s">
        <v>579</v>
      </c>
      <c r="K2042" s="5">
        <v>74</v>
      </c>
      <c r="L2042" t="str">
        <f>Table_DataFromNL[[#This Row],[PROFILECODE]]&amp;"-"&amp;Table_DataFromNL[[#This Row],[RULENAME]]</f>
        <v>CP284-P VZV Pre-Existing AP</v>
      </c>
      <c r="M2042" t="str">
        <f t="shared" si="222"/>
        <v>CP284-P VZV Pre-Existing AP</v>
      </c>
    </row>
    <row r="2043" spans="1:13" x14ac:dyDescent="0.25">
      <c r="A2043" t="str">
        <f t="shared" si="223"/>
        <v>CP284-P VZV Standard</v>
      </c>
      <c r="B2043" t="s">
        <v>133</v>
      </c>
      <c r="C2043" t="str">
        <f t="shared" si="217"/>
        <v>Lubbock 34th</v>
      </c>
      <c r="D2043" t="str">
        <f t="shared" si="218"/>
        <v>Y</v>
      </c>
      <c r="E2043" t="s">
        <v>646</v>
      </c>
      <c r="F2043" t="str">
        <f t="shared" si="219"/>
        <v>P VZV Standard</v>
      </c>
      <c r="G2043" t="str">
        <f t="shared" si="220"/>
        <v>Specialty</v>
      </c>
      <c r="H2043" t="s">
        <v>496</v>
      </c>
      <c r="I2043" t="str">
        <f t="shared" si="221"/>
        <v>RETURN - 1st don of the week -STD</v>
      </c>
      <c r="J2043" t="s">
        <v>579</v>
      </c>
      <c r="K2043" s="5">
        <v>74</v>
      </c>
      <c r="L2043" t="str">
        <f>Table_DataFromNL[[#This Row],[PROFILECODE]]&amp;"-"&amp;Table_DataFromNL[[#This Row],[RULENAME]]</f>
        <v>CP284-P VZV Standard</v>
      </c>
      <c r="M2043" t="str">
        <f t="shared" si="222"/>
        <v>CP284-P VZV Standard</v>
      </c>
    </row>
    <row r="2044" spans="1:13" x14ac:dyDescent="0.25">
      <c r="A2044" t="str">
        <f t="shared" si="223"/>
        <v>CP284-P Vaccinia AP Standard</v>
      </c>
      <c r="B2044" t="s">
        <v>133</v>
      </c>
      <c r="C2044" t="str">
        <f t="shared" si="217"/>
        <v>Lubbock 34th</v>
      </c>
      <c r="D2044" t="str">
        <f t="shared" si="218"/>
        <v>Y</v>
      </c>
      <c r="E2044" t="s">
        <v>646</v>
      </c>
      <c r="F2044" t="str">
        <f t="shared" si="219"/>
        <v>P Vaccinia AP Standard</v>
      </c>
      <c r="G2044" t="str">
        <f t="shared" si="220"/>
        <v>Specialty</v>
      </c>
      <c r="H2044" t="s">
        <v>475</v>
      </c>
      <c r="I2044">
        <f t="shared" si="221"/>
        <v>0</v>
      </c>
      <c r="J2044" t="s">
        <v>579</v>
      </c>
      <c r="K2044" s="5">
        <v>100</v>
      </c>
      <c r="L2044" t="str">
        <f>Table_DataFromNL[[#This Row],[PROFILECODE]]&amp;"-"&amp;Table_DataFromNL[[#This Row],[RULENAME]]</f>
        <v>CP284-P Vaccinia AP Standard</v>
      </c>
      <c r="M2044" t="str">
        <f t="shared" si="222"/>
        <v>CP284-P Vaccinia AP Standard</v>
      </c>
    </row>
    <row r="2045" spans="1:13" x14ac:dyDescent="0.25">
      <c r="A2045" t="str">
        <f t="shared" si="223"/>
        <v>CP284-P Vaccinia Standard</v>
      </c>
      <c r="B2045" t="s">
        <v>133</v>
      </c>
      <c r="C2045" t="str">
        <f t="shared" si="217"/>
        <v>Lubbock 34th</v>
      </c>
      <c r="D2045" t="str">
        <f t="shared" si="218"/>
        <v>Y</v>
      </c>
      <c r="E2045" t="s">
        <v>646</v>
      </c>
      <c r="F2045" t="str">
        <f t="shared" si="219"/>
        <v>P Vaccinia Standard</v>
      </c>
      <c r="G2045" t="str">
        <f t="shared" si="220"/>
        <v>Specialty</v>
      </c>
      <c r="H2045" t="s">
        <v>476</v>
      </c>
      <c r="I2045">
        <f t="shared" si="221"/>
        <v>0</v>
      </c>
      <c r="J2045" t="s">
        <v>579</v>
      </c>
      <c r="K2045" s="5">
        <v>100</v>
      </c>
      <c r="L2045" t="str">
        <f>Table_DataFromNL[[#This Row],[PROFILECODE]]&amp;"-"&amp;Table_DataFromNL[[#This Row],[RULENAME]]</f>
        <v>CP284-P Vaccinia Standard</v>
      </c>
      <c r="M2045" t="str">
        <f t="shared" si="222"/>
        <v>CP284-P Vaccinia Standard</v>
      </c>
    </row>
    <row r="2046" spans="1:13" x14ac:dyDescent="0.25">
      <c r="A2046" t="str">
        <f t="shared" si="223"/>
        <v>CP284-PVZV Pre-Existing Standard</v>
      </c>
      <c r="B2046" t="s">
        <v>133</v>
      </c>
      <c r="C2046" t="str">
        <f t="shared" si="217"/>
        <v>Lubbock 34th</v>
      </c>
      <c r="D2046" t="str">
        <f t="shared" si="218"/>
        <v>Y</v>
      </c>
      <c r="E2046" t="s">
        <v>646</v>
      </c>
      <c r="F2046" t="str">
        <f t="shared" si="219"/>
        <v>PVZV Pre-Existing Standard</v>
      </c>
      <c r="G2046" t="str">
        <f t="shared" si="220"/>
        <v>Specialty</v>
      </c>
      <c r="H2046" t="s">
        <v>497</v>
      </c>
      <c r="I2046" t="str">
        <f t="shared" si="221"/>
        <v>RETURN - 1st don of the week -STD</v>
      </c>
      <c r="J2046" t="s">
        <v>579</v>
      </c>
      <c r="K2046" s="5">
        <v>74</v>
      </c>
      <c r="L2046" t="str">
        <f>Table_DataFromNL[[#This Row],[PROFILECODE]]&amp;"-"&amp;Table_DataFromNL[[#This Row],[RULENAME]]</f>
        <v>CP284-PVZV Pre-Existing Standard</v>
      </c>
      <c r="M2046" t="str">
        <f t="shared" si="222"/>
        <v>CP284-PVZV Pre-Existing Standard</v>
      </c>
    </row>
    <row r="2047" spans="1:13" x14ac:dyDescent="0.25">
      <c r="A2047" t="str">
        <f t="shared" si="223"/>
        <v>CP285-1st Responder-Medical</v>
      </c>
      <c r="B2047" t="s">
        <v>129</v>
      </c>
      <c r="C2047" t="str">
        <f t="shared" si="217"/>
        <v>Lubbock Main</v>
      </c>
      <c r="D2047" t="str">
        <f t="shared" si="218"/>
        <v>Y</v>
      </c>
      <c r="E2047" t="s">
        <v>647</v>
      </c>
      <c r="F2047" t="str">
        <f t="shared" si="219"/>
        <v>1st Responder-Medical</v>
      </c>
      <c r="G2047">
        <f t="shared" si="220"/>
        <v>0</v>
      </c>
      <c r="H2047" t="s">
        <v>545</v>
      </c>
      <c r="I2047">
        <f t="shared" si="221"/>
        <v>0</v>
      </c>
      <c r="J2047" t="s">
        <v>546</v>
      </c>
      <c r="K2047" s="5">
        <v>5</v>
      </c>
      <c r="L2047" t="str">
        <f>Table_DataFromNL[[#This Row],[PROFILECODE]]&amp;"-"&amp;Table_DataFromNL[[#This Row],[RULENAME]]</f>
        <v>CP285-1st Responder-Medical</v>
      </c>
      <c r="M2047" t="e">
        <f t="shared" si="222"/>
        <v>#N/A</v>
      </c>
    </row>
    <row r="2048" spans="1:13" x14ac:dyDescent="0.25">
      <c r="A2048" t="str">
        <f t="shared" si="223"/>
        <v>CP285-2X Week P HBS Pre-Existing</v>
      </c>
      <c r="B2048" t="s">
        <v>129</v>
      </c>
      <c r="C2048" t="str">
        <f t="shared" si="217"/>
        <v>Lubbock Main</v>
      </c>
      <c r="D2048" t="str">
        <f t="shared" si="218"/>
        <v>Y</v>
      </c>
      <c r="E2048" t="s">
        <v>647</v>
      </c>
      <c r="F2048" t="str">
        <f t="shared" si="219"/>
        <v>2X Week P HBS Pre-Existing</v>
      </c>
      <c r="G2048" t="str">
        <f t="shared" si="220"/>
        <v>Specialty</v>
      </c>
      <c r="H2048" t="s">
        <v>471</v>
      </c>
      <c r="I2048" t="str">
        <f t="shared" si="221"/>
        <v>RETURN - 2nd don of the week -BONUS</v>
      </c>
      <c r="J2048" t="s">
        <v>546</v>
      </c>
      <c r="K2048" s="5">
        <v>10</v>
      </c>
      <c r="L2048" t="str">
        <f>Table_DataFromNL[[#This Row],[PROFILECODE]]&amp;"-"&amp;Table_DataFromNL[[#This Row],[RULENAME]]</f>
        <v>CP285-2X Week P HBS Pre-Existing</v>
      </c>
      <c r="M2048" t="str">
        <f t="shared" si="222"/>
        <v>CP285-2X Week P HBS Pre-Existing</v>
      </c>
    </row>
    <row r="2049" spans="1:13" x14ac:dyDescent="0.25">
      <c r="A2049" t="str">
        <f t="shared" si="223"/>
        <v>CP285-2X Week P HBS TWINRX</v>
      </c>
      <c r="B2049" t="s">
        <v>129</v>
      </c>
      <c r="C2049" t="str">
        <f t="shared" si="217"/>
        <v>Lubbock Main</v>
      </c>
      <c r="D2049" t="str">
        <f t="shared" si="218"/>
        <v>Y</v>
      </c>
      <c r="E2049" t="s">
        <v>647</v>
      </c>
      <c r="F2049" t="str">
        <f t="shared" si="219"/>
        <v>2X Week P HBS TWINRX</v>
      </c>
      <c r="G2049" t="str">
        <f t="shared" si="220"/>
        <v>Specialty</v>
      </c>
      <c r="H2049" t="s">
        <v>504</v>
      </c>
      <c r="I2049" t="str">
        <f t="shared" si="221"/>
        <v>RETURN - 2nd don of the week -BONUS</v>
      </c>
      <c r="J2049" t="s">
        <v>546</v>
      </c>
      <c r="K2049" s="5">
        <v>10</v>
      </c>
      <c r="L2049" t="str">
        <f>Table_DataFromNL[[#This Row],[PROFILECODE]]&amp;"-"&amp;Table_DataFromNL[[#This Row],[RULENAME]]</f>
        <v>CP285-2X Week P HBS TWINRX</v>
      </c>
      <c r="M2049" t="str">
        <f t="shared" si="222"/>
        <v>CP285-2X Week P HBS TWINRX</v>
      </c>
    </row>
    <row r="2050" spans="1:13" x14ac:dyDescent="0.25">
      <c r="A2050" t="str">
        <f t="shared" si="223"/>
        <v>CP285-2X Week P HBS TWINRX-AP</v>
      </c>
      <c r="B2050" t="s">
        <v>129</v>
      </c>
      <c r="C2050" t="str">
        <f t="shared" ref="C2050:C2113" si="224">VLOOKUP(B2050,CenterLU,2,FALSE)</f>
        <v>Lubbock Main</v>
      </c>
      <c r="D2050" t="str">
        <f t="shared" ref="D2050:D2113" si="225">VLOOKUP(B2050,CenterLU,3,FALSE)</f>
        <v>Y</v>
      </c>
      <c r="E2050" t="s">
        <v>647</v>
      </c>
      <c r="F2050" t="str">
        <f t="shared" ref="F2050:F2113" si="226">IF(VLOOKUP(H2050,RULENAMELU,3,FALSE)=0,H2050,VLOOKUP(H2050,RULENAMELU,3,FALSE))</f>
        <v>2X Week P HBS TWINRX-AP</v>
      </c>
      <c r="G2050" t="str">
        <f t="shared" ref="G2050:G2113" si="227">VLOOKUP(H2050,RULENAMELU,4,FALSE)</f>
        <v>Specialty</v>
      </c>
      <c r="H2050" t="s">
        <v>505</v>
      </c>
      <c r="I2050" t="str">
        <f t="shared" ref="I2050:I2113" si="228">VLOOKUP(H2050,RULENAMELU,5,FALSE)</f>
        <v>RETURN - 2nd don of the week -BONUS</v>
      </c>
      <c r="J2050" t="s">
        <v>546</v>
      </c>
      <c r="K2050" s="5">
        <v>10</v>
      </c>
      <c r="L2050" t="str">
        <f>Table_DataFromNL[[#This Row],[PROFILECODE]]&amp;"-"&amp;Table_DataFromNL[[#This Row],[RULENAME]]</f>
        <v>CP285-2X Week P HBS TWINRX-AP</v>
      </c>
      <c r="M2050" t="str">
        <f t="shared" ref="M2050:M2113" si="229">IFERROR(VLOOKUP(A2050,PaychangesLU,1,FALSE),VLOOKUP(A2050,SpecialtyCheckLU,1,FALSE))</f>
        <v>CP285-2X Week P HBS TWINRX-AP</v>
      </c>
    </row>
    <row r="2051" spans="1:13" x14ac:dyDescent="0.25">
      <c r="A2051" t="str">
        <f t="shared" ref="A2051:A2114" si="230">B2051&amp;"-"&amp;F2051</f>
        <v>CP285-RETURN - 2nd don of the week -BONUS</v>
      </c>
      <c r="B2051" t="s">
        <v>129</v>
      </c>
      <c r="C2051" t="str">
        <f t="shared" si="224"/>
        <v>Lubbock Main</v>
      </c>
      <c r="D2051" t="str">
        <f t="shared" si="225"/>
        <v>Y</v>
      </c>
      <c r="E2051" t="s">
        <v>647</v>
      </c>
      <c r="F2051" t="str">
        <f t="shared" si="226"/>
        <v>RETURN - 2nd don of the week -BONUS</v>
      </c>
      <c r="G2051" t="str">
        <f t="shared" si="227"/>
        <v>Marketing</v>
      </c>
      <c r="H2051" t="s">
        <v>550</v>
      </c>
      <c r="I2051">
        <f t="shared" si="228"/>
        <v>26</v>
      </c>
      <c r="J2051" t="s">
        <v>546</v>
      </c>
      <c r="K2051" s="5">
        <v>10</v>
      </c>
      <c r="L2051" t="str">
        <f>Table_DataFromNL[[#This Row],[PROFILECODE]]&amp;"-"&amp;Table_DataFromNL[[#This Row],[RULENAME]]</f>
        <v>CP285-2X Week P NSP NS</v>
      </c>
      <c r="M2051" t="str">
        <f t="shared" si="229"/>
        <v>CP285-RETURN - 2nd don of the week -BONUS</v>
      </c>
    </row>
    <row r="2052" spans="1:13" x14ac:dyDescent="0.25">
      <c r="A2052" t="str">
        <f t="shared" si="230"/>
        <v>CP285-RETURN - 2nd don of the week -BONUS</v>
      </c>
      <c r="B2052" t="s">
        <v>129</v>
      </c>
      <c r="C2052" t="str">
        <f t="shared" si="224"/>
        <v>Lubbock Main</v>
      </c>
      <c r="D2052" t="str">
        <f t="shared" si="225"/>
        <v>Y</v>
      </c>
      <c r="E2052" t="s">
        <v>647</v>
      </c>
      <c r="F2052" t="str">
        <f t="shared" si="226"/>
        <v>RETURN - 2nd don of the week -BONUS</v>
      </c>
      <c r="G2052" t="str">
        <f t="shared" si="227"/>
        <v>Marketing</v>
      </c>
      <c r="H2052" t="s">
        <v>551</v>
      </c>
      <c r="I2052" t="str">
        <f t="shared" si="228"/>
        <v>RETURN - 2nd don of the week -BONUS</v>
      </c>
      <c r="J2052" t="s">
        <v>546</v>
      </c>
      <c r="K2052" s="5">
        <v>10</v>
      </c>
      <c r="L2052" t="str">
        <f>Table_DataFromNL[[#This Row],[PROFILECODE]]&amp;"-"&amp;Table_DataFromNL[[#This Row],[RULENAME]]</f>
        <v>CP285-2X Week P NSP NS AP</v>
      </c>
      <c r="M2052" t="str">
        <f t="shared" si="229"/>
        <v>CP285-RETURN - 2nd don of the week -BONUS</v>
      </c>
    </row>
    <row r="2053" spans="1:13" x14ac:dyDescent="0.25">
      <c r="A2053" t="str">
        <f t="shared" si="230"/>
        <v>CP285-2X Week P VZV Pre-Existing</v>
      </c>
      <c r="B2053" t="s">
        <v>129</v>
      </c>
      <c r="C2053" t="str">
        <f t="shared" si="224"/>
        <v>Lubbock Main</v>
      </c>
      <c r="D2053" t="str">
        <f t="shared" si="225"/>
        <v>Y</v>
      </c>
      <c r="E2053" t="s">
        <v>647</v>
      </c>
      <c r="F2053" t="str">
        <f t="shared" si="226"/>
        <v>2X Week P VZV Pre-Existing</v>
      </c>
      <c r="G2053" t="str">
        <f t="shared" si="227"/>
        <v>Specialty</v>
      </c>
      <c r="H2053" t="s">
        <v>490</v>
      </c>
      <c r="I2053" t="str">
        <f t="shared" si="228"/>
        <v>RETURN - 2nd don of the week -BONUS</v>
      </c>
      <c r="J2053" t="s">
        <v>546</v>
      </c>
      <c r="K2053" s="5">
        <v>10</v>
      </c>
      <c r="L2053" t="str">
        <f>Table_DataFromNL[[#This Row],[PROFILECODE]]&amp;"-"&amp;Table_DataFromNL[[#This Row],[RULENAME]]</f>
        <v>CP285-2X Week P VZV Pre-Existing</v>
      </c>
      <c r="M2053" t="str">
        <f t="shared" si="229"/>
        <v>CP285-2X Week P VZV Pre-Existing</v>
      </c>
    </row>
    <row r="2054" spans="1:13" x14ac:dyDescent="0.25">
      <c r="A2054" t="str">
        <f t="shared" si="230"/>
        <v>CP285-2X Week P VZV Pre-Existing AP</v>
      </c>
      <c r="B2054" t="s">
        <v>129</v>
      </c>
      <c r="C2054" t="str">
        <f t="shared" si="224"/>
        <v>Lubbock Main</v>
      </c>
      <c r="D2054" t="str">
        <f t="shared" si="225"/>
        <v>Y</v>
      </c>
      <c r="E2054" t="s">
        <v>647</v>
      </c>
      <c r="F2054" t="str">
        <f t="shared" si="226"/>
        <v>2X Week P VZV Pre-Existing AP</v>
      </c>
      <c r="G2054" t="str">
        <f t="shared" si="227"/>
        <v>Specialty</v>
      </c>
      <c r="H2054" t="s">
        <v>491</v>
      </c>
      <c r="I2054" t="str">
        <f t="shared" si="228"/>
        <v>RETURN - 2nd don of the week -BONUS</v>
      </c>
      <c r="J2054" t="s">
        <v>546</v>
      </c>
      <c r="K2054" s="5">
        <v>10</v>
      </c>
      <c r="L2054" t="str">
        <f>Table_DataFromNL[[#This Row],[PROFILECODE]]&amp;"-"&amp;Table_DataFromNL[[#This Row],[RULENAME]]</f>
        <v>CP285-2X Week P VZV Pre-Existing AP</v>
      </c>
      <c r="M2054" t="str">
        <f t="shared" si="229"/>
        <v>CP285-2X Week P VZV Pre-Existing AP</v>
      </c>
    </row>
    <row r="2055" spans="1:13" x14ac:dyDescent="0.25">
      <c r="A2055" t="str">
        <f t="shared" si="230"/>
        <v>CP285-College ID Standard Bonus</v>
      </c>
      <c r="B2055" t="s">
        <v>129</v>
      </c>
      <c r="C2055" t="str">
        <f t="shared" si="224"/>
        <v>Lubbock Main</v>
      </c>
      <c r="D2055" t="str">
        <f t="shared" si="225"/>
        <v>Y</v>
      </c>
      <c r="E2055" t="s">
        <v>647</v>
      </c>
      <c r="F2055" t="str">
        <f t="shared" si="226"/>
        <v>College ID Standard Bonus</v>
      </c>
      <c r="G2055">
        <f t="shared" si="227"/>
        <v>0</v>
      </c>
      <c r="H2055" t="s">
        <v>553</v>
      </c>
      <c r="I2055">
        <f t="shared" si="228"/>
        <v>0</v>
      </c>
      <c r="J2055" t="s">
        <v>546</v>
      </c>
      <c r="K2055" s="5">
        <v>5</v>
      </c>
      <c r="L2055" t="str">
        <f>Table_DataFromNL[[#This Row],[PROFILECODE]]&amp;"-"&amp;Table_DataFromNL[[#This Row],[RULENAME]]</f>
        <v>CP285-College ID Standard Bonus</v>
      </c>
      <c r="M2055" t="e">
        <f t="shared" si="229"/>
        <v>#N/A</v>
      </c>
    </row>
    <row r="2056" spans="1:13" x14ac:dyDescent="0.25">
      <c r="A2056" t="str">
        <f t="shared" si="230"/>
        <v>CP285-Military ID</v>
      </c>
      <c r="B2056" t="s">
        <v>129</v>
      </c>
      <c r="C2056" t="str">
        <f t="shared" si="224"/>
        <v>Lubbock Main</v>
      </c>
      <c r="D2056" t="str">
        <f t="shared" si="225"/>
        <v>Y</v>
      </c>
      <c r="E2056" t="s">
        <v>647</v>
      </c>
      <c r="F2056" t="str">
        <f t="shared" si="226"/>
        <v>Military ID</v>
      </c>
      <c r="G2056">
        <f t="shared" si="227"/>
        <v>0</v>
      </c>
      <c r="H2056" t="s">
        <v>554</v>
      </c>
      <c r="I2056">
        <f t="shared" si="228"/>
        <v>0</v>
      </c>
      <c r="J2056" t="s">
        <v>546</v>
      </c>
      <c r="K2056" s="5">
        <v>5</v>
      </c>
      <c r="L2056" t="str">
        <f>Table_DataFromNL[[#This Row],[PROFILECODE]]&amp;"-"&amp;Table_DataFromNL[[#This Row],[RULENAME]]</f>
        <v>CP285-Military ID</v>
      </c>
      <c r="M2056" t="e">
        <f t="shared" si="229"/>
        <v>#N/A</v>
      </c>
    </row>
    <row r="2057" spans="1:13" x14ac:dyDescent="0.25">
      <c r="A2057" t="str">
        <f t="shared" si="230"/>
        <v>CP285-NEW DONOR -1st</v>
      </c>
      <c r="B2057" t="s">
        <v>129</v>
      </c>
      <c r="C2057" t="str">
        <f t="shared" si="224"/>
        <v>Lubbock Main</v>
      </c>
      <c r="D2057" t="str">
        <f t="shared" si="225"/>
        <v>Y</v>
      </c>
      <c r="E2057" t="s">
        <v>647</v>
      </c>
      <c r="F2057" t="str">
        <f t="shared" si="226"/>
        <v>NEW DONOR -1st</v>
      </c>
      <c r="G2057" t="str">
        <f t="shared" si="227"/>
        <v>Marketing</v>
      </c>
      <c r="H2057" t="s">
        <v>555</v>
      </c>
      <c r="I2057">
        <f t="shared" si="228"/>
        <v>1</v>
      </c>
      <c r="J2057" t="s">
        <v>546</v>
      </c>
      <c r="K2057" s="5">
        <v>60</v>
      </c>
      <c r="L2057" t="str">
        <f>Table_DataFromNL[[#This Row],[PROFILECODE]]&amp;"-"&amp;Table_DataFromNL[[#This Row],[RULENAME]]</f>
        <v>CP285-New Donor 1st Visit-Bonus</v>
      </c>
      <c r="M2057" t="str">
        <f t="shared" si="229"/>
        <v>CP285-NEW DONOR -1st</v>
      </c>
    </row>
    <row r="2058" spans="1:13" x14ac:dyDescent="0.25">
      <c r="A2058" t="str">
        <f t="shared" si="230"/>
        <v>CP285-NEW DONOR -2nd</v>
      </c>
      <c r="B2058" t="s">
        <v>129</v>
      </c>
      <c r="C2058" t="str">
        <f t="shared" si="224"/>
        <v>Lubbock Main</v>
      </c>
      <c r="D2058" t="str">
        <f t="shared" si="225"/>
        <v>Y</v>
      </c>
      <c r="E2058" t="s">
        <v>647</v>
      </c>
      <c r="F2058" t="str">
        <f t="shared" si="226"/>
        <v>NEW DONOR -2nd</v>
      </c>
      <c r="G2058" t="str">
        <f t="shared" si="227"/>
        <v>Marketing</v>
      </c>
      <c r="H2058" t="s">
        <v>556</v>
      </c>
      <c r="I2058">
        <f t="shared" si="228"/>
        <v>2</v>
      </c>
      <c r="J2058" t="s">
        <v>546</v>
      </c>
      <c r="K2058" s="5">
        <v>60</v>
      </c>
      <c r="L2058" t="str">
        <f>Table_DataFromNL[[#This Row],[PROFILECODE]]&amp;"-"&amp;Table_DataFromNL[[#This Row],[RULENAME]]</f>
        <v>CP285-New Donor 2nd Visit-Bonus</v>
      </c>
      <c r="M2058" t="str">
        <f t="shared" si="229"/>
        <v>CP285-NEW DONOR -2nd</v>
      </c>
    </row>
    <row r="2059" spans="1:13" x14ac:dyDescent="0.25">
      <c r="A2059" t="str">
        <f t="shared" si="230"/>
        <v>CP285-NEW DONOR -3rd</v>
      </c>
      <c r="B2059" t="s">
        <v>129</v>
      </c>
      <c r="C2059" t="str">
        <f t="shared" si="224"/>
        <v>Lubbock Main</v>
      </c>
      <c r="D2059" t="str">
        <f t="shared" si="225"/>
        <v>Y</v>
      </c>
      <c r="E2059" t="s">
        <v>647</v>
      </c>
      <c r="F2059" t="str">
        <f t="shared" si="226"/>
        <v>NEW DONOR -3rd</v>
      </c>
      <c r="G2059" t="str">
        <f t="shared" si="227"/>
        <v>Marketing</v>
      </c>
      <c r="H2059" t="s">
        <v>557</v>
      </c>
      <c r="I2059">
        <f t="shared" si="228"/>
        <v>3</v>
      </c>
      <c r="J2059" t="s">
        <v>546</v>
      </c>
      <c r="K2059" s="5">
        <v>60</v>
      </c>
      <c r="L2059" t="str">
        <f>Table_DataFromNL[[#This Row],[PROFILECODE]]&amp;"-"&amp;Table_DataFromNL[[#This Row],[RULENAME]]</f>
        <v>CP285-New Donor 3rd Visit-Bonus</v>
      </c>
      <c r="M2059" t="str">
        <f t="shared" si="229"/>
        <v>CP285-NEW DONOR -3rd</v>
      </c>
    </row>
    <row r="2060" spans="1:13" x14ac:dyDescent="0.25">
      <c r="A2060" t="str">
        <f t="shared" si="230"/>
        <v>CP285-NEW DONOR -4th</v>
      </c>
      <c r="B2060" t="s">
        <v>129</v>
      </c>
      <c r="C2060" t="str">
        <f t="shared" si="224"/>
        <v>Lubbock Main</v>
      </c>
      <c r="D2060" t="str">
        <f t="shared" si="225"/>
        <v>Y</v>
      </c>
      <c r="E2060" t="s">
        <v>647</v>
      </c>
      <c r="F2060" t="str">
        <f t="shared" si="226"/>
        <v>NEW DONOR -4th</v>
      </c>
      <c r="G2060" t="str">
        <f t="shared" si="227"/>
        <v>Marketing</v>
      </c>
      <c r="H2060" t="s">
        <v>558</v>
      </c>
      <c r="I2060">
        <f t="shared" si="228"/>
        <v>4</v>
      </c>
      <c r="J2060" t="s">
        <v>546</v>
      </c>
      <c r="K2060" s="5">
        <v>60</v>
      </c>
      <c r="L2060" t="str">
        <f>Table_DataFromNL[[#This Row],[PROFILECODE]]&amp;"-"&amp;Table_DataFromNL[[#This Row],[RULENAME]]</f>
        <v>CP285-New Donor 4th Visit-Bonus</v>
      </c>
      <c r="M2060" t="str">
        <f t="shared" si="229"/>
        <v>CP285-NEW DONOR -4th</v>
      </c>
    </row>
    <row r="2061" spans="1:13" x14ac:dyDescent="0.25">
      <c r="A2061" t="str">
        <f t="shared" si="230"/>
        <v>CP285-NEW DONOR -5th</v>
      </c>
      <c r="B2061" t="s">
        <v>129</v>
      </c>
      <c r="C2061" t="str">
        <f t="shared" si="224"/>
        <v>Lubbock Main</v>
      </c>
      <c r="D2061" t="str">
        <f t="shared" si="225"/>
        <v>Y</v>
      </c>
      <c r="E2061" t="s">
        <v>647</v>
      </c>
      <c r="F2061" t="str">
        <f t="shared" si="226"/>
        <v>NEW DONOR -5th</v>
      </c>
      <c r="G2061" t="str">
        <f t="shared" si="227"/>
        <v>Marketing</v>
      </c>
      <c r="H2061" t="s">
        <v>559</v>
      </c>
      <c r="I2061">
        <f t="shared" si="228"/>
        <v>5</v>
      </c>
      <c r="J2061" t="s">
        <v>546</v>
      </c>
      <c r="K2061" s="5">
        <v>60</v>
      </c>
      <c r="L2061" t="str">
        <f>Table_DataFromNL[[#This Row],[PROFILECODE]]&amp;"-"&amp;Table_DataFromNL[[#This Row],[RULENAME]]</f>
        <v>CP285-New Donor 5th Visit-Bonus</v>
      </c>
      <c r="M2061" t="str">
        <f t="shared" si="229"/>
        <v>CP285-NEW DONOR -5th</v>
      </c>
    </row>
    <row r="2062" spans="1:13" x14ac:dyDescent="0.25">
      <c r="A2062" t="str">
        <f t="shared" si="230"/>
        <v>CP285-NEW DONOR -6th</v>
      </c>
      <c r="B2062" t="s">
        <v>129</v>
      </c>
      <c r="C2062" t="str">
        <f t="shared" si="224"/>
        <v>Lubbock Main</v>
      </c>
      <c r="D2062" t="str">
        <f t="shared" si="225"/>
        <v>Y</v>
      </c>
      <c r="E2062" t="s">
        <v>647</v>
      </c>
      <c r="F2062" t="str">
        <f t="shared" si="226"/>
        <v>NEW DONOR -6th</v>
      </c>
      <c r="G2062" t="str">
        <f t="shared" si="227"/>
        <v>Marketing</v>
      </c>
      <c r="H2062" t="s">
        <v>560</v>
      </c>
      <c r="I2062">
        <f t="shared" si="228"/>
        <v>6</v>
      </c>
      <c r="J2062" t="s">
        <v>546</v>
      </c>
      <c r="K2062" s="5">
        <v>60</v>
      </c>
      <c r="L2062" t="str">
        <f>Table_DataFromNL[[#This Row],[PROFILECODE]]&amp;"-"&amp;Table_DataFromNL[[#This Row],[RULENAME]]</f>
        <v>CP285-New Donor 6th Visit-Bonus</v>
      </c>
      <c r="M2062" t="str">
        <f t="shared" si="229"/>
        <v>CP285-NEW DONOR -6th</v>
      </c>
    </row>
    <row r="2063" spans="1:13" x14ac:dyDescent="0.25">
      <c r="A2063" t="str">
        <f t="shared" si="230"/>
        <v>CP285-NEW DONOR -7th</v>
      </c>
      <c r="B2063" t="s">
        <v>129</v>
      </c>
      <c r="C2063" t="str">
        <f t="shared" si="224"/>
        <v>Lubbock Main</v>
      </c>
      <c r="D2063" t="str">
        <f t="shared" si="225"/>
        <v>Y</v>
      </c>
      <c r="E2063" t="s">
        <v>647</v>
      </c>
      <c r="F2063" t="str">
        <f t="shared" si="226"/>
        <v>NEW DONOR -7th</v>
      </c>
      <c r="G2063" t="str">
        <f t="shared" si="227"/>
        <v>Marketing</v>
      </c>
      <c r="H2063" t="s">
        <v>561</v>
      </c>
      <c r="I2063">
        <f t="shared" si="228"/>
        <v>7</v>
      </c>
      <c r="J2063" t="s">
        <v>546</v>
      </c>
      <c r="K2063" s="5">
        <v>60</v>
      </c>
      <c r="L2063" t="str">
        <f>Table_DataFromNL[[#This Row],[PROFILECODE]]&amp;"-"&amp;Table_DataFromNL[[#This Row],[RULENAME]]</f>
        <v>CP285-New Donor 7th Visit-Bonus</v>
      </c>
      <c r="M2063" t="str">
        <f t="shared" si="229"/>
        <v>CP285-NEW DONOR -7th</v>
      </c>
    </row>
    <row r="2064" spans="1:13" x14ac:dyDescent="0.25">
      <c r="A2064" t="str">
        <f t="shared" si="230"/>
        <v>CP285-NEW DONOR -8th</v>
      </c>
      <c r="B2064" t="s">
        <v>129</v>
      </c>
      <c r="C2064" t="str">
        <f t="shared" si="224"/>
        <v>Lubbock Main</v>
      </c>
      <c r="D2064" t="str">
        <f t="shared" si="225"/>
        <v>Y</v>
      </c>
      <c r="E2064" t="s">
        <v>647</v>
      </c>
      <c r="F2064" t="str">
        <f t="shared" si="226"/>
        <v>NEW DONOR -8th</v>
      </c>
      <c r="G2064" t="str">
        <f t="shared" si="227"/>
        <v>Marketing</v>
      </c>
      <c r="H2064" t="s">
        <v>562</v>
      </c>
      <c r="I2064">
        <f t="shared" si="228"/>
        <v>8</v>
      </c>
      <c r="J2064" t="s">
        <v>546</v>
      </c>
      <c r="K2064" s="5">
        <v>60</v>
      </c>
      <c r="L2064" t="str">
        <f>Table_DataFromNL[[#This Row],[PROFILECODE]]&amp;"-"&amp;Table_DataFromNL[[#This Row],[RULENAME]]</f>
        <v>CP285-New Donor 8th Visit-Bonus</v>
      </c>
      <c r="M2064" t="str">
        <f t="shared" si="229"/>
        <v>CP285-NEW DONOR -8th</v>
      </c>
    </row>
    <row r="2065" spans="1:13" x14ac:dyDescent="0.25">
      <c r="A2065" t="str">
        <f t="shared" si="230"/>
        <v>CP285-Community</v>
      </c>
      <c r="B2065" t="s">
        <v>129</v>
      </c>
      <c r="C2065" t="str">
        <f t="shared" si="224"/>
        <v>Lubbock Main</v>
      </c>
      <c r="D2065" t="str">
        <f t="shared" si="225"/>
        <v>Y</v>
      </c>
      <c r="E2065" t="s">
        <v>647</v>
      </c>
      <c r="F2065" t="str">
        <f t="shared" si="226"/>
        <v>Community</v>
      </c>
      <c r="G2065">
        <f t="shared" si="227"/>
        <v>0</v>
      </c>
      <c r="H2065" t="s">
        <v>563</v>
      </c>
      <c r="I2065">
        <f t="shared" si="228"/>
        <v>0</v>
      </c>
      <c r="J2065" t="s">
        <v>564</v>
      </c>
      <c r="K2065" s="5">
        <v>5</v>
      </c>
      <c r="L2065" t="str">
        <f>Table_DataFromNL[[#This Row],[PROFILECODE]]&amp;"-"&amp;Table_DataFromNL[[#This Row],[RULENAME]]</f>
        <v>CP285-Community</v>
      </c>
      <c r="M2065" t="e">
        <f t="shared" si="229"/>
        <v>#N/A</v>
      </c>
    </row>
    <row r="2066" spans="1:13" x14ac:dyDescent="0.25">
      <c r="A2066" t="str">
        <f t="shared" si="230"/>
        <v>CP285-HANGER_RECRUIT_5USD_once</v>
      </c>
      <c r="B2066" t="s">
        <v>129</v>
      </c>
      <c r="C2066" t="str">
        <f t="shared" si="224"/>
        <v>Lubbock Main</v>
      </c>
      <c r="D2066" t="str">
        <f t="shared" si="225"/>
        <v>Y</v>
      </c>
      <c r="E2066" t="s">
        <v>647</v>
      </c>
      <c r="F2066" t="str">
        <f t="shared" si="226"/>
        <v>HANGER_RECRUIT_5USD_once</v>
      </c>
      <c r="G2066">
        <f t="shared" si="227"/>
        <v>0</v>
      </c>
      <c r="H2066" t="s">
        <v>565</v>
      </c>
      <c r="I2066">
        <f t="shared" si="228"/>
        <v>0</v>
      </c>
      <c r="J2066" t="s">
        <v>564</v>
      </c>
      <c r="K2066" s="5">
        <v>5</v>
      </c>
      <c r="L2066" t="str">
        <f>Table_DataFromNL[[#This Row],[PROFILECODE]]&amp;"-"&amp;Table_DataFromNL[[#This Row],[RULENAME]]</f>
        <v>CP285-HANGER_RECRUIT_5USD_once</v>
      </c>
      <c r="M2066" t="e">
        <f t="shared" si="229"/>
        <v>#N/A</v>
      </c>
    </row>
    <row r="2067" spans="1:13" x14ac:dyDescent="0.25">
      <c r="A2067" t="str">
        <f t="shared" si="230"/>
        <v>CP285-Immunization Boost Payment</v>
      </c>
      <c r="B2067" t="s">
        <v>129</v>
      </c>
      <c r="C2067" t="str">
        <f t="shared" si="224"/>
        <v>Lubbock Main</v>
      </c>
      <c r="D2067" t="str">
        <f t="shared" si="225"/>
        <v>Y</v>
      </c>
      <c r="E2067" t="s">
        <v>647</v>
      </c>
      <c r="F2067" t="str">
        <f t="shared" si="226"/>
        <v>Immunization Boost Payment</v>
      </c>
      <c r="G2067">
        <f t="shared" si="227"/>
        <v>0</v>
      </c>
      <c r="H2067" t="s">
        <v>598</v>
      </c>
      <c r="I2067">
        <f t="shared" si="228"/>
        <v>0</v>
      </c>
      <c r="J2067" t="s">
        <v>564</v>
      </c>
      <c r="K2067" s="5">
        <v>50</v>
      </c>
      <c r="L2067" t="str">
        <f>Table_DataFromNL[[#This Row],[PROFILECODE]]&amp;"-"&amp;Table_DataFromNL[[#This Row],[RULENAME]]</f>
        <v>CP285-Immunization Boost Payment</v>
      </c>
      <c r="M2067" t="e">
        <f t="shared" si="229"/>
        <v>#N/A</v>
      </c>
    </row>
    <row r="2068" spans="1:13" x14ac:dyDescent="0.25">
      <c r="A2068" t="str">
        <f t="shared" si="230"/>
        <v>CP285-Immunization Series Payment</v>
      </c>
      <c r="B2068" t="s">
        <v>129</v>
      </c>
      <c r="C2068" t="str">
        <f t="shared" si="224"/>
        <v>Lubbock Main</v>
      </c>
      <c r="D2068" t="str">
        <f t="shared" si="225"/>
        <v>Y</v>
      </c>
      <c r="E2068" t="s">
        <v>647</v>
      </c>
      <c r="F2068" t="str">
        <f t="shared" si="226"/>
        <v>Immunization Series Payment</v>
      </c>
      <c r="G2068">
        <f t="shared" si="227"/>
        <v>0</v>
      </c>
      <c r="H2068" t="s">
        <v>599</v>
      </c>
      <c r="I2068">
        <f t="shared" si="228"/>
        <v>0</v>
      </c>
      <c r="J2068" t="s">
        <v>564</v>
      </c>
      <c r="K2068" s="5">
        <v>100</v>
      </c>
      <c r="L2068" t="str">
        <f>Table_DataFromNL[[#This Row],[PROFILECODE]]&amp;"-"&amp;Table_DataFromNL[[#This Row],[RULENAME]]</f>
        <v>CP285-Immunization Series Payment</v>
      </c>
      <c r="M2068" t="e">
        <f t="shared" si="229"/>
        <v>#N/A</v>
      </c>
    </row>
    <row r="2069" spans="1:13" x14ac:dyDescent="0.25">
      <c r="A2069" t="str">
        <f t="shared" si="230"/>
        <v>CP285-Inconv Fee $20-$50-Comment Req'd</v>
      </c>
      <c r="B2069" t="s">
        <v>129</v>
      </c>
      <c r="C2069" t="str">
        <f t="shared" si="224"/>
        <v>Lubbock Main</v>
      </c>
      <c r="D2069" t="str">
        <f t="shared" si="225"/>
        <v>Y</v>
      </c>
      <c r="E2069" t="s">
        <v>647</v>
      </c>
      <c r="F2069" t="str">
        <f t="shared" si="226"/>
        <v>Inconv Fee $20-$50-Comment Req'd</v>
      </c>
      <c r="G2069">
        <f t="shared" si="227"/>
        <v>0</v>
      </c>
      <c r="H2069" t="s">
        <v>566</v>
      </c>
      <c r="I2069">
        <f t="shared" si="228"/>
        <v>0</v>
      </c>
      <c r="J2069" t="s">
        <v>564</v>
      </c>
      <c r="K2069" s="5">
        <v>50</v>
      </c>
      <c r="L2069" t="str">
        <f>Table_DataFromNL[[#This Row],[PROFILECODE]]&amp;"-"&amp;Table_DataFromNL[[#This Row],[RULENAME]]</f>
        <v>CP285-Inconv Fee $20-$50-Comment Req'd</v>
      </c>
      <c r="M2069" t="e">
        <f t="shared" si="229"/>
        <v>#N/A</v>
      </c>
    </row>
    <row r="2070" spans="1:13" x14ac:dyDescent="0.25">
      <c r="A2070" t="str">
        <f t="shared" si="230"/>
        <v>CP285-Inconv Fee $5-$20-Comment Req'd</v>
      </c>
      <c r="B2070" t="s">
        <v>129</v>
      </c>
      <c r="C2070" t="str">
        <f t="shared" si="224"/>
        <v>Lubbock Main</v>
      </c>
      <c r="D2070" t="str">
        <f t="shared" si="225"/>
        <v>Y</v>
      </c>
      <c r="E2070" t="s">
        <v>647</v>
      </c>
      <c r="F2070" t="str">
        <f t="shared" si="226"/>
        <v>Inconv Fee $5-$20-Comment Req'd</v>
      </c>
      <c r="G2070">
        <f t="shared" si="227"/>
        <v>0</v>
      </c>
      <c r="H2070" t="s">
        <v>567</v>
      </c>
      <c r="I2070">
        <f t="shared" si="228"/>
        <v>0</v>
      </c>
      <c r="J2070" t="s">
        <v>564</v>
      </c>
      <c r="K2070" s="5">
        <v>20</v>
      </c>
      <c r="L2070" t="str">
        <f>Table_DataFromNL[[#This Row],[PROFILECODE]]&amp;"-"&amp;Table_DataFromNL[[#This Row],[RULENAME]]</f>
        <v>CP285-Inconv Fee $5-$20-Comment Req'd</v>
      </c>
      <c r="M2070" t="e">
        <f t="shared" si="229"/>
        <v>#N/A</v>
      </c>
    </row>
    <row r="2071" spans="1:13" x14ac:dyDescent="0.25">
      <c r="A2071" t="str">
        <f t="shared" si="230"/>
        <v>CP285-Inconv Fee$50-$100-Comment Req'd</v>
      </c>
      <c r="B2071" t="s">
        <v>129</v>
      </c>
      <c r="C2071" t="str">
        <f t="shared" si="224"/>
        <v>Lubbock Main</v>
      </c>
      <c r="D2071" t="str">
        <f t="shared" si="225"/>
        <v>Y</v>
      </c>
      <c r="E2071" t="s">
        <v>647</v>
      </c>
      <c r="F2071" t="str">
        <f t="shared" si="226"/>
        <v>Inconv Fee$50-$100-Comment Req'd</v>
      </c>
      <c r="G2071">
        <f t="shared" si="227"/>
        <v>0</v>
      </c>
      <c r="H2071" t="s">
        <v>568</v>
      </c>
      <c r="I2071">
        <f t="shared" si="228"/>
        <v>0</v>
      </c>
      <c r="J2071" t="s">
        <v>564</v>
      </c>
      <c r="K2071" s="5">
        <v>100</v>
      </c>
      <c r="L2071" t="str">
        <f>Table_DataFromNL[[#This Row],[PROFILECODE]]&amp;"-"&amp;Table_DataFromNL[[#This Row],[RULENAME]]</f>
        <v>CP285-Inconv Fee$50-$100-Comment Req'd</v>
      </c>
      <c r="M2071" t="e">
        <f t="shared" si="229"/>
        <v>#N/A</v>
      </c>
    </row>
    <row r="2072" spans="1:13" x14ac:dyDescent="0.25">
      <c r="A2072" t="str">
        <f t="shared" si="230"/>
        <v>CP285-NSP_ LAPSEDONOR_50_Twice</v>
      </c>
      <c r="B2072" t="s">
        <v>129</v>
      </c>
      <c r="C2072" t="str">
        <f t="shared" si="224"/>
        <v>Lubbock Main</v>
      </c>
      <c r="D2072" t="str">
        <f t="shared" si="225"/>
        <v>Y</v>
      </c>
      <c r="E2072" t="s">
        <v>647</v>
      </c>
      <c r="F2072" t="str">
        <f t="shared" si="226"/>
        <v>NSP_ LAPSEDONOR_50_Twice</v>
      </c>
      <c r="G2072">
        <f t="shared" si="227"/>
        <v>0</v>
      </c>
      <c r="H2072" t="s">
        <v>569</v>
      </c>
      <c r="I2072">
        <f t="shared" si="228"/>
        <v>0</v>
      </c>
      <c r="J2072" t="s">
        <v>564</v>
      </c>
      <c r="K2072" s="5">
        <v>50</v>
      </c>
      <c r="L2072" t="str">
        <f>Table_DataFromNL[[#This Row],[PROFILECODE]]&amp;"-"&amp;Table_DataFromNL[[#This Row],[RULENAME]]</f>
        <v>CP285-NSP_ LAPSEDONOR_50_Twice</v>
      </c>
      <c r="M2072" t="e">
        <f t="shared" si="229"/>
        <v>#N/A</v>
      </c>
    </row>
    <row r="2073" spans="1:13" x14ac:dyDescent="0.25">
      <c r="A2073" t="str">
        <f t="shared" si="230"/>
        <v>CP285-NSP_LD_25_2X</v>
      </c>
      <c r="B2073" t="s">
        <v>129</v>
      </c>
      <c r="C2073" t="str">
        <f t="shared" si="224"/>
        <v>Lubbock Main</v>
      </c>
      <c r="D2073" t="str">
        <f t="shared" si="225"/>
        <v>Y</v>
      </c>
      <c r="E2073" t="s">
        <v>647</v>
      </c>
      <c r="F2073" t="str">
        <f t="shared" si="226"/>
        <v>NSP_LD_25_2X</v>
      </c>
      <c r="G2073">
        <f t="shared" si="227"/>
        <v>0</v>
      </c>
      <c r="H2073" t="s">
        <v>570</v>
      </c>
      <c r="I2073">
        <f t="shared" si="228"/>
        <v>0</v>
      </c>
      <c r="J2073" t="s">
        <v>564</v>
      </c>
      <c r="K2073" s="5">
        <v>25</v>
      </c>
      <c r="L2073" t="str">
        <f>Table_DataFromNL[[#This Row],[PROFILECODE]]&amp;"-"&amp;Table_DataFromNL[[#This Row],[RULENAME]]</f>
        <v>CP285-NSP_LD_25_2X</v>
      </c>
      <c r="M2073" t="e">
        <f t="shared" si="229"/>
        <v>#N/A</v>
      </c>
    </row>
    <row r="2074" spans="1:13" x14ac:dyDescent="0.25">
      <c r="A2074" t="str">
        <f t="shared" si="230"/>
        <v>CP285-NSP_LD_50_1X</v>
      </c>
      <c r="B2074" t="s">
        <v>129</v>
      </c>
      <c r="C2074" t="str">
        <f t="shared" si="224"/>
        <v>Lubbock Main</v>
      </c>
      <c r="D2074" t="str">
        <f t="shared" si="225"/>
        <v>Y</v>
      </c>
      <c r="E2074" t="s">
        <v>647</v>
      </c>
      <c r="F2074" t="str">
        <f t="shared" si="226"/>
        <v>NSP_LD_50_1X</v>
      </c>
      <c r="G2074">
        <f t="shared" si="227"/>
        <v>0</v>
      </c>
      <c r="H2074" t="s">
        <v>571</v>
      </c>
      <c r="I2074">
        <f t="shared" si="228"/>
        <v>0</v>
      </c>
      <c r="J2074" t="s">
        <v>564</v>
      </c>
      <c r="K2074" s="5">
        <v>50</v>
      </c>
      <c r="L2074" t="str">
        <f>Table_DataFromNL[[#This Row],[PROFILECODE]]&amp;"-"&amp;Table_DataFromNL[[#This Row],[RULENAME]]</f>
        <v>CP285-NSP_LD_50_1X</v>
      </c>
      <c r="M2074" t="e">
        <f t="shared" si="229"/>
        <v>#N/A</v>
      </c>
    </row>
    <row r="2075" spans="1:13" x14ac:dyDescent="0.25">
      <c r="A2075" t="str">
        <f t="shared" si="230"/>
        <v>CP285-NSP_ORPHAN_100_once</v>
      </c>
      <c r="B2075" t="s">
        <v>129</v>
      </c>
      <c r="C2075" t="str">
        <f t="shared" si="224"/>
        <v>Lubbock Main</v>
      </c>
      <c r="D2075" t="str">
        <f t="shared" si="225"/>
        <v>Y</v>
      </c>
      <c r="E2075" t="s">
        <v>647</v>
      </c>
      <c r="F2075" t="str">
        <f t="shared" si="226"/>
        <v>NSP_ORPHAN_100_once</v>
      </c>
      <c r="G2075">
        <f t="shared" si="227"/>
        <v>0</v>
      </c>
      <c r="H2075" t="s">
        <v>572</v>
      </c>
      <c r="I2075">
        <f t="shared" si="228"/>
        <v>0</v>
      </c>
      <c r="J2075" t="s">
        <v>564</v>
      </c>
      <c r="K2075" s="5">
        <v>100</v>
      </c>
      <c r="L2075" t="str">
        <f>Table_DataFromNL[[#This Row],[PROFILECODE]]&amp;"-"&amp;Table_DataFromNL[[#This Row],[RULENAME]]</f>
        <v>CP285-NSP_ORPHAN_100_once</v>
      </c>
      <c r="M2075" t="e">
        <f t="shared" si="229"/>
        <v>#N/A</v>
      </c>
    </row>
    <row r="2076" spans="1:13" x14ac:dyDescent="0.25">
      <c r="A2076" t="str">
        <f t="shared" si="230"/>
        <v>CP285-Restick</v>
      </c>
      <c r="B2076" t="s">
        <v>129</v>
      </c>
      <c r="C2076" t="str">
        <f t="shared" si="224"/>
        <v>Lubbock Main</v>
      </c>
      <c r="D2076" t="str">
        <f t="shared" si="225"/>
        <v>Y</v>
      </c>
      <c r="E2076" t="s">
        <v>647</v>
      </c>
      <c r="F2076" t="str">
        <f t="shared" si="226"/>
        <v>Restick</v>
      </c>
      <c r="G2076">
        <f t="shared" si="227"/>
        <v>0</v>
      </c>
      <c r="H2076" t="s">
        <v>573</v>
      </c>
      <c r="I2076">
        <f t="shared" si="228"/>
        <v>0</v>
      </c>
      <c r="J2076" t="s">
        <v>564</v>
      </c>
      <c r="K2076" s="5">
        <v>5</v>
      </c>
      <c r="L2076" t="str">
        <f>Table_DataFromNL[[#This Row],[PROFILECODE]]&amp;"-"&amp;Table_DataFromNL[[#This Row],[RULENAME]]</f>
        <v>CP285-Restick</v>
      </c>
      <c r="M2076" t="e">
        <f t="shared" si="229"/>
        <v>#N/A</v>
      </c>
    </row>
    <row r="2077" spans="1:13" x14ac:dyDescent="0.25">
      <c r="A2077" t="str">
        <f t="shared" si="230"/>
        <v>CP285-SCRATCH_100_USD</v>
      </c>
      <c r="B2077" t="s">
        <v>129</v>
      </c>
      <c r="C2077" t="str">
        <f t="shared" si="224"/>
        <v>Lubbock Main</v>
      </c>
      <c r="D2077" t="str">
        <f t="shared" si="225"/>
        <v>Y</v>
      </c>
      <c r="E2077" t="s">
        <v>647</v>
      </c>
      <c r="F2077" t="str">
        <f t="shared" si="226"/>
        <v>SCRATCH_100_USD</v>
      </c>
      <c r="G2077">
        <f t="shared" si="227"/>
        <v>0</v>
      </c>
      <c r="H2077" t="s">
        <v>586</v>
      </c>
      <c r="I2077">
        <f t="shared" si="228"/>
        <v>0</v>
      </c>
      <c r="J2077" t="s">
        <v>564</v>
      </c>
      <c r="K2077" s="5">
        <v>100</v>
      </c>
      <c r="L2077" t="str">
        <f>Table_DataFromNL[[#This Row],[PROFILECODE]]&amp;"-"&amp;Table_DataFromNL[[#This Row],[RULENAME]]</f>
        <v>CP285-SCRATCH_100_USD</v>
      </c>
      <c r="M2077" t="e">
        <f t="shared" si="229"/>
        <v>#N/A</v>
      </c>
    </row>
    <row r="2078" spans="1:13" x14ac:dyDescent="0.25">
      <c r="A2078" t="str">
        <f t="shared" si="230"/>
        <v>CP285-SCRATCH_10_USD</v>
      </c>
      <c r="B2078" t="s">
        <v>129</v>
      </c>
      <c r="C2078" t="str">
        <f t="shared" si="224"/>
        <v>Lubbock Main</v>
      </c>
      <c r="D2078" t="str">
        <f t="shared" si="225"/>
        <v>Y</v>
      </c>
      <c r="E2078" t="s">
        <v>647</v>
      </c>
      <c r="F2078" t="str">
        <f t="shared" si="226"/>
        <v>SCRATCH_10_USD</v>
      </c>
      <c r="G2078">
        <f t="shared" si="227"/>
        <v>0</v>
      </c>
      <c r="H2078" t="s">
        <v>587</v>
      </c>
      <c r="I2078">
        <f t="shared" si="228"/>
        <v>0</v>
      </c>
      <c r="J2078" t="s">
        <v>564</v>
      </c>
      <c r="K2078" s="5">
        <v>10</v>
      </c>
      <c r="L2078" t="str">
        <f>Table_DataFromNL[[#This Row],[PROFILECODE]]&amp;"-"&amp;Table_DataFromNL[[#This Row],[RULENAME]]</f>
        <v>CP285-SCRATCH_10_USD</v>
      </c>
      <c r="M2078" t="e">
        <f t="shared" si="229"/>
        <v>#N/A</v>
      </c>
    </row>
    <row r="2079" spans="1:13" x14ac:dyDescent="0.25">
      <c r="A2079" t="str">
        <f t="shared" si="230"/>
        <v>CP285-SCRATCH_20_USD</v>
      </c>
      <c r="B2079" t="s">
        <v>129</v>
      </c>
      <c r="C2079" t="str">
        <f t="shared" si="224"/>
        <v>Lubbock Main</v>
      </c>
      <c r="D2079" t="str">
        <f t="shared" si="225"/>
        <v>Y</v>
      </c>
      <c r="E2079" t="s">
        <v>647</v>
      </c>
      <c r="F2079" t="str">
        <f t="shared" si="226"/>
        <v>SCRATCH_20_USD</v>
      </c>
      <c r="G2079">
        <f t="shared" si="227"/>
        <v>0</v>
      </c>
      <c r="H2079" t="s">
        <v>588</v>
      </c>
      <c r="I2079">
        <f t="shared" si="228"/>
        <v>0</v>
      </c>
      <c r="J2079" t="s">
        <v>564</v>
      </c>
      <c r="K2079" s="5">
        <v>20</v>
      </c>
      <c r="L2079" t="str">
        <f>Table_DataFromNL[[#This Row],[PROFILECODE]]&amp;"-"&amp;Table_DataFromNL[[#This Row],[RULENAME]]</f>
        <v>CP285-SCRATCH_20_USD</v>
      </c>
      <c r="M2079" t="e">
        <f t="shared" si="229"/>
        <v>#N/A</v>
      </c>
    </row>
    <row r="2080" spans="1:13" x14ac:dyDescent="0.25">
      <c r="A2080" t="str">
        <f t="shared" si="230"/>
        <v>CP285-SCRATCH_25_USD</v>
      </c>
      <c r="B2080" t="s">
        <v>129</v>
      </c>
      <c r="C2080" t="str">
        <f t="shared" si="224"/>
        <v>Lubbock Main</v>
      </c>
      <c r="D2080" t="str">
        <f t="shared" si="225"/>
        <v>Y</v>
      </c>
      <c r="E2080" t="s">
        <v>647</v>
      </c>
      <c r="F2080" t="str">
        <f t="shared" si="226"/>
        <v>SCRATCH_25_USD</v>
      </c>
      <c r="G2080">
        <f t="shared" si="227"/>
        <v>0</v>
      </c>
      <c r="H2080" t="s">
        <v>589</v>
      </c>
      <c r="I2080">
        <f t="shared" si="228"/>
        <v>0</v>
      </c>
      <c r="J2080" t="s">
        <v>564</v>
      </c>
      <c r="K2080" s="5">
        <v>25</v>
      </c>
      <c r="L2080" t="str">
        <f>Table_DataFromNL[[#This Row],[PROFILECODE]]&amp;"-"&amp;Table_DataFromNL[[#This Row],[RULENAME]]</f>
        <v>CP285-SCRATCH_25_USD</v>
      </c>
      <c r="M2080" t="e">
        <f t="shared" si="229"/>
        <v>#N/A</v>
      </c>
    </row>
    <row r="2081" spans="1:13" x14ac:dyDescent="0.25">
      <c r="A2081" t="str">
        <f t="shared" si="230"/>
        <v>CP285-SCRATCH_50_USD</v>
      </c>
      <c r="B2081" t="s">
        <v>129</v>
      </c>
      <c r="C2081" t="str">
        <f t="shared" si="224"/>
        <v>Lubbock Main</v>
      </c>
      <c r="D2081" t="str">
        <f t="shared" si="225"/>
        <v>Y</v>
      </c>
      <c r="E2081" t="s">
        <v>647</v>
      </c>
      <c r="F2081" t="str">
        <f t="shared" si="226"/>
        <v>SCRATCH_50_USD</v>
      </c>
      <c r="G2081">
        <f t="shared" si="227"/>
        <v>0</v>
      </c>
      <c r="H2081" t="s">
        <v>590</v>
      </c>
      <c r="I2081">
        <f t="shared" si="228"/>
        <v>0</v>
      </c>
      <c r="J2081" t="s">
        <v>564</v>
      </c>
      <c r="K2081" s="5">
        <v>50</v>
      </c>
      <c r="L2081" t="str">
        <f>Table_DataFromNL[[#This Row],[PROFILECODE]]&amp;"-"&amp;Table_DataFromNL[[#This Row],[RULENAME]]</f>
        <v>CP285-SCRATCH_50_USD</v>
      </c>
      <c r="M2081" t="e">
        <f t="shared" si="229"/>
        <v>#N/A</v>
      </c>
    </row>
    <row r="2082" spans="1:13" x14ac:dyDescent="0.25">
      <c r="A2082" t="str">
        <f t="shared" si="230"/>
        <v>CP285-SCRATCH_5_USD</v>
      </c>
      <c r="B2082" t="s">
        <v>129</v>
      </c>
      <c r="C2082" t="str">
        <f t="shared" si="224"/>
        <v>Lubbock Main</v>
      </c>
      <c r="D2082" t="str">
        <f t="shared" si="225"/>
        <v>Y</v>
      </c>
      <c r="E2082" t="s">
        <v>647</v>
      </c>
      <c r="F2082" t="str">
        <f t="shared" si="226"/>
        <v>SCRATCH_5_USD</v>
      </c>
      <c r="G2082">
        <f t="shared" si="227"/>
        <v>0</v>
      </c>
      <c r="H2082" t="s">
        <v>591</v>
      </c>
      <c r="I2082">
        <f t="shared" si="228"/>
        <v>0</v>
      </c>
      <c r="J2082" t="s">
        <v>564</v>
      </c>
      <c r="K2082" s="5">
        <v>5</v>
      </c>
      <c r="L2082" t="str">
        <f>Table_DataFromNL[[#This Row],[PROFILECODE]]&amp;"-"&amp;Table_DataFromNL[[#This Row],[RULENAME]]</f>
        <v>CP285-SCRATCH_5_USD</v>
      </c>
      <c r="M2082" t="e">
        <f t="shared" si="229"/>
        <v>#N/A</v>
      </c>
    </row>
    <row r="2083" spans="1:13" x14ac:dyDescent="0.25">
      <c r="A2083" t="str">
        <f t="shared" si="230"/>
        <v>CP285-SLOW_TEXT_5</v>
      </c>
      <c r="B2083" t="s">
        <v>129</v>
      </c>
      <c r="C2083" t="str">
        <f t="shared" si="224"/>
        <v>Lubbock Main</v>
      </c>
      <c r="D2083" t="str">
        <f t="shared" si="225"/>
        <v>Y</v>
      </c>
      <c r="E2083" t="s">
        <v>647</v>
      </c>
      <c r="F2083" t="str">
        <f t="shared" si="226"/>
        <v>SLOW_TEXT_5</v>
      </c>
      <c r="G2083">
        <f t="shared" si="227"/>
        <v>0</v>
      </c>
      <c r="H2083" t="s">
        <v>574</v>
      </c>
      <c r="I2083">
        <f t="shared" si="228"/>
        <v>0</v>
      </c>
      <c r="J2083" t="s">
        <v>564</v>
      </c>
      <c r="K2083" s="5">
        <v>5</v>
      </c>
      <c r="L2083" t="str">
        <f>Table_DataFromNL[[#This Row],[PROFILECODE]]&amp;"-"&amp;Table_DataFromNL[[#This Row],[RULENAME]]</f>
        <v>CP285-SLOW_TEXT_5</v>
      </c>
      <c r="M2083" t="e">
        <f t="shared" si="229"/>
        <v>#N/A</v>
      </c>
    </row>
    <row r="2084" spans="1:13" x14ac:dyDescent="0.25">
      <c r="A2084" t="str">
        <f t="shared" si="230"/>
        <v>CP285-Sample Only</v>
      </c>
      <c r="B2084" t="s">
        <v>129</v>
      </c>
      <c r="C2084" t="str">
        <f t="shared" si="224"/>
        <v>Lubbock Main</v>
      </c>
      <c r="D2084" t="str">
        <f t="shared" si="225"/>
        <v>Y</v>
      </c>
      <c r="E2084" t="s">
        <v>647</v>
      </c>
      <c r="F2084" t="str">
        <f t="shared" si="226"/>
        <v>Sample Only</v>
      </c>
      <c r="G2084">
        <f t="shared" si="227"/>
        <v>0</v>
      </c>
      <c r="H2084" t="s">
        <v>575</v>
      </c>
      <c r="I2084">
        <f t="shared" si="228"/>
        <v>0</v>
      </c>
      <c r="J2084" t="s">
        <v>564</v>
      </c>
      <c r="K2084" s="5">
        <v>5</v>
      </c>
      <c r="L2084" t="str">
        <f>Table_DataFromNL[[#This Row],[PROFILECODE]]&amp;"-"&amp;Table_DataFromNL[[#This Row],[RULENAME]]</f>
        <v>CP285-Sample Only</v>
      </c>
      <c r="M2084" t="e">
        <f t="shared" si="229"/>
        <v>#N/A</v>
      </c>
    </row>
    <row r="2085" spans="1:13" x14ac:dyDescent="0.25">
      <c r="A2085" t="str">
        <f t="shared" si="230"/>
        <v>CP285-Unit Below 250 mL</v>
      </c>
      <c r="B2085" t="s">
        <v>129</v>
      </c>
      <c r="C2085" t="str">
        <f t="shared" si="224"/>
        <v>Lubbock Main</v>
      </c>
      <c r="D2085" t="str">
        <f t="shared" si="225"/>
        <v>Y</v>
      </c>
      <c r="E2085" t="s">
        <v>647</v>
      </c>
      <c r="F2085" t="str">
        <f t="shared" si="226"/>
        <v>Unit Below 250 mL</v>
      </c>
      <c r="G2085">
        <f t="shared" si="227"/>
        <v>0</v>
      </c>
      <c r="H2085" t="s">
        <v>576</v>
      </c>
      <c r="I2085">
        <f t="shared" si="228"/>
        <v>0</v>
      </c>
      <c r="J2085" t="s">
        <v>564</v>
      </c>
      <c r="K2085" s="5">
        <v>5</v>
      </c>
      <c r="L2085" t="str">
        <f>Table_DataFromNL[[#This Row],[PROFILECODE]]&amp;"-"&amp;Table_DataFromNL[[#This Row],[RULENAME]]</f>
        <v>CP285-Unit Below 250 mL</v>
      </c>
      <c r="M2085" t="e">
        <f t="shared" si="229"/>
        <v>#N/A</v>
      </c>
    </row>
    <row r="2086" spans="1:13" x14ac:dyDescent="0.25">
      <c r="A2086" t="str">
        <f t="shared" si="230"/>
        <v>CP285-Unit above 250 mL/underdraw</v>
      </c>
      <c r="B2086" t="s">
        <v>129</v>
      </c>
      <c r="C2086" t="str">
        <f t="shared" si="224"/>
        <v>Lubbock Main</v>
      </c>
      <c r="D2086" t="str">
        <f t="shared" si="225"/>
        <v>Y</v>
      </c>
      <c r="E2086" t="s">
        <v>647</v>
      </c>
      <c r="F2086" t="str">
        <f t="shared" si="226"/>
        <v>Unit above 250 mL/underdraw</v>
      </c>
      <c r="G2086">
        <f t="shared" si="227"/>
        <v>0</v>
      </c>
      <c r="H2086" t="s">
        <v>577</v>
      </c>
      <c r="I2086">
        <f t="shared" si="228"/>
        <v>0</v>
      </c>
      <c r="J2086" t="s">
        <v>564</v>
      </c>
      <c r="K2086" s="5">
        <v>10</v>
      </c>
      <c r="L2086" t="str">
        <f>Table_DataFromNL[[#This Row],[PROFILECODE]]&amp;"-"&amp;Table_DataFromNL[[#This Row],[RULENAME]]</f>
        <v>CP285-Unit above 250 mL/underdraw</v>
      </c>
      <c r="M2086" t="e">
        <f t="shared" si="229"/>
        <v>#N/A</v>
      </c>
    </row>
    <row r="2087" spans="1:13" x14ac:dyDescent="0.25">
      <c r="A2087" t="str">
        <f t="shared" si="230"/>
        <v>CP285-RETURN - Buddy referral  -BONUS</v>
      </c>
      <c r="B2087" t="s">
        <v>129</v>
      </c>
      <c r="C2087" t="str">
        <f t="shared" si="224"/>
        <v>Lubbock Main</v>
      </c>
      <c r="D2087" t="str">
        <f t="shared" si="225"/>
        <v>Y</v>
      </c>
      <c r="E2087" t="s">
        <v>647</v>
      </c>
      <c r="F2087" t="str">
        <f t="shared" si="226"/>
        <v>RETURN - Buddy referral  -BONUS</v>
      </c>
      <c r="G2087" t="str">
        <f t="shared" si="227"/>
        <v>Marketing</v>
      </c>
      <c r="H2087" t="s">
        <v>34</v>
      </c>
      <c r="I2087">
        <f t="shared" si="228"/>
        <v>50</v>
      </c>
      <c r="J2087" t="s">
        <v>578</v>
      </c>
      <c r="K2087" s="5">
        <v>50</v>
      </c>
      <c r="L2087" t="str">
        <f>Table_DataFromNL[[#This Row],[PROFILECODE]]&amp;"-"&amp;Table_DataFromNL[[#This Row],[RULENAME]]</f>
        <v>CP285-Referral</v>
      </c>
      <c r="M2087" t="str">
        <f t="shared" si="229"/>
        <v>CP285-RETURN - Buddy referral  -BONUS</v>
      </c>
    </row>
    <row r="2088" spans="1:13" x14ac:dyDescent="0.25">
      <c r="A2088" t="str">
        <f t="shared" si="230"/>
        <v>CP285-P Anti-D Pre-Existing Standard</v>
      </c>
      <c r="B2088" t="s">
        <v>129</v>
      </c>
      <c r="C2088" t="str">
        <f t="shared" si="224"/>
        <v>Lubbock Main</v>
      </c>
      <c r="D2088" t="str">
        <f t="shared" si="225"/>
        <v>Y</v>
      </c>
      <c r="E2088" t="s">
        <v>647</v>
      </c>
      <c r="F2088" t="str">
        <f t="shared" si="226"/>
        <v>P Anti-D Pre-Existing Standard</v>
      </c>
      <c r="G2088" t="str">
        <f t="shared" si="227"/>
        <v>Specialty</v>
      </c>
      <c r="H2088" t="s">
        <v>469</v>
      </c>
      <c r="I2088" t="str">
        <f t="shared" si="228"/>
        <v>RETURN - 1st don of the week -STD</v>
      </c>
      <c r="J2088" t="s">
        <v>579</v>
      </c>
      <c r="K2088" s="5">
        <v>50</v>
      </c>
      <c r="L2088" t="str">
        <f>Table_DataFromNL[[#This Row],[PROFILECODE]]&amp;"-"&amp;Table_DataFromNL[[#This Row],[RULENAME]]</f>
        <v>CP285-P Anti-D Pre-Existing Standard</v>
      </c>
      <c r="M2088" t="str">
        <f t="shared" si="229"/>
        <v>CP285-P Anti-D Pre-Existing Standard</v>
      </c>
    </row>
    <row r="2089" spans="1:13" x14ac:dyDescent="0.25">
      <c r="A2089" t="str">
        <f t="shared" si="230"/>
        <v>CP285-P HBS Pre-Existing Standard</v>
      </c>
      <c r="B2089" t="s">
        <v>129</v>
      </c>
      <c r="C2089" t="str">
        <f t="shared" si="224"/>
        <v>Lubbock Main</v>
      </c>
      <c r="D2089" t="str">
        <f t="shared" si="225"/>
        <v>Y</v>
      </c>
      <c r="E2089" t="s">
        <v>647</v>
      </c>
      <c r="F2089" t="str">
        <f t="shared" si="226"/>
        <v>P HBS Pre-Existing Standard</v>
      </c>
      <c r="G2089" t="str">
        <f t="shared" si="227"/>
        <v>Specialty</v>
      </c>
      <c r="H2089" t="s">
        <v>472</v>
      </c>
      <c r="I2089" t="str">
        <f t="shared" si="228"/>
        <v>RETURN - 1st don of the week -STD</v>
      </c>
      <c r="J2089" t="s">
        <v>579</v>
      </c>
      <c r="K2089" s="5">
        <v>80</v>
      </c>
      <c r="L2089" t="str">
        <f>Table_DataFromNL[[#This Row],[PROFILECODE]]&amp;"-"&amp;Table_DataFromNL[[#This Row],[RULENAME]]</f>
        <v>CP285-P HBS Pre-Existing Standard</v>
      </c>
      <c r="M2089" t="str">
        <f t="shared" si="229"/>
        <v>CP285-P HBS Pre-Existing Standard</v>
      </c>
    </row>
    <row r="2090" spans="1:13" x14ac:dyDescent="0.25">
      <c r="A2090" t="str">
        <f t="shared" si="230"/>
        <v>CP285-P HBS TWINRIX Standard</v>
      </c>
      <c r="B2090" t="s">
        <v>129</v>
      </c>
      <c r="C2090" t="str">
        <f t="shared" si="224"/>
        <v>Lubbock Main</v>
      </c>
      <c r="D2090" t="str">
        <f t="shared" si="225"/>
        <v>Y</v>
      </c>
      <c r="E2090" t="s">
        <v>647</v>
      </c>
      <c r="F2090" t="str">
        <f t="shared" si="226"/>
        <v>P HBS TWINRIX Standard</v>
      </c>
      <c r="G2090" t="str">
        <f t="shared" si="227"/>
        <v>Specialty</v>
      </c>
      <c r="H2090" t="s">
        <v>506</v>
      </c>
      <c r="I2090" t="str">
        <f t="shared" si="228"/>
        <v>RETURN - 1st don of the week -STD</v>
      </c>
      <c r="J2090" t="s">
        <v>579</v>
      </c>
      <c r="K2090" s="5">
        <v>80</v>
      </c>
      <c r="L2090" t="str">
        <f>Table_DataFromNL[[#This Row],[PROFILECODE]]&amp;"-"&amp;Table_DataFromNL[[#This Row],[RULENAME]]</f>
        <v>CP285-P HBS TWINRIX Standard</v>
      </c>
      <c r="M2090" t="str">
        <f t="shared" si="229"/>
        <v>CP285-P HBS TWINRIX Standard</v>
      </c>
    </row>
    <row r="2091" spans="1:13" x14ac:dyDescent="0.25">
      <c r="A2091" t="str">
        <f t="shared" si="230"/>
        <v>CP285-P HBS TWINRIX-AP Standard</v>
      </c>
      <c r="B2091" t="s">
        <v>129</v>
      </c>
      <c r="C2091" t="str">
        <f t="shared" si="224"/>
        <v>Lubbock Main</v>
      </c>
      <c r="D2091" t="str">
        <f t="shared" si="225"/>
        <v>Y</v>
      </c>
      <c r="E2091" t="s">
        <v>647</v>
      </c>
      <c r="F2091" t="str">
        <f t="shared" si="226"/>
        <v>P HBS TWINRIX-AP Standard</v>
      </c>
      <c r="G2091" t="str">
        <f t="shared" si="227"/>
        <v>Specialty</v>
      </c>
      <c r="H2091" t="s">
        <v>507</v>
      </c>
      <c r="I2091" t="str">
        <f t="shared" si="228"/>
        <v>RETURN - 1st don of the week -STD</v>
      </c>
      <c r="J2091" t="s">
        <v>579</v>
      </c>
      <c r="K2091" s="5">
        <v>80</v>
      </c>
      <c r="L2091" t="str">
        <f>Table_DataFromNL[[#This Row],[PROFILECODE]]&amp;"-"&amp;Table_DataFromNL[[#This Row],[RULENAME]]</f>
        <v>CP285-P HBS TWINRIX-AP Standard</v>
      </c>
      <c r="M2091" t="str">
        <f t="shared" si="229"/>
        <v>CP285-P HBS TWINRIX-AP Standard</v>
      </c>
    </row>
    <row r="2092" spans="1:13" x14ac:dyDescent="0.25">
      <c r="A2092" t="str">
        <f t="shared" si="230"/>
        <v>CP285-RETURN - 1st don of the week -STD</v>
      </c>
      <c r="B2092" t="s">
        <v>129</v>
      </c>
      <c r="C2092" t="str">
        <f t="shared" si="224"/>
        <v>Lubbock Main</v>
      </c>
      <c r="D2092" t="str">
        <f t="shared" si="225"/>
        <v>Y</v>
      </c>
      <c r="E2092" t="s">
        <v>647</v>
      </c>
      <c r="F2092" t="str">
        <f t="shared" si="226"/>
        <v>RETURN - 1st don of the week -STD</v>
      </c>
      <c r="G2092" t="str">
        <f t="shared" si="227"/>
        <v>Marketing</v>
      </c>
      <c r="H2092" t="s">
        <v>583</v>
      </c>
      <c r="I2092">
        <f t="shared" si="228"/>
        <v>22</v>
      </c>
      <c r="J2092" t="s">
        <v>579</v>
      </c>
      <c r="K2092" s="5">
        <v>60</v>
      </c>
      <c r="L2092" t="str">
        <f>Table_DataFromNL[[#This Row],[PROFILECODE]]&amp;"-"&amp;Table_DataFromNL[[#This Row],[RULENAME]]</f>
        <v>CP285-P NSP NS AP Standard</v>
      </c>
      <c r="M2092" t="str">
        <f t="shared" si="229"/>
        <v>CP285-RETURN - 1st don of the week -STD</v>
      </c>
    </row>
    <row r="2093" spans="1:13" x14ac:dyDescent="0.25">
      <c r="A2093" t="str">
        <f t="shared" si="230"/>
        <v>CP285-RETURN - 1st don of the week -STD</v>
      </c>
      <c r="B2093" t="s">
        <v>129</v>
      </c>
      <c r="C2093" t="str">
        <f t="shared" si="224"/>
        <v>Lubbock Main</v>
      </c>
      <c r="D2093" t="str">
        <f t="shared" si="225"/>
        <v>Y</v>
      </c>
      <c r="E2093" t="s">
        <v>647</v>
      </c>
      <c r="F2093" t="str">
        <f t="shared" si="226"/>
        <v>RETURN - 1st don of the week -STD</v>
      </c>
      <c r="G2093" t="str">
        <f t="shared" si="227"/>
        <v>Marketing</v>
      </c>
      <c r="H2093" t="s">
        <v>584</v>
      </c>
      <c r="I2093">
        <f t="shared" si="228"/>
        <v>23</v>
      </c>
      <c r="J2093" t="s">
        <v>579</v>
      </c>
      <c r="K2093" s="5">
        <v>60</v>
      </c>
      <c r="L2093" t="str">
        <f>Table_DataFromNL[[#This Row],[PROFILECODE]]&amp;"-"&amp;Table_DataFromNL[[#This Row],[RULENAME]]</f>
        <v>CP285-P NSP NS Standard</v>
      </c>
      <c r="M2093" t="str">
        <f t="shared" si="229"/>
        <v>CP285-RETURN - 1st don of the week -STD</v>
      </c>
    </row>
    <row r="2094" spans="1:13" x14ac:dyDescent="0.25">
      <c r="A2094" t="str">
        <f t="shared" si="230"/>
        <v>CP285-P VZV Pre-Existing AP</v>
      </c>
      <c r="B2094" t="s">
        <v>129</v>
      </c>
      <c r="C2094" t="str">
        <f t="shared" si="224"/>
        <v>Lubbock Main</v>
      </c>
      <c r="D2094" t="str">
        <f t="shared" si="225"/>
        <v>Y</v>
      </c>
      <c r="E2094" t="s">
        <v>647</v>
      </c>
      <c r="F2094" t="str">
        <f t="shared" si="226"/>
        <v>P VZV Pre-Existing AP</v>
      </c>
      <c r="G2094" t="str">
        <f t="shared" si="227"/>
        <v>Specialty</v>
      </c>
      <c r="H2094" t="s">
        <v>495</v>
      </c>
      <c r="I2094" t="str">
        <f t="shared" si="228"/>
        <v>RETURN - 1st don of the week -STD</v>
      </c>
      <c r="J2094" t="s">
        <v>579</v>
      </c>
      <c r="K2094" s="5">
        <v>70</v>
      </c>
      <c r="L2094" t="str">
        <f>Table_DataFromNL[[#This Row],[PROFILECODE]]&amp;"-"&amp;Table_DataFromNL[[#This Row],[RULENAME]]</f>
        <v>CP285-P VZV Pre-Existing AP</v>
      </c>
      <c r="M2094" t="str">
        <f t="shared" si="229"/>
        <v>CP285-P VZV Pre-Existing AP</v>
      </c>
    </row>
    <row r="2095" spans="1:13" x14ac:dyDescent="0.25">
      <c r="A2095" t="str">
        <f t="shared" si="230"/>
        <v>CP285-PVZV Pre-Existing Standard</v>
      </c>
      <c r="B2095" t="s">
        <v>129</v>
      </c>
      <c r="C2095" t="str">
        <f t="shared" si="224"/>
        <v>Lubbock Main</v>
      </c>
      <c r="D2095" t="str">
        <f t="shared" si="225"/>
        <v>Y</v>
      </c>
      <c r="E2095" t="s">
        <v>647</v>
      </c>
      <c r="F2095" t="str">
        <f t="shared" si="226"/>
        <v>PVZV Pre-Existing Standard</v>
      </c>
      <c r="G2095" t="str">
        <f t="shared" si="227"/>
        <v>Specialty</v>
      </c>
      <c r="H2095" t="s">
        <v>497</v>
      </c>
      <c r="I2095" t="str">
        <f t="shared" si="228"/>
        <v>RETURN - 1st don of the week -STD</v>
      </c>
      <c r="J2095" t="s">
        <v>579</v>
      </c>
      <c r="K2095" s="5">
        <v>70</v>
      </c>
      <c r="L2095" t="str">
        <f>Table_DataFromNL[[#This Row],[PROFILECODE]]&amp;"-"&amp;Table_DataFromNL[[#This Row],[RULENAME]]</f>
        <v>CP285-PVZV Pre-Existing Standard</v>
      </c>
      <c r="M2095" t="str">
        <f t="shared" si="229"/>
        <v>CP285-PVZV Pre-Existing Standard</v>
      </c>
    </row>
    <row r="2096" spans="1:13" x14ac:dyDescent="0.25">
      <c r="A2096" t="str">
        <f t="shared" si="230"/>
        <v>CP328-1st Responder-Medical</v>
      </c>
      <c r="B2096" t="s">
        <v>255</v>
      </c>
      <c r="C2096" t="str">
        <f t="shared" si="224"/>
        <v>Mobile Moffet</v>
      </c>
      <c r="D2096" t="str">
        <f t="shared" si="225"/>
        <v>Y</v>
      </c>
      <c r="E2096" t="s">
        <v>648</v>
      </c>
      <c r="F2096" t="str">
        <f t="shared" si="226"/>
        <v>1st Responder-Medical</v>
      </c>
      <c r="G2096">
        <f t="shared" si="227"/>
        <v>0</v>
      </c>
      <c r="H2096" t="s">
        <v>545</v>
      </c>
      <c r="I2096">
        <f t="shared" si="228"/>
        <v>0</v>
      </c>
      <c r="J2096" t="s">
        <v>546</v>
      </c>
      <c r="K2096" s="5">
        <v>5</v>
      </c>
      <c r="L2096" t="str">
        <f>Table_DataFromNL[[#This Row],[PROFILECODE]]&amp;"-"&amp;Table_DataFromNL[[#This Row],[RULENAME]]</f>
        <v>CP328-1st Responder-Medical</v>
      </c>
      <c r="M2096" t="e">
        <f t="shared" si="229"/>
        <v>#N/A</v>
      </c>
    </row>
    <row r="2097" spans="1:13" x14ac:dyDescent="0.25">
      <c r="A2097" t="str">
        <f t="shared" si="230"/>
        <v>CP328-2X Week P CMV</v>
      </c>
      <c r="B2097" t="s">
        <v>255</v>
      </c>
      <c r="C2097" t="str">
        <f t="shared" si="224"/>
        <v>Mobile Moffet</v>
      </c>
      <c r="D2097" t="str">
        <f t="shared" si="225"/>
        <v>Y</v>
      </c>
      <c r="E2097" t="s">
        <v>648</v>
      </c>
      <c r="F2097" t="str">
        <f t="shared" si="226"/>
        <v>2X Week P CMV</v>
      </c>
      <c r="G2097" t="str">
        <f t="shared" si="227"/>
        <v>Specialty</v>
      </c>
      <c r="H2097" t="s">
        <v>498</v>
      </c>
      <c r="I2097" t="str">
        <f t="shared" si="228"/>
        <v>RETURN - 2nd don of the week -BONUS</v>
      </c>
      <c r="J2097" t="s">
        <v>546</v>
      </c>
      <c r="K2097" s="5">
        <v>50</v>
      </c>
      <c r="L2097" t="str">
        <f>Table_DataFromNL[[#This Row],[PROFILECODE]]&amp;"-"&amp;Table_DataFromNL[[#This Row],[RULENAME]]</f>
        <v>CP328-2X Week P CMV</v>
      </c>
      <c r="M2097" t="str">
        <f t="shared" si="229"/>
        <v>CP328-2X Week P CMV</v>
      </c>
    </row>
    <row r="2098" spans="1:13" x14ac:dyDescent="0.25">
      <c r="A2098" t="str">
        <f t="shared" si="230"/>
        <v>CP328-2X Week P HBS</v>
      </c>
      <c r="B2098" t="s">
        <v>255</v>
      </c>
      <c r="C2098" t="str">
        <f t="shared" si="224"/>
        <v>Mobile Moffet</v>
      </c>
      <c r="D2098" t="str">
        <f t="shared" si="225"/>
        <v>Y</v>
      </c>
      <c r="E2098" t="s">
        <v>648</v>
      </c>
      <c r="F2098" t="str">
        <f t="shared" si="226"/>
        <v>2X Week P HBS</v>
      </c>
      <c r="G2098" t="str">
        <f t="shared" si="227"/>
        <v>Specialty</v>
      </c>
      <c r="H2098" t="s">
        <v>470</v>
      </c>
      <c r="I2098" t="str">
        <f t="shared" si="228"/>
        <v>RETURN - 2nd don of the week -BONUS</v>
      </c>
      <c r="J2098" t="s">
        <v>546</v>
      </c>
      <c r="K2098" s="5">
        <v>100</v>
      </c>
      <c r="L2098" t="str">
        <f>Table_DataFromNL[[#This Row],[PROFILECODE]]&amp;"-"&amp;Table_DataFromNL[[#This Row],[RULENAME]]</f>
        <v>CP328-2X Week P HBS</v>
      </c>
      <c r="M2098" t="str">
        <f t="shared" si="229"/>
        <v>CP328-2X Week P HBS</v>
      </c>
    </row>
    <row r="2099" spans="1:13" x14ac:dyDescent="0.25">
      <c r="A2099" t="str">
        <f t="shared" si="230"/>
        <v>CP328-2X Week P HBS Pre-Existing</v>
      </c>
      <c r="B2099" t="s">
        <v>255</v>
      </c>
      <c r="C2099" t="str">
        <f t="shared" si="224"/>
        <v>Mobile Moffet</v>
      </c>
      <c r="D2099" t="str">
        <f t="shared" si="225"/>
        <v>Y</v>
      </c>
      <c r="E2099" t="s">
        <v>648</v>
      </c>
      <c r="F2099" t="str">
        <f t="shared" si="226"/>
        <v>2X Week P HBS Pre-Existing</v>
      </c>
      <c r="G2099" t="str">
        <f t="shared" si="227"/>
        <v>Specialty</v>
      </c>
      <c r="H2099" t="s">
        <v>471</v>
      </c>
      <c r="I2099" t="str">
        <f t="shared" si="228"/>
        <v>RETURN - 2nd don of the week -BONUS</v>
      </c>
      <c r="J2099" t="s">
        <v>546</v>
      </c>
      <c r="K2099" s="5">
        <v>100</v>
      </c>
      <c r="L2099" t="str">
        <f>Table_DataFromNL[[#This Row],[PROFILECODE]]&amp;"-"&amp;Table_DataFromNL[[#This Row],[RULENAME]]</f>
        <v>CP328-2X Week P HBS Pre-Existing</v>
      </c>
      <c r="M2099" t="str">
        <f t="shared" si="229"/>
        <v>CP328-2X Week P HBS Pre-Existing</v>
      </c>
    </row>
    <row r="2100" spans="1:13" x14ac:dyDescent="0.25">
      <c r="A2100" t="str">
        <f t="shared" si="230"/>
        <v>CP328-RETURN - 2nd don of the week -BONUS</v>
      </c>
      <c r="B2100" t="s">
        <v>255</v>
      </c>
      <c r="C2100" t="str">
        <f t="shared" si="224"/>
        <v>Mobile Moffet</v>
      </c>
      <c r="D2100" t="str">
        <f t="shared" si="225"/>
        <v>Y</v>
      </c>
      <c r="E2100" t="s">
        <v>648</v>
      </c>
      <c r="F2100" t="str">
        <f t="shared" si="226"/>
        <v>RETURN - 2nd don of the week -BONUS</v>
      </c>
      <c r="G2100" t="str">
        <f t="shared" si="227"/>
        <v>Marketing</v>
      </c>
      <c r="H2100" t="s">
        <v>550</v>
      </c>
      <c r="I2100">
        <f t="shared" si="228"/>
        <v>26</v>
      </c>
      <c r="J2100" t="s">
        <v>546</v>
      </c>
      <c r="K2100" s="5">
        <v>50</v>
      </c>
      <c r="L2100" t="str">
        <f>Table_DataFromNL[[#This Row],[PROFILECODE]]&amp;"-"&amp;Table_DataFromNL[[#This Row],[RULENAME]]</f>
        <v>CP328-2X Week P NSP NS</v>
      </c>
      <c r="M2100" t="str">
        <f t="shared" si="229"/>
        <v>CP328-RETURN - 2nd don of the week -BONUS</v>
      </c>
    </row>
    <row r="2101" spans="1:13" x14ac:dyDescent="0.25">
      <c r="A2101" t="str">
        <f t="shared" si="230"/>
        <v>CP328-RETURN - 2nd don of the week -BONUS</v>
      </c>
      <c r="B2101" t="s">
        <v>255</v>
      </c>
      <c r="C2101" t="str">
        <f t="shared" si="224"/>
        <v>Mobile Moffet</v>
      </c>
      <c r="D2101" t="str">
        <f t="shared" si="225"/>
        <v>Y</v>
      </c>
      <c r="E2101" t="s">
        <v>648</v>
      </c>
      <c r="F2101" t="str">
        <f t="shared" si="226"/>
        <v>RETURN - 2nd don of the week -BONUS</v>
      </c>
      <c r="G2101" t="str">
        <f t="shared" si="227"/>
        <v>Marketing</v>
      </c>
      <c r="H2101" t="s">
        <v>551</v>
      </c>
      <c r="I2101" t="str">
        <f t="shared" si="228"/>
        <v>RETURN - 2nd don of the week -BONUS</v>
      </c>
      <c r="J2101" t="s">
        <v>546</v>
      </c>
      <c r="K2101" s="5">
        <v>50</v>
      </c>
      <c r="L2101" t="str">
        <f>Table_DataFromNL[[#This Row],[PROFILECODE]]&amp;"-"&amp;Table_DataFromNL[[#This Row],[RULENAME]]</f>
        <v>CP328-2X Week P NSP NS AP</v>
      </c>
      <c r="M2101" t="str">
        <f t="shared" si="229"/>
        <v>CP328-RETURN - 2nd don of the week -BONUS</v>
      </c>
    </row>
    <row r="2102" spans="1:13" x14ac:dyDescent="0.25">
      <c r="A2102" t="str">
        <f t="shared" si="230"/>
        <v>CP328-2X Week P Rabies</v>
      </c>
      <c r="B2102" t="s">
        <v>255</v>
      </c>
      <c r="C2102" t="str">
        <f t="shared" si="224"/>
        <v>Mobile Moffet</v>
      </c>
      <c r="D2102" t="str">
        <f t="shared" si="225"/>
        <v>Y</v>
      </c>
      <c r="E2102" t="s">
        <v>648</v>
      </c>
      <c r="F2102" t="str">
        <f t="shared" si="226"/>
        <v>2X Week P Rabies</v>
      </c>
      <c r="G2102" t="str">
        <f t="shared" si="227"/>
        <v>Specialty</v>
      </c>
      <c r="H2102" t="s">
        <v>499</v>
      </c>
      <c r="I2102" t="str">
        <f t="shared" si="228"/>
        <v>RETURN - 2nd don of the week -BONUS</v>
      </c>
      <c r="J2102" t="s">
        <v>546</v>
      </c>
      <c r="K2102" s="5">
        <v>100</v>
      </c>
      <c r="L2102" t="str">
        <f>Table_DataFromNL[[#This Row],[PROFILECODE]]&amp;"-"&amp;Table_DataFromNL[[#This Row],[RULENAME]]</f>
        <v>CP328-2X Week P Rabies</v>
      </c>
      <c r="M2102" t="str">
        <f t="shared" si="229"/>
        <v>CP328-2X Week P Rabies</v>
      </c>
    </row>
    <row r="2103" spans="1:13" x14ac:dyDescent="0.25">
      <c r="A2103" t="str">
        <f t="shared" si="230"/>
        <v>CP328-2X Week P Rabies HT</v>
      </c>
      <c r="B2103" t="s">
        <v>255</v>
      </c>
      <c r="C2103" t="str">
        <f t="shared" si="224"/>
        <v>Mobile Moffet</v>
      </c>
      <c r="D2103" t="str">
        <f t="shared" si="225"/>
        <v>Y</v>
      </c>
      <c r="E2103" t="s">
        <v>648</v>
      </c>
      <c r="F2103" t="str">
        <f t="shared" si="226"/>
        <v>2X Week P Rabies HT</v>
      </c>
      <c r="G2103" t="str">
        <f t="shared" si="227"/>
        <v>Specialty</v>
      </c>
      <c r="H2103" t="s">
        <v>500</v>
      </c>
      <c r="I2103" t="str">
        <f t="shared" si="228"/>
        <v>RETURN - 2nd don of the week -BONUS</v>
      </c>
      <c r="J2103" t="s">
        <v>546</v>
      </c>
      <c r="K2103" s="5">
        <v>100</v>
      </c>
      <c r="L2103" t="str">
        <f>Table_DataFromNL[[#This Row],[PROFILECODE]]&amp;"-"&amp;Table_DataFromNL[[#This Row],[RULENAME]]</f>
        <v>CP328-2X Week P Rabies HT</v>
      </c>
      <c r="M2103" t="str">
        <f t="shared" si="229"/>
        <v>CP328-2X Week P Rabies HT</v>
      </c>
    </row>
    <row r="2104" spans="1:13" x14ac:dyDescent="0.25">
      <c r="A2104" t="str">
        <f t="shared" si="230"/>
        <v>CP328-2X Week P Tetanus</v>
      </c>
      <c r="B2104" t="s">
        <v>255</v>
      </c>
      <c r="C2104" t="str">
        <f t="shared" si="224"/>
        <v>Mobile Moffet</v>
      </c>
      <c r="D2104" t="str">
        <f t="shared" si="225"/>
        <v>Y</v>
      </c>
      <c r="E2104" t="s">
        <v>648</v>
      </c>
      <c r="F2104" t="str">
        <f t="shared" si="226"/>
        <v>2X Week P Tetanus</v>
      </c>
      <c r="G2104" t="str">
        <f t="shared" si="227"/>
        <v>Specialty</v>
      </c>
      <c r="H2104" t="s">
        <v>485</v>
      </c>
      <c r="I2104" t="str">
        <f t="shared" si="228"/>
        <v>RETURN - 2nd don of the week -BONUS</v>
      </c>
      <c r="J2104" t="s">
        <v>546</v>
      </c>
      <c r="K2104" s="5">
        <v>100</v>
      </c>
      <c r="L2104" t="str">
        <f>Table_DataFromNL[[#This Row],[PROFILECODE]]&amp;"-"&amp;Table_DataFromNL[[#This Row],[RULENAME]]</f>
        <v>CP328-2X Week P Tetanus</v>
      </c>
      <c r="M2104" t="str">
        <f t="shared" si="229"/>
        <v>CP328-2X Week P Tetanus</v>
      </c>
    </row>
    <row r="2105" spans="1:13" x14ac:dyDescent="0.25">
      <c r="A2105" t="str">
        <f t="shared" si="230"/>
        <v>CP328-2X Week P Tetanus AP</v>
      </c>
      <c r="B2105" t="s">
        <v>255</v>
      </c>
      <c r="C2105" t="str">
        <f t="shared" si="224"/>
        <v>Mobile Moffet</v>
      </c>
      <c r="D2105" t="str">
        <f t="shared" si="225"/>
        <v>Y</v>
      </c>
      <c r="E2105" t="s">
        <v>648</v>
      </c>
      <c r="F2105" t="str">
        <f t="shared" si="226"/>
        <v>2X Week P Tetanus AP</v>
      </c>
      <c r="G2105" t="str">
        <f t="shared" si="227"/>
        <v>Specialty</v>
      </c>
      <c r="H2105" t="s">
        <v>486</v>
      </c>
      <c r="I2105" t="str">
        <f t="shared" si="228"/>
        <v>RETURN - 2nd don of the week -BONUS</v>
      </c>
      <c r="J2105" t="s">
        <v>546</v>
      </c>
      <c r="K2105" s="5">
        <v>100</v>
      </c>
      <c r="L2105" t="str">
        <f>Table_DataFromNL[[#This Row],[PROFILECODE]]&amp;"-"&amp;Table_DataFromNL[[#This Row],[RULENAME]]</f>
        <v>CP328-2X Week P Tetanus AP</v>
      </c>
      <c r="M2105" t="str">
        <f t="shared" si="229"/>
        <v>CP328-2X Week P Tetanus AP</v>
      </c>
    </row>
    <row r="2106" spans="1:13" x14ac:dyDescent="0.25">
      <c r="A2106" t="str">
        <f t="shared" si="230"/>
        <v>CP328-2X Week P Tetanus PE</v>
      </c>
      <c r="B2106" t="s">
        <v>255</v>
      </c>
      <c r="C2106" t="str">
        <f t="shared" si="224"/>
        <v>Mobile Moffet</v>
      </c>
      <c r="D2106" t="str">
        <f t="shared" si="225"/>
        <v>Y</v>
      </c>
      <c r="E2106" t="s">
        <v>648</v>
      </c>
      <c r="F2106" t="str">
        <f t="shared" si="226"/>
        <v>2X Week P Tetanus PE</v>
      </c>
      <c r="G2106" t="str">
        <f t="shared" si="227"/>
        <v>Specialty</v>
      </c>
      <c r="H2106" t="s">
        <v>487</v>
      </c>
      <c r="I2106" t="str">
        <f t="shared" si="228"/>
        <v>RETURN - 2nd don of the week -BONUS</v>
      </c>
      <c r="J2106" t="s">
        <v>546</v>
      </c>
      <c r="K2106" s="5">
        <v>100</v>
      </c>
      <c r="L2106" t="str">
        <f>Table_DataFromNL[[#This Row],[PROFILECODE]]&amp;"-"&amp;Table_DataFromNL[[#This Row],[RULENAME]]</f>
        <v>CP328-2X Week P Tetanus PE</v>
      </c>
      <c r="M2106" t="str">
        <f t="shared" si="229"/>
        <v>CP328-2X Week P Tetanus PE</v>
      </c>
    </row>
    <row r="2107" spans="1:13" x14ac:dyDescent="0.25">
      <c r="A2107" t="str">
        <f t="shared" si="230"/>
        <v>CP328-RETURN - 6th don of the month -BONUS</v>
      </c>
      <c r="B2107" t="s">
        <v>255</v>
      </c>
      <c r="C2107" t="str">
        <f t="shared" si="224"/>
        <v>Mobile Moffet</v>
      </c>
      <c r="D2107" t="str">
        <f t="shared" si="225"/>
        <v>Y</v>
      </c>
      <c r="E2107" t="s">
        <v>648</v>
      </c>
      <c r="F2107" t="str">
        <f t="shared" si="226"/>
        <v>RETURN - 6th don of the month -BONUS</v>
      </c>
      <c r="G2107" t="str">
        <f t="shared" si="227"/>
        <v>Marketing</v>
      </c>
      <c r="H2107" t="s">
        <v>552</v>
      </c>
      <c r="I2107">
        <f t="shared" si="228"/>
        <v>28</v>
      </c>
      <c r="J2107" t="s">
        <v>546</v>
      </c>
      <c r="K2107" s="5">
        <v>30</v>
      </c>
      <c r="L2107" t="str">
        <f>Table_DataFromNL[[#This Row],[PROFILECODE]]&amp;"-"&amp;Table_DataFromNL[[#This Row],[RULENAME]]</f>
        <v>CP328-6X Month</v>
      </c>
      <c r="M2107" t="str">
        <f t="shared" si="229"/>
        <v>CP328-RETURN - 6th don of the month -BONUS</v>
      </c>
    </row>
    <row r="2108" spans="1:13" x14ac:dyDescent="0.25">
      <c r="A2108" t="str">
        <f t="shared" si="230"/>
        <v>CP328-College ID Standard Bonus</v>
      </c>
      <c r="B2108" t="s">
        <v>255</v>
      </c>
      <c r="C2108" t="str">
        <f t="shared" si="224"/>
        <v>Mobile Moffet</v>
      </c>
      <c r="D2108" t="str">
        <f t="shared" si="225"/>
        <v>Y</v>
      </c>
      <c r="E2108" t="s">
        <v>648</v>
      </c>
      <c r="F2108" t="str">
        <f t="shared" si="226"/>
        <v>College ID Standard Bonus</v>
      </c>
      <c r="G2108">
        <f t="shared" si="227"/>
        <v>0</v>
      </c>
      <c r="H2108" t="s">
        <v>553</v>
      </c>
      <c r="I2108">
        <f t="shared" si="228"/>
        <v>0</v>
      </c>
      <c r="J2108" t="s">
        <v>546</v>
      </c>
      <c r="K2108" s="5">
        <v>5</v>
      </c>
      <c r="L2108" t="str">
        <f>Table_DataFromNL[[#This Row],[PROFILECODE]]&amp;"-"&amp;Table_DataFromNL[[#This Row],[RULENAME]]</f>
        <v>CP328-College ID Standard Bonus</v>
      </c>
      <c r="M2108" t="e">
        <f t="shared" si="229"/>
        <v>#N/A</v>
      </c>
    </row>
    <row r="2109" spans="1:13" x14ac:dyDescent="0.25">
      <c r="A2109" t="str">
        <f t="shared" si="230"/>
        <v>CP328-Military ID</v>
      </c>
      <c r="B2109" t="s">
        <v>255</v>
      </c>
      <c r="C2109" t="str">
        <f t="shared" si="224"/>
        <v>Mobile Moffet</v>
      </c>
      <c r="D2109" t="str">
        <f t="shared" si="225"/>
        <v>Y</v>
      </c>
      <c r="E2109" t="s">
        <v>648</v>
      </c>
      <c r="F2109" t="str">
        <f t="shared" si="226"/>
        <v>Military ID</v>
      </c>
      <c r="G2109">
        <f t="shared" si="227"/>
        <v>0</v>
      </c>
      <c r="H2109" t="s">
        <v>554</v>
      </c>
      <c r="I2109">
        <f t="shared" si="228"/>
        <v>0</v>
      </c>
      <c r="J2109" t="s">
        <v>546</v>
      </c>
      <c r="K2109" s="5">
        <v>5</v>
      </c>
      <c r="L2109" t="str">
        <f>Table_DataFromNL[[#This Row],[PROFILECODE]]&amp;"-"&amp;Table_DataFromNL[[#This Row],[RULENAME]]</f>
        <v>CP328-Military ID</v>
      </c>
      <c r="M2109" t="e">
        <f t="shared" si="229"/>
        <v>#N/A</v>
      </c>
    </row>
    <row r="2110" spans="1:13" x14ac:dyDescent="0.25">
      <c r="A2110" t="str">
        <f t="shared" si="230"/>
        <v>CP328-NEW DONOR -1st</v>
      </c>
      <c r="B2110" t="s">
        <v>255</v>
      </c>
      <c r="C2110" t="str">
        <f t="shared" si="224"/>
        <v>Mobile Moffet</v>
      </c>
      <c r="D2110" t="str">
        <f t="shared" si="225"/>
        <v>Y</v>
      </c>
      <c r="E2110" t="s">
        <v>648</v>
      </c>
      <c r="F2110" t="str">
        <f t="shared" si="226"/>
        <v>NEW DONOR -1st</v>
      </c>
      <c r="G2110" t="str">
        <f t="shared" si="227"/>
        <v>Marketing</v>
      </c>
      <c r="H2110" t="s">
        <v>555</v>
      </c>
      <c r="I2110">
        <f t="shared" si="228"/>
        <v>1</v>
      </c>
      <c r="J2110" t="s">
        <v>546</v>
      </c>
      <c r="K2110" s="5">
        <v>100</v>
      </c>
      <c r="L2110" t="str">
        <f>Table_DataFromNL[[#This Row],[PROFILECODE]]&amp;"-"&amp;Table_DataFromNL[[#This Row],[RULENAME]]</f>
        <v>CP328-New Donor 1st Visit-Bonus</v>
      </c>
      <c r="M2110" t="str">
        <f t="shared" si="229"/>
        <v>CP328-NEW DONOR -1st</v>
      </c>
    </row>
    <row r="2111" spans="1:13" x14ac:dyDescent="0.25">
      <c r="A2111" t="str">
        <f t="shared" si="230"/>
        <v>CP328-NEW DONOR -2nd</v>
      </c>
      <c r="B2111" t="s">
        <v>255</v>
      </c>
      <c r="C2111" t="str">
        <f t="shared" si="224"/>
        <v>Mobile Moffet</v>
      </c>
      <c r="D2111" t="str">
        <f t="shared" si="225"/>
        <v>Y</v>
      </c>
      <c r="E2111" t="s">
        <v>648</v>
      </c>
      <c r="F2111" t="str">
        <f t="shared" si="226"/>
        <v>NEW DONOR -2nd</v>
      </c>
      <c r="G2111" t="str">
        <f t="shared" si="227"/>
        <v>Marketing</v>
      </c>
      <c r="H2111" t="s">
        <v>556</v>
      </c>
      <c r="I2111">
        <f t="shared" si="228"/>
        <v>2</v>
      </c>
      <c r="J2111" t="s">
        <v>546</v>
      </c>
      <c r="K2111" s="5">
        <v>100</v>
      </c>
      <c r="L2111" t="str">
        <f>Table_DataFromNL[[#This Row],[PROFILECODE]]&amp;"-"&amp;Table_DataFromNL[[#This Row],[RULENAME]]</f>
        <v>CP328-New Donor 2nd Visit-Bonus</v>
      </c>
      <c r="M2111" t="str">
        <f t="shared" si="229"/>
        <v>CP328-NEW DONOR -2nd</v>
      </c>
    </row>
    <row r="2112" spans="1:13" x14ac:dyDescent="0.25">
      <c r="A2112" t="str">
        <f t="shared" si="230"/>
        <v>CP328-NEW DONOR -3rd</v>
      </c>
      <c r="B2112" t="s">
        <v>255</v>
      </c>
      <c r="C2112" t="str">
        <f t="shared" si="224"/>
        <v>Mobile Moffet</v>
      </c>
      <c r="D2112" t="str">
        <f t="shared" si="225"/>
        <v>Y</v>
      </c>
      <c r="E2112" t="s">
        <v>648</v>
      </c>
      <c r="F2112" t="str">
        <f t="shared" si="226"/>
        <v>NEW DONOR -3rd</v>
      </c>
      <c r="G2112" t="str">
        <f t="shared" si="227"/>
        <v>Marketing</v>
      </c>
      <c r="H2112" t="s">
        <v>557</v>
      </c>
      <c r="I2112">
        <f t="shared" si="228"/>
        <v>3</v>
      </c>
      <c r="J2112" t="s">
        <v>546</v>
      </c>
      <c r="K2112" s="5">
        <v>100</v>
      </c>
      <c r="L2112" t="str">
        <f>Table_DataFromNL[[#This Row],[PROFILECODE]]&amp;"-"&amp;Table_DataFromNL[[#This Row],[RULENAME]]</f>
        <v>CP328-New Donor 3rd Visit-Bonus</v>
      </c>
      <c r="M2112" t="str">
        <f t="shared" si="229"/>
        <v>CP328-NEW DONOR -3rd</v>
      </c>
    </row>
    <row r="2113" spans="1:13" x14ac:dyDescent="0.25">
      <c r="A2113" t="str">
        <f t="shared" si="230"/>
        <v>CP328-NEW DONOR -4th</v>
      </c>
      <c r="B2113" t="s">
        <v>255</v>
      </c>
      <c r="C2113" t="str">
        <f t="shared" si="224"/>
        <v>Mobile Moffet</v>
      </c>
      <c r="D2113" t="str">
        <f t="shared" si="225"/>
        <v>Y</v>
      </c>
      <c r="E2113" t="s">
        <v>648</v>
      </c>
      <c r="F2113" t="str">
        <f t="shared" si="226"/>
        <v>NEW DONOR -4th</v>
      </c>
      <c r="G2113" t="str">
        <f t="shared" si="227"/>
        <v>Marketing</v>
      </c>
      <c r="H2113" t="s">
        <v>558</v>
      </c>
      <c r="I2113">
        <f t="shared" si="228"/>
        <v>4</v>
      </c>
      <c r="J2113" t="s">
        <v>546</v>
      </c>
      <c r="K2113" s="5">
        <v>100</v>
      </c>
      <c r="L2113" t="str">
        <f>Table_DataFromNL[[#This Row],[PROFILECODE]]&amp;"-"&amp;Table_DataFromNL[[#This Row],[RULENAME]]</f>
        <v>CP328-New Donor 4th Visit-Bonus</v>
      </c>
      <c r="M2113" t="str">
        <f t="shared" si="229"/>
        <v>CP328-NEW DONOR -4th</v>
      </c>
    </row>
    <row r="2114" spans="1:13" x14ac:dyDescent="0.25">
      <c r="A2114" t="str">
        <f t="shared" si="230"/>
        <v>CP328-NEW DONOR -5th</v>
      </c>
      <c r="B2114" t="s">
        <v>255</v>
      </c>
      <c r="C2114" t="str">
        <f t="shared" ref="C2114:C2177" si="231">VLOOKUP(B2114,CenterLU,2,FALSE)</f>
        <v>Mobile Moffet</v>
      </c>
      <c r="D2114" t="str">
        <f t="shared" ref="D2114:D2177" si="232">VLOOKUP(B2114,CenterLU,3,FALSE)</f>
        <v>Y</v>
      </c>
      <c r="E2114" t="s">
        <v>648</v>
      </c>
      <c r="F2114" t="str">
        <f t="shared" ref="F2114:F2177" si="233">IF(VLOOKUP(H2114,RULENAMELU,3,FALSE)=0,H2114,VLOOKUP(H2114,RULENAMELU,3,FALSE))</f>
        <v>NEW DONOR -5th</v>
      </c>
      <c r="G2114" t="str">
        <f t="shared" ref="G2114:G2177" si="234">VLOOKUP(H2114,RULENAMELU,4,FALSE)</f>
        <v>Marketing</v>
      </c>
      <c r="H2114" t="s">
        <v>559</v>
      </c>
      <c r="I2114">
        <f t="shared" ref="I2114:I2177" si="235">VLOOKUP(H2114,RULENAMELU,5,FALSE)</f>
        <v>5</v>
      </c>
      <c r="J2114" t="s">
        <v>546</v>
      </c>
      <c r="K2114" s="5">
        <v>100</v>
      </c>
      <c r="L2114" t="str">
        <f>Table_DataFromNL[[#This Row],[PROFILECODE]]&amp;"-"&amp;Table_DataFromNL[[#This Row],[RULENAME]]</f>
        <v>CP328-New Donor 5th Visit-Bonus</v>
      </c>
      <c r="M2114" t="str">
        <f t="shared" ref="M2114:M2177" si="236">IFERROR(VLOOKUP(A2114,PaychangesLU,1,FALSE),VLOOKUP(A2114,SpecialtyCheckLU,1,FALSE))</f>
        <v>CP328-NEW DONOR -5th</v>
      </c>
    </row>
    <row r="2115" spans="1:13" x14ac:dyDescent="0.25">
      <c r="A2115" t="str">
        <f t="shared" ref="A2115:A2178" si="237">B2115&amp;"-"&amp;F2115</f>
        <v>CP328-NEW DONOR -6th</v>
      </c>
      <c r="B2115" t="s">
        <v>255</v>
      </c>
      <c r="C2115" t="str">
        <f t="shared" si="231"/>
        <v>Mobile Moffet</v>
      </c>
      <c r="D2115" t="str">
        <f t="shared" si="232"/>
        <v>Y</v>
      </c>
      <c r="E2115" t="s">
        <v>648</v>
      </c>
      <c r="F2115" t="str">
        <f t="shared" si="233"/>
        <v>NEW DONOR -6th</v>
      </c>
      <c r="G2115" t="str">
        <f t="shared" si="234"/>
        <v>Marketing</v>
      </c>
      <c r="H2115" t="s">
        <v>560</v>
      </c>
      <c r="I2115">
        <f t="shared" si="235"/>
        <v>6</v>
      </c>
      <c r="J2115" t="s">
        <v>546</v>
      </c>
      <c r="K2115" s="5">
        <v>100</v>
      </c>
      <c r="L2115" t="str">
        <f>Table_DataFromNL[[#This Row],[PROFILECODE]]&amp;"-"&amp;Table_DataFromNL[[#This Row],[RULENAME]]</f>
        <v>CP328-New Donor 6th Visit-Bonus</v>
      </c>
      <c r="M2115" t="str">
        <f t="shared" si="236"/>
        <v>CP328-NEW DONOR -6th</v>
      </c>
    </row>
    <row r="2116" spans="1:13" x14ac:dyDescent="0.25">
      <c r="A2116" t="str">
        <f t="shared" si="237"/>
        <v>CP328-NEW DONOR -7th</v>
      </c>
      <c r="B2116" t="s">
        <v>255</v>
      </c>
      <c r="C2116" t="str">
        <f t="shared" si="231"/>
        <v>Mobile Moffet</v>
      </c>
      <c r="D2116" t="str">
        <f t="shared" si="232"/>
        <v>Y</v>
      </c>
      <c r="E2116" t="s">
        <v>648</v>
      </c>
      <c r="F2116" t="str">
        <f t="shared" si="233"/>
        <v>NEW DONOR -7th</v>
      </c>
      <c r="G2116" t="str">
        <f t="shared" si="234"/>
        <v>Marketing</v>
      </c>
      <c r="H2116" t="s">
        <v>561</v>
      </c>
      <c r="I2116">
        <f t="shared" si="235"/>
        <v>7</v>
      </c>
      <c r="J2116" t="s">
        <v>546</v>
      </c>
      <c r="K2116" s="5">
        <v>40</v>
      </c>
      <c r="L2116" t="str">
        <f>Table_DataFromNL[[#This Row],[PROFILECODE]]&amp;"-"&amp;Table_DataFromNL[[#This Row],[RULENAME]]</f>
        <v>CP328-New Donor 7th Visit-Bonus</v>
      </c>
      <c r="M2116" t="str">
        <f t="shared" si="236"/>
        <v>CP328-NEW DONOR -7th</v>
      </c>
    </row>
    <row r="2117" spans="1:13" x14ac:dyDescent="0.25">
      <c r="A2117" t="str">
        <f t="shared" si="237"/>
        <v>CP328-NEW DONOR -8th</v>
      </c>
      <c r="B2117" t="s">
        <v>255</v>
      </c>
      <c r="C2117" t="str">
        <f t="shared" si="231"/>
        <v>Mobile Moffet</v>
      </c>
      <c r="D2117" t="str">
        <f t="shared" si="232"/>
        <v>Y</v>
      </c>
      <c r="E2117" t="s">
        <v>648</v>
      </c>
      <c r="F2117" t="str">
        <f t="shared" si="233"/>
        <v>NEW DONOR -8th</v>
      </c>
      <c r="G2117" t="str">
        <f t="shared" si="234"/>
        <v>Marketing</v>
      </c>
      <c r="H2117" t="s">
        <v>562</v>
      </c>
      <c r="I2117">
        <f t="shared" si="235"/>
        <v>8</v>
      </c>
      <c r="J2117" t="s">
        <v>546</v>
      </c>
      <c r="K2117" s="5">
        <v>40</v>
      </c>
      <c r="L2117" t="str">
        <f>Table_DataFromNL[[#This Row],[PROFILECODE]]&amp;"-"&amp;Table_DataFromNL[[#This Row],[RULENAME]]</f>
        <v>CP328-New Donor 8th Visit-Bonus</v>
      </c>
      <c r="M2117" t="str">
        <f t="shared" si="236"/>
        <v>CP328-NEW DONOR -8th</v>
      </c>
    </row>
    <row r="2118" spans="1:13" x14ac:dyDescent="0.25">
      <c r="A2118" t="str">
        <f t="shared" si="237"/>
        <v>CP328-Vaccinia - 1st Donation</v>
      </c>
      <c r="B2118" t="s">
        <v>255</v>
      </c>
      <c r="C2118" t="str">
        <f t="shared" si="231"/>
        <v>Mobile Moffet</v>
      </c>
      <c r="D2118" t="str">
        <f t="shared" si="232"/>
        <v>Y</v>
      </c>
      <c r="E2118" t="s">
        <v>648</v>
      </c>
      <c r="F2118" t="str">
        <f t="shared" si="233"/>
        <v>Vaccinia - 1st Donation</v>
      </c>
      <c r="G2118" t="str">
        <f t="shared" si="234"/>
        <v>Specialty</v>
      </c>
      <c r="H2118" t="s">
        <v>477</v>
      </c>
      <c r="I2118">
        <f t="shared" si="235"/>
        <v>0</v>
      </c>
      <c r="J2118" t="s">
        <v>546</v>
      </c>
      <c r="K2118" s="5">
        <v>150</v>
      </c>
      <c r="L2118" t="str">
        <f>Table_DataFromNL[[#This Row],[PROFILECODE]]&amp;"-"&amp;Table_DataFromNL[[#This Row],[RULENAME]]</f>
        <v>CP328-Vaccinia - 1st Donation</v>
      </c>
      <c r="M2118" t="str">
        <f t="shared" si="236"/>
        <v>CP328-Vaccinia - 1st Donation</v>
      </c>
    </row>
    <row r="2119" spans="1:13" x14ac:dyDescent="0.25">
      <c r="A2119" t="str">
        <f t="shared" si="237"/>
        <v>CP328-Vaccinia - 2nd Donation</v>
      </c>
      <c r="B2119" t="s">
        <v>255</v>
      </c>
      <c r="C2119" t="str">
        <f t="shared" si="231"/>
        <v>Mobile Moffet</v>
      </c>
      <c r="D2119" t="str">
        <f t="shared" si="232"/>
        <v>Y</v>
      </c>
      <c r="E2119" t="s">
        <v>648</v>
      </c>
      <c r="F2119" t="str">
        <f t="shared" si="233"/>
        <v>Vaccinia - 2nd Donation</v>
      </c>
      <c r="G2119" t="str">
        <f t="shared" si="234"/>
        <v>Specialty</v>
      </c>
      <c r="H2119" t="s">
        <v>478</v>
      </c>
      <c r="I2119">
        <f t="shared" si="235"/>
        <v>0</v>
      </c>
      <c r="J2119" t="s">
        <v>546</v>
      </c>
      <c r="K2119" s="5">
        <v>250</v>
      </c>
      <c r="L2119" t="str">
        <f>Table_DataFromNL[[#This Row],[PROFILECODE]]&amp;"-"&amp;Table_DataFromNL[[#This Row],[RULENAME]]</f>
        <v>CP328-Vaccinia - 2nd Donation</v>
      </c>
      <c r="M2119" t="str">
        <f t="shared" si="236"/>
        <v>CP328-Vaccinia - 2nd Donation</v>
      </c>
    </row>
    <row r="2120" spans="1:13" x14ac:dyDescent="0.25">
      <c r="A2120" t="str">
        <f t="shared" si="237"/>
        <v>CP328-Vaccinia - 3rd Donation</v>
      </c>
      <c r="B2120" t="s">
        <v>255</v>
      </c>
      <c r="C2120" t="str">
        <f t="shared" si="231"/>
        <v>Mobile Moffet</v>
      </c>
      <c r="D2120" t="str">
        <f t="shared" si="232"/>
        <v>Y</v>
      </c>
      <c r="E2120" t="s">
        <v>648</v>
      </c>
      <c r="F2120" t="str">
        <f t="shared" si="233"/>
        <v>Vaccinia - 3rd Donation</v>
      </c>
      <c r="G2120" t="str">
        <f t="shared" si="234"/>
        <v>Specialty</v>
      </c>
      <c r="H2120" t="s">
        <v>479</v>
      </c>
      <c r="I2120">
        <f t="shared" si="235"/>
        <v>0</v>
      </c>
      <c r="J2120" t="s">
        <v>546</v>
      </c>
      <c r="K2120" s="5">
        <v>300</v>
      </c>
      <c r="L2120" t="str">
        <f>Table_DataFromNL[[#This Row],[PROFILECODE]]&amp;"-"&amp;Table_DataFromNL[[#This Row],[RULENAME]]</f>
        <v>CP328-Vaccinia - 3rd Donation</v>
      </c>
      <c r="M2120" t="str">
        <f t="shared" si="236"/>
        <v>CP328-Vaccinia - 3rd Donation</v>
      </c>
    </row>
    <row r="2121" spans="1:13" x14ac:dyDescent="0.25">
      <c r="A2121" t="str">
        <f t="shared" si="237"/>
        <v>CP328-Vaccinia - 4th Donation</v>
      </c>
      <c r="B2121" t="s">
        <v>255</v>
      </c>
      <c r="C2121" t="str">
        <f t="shared" si="231"/>
        <v>Mobile Moffet</v>
      </c>
      <c r="D2121" t="str">
        <f t="shared" si="232"/>
        <v>Y</v>
      </c>
      <c r="E2121" t="s">
        <v>648</v>
      </c>
      <c r="F2121" t="str">
        <f t="shared" si="233"/>
        <v>Vaccinia - 4th Donation</v>
      </c>
      <c r="G2121" t="str">
        <f t="shared" si="234"/>
        <v>Specialty</v>
      </c>
      <c r="H2121" t="s">
        <v>480</v>
      </c>
      <c r="I2121">
        <f t="shared" si="235"/>
        <v>0</v>
      </c>
      <c r="J2121" t="s">
        <v>546</v>
      </c>
      <c r="K2121" s="5">
        <v>300</v>
      </c>
      <c r="L2121" t="str">
        <f>Table_DataFromNL[[#This Row],[PROFILECODE]]&amp;"-"&amp;Table_DataFromNL[[#This Row],[RULENAME]]</f>
        <v>CP328-Vaccinia - 4th Donation</v>
      </c>
      <c r="M2121" t="str">
        <f t="shared" si="236"/>
        <v>CP328-Vaccinia - 4th Donation</v>
      </c>
    </row>
    <row r="2122" spans="1:13" x14ac:dyDescent="0.25">
      <c r="A2122" t="str">
        <f t="shared" si="237"/>
        <v>CP328-Vaccinia AP - 1st Donation</v>
      </c>
      <c r="B2122" t="s">
        <v>255</v>
      </c>
      <c r="C2122" t="str">
        <f t="shared" si="231"/>
        <v>Mobile Moffet</v>
      </c>
      <c r="D2122" t="str">
        <f t="shared" si="232"/>
        <v>Y</v>
      </c>
      <c r="E2122" t="s">
        <v>648</v>
      </c>
      <c r="F2122" t="str">
        <f t="shared" si="233"/>
        <v>Vaccinia AP - 1st Donation</v>
      </c>
      <c r="G2122" t="str">
        <f t="shared" si="234"/>
        <v>Specialty</v>
      </c>
      <c r="H2122" t="s">
        <v>481</v>
      </c>
      <c r="I2122">
        <f t="shared" si="235"/>
        <v>0</v>
      </c>
      <c r="J2122" t="s">
        <v>546</v>
      </c>
      <c r="K2122" s="5">
        <v>150</v>
      </c>
      <c r="L2122" t="str">
        <f>Table_DataFromNL[[#This Row],[PROFILECODE]]&amp;"-"&amp;Table_DataFromNL[[#This Row],[RULENAME]]</f>
        <v>CP328-Vaccinia AP - 1st Donation</v>
      </c>
      <c r="M2122" t="str">
        <f t="shared" si="236"/>
        <v>CP328-Vaccinia AP - 1st Donation</v>
      </c>
    </row>
    <row r="2123" spans="1:13" x14ac:dyDescent="0.25">
      <c r="A2123" t="str">
        <f t="shared" si="237"/>
        <v>CP328-Vaccinia AP - 2nd Donation</v>
      </c>
      <c r="B2123" t="s">
        <v>255</v>
      </c>
      <c r="C2123" t="str">
        <f t="shared" si="231"/>
        <v>Mobile Moffet</v>
      </c>
      <c r="D2123" t="str">
        <f t="shared" si="232"/>
        <v>Y</v>
      </c>
      <c r="E2123" t="s">
        <v>648</v>
      </c>
      <c r="F2123" t="str">
        <f t="shared" si="233"/>
        <v>Vaccinia AP - 2nd Donation</v>
      </c>
      <c r="G2123" t="str">
        <f t="shared" si="234"/>
        <v>Specialty</v>
      </c>
      <c r="H2123" t="s">
        <v>482</v>
      </c>
      <c r="I2123">
        <f t="shared" si="235"/>
        <v>0</v>
      </c>
      <c r="J2123" t="s">
        <v>546</v>
      </c>
      <c r="K2123" s="5">
        <v>250</v>
      </c>
      <c r="L2123" t="str">
        <f>Table_DataFromNL[[#This Row],[PROFILECODE]]&amp;"-"&amp;Table_DataFromNL[[#This Row],[RULENAME]]</f>
        <v>CP328-Vaccinia AP - 2nd Donation</v>
      </c>
      <c r="M2123" t="str">
        <f t="shared" si="236"/>
        <v>CP328-Vaccinia AP - 2nd Donation</v>
      </c>
    </row>
    <row r="2124" spans="1:13" x14ac:dyDescent="0.25">
      <c r="A2124" t="str">
        <f t="shared" si="237"/>
        <v>CP328-Vaccinia AP - 3rd Donation</v>
      </c>
      <c r="B2124" t="s">
        <v>255</v>
      </c>
      <c r="C2124" t="str">
        <f t="shared" si="231"/>
        <v>Mobile Moffet</v>
      </c>
      <c r="D2124" t="str">
        <f t="shared" si="232"/>
        <v>Y</v>
      </c>
      <c r="E2124" t="s">
        <v>648</v>
      </c>
      <c r="F2124" t="str">
        <f t="shared" si="233"/>
        <v>Vaccinia AP - 3rd Donation</v>
      </c>
      <c r="G2124" t="str">
        <f t="shared" si="234"/>
        <v>Specialty</v>
      </c>
      <c r="H2124" t="s">
        <v>483</v>
      </c>
      <c r="I2124">
        <f t="shared" si="235"/>
        <v>0</v>
      </c>
      <c r="J2124" t="s">
        <v>546</v>
      </c>
      <c r="K2124" s="5">
        <v>300</v>
      </c>
      <c r="L2124" t="str">
        <f>Table_DataFromNL[[#This Row],[PROFILECODE]]&amp;"-"&amp;Table_DataFromNL[[#This Row],[RULENAME]]</f>
        <v>CP328-Vaccinia AP - 3rd Donation</v>
      </c>
      <c r="M2124" t="str">
        <f t="shared" si="236"/>
        <v>CP328-Vaccinia AP - 3rd Donation</v>
      </c>
    </row>
    <row r="2125" spans="1:13" x14ac:dyDescent="0.25">
      <c r="A2125" t="str">
        <f t="shared" si="237"/>
        <v>CP328-Vaccinia AP - 4th Donation</v>
      </c>
      <c r="B2125" t="s">
        <v>255</v>
      </c>
      <c r="C2125" t="str">
        <f t="shared" si="231"/>
        <v>Mobile Moffet</v>
      </c>
      <c r="D2125" t="str">
        <f t="shared" si="232"/>
        <v>Y</v>
      </c>
      <c r="E2125" t="s">
        <v>648</v>
      </c>
      <c r="F2125" t="str">
        <f t="shared" si="233"/>
        <v>Vaccinia AP - 4th Donation</v>
      </c>
      <c r="G2125" t="str">
        <f t="shared" si="234"/>
        <v>Specialty</v>
      </c>
      <c r="H2125" t="s">
        <v>484</v>
      </c>
      <c r="I2125">
        <f t="shared" si="235"/>
        <v>0</v>
      </c>
      <c r="J2125" t="s">
        <v>546</v>
      </c>
      <c r="K2125" s="5">
        <v>300</v>
      </c>
      <c r="L2125" t="str">
        <f>Table_DataFromNL[[#This Row],[PROFILECODE]]&amp;"-"&amp;Table_DataFromNL[[#This Row],[RULENAME]]</f>
        <v>CP328-Vaccinia AP - 4th Donation</v>
      </c>
      <c r="M2125" t="str">
        <f t="shared" si="236"/>
        <v>CP328-Vaccinia AP - 4th Donation</v>
      </c>
    </row>
    <row r="2126" spans="1:13" x14ac:dyDescent="0.25">
      <c r="A2126" t="str">
        <f t="shared" si="237"/>
        <v>CP328-Community</v>
      </c>
      <c r="B2126" t="s">
        <v>255</v>
      </c>
      <c r="C2126" t="str">
        <f t="shared" si="231"/>
        <v>Mobile Moffet</v>
      </c>
      <c r="D2126" t="str">
        <f t="shared" si="232"/>
        <v>Y</v>
      </c>
      <c r="E2126" t="s">
        <v>648</v>
      </c>
      <c r="F2126" t="str">
        <f t="shared" si="233"/>
        <v>Community</v>
      </c>
      <c r="G2126">
        <f t="shared" si="234"/>
        <v>0</v>
      </c>
      <c r="H2126" t="s">
        <v>563</v>
      </c>
      <c r="I2126">
        <f t="shared" si="235"/>
        <v>0</v>
      </c>
      <c r="J2126" t="s">
        <v>564</v>
      </c>
      <c r="K2126" s="5">
        <v>5</v>
      </c>
      <c r="L2126" t="str">
        <f>Table_DataFromNL[[#This Row],[PROFILECODE]]&amp;"-"&amp;Table_DataFromNL[[#This Row],[RULENAME]]</f>
        <v>CP328-Community</v>
      </c>
      <c r="M2126" t="e">
        <f t="shared" si="236"/>
        <v>#N/A</v>
      </c>
    </row>
    <row r="2127" spans="1:13" x14ac:dyDescent="0.25">
      <c r="A2127" t="str">
        <f t="shared" si="237"/>
        <v>CP328-HANGER_RECRUIT_5USD_once</v>
      </c>
      <c r="B2127" t="s">
        <v>255</v>
      </c>
      <c r="C2127" t="str">
        <f t="shared" si="231"/>
        <v>Mobile Moffet</v>
      </c>
      <c r="D2127" t="str">
        <f t="shared" si="232"/>
        <v>Y</v>
      </c>
      <c r="E2127" t="s">
        <v>648</v>
      </c>
      <c r="F2127" t="str">
        <f t="shared" si="233"/>
        <v>HANGER_RECRUIT_5USD_once</v>
      </c>
      <c r="G2127">
        <f t="shared" si="234"/>
        <v>0</v>
      </c>
      <c r="H2127" t="s">
        <v>565</v>
      </c>
      <c r="I2127">
        <f t="shared" si="235"/>
        <v>0</v>
      </c>
      <c r="J2127" t="s">
        <v>564</v>
      </c>
      <c r="K2127" s="5">
        <v>5</v>
      </c>
      <c r="L2127" t="str">
        <f>Table_DataFromNL[[#This Row],[PROFILECODE]]&amp;"-"&amp;Table_DataFromNL[[#This Row],[RULENAME]]</f>
        <v>CP328-HANGER_RECRUIT_5USD_once</v>
      </c>
      <c r="M2127" t="e">
        <f t="shared" si="236"/>
        <v>#N/A</v>
      </c>
    </row>
    <row r="2128" spans="1:13" x14ac:dyDescent="0.25">
      <c r="A2128" t="str">
        <f t="shared" si="237"/>
        <v>CP328-HBS Missed Donation</v>
      </c>
      <c r="B2128" t="s">
        <v>255</v>
      </c>
      <c r="C2128" t="str">
        <f t="shared" si="231"/>
        <v>Mobile Moffet</v>
      </c>
      <c r="D2128" t="str">
        <f t="shared" si="232"/>
        <v>Y</v>
      </c>
      <c r="E2128" t="s">
        <v>648</v>
      </c>
      <c r="F2128" t="str">
        <f t="shared" si="233"/>
        <v>HBS Missed Donation</v>
      </c>
      <c r="G2128">
        <f t="shared" si="234"/>
        <v>0</v>
      </c>
      <c r="H2128" t="s">
        <v>649</v>
      </c>
      <c r="I2128">
        <f t="shared" si="235"/>
        <v>0</v>
      </c>
      <c r="J2128" t="s">
        <v>564</v>
      </c>
      <c r="K2128" s="5">
        <v>25</v>
      </c>
      <c r="L2128" t="str">
        <f>Table_DataFromNL[[#This Row],[PROFILECODE]]&amp;"-"&amp;Table_DataFromNL[[#This Row],[RULENAME]]</f>
        <v>CP328-HBS Missed Donation</v>
      </c>
      <c r="M2128" t="e">
        <f t="shared" si="236"/>
        <v>#N/A</v>
      </c>
    </row>
    <row r="2129" spans="1:13" x14ac:dyDescent="0.25">
      <c r="A2129" t="str">
        <f t="shared" si="237"/>
        <v>CP328-Immunization Boost Payment</v>
      </c>
      <c r="B2129" t="s">
        <v>255</v>
      </c>
      <c r="C2129" t="str">
        <f t="shared" si="231"/>
        <v>Mobile Moffet</v>
      </c>
      <c r="D2129" t="str">
        <f t="shared" si="232"/>
        <v>Y</v>
      </c>
      <c r="E2129" t="s">
        <v>648</v>
      </c>
      <c r="F2129" t="str">
        <f t="shared" si="233"/>
        <v>Immunization Boost Payment</v>
      </c>
      <c r="G2129">
        <f t="shared" si="234"/>
        <v>0</v>
      </c>
      <c r="H2129" t="s">
        <v>598</v>
      </c>
      <c r="I2129">
        <f t="shared" si="235"/>
        <v>0</v>
      </c>
      <c r="J2129" t="s">
        <v>564</v>
      </c>
      <c r="K2129" s="5">
        <v>50</v>
      </c>
      <c r="L2129" t="str">
        <f>Table_DataFromNL[[#This Row],[PROFILECODE]]&amp;"-"&amp;Table_DataFromNL[[#This Row],[RULENAME]]</f>
        <v>CP328-Immunization Boost Payment</v>
      </c>
      <c r="M2129" t="e">
        <f t="shared" si="236"/>
        <v>#N/A</v>
      </c>
    </row>
    <row r="2130" spans="1:13" x14ac:dyDescent="0.25">
      <c r="A2130" t="str">
        <f t="shared" si="237"/>
        <v>CP328-Immunization Series Payment</v>
      </c>
      <c r="B2130" t="s">
        <v>255</v>
      </c>
      <c r="C2130" t="str">
        <f t="shared" si="231"/>
        <v>Mobile Moffet</v>
      </c>
      <c r="D2130" t="str">
        <f t="shared" si="232"/>
        <v>Y</v>
      </c>
      <c r="E2130" t="s">
        <v>648</v>
      </c>
      <c r="F2130" t="str">
        <f t="shared" si="233"/>
        <v>Immunization Series Payment</v>
      </c>
      <c r="G2130">
        <f t="shared" si="234"/>
        <v>0</v>
      </c>
      <c r="H2130" t="s">
        <v>599</v>
      </c>
      <c r="I2130">
        <f t="shared" si="235"/>
        <v>0</v>
      </c>
      <c r="J2130" t="s">
        <v>564</v>
      </c>
      <c r="K2130" s="5">
        <v>100</v>
      </c>
      <c r="L2130" t="str">
        <f>Table_DataFromNL[[#This Row],[PROFILECODE]]&amp;"-"&amp;Table_DataFromNL[[#This Row],[RULENAME]]</f>
        <v>CP328-Immunization Series Payment</v>
      </c>
      <c r="M2130" t="e">
        <f t="shared" si="236"/>
        <v>#N/A</v>
      </c>
    </row>
    <row r="2131" spans="1:13" x14ac:dyDescent="0.25">
      <c r="A2131" t="str">
        <f t="shared" si="237"/>
        <v>CP328-Inconv Fee $20-$50-Comment Req'd</v>
      </c>
      <c r="B2131" t="s">
        <v>255</v>
      </c>
      <c r="C2131" t="str">
        <f t="shared" si="231"/>
        <v>Mobile Moffet</v>
      </c>
      <c r="D2131" t="str">
        <f t="shared" si="232"/>
        <v>Y</v>
      </c>
      <c r="E2131" t="s">
        <v>648</v>
      </c>
      <c r="F2131" t="str">
        <f t="shared" si="233"/>
        <v>Inconv Fee $20-$50-Comment Req'd</v>
      </c>
      <c r="G2131">
        <f t="shared" si="234"/>
        <v>0</v>
      </c>
      <c r="H2131" t="s">
        <v>566</v>
      </c>
      <c r="I2131">
        <f t="shared" si="235"/>
        <v>0</v>
      </c>
      <c r="J2131" t="s">
        <v>564</v>
      </c>
      <c r="K2131" s="5">
        <v>50</v>
      </c>
      <c r="L2131" t="str">
        <f>Table_DataFromNL[[#This Row],[PROFILECODE]]&amp;"-"&amp;Table_DataFromNL[[#This Row],[RULENAME]]</f>
        <v>CP328-Inconv Fee $20-$50-Comment Req'd</v>
      </c>
      <c r="M2131" t="e">
        <f t="shared" si="236"/>
        <v>#N/A</v>
      </c>
    </row>
    <row r="2132" spans="1:13" x14ac:dyDescent="0.25">
      <c r="A2132" t="str">
        <f t="shared" si="237"/>
        <v>CP328-Inconv Fee $5-$20-Comment Req'd</v>
      </c>
      <c r="B2132" t="s">
        <v>255</v>
      </c>
      <c r="C2132" t="str">
        <f t="shared" si="231"/>
        <v>Mobile Moffet</v>
      </c>
      <c r="D2132" t="str">
        <f t="shared" si="232"/>
        <v>Y</v>
      </c>
      <c r="E2132" t="s">
        <v>648</v>
      </c>
      <c r="F2132" t="str">
        <f t="shared" si="233"/>
        <v>Inconv Fee $5-$20-Comment Req'd</v>
      </c>
      <c r="G2132">
        <f t="shared" si="234"/>
        <v>0</v>
      </c>
      <c r="H2132" t="s">
        <v>567</v>
      </c>
      <c r="I2132">
        <f t="shared" si="235"/>
        <v>0</v>
      </c>
      <c r="J2132" t="s">
        <v>564</v>
      </c>
      <c r="K2132" s="5">
        <v>20</v>
      </c>
      <c r="L2132" t="str">
        <f>Table_DataFromNL[[#This Row],[PROFILECODE]]&amp;"-"&amp;Table_DataFromNL[[#This Row],[RULENAME]]</f>
        <v>CP328-Inconv Fee $5-$20-Comment Req'd</v>
      </c>
      <c r="M2132" t="e">
        <f t="shared" si="236"/>
        <v>#N/A</v>
      </c>
    </row>
    <row r="2133" spans="1:13" x14ac:dyDescent="0.25">
      <c r="A2133" t="str">
        <f t="shared" si="237"/>
        <v>CP328-Inconv Fee$50-$100-Comment Req'd</v>
      </c>
      <c r="B2133" t="s">
        <v>255</v>
      </c>
      <c r="C2133" t="str">
        <f t="shared" si="231"/>
        <v>Mobile Moffet</v>
      </c>
      <c r="D2133" t="str">
        <f t="shared" si="232"/>
        <v>Y</v>
      </c>
      <c r="E2133" t="s">
        <v>648</v>
      </c>
      <c r="F2133" t="str">
        <f t="shared" si="233"/>
        <v>Inconv Fee$50-$100-Comment Req'd</v>
      </c>
      <c r="G2133">
        <f t="shared" si="234"/>
        <v>0</v>
      </c>
      <c r="H2133" t="s">
        <v>568</v>
      </c>
      <c r="I2133">
        <f t="shared" si="235"/>
        <v>0</v>
      </c>
      <c r="J2133" t="s">
        <v>564</v>
      </c>
      <c r="K2133" s="5">
        <v>100</v>
      </c>
      <c r="L2133" t="str">
        <f>Table_DataFromNL[[#This Row],[PROFILECODE]]&amp;"-"&amp;Table_DataFromNL[[#This Row],[RULENAME]]</f>
        <v>CP328-Inconv Fee$50-$100-Comment Req'd</v>
      </c>
      <c r="M2133" t="e">
        <f t="shared" si="236"/>
        <v>#N/A</v>
      </c>
    </row>
    <row r="2134" spans="1:13" x14ac:dyDescent="0.25">
      <c r="A2134" t="str">
        <f t="shared" si="237"/>
        <v>CP328-NSP_ LAPSEDONOR_50_Twice</v>
      </c>
      <c r="B2134" t="s">
        <v>255</v>
      </c>
      <c r="C2134" t="str">
        <f t="shared" si="231"/>
        <v>Mobile Moffet</v>
      </c>
      <c r="D2134" t="str">
        <f t="shared" si="232"/>
        <v>Y</v>
      </c>
      <c r="E2134" t="s">
        <v>648</v>
      </c>
      <c r="F2134" t="str">
        <f t="shared" si="233"/>
        <v>NSP_ LAPSEDONOR_50_Twice</v>
      </c>
      <c r="G2134">
        <f t="shared" si="234"/>
        <v>0</v>
      </c>
      <c r="H2134" t="s">
        <v>569</v>
      </c>
      <c r="I2134">
        <f t="shared" si="235"/>
        <v>0</v>
      </c>
      <c r="J2134" t="s">
        <v>564</v>
      </c>
      <c r="K2134" s="5">
        <v>50</v>
      </c>
      <c r="L2134" t="str">
        <f>Table_DataFromNL[[#This Row],[PROFILECODE]]&amp;"-"&amp;Table_DataFromNL[[#This Row],[RULENAME]]</f>
        <v>CP328-NSP_ LAPSEDONOR_50_Twice</v>
      </c>
      <c r="M2134" t="e">
        <f t="shared" si="236"/>
        <v>#N/A</v>
      </c>
    </row>
    <row r="2135" spans="1:13" x14ac:dyDescent="0.25">
      <c r="A2135" t="str">
        <f t="shared" si="237"/>
        <v>CP328-NSP_LD_25_2X</v>
      </c>
      <c r="B2135" t="s">
        <v>255</v>
      </c>
      <c r="C2135" t="str">
        <f t="shared" si="231"/>
        <v>Mobile Moffet</v>
      </c>
      <c r="D2135" t="str">
        <f t="shared" si="232"/>
        <v>Y</v>
      </c>
      <c r="E2135" t="s">
        <v>648</v>
      </c>
      <c r="F2135" t="str">
        <f t="shared" si="233"/>
        <v>NSP_LD_25_2X</v>
      </c>
      <c r="G2135">
        <f t="shared" si="234"/>
        <v>0</v>
      </c>
      <c r="H2135" t="s">
        <v>570</v>
      </c>
      <c r="I2135">
        <f t="shared" si="235"/>
        <v>0</v>
      </c>
      <c r="J2135" t="s">
        <v>564</v>
      </c>
      <c r="K2135" s="5">
        <v>25</v>
      </c>
      <c r="L2135" t="str">
        <f>Table_DataFromNL[[#This Row],[PROFILECODE]]&amp;"-"&amp;Table_DataFromNL[[#This Row],[RULENAME]]</f>
        <v>CP328-NSP_LD_25_2X</v>
      </c>
      <c r="M2135" t="e">
        <f t="shared" si="236"/>
        <v>#N/A</v>
      </c>
    </row>
    <row r="2136" spans="1:13" x14ac:dyDescent="0.25">
      <c r="A2136" t="str">
        <f t="shared" si="237"/>
        <v>CP328-NSP_LD_50_1X</v>
      </c>
      <c r="B2136" t="s">
        <v>255</v>
      </c>
      <c r="C2136" t="str">
        <f t="shared" si="231"/>
        <v>Mobile Moffet</v>
      </c>
      <c r="D2136" t="str">
        <f t="shared" si="232"/>
        <v>Y</v>
      </c>
      <c r="E2136" t="s">
        <v>648</v>
      </c>
      <c r="F2136" t="str">
        <f t="shared" si="233"/>
        <v>NSP_LD_50_1X</v>
      </c>
      <c r="G2136">
        <f t="shared" si="234"/>
        <v>0</v>
      </c>
      <c r="H2136" t="s">
        <v>571</v>
      </c>
      <c r="I2136">
        <f t="shared" si="235"/>
        <v>0</v>
      </c>
      <c r="J2136" t="s">
        <v>564</v>
      </c>
      <c r="K2136" s="5">
        <v>50</v>
      </c>
      <c r="L2136" t="str">
        <f>Table_DataFromNL[[#This Row],[PROFILECODE]]&amp;"-"&amp;Table_DataFromNL[[#This Row],[RULENAME]]</f>
        <v>CP328-NSP_LD_50_1X</v>
      </c>
      <c r="M2136" t="e">
        <f t="shared" si="236"/>
        <v>#N/A</v>
      </c>
    </row>
    <row r="2137" spans="1:13" x14ac:dyDescent="0.25">
      <c r="A2137" t="str">
        <f t="shared" si="237"/>
        <v>CP328-NSP_ORPHAN_100_once</v>
      </c>
      <c r="B2137" t="s">
        <v>255</v>
      </c>
      <c r="C2137" t="str">
        <f t="shared" si="231"/>
        <v>Mobile Moffet</v>
      </c>
      <c r="D2137" t="str">
        <f t="shared" si="232"/>
        <v>Y</v>
      </c>
      <c r="E2137" t="s">
        <v>648</v>
      </c>
      <c r="F2137" t="str">
        <f t="shared" si="233"/>
        <v>NSP_ORPHAN_100_once</v>
      </c>
      <c r="G2137">
        <f t="shared" si="234"/>
        <v>0</v>
      </c>
      <c r="H2137" t="s">
        <v>572</v>
      </c>
      <c r="I2137">
        <f t="shared" si="235"/>
        <v>0</v>
      </c>
      <c r="J2137" t="s">
        <v>564</v>
      </c>
      <c r="K2137" s="5">
        <v>100</v>
      </c>
      <c r="L2137" t="str">
        <f>Table_DataFromNL[[#This Row],[PROFILECODE]]&amp;"-"&amp;Table_DataFromNL[[#This Row],[RULENAME]]</f>
        <v>CP328-NSP_ORPHAN_100_once</v>
      </c>
      <c r="M2137" t="e">
        <f t="shared" si="236"/>
        <v>#N/A</v>
      </c>
    </row>
    <row r="2138" spans="1:13" x14ac:dyDescent="0.25">
      <c r="A2138" t="str">
        <f t="shared" si="237"/>
        <v>CP328-Referral - Vaccinia</v>
      </c>
      <c r="B2138" t="s">
        <v>255</v>
      </c>
      <c r="C2138" t="str">
        <f t="shared" si="231"/>
        <v>Mobile Moffet</v>
      </c>
      <c r="D2138" t="str">
        <f t="shared" si="232"/>
        <v>Y</v>
      </c>
      <c r="E2138" t="s">
        <v>648</v>
      </c>
      <c r="F2138" t="str">
        <f t="shared" si="233"/>
        <v>Referral - Vaccinia</v>
      </c>
      <c r="G2138">
        <f t="shared" si="234"/>
        <v>0</v>
      </c>
      <c r="H2138" t="s">
        <v>595</v>
      </c>
      <c r="I2138">
        <f t="shared" si="235"/>
        <v>0</v>
      </c>
      <c r="J2138" t="s">
        <v>564</v>
      </c>
      <c r="K2138" s="5">
        <v>200</v>
      </c>
      <c r="L2138" t="str">
        <f>Table_DataFromNL[[#This Row],[PROFILECODE]]&amp;"-"&amp;Table_DataFromNL[[#This Row],[RULENAME]]</f>
        <v>CP328-Referral - Vaccinia</v>
      </c>
      <c r="M2138" t="e">
        <f t="shared" si="236"/>
        <v>#N/A</v>
      </c>
    </row>
    <row r="2139" spans="1:13" x14ac:dyDescent="0.25">
      <c r="A2139" t="str">
        <f t="shared" si="237"/>
        <v>CP328-Restick</v>
      </c>
      <c r="B2139" t="s">
        <v>255</v>
      </c>
      <c r="C2139" t="str">
        <f t="shared" si="231"/>
        <v>Mobile Moffet</v>
      </c>
      <c r="D2139" t="str">
        <f t="shared" si="232"/>
        <v>Y</v>
      </c>
      <c r="E2139" t="s">
        <v>648</v>
      </c>
      <c r="F2139" t="str">
        <f t="shared" si="233"/>
        <v>Restick</v>
      </c>
      <c r="G2139">
        <f t="shared" si="234"/>
        <v>0</v>
      </c>
      <c r="H2139" t="s">
        <v>573</v>
      </c>
      <c r="I2139">
        <f t="shared" si="235"/>
        <v>0</v>
      </c>
      <c r="J2139" t="s">
        <v>564</v>
      </c>
      <c r="K2139" s="5">
        <v>5</v>
      </c>
      <c r="L2139" t="str">
        <f>Table_DataFromNL[[#This Row],[PROFILECODE]]&amp;"-"&amp;Table_DataFromNL[[#This Row],[RULENAME]]</f>
        <v>CP328-Restick</v>
      </c>
      <c r="M2139" t="e">
        <f t="shared" si="236"/>
        <v>#N/A</v>
      </c>
    </row>
    <row r="2140" spans="1:13" x14ac:dyDescent="0.25">
      <c r="A2140" t="str">
        <f t="shared" si="237"/>
        <v>CP328-SLOW_TEXT_5</v>
      </c>
      <c r="B2140" t="s">
        <v>255</v>
      </c>
      <c r="C2140" t="str">
        <f t="shared" si="231"/>
        <v>Mobile Moffet</v>
      </c>
      <c r="D2140" t="str">
        <f t="shared" si="232"/>
        <v>Y</v>
      </c>
      <c r="E2140" t="s">
        <v>648</v>
      </c>
      <c r="F2140" t="str">
        <f t="shared" si="233"/>
        <v>SLOW_TEXT_5</v>
      </c>
      <c r="G2140">
        <f t="shared" si="234"/>
        <v>0</v>
      </c>
      <c r="H2140" t="s">
        <v>574</v>
      </c>
      <c r="I2140">
        <f t="shared" si="235"/>
        <v>0</v>
      </c>
      <c r="J2140" t="s">
        <v>564</v>
      </c>
      <c r="K2140" s="5">
        <v>5</v>
      </c>
      <c r="L2140" t="str">
        <f>Table_DataFromNL[[#This Row],[PROFILECODE]]&amp;"-"&amp;Table_DataFromNL[[#This Row],[RULENAME]]</f>
        <v>CP328-SLOW_TEXT_5</v>
      </c>
      <c r="M2140" t="e">
        <f t="shared" si="236"/>
        <v>#N/A</v>
      </c>
    </row>
    <row r="2141" spans="1:13" x14ac:dyDescent="0.25">
      <c r="A2141" t="str">
        <f t="shared" si="237"/>
        <v>CP328-Sample Only</v>
      </c>
      <c r="B2141" t="s">
        <v>255</v>
      </c>
      <c r="C2141" t="str">
        <f t="shared" si="231"/>
        <v>Mobile Moffet</v>
      </c>
      <c r="D2141" t="str">
        <f t="shared" si="232"/>
        <v>Y</v>
      </c>
      <c r="E2141" t="s">
        <v>648</v>
      </c>
      <c r="F2141" t="str">
        <f t="shared" si="233"/>
        <v>Sample Only</v>
      </c>
      <c r="G2141">
        <f t="shared" si="234"/>
        <v>0</v>
      </c>
      <c r="H2141" t="s">
        <v>575</v>
      </c>
      <c r="I2141">
        <f t="shared" si="235"/>
        <v>0</v>
      </c>
      <c r="J2141" t="s">
        <v>564</v>
      </c>
      <c r="K2141" s="5">
        <v>5</v>
      </c>
      <c r="L2141" t="str">
        <f>Table_DataFromNL[[#This Row],[PROFILECODE]]&amp;"-"&amp;Table_DataFromNL[[#This Row],[RULENAME]]</f>
        <v>CP328-Sample Only</v>
      </c>
      <c r="M2141" t="e">
        <f t="shared" si="236"/>
        <v>#N/A</v>
      </c>
    </row>
    <row r="2142" spans="1:13" x14ac:dyDescent="0.25">
      <c r="A2142" t="str">
        <f t="shared" si="237"/>
        <v>CP328-Unit Below 250 mL</v>
      </c>
      <c r="B2142" t="s">
        <v>255</v>
      </c>
      <c r="C2142" t="str">
        <f t="shared" si="231"/>
        <v>Mobile Moffet</v>
      </c>
      <c r="D2142" t="str">
        <f t="shared" si="232"/>
        <v>Y</v>
      </c>
      <c r="E2142" t="s">
        <v>648</v>
      </c>
      <c r="F2142" t="str">
        <f t="shared" si="233"/>
        <v>Unit Below 250 mL</v>
      </c>
      <c r="G2142">
        <f t="shared" si="234"/>
        <v>0</v>
      </c>
      <c r="H2142" t="s">
        <v>576</v>
      </c>
      <c r="I2142">
        <f t="shared" si="235"/>
        <v>0</v>
      </c>
      <c r="J2142" t="s">
        <v>564</v>
      </c>
      <c r="K2142" s="5">
        <v>5</v>
      </c>
      <c r="L2142" t="str">
        <f>Table_DataFromNL[[#This Row],[PROFILECODE]]&amp;"-"&amp;Table_DataFromNL[[#This Row],[RULENAME]]</f>
        <v>CP328-Unit Below 250 mL</v>
      </c>
      <c r="M2142" t="e">
        <f t="shared" si="236"/>
        <v>#N/A</v>
      </c>
    </row>
    <row r="2143" spans="1:13" x14ac:dyDescent="0.25">
      <c r="A2143" t="str">
        <f t="shared" si="237"/>
        <v>CP328-Unit above 250 mL/underdraw</v>
      </c>
      <c r="B2143" t="s">
        <v>255</v>
      </c>
      <c r="C2143" t="str">
        <f t="shared" si="231"/>
        <v>Mobile Moffet</v>
      </c>
      <c r="D2143" t="str">
        <f t="shared" si="232"/>
        <v>Y</v>
      </c>
      <c r="E2143" t="s">
        <v>648</v>
      </c>
      <c r="F2143" t="str">
        <f t="shared" si="233"/>
        <v>Unit above 250 mL/underdraw</v>
      </c>
      <c r="G2143">
        <f t="shared" si="234"/>
        <v>0</v>
      </c>
      <c r="H2143" t="s">
        <v>577</v>
      </c>
      <c r="I2143">
        <f t="shared" si="235"/>
        <v>0</v>
      </c>
      <c r="J2143" t="s">
        <v>564</v>
      </c>
      <c r="K2143" s="5">
        <v>10</v>
      </c>
      <c r="L2143" t="str">
        <f>Table_DataFromNL[[#This Row],[PROFILECODE]]&amp;"-"&amp;Table_DataFromNL[[#This Row],[RULENAME]]</f>
        <v>CP328-Unit above 250 mL/underdraw</v>
      </c>
      <c r="M2143" t="e">
        <f t="shared" si="236"/>
        <v>#N/A</v>
      </c>
    </row>
    <row r="2144" spans="1:13" x14ac:dyDescent="0.25">
      <c r="A2144" t="str">
        <f t="shared" si="237"/>
        <v>CP328-Vaccinia Immunization</v>
      </c>
      <c r="B2144" t="s">
        <v>255</v>
      </c>
      <c r="C2144" t="str">
        <f t="shared" si="231"/>
        <v>Mobile Moffet</v>
      </c>
      <c r="D2144" t="str">
        <f t="shared" si="232"/>
        <v>Y</v>
      </c>
      <c r="E2144" t="s">
        <v>648</v>
      </c>
      <c r="F2144" t="str">
        <f t="shared" si="233"/>
        <v>Vaccinia Immunization</v>
      </c>
      <c r="G2144">
        <f t="shared" si="234"/>
        <v>0</v>
      </c>
      <c r="H2144" t="s">
        <v>596</v>
      </c>
      <c r="I2144">
        <f t="shared" si="235"/>
        <v>0</v>
      </c>
      <c r="J2144" t="s">
        <v>564</v>
      </c>
      <c r="K2144" s="5">
        <v>100</v>
      </c>
      <c r="L2144" t="str">
        <f>Table_DataFromNL[[#This Row],[PROFILECODE]]&amp;"-"&amp;Table_DataFromNL[[#This Row],[RULENAME]]</f>
        <v>CP328-Vaccinia Immunization</v>
      </c>
      <c r="M2144" t="e">
        <f t="shared" si="236"/>
        <v>#N/A</v>
      </c>
    </row>
    <row r="2145" spans="1:13" x14ac:dyDescent="0.25">
      <c r="A2145" t="str">
        <f t="shared" si="237"/>
        <v>CP328-RETURN - Buddy referral  -BONUS</v>
      </c>
      <c r="B2145" t="s">
        <v>255</v>
      </c>
      <c r="C2145" t="str">
        <f t="shared" si="231"/>
        <v>Mobile Moffet</v>
      </c>
      <c r="D2145" t="str">
        <f t="shared" si="232"/>
        <v>Y</v>
      </c>
      <c r="E2145" t="s">
        <v>648</v>
      </c>
      <c r="F2145" t="str">
        <f t="shared" si="233"/>
        <v>RETURN - Buddy referral  -BONUS</v>
      </c>
      <c r="G2145" t="str">
        <f t="shared" si="234"/>
        <v>Marketing</v>
      </c>
      <c r="H2145" t="s">
        <v>34</v>
      </c>
      <c r="I2145">
        <f t="shared" si="235"/>
        <v>50</v>
      </c>
      <c r="J2145" t="s">
        <v>578</v>
      </c>
      <c r="K2145" s="5">
        <v>50</v>
      </c>
      <c r="L2145" t="str">
        <f>Table_DataFromNL[[#This Row],[PROFILECODE]]&amp;"-"&amp;Table_DataFromNL[[#This Row],[RULENAME]]</f>
        <v>CP328-Referral</v>
      </c>
      <c r="M2145" t="str">
        <f t="shared" si="236"/>
        <v>CP328-RETURN - Buddy referral  -BONUS</v>
      </c>
    </row>
    <row r="2146" spans="1:13" x14ac:dyDescent="0.25">
      <c r="A2146" t="str">
        <f t="shared" si="237"/>
        <v>CP328-P Anti-D Pre-Existing Standard</v>
      </c>
      <c r="B2146" t="s">
        <v>255</v>
      </c>
      <c r="C2146" t="str">
        <f t="shared" si="231"/>
        <v>Mobile Moffet</v>
      </c>
      <c r="D2146" t="str">
        <f t="shared" si="232"/>
        <v>Y</v>
      </c>
      <c r="E2146" t="s">
        <v>648</v>
      </c>
      <c r="F2146" t="str">
        <f t="shared" si="233"/>
        <v>P Anti-D Pre-Existing Standard</v>
      </c>
      <c r="G2146" t="str">
        <f t="shared" si="234"/>
        <v>Specialty</v>
      </c>
      <c r="H2146" t="s">
        <v>469</v>
      </c>
      <c r="I2146" t="str">
        <f t="shared" si="235"/>
        <v>RETURN - 1st don of the week -STD</v>
      </c>
      <c r="J2146" t="s">
        <v>579</v>
      </c>
      <c r="K2146" s="5">
        <v>60</v>
      </c>
      <c r="L2146" t="str">
        <f>Table_DataFromNL[[#This Row],[PROFILECODE]]&amp;"-"&amp;Table_DataFromNL[[#This Row],[RULENAME]]</f>
        <v>CP328-P Anti-D Pre-Existing Standard</v>
      </c>
      <c r="M2146" t="str">
        <f t="shared" si="236"/>
        <v>CP328-P Anti-D Pre-Existing Standard</v>
      </c>
    </row>
    <row r="2147" spans="1:13" x14ac:dyDescent="0.25">
      <c r="A2147" t="str">
        <f t="shared" si="237"/>
        <v>CP328-P Anti-D Standard</v>
      </c>
      <c r="B2147" t="s">
        <v>255</v>
      </c>
      <c r="C2147" t="str">
        <f t="shared" si="231"/>
        <v>Mobile Moffet</v>
      </c>
      <c r="D2147" t="str">
        <f t="shared" si="232"/>
        <v>Y</v>
      </c>
      <c r="E2147" t="s">
        <v>648</v>
      </c>
      <c r="F2147" t="str">
        <f t="shared" si="233"/>
        <v>P Anti-D Standard</v>
      </c>
      <c r="G2147" t="str">
        <f t="shared" si="234"/>
        <v>Specialty</v>
      </c>
      <c r="H2147" t="s">
        <v>474</v>
      </c>
      <c r="I2147" t="str">
        <f t="shared" si="235"/>
        <v>RETURN - 1st don of the week -STD</v>
      </c>
      <c r="J2147" t="s">
        <v>579</v>
      </c>
      <c r="K2147" s="5">
        <v>60</v>
      </c>
      <c r="L2147" t="str">
        <f>Table_DataFromNL[[#This Row],[PROFILECODE]]&amp;"-"&amp;Table_DataFromNL[[#This Row],[RULENAME]]</f>
        <v>CP328-P Anti-D Standard</v>
      </c>
      <c r="M2147" t="str">
        <f t="shared" si="236"/>
        <v>CP328-P Anti-D Standard</v>
      </c>
    </row>
    <row r="2148" spans="1:13" x14ac:dyDescent="0.25">
      <c r="A2148" t="str">
        <f t="shared" si="237"/>
        <v>CP328-P CMV Standard</v>
      </c>
      <c r="B2148" t="s">
        <v>255</v>
      </c>
      <c r="C2148" t="str">
        <f t="shared" si="231"/>
        <v>Mobile Moffet</v>
      </c>
      <c r="D2148" t="str">
        <f t="shared" si="232"/>
        <v>Y</v>
      </c>
      <c r="E2148" t="s">
        <v>648</v>
      </c>
      <c r="F2148" t="str">
        <f t="shared" si="233"/>
        <v>P CMV Standard</v>
      </c>
      <c r="G2148" t="str">
        <f t="shared" si="234"/>
        <v>Specialty</v>
      </c>
      <c r="H2148" t="s">
        <v>501</v>
      </c>
      <c r="I2148" t="str">
        <f t="shared" si="235"/>
        <v>RETURN - 1st don of the week -STD</v>
      </c>
      <c r="J2148" t="s">
        <v>579</v>
      </c>
      <c r="K2148" s="5">
        <v>40</v>
      </c>
      <c r="L2148" t="str">
        <f>Table_DataFromNL[[#This Row],[PROFILECODE]]&amp;"-"&amp;Table_DataFromNL[[#This Row],[RULENAME]]</f>
        <v>CP328-P CMV Standard</v>
      </c>
      <c r="M2148" t="str">
        <f t="shared" si="236"/>
        <v>CP328-P CMV Standard</v>
      </c>
    </row>
    <row r="2149" spans="1:13" x14ac:dyDescent="0.25">
      <c r="A2149" t="str">
        <f t="shared" si="237"/>
        <v>CP328-P HBS Pre-Existing Standard</v>
      </c>
      <c r="B2149" t="s">
        <v>255</v>
      </c>
      <c r="C2149" t="str">
        <f t="shared" si="231"/>
        <v>Mobile Moffet</v>
      </c>
      <c r="D2149" t="str">
        <f t="shared" si="232"/>
        <v>Y</v>
      </c>
      <c r="E2149" t="s">
        <v>648</v>
      </c>
      <c r="F2149" t="str">
        <f t="shared" si="233"/>
        <v>P HBS Pre-Existing Standard</v>
      </c>
      <c r="G2149" t="str">
        <f t="shared" si="234"/>
        <v>Specialty</v>
      </c>
      <c r="H2149" t="s">
        <v>472</v>
      </c>
      <c r="I2149" t="str">
        <f t="shared" si="235"/>
        <v>RETURN - 1st don of the week -STD</v>
      </c>
      <c r="J2149" t="s">
        <v>579</v>
      </c>
      <c r="K2149" s="5">
        <v>40</v>
      </c>
      <c r="L2149" t="str">
        <f>Table_DataFromNL[[#This Row],[PROFILECODE]]&amp;"-"&amp;Table_DataFromNL[[#This Row],[RULENAME]]</f>
        <v>CP328-P HBS Pre-Existing Standard</v>
      </c>
      <c r="M2149" t="str">
        <f t="shared" si="236"/>
        <v>CP328-P HBS Pre-Existing Standard</v>
      </c>
    </row>
    <row r="2150" spans="1:13" x14ac:dyDescent="0.25">
      <c r="A2150" t="str">
        <f t="shared" si="237"/>
        <v>CP328-P HBS Standard</v>
      </c>
      <c r="B2150" t="s">
        <v>255</v>
      </c>
      <c r="C2150" t="str">
        <f t="shared" si="231"/>
        <v>Mobile Moffet</v>
      </c>
      <c r="D2150" t="str">
        <f t="shared" si="232"/>
        <v>Y</v>
      </c>
      <c r="E2150" t="s">
        <v>648</v>
      </c>
      <c r="F2150" t="str">
        <f t="shared" si="233"/>
        <v>P HBS Standard</v>
      </c>
      <c r="G2150" t="str">
        <f t="shared" si="234"/>
        <v>Specialty</v>
      </c>
      <c r="H2150" t="s">
        <v>473</v>
      </c>
      <c r="I2150" t="str">
        <f t="shared" si="235"/>
        <v>RETURN - 1st don of the week -STD</v>
      </c>
      <c r="J2150" t="s">
        <v>579</v>
      </c>
      <c r="K2150" s="5">
        <v>40</v>
      </c>
      <c r="L2150" t="str">
        <f>Table_DataFromNL[[#This Row],[PROFILECODE]]&amp;"-"&amp;Table_DataFromNL[[#This Row],[RULENAME]]</f>
        <v>CP328-P HBS Standard</v>
      </c>
      <c r="M2150" t="str">
        <f t="shared" si="236"/>
        <v>CP328-P HBS Standard</v>
      </c>
    </row>
    <row r="2151" spans="1:13" x14ac:dyDescent="0.25">
      <c r="A2151" t="str">
        <f t="shared" si="237"/>
        <v>CP328-RETURN - 1st don of the week -STD</v>
      </c>
      <c r="B2151" t="s">
        <v>255</v>
      </c>
      <c r="C2151" t="str">
        <f t="shared" si="231"/>
        <v>Mobile Moffet</v>
      </c>
      <c r="D2151" t="str">
        <f t="shared" si="232"/>
        <v>Y</v>
      </c>
      <c r="E2151" t="s">
        <v>648</v>
      </c>
      <c r="F2151" t="str">
        <f t="shared" si="233"/>
        <v>RETURN - 1st don of the week -STD</v>
      </c>
      <c r="G2151" t="str">
        <f t="shared" si="234"/>
        <v>Marketing</v>
      </c>
      <c r="H2151" t="s">
        <v>583</v>
      </c>
      <c r="I2151">
        <f t="shared" si="235"/>
        <v>22</v>
      </c>
      <c r="J2151" t="s">
        <v>579</v>
      </c>
      <c r="K2151" s="5">
        <v>40</v>
      </c>
      <c r="L2151" t="str">
        <f>Table_DataFromNL[[#This Row],[PROFILECODE]]&amp;"-"&amp;Table_DataFromNL[[#This Row],[RULENAME]]</f>
        <v>CP328-P NSP NS AP Standard</v>
      </c>
      <c r="M2151" t="str">
        <f t="shared" si="236"/>
        <v>CP328-RETURN - 1st don of the week -STD</v>
      </c>
    </row>
    <row r="2152" spans="1:13" x14ac:dyDescent="0.25">
      <c r="A2152" t="str">
        <f t="shared" si="237"/>
        <v>CP328-RETURN - 1st don of the week -STD</v>
      </c>
      <c r="B2152" t="s">
        <v>255</v>
      </c>
      <c r="C2152" t="str">
        <f t="shared" si="231"/>
        <v>Mobile Moffet</v>
      </c>
      <c r="D2152" t="str">
        <f t="shared" si="232"/>
        <v>Y</v>
      </c>
      <c r="E2152" t="s">
        <v>648</v>
      </c>
      <c r="F2152" t="str">
        <f t="shared" si="233"/>
        <v>RETURN - 1st don of the week -STD</v>
      </c>
      <c r="G2152" t="str">
        <f t="shared" si="234"/>
        <v>Marketing</v>
      </c>
      <c r="H2152" t="s">
        <v>584</v>
      </c>
      <c r="I2152">
        <f t="shared" si="235"/>
        <v>23</v>
      </c>
      <c r="J2152" t="s">
        <v>579</v>
      </c>
      <c r="K2152" s="5">
        <v>40</v>
      </c>
      <c r="L2152" t="str">
        <f>Table_DataFromNL[[#This Row],[PROFILECODE]]&amp;"-"&amp;Table_DataFromNL[[#This Row],[RULENAME]]</f>
        <v>CP328-P NSP NS Standard</v>
      </c>
      <c r="M2152" t="str">
        <f t="shared" si="236"/>
        <v>CP328-RETURN - 1st don of the week -STD</v>
      </c>
    </row>
    <row r="2153" spans="1:13" x14ac:dyDescent="0.25">
      <c r="A2153" t="str">
        <f t="shared" si="237"/>
        <v>CP328-P Rabies HT Standard</v>
      </c>
      <c r="B2153" t="s">
        <v>255</v>
      </c>
      <c r="C2153" t="str">
        <f t="shared" si="231"/>
        <v>Mobile Moffet</v>
      </c>
      <c r="D2153" t="str">
        <f t="shared" si="232"/>
        <v>Y</v>
      </c>
      <c r="E2153" t="s">
        <v>648</v>
      </c>
      <c r="F2153" t="str">
        <f t="shared" si="233"/>
        <v>P Rabies HT Standard</v>
      </c>
      <c r="G2153" t="str">
        <f t="shared" si="234"/>
        <v>Specialty</v>
      </c>
      <c r="H2153" t="s">
        <v>502</v>
      </c>
      <c r="I2153" t="str">
        <f t="shared" si="235"/>
        <v>RETURN - 1st don of the week -STD</v>
      </c>
      <c r="J2153" t="s">
        <v>579</v>
      </c>
      <c r="K2153" s="5">
        <v>40</v>
      </c>
      <c r="L2153" t="str">
        <f>Table_DataFromNL[[#This Row],[PROFILECODE]]&amp;"-"&amp;Table_DataFromNL[[#This Row],[RULENAME]]</f>
        <v>CP328-P Rabies HT Standard</v>
      </c>
      <c r="M2153" t="str">
        <f t="shared" si="236"/>
        <v>CP328-P Rabies HT Standard</v>
      </c>
    </row>
    <row r="2154" spans="1:13" x14ac:dyDescent="0.25">
      <c r="A2154" t="str">
        <f t="shared" si="237"/>
        <v>CP328-P Rabies Standard</v>
      </c>
      <c r="B2154" t="s">
        <v>255</v>
      </c>
      <c r="C2154" t="str">
        <f t="shared" si="231"/>
        <v>Mobile Moffet</v>
      </c>
      <c r="D2154" t="str">
        <f t="shared" si="232"/>
        <v>Y</v>
      </c>
      <c r="E2154" t="s">
        <v>648</v>
      </c>
      <c r="F2154" t="str">
        <f t="shared" si="233"/>
        <v>P Rabies Standard</v>
      </c>
      <c r="G2154" t="str">
        <f t="shared" si="234"/>
        <v>Specialty</v>
      </c>
      <c r="H2154" t="s">
        <v>503</v>
      </c>
      <c r="I2154" t="str">
        <f t="shared" si="235"/>
        <v>RETURN - 1st don of the week -STD</v>
      </c>
      <c r="J2154" t="s">
        <v>579</v>
      </c>
      <c r="K2154" s="5">
        <v>40</v>
      </c>
      <c r="L2154" t="str">
        <f>Table_DataFromNL[[#This Row],[PROFILECODE]]&amp;"-"&amp;Table_DataFromNL[[#This Row],[RULENAME]]</f>
        <v>CP328-P Rabies Standard</v>
      </c>
      <c r="M2154" t="str">
        <f t="shared" si="236"/>
        <v>CP328-P Rabies Standard</v>
      </c>
    </row>
    <row r="2155" spans="1:13" x14ac:dyDescent="0.25">
      <c r="A2155" t="str">
        <f t="shared" si="237"/>
        <v>CP328-P Tetanus AP Standard</v>
      </c>
      <c r="B2155" t="s">
        <v>255</v>
      </c>
      <c r="C2155" t="str">
        <f t="shared" si="231"/>
        <v>Mobile Moffet</v>
      </c>
      <c r="D2155" t="str">
        <f t="shared" si="232"/>
        <v>Y</v>
      </c>
      <c r="E2155" t="s">
        <v>648</v>
      </c>
      <c r="F2155" t="str">
        <f t="shared" si="233"/>
        <v>P Tetanus AP Standard</v>
      </c>
      <c r="G2155" t="str">
        <f t="shared" si="234"/>
        <v>Specialty</v>
      </c>
      <c r="H2155" t="s">
        <v>492</v>
      </c>
      <c r="I2155" t="str">
        <f t="shared" si="235"/>
        <v>RETURN - 1st don of the week -STD</v>
      </c>
      <c r="J2155" t="s">
        <v>579</v>
      </c>
      <c r="K2155" s="5">
        <v>40</v>
      </c>
      <c r="L2155" t="str">
        <f>Table_DataFromNL[[#This Row],[PROFILECODE]]&amp;"-"&amp;Table_DataFromNL[[#This Row],[RULENAME]]</f>
        <v>CP328-P Tetanus AP Standard</v>
      </c>
      <c r="M2155" t="str">
        <f t="shared" si="236"/>
        <v>CP328-P Tetanus AP Standard</v>
      </c>
    </row>
    <row r="2156" spans="1:13" x14ac:dyDescent="0.25">
      <c r="A2156" t="str">
        <f t="shared" si="237"/>
        <v>CP328-P Tetanus Pre-Existing Standard</v>
      </c>
      <c r="B2156" t="s">
        <v>255</v>
      </c>
      <c r="C2156" t="str">
        <f t="shared" si="231"/>
        <v>Mobile Moffet</v>
      </c>
      <c r="D2156" t="str">
        <f t="shared" si="232"/>
        <v>Y</v>
      </c>
      <c r="E2156" t="s">
        <v>648</v>
      </c>
      <c r="F2156" t="str">
        <f t="shared" si="233"/>
        <v>P Tetanus Pre-Existing Standard</v>
      </c>
      <c r="G2156" t="str">
        <f t="shared" si="234"/>
        <v>Specialty</v>
      </c>
      <c r="H2156" t="s">
        <v>493</v>
      </c>
      <c r="I2156" t="str">
        <f t="shared" si="235"/>
        <v>RETURN - 1st don of the week -STD</v>
      </c>
      <c r="J2156" t="s">
        <v>579</v>
      </c>
      <c r="K2156" s="5">
        <v>40</v>
      </c>
      <c r="L2156" t="str">
        <f>Table_DataFromNL[[#This Row],[PROFILECODE]]&amp;"-"&amp;Table_DataFromNL[[#This Row],[RULENAME]]</f>
        <v>CP328-P Tetanus Pre-Existing Standard</v>
      </c>
      <c r="M2156" t="str">
        <f t="shared" si="236"/>
        <v>CP328-P Tetanus Pre-Existing Standard</v>
      </c>
    </row>
    <row r="2157" spans="1:13" x14ac:dyDescent="0.25">
      <c r="A2157" t="str">
        <f t="shared" si="237"/>
        <v>CP328-P Tetanus Standard</v>
      </c>
      <c r="B2157" t="s">
        <v>255</v>
      </c>
      <c r="C2157" t="str">
        <f t="shared" si="231"/>
        <v>Mobile Moffet</v>
      </c>
      <c r="D2157" t="str">
        <f t="shared" si="232"/>
        <v>Y</v>
      </c>
      <c r="E2157" t="s">
        <v>648</v>
      </c>
      <c r="F2157" t="str">
        <f t="shared" si="233"/>
        <v>P Tetanus Standard</v>
      </c>
      <c r="G2157" t="str">
        <f t="shared" si="234"/>
        <v>Specialty</v>
      </c>
      <c r="H2157" t="s">
        <v>494</v>
      </c>
      <c r="I2157" t="str">
        <f t="shared" si="235"/>
        <v>RETURN - 1st don of the week -STD</v>
      </c>
      <c r="J2157" t="s">
        <v>579</v>
      </c>
      <c r="K2157" s="5">
        <v>40</v>
      </c>
      <c r="L2157" t="str">
        <f>Table_DataFromNL[[#This Row],[PROFILECODE]]&amp;"-"&amp;Table_DataFromNL[[#This Row],[RULENAME]]</f>
        <v>CP328-P Tetanus Standard</v>
      </c>
      <c r="M2157" t="str">
        <f t="shared" si="236"/>
        <v>CP328-P Tetanus Standard</v>
      </c>
    </row>
    <row r="2158" spans="1:13" x14ac:dyDescent="0.25">
      <c r="A2158" t="str">
        <f t="shared" si="237"/>
        <v>CP328-P Tetanus Tox Standard</v>
      </c>
      <c r="B2158" t="s">
        <v>255</v>
      </c>
      <c r="C2158" t="str">
        <f t="shared" si="231"/>
        <v>Mobile Moffet</v>
      </c>
      <c r="D2158" t="str">
        <f t="shared" si="232"/>
        <v>Y</v>
      </c>
      <c r="E2158" t="s">
        <v>648</v>
      </c>
      <c r="F2158" t="str">
        <f t="shared" si="233"/>
        <v>P Tetanus Tox Standard</v>
      </c>
      <c r="G2158" t="str">
        <f t="shared" si="234"/>
        <v>Specialty</v>
      </c>
      <c r="H2158" t="s">
        <v>508</v>
      </c>
      <c r="I2158" t="str">
        <f t="shared" si="235"/>
        <v>RETURN - 1st don of the week -STD</v>
      </c>
      <c r="J2158" t="s">
        <v>579</v>
      </c>
      <c r="K2158" s="5">
        <v>40</v>
      </c>
      <c r="L2158" t="str">
        <f>Table_DataFromNL[[#This Row],[PROFILECODE]]&amp;"-"&amp;Table_DataFromNL[[#This Row],[RULENAME]]</f>
        <v>CP328-P Tetanus Tox Standard</v>
      </c>
      <c r="M2158" t="str">
        <f t="shared" si="236"/>
        <v>CP328-P Tetanus Tox Standard</v>
      </c>
    </row>
    <row r="2159" spans="1:13" x14ac:dyDescent="0.25">
      <c r="A2159" t="str">
        <f t="shared" si="237"/>
        <v>CP328-P Vaccinia AP Standard</v>
      </c>
      <c r="B2159" t="s">
        <v>255</v>
      </c>
      <c r="C2159" t="str">
        <f t="shared" si="231"/>
        <v>Mobile Moffet</v>
      </c>
      <c r="D2159" t="str">
        <f t="shared" si="232"/>
        <v>Y</v>
      </c>
      <c r="E2159" t="s">
        <v>648</v>
      </c>
      <c r="F2159" t="str">
        <f t="shared" si="233"/>
        <v>P Vaccinia AP Standard</v>
      </c>
      <c r="G2159" t="str">
        <f t="shared" si="234"/>
        <v>Specialty</v>
      </c>
      <c r="H2159" t="s">
        <v>475</v>
      </c>
      <c r="I2159">
        <f t="shared" si="235"/>
        <v>0</v>
      </c>
      <c r="J2159" t="s">
        <v>579</v>
      </c>
      <c r="K2159" s="5">
        <v>100</v>
      </c>
      <c r="L2159" t="str">
        <f>Table_DataFromNL[[#This Row],[PROFILECODE]]&amp;"-"&amp;Table_DataFromNL[[#This Row],[RULENAME]]</f>
        <v>CP328-P Vaccinia AP Standard</v>
      </c>
      <c r="M2159" t="str">
        <f t="shared" si="236"/>
        <v>CP328-P Vaccinia AP Standard</v>
      </c>
    </row>
    <row r="2160" spans="1:13" x14ac:dyDescent="0.25">
      <c r="A2160" t="str">
        <f t="shared" si="237"/>
        <v>CP328-P Vaccinia Standard</v>
      </c>
      <c r="B2160" t="s">
        <v>255</v>
      </c>
      <c r="C2160" t="str">
        <f t="shared" si="231"/>
        <v>Mobile Moffet</v>
      </c>
      <c r="D2160" t="str">
        <f t="shared" si="232"/>
        <v>Y</v>
      </c>
      <c r="E2160" t="s">
        <v>648</v>
      </c>
      <c r="F2160" t="str">
        <f t="shared" si="233"/>
        <v>P Vaccinia Standard</v>
      </c>
      <c r="G2160" t="str">
        <f t="shared" si="234"/>
        <v>Specialty</v>
      </c>
      <c r="H2160" t="s">
        <v>476</v>
      </c>
      <c r="I2160">
        <f t="shared" si="235"/>
        <v>0</v>
      </c>
      <c r="J2160" t="s">
        <v>579</v>
      </c>
      <c r="K2160" s="5">
        <v>100</v>
      </c>
      <c r="L2160" t="str">
        <f>Table_DataFromNL[[#This Row],[PROFILECODE]]&amp;"-"&amp;Table_DataFromNL[[#This Row],[RULENAME]]</f>
        <v>CP328-P Vaccinia Standard</v>
      </c>
      <c r="M2160" t="str">
        <f t="shared" si="236"/>
        <v>CP328-P Vaccinia Standard</v>
      </c>
    </row>
    <row r="2161" spans="1:13" x14ac:dyDescent="0.25">
      <c r="A2161" t="str">
        <f t="shared" si="237"/>
        <v>CP133-1st Responder-Medical</v>
      </c>
      <c r="B2161" t="s">
        <v>249</v>
      </c>
      <c r="C2161" t="str">
        <f t="shared" si="231"/>
        <v>Mobile Mont</v>
      </c>
      <c r="D2161" t="str">
        <f t="shared" si="232"/>
        <v>Y</v>
      </c>
      <c r="E2161" t="s">
        <v>650</v>
      </c>
      <c r="F2161" t="str">
        <f t="shared" si="233"/>
        <v>1st Responder-Medical</v>
      </c>
      <c r="G2161">
        <f t="shared" si="234"/>
        <v>0</v>
      </c>
      <c r="H2161" t="s">
        <v>545</v>
      </c>
      <c r="I2161">
        <f t="shared" si="235"/>
        <v>0</v>
      </c>
      <c r="J2161" t="s">
        <v>546</v>
      </c>
      <c r="K2161" s="5">
        <v>5</v>
      </c>
      <c r="L2161" t="str">
        <f>Table_DataFromNL[[#This Row],[PROFILECODE]]&amp;"-"&amp;Table_DataFromNL[[#This Row],[RULENAME]]</f>
        <v>CP133-1st Responder-Medical</v>
      </c>
      <c r="M2161" t="e">
        <f t="shared" si="236"/>
        <v>#N/A</v>
      </c>
    </row>
    <row r="2162" spans="1:13" x14ac:dyDescent="0.25">
      <c r="A2162" t="str">
        <f t="shared" si="237"/>
        <v>CP133-2X Week P Anti-D</v>
      </c>
      <c r="B2162" t="s">
        <v>249</v>
      </c>
      <c r="C2162" t="str">
        <f t="shared" si="231"/>
        <v>Mobile Mont</v>
      </c>
      <c r="D2162" t="str">
        <f t="shared" si="232"/>
        <v>Y</v>
      </c>
      <c r="E2162" t="s">
        <v>650</v>
      </c>
      <c r="F2162" t="str">
        <f t="shared" si="233"/>
        <v>2X Week P Anti-D</v>
      </c>
      <c r="G2162" t="str">
        <f t="shared" si="234"/>
        <v>Specialty</v>
      </c>
      <c r="H2162" t="s">
        <v>518</v>
      </c>
      <c r="I2162" t="str">
        <f t="shared" si="235"/>
        <v>RETURN - 2nd don of the week -BONUS</v>
      </c>
      <c r="J2162" t="s">
        <v>546</v>
      </c>
      <c r="K2162" s="5">
        <v>80</v>
      </c>
      <c r="L2162" t="str">
        <f>Table_DataFromNL[[#This Row],[PROFILECODE]]&amp;"-"&amp;Table_DataFromNL[[#This Row],[RULENAME]]</f>
        <v>CP133-2X Week P Anti-D</v>
      </c>
      <c r="M2162" t="str">
        <f t="shared" si="236"/>
        <v>CP133-2X Week P Anti-D</v>
      </c>
    </row>
    <row r="2163" spans="1:13" x14ac:dyDescent="0.25">
      <c r="A2163" t="str">
        <f t="shared" si="237"/>
        <v>CP133-2X Week P CMV</v>
      </c>
      <c r="B2163" t="s">
        <v>249</v>
      </c>
      <c r="C2163" t="str">
        <f t="shared" si="231"/>
        <v>Mobile Mont</v>
      </c>
      <c r="D2163" t="str">
        <f t="shared" si="232"/>
        <v>Y</v>
      </c>
      <c r="E2163" t="s">
        <v>650</v>
      </c>
      <c r="F2163" t="str">
        <f t="shared" si="233"/>
        <v>2X Week P CMV</v>
      </c>
      <c r="G2163" t="str">
        <f t="shared" si="234"/>
        <v>Specialty</v>
      </c>
      <c r="H2163" t="s">
        <v>498</v>
      </c>
      <c r="I2163" t="str">
        <f t="shared" si="235"/>
        <v>RETURN - 2nd don of the week -BONUS</v>
      </c>
      <c r="J2163" t="s">
        <v>546</v>
      </c>
      <c r="K2163" s="5">
        <v>50</v>
      </c>
      <c r="L2163" t="str">
        <f>Table_DataFromNL[[#This Row],[PROFILECODE]]&amp;"-"&amp;Table_DataFromNL[[#This Row],[RULENAME]]</f>
        <v>CP133-2X Week P CMV</v>
      </c>
      <c r="M2163" t="str">
        <f t="shared" si="236"/>
        <v>CP133-2X Week P CMV</v>
      </c>
    </row>
    <row r="2164" spans="1:13" x14ac:dyDescent="0.25">
      <c r="A2164" t="str">
        <f t="shared" si="237"/>
        <v>CP133-2X Week P HBS</v>
      </c>
      <c r="B2164" t="s">
        <v>249</v>
      </c>
      <c r="C2164" t="str">
        <f t="shared" si="231"/>
        <v>Mobile Mont</v>
      </c>
      <c r="D2164" t="str">
        <f t="shared" si="232"/>
        <v>Y</v>
      </c>
      <c r="E2164" t="s">
        <v>650</v>
      </c>
      <c r="F2164" t="str">
        <f t="shared" si="233"/>
        <v>2X Week P HBS</v>
      </c>
      <c r="G2164" t="str">
        <f t="shared" si="234"/>
        <v>Specialty</v>
      </c>
      <c r="H2164" t="s">
        <v>470</v>
      </c>
      <c r="I2164" t="str">
        <f t="shared" si="235"/>
        <v>RETURN - 2nd don of the week -BONUS</v>
      </c>
      <c r="J2164" t="s">
        <v>546</v>
      </c>
      <c r="K2164" s="5">
        <v>100</v>
      </c>
      <c r="L2164" t="str">
        <f>Table_DataFromNL[[#This Row],[PROFILECODE]]&amp;"-"&amp;Table_DataFromNL[[#This Row],[RULENAME]]</f>
        <v>CP133-2X Week P HBS</v>
      </c>
      <c r="M2164" t="str">
        <f t="shared" si="236"/>
        <v>CP133-2X Week P HBS</v>
      </c>
    </row>
    <row r="2165" spans="1:13" x14ac:dyDescent="0.25">
      <c r="A2165" t="str">
        <f t="shared" si="237"/>
        <v>CP133-2X Week P HBS Pre-Existing</v>
      </c>
      <c r="B2165" t="s">
        <v>249</v>
      </c>
      <c r="C2165" t="str">
        <f t="shared" si="231"/>
        <v>Mobile Mont</v>
      </c>
      <c r="D2165" t="str">
        <f t="shared" si="232"/>
        <v>Y</v>
      </c>
      <c r="E2165" t="s">
        <v>650</v>
      </c>
      <c r="F2165" t="str">
        <f t="shared" si="233"/>
        <v>2X Week P HBS Pre-Existing</v>
      </c>
      <c r="G2165" t="str">
        <f t="shared" si="234"/>
        <v>Specialty</v>
      </c>
      <c r="H2165" t="s">
        <v>471</v>
      </c>
      <c r="I2165" t="str">
        <f t="shared" si="235"/>
        <v>RETURN - 2nd don of the week -BONUS</v>
      </c>
      <c r="J2165" t="s">
        <v>546</v>
      </c>
      <c r="K2165" s="5">
        <v>100</v>
      </c>
      <c r="L2165" t="str">
        <f>Table_DataFromNL[[#This Row],[PROFILECODE]]&amp;"-"&amp;Table_DataFromNL[[#This Row],[RULENAME]]</f>
        <v>CP133-2X Week P HBS Pre-Existing</v>
      </c>
      <c r="M2165" t="str">
        <f t="shared" si="236"/>
        <v>CP133-2X Week P HBS Pre-Existing</v>
      </c>
    </row>
    <row r="2166" spans="1:13" x14ac:dyDescent="0.25">
      <c r="A2166" t="str">
        <f t="shared" si="237"/>
        <v>CP133-RETURN - 2nd don of the week -BONUS</v>
      </c>
      <c r="B2166" t="s">
        <v>249</v>
      </c>
      <c r="C2166" t="str">
        <f t="shared" si="231"/>
        <v>Mobile Mont</v>
      </c>
      <c r="D2166" t="str">
        <f t="shared" si="232"/>
        <v>Y</v>
      </c>
      <c r="E2166" t="s">
        <v>650</v>
      </c>
      <c r="F2166" t="str">
        <f t="shared" si="233"/>
        <v>RETURN - 2nd don of the week -BONUS</v>
      </c>
      <c r="G2166" t="str">
        <f t="shared" si="234"/>
        <v>Marketing</v>
      </c>
      <c r="H2166" t="s">
        <v>550</v>
      </c>
      <c r="I2166">
        <f t="shared" si="235"/>
        <v>26</v>
      </c>
      <c r="J2166" t="s">
        <v>546</v>
      </c>
      <c r="K2166" s="5">
        <v>50</v>
      </c>
      <c r="L2166" t="str">
        <f>Table_DataFromNL[[#This Row],[PROFILECODE]]&amp;"-"&amp;Table_DataFromNL[[#This Row],[RULENAME]]</f>
        <v>CP133-2X Week P NSP NS</v>
      </c>
      <c r="M2166" t="str">
        <f t="shared" si="236"/>
        <v>CP133-RETURN - 2nd don of the week -BONUS</v>
      </c>
    </row>
    <row r="2167" spans="1:13" x14ac:dyDescent="0.25">
      <c r="A2167" t="str">
        <f t="shared" si="237"/>
        <v>CP133-RETURN - 2nd don of the week -BONUS</v>
      </c>
      <c r="B2167" t="s">
        <v>249</v>
      </c>
      <c r="C2167" t="str">
        <f t="shared" si="231"/>
        <v>Mobile Mont</v>
      </c>
      <c r="D2167" t="str">
        <f t="shared" si="232"/>
        <v>Y</v>
      </c>
      <c r="E2167" t="s">
        <v>650</v>
      </c>
      <c r="F2167" t="str">
        <f t="shared" si="233"/>
        <v>RETURN - 2nd don of the week -BONUS</v>
      </c>
      <c r="G2167" t="str">
        <f t="shared" si="234"/>
        <v>Marketing</v>
      </c>
      <c r="H2167" t="s">
        <v>551</v>
      </c>
      <c r="I2167" t="str">
        <f t="shared" si="235"/>
        <v>RETURN - 2nd don of the week -BONUS</v>
      </c>
      <c r="J2167" t="s">
        <v>546</v>
      </c>
      <c r="K2167" s="5">
        <v>50</v>
      </c>
      <c r="L2167" t="str">
        <f>Table_DataFromNL[[#This Row],[PROFILECODE]]&amp;"-"&amp;Table_DataFromNL[[#This Row],[RULENAME]]</f>
        <v>CP133-2X Week P NSP NS AP</v>
      </c>
      <c r="M2167" t="str">
        <f t="shared" si="236"/>
        <v>CP133-RETURN - 2nd don of the week -BONUS</v>
      </c>
    </row>
    <row r="2168" spans="1:13" x14ac:dyDescent="0.25">
      <c r="A2168" t="str">
        <f t="shared" si="237"/>
        <v>CP133-2X Week P Rabies</v>
      </c>
      <c r="B2168" t="s">
        <v>249</v>
      </c>
      <c r="C2168" t="str">
        <f t="shared" si="231"/>
        <v>Mobile Mont</v>
      </c>
      <c r="D2168" t="str">
        <f t="shared" si="232"/>
        <v>Y</v>
      </c>
      <c r="E2168" t="s">
        <v>650</v>
      </c>
      <c r="F2168" t="str">
        <f t="shared" si="233"/>
        <v>2X Week P Rabies</v>
      </c>
      <c r="G2168" t="str">
        <f t="shared" si="234"/>
        <v>Specialty</v>
      </c>
      <c r="H2168" t="s">
        <v>499</v>
      </c>
      <c r="I2168" t="str">
        <f t="shared" si="235"/>
        <v>RETURN - 2nd don of the week -BONUS</v>
      </c>
      <c r="J2168" t="s">
        <v>546</v>
      </c>
      <c r="K2168" s="5">
        <v>100</v>
      </c>
      <c r="L2168" t="str">
        <f>Table_DataFromNL[[#This Row],[PROFILECODE]]&amp;"-"&amp;Table_DataFromNL[[#This Row],[RULENAME]]</f>
        <v>CP133-2X Week P Rabies</v>
      </c>
      <c r="M2168" t="str">
        <f t="shared" si="236"/>
        <v>CP133-2X Week P Rabies</v>
      </c>
    </row>
    <row r="2169" spans="1:13" x14ac:dyDescent="0.25">
      <c r="A2169" t="str">
        <f t="shared" si="237"/>
        <v>CP133-2X Week P Rabies HT</v>
      </c>
      <c r="B2169" t="s">
        <v>249</v>
      </c>
      <c r="C2169" t="str">
        <f t="shared" si="231"/>
        <v>Mobile Mont</v>
      </c>
      <c r="D2169" t="str">
        <f t="shared" si="232"/>
        <v>Y</v>
      </c>
      <c r="E2169" t="s">
        <v>650</v>
      </c>
      <c r="F2169" t="str">
        <f t="shared" si="233"/>
        <v>2X Week P Rabies HT</v>
      </c>
      <c r="G2169" t="str">
        <f t="shared" si="234"/>
        <v>Specialty</v>
      </c>
      <c r="H2169" t="s">
        <v>500</v>
      </c>
      <c r="I2169" t="str">
        <f t="shared" si="235"/>
        <v>RETURN - 2nd don of the week -BONUS</v>
      </c>
      <c r="J2169" t="s">
        <v>546</v>
      </c>
      <c r="K2169" s="5">
        <v>100</v>
      </c>
      <c r="L2169" t="str">
        <f>Table_DataFromNL[[#This Row],[PROFILECODE]]&amp;"-"&amp;Table_DataFromNL[[#This Row],[RULENAME]]</f>
        <v>CP133-2X Week P Rabies HT</v>
      </c>
      <c r="M2169" t="str">
        <f t="shared" si="236"/>
        <v>CP133-2X Week P Rabies HT</v>
      </c>
    </row>
    <row r="2170" spans="1:13" x14ac:dyDescent="0.25">
      <c r="A2170" t="str">
        <f t="shared" si="237"/>
        <v>CP133-2X Week P Tetanus</v>
      </c>
      <c r="B2170" t="s">
        <v>249</v>
      </c>
      <c r="C2170" t="str">
        <f t="shared" si="231"/>
        <v>Mobile Mont</v>
      </c>
      <c r="D2170" t="str">
        <f t="shared" si="232"/>
        <v>Y</v>
      </c>
      <c r="E2170" t="s">
        <v>650</v>
      </c>
      <c r="F2170" t="str">
        <f t="shared" si="233"/>
        <v>2X Week P Tetanus</v>
      </c>
      <c r="G2170" t="str">
        <f t="shared" si="234"/>
        <v>Specialty</v>
      </c>
      <c r="H2170" t="s">
        <v>485</v>
      </c>
      <c r="I2170" t="str">
        <f t="shared" si="235"/>
        <v>RETURN - 2nd don of the week -BONUS</v>
      </c>
      <c r="J2170" t="s">
        <v>546</v>
      </c>
      <c r="K2170" s="5">
        <v>100</v>
      </c>
      <c r="L2170" t="str">
        <f>Table_DataFromNL[[#This Row],[PROFILECODE]]&amp;"-"&amp;Table_DataFromNL[[#This Row],[RULENAME]]</f>
        <v>CP133-2X Week P Tetanus</v>
      </c>
      <c r="M2170" t="str">
        <f t="shared" si="236"/>
        <v>CP133-2X Week P Tetanus</v>
      </c>
    </row>
    <row r="2171" spans="1:13" x14ac:dyDescent="0.25">
      <c r="A2171" t="str">
        <f t="shared" si="237"/>
        <v>CP133-2X Week P Tetanus AP</v>
      </c>
      <c r="B2171" t="s">
        <v>249</v>
      </c>
      <c r="C2171" t="str">
        <f t="shared" si="231"/>
        <v>Mobile Mont</v>
      </c>
      <c r="D2171" t="str">
        <f t="shared" si="232"/>
        <v>Y</v>
      </c>
      <c r="E2171" t="s">
        <v>650</v>
      </c>
      <c r="F2171" t="str">
        <f t="shared" si="233"/>
        <v>2X Week P Tetanus AP</v>
      </c>
      <c r="G2171" t="str">
        <f t="shared" si="234"/>
        <v>Specialty</v>
      </c>
      <c r="H2171" t="s">
        <v>486</v>
      </c>
      <c r="I2171" t="str">
        <f t="shared" si="235"/>
        <v>RETURN - 2nd don of the week -BONUS</v>
      </c>
      <c r="J2171" t="s">
        <v>546</v>
      </c>
      <c r="K2171" s="5">
        <v>100</v>
      </c>
      <c r="L2171" t="str">
        <f>Table_DataFromNL[[#This Row],[PROFILECODE]]&amp;"-"&amp;Table_DataFromNL[[#This Row],[RULENAME]]</f>
        <v>CP133-2X Week P Tetanus AP</v>
      </c>
      <c r="M2171" t="str">
        <f t="shared" si="236"/>
        <v>CP133-2X Week P Tetanus AP</v>
      </c>
    </row>
    <row r="2172" spans="1:13" x14ac:dyDescent="0.25">
      <c r="A2172" t="str">
        <f t="shared" si="237"/>
        <v>CP133-2X Week P Tetanus PE</v>
      </c>
      <c r="B2172" t="s">
        <v>249</v>
      </c>
      <c r="C2172" t="str">
        <f t="shared" si="231"/>
        <v>Mobile Mont</v>
      </c>
      <c r="D2172" t="str">
        <f t="shared" si="232"/>
        <v>Y</v>
      </c>
      <c r="E2172" t="s">
        <v>650</v>
      </c>
      <c r="F2172" t="str">
        <f t="shared" si="233"/>
        <v>2X Week P Tetanus PE</v>
      </c>
      <c r="G2172" t="str">
        <f t="shared" si="234"/>
        <v>Specialty</v>
      </c>
      <c r="H2172" t="s">
        <v>487</v>
      </c>
      <c r="I2172" t="str">
        <f t="shared" si="235"/>
        <v>RETURN - 2nd don of the week -BONUS</v>
      </c>
      <c r="J2172" t="s">
        <v>546</v>
      </c>
      <c r="K2172" s="5">
        <v>100</v>
      </c>
      <c r="L2172" t="str">
        <f>Table_DataFromNL[[#This Row],[PROFILECODE]]&amp;"-"&amp;Table_DataFromNL[[#This Row],[RULENAME]]</f>
        <v>CP133-2X Week P Tetanus PE</v>
      </c>
      <c r="M2172" t="str">
        <f t="shared" si="236"/>
        <v>CP133-2X Week P Tetanus PE</v>
      </c>
    </row>
    <row r="2173" spans="1:13" x14ac:dyDescent="0.25">
      <c r="A2173" t="str">
        <f t="shared" si="237"/>
        <v>CP133-2X Week P VIP A</v>
      </c>
      <c r="B2173" t="s">
        <v>249</v>
      </c>
      <c r="C2173" t="str">
        <f t="shared" si="231"/>
        <v>Mobile Mont</v>
      </c>
      <c r="D2173" t="str">
        <f t="shared" si="232"/>
        <v>Y</v>
      </c>
      <c r="E2173" t="s">
        <v>650</v>
      </c>
      <c r="F2173" t="str">
        <f t="shared" si="233"/>
        <v>2X Week P VIP A</v>
      </c>
      <c r="G2173" t="str">
        <f t="shared" si="234"/>
        <v>Specialty</v>
      </c>
      <c r="H2173" t="s">
        <v>510</v>
      </c>
      <c r="I2173" t="str">
        <f t="shared" si="235"/>
        <v>RETURN - 2nd don of the week -BONUS</v>
      </c>
      <c r="J2173" t="s">
        <v>546</v>
      </c>
      <c r="K2173" s="5">
        <v>100</v>
      </c>
      <c r="L2173" t="str">
        <f>Table_DataFromNL[[#This Row],[PROFILECODE]]&amp;"-"&amp;Table_DataFromNL[[#This Row],[RULENAME]]</f>
        <v>CP133-2X Week P VIP A</v>
      </c>
      <c r="M2173" t="str">
        <f t="shared" si="236"/>
        <v>CP133-2X Week P VIP A</v>
      </c>
    </row>
    <row r="2174" spans="1:13" x14ac:dyDescent="0.25">
      <c r="A2174" t="str">
        <f t="shared" si="237"/>
        <v>CP133-2X Week P VIP AB</v>
      </c>
      <c r="B2174" t="s">
        <v>249</v>
      </c>
      <c r="C2174" t="str">
        <f t="shared" si="231"/>
        <v>Mobile Mont</v>
      </c>
      <c r="D2174" t="str">
        <f t="shared" si="232"/>
        <v>Y</v>
      </c>
      <c r="E2174" t="s">
        <v>650</v>
      </c>
      <c r="F2174" t="str">
        <f t="shared" si="233"/>
        <v>2X Week P VIP AB</v>
      </c>
      <c r="G2174" t="str">
        <f t="shared" si="234"/>
        <v>Specialty</v>
      </c>
      <c r="H2174" t="s">
        <v>511</v>
      </c>
      <c r="I2174" t="str">
        <f t="shared" si="235"/>
        <v>RETURN - 2nd don of the week -BONUS</v>
      </c>
      <c r="J2174" t="s">
        <v>546</v>
      </c>
      <c r="K2174" s="5">
        <v>100</v>
      </c>
      <c r="L2174" t="str">
        <f>Table_DataFromNL[[#This Row],[PROFILECODE]]&amp;"-"&amp;Table_DataFromNL[[#This Row],[RULENAME]]</f>
        <v>CP133-2X Week P VIP AB</v>
      </c>
      <c r="M2174" t="str">
        <f t="shared" si="236"/>
        <v>CP133-2X Week P VIP AB</v>
      </c>
    </row>
    <row r="2175" spans="1:13" x14ac:dyDescent="0.25">
      <c r="A2175" t="str">
        <f t="shared" si="237"/>
        <v>CP133-RETURN - 6th don of the month -BONUS</v>
      </c>
      <c r="B2175" t="s">
        <v>249</v>
      </c>
      <c r="C2175" t="str">
        <f t="shared" si="231"/>
        <v>Mobile Mont</v>
      </c>
      <c r="D2175" t="str">
        <f t="shared" si="232"/>
        <v>Y</v>
      </c>
      <c r="E2175" t="s">
        <v>650</v>
      </c>
      <c r="F2175" t="str">
        <f t="shared" si="233"/>
        <v>RETURN - 6th don of the month -BONUS</v>
      </c>
      <c r="G2175" t="str">
        <f t="shared" si="234"/>
        <v>Marketing</v>
      </c>
      <c r="H2175" t="s">
        <v>552</v>
      </c>
      <c r="I2175">
        <f t="shared" si="235"/>
        <v>28</v>
      </c>
      <c r="J2175" t="s">
        <v>546</v>
      </c>
      <c r="K2175" s="5">
        <v>30</v>
      </c>
      <c r="L2175" t="str">
        <f>Table_DataFromNL[[#This Row],[PROFILECODE]]&amp;"-"&amp;Table_DataFromNL[[#This Row],[RULENAME]]</f>
        <v>CP133-6X Month</v>
      </c>
      <c r="M2175" t="str">
        <f t="shared" si="236"/>
        <v>CP133-RETURN - 6th don of the month -BONUS</v>
      </c>
    </row>
    <row r="2176" spans="1:13" x14ac:dyDescent="0.25">
      <c r="A2176" t="str">
        <f t="shared" si="237"/>
        <v>CP133-College ID Standard Bonus</v>
      </c>
      <c r="B2176" t="s">
        <v>249</v>
      </c>
      <c r="C2176" t="str">
        <f t="shared" si="231"/>
        <v>Mobile Mont</v>
      </c>
      <c r="D2176" t="str">
        <f t="shared" si="232"/>
        <v>Y</v>
      </c>
      <c r="E2176" t="s">
        <v>650</v>
      </c>
      <c r="F2176" t="str">
        <f t="shared" si="233"/>
        <v>College ID Standard Bonus</v>
      </c>
      <c r="G2176">
        <f t="shared" si="234"/>
        <v>0</v>
      </c>
      <c r="H2176" t="s">
        <v>553</v>
      </c>
      <c r="I2176">
        <f t="shared" si="235"/>
        <v>0</v>
      </c>
      <c r="J2176" t="s">
        <v>546</v>
      </c>
      <c r="K2176" s="5">
        <v>5</v>
      </c>
      <c r="L2176" t="str">
        <f>Table_DataFromNL[[#This Row],[PROFILECODE]]&amp;"-"&amp;Table_DataFromNL[[#This Row],[RULENAME]]</f>
        <v>CP133-College ID Standard Bonus</v>
      </c>
      <c r="M2176" t="e">
        <f t="shared" si="236"/>
        <v>#N/A</v>
      </c>
    </row>
    <row r="2177" spans="1:13" x14ac:dyDescent="0.25">
      <c r="A2177" t="str">
        <f t="shared" si="237"/>
        <v>CP133-Military ID</v>
      </c>
      <c r="B2177" t="s">
        <v>249</v>
      </c>
      <c r="C2177" t="str">
        <f t="shared" si="231"/>
        <v>Mobile Mont</v>
      </c>
      <c r="D2177" t="str">
        <f t="shared" si="232"/>
        <v>Y</v>
      </c>
      <c r="E2177" t="s">
        <v>650</v>
      </c>
      <c r="F2177" t="str">
        <f t="shared" si="233"/>
        <v>Military ID</v>
      </c>
      <c r="G2177">
        <f t="shared" si="234"/>
        <v>0</v>
      </c>
      <c r="H2177" t="s">
        <v>554</v>
      </c>
      <c r="I2177">
        <f t="shared" si="235"/>
        <v>0</v>
      </c>
      <c r="J2177" t="s">
        <v>546</v>
      </c>
      <c r="K2177" s="5">
        <v>5</v>
      </c>
      <c r="L2177" t="str">
        <f>Table_DataFromNL[[#This Row],[PROFILECODE]]&amp;"-"&amp;Table_DataFromNL[[#This Row],[RULENAME]]</f>
        <v>CP133-Military ID</v>
      </c>
      <c r="M2177" t="e">
        <f t="shared" si="236"/>
        <v>#N/A</v>
      </c>
    </row>
    <row r="2178" spans="1:13" x14ac:dyDescent="0.25">
      <c r="A2178" t="str">
        <f t="shared" si="237"/>
        <v>CP133-NEW DONOR -1st</v>
      </c>
      <c r="B2178" t="s">
        <v>249</v>
      </c>
      <c r="C2178" t="str">
        <f t="shared" ref="C2178:C2241" si="238">VLOOKUP(B2178,CenterLU,2,FALSE)</f>
        <v>Mobile Mont</v>
      </c>
      <c r="D2178" t="str">
        <f t="shared" ref="D2178:D2241" si="239">VLOOKUP(B2178,CenterLU,3,FALSE)</f>
        <v>Y</v>
      </c>
      <c r="E2178" t="s">
        <v>650</v>
      </c>
      <c r="F2178" t="str">
        <f t="shared" ref="F2178:F2241" si="240">IF(VLOOKUP(H2178,RULENAMELU,3,FALSE)=0,H2178,VLOOKUP(H2178,RULENAMELU,3,FALSE))</f>
        <v>NEW DONOR -1st</v>
      </c>
      <c r="G2178" t="str">
        <f t="shared" ref="G2178:G2241" si="241">VLOOKUP(H2178,RULENAMELU,4,FALSE)</f>
        <v>Marketing</v>
      </c>
      <c r="H2178" t="s">
        <v>555</v>
      </c>
      <c r="I2178">
        <f t="shared" ref="I2178:I2241" si="242">VLOOKUP(H2178,RULENAMELU,5,FALSE)</f>
        <v>1</v>
      </c>
      <c r="J2178" t="s">
        <v>546</v>
      </c>
      <c r="K2178" s="5">
        <v>100</v>
      </c>
      <c r="L2178" t="str">
        <f>Table_DataFromNL[[#This Row],[PROFILECODE]]&amp;"-"&amp;Table_DataFromNL[[#This Row],[RULENAME]]</f>
        <v>CP133-New Donor 1st Visit-Bonus</v>
      </c>
      <c r="M2178" t="str">
        <f t="shared" ref="M2178:M2241" si="243">IFERROR(VLOOKUP(A2178,PaychangesLU,1,FALSE),VLOOKUP(A2178,SpecialtyCheckLU,1,FALSE))</f>
        <v>CP133-NEW DONOR -1st</v>
      </c>
    </row>
    <row r="2179" spans="1:13" x14ac:dyDescent="0.25">
      <c r="A2179" t="str">
        <f t="shared" ref="A2179:A2242" si="244">B2179&amp;"-"&amp;F2179</f>
        <v>CP133-NEW DONOR -2nd</v>
      </c>
      <c r="B2179" t="s">
        <v>249</v>
      </c>
      <c r="C2179" t="str">
        <f t="shared" si="238"/>
        <v>Mobile Mont</v>
      </c>
      <c r="D2179" t="str">
        <f t="shared" si="239"/>
        <v>Y</v>
      </c>
      <c r="E2179" t="s">
        <v>650</v>
      </c>
      <c r="F2179" t="str">
        <f t="shared" si="240"/>
        <v>NEW DONOR -2nd</v>
      </c>
      <c r="G2179" t="str">
        <f t="shared" si="241"/>
        <v>Marketing</v>
      </c>
      <c r="H2179" t="s">
        <v>556</v>
      </c>
      <c r="I2179">
        <f t="shared" si="242"/>
        <v>2</v>
      </c>
      <c r="J2179" t="s">
        <v>546</v>
      </c>
      <c r="K2179" s="5">
        <v>100</v>
      </c>
      <c r="L2179" t="str">
        <f>Table_DataFromNL[[#This Row],[PROFILECODE]]&amp;"-"&amp;Table_DataFromNL[[#This Row],[RULENAME]]</f>
        <v>CP133-New Donor 2nd Visit-Bonus</v>
      </c>
      <c r="M2179" t="str">
        <f t="shared" si="243"/>
        <v>CP133-NEW DONOR -2nd</v>
      </c>
    </row>
    <row r="2180" spans="1:13" x14ac:dyDescent="0.25">
      <c r="A2180" t="str">
        <f t="shared" si="244"/>
        <v>CP133-NEW DONOR -3rd</v>
      </c>
      <c r="B2180" t="s">
        <v>249</v>
      </c>
      <c r="C2180" t="str">
        <f t="shared" si="238"/>
        <v>Mobile Mont</v>
      </c>
      <c r="D2180" t="str">
        <f t="shared" si="239"/>
        <v>Y</v>
      </c>
      <c r="E2180" t="s">
        <v>650</v>
      </c>
      <c r="F2180" t="str">
        <f t="shared" si="240"/>
        <v>NEW DONOR -3rd</v>
      </c>
      <c r="G2180" t="str">
        <f t="shared" si="241"/>
        <v>Marketing</v>
      </c>
      <c r="H2180" t="s">
        <v>557</v>
      </c>
      <c r="I2180">
        <f t="shared" si="242"/>
        <v>3</v>
      </c>
      <c r="J2180" t="s">
        <v>546</v>
      </c>
      <c r="K2180" s="5">
        <v>100</v>
      </c>
      <c r="L2180" t="str">
        <f>Table_DataFromNL[[#This Row],[PROFILECODE]]&amp;"-"&amp;Table_DataFromNL[[#This Row],[RULENAME]]</f>
        <v>CP133-New Donor 3rd Visit-Bonus</v>
      </c>
      <c r="M2180" t="str">
        <f t="shared" si="243"/>
        <v>CP133-NEW DONOR -3rd</v>
      </c>
    </row>
    <row r="2181" spans="1:13" x14ac:dyDescent="0.25">
      <c r="A2181" t="str">
        <f t="shared" si="244"/>
        <v>CP133-NEW DONOR -4th</v>
      </c>
      <c r="B2181" t="s">
        <v>249</v>
      </c>
      <c r="C2181" t="str">
        <f t="shared" si="238"/>
        <v>Mobile Mont</v>
      </c>
      <c r="D2181" t="str">
        <f t="shared" si="239"/>
        <v>Y</v>
      </c>
      <c r="E2181" t="s">
        <v>650</v>
      </c>
      <c r="F2181" t="str">
        <f t="shared" si="240"/>
        <v>NEW DONOR -4th</v>
      </c>
      <c r="G2181" t="str">
        <f t="shared" si="241"/>
        <v>Marketing</v>
      </c>
      <c r="H2181" t="s">
        <v>558</v>
      </c>
      <c r="I2181">
        <f t="shared" si="242"/>
        <v>4</v>
      </c>
      <c r="J2181" t="s">
        <v>546</v>
      </c>
      <c r="K2181" s="5">
        <v>100</v>
      </c>
      <c r="L2181" t="str">
        <f>Table_DataFromNL[[#This Row],[PROFILECODE]]&amp;"-"&amp;Table_DataFromNL[[#This Row],[RULENAME]]</f>
        <v>CP133-New Donor 4th Visit-Bonus</v>
      </c>
      <c r="M2181" t="str">
        <f t="shared" si="243"/>
        <v>CP133-NEW DONOR -4th</v>
      </c>
    </row>
    <row r="2182" spans="1:13" x14ac:dyDescent="0.25">
      <c r="A2182" t="str">
        <f t="shared" si="244"/>
        <v>CP133-NEW DONOR -5th</v>
      </c>
      <c r="B2182" t="s">
        <v>249</v>
      </c>
      <c r="C2182" t="str">
        <f t="shared" si="238"/>
        <v>Mobile Mont</v>
      </c>
      <c r="D2182" t="str">
        <f t="shared" si="239"/>
        <v>Y</v>
      </c>
      <c r="E2182" t="s">
        <v>650</v>
      </c>
      <c r="F2182" t="str">
        <f t="shared" si="240"/>
        <v>NEW DONOR -5th</v>
      </c>
      <c r="G2182" t="str">
        <f t="shared" si="241"/>
        <v>Marketing</v>
      </c>
      <c r="H2182" t="s">
        <v>559</v>
      </c>
      <c r="I2182">
        <f t="shared" si="242"/>
        <v>5</v>
      </c>
      <c r="J2182" t="s">
        <v>546</v>
      </c>
      <c r="K2182" s="5">
        <v>100</v>
      </c>
      <c r="L2182" t="str">
        <f>Table_DataFromNL[[#This Row],[PROFILECODE]]&amp;"-"&amp;Table_DataFromNL[[#This Row],[RULENAME]]</f>
        <v>CP133-New Donor 5th Visit-Bonus</v>
      </c>
      <c r="M2182" t="str">
        <f t="shared" si="243"/>
        <v>CP133-NEW DONOR -5th</v>
      </c>
    </row>
    <row r="2183" spans="1:13" x14ac:dyDescent="0.25">
      <c r="A2183" t="str">
        <f t="shared" si="244"/>
        <v>CP133-NEW DONOR -6th</v>
      </c>
      <c r="B2183" t="s">
        <v>249</v>
      </c>
      <c r="C2183" t="str">
        <f t="shared" si="238"/>
        <v>Mobile Mont</v>
      </c>
      <c r="D2183" t="str">
        <f t="shared" si="239"/>
        <v>Y</v>
      </c>
      <c r="E2183" t="s">
        <v>650</v>
      </c>
      <c r="F2183" t="str">
        <f t="shared" si="240"/>
        <v>NEW DONOR -6th</v>
      </c>
      <c r="G2183" t="str">
        <f t="shared" si="241"/>
        <v>Marketing</v>
      </c>
      <c r="H2183" t="s">
        <v>560</v>
      </c>
      <c r="I2183">
        <f t="shared" si="242"/>
        <v>6</v>
      </c>
      <c r="J2183" t="s">
        <v>546</v>
      </c>
      <c r="K2183" s="5">
        <v>100</v>
      </c>
      <c r="L2183" t="str">
        <f>Table_DataFromNL[[#This Row],[PROFILECODE]]&amp;"-"&amp;Table_DataFromNL[[#This Row],[RULENAME]]</f>
        <v>CP133-New Donor 6th Visit-Bonus</v>
      </c>
      <c r="M2183" t="str">
        <f t="shared" si="243"/>
        <v>CP133-NEW DONOR -6th</v>
      </c>
    </row>
    <row r="2184" spans="1:13" x14ac:dyDescent="0.25">
      <c r="A2184" t="str">
        <f t="shared" si="244"/>
        <v>CP133-NEW DONOR -7th</v>
      </c>
      <c r="B2184" t="s">
        <v>249</v>
      </c>
      <c r="C2184" t="str">
        <f t="shared" si="238"/>
        <v>Mobile Mont</v>
      </c>
      <c r="D2184" t="str">
        <f t="shared" si="239"/>
        <v>Y</v>
      </c>
      <c r="E2184" t="s">
        <v>650</v>
      </c>
      <c r="F2184" t="str">
        <f t="shared" si="240"/>
        <v>NEW DONOR -7th</v>
      </c>
      <c r="G2184" t="str">
        <f t="shared" si="241"/>
        <v>Marketing</v>
      </c>
      <c r="H2184" t="s">
        <v>561</v>
      </c>
      <c r="I2184">
        <f t="shared" si="242"/>
        <v>7</v>
      </c>
      <c r="J2184" t="s">
        <v>546</v>
      </c>
      <c r="K2184" s="5">
        <v>40</v>
      </c>
      <c r="L2184" t="str">
        <f>Table_DataFromNL[[#This Row],[PROFILECODE]]&amp;"-"&amp;Table_DataFromNL[[#This Row],[RULENAME]]</f>
        <v>CP133-New Donor 7th Visit-Bonus</v>
      </c>
      <c r="M2184" t="str">
        <f t="shared" si="243"/>
        <v>CP133-NEW DONOR -7th</v>
      </c>
    </row>
    <row r="2185" spans="1:13" x14ac:dyDescent="0.25">
      <c r="A2185" t="str">
        <f t="shared" si="244"/>
        <v>CP133-NEW DONOR -8th</v>
      </c>
      <c r="B2185" t="s">
        <v>249</v>
      </c>
      <c r="C2185" t="str">
        <f t="shared" si="238"/>
        <v>Mobile Mont</v>
      </c>
      <c r="D2185" t="str">
        <f t="shared" si="239"/>
        <v>Y</v>
      </c>
      <c r="E2185" t="s">
        <v>650</v>
      </c>
      <c r="F2185" t="str">
        <f t="shared" si="240"/>
        <v>NEW DONOR -8th</v>
      </c>
      <c r="G2185" t="str">
        <f t="shared" si="241"/>
        <v>Marketing</v>
      </c>
      <c r="H2185" t="s">
        <v>562</v>
      </c>
      <c r="I2185">
        <f t="shared" si="242"/>
        <v>8</v>
      </c>
      <c r="J2185" t="s">
        <v>546</v>
      </c>
      <c r="K2185" s="5">
        <v>40</v>
      </c>
      <c r="L2185" t="str">
        <f>Table_DataFromNL[[#This Row],[PROFILECODE]]&amp;"-"&amp;Table_DataFromNL[[#This Row],[RULENAME]]</f>
        <v>CP133-New Donor 8th Visit-Bonus</v>
      </c>
      <c r="M2185" t="str">
        <f t="shared" si="243"/>
        <v>CP133-NEW DONOR -8th</v>
      </c>
    </row>
    <row r="2186" spans="1:13" x14ac:dyDescent="0.25">
      <c r="A2186" t="str">
        <f t="shared" si="244"/>
        <v>CP133-Vaccinia - 1st Donation</v>
      </c>
      <c r="B2186" t="s">
        <v>249</v>
      </c>
      <c r="C2186" t="str">
        <f t="shared" si="238"/>
        <v>Mobile Mont</v>
      </c>
      <c r="D2186" t="str">
        <f t="shared" si="239"/>
        <v>Y</v>
      </c>
      <c r="E2186" t="s">
        <v>650</v>
      </c>
      <c r="F2186" t="str">
        <f t="shared" si="240"/>
        <v>Vaccinia - 1st Donation</v>
      </c>
      <c r="G2186" t="str">
        <f t="shared" si="241"/>
        <v>Specialty</v>
      </c>
      <c r="H2186" t="s">
        <v>477</v>
      </c>
      <c r="I2186">
        <f t="shared" si="242"/>
        <v>0</v>
      </c>
      <c r="J2186" t="s">
        <v>546</v>
      </c>
      <c r="K2186" s="5">
        <v>150</v>
      </c>
      <c r="L2186" t="str">
        <f>Table_DataFromNL[[#This Row],[PROFILECODE]]&amp;"-"&amp;Table_DataFromNL[[#This Row],[RULENAME]]</f>
        <v>CP133-Vaccinia - 1st Donation</v>
      </c>
      <c r="M2186" t="str">
        <f t="shared" si="243"/>
        <v>CP133-Vaccinia - 1st Donation</v>
      </c>
    </row>
    <row r="2187" spans="1:13" x14ac:dyDescent="0.25">
      <c r="A2187" t="str">
        <f t="shared" si="244"/>
        <v>CP133-Vaccinia - 2nd Donation</v>
      </c>
      <c r="B2187" t="s">
        <v>249</v>
      </c>
      <c r="C2187" t="str">
        <f t="shared" si="238"/>
        <v>Mobile Mont</v>
      </c>
      <c r="D2187" t="str">
        <f t="shared" si="239"/>
        <v>Y</v>
      </c>
      <c r="E2187" t="s">
        <v>650</v>
      </c>
      <c r="F2187" t="str">
        <f t="shared" si="240"/>
        <v>Vaccinia - 2nd Donation</v>
      </c>
      <c r="G2187" t="str">
        <f t="shared" si="241"/>
        <v>Specialty</v>
      </c>
      <c r="H2187" t="s">
        <v>478</v>
      </c>
      <c r="I2187">
        <f t="shared" si="242"/>
        <v>0</v>
      </c>
      <c r="J2187" t="s">
        <v>546</v>
      </c>
      <c r="K2187" s="5">
        <v>250</v>
      </c>
      <c r="L2187" t="str">
        <f>Table_DataFromNL[[#This Row],[PROFILECODE]]&amp;"-"&amp;Table_DataFromNL[[#This Row],[RULENAME]]</f>
        <v>CP133-Vaccinia - 2nd Donation</v>
      </c>
      <c r="M2187" t="str">
        <f t="shared" si="243"/>
        <v>CP133-Vaccinia - 2nd Donation</v>
      </c>
    </row>
    <row r="2188" spans="1:13" x14ac:dyDescent="0.25">
      <c r="A2188" t="str">
        <f t="shared" si="244"/>
        <v>CP133-Vaccinia - 3rd Donation</v>
      </c>
      <c r="B2188" t="s">
        <v>249</v>
      </c>
      <c r="C2188" t="str">
        <f t="shared" si="238"/>
        <v>Mobile Mont</v>
      </c>
      <c r="D2188" t="str">
        <f t="shared" si="239"/>
        <v>Y</v>
      </c>
      <c r="E2188" t="s">
        <v>650</v>
      </c>
      <c r="F2188" t="str">
        <f t="shared" si="240"/>
        <v>Vaccinia - 3rd Donation</v>
      </c>
      <c r="G2188" t="str">
        <f t="shared" si="241"/>
        <v>Specialty</v>
      </c>
      <c r="H2188" t="s">
        <v>479</v>
      </c>
      <c r="I2188">
        <f t="shared" si="242"/>
        <v>0</v>
      </c>
      <c r="J2188" t="s">
        <v>546</v>
      </c>
      <c r="K2188" s="5">
        <v>300</v>
      </c>
      <c r="L2188" t="str">
        <f>Table_DataFromNL[[#This Row],[PROFILECODE]]&amp;"-"&amp;Table_DataFromNL[[#This Row],[RULENAME]]</f>
        <v>CP133-Vaccinia - 3rd Donation</v>
      </c>
      <c r="M2188" t="str">
        <f t="shared" si="243"/>
        <v>CP133-Vaccinia - 3rd Donation</v>
      </c>
    </row>
    <row r="2189" spans="1:13" x14ac:dyDescent="0.25">
      <c r="A2189" t="str">
        <f t="shared" si="244"/>
        <v>CP133-Vaccinia - 4th Donation</v>
      </c>
      <c r="B2189" t="s">
        <v>249</v>
      </c>
      <c r="C2189" t="str">
        <f t="shared" si="238"/>
        <v>Mobile Mont</v>
      </c>
      <c r="D2189" t="str">
        <f t="shared" si="239"/>
        <v>Y</v>
      </c>
      <c r="E2189" t="s">
        <v>650</v>
      </c>
      <c r="F2189" t="str">
        <f t="shared" si="240"/>
        <v>Vaccinia - 4th Donation</v>
      </c>
      <c r="G2189" t="str">
        <f t="shared" si="241"/>
        <v>Specialty</v>
      </c>
      <c r="H2189" t="s">
        <v>480</v>
      </c>
      <c r="I2189">
        <f t="shared" si="242"/>
        <v>0</v>
      </c>
      <c r="J2189" t="s">
        <v>546</v>
      </c>
      <c r="K2189" s="5">
        <v>300</v>
      </c>
      <c r="L2189" t="str">
        <f>Table_DataFromNL[[#This Row],[PROFILECODE]]&amp;"-"&amp;Table_DataFromNL[[#This Row],[RULENAME]]</f>
        <v>CP133-Vaccinia - 4th Donation</v>
      </c>
      <c r="M2189" t="str">
        <f t="shared" si="243"/>
        <v>CP133-Vaccinia - 4th Donation</v>
      </c>
    </row>
    <row r="2190" spans="1:13" x14ac:dyDescent="0.25">
      <c r="A2190" t="str">
        <f t="shared" si="244"/>
        <v>CP133-Vaccinia AP - 1st Donation</v>
      </c>
      <c r="B2190" t="s">
        <v>249</v>
      </c>
      <c r="C2190" t="str">
        <f t="shared" si="238"/>
        <v>Mobile Mont</v>
      </c>
      <c r="D2190" t="str">
        <f t="shared" si="239"/>
        <v>Y</v>
      </c>
      <c r="E2190" t="s">
        <v>650</v>
      </c>
      <c r="F2190" t="str">
        <f t="shared" si="240"/>
        <v>Vaccinia AP - 1st Donation</v>
      </c>
      <c r="G2190" t="str">
        <f t="shared" si="241"/>
        <v>Specialty</v>
      </c>
      <c r="H2190" t="s">
        <v>481</v>
      </c>
      <c r="I2190">
        <f t="shared" si="242"/>
        <v>0</v>
      </c>
      <c r="J2190" t="s">
        <v>546</v>
      </c>
      <c r="K2190" s="5">
        <v>150</v>
      </c>
      <c r="L2190" t="str">
        <f>Table_DataFromNL[[#This Row],[PROFILECODE]]&amp;"-"&amp;Table_DataFromNL[[#This Row],[RULENAME]]</f>
        <v>CP133-Vaccinia AP - 1st Donation</v>
      </c>
      <c r="M2190" t="str">
        <f t="shared" si="243"/>
        <v>CP133-Vaccinia AP - 1st Donation</v>
      </c>
    </row>
    <row r="2191" spans="1:13" x14ac:dyDescent="0.25">
      <c r="A2191" t="str">
        <f t="shared" si="244"/>
        <v>CP133-Vaccinia AP - 2nd Donation</v>
      </c>
      <c r="B2191" t="s">
        <v>249</v>
      </c>
      <c r="C2191" t="str">
        <f t="shared" si="238"/>
        <v>Mobile Mont</v>
      </c>
      <c r="D2191" t="str">
        <f t="shared" si="239"/>
        <v>Y</v>
      </c>
      <c r="E2191" t="s">
        <v>650</v>
      </c>
      <c r="F2191" t="str">
        <f t="shared" si="240"/>
        <v>Vaccinia AP - 2nd Donation</v>
      </c>
      <c r="G2191" t="str">
        <f t="shared" si="241"/>
        <v>Specialty</v>
      </c>
      <c r="H2191" t="s">
        <v>482</v>
      </c>
      <c r="I2191">
        <f t="shared" si="242"/>
        <v>0</v>
      </c>
      <c r="J2191" t="s">
        <v>546</v>
      </c>
      <c r="K2191" s="5">
        <v>250</v>
      </c>
      <c r="L2191" t="str">
        <f>Table_DataFromNL[[#This Row],[PROFILECODE]]&amp;"-"&amp;Table_DataFromNL[[#This Row],[RULENAME]]</f>
        <v>CP133-Vaccinia AP - 2nd Donation</v>
      </c>
      <c r="M2191" t="str">
        <f t="shared" si="243"/>
        <v>CP133-Vaccinia AP - 2nd Donation</v>
      </c>
    </row>
    <row r="2192" spans="1:13" x14ac:dyDescent="0.25">
      <c r="A2192" t="str">
        <f t="shared" si="244"/>
        <v>CP133-Vaccinia AP - 3rd Donation</v>
      </c>
      <c r="B2192" t="s">
        <v>249</v>
      </c>
      <c r="C2192" t="str">
        <f t="shared" si="238"/>
        <v>Mobile Mont</v>
      </c>
      <c r="D2192" t="str">
        <f t="shared" si="239"/>
        <v>Y</v>
      </c>
      <c r="E2192" t="s">
        <v>650</v>
      </c>
      <c r="F2192" t="str">
        <f t="shared" si="240"/>
        <v>Vaccinia AP - 3rd Donation</v>
      </c>
      <c r="G2192" t="str">
        <f t="shared" si="241"/>
        <v>Specialty</v>
      </c>
      <c r="H2192" t="s">
        <v>483</v>
      </c>
      <c r="I2192">
        <f t="shared" si="242"/>
        <v>0</v>
      </c>
      <c r="J2192" t="s">
        <v>546</v>
      </c>
      <c r="K2192" s="5">
        <v>300</v>
      </c>
      <c r="L2192" t="str">
        <f>Table_DataFromNL[[#This Row],[PROFILECODE]]&amp;"-"&amp;Table_DataFromNL[[#This Row],[RULENAME]]</f>
        <v>CP133-Vaccinia AP - 3rd Donation</v>
      </c>
      <c r="M2192" t="str">
        <f t="shared" si="243"/>
        <v>CP133-Vaccinia AP - 3rd Donation</v>
      </c>
    </row>
    <row r="2193" spans="1:13" x14ac:dyDescent="0.25">
      <c r="A2193" t="str">
        <f t="shared" si="244"/>
        <v>CP133-Vaccinia AP - 4th Donation</v>
      </c>
      <c r="B2193" t="s">
        <v>249</v>
      </c>
      <c r="C2193" t="str">
        <f t="shared" si="238"/>
        <v>Mobile Mont</v>
      </c>
      <c r="D2193" t="str">
        <f t="shared" si="239"/>
        <v>Y</v>
      </c>
      <c r="E2193" t="s">
        <v>650</v>
      </c>
      <c r="F2193" t="str">
        <f t="shared" si="240"/>
        <v>Vaccinia AP - 4th Donation</v>
      </c>
      <c r="G2193" t="str">
        <f t="shared" si="241"/>
        <v>Specialty</v>
      </c>
      <c r="H2193" t="s">
        <v>484</v>
      </c>
      <c r="I2193">
        <f t="shared" si="242"/>
        <v>0</v>
      </c>
      <c r="J2193" t="s">
        <v>546</v>
      </c>
      <c r="K2193" s="5">
        <v>300</v>
      </c>
      <c r="L2193" t="str">
        <f>Table_DataFromNL[[#This Row],[PROFILECODE]]&amp;"-"&amp;Table_DataFromNL[[#This Row],[RULENAME]]</f>
        <v>CP133-Vaccinia AP - 4th Donation</v>
      </c>
      <c r="M2193" t="str">
        <f t="shared" si="243"/>
        <v>CP133-Vaccinia AP - 4th Donation</v>
      </c>
    </row>
    <row r="2194" spans="1:13" x14ac:dyDescent="0.25">
      <c r="A2194" t="str">
        <f t="shared" si="244"/>
        <v>CP133-Community</v>
      </c>
      <c r="B2194" t="s">
        <v>249</v>
      </c>
      <c r="C2194" t="str">
        <f t="shared" si="238"/>
        <v>Mobile Mont</v>
      </c>
      <c r="D2194" t="str">
        <f t="shared" si="239"/>
        <v>Y</v>
      </c>
      <c r="E2194" t="s">
        <v>650</v>
      </c>
      <c r="F2194" t="str">
        <f t="shared" si="240"/>
        <v>Community</v>
      </c>
      <c r="G2194">
        <f t="shared" si="241"/>
        <v>0</v>
      </c>
      <c r="H2194" t="s">
        <v>563</v>
      </c>
      <c r="I2194">
        <f t="shared" si="242"/>
        <v>0</v>
      </c>
      <c r="J2194" t="s">
        <v>564</v>
      </c>
      <c r="K2194" s="5">
        <v>5</v>
      </c>
      <c r="L2194" t="str">
        <f>Table_DataFromNL[[#This Row],[PROFILECODE]]&amp;"-"&amp;Table_DataFromNL[[#This Row],[RULENAME]]</f>
        <v>CP133-Community</v>
      </c>
      <c r="M2194" t="e">
        <f t="shared" si="243"/>
        <v>#N/A</v>
      </c>
    </row>
    <row r="2195" spans="1:13" x14ac:dyDescent="0.25">
      <c r="A2195" t="str">
        <f t="shared" si="244"/>
        <v>CP133-DENOVO  - Antibody Screen</v>
      </c>
      <c r="B2195" t="s">
        <v>249</v>
      </c>
      <c r="C2195" t="str">
        <f t="shared" si="238"/>
        <v>Mobile Mont</v>
      </c>
      <c r="D2195" t="str">
        <f t="shared" si="239"/>
        <v>Y</v>
      </c>
      <c r="E2195" t="s">
        <v>650</v>
      </c>
      <c r="F2195" t="str">
        <f t="shared" si="240"/>
        <v>DENOVO  - Antibody Screen</v>
      </c>
      <c r="G2195">
        <f t="shared" si="241"/>
        <v>0</v>
      </c>
      <c r="H2195" t="s">
        <v>651</v>
      </c>
      <c r="I2195">
        <f t="shared" si="242"/>
        <v>0</v>
      </c>
      <c r="J2195" t="s">
        <v>564</v>
      </c>
      <c r="K2195" s="5">
        <v>300</v>
      </c>
      <c r="L2195" t="str">
        <f>Table_DataFromNL[[#This Row],[PROFILECODE]]&amp;"-"&amp;Table_DataFromNL[[#This Row],[RULENAME]]</f>
        <v>CP133-DENOVO  - Antibody Screen</v>
      </c>
      <c r="M2195" t="e">
        <f t="shared" si="243"/>
        <v>#N/A</v>
      </c>
    </row>
    <row r="2196" spans="1:13" x14ac:dyDescent="0.25">
      <c r="A2196" t="str">
        <f t="shared" si="244"/>
        <v>CP133-Denovo - Attendance Bonus</v>
      </c>
      <c r="B2196" t="s">
        <v>249</v>
      </c>
      <c r="C2196" t="str">
        <f t="shared" si="238"/>
        <v>Mobile Mont</v>
      </c>
      <c r="D2196" t="str">
        <f t="shared" si="239"/>
        <v>Y</v>
      </c>
      <c r="E2196" t="s">
        <v>650</v>
      </c>
      <c r="F2196" t="str">
        <f t="shared" si="240"/>
        <v>Denovo - Attendance Bonus</v>
      </c>
      <c r="G2196">
        <f t="shared" si="241"/>
        <v>0</v>
      </c>
      <c r="H2196" t="s">
        <v>652</v>
      </c>
      <c r="I2196">
        <f t="shared" si="242"/>
        <v>0</v>
      </c>
      <c r="J2196" t="s">
        <v>564</v>
      </c>
      <c r="K2196" s="5">
        <v>100</v>
      </c>
      <c r="L2196" t="str">
        <f>Table_DataFromNL[[#This Row],[PROFILECODE]]&amp;"-"&amp;Table_DataFromNL[[#This Row],[RULENAME]]</f>
        <v>CP133-Denovo - Attendance Bonus</v>
      </c>
      <c r="M2196" t="e">
        <f t="shared" si="243"/>
        <v>#N/A</v>
      </c>
    </row>
    <row r="2197" spans="1:13" x14ac:dyDescent="0.25">
      <c r="A2197" t="str">
        <f t="shared" si="244"/>
        <v>CP133-Denovo - Immunization</v>
      </c>
      <c r="B2197" t="s">
        <v>249</v>
      </c>
      <c r="C2197" t="str">
        <f t="shared" si="238"/>
        <v>Mobile Mont</v>
      </c>
      <c r="D2197" t="str">
        <f t="shared" si="239"/>
        <v>Y</v>
      </c>
      <c r="E2197" t="s">
        <v>650</v>
      </c>
      <c r="F2197" t="str">
        <f t="shared" si="240"/>
        <v>Denovo - Immunization</v>
      </c>
      <c r="G2197">
        <f t="shared" si="241"/>
        <v>0</v>
      </c>
      <c r="H2197" t="s">
        <v>653</v>
      </c>
      <c r="I2197">
        <f t="shared" si="242"/>
        <v>0</v>
      </c>
      <c r="J2197" t="s">
        <v>564</v>
      </c>
      <c r="K2197" s="5">
        <v>300</v>
      </c>
      <c r="L2197" t="str">
        <f>Table_DataFromNL[[#This Row],[PROFILECODE]]&amp;"-"&amp;Table_DataFromNL[[#This Row],[RULENAME]]</f>
        <v>CP133-Denovo - Immunization</v>
      </c>
      <c r="M2197" t="e">
        <f t="shared" si="243"/>
        <v>#N/A</v>
      </c>
    </row>
    <row r="2198" spans="1:13" x14ac:dyDescent="0.25">
      <c r="A2198" t="str">
        <f t="shared" si="244"/>
        <v>CP133-HANGER_RECRUIT_5USD_once</v>
      </c>
      <c r="B2198" t="s">
        <v>249</v>
      </c>
      <c r="C2198" t="str">
        <f t="shared" si="238"/>
        <v>Mobile Mont</v>
      </c>
      <c r="D2198" t="str">
        <f t="shared" si="239"/>
        <v>Y</v>
      </c>
      <c r="E2198" t="s">
        <v>650</v>
      </c>
      <c r="F2198" t="str">
        <f t="shared" si="240"/>
        <v>HANGER_RECRUIT_5USD_once</v>
      </c>
      <c r="G2198">
        <f t="shared" si="241"/>
        <v>0</v>
      </c>
      <c r="H2198" t="s">
        <v>565</v>
      </c>
      <c r="I2198">
        <f t="shared" si="242"/>
        <v>0</v>
      </c>
      <c r="J2198" t="s">
        <v>564</v>
      </c>
      <c r="K2198" s="5">
        <v>5</v>
      </c>
      <c r="L2198" t="str">
        <f>Table_DataFromNL[[#This Row],[PROFILECODE]]&amp;"-"&amp;Table_DataFromNL[[#This Row],[RULENAME]]</f>
        <v>CP133-HANGER_RECRUIT_5USD_once</v>
      </c>
      <c r="M2198" t="e">
        <f t="shared" si="243"/>
        <v>#N/A</v>
      </c>
    </row>
    <row r="2199" spans="1:13" x14ac:dyDescent="0.25">
      <c r="A2199" t="str">
        <f t="shared" si="244"/>
        <v>CP133-HBS Missed Donation</v>
      </c>
      <c r="B2199" t="s">
        <v>249</v>
      </c>
      <c r="C2199" t="str">
        <f t="shared" si="238"/>
        <v>Mobile Mont</v>
      </c>
      <c r="D2199" t="str">
        <f t="shared" si="239"/>
        <v>Y</v>
      </c>
      <c r="E2199" t="s">
        <v>650</v>
      </c>
      <c r="F2199" t="str">
        <f t="shared" si="240"/>
        <v>HBS Missed Donation</v>
      </c>
      <c r="G2199">
        <f t="shared" si="241"/>
        <v>0</v>
      </c>
      <c r="H2199" t="s">
        <v>649</v>
      </c>
      <c r="I2199">
        <f t="shared" si="242"/>
        <v>0</v>
      </c>
      <c r="J2199" t="s">
        <v>564</v>
      </c>
      <c r="K2199" s="5">
        <v>25</v>
      </c>
      <c r="L2199" t="str">
        <f>Table_DataFromNL[[#This Row],[PROFILECODE]]&amp;"-"&amp;Table_DataFromNL[[#This Row],[RULENAME]]</f>
        <v>CP133-HBS Missed Donation</v>
      </c>
      <c r="M2199" t="e">
        <f t="shared" si="243"/>
        <v>#N/A</v>
      </c>
    </row>
    <row r="2200" spans="1:13" x14ac:dyDescent="0.25">
      <c r="A2200" t="str">
        <f t="shared" si="244"/>
        <v>CP133-Immunization Boost Payment</v>
      </c>
      <c r="B2200" t="s">
        <v>249</v>
      </c>
      <c r="C2200" t="str">
        <f t="shared" si="238"/>
        <v>Mobile Mont</v>
      </c>
      <c r="D2200" t="str">
        <f t="shared" si="239"/>
        <v>Y</v>
      </c>
      <c r="E2200" t="s">
        <v>650</v>
      </c>
      <c r="F2200" t="str">
        <f t="shared" si="240"/>
        <v>Immunization Boost Payment</v>
      </c>
      <c r="G2200">
        <f t="shared" si="241"/>
        <v>0</v>
      </c>
      <c r="H2200" t="s">
        <v>598</v>
      </c>
      <c r="I2200">
        <f t="shared" si="242"/>
        <v>0</v>
      </c>
      <c r="J2200" t="s">
        <v>564</v>
      </c>
      <c r="K2200" s="5">
        <v>50</v>
      </c>
      <c r="L2200" t="str">
        <f>Table_DataFromNL[[#This Row],[PROFILECODE]]&amp;"-"&amp;Table_DataFromNL[[#This Row],[RULENAME]]</f>
        <v>CP133-Immunization Boost Payment</v>
      </c>
      <c r="M2200" t="e">
        <f t="shared" si="243"/>
        <v>#N/A</v>
      </c>
    </row>
    <row r="2201" spans="1:13" x14ac:dyDescent="0.25">
      <c r="A2201" t="str">
        <f t="shared" si="244"/>
        <v>CP133-Immunization Series Payment</v>
      </c>
      <c r="B2201" t="s">
        <v>249</v>
      </c>
      <c r="C2201" t="str">
        <f t="shared" si="238"/>
        <v>Mobile Mont</v>
      </c>
      <c r="D2201" t="str">
        <f t="shared" si="239"/>
        <v>Y</v>
      </c>
      <c r="E2201" t="s">
        <v>650</v>
      </c>
      <c r="F2201" t="str">
        <f t="shared" si="240"/>
        <v>Immunization Series Payment</v>
      </c>
      <c r="G2201">
        <f t="shared" si="241"/>
        <v>0</v>
      </c>
      <c r="H2201" t="s">
        <v>599</v>
      </c>
      <c r="I2201">
        <f t="shared" si="242"/>
        <v>0</v>
      </c>
      <c r="J2201" t="s">
        <v>564</v>
      </c>
      <c r="K2201" s="5">
        <v>100</v>
      </c>
      <c r="L2201" t="str">
        <f>Table_DataFromNL[[#This Row],[PROFILECODE]]&amp;"-"&amp;Table_DataFromNL[[#This Row],[RULENAME]]</f>
        <v>CP133-Immunization Series Payment</v>
      </c>
      <c r="M2201" t="e">
        <f t="shared" si="243"/>
        <v>#N/A</v>
      </c>
    </row>
    <row r="2202" spans="1:13" x14ac:dyDescent="0.25">
      <c r="A2202" t="str">
        <f t="shared" si="244"/>
        <v>CP133-Inconv Fee $20-$50-Comment Req'd</v>
      </c>
      <c r="B2202" t="s">
        <v>249</v>
      </c>
      <c r="C2202" t="str">
        <f t="shared" si="238"/>
        <v>Mobile Mont</v>
      </c>
      <c r="D2202" t="str">
        <f t="shared" si="239"/>
        <v>Y</v>
      </c>
      <c r="E2202" t="s">
        <v>650</v>
      </c>
      <c r="F2202" t="str">
        <f t="shared" si="240"/>
        <v>Inconv Fee $20-$50-Comment Req'd</v>
      </c>
      <c r="G2202">
        <f t="shared" si="241"/>
        <v>0</v>
      </c>
      <c r="H2202" t="s">
        <v>566</v>
      </c>
      <c r="I2202">
        <f t="shared" si="242"/>
        <v>0</v>
      </c>
      <c r="J2202" t="s">
        <v>564</v>
      </c>
      <c r="K2202" s="5">
        <v>50</v>
      </c>
      <c r="L2202" t="str">
        <f>Table_DataFromNL[[#This Row],[PROFILECODE]]&amp;"-"&amp;Table_DataFromNL[[#This Row],[RULENAME]]</f>
        <v>CP133-Inconv Fee $20-$50-Comment Req'd</v>
      </c>
      <c r="M2202" t="e">
        <f t="shared" si="243"/>
        <v>#N/A</v>
      </c>
    </row>
    <row r="2203" spans="1:13" x14ac:dyDescent="0.25">
      <c r="A2203" t="str">
        <f t="shared" si="244"/>
        <v>CP133-Inconv Fee $5-$20-Comment Req'd</v>
      </c>
      <c r="B2203" t="s">
        <v>249</v>
      </c>
      <c r="C2203" t="str">
        <f t="shared" si="238"/>
        <v>Mobile Mont</v>
      </c>
      <c r="D2203" t="str">
        <f t="shared" si="239"/>
        <v>Y</v>
      </c>
      <c r="E2203" t="s">
        <v>650</v>
      </c>
      <c r="F2203" t="str">
        <f t="shared" si="240"/>
        <v>Inconv Fee $5-$20-Comment Req'd</v>
      </c>
      <c r="G2203">
        <f t="shared" si="241"/>
        <v>0</v>
      </c>
      <c r="H2203" t="s">
        <v>567</v>
      </c>
      <c r="I2203">
        <f t="shared" si="242"/>
        <v>0</v>
      </c>
      <c r="J2203" t="s">
        <v>564</v>
      </c>
      <c r="K2203" s="5">
        <v>20</v>
      </c>
      <c r="L2203" t="str">
        <f>Table_DataFromNL[[#This Row],[PROFILECODE]]&amp;"-"&amp;Table_DataFromNL[[#This Row],[RULENAME]]</f>
        <v>CP133-Inconv Fee $5-$20-Comment Req'd</v>
      </c>
      <c r="M2203" t="e">
        <f t="shared" si="243"/>
        <v>#N/A</v>
      </c>
    </row>
    <row r="2204" spans="1:13" x14ac:dyDescent="0.25">
      <c r="A2204" t="str">
        <f t="shared" si="244"/>
        <v>CP133-Inconv Fee$50-$100-Comment Req'd</v>
      </c>
      <c r="B2204" t="s">
        <v>249</v>
      </c>
      <c r="C2204" t="str">
        <f t="shared" si="238"/>
        <v>Mobile Mont</v>
      </c>
      <c r="D2204" t="str">
        <f t="shared" si="239"/>
        <v>Y</v>
      </c>
      <c r="E2204" t="s">
        <v>650</v>
      </c>
      <c r="F2204" t="str">
        <f t="shared" si="240"/>
        <v>Inconv Fee$50-$100-Comment Req'd</v>
      </c>
      <c r="G2204">
        <f t="shared" si="241"/>
        <v>0</v>
      </c>
      <c r="H2204" t="s">
        <v>568</v>
      </c>
      <c r="I2204">
        <f t="shared" si="242"/>
        <v>0</v>
      </c>
      <c r="J2204" t="s">
        <v>564</v>
      </c>
      <c r="K2204" s="5">
        <v>100</v>
      </c>
      <c r="L2204" t="str">
        <f>Table_DataFromNL[[#This Row],[PROFILECODE]]&amp;"-"&amp;Table_DataFromNL[[#This Row],[RULENAME]]</f>
        <v>CP133-Inconv Fee$50-$100-Comment Req'd</v>
      </c>
      <c r="M2204" t="e">
        <f t="shared" si="243"/>
        <v>#N/A</v>
      </c>
    </row>
    <row r="2205" spans="1:13" x14ac:dyDescent="0.25">
      <c r="A2205" t="str">
        <f t="shared" si="244"/>
        <v>CP133-NSP_ LAPSEDONOR_50_Twice</v>
      </c>
      <c r="B2205" t="s">
        <v>249</v>
      </c>
      <c r="C2205" t="str">
        <f t="shared" si="238"/>
        <v>Mobile Mont</v>
      </c>
      <c r="D2205" t="str">
        <f t="shared" si="239"/>
        <v>Y</v>
      </c>
      <c r="E2205" t="s">
        <v>650</v>
      </c>
      <c r="F2205" t="str">
        <f t="shared" si="240"/>
        <v>NSP_ LAPSEDONOR_50_Twice</v>
      </c>
      <c r="G2205">
        <f t="shared" si="241"/>
        <v>0</v>
      </c>
      <c r="H2205" t="s">
        <v>569</v>
      </c>
      <c r="I2205">
        <f t="shared" si="242"/>
        <v>0</v>
      </c>
      <c r="J2205" t="s">
        <v>564</v>
      </c>
      <c r="K2205" s="5">
        <v>20</v>
      </c>
      <c r="L2205" t="str">
        <f>Table_DataFromNL[[#This Row],[PROFILECODE]]&amp;"-"&amp;Table_DataFromNL[[#This Row],[RULENAME]]</f>
        <v>CP133-NSP_ LAPSEDONOR_50_Twice</v>
      </c>
      <c r="M2205" t="e">
        <f t="shared" si="243"/>
        <v>#N/A</v>
      </c>
    </row>
    <row r="2206" spans="1:13" x14ac:dyDescent="0.25">
      <c r="A2206" t="str">
        <f t="shared" si="244"/>
        <v>CP133-NSP_LD_25_2X</v>
      </c>
      <c r="B2206" t="s">
        <v>249</v>
      </c>
      <c r="C2206" t="str">
        <f t="shared" si="238"/>
        <v>Mobile Mont</v>
      </c>
      <c r="D2206" t="str">
        <f t="shared" si="239"/>
        <v>Y</v>
      </c>
      <c r="E2206" t="s">
        <v>650</v>
      </c>
      <c r="F2206" t="str">
        <f t="shared" si="240"/>
        <v>NSP_LD_25_2X</v>
      </c>
      <c r="G2206">
        <f t="shared" si="241"/>
        <v>0</v>
      </c>
      <c r="H2206" t="s">
        <v>570</v>
      </c>
      <c r="I2206">
        <f t="shared" si="242"/>
        <v>0</v>
      </c>
      <c r="J2206" t="s">
        <v>564</v>
      </c>
      <c r="K2206" s="5">
        <v>25</v>
      </c>
      <c r="L2206" t="str">
        <f>Table_DataFromNL[[#This Row],[PROFILECODE]]&amp;"-"&amp;Table_DataFromNL[[#This Row],[RULENAME]]</f>
        <v>CP133-NSP_LD_25_2X</v>
      </c>
      <c r="M2206" t="e">
        <f t="shared" si="243"/>
        <v>#N/A</v>
      </c>
    </row>
    <row r="2207" spans="1:13" x14ac:dyDescent="0.25">
      <c r="A2207" t="str">
        <f t="shared" si="244"/>
        <v>CP133-NSP_LD_50_1X</v>
      </c>
      <c r="B2207" t="s">
        <v>249</v>
      </c>
      <c r="C2207" t="str">
        <f t="shared" si="238"/>
        <v>Mobile Mont</v>
      </c>
      <c r="D2207" t="str">
        <f t="shared" si="239"/>
        <v>Y</v>
      </c>
      <c r="E2207" t="s">
        <v>650</v>
      </c>
      <c r="F2207" t="str">
        <f t="shared" si="240"/>
        <v>NSP_LD_50_1X</v>
      </c>
      <c r="G2207">
        <f t="shared" si="241"/>
        <v>0</v>
      </c>
      <c r="H2207" t="s">
        <v>571</v>
      </c>
      <c r="I2207">
        <f t="shared" si="242"/>
        <v>0</v>
      </c>
      <c r="J2207" t="s">
        <v>564</v>
      </c>
      <c r="K2207" s="5">
        <v>20</v>
      </c>
      <c r="L2207" t="str">
        <f>Table_DataFromNL[[#This Row],[PROFILECODE]]&amp;"-"&amp;Table_DataFromNL[[#This Row],[RULENAME]]</f>
        <v>CP133-NSP_LD_50_1X</v>
      </c>
      <c r="M2207" t="e">
        <f t="shared" si="243"/>
        <v>#N/A</v>
      </c>
    </row>
    <row r="2208" spans="1:13" x14ac:dyDescent="0.25">
      <c r="A2208" t="str">
        <f t="shared" si="244"/>
        <v>CP133-NSP_ORPHAN_100_once</v>
      </c>
      <c r="B2208" t="s">
        <v>249</v>
      </c>
      <c r="C2208" t="str">
        <f t="shared" si="238"/>
        <v>Mobile Mont</v>
      </c>
      <c r="D2208" t="str">
        <f t="shared" si="239"/>
        <v>Y</v>
      </c>
      <c r="E2208" t="s">
        <v>650</v>
      </c>
      <c r="F2208" t="str">
        <f t="shared" si="240"/>
        <v>NSP_ORPHAN_100_once</v>
      </c>
      <c r="G2208">
        <f t="shared" si="241"/>
        <v>0</v>
      </c>
      <c r="H2208" t="s">
        <v>572</v>
      </c>
      <c r="I2208">
        <f t="shared" si="242"/>
        <v>0</v>
      </c>
      <c r="J2208" t="s">
        <v>564</v>
      </c>
      <c r="K2208" s="5">
        <v>100</v>
      </c>
      <c r="L2208" t="str">
        <f>Table_DataFromNL[[#This Row],[PROFILECODE]]&amp;"-"&amp;Table_DataFromNL[[#This Row],[RULENAME]]</f>
        <v>CP133-NSP_ORPHAN_100_once</v>
      </c>
      <c r="M2208" t="e">
        <f t="shared" si="243"/>
        <v>#N/A</v>
      </c>
    </row>
    <row r="2209" spans="1:13" x14ac:dyDescent="0.25">
      <c r="A2209" t="str">
        <f t="shared" si="244"/>
        <v>CP133-Referral - Vaccinia</v>
      </c>
      <c r="B2209" t="s">
        <v>249</v>
      </c>
      <c r="C2209" t="str">
        <f t="shared" si="238"/>
        <v>Mobile Mont</v>
      </c>
      <c r="D2209" t="str">
        <f t="shared" si="239"/>
        <v>Y</v>
      </c>
      <c r="E2209" t="s">
        <v>650</v>
      </c>
      <c r="F2209" t="str">
        <f t="shared" si="240"/>
        <v>Referral - Vaccinia</v>
      </c>
      <c r="G2209">
        <f t="shared" si="241"/>
        <v>0</v>
      </c>
      <c r="H2209" t="s">
        <v>595</v>
      </c>
      <c r="I2209">
        <f t="shared" si="242"/>
        <v>0</v>
      </c>
      <c r="J2209" t="s">
        <v>564</v>
      </c>
      <c r="K2209" s="5">
        <v>200</v>
      </c>
      <c r="L2209" t="str">
        <f>Table_DataFromNL[[#This Row],[PROFILECODE]]&amp;"-"&amp;Table_DataFromNL[[#This Row],[RULENAME]]</f>
        <v>CP133-Referral - Vaccinia</v>
      </c>
      <c r="M2209" t="e">
        <f t="shared" si="243"/>
        <v>#N/A</v>
      </c>
    </row>
    <row r="2210" spans="1:13" x14ac:dyDescent="0.25">
      <c r="A2210" t="str">
        <f t="shared" si="244"/>
        <v>CP133-Restick</v>
      </c>
      <c r="B2210" t="s">
        <v>249</v>
      </c>
      <c r="C2210" t="str">
        <f t="shared" si="238"/>
        <v>Mobile Mont</v>
      </c>
      <c r="D2210" t="str">
        <f t="shared" si="239"/>
        <v>Y</v>
      </c>
      <c r="E2210" t="s">
        <v>650</v>
      </c>
      <c r="F2210" t="str">
        <f t="shared" si="240"/>
        <v>Restick</v>
      </c>
      <c r="G2210">
        <f t="shared" si="241"/>
        <v>0</v>
      </c>
      <c r="H2210" t="s">
        <v>573</v>
      </c>
      <c r="I2210">
        <f t="shared" si="242"/>
        <v>0</v>
      </c>
      <c r="J2210" t="s">
        <v>564</v>
      </c>
      <c r="K2210" s="5">
        <v>5</v>
      </c>
      <c r="L2210" t="str">
        <f>Table_DataFromNL[[#This Row],[PROFILECODE]]&amp;"-"&amp;Table_DataFromNL[[#This Row],[RULENAME]]</f>
        <v>CP133-Restick</v>
      </c>
      <c r="M2210" t="e">
        <f t="shared" si="243"/>
        <v>#N/A</v>
      </c>
    </row>
    <row r="2211" spans="1:13" x14ac:dyDescent="0.25">
      <c r="A2211" t="str">
        <f t="shared" si="244"/>
        <v>CP133-SLOW_TEXT_5</v>
      </c>
      <c r="B2211" t="s">
        <v>249</v>
      </c>
      <c r="C2211" t="str">
        <f t="shared" si="238"/>
        <v>Mobile Mont</v>
      </c>
      <c r="D2211" t="str">
        <f t="shared" si="239"/>
        <v>Y</v>
      </c>
      <c r="E2211" t="s">
        <v>650</v>
      </c>
      <c r="F2211" t="str">
        <f t="shared" si="240"/>
        <v>SLOW_TEXT_5</v>
      </c>
      <c r="G2211">
        <f t="shared" si="241"/>
        <v>0</v>
      </c>
      <c r="H2211" t="s">
        <v>574</v>
      </c>
      <c r="I2211">
        <f t="shared" si="242"/>
        <v>0</v>
      </c>
      <c r="J2211" t="s">
        <v>564</v>
      </c>
      <c r="K2211" s="5">
        <v>5</v>
      </c>
      <c r="L2211" t="str">
        <f>Table_DataFromNL[[#This Row],[PROFILECODE]]&amp;"-"&amp;Table_DataFromNL[[#This Row],[RULENAME]]</f>
        <v>CP133-SLOW_TEXT_5</v>
      </c>
      <c r="M2211" t="e">
        <f t="shared" si="243"/>
        <v>#N/A</v>
      </c>
    </row>
    <row r="2212" spans="1:13" x14ac:dyDescent="0.25">
      <c r="A2212" t="str">
        <f t="shared" si="244"/>
        <v>CP133-Sample Only</v>
      </c>
      <c r="B2212" t="s">
        <v>249</v>
      </c>
      <c r="C2212" t="str">
        <f t="shared" si="238"/>
        <v>Mobile Mont</v>
      </c>
      <c r="D2212" t="str">
        <f t="shared" si="239"/>
        <v>Y</v>
      </c>
      <c r="E2212" t="s">
        <v>650</v>
      </c>
      <c r="F2212" t="str">
        <f t="shared" si="240"/>
        <v>Sample Only</v>
      </c>
      <c r="G2212">
        <f t="shared" si="241"/>
        <v>0</v>
      </c>
      <c r="H2212" t="s">
        <v>575</v>
      </c>
      <c r="I2212">
        <f t="shared" si="242"/>
        <v>0</v>
      </c>
      <c r="J2212" t="s">
        <v>564</v>
      </c>
      <c r="K2212" s="5">
        <v>5</v>
      </c>
      <c r="L2212" t="str">
        <f>Table_DataFromNL[[#This Row],[PROFILECODE]]&amp;"-"&amp;Table_DataFromNL[[#This Row],[RULENAME]]</f>
        <v>CP133-Sample Only</v>
      </c>
      <c r="M2212" t="e">
        <f t="shared" si="243"/>
        <v>#N/A</v>
      </c>
    </row>
    <row r="2213" spans="1:13" x14ac:dyDescent="0.25">
      <c r="A2213" t="str">
        <f t="shared" si="244"/>
        <v>CP133-Unit Below 250 mL</v>
      </c>
      <c r="B2213" t="s">
        <v>249</v>
      </c>
      <c r="C2213" t="str">
        <f t="shared" si="238"/>
        <v>Mobile Mont</v>
      </c>
      <c r="D2213" t="str">
        <f t="shared" si="239"/>
        <v>Y</v>
      </c>
      <c r="E2213" t="s">
        <v>650</v>
      </c>
      <c r="F2213" t="str">
        <f t="shared" si="240"/>
        <v>Unit Below 250 mL</v>
      </c>
      <c r="G2213">
        <f t="shared" si="241"/>
        <v>0</v>
      </c>
      <c r="H2213" t="s">
        <v>576</v>
      </c>
      <c r="I2213">
        <f t="shared" si="242"/>
        <v>0</v>
      </c>
      <c r="J2213" t="s">
        <v>564</v>
      </c>
      <c r="K2213" s="5">
        <v>5</v>
      </c>
      <c r="L2213" t="str">
        <f>Table_DataFromNL[[#This Row],[PROFILECODE]]&amp;"-"&amp;Table_DataFromNL[[#This Row],[RULENAME]]</f>
        <v>CP133-Unit Below 250 mL</v>
      </c>
      <c r="M2213" t="e">
        <f t="shared" si="243"/>
        <v>#N/A</v>
      </c>
    </row>
    <row r="2214" spans="1:13" x14ac:dyDescent="0.25">
      <c r="A2214" t="str">
        <f t="shared" si="244"/>
        <v>CP133-Unit above 250 mL/underdraw</v>
      </c>
      <c r="B2214" t="s">
        <v>249</v>
      </c>
      <c r="C2214" t="str">
        <f t="shared" si="238"/>
        <v>Mobile Mont</v>
      </c>
      <c r="D2214" t="str">
        <f t="shared" si="239"/>
        <v>Y</v>
      </c>
      <c r="E2214" t="s">
        <v>650</v>
      </c>
      <c r="F2214" t="str">
        <f t="shared" si="240"/>
        <v>Unit above 250 mL/underdraw</v>
      </c>
      <c r="G2214">
        <f t="shared" si="241"/>
        <v>0</v>
      </c>
      <c r="H2214" t="s">
        <v>577</v>
      </c>
      <c r="I2214">
        <f t="shared" si="242"/>
        <v>0</v>
      </c>
      <c r="J2214" t="s">
        <v>564</v>
      </c>
      <c r="K2214" s="5">
        <v>10</v>
      </c>
      <c r="L2214" t="str">
        <f>Table_DataFromNL[[#This Row],[PROFILECODE]]&amp;"-"&amp;Table_DataFromNL[[#This Row],[RULENAME]]</f>
        <v>CP133-Unit above 250 mL/underdraw</v>
      </c>
      <c r="M2214" t="e">
        <f t="shared" si="243"/>
        <v>#N/A</v>
      </c>
    </row>
    <row r="2215" spans="1:13" x14ac:dyDescent="0.25">
      <c r="A2215" t="str">
        <f t="shared" si="244"/>
        <v>CP133-Vaccinia Immunization</v>
      </c>
      <c r="B2215" t="s">
        <v>249</v>
      </c>
      <c r="C2215" t="str">
        <f t="shared" si="238"/>
        <v>Mobile Mont</v>
      </c>
      <c r="D2215" t="str">
        <f t="shared" si="239"/>
        <v>Y</v>
      </c>
      <c r="E2215" t="s">
        <v>650</v>
      </c>
      <c r="F2215" t="str">
        <f t="shared" si="240"/>
        <v>Vaccinia Immunization</v>
      </c>
      <c r="G2215">
        <f t="shared" si="241"/>
        <v>0</v>
      </c>
      <c r="H2215" t="s">
        <v>596</v>
      </c>
      <c r="I2215">
        <f t="shared" si="242"/>
        <v>0</v>
      </c>
      <c r="J2215" t="s">
        <v>564</v>
      </c>
      <c r="K2215" s="5">
        <v>100</v>
      </c>
      <c r="L2215" t="str">
        <f>Table_DataFromNL[[#This Row],[PROFILECODE]]&amp;"-"&amp;Table_DataFromNL[[#This Row],[RULENAME]]</f>
        <v>CP133-Vaccinia Immunization</v>
      </c>
      <c r="M2215" t="e">
        <f t="shared" si="243"/>
        <v>#N/A</v>
      </c>
    </row>
    <row r="2216" spans="1:13" x14ac:dyDescent="0.25">
      <c r="A2216" t="str">
        <f t="shared" si="244"/>
        <v>CP133-RETURN - Buddy referral  -BONUS</v>
      </c>
      <c r="B2216" t="s">
        <v>249</v>
      </c>
      <c r="C2216" t="str">
        <f t="shared" si="238"/>
        <v>Mobile Mont</v>
      </c>
      <c r="D2216" t="str">
        <f t="shared" si="239"/>
        <v>Y</v>
      </c>
      <c r="E2216" t="s">
        <v>650</v>
      </c>
      <c r="F2216" t="str">
        <f t="shared" si="240"/>
        <v>RETURN - Buddy referral  -BONUS</v>
      </c>
      <c r="G2216" t="str">
        <f t="shared" si="241"/>
        <v>Marketing</v>
      </c>
      <c r="H2216" t="s">
        <v>34</v>
      </c>
      <c r="I2216">
        <f t="shared" si="242"/>
        <v>50</v>
      </c>
      <c r="J2216" t="s">
        <v>578</v>
      </c>
      <c r="K2216" s="5">
        <v>50</v>
      </c>
      <c r="L2216" t="str">
        <f>Table_DataFromNL[[#This Row],[PROFILECODE]]&amp;"-"&amp;Table_DataFromNL[[#This Row],[RULENAME]]</f>
        <v>CP133-Referral</v>
      </c>
      <c r="M2216" t="str">
        <f t="shared" si="243"/>
        <v>CP133-RETURN - Buddy referral  -BONUS</v>
      </c>
    </row>
    <row r="2217" spans="1:13" x14ac:dyDescent="0.25">
      <c r="A2217" t="str">
        <f t="shared" si="244"/>
        <v>CP133-P Anti-D Pre-Existing Standard</v>
      </c>
      <c r="B2217" t="s">
        <v>249</v>
      </c>
      <c r="C2217" t="str">
        <f t="shared" si="238"/>
        <v>Mobile Mont</v>
      </c>
      <c r="D2217" t="str">
        <f t="shared" si="239"/>
        <v>Y</v>
      </c>
      <c r="E2217" t="s">
        <v>650</v>
      </c>
      <c r="F2217" t="str">
        <f t="shared" si="240"/>
        <v>P Anti-D Pre-Existing Standard</v>
      </c>
      <c r="G2217" t="str">
        <f t="shared" si="241"/>
        <v>Specialty</v>
      </c>
      <c r="H2217" t="s">
        <v>469</v>
      </c>
      <c r="I2217" t="str">
        <f t="shared" si="242"/>
        <v>RETURN - 1st don of the week -STD</v>
      </c>
      <c r="J2217" t="s">
        <v>579</v>
      </c>
      <c r="K2217" s="5">
        <v>60</v>
      </c>
      <c r="L2217" t="str">
        <f>Table_DataFromNL[[#This Row],[PROFILECODE]]&amp;"-"&amp;Table_DataFromNL[[#This Row],[RULENAME]]</f>
        <v>CP133-P Anti-D Pre-Existing Standard</v>
      </c>
      <c r="M2217" t="str">
        <f t="shared" si="243"/>
        <v>CP133-P Anti-D Pre-Existing Standard</v>
      </c>
    </row>
    <row r="2218" spans="1:13" x14ac:dyDescent="0.25">
      <c r="A2218" t="str">
        <f t="shared" si="244"/>
        <v>CP133-P Anti-D Standard</v>
      </c>
      <c r="B2218" t="s">
        <v>249</v>
      </c>
      <c r="C2218" t="str">
        <f t="shared" si="238"/>
        <v>Mobile Mont</v>
      </c>
      <c r="D2218" t="str">
        <f t="shared" si="239"/>
        <v>Y</v>
      </c>
      <c r="E2218" t="s">
        <v>650</v>
      </c>
      <c r="F2218" t="str">
        <f t="shared" si="240"/>
        <v>P Anti-D Standard</v>
      </c>
      <c r="G2218" t="str">
        <f t="shared" si="241"/>
        <v>Specialty</v>
      </c>
      <c r="H2218" t="s">
        <v>474</v>
      </c>
      <c r="I2218" t="str">
        <f t="shared" si="242"/>
        <v>RETURN - 1st don of the week -STD</v>
      </c>
      <c r="J2218" t="s">
        <v>579</v>
      </c>
      <c r="K2218" s="5">
        <v>60</v>
      </c>
      <c r="L2218" t="str">
        <f>Table_DataFromNL[[#This Row],[PROFILECODE]]&amp;"-"&amp;Table_DataFromNL[[#This Row],[RULENAME]]</f>
        <v>CP133-P Anti-D Standard</v>
      </c>
      <c r="M2218" t="str">
        <f t="shared" si="243"/>
        <v>CP133-P Anti-D Standard</v>
      </c>
    </row>
    <row r="2219" spans="1:13" x14ac:dyDescent="0.25">
      <c r="A2219" t="str">
        <f t="shared" si="244"/>
        <v>CP133-P CMV Standard</v>
      </c>
      <c r="B2219" t="s">
        <v>249</v>
      </c>
      <c r="C2219" t="str">
        <f t="shared" si="238"/>
        <v>Mobile Mont</v>
      </c>
      <c r="D2219" t="str">
        <f t="shared" si="239"/>
        <v>Y</v>
      </c>
      <c r="E2219" t="s">
        <v>650</v>
      </c>
      <c r="F2219" t="str">
        <f t="shared" si="240"/>
        <v>P CMV Standard</v>
      </c>
      <c r="G2219" t="str">
        <f t="shared" si="241"/>
        <v>Specialty</v>
      </c>
      <c r="H2219" t="s">
        <v>501</v>
      </c>
      <c r="I2219" t="str">
        <f t="shared" si="242"/>
        <v>RETURN - 1st don of the week -STD</v>
      </c>
      <c r="J2219" t="s">
        <v>579</v>
      </c>
      <c r="K2219" s="5">
        <v>40</v>
      </c>
      <c r="L2219" t="str">
        <f>Table_DataFromNL[[#This Row],[PROFILECODE]]&amp;"-"&amp;Table_DataFromNL[[#This Row],[RULENAME]]</f>
        <v>CP133-P CMV Standard</v>
      </c>
      <c r="M2219" t="str">
        <f t="shared" si="243"/>
        <v>CP133-P CMV Standard</v>
      </c>
    </row>
    <row r="2220" spans="1:13" x14ac:dyDescent="0.25">
      <c r="A2220" t="str">
        <f t="shared" si="244"/>
        <v>CP133-P HBS Pre-Existing Standard</v>
      </c>
      <c r="B2220" t="s">
        <v>249</v>
      </c>
      <c r="C2220" t="str">
        <f t="shared" si="238"/>
        <v>Mobile Mont</v>
      </c>
      <c r="D2220" t="str">
        <f t="shared" si="239"/>
        <v>Y</v>
      </c>
      <c r="E2220" t="s">
        <v>650</v>
      </c>
      <c r="F2220" t="str">
        <f t="shared" si="240"/>
        <v>P HBS Pre-Existing Standard</v>
      </c>
      <c r="G2220" t="str">
        <f t="shared" si="241"/>
        <v>Specialty</v>
      </c>
      <c r="H2220" t="s">
        <v>472</v>
      </c>
      <c r="I2220" t="str">
        <f t="shared" si="242"/>
        <v>RETURN - 1st don of the week -STD</v>
      </c>
      <c r="J2220" t="s">
        <v>579</v>
      </c>
      <c r="K2220" s="5">
        <v>40</v>
      </c>
      <c r="L2220" t="str">
        <f>Table_DataFromNL[[#This Row],[PROFILECODE]]&amp;"-"&amp;Table_DataFromNL[[#This Row],[RULENAME]]</f>
        <v>CP133-P HBS Pre-Existing Standard</v>
      </c>
      <c r="M2220" t="str">
        <f t="shared" si="243"/>
        <v>CP133-P HBS Pre-Existing Standard</v>
      </c>
    </row>
    <row r="2221" spans="1:13" x14ac:dyDescent="0.25">
      <c r="A2221" t="str">
        <f t="shared" si="244"/>
        <v>CP133-P HBS Standard</v>
      </c>
      <c r="B2221" t="s">
        <v>249</v>
      </c>
      <c r="C2221" t="str">
        <f t="shared" si="238"/>
        <v>Mobile Mont</v>
      </c>
      <c r="D2221" t="str">
        <f t="shared" si="239"/>
        <v>Y</v>
      </c>
      <c r="E2221" t="s">
        <v>650</v>
      </c>
      <c r="F2221" t="str">
        <f t="shared" si="240"/>
        <v>P HBS Standard</v>
      </c>
      <c r="G2221" t="str">
        <f t="shared" si="241"/>
        <v>Specialty</v>
      </c>
      <c r="H2221" t="s">
        <v>473</v>
      </c>
      <c r="I2221" t="str">
        <f t="shared" si="242"/>
        <v>RETURN - 1st don of the week -STD</v>
      </c>
      <c r="J2221" t="s">
        <v>579</v>
      </c>
      <c r="K2221" s="5">
        <v>40</v>
      </c>
      <c r="L2221" t="str">
        <f>Table_DataFromNL[[#This Row],[PROFILECODE]]&amp;"-"&amp;Table_DataFromNL[[#This Row],[RULENAME]]</f>
        <v>CP133-P HBS Standard</v>
      </c>
      <c r="M2221" t="str">
        <f t="shared" si="243"/>
        <v>CP133-P HBS Standard</v>
      </c>
    </row>
    <row r="2222" spans="1:13" x14ac:dyDescent="0.25">
      <c r="A2222" t="str">
        <f t="shared" si="244"/>
        <v>CP133-RETURN - 1st don of the week -STD</v>
      </c>
      <c r="B2222" t="s">
        <v>249</v>
      </c>
      <c r="C2222" t="str">
        <f t="shared" si="238"/>
        <v>Mobile Mont</v>
      </c>
      <c r="D2222" t="str">
        <f t="shared" si="239"/>
        <v>Y</v>
      </c>
      <c r="E2222" t="s">
        <v>650</v>
      </c>
      <c r="F2222" t="str">
        <f t="shared" si="240"/>
        <v>RETURN - 1st don of the week -STD</v>
      </c>
      <c r="G2222" t="str">
        <f t="shared" si="241"/>
        <v>Marketing</v>
      </c>
      <c r="H2222" t="s">
        <v>583</v>
      </c>
      <c r="I2222">
        <f t="shared" si="242"/>
        <v>22</v>
      </c>
      <c r="J2222" t="s">
        <v>579</v>
      </c>
      <c r="K2222" s="5">
        <v>40</v>
      </c>
      <c r="L2222" t="str">
        <f>Table_DataFromNL[[#This Row],[PROFILECODE]]&amp;"-"&amp;Table_DataFromNL[[#This Row],[RULENAME]]</f>
        <v>CP133-P NSP NS AP Standard</v>
      </c>
      <c r="M2222" t="str">
        <f t="shared" si="243"/>
        <v>CP133-RETURN - 1st don of the week -STD</v>
      </c>
    </row>
    <row r="2223" spans="1:13" x14ac:dyDescent="0.25">
      <c r="A2223" t="str">
        <f t="shared" si="244"/>
        <v>CP133-RETURN - 1st don of the week -STD</v>
      </c>
      <c r="B2223" t="s">
        <v>249</v>
      </c>
      <c r="C2223" t="str">
        <f t="shared" si="238"/>
        <v>Mobile Mont</v>
      </c>
      <c r="D2223" t="str">
        <f t="shared" si="239"/>
        <v>Y</v>
      </c>
      <c r="E2223" t="s">
        <v>650</v>
      </c>
      <c r="F2223" t="str">
        <f t="shared" si="240"/>
        <v>RETURN - 1st don of the week -STD</v>
      </c>
      <c r="G2223" t="str">
        <f t="shared" si="241"/>
        <v>Marketing</v>
      </c>
      <c r="H2223" t="s">
        <v>584</v>
      </c>
      <c r="I2223">
        <f t="shared" si="242"/>
        <v>23</v>
      </c>
      <c r="J2223" t="s">
        <v>579</v>
      </c>
      <c r="K2223" s="5">
        <v>40</v>
      </c>
      <c r="L2223" t="str">
        <f>Table_DataFromNL[[#This Row],[PROFILECODE]]&amp;"-"&amp;Table_DataFromNL[[#This Row],[RULENAME]]</f>
        <v>CP133-P NSP NS Standard</v>
      </c>
      <c r="M2223" t="str">
        <f t="shared" si="243"/>
        <v>CP133-RETURN - 1st don of the week -STD</v>
      </c>
    </row>
    <row r="2224" spans="1:13" x14ac:dyDescent="0.25">
      <c r="A2224" t="str">
        <f t="shared" si="244"/>
        <v>CP133-P Rabies HT Standard</v>
      </c>
      <c r="B2224" t="s">
        <v>249</v>
      </c>
      <c r="C2224" t="str">
        <f t="shared" si="238"/>
        <v>Mobile Mont</v>
      </c>
      <c r="D2224" t="str">
        <f t="shared" si="239"/>
        <v>Y</v>
      </c>
      <c r="E2224" t="s">
        <v>650</v>
      </c>
      <c r="F2224" t="str">
        <f t="shared" si="240"/>
        <v>P Rabies HT Standard</v>
      </c>
      <c r="G2224" t="str">
        <f t="shared" si="241"/>
        <v>Specialty</v>
      </c>
      <c r="H2224" t="s">
        <v>502</v>
      </c>
      <c r="I2224" t="str">
        <f t="shared" si="242"/>
        <v>RETURN - 1st don of the week -STD</v>
      </c>
      <c r="J2224" t="s">
        <v>579</v>
      </c>
      <c r="K2224" s="5">
        <v>40</v>
      </c>
      <c r="L2224" t="str">
        <f>Table_DataFromNL[[#This Row],[PROFILECODE]]&amp;"-"&amp;Table_DataFromNL[[#This Row],[RULENAME]]</f>
        <v>CP133-P Rabies HT Standard</v>
      </c>
      <c r="M2224" t="str">
        <f t="shared" si="243"/>
        <v>CP133-P Rabies HT Standard</v>
      </c>
    </row>
    <row r="2225" spans="1:13" x14ac:dyDescent="0.25">
      <c r="A2225" t="str">
        <f t="shared" si="244"/>
        <v>CP133-P Rabies Standard</v>
      </c>
      <c r="B2225" t="s">
        <v>249</v>
      </c>
      <c r="C2225" t="str">
        <f t="shared" si="238"/>
        <v>Mobile Mont</v>
      </c>
      <c r="D2225" t="str">
        <f t="shared" si="239"/>
        <v>Y</v>
      </c>
      <c r="E2225" t="s">
        <v>650</v>
      </c>
      <c r="F2225" t="str">
        <f t="shared" si="240"/>
        <v>P Rabies Standard</v>
      </c>
      <c r="G2225" t="str">
        <f t="shared" si="241"/>
        <v>Specialty</v>
      </c>
      <c r="H2225" t="s">
        <v>503</v>
      </c>
      <c r="I2225" t="str">
        <f t="shared" si="242"/>
        <v>RETURN - 1st don of the week -STD</v>
      </c>
      <c r="J2225" t="s">
        <v>579</v>
      </c>
      <c r="K2225" s="5">
        <v>40</v>
      </c>
      <c r="L2225" t="str">
        <f>Table_DataFromNL[[#This Row],[PROFILECODE]]&amp;"-"&amp;Table_DataFromNL[[#This Row],[RULENAME]]</f>
        <v>CP133-P Rabies Standard</v>
      </c>
      <c r="M2225" t="str">
        <f t="shared" si="243"/>
        <v>CP133-P Rabies Standard</v>
      </c>
    </row>
    <row r="2226" spans="1:13" x14ac:dyDescent="0.25">
      <c r="A2226" t="str">
        <f t="shared" si="244"/>
        <v>CP133-P Tetanus AP Standard</v>
      </c>
      <c r="B2226" t="s">
        <v>249</v>
      </c>
      <c r="C2226" t="str">
        <f t="shared" si="238"/>
        <v>Mobile Mont</v>
      </c>
      <c r="D2226" t="str">
        <f t="shared" si="239"/>
        <v>Y</v>
      </c>
      <c r="E2226" t="s">
        <v>650</v>
      </c>
      <c r="F2226" t="str">
        <f t="shared" si="240"/>
        <v>P Tetanus AP Standard</v>
      </c>
      <c r="G2226" t="str">
        <f t="shared" si="241"/>
        <v>Specialty</v>
      </c>
      <c r="H2226" t="s">
        <v>492</v>
      </c>
      <c r="I2226" t="str">
        <f t="shared" si="242"/>
        <v>RETURN - 1st don of the week -STD</v>
      </c>
      <c r="J2226" t="s">
        <v>579</v>
      </c>
      <c r="K2226" s="5">
        <v>40</v>
      </c>
      <c r="L2226" t="str">
        <f>Table_DataFromNL[[#This Row],[PROFILECODE]]&amp;"-"&amp;Table_DataFromNL[[#This Row],[RULENAME]]</f>
        <v>CP133-P Tetanus AP Standard</v>
      </c>
      <c r="M2226" t="str">
        <f t="shared" si="243"/>
        <v>CP133-P Tetanus AP Standard</v>
      </c>
    </row>
    <row r="2227" spans="1:13" x14ac:dyDescent="0.25">
      <c r="A2227" t="str">
        <f t="shared" si="244"/>
        <v>CP133-P Tetanus Pre-Existing Standard</v>
      </c>
      <c r="B2227" t="s">
        <v>249</v>
      </c>
      <c r="C2227" t="str">
        <f t="shared" si="238"/>
        <v>Mobile Mont</v>
      </c>
      <c r="D2227" t="str">
        <f t="shared" si="239"/>
        <v>Y</v>
      </c>
      <c r="E2227" t="s">
        <v>650</v>
      </c>
      <c r="F2227" t="str">
        <f t="shared" si="240"/>
        <v>P Tetanus Pre-Existing Standard</v>
      </c>
      <c r="G2227" t="str">
        <f t="shared" si="241"/>
        <v>Specialty</v>
      </c>
      <c r="H2227" t="s">
        <v>493</v>
      </c>
      <c r="I2227" t="str">
        <f t="shared" si="242"/>
        <v>RETURN - 1st don of the week -STD</v>
      </c>
      <c r="J2227" t="s">
        <v>579</v>
      </c>
      <c r="K2227" s="5">
        <v>40</v>
      </c>
      <c r="L2227" t="str">
        <f>Table_DataFromNL[[#This Row],[PROFILECODE]]&amp;"-"&amp;Table_DataFromNL[[#This Row],[RULENAME]]</f>
        <v>CP133-P Tetanus Pre-Existing Standard</v>
      </c>
      <c r="M2227" t="str">
        <f t="shared" si="243"/>
        <v>CP133-P Tetanus Pre-Existing Standard</v>
      </c>
    </row>
    <row r="2228" spans="1:13" x14ac:dyDescent="0.25">
      <c r="A2228" t="str">
        <f t="shared" si="244"/>
        <v>CP133-P Tetanus Standard</v>
      </c>
      <c r="B2228" t="s">
        <v>249</v>
      </c>
      <c r="C2228" t="str">
        <f t="shared" si="238"/>
        <v>Mobile Mont</v>
      </c>
      <c r="D2228" t="str">
        <f t="shared" si="239"/>
        <v>Y</v>
      </c>
      <c r="E2228" t="s">
        <v>650</v>
      </c>
      <c r="F2228" t="str">
        <f t="shared" si="240"/>
        <v>P Tetanus Standard</v>
      </c>
      <c r="G2228" t="str">
        <f t="shared" si="241"/>
        <v>Specialty</v>
      </c>
      <c r="H2228" t="s">
        <v>494</v>
      </c>
      <c r="I2228" t="str">
        <f t="shared" si="242"/>
        <v>RETURN - 1st don of the week -STD</v>
      </c>
      <c r="J2228" t="s">
        <v>579</v>
      </c>
      <c r="K2228" s="5">
        <v>40</v>
      </c>
      <c r="L2228" t="str">
        <f>Table_DataFromNL[[#This Row],[PROFILECODE]]&amp;"-"&amp;Table_DataFromNL[[#This Row],[RULENAME]]</f>
        <v>CP133-P Tetanus Standard</v>
      </c>
      <c r="M2228" t="str">
        <f t="shared" si="243"/>
        <v>CP133-P Tetanus Standard</v>
      </c>
    </row>
    <row r="2229" spans="1:13" x14ac:dyDescent="0.25">
      <c r="A2229" t="str">
        <f t="shared" si="244"/>
        <v>CP133-P Tetanus Tox Standard</v>
      </c>
      <c r="B2229" t="s">
        <v>249</v>
      </c>
      <c r="C2229" t="str">
        <f t="shared" si="238"/>
        <v>Mobile Mont</v>
      </c>
      <c r="D2229" t="str">
        <f t="shared" si="239"/>
        <v>Y</v>
      </c>
      <c r="E2229" t="s">
        <v>650</v>
      </c>
      <c r="F2229" t="str">
        <f t="shared" si="240"/>
        <v>P Tetanus Tox Standard</v>
      </c>
      <c r="G2229" t="str">
        <f t="shared" si="241"/>
        <v>Specialty</v>
      </c>
      <c r="H2229" t="s">
        <v>508</v>
      </c>
      <c r="I2229" t="str">
        <f t="shared" si="242"/>
        <v>RETURN - 1st don of the week -STD</v>
      </c>
      <c r="J2229" t="s">
        <v>579</v>
      </c>
      <c r="K2229" s="5">
        <v>40</v>
      </c>
      <c r="L2229" t="str">
        <f>Table_DataFromNL[[#This Row],[PROFILECODE]]&amp;"-"&amp;Table_DataFromNL[[#This Row],[RULENAME]]</f>
        <v>CP133-P Tetanus Tox Standard</v>
      </c>
      <c r="M2229" t="str">
        <f t="shared" si="243"/>
        <v>CP133-P Tetanus Tox Standard</v>
      </c>
    </row>
    <row r="2230" spans="1:13" x14ac:dyDescent="0.25">
      <c r="A2230" t="str">
        <f t="shared" si="244"/>
        <v>CP133-P VIP A Standard</v>
      </c>
      <c r="B2230" t="s">
        <v>249</v>
      </c>
      <c r="C2230" t="str">
        <f t="shared" si="238"/>
        <v>Mobile Mont</v>
      </c>
      <c r="D2230" t="str">
        <f t="shared" si="239"/>
        <v>Y</v>
      </c>
      <c r="E2230" t="s">
        <v>650</v>
      </c>
      <c r="F2230" t="str">
        <f t="shared" si="240"/>
        <v>P VIP A Standard</v>
      </c>
      <c r="G2230" t="str">
        <f t="shared" si="241"/>
        <v>Specialty</v>
      </c>
      <c r="H2230" t="s">
        <v>512</v>
      </c>
      <c r="I2230" t="str">
        <f t="shared" si="242"/>
        <v>RETURN - 1st don of the week -STD</v>
      </c>
      <c r="J2230" t="s">
        <v>579</v>
      </c>
      <c r="K2230" s="5">
        <v>40</v>
      </c>
      <c r="L2230" t="str">
        <f>Table_DataFromNL[[#This Row],[PROFILECODE]]&amp;"-"&amp;Table_DataFromNL[[#This Row],[RULENAME]]</f>
        <v>CP133-P VIP A Standard</v>
      </c>
      <c r="M2230" t="str">
        <f t="shared" si="243"/>
        <v>CP133-P VIP A Standard</v>
      </c>
    </row>
    <row r="2231" spans="1:13" x14ac:dyDescent="0.25">
      <c r="A2231" t="str">
        <f t="shared" si="244"/>
        <v>CP133-P VIP AB Standard</v>
      </c>
      <c r="B2231" t="s">
        <v>249</v>
      </c>
      <c r="C2231" t="str">
        <f t="shared" si="238"/>
        <v>Mobile Mont</v>
      </c>
      <c r="D2231" t="str">
        <f t="shared" si="239"/>
        <v>Y</v>
      </c>
      <c r="E2231" t="s">
        <v>650</v>
      </c>
      <c r="F2231" t="str">
        <f t="shared" si="240"/>
        <v>P VIP AB Standard</v>
      </c>
      <c r="G2231" t="str">
        <f t="shared" si="241"/>
        <v>Specialty</v>
      </c>
      <c r="H2231" t="s">
        <v>513</v>
      </c>
      <c r="I2231" t="str">
        <f t="shared" si="242"/>
        <v>RETURN - 1st don of the week -STD</v>
      </c>
      <c r="J2231" t="s">
        <v>579</v>
      </c>
      <c r="K2231" s="5">
        <v>40</v>
      </c>
      <c r="L2231" t="str">
        <f>Table_DataFromNL[[#This Row],[PROFILECODE]]&amp;"-"&amp;Table_DataFromNL[[#This Row],[RULENAME]]</f>
        <v>CP133-P VIP AB Standard</v>
      </c>
      <c r="M2231" t="str">
        <f t="shared" si="243"/>
        <v>CP133-P VIP AB Standard</v>
      </c>
    </row>
    <row r="2232" spans="1:13" x14ac:dyDescent="0.25">
      <c r="A2232" t="str">
        <f t="shared" si="244"/>
        <v>CP133-P Vaccinia AP Standard</v>
      </c>
      <c r="B2232" t="s">
        <v>249</v>
      </c>
      <c r="C2232" t="str">
        <f t="shared" si="238"/>
        <v>Mobile Mont</v>
      </c>
      <c r="D2232" t="str">
        <f t="shared" si="239"/>
        <v>Y</v>
      </c>
      <c r="E2232" t="s">
        <v>650</v>
      </c>
      <c r="F2232" t="str">
        <f t="shared" si="240"/>
        <v>P Vaccinia AP Standard</v>
      </c>
      <c r="G2232" t="str">
        <f t="shared" si="241"/>
        <v>Specialty</v>
      </c>
      <c r="H2232" t="s">
        <v>475</v>
      </c>
      <c r="I2232">
        <f t="shared" si="242"/>
        <v>0</v>
      </c>
      <c r="J2232" t="s">
        <v>579</v>
      </c>
      <c r="K2232" s="5">
        <v>100</v>
      </c>
      <c r="L2232" t="str">
        <f>Table_DataFromNL[[#This Row],[PROFILECODE]]&amp;"-"&amp;Table_DataFromNL[[#This Row],[RULENAME]]</f>
        <v>CP133-P Vaccinia AP Standard</v>
      </c>
      <c r="M2232" t="str">
        <f t="shared" si="243"/>
        <v>CP133-P Vaccinia AP Standard</v>
      </c>
    </row>
    <row r="2233" spans="1:13" x14ac:dyDescent="0.25">
      <c r="A2233" t="str">
        <f t="shared" si="244"/>
        <v>CP133-P Vaccinia Standard</v>
      </c>
      <c r="B2233" t="s">
        <v>249</v>
      </c>
      <c r="C2233" t="str">
        <f t="shared" si="238"/>
        <v>Mobile Mont</v>
      </c>
      <c r="D2233" t="str">
        <f t="shared" si="239"/>
        <v>Y</v>
      </c>
      <c r="E2233" t="s">
        <v>650</v>
      </c>
      <c r="F2233" t="str">
        <f t="shared" si="240"/>
        <v>P Vaccinia Standard</v>
      </c>
      <c r="G2233" t="str">
        <f t="shared" si="241"/>
        <v>Specialty</v>
      </c>
      <c r="H2233" t="s">
        <v>476</v>
      </c>
      <c r="I2233">
        <f t="shared" si="242"/>
        <v>0</v>
      </c>
      <c r="J2233" t="s">
        <v>579</v>
      </c>
      <c r="K2233" s="5">
        <v>100</v>
      </c>
      <c r="L2233" t="str">
        <f>Table_DataFromNL[[#This Row],[PROFILECODE]]&amp;"-"&amp;Table_DataFromNL[[#This Row],[RULENAME]]</f>
        <v>CP133-P Vaccinia Standard</v>
      </c>
      <c r="M2233" t="str">
        <f t="shared" si="243"/>
        <v>CP133-P Vaccinia Standard</v>
      </c>
    </row>
    <row r="2234" spans="1:13" x14ac:dyDescent="0.25">
      <c r="A2234" t="str">
        <f t="shared" si="244"/>
        <v>CP133-Whole Blood INJ</v>
      </c>
      <c r="B2234" t="s">
        <v>249</v>
      </c>
      <c r="C2234" t="str">
        <f t="shared" si="238"/>
        <v>Mobile Mont</v>
      </c>
      <c r="D2234" t="str">
        <f t="shared" si="239"/>
        <v>Y</v>
      </c>
      <c r="E2234" t="s">
        <v>650</v>
      </c>
      <c r="F2234" t="str">
        <f t="shared" si="240"/>
        <v>Whole Blood INJ</v>
      </c>
      <c r="G2234" t="str">
        <f t="shared" si="241"/>
        <v>Specialty</v>
      </c>
      <c r="H2234" t="s">
        <v>526</v>
      </c>
      <c r="I2234">
        <f t="shared" si="242"/>
        <v>0</v>
      </c>
      <c r="J2234" t="s">
        <v>579</v>
      </c>
      <c r="K2234" s="5">
        <v>200</v>
      </c>
      <c r="L2234" t="str">
        <f>Table_DataFromNL[[#This Row],[PROFILECODE]]&amp;"-"&amp;Table_DataFromNL[[#This Row],[RULENAME]]</f>
        <v>CP133-Whole Blood INJ</v>
      </c>
      <c r="M2234" t="str">
        <f t="shared" si="243"/>
        <v>CP133-Whole Blood INJ</v>
      </c>
    </row>
    <row r="2235" spans="1:13" x14ac:dyDescent="0.25">
      <c r="A2235" t="str">
        <f t="shared" si="244"/>
        <v>CP139-1st Responder-Medical</v>
      </c>
      <c r="B2235" t="s">
        <v>199</v>
      </c>
      <c r="C2235" t="str">
        <f t="shared" si="238"/>
        <v>Norman</v>
      </c>
      <c r="D2235" t="str">
        <f t="shared" si="239"/>
        <v>Y</v>
      </c>
      <c r="E2235" t="s">
        <v>654</v>
      </c>
      <c r="F2235" t="str">
        <f t="shared" si="240"/>
        <v>1st Responder-Medical</v>
      </c>
      <c r="G2235">
        <f t="shared" si="241"/>
        <v>0</v>
      </c>
      <c r="H2235" t="s">
        <v>545</v>
      </c>
      <c r="I2235">
        <f t="shared" si="242"/>
        <v>0</v>
      </c>
      <c r="J2235" t="s">
        <v>546</v>
      </c>
      <c r="K2235" s="5">
        <v>5</v>
      </c>
      <c r="L2235" t="str">
        <f>Table_DataFromNL[[#This Row],[PROFILECODE]]&amp;"-"&amp;Table_DataFromNL[[#This Row],[RULENAME]]</f>
        <v>CP139-1st Responder-Medical</v>
      </c>
      <c r="M2235" t="e">
        <f t="shared" si="243"/>
        <v>#N/A</v>
      </c>
    </row>
    <row r="2236" spans="1:13" x14ac:dyDescent="0.25">
      <c r="A2236" t="str">
        <f t="shared" si="244"/>
        <v>CP139-2X Week P Anti-D</v>
      </c>
      <c r="B2236" t="s">
        <v>199</v>
      </c>
      <c r="C2236" t="str">
        <f t="shared" si="238"/>
        <v>Norman</v>
      </c>
      <c r="D2236" t="str">
        <f t="shared" si="239"/>
        <v>Y</v>
      </c>
      <c r="E2236" t="s">
        <v>654</v>
      </c>
      <c r="F2236" t="str">
        <f t="shared" si="240"/>
        <v>2X Week P Anti-D</v>
      </c>
      <c r="G2236" t="str">
        <f t="shared" si="241"/>
        <v>Specialty</v>
      </c>
      <c r="H2236" t="s">
        <v>518</v>
      </c>
      <c r="I2236" t="str">
        <f t="shared" si="242"/>
        <v>RETURN - 2nd don of the week -BONUS</v>
      </c>
      <c r="J2236" t="s">
        <v>546</v>
      </c>
      <c r="K2236" s="5">
        <v>15</v>
      </c>
      <c r="L2236" t="str">
        <f>Table_DataFromNL[[#This Row],[PROFILECODE]]&amp;"-"&amp;Table_DataFromNL[[#This Row],[RULENAME]]</f>
        <v>CP139-2X Week P Anti-D</v>
      </c>
      <c r="M2236" t="str">
        <f t="shared" si="243"/>
        <v>CP139-2X Week P Anti-D</v>
      </c>
    </row>
    <row r="2237" spans="1:13" x14ac:dyDescent="0.25">
      <c r="A2237" t="str">
        <f t="shared" si="244"/>
        <v>CP139-RETURN - 2nd don of the week -BONUS</v>
      </c>
      <c r="B2237" t="s">
        <v>199</v>
      </c>
      <c r="C2237" t="str">
        <f t="shared" si="238"/>
        <v>Norman</v>
      </c>
      <c r="D2237" t="str">
        <f t="shared" si="239"/>
        <v>Y</v>
      </c>
      <c r="E2237" t="s">
        <v>654</v>
      </c>
      <c r="F2237" t="str">
        <f t="shared" si="240"/>
        <v>RETURN - 2nd don of the week -BONUS</v>
      </c>
      <c r="G2237" t="str">
        <f t="shared" si="241"/>
        <v>Marketing</v>
      </c>
      <c r="H2237" t="s">
        <v>550</v>
      </c>
      <c r="I2237">
        <f t="shared" si="242"/>
        <v>26</v>
      </c>
      <c r="J2237" t="s">
        <v>546</v>
      </c>
      <c r="K2237" s="5">
        <v>20</v>
      </c>
      <c r="L2237" t="str">
        <f>Table_DataFromNL[[#This Row],[PROFILECODE]]&amp;"-"&amp;Table_DataFromNL[[#This Row],[RULENAME]]</f>
        <v>CP139-2X Week P NSP NS</v>
      </c>
      <c r="M2237" t="str">
        <f t="shared" si="243"/>
        <v>CP139-RETURN - 2nd don of the week -BONUS</v>
      </c>
    </row>
    <row r="2238" spans="1:13" x14ac:dyDescent="0.25">
      <c r="A2238" t="str">
        <f t="shared" si="244"/>
        <v>CP139-RETURN - 2nd don of the week -BONUS</v>
      </c>
      <c r="B2238" t="s">
        <v>199</v>
      </c>
      <c r="C2238" t="str">
        <f t="shared" si="238"/>
        <v>Norman</v>
      </c>
      <c r="D2238" t="str">
        <f t="shared" si="239"/>
        <v>Y</v>
      </c>
      <c r="E2238" t="s">
        <v>654</v>
      </c>
      <c r="F2238" t="str">
        <f t="shared" si="240"/>
        <v>RETURN - 2nd don of the week -BONUS</v>
      </c>
      <c r="G2238" t="str">
        <f t="shared" si="241"/>
        <v>Marketing</v>
      </c>
      <c r="H2238" t="s">
        <v>551</v>
      </c>
      <c r="I2238" t="str">
        <f t="shared" si="242"/>
        <v>RETURN - 2nd don of the week -BONUS</v>
      </c>
      <c r="J2238" t="s">
        <v>546</v>
      </c>
      <c r="K2238" s="5">
        <v>20</v>
      </c>
      <c r="L2238" t="str">
        <f>Table_DataFromNL[[#This Row],[PROFILECODE]]&amp;"-"&amp;Table_DataFromNL[[#This Row],[RULENAME]]</f>
        <v>CP139-2X Week P NSP NS AP</v>
      </c>
      <c r="M2238" t="str">
        <f t="shared" si="243"/>
        <v>CP139-RETURN - 2nd don of the week -BONUS</v>
      </c>
    </row>
    <row r="2239" spans="1:13" x14ac:dyDescent="0.25">
      <c r="A2239" t="str">
        <f t="shared" si="244"/>
        <v>CP139-RETURN - 6th don of the month -BONUS</v>
      </c>
      <c r="B2239" t="s">
        <v>199</v>
      </c>
      <c r="C2239" t="str">
        <f t="shared" si="238"/>
        <v>Norman</v>
      </c>
      <c r="D2239" t="str">
        <f t="shared" si="239"/>
        <v>Y</v>
      </c>
      <c r="E2239" t="s">
        <v>654</v>
      </c>
      <c r="F2239" t="str">
        <f t="shared" si="240"/>
        <v>RETURN - 6th don of the month -BONUS</v>
      </c>
      <c r="G2239" t="str">
        <f t="shared" si="241"/>
        <v>Marketing</v>
      </c>
      <c r="H2239" t="s">
        <v>552</v>
      </c>
      <c r="I2239">
        <f t="shared" si="242"/>
        <v>28</v>
      </c>
      <c r="J2239" t="s">
        <v>546</v>
      </c>
      <c r="K2239" s="5">
        <v>30</v>
      </c>
      <c r="L2239" t="str">
        <f>Table_DataFromNL[[#This Row],[PROFILECODE]]&amp;"-"&amp;Table_DataFromNL[[#This Row],[RULENAME]]</f>
        <v>CP139-6X Month</v>
      </c>
      <c r="M2239" t="str">
        <f t="shared" si="243"/>
        <v>CP139-RETURN - 6th don of the month -BONUS</v>
      </c>
    </row>
    <row r="2240" spans="1:13" x14ac:dyDescent="0.25">
      <c r="A2240" t="str">
        <f t="shared" si="244"/>
        <v>CP139-College ID Standard Bonus</v>
      </c>
      <c r="B2240" t="s">
        <v>199</v>
      </c>
      <c r="C2240" t="str">
        <f t="shared" si="238"/>
        <v>Norman</v>
      </c>
      <c r="D2240" t="str">
        <f t="shared" si="239"/>
        <v>Y</v>
      </c>
      <c r="E2240" t="s">
        <v>654</v>
      </c>
      <c r="F2240" t="str">
        <f t="shared" si="240"/>
        <v>College ID Standard Bonus</v>
      </c>
      <c r="G2240">
        <f t="shared" si="241"/>
        <v>0</v>
      </c>
      <c r="H2240" t="s">
        <v>553</v>
      </c>
      <c r="I2240">
        <f t="shared" si="242"/>
        <v>0</v>
      </c>
      <c r="J2240" t="s">
        <v>546</v>
      </c>
      <c r="K2240" s="5">
        <v>5</v>
      </c>
      <c r="L2240" t="str">
        <f>Table_DataFromNL[[#This Row],[PROFILECODE]]&amp;"-"&amp;Table_DataFromNL[[#This Row],[RULENAME]]</f>
        <v>CP139-College ID Standard Bonus</v>
      </c>
      <c r="M2240" t="e">
        <f t="shared" si="243"/>
        <v>#N/A</v>
      </c>
    </row>
    <row r="2241" spans="1:13" x14ac:dyDescent="0.25">
      <c r="A2241" t="str">
        <f t="shared" si="244"/>
        <v>CP139-Military ID</v>
      </c>
      <c r="B2241" t="s">
        <v>199</v>
      </c>
      <c r="C2241" t="str">
        <f t="shared" si="238"/>
        <v>Norman</v>
      </c>
      <c r="D2241" t="str">
        <f t="shared" si="239"/>
        <v>Y</v>
      </c>
      <c r="E2241" t="s">
        <v>654</v>
      </c>
      <c r="F2241" t="str">
        <f t="shared" si="240"/>
        <v>Military ID</v>
      </c>
      <c r="G2241">
        <f t="shared" si="241"/>
        <v>0</v>
      </c>
      <c r="H2241" t="s">
        <v>554</v>
      </c>
      <c r="I2241">
        <f t="shared" si="242"/>
        <v>0</v>
      </c>
      <c r="J2241" t="s">
        <v>546</v>
      </c>
      <c r="K2241" s="5">
        <v>5</v>
      </c>
      <c r="L2241" t="str">
        <f>Table_DataFromNL[[#This Row],[PROFILECODE]]&amp;"-"&amp;Table_DataFromNL[[#This Row],[RULENAME]]</f>
        <v>CP139-Military ID</v>
      </c>
      <c r="M2241" t="e">
        <f t="shared" si="243"/>
        <v>#N/A</v>
      </c>
    </row>
    <row r="2242" spans="1:13" x14ac:dyDescent="0.25">
      <c r="A2242" t="str">
        <f t="shared" si="244"/>
        <v>CP139-NEW DONOR -1st</v>
      </c>
      <c r="B2242" t="s">
        <v>199</v>
      </c>
      <c r="C2242" t="str">
        <f t="shared" ref="C2242:C2305" si="245">VLOOKUP(B2242,CenterLU,2,FALSE)</f>
        <v>Norman</v>
      </c>
      <c r="D2242" t="str">
        <f t="shared" ref="D2242:D2305" si="246">VLOOKUP(B2242,CenterLU,3,FALSE)</f>
        <v>Y</v>
      </c>
      <c r="E2242" t="s">
        <v>654</v>
      </c>
      <c r="F2242" t="str">
        <f t="shared" ref="F2242:F2305" si="247">IF(VLOOKUP(H2242,RULENAMELU,3,FALSE)=0,H2242,VLOOKUP(H2242,RULENAMELU,3,FALSE))</f>
        <v>NEW DONOR -1st</v>
      </c>
      <c r="G2242" t="str">
        <f t="shared" ref="G2242:G2305" si="248">VLOOKUP(H2242,RULENAMELU,4,FALSE)</f>
        <v>Marketing</v>
      </c>
      <c r="H2242" t="s">
        <v>555</v>
      </c>
      <c r="I2242">
        <f t="shared" ref="I2242:I2305" si="249">VLOOKUP(H2242,RULENAMELU,5,FALSE)</f>
        <v>1</v>
      </c>
      <c r="J2242" t="s">
        <v>546</v>
      </c>
      <c r="K2242" s="5">
        <v>100</v>
      </c>
      <c r="L2242" t="str">
        <f>Table_DataFromNL[[#This Row],[PROFILECODE]]&amp;"-"&amp;Table_DataFromNL[[#This Row],[RULENAME]]</f>
        <v>CP139-New Donor 1st Visit-Bonus</v>
      </c>
      <c r="M2242" t="str">
        <f t="shared" ref="M2242:M2305" si="250">IFERROR(VLOOKUP(A2242,PaychangesLU,1,FALSE),VLOOKUP(A2242,SpecialtyCheckLU,1,FALSE))</f>
        <v>CP139-NEW DONOR -1st</v>
      </c>
    </row>
    <row r="2243" spans="1:13" x14ac:dyDescent="0.25">
      <c r="A2243" t="str">
        <f t="shared" ref="A2243:A2306" si="251">B2243&amp;"-"&amp;F2243</f>
        <v>CP139-NEW DONOR -2nd</v>
      </c>
      <c r="B2243" t="s">
        <v>199</v>
      </c>
      <c r="C2243" t="str">
        <f t="shared" si="245"/>
        <v>Norman</v>
      </c>
      <c r="D2243" t="str">
        <f t="shared" si="246"/>
        <v>Y</v>
      </c>
      <c r="E2243" t="s">
        <v>654</v>
      </c>
      <c r="F2243" t="str">
        <f t="shared" si="247"/>
        <v>NEW DONOR -2nd</v>
      </c>
      <c r="G2243" t="str">
        <f t="shared" si="248"/>
        <v>Marketing</v>
      </c>
      <c r="H2243" t="s">
        <v>556</v>
      </c>
      <c r="I2243">
        <f t="shared" si="249"/>
        <v>2</v>
      </c>
      <c r="J2243" t="s">
        <v>546</v>
      </c>
      <c r="K2243" s="5">
        <v>100</v>
      </c>
      <c r="L2243" t="str">
        <f>Table_DataFromNL[[#This Row],[PROFILECODE]]&amp;"-"&amp;Table_DataFromNL[[#This Row],[RULENAME]]</f>
        <v>CP139-New Donor 2nd Visit-Bonus</v>
      </c>
      <c r="M2243" t="str">
        <f t="shared" si="250"/>
        <v>CP139-NEW DONOR -2nd</v>
      </c>
    </row>
    <row r="2244" spans="1:13" x14ac:dyDescent="0.25">
      <c r="A2244" t="str">
        <f t="shared" si="251"/>
        <v>CP139-NEW DONOR -3rd</v>
      </c>
      <c r="B2244" t="s">
        <v>199</v>
      </c>
      <c r="C2244" t="str">
        <f t="shared" si="245"/>
        <v>Norman</v>
      </c>
      <c r="D2244" t="str">
        <f t="shared" si="246"/>
        <v>Y</v>
      </c>
      <c r="E2244" t="s">
        <v>654</v>
      </c>
      <c r="F2244" t="str">
        <f t="shared" si="247"/>
        <v>NEW DONOR -3rd</v>
      </c>
      <c r="G2244" t="str">
        <f t="shared" si="248"/>
        <v>Marketing</v>
      </c>
      <c r="H2244" t="s">
        <v>557</v>
      </c>
      <c r="I2244">
        <f t="shared" si="249"/>
        <v>3</v>
      </c>
      <c r="J2244" t="s">
        <v>546</v>
      </c>
      <c r="K2244" s="5">
        <v>100</v>
      </c>
      <c r="L2244" t="str">
        <f>Table_DataFromNL[[#This Row],[PROFILECODE]]&amp;"-"&amp;Table_DataFromNL[[#This Row],[RULENAME]]</f>
        <v>CP139-New Donor 3rd Visit-Bonus</v>
      </c>
      <c r="M2244" t="str">
        <f t="shared" si="250"/>
        <v>CP139-NEW DONOR -3rd</v>
      </c>
    </row>
    <row r="2245" spans="1:13" x14ac:dyDescent="0.25">
      <c r="A2245" t="str">
        <f t="shared" si="251"/>
        <v>CP139-NEW DONOR -4th</v>
      </c>
      <c r="B2245" t="s">
        <v>199</v>
      </c>
      <c r="C2245" t="str">
        <f t="shared" si="245"/>
        <v>Norman</v>
      </c>
      <c r="D2245" t="str">
        <f t="shared" si="246"/>
        <v>Y</v>
      </c>
      <c r="E2245" t="s">
        <v>654</v>
      </c>
      <c r="F2245" t="str">
        <f t="shared" si="247"/>
        <v>NEW DONOR -4th</v>
      </c>
      <c r="G2245" t="str">
        <f t="shared" si="248"/>
        <v>Marketing</v>
      </c>
      <c r="H2245" t="s">
        <v>558</v>
      </c>
      <c r="I2245">
        <f t="shared" si="249"/>
        <v>4</v>
      </c>
      <c r="J2245" t="s">
        <v>546</v>
      </c>
      <c r="K2245" s="5">
        <v>100</v>
      </c>
      <c r="L2245" t="str">
        <f>Table_DataFromNL[[#This Row],[PROFILECODE]]&amp;"-"&amp;Table_DataFromNL[[#This Row],[RULENAME]]</f>
        <v>CP139-New Donor 4th Visit-Bonus</v>
      </c>
      <c r="M2245" t="str">
        <f t="shared" si="250"/>
        <v>CP139-NEW DONOR -4th</v>
      </c>
    </row>
    <row r="2246" spans="1:13" x14ac:dyDescent="0.25">
      <c r="A2246" t="str">
        <f t="shared" si="251"/>
        <v>CP139-NEW DONOR -5th</v>
      </c>
      <c r="B2246" t="s">
        <v>199</v>
      </c>
      <c r="C2246" t="str">
        <f t="shared" si="245"/>
        <v>Norman</v>
      </c>
      <c r="D2246" t="str">
        <f t="shared" si="246"/>
        <v>Y</v>
      </c>
      <c r="E2246" t="s">
        <v>654</v>
      </c>
      <c r="F2246" t="str">
        <f t="shared" si="247"/>
        <v>NEW DONOR -5th</v>
      </c>
      <c r="G2246" t="str">
        <f t="shared" si="248"/>
        <v>Marketing</v>
      </c>
      <c r="H2246" t="s">
        <v>559</v>
      </c>
      <c r="I2246">
        <f t="shared" si="249"/>
        <v>5</v>
      </c>
      <c r="J2246" t="s">
        <v>546</v>
      </c>
      <c r="K2246" s="5">
        <v>100</v>
      </c>
      <c r="L2246" t="str">
        <f>Table_DataFromNL[[#This Row],[PROFILECODE]]&amp;"-"&amp;Table_DataFromNL[[#This Row],[RULENAME]]</f>
        <v>CP139-New Donor 5th Visit-Bonus</v>
      </c>
      <c r="M2246" t="str">
        <f t="shared" si="250"/>
        <v>CP139-NEW DONOR -5th</v>
      </c>
    </row>
    <row r="2247" spans="1:13" x14ac:dyDescent="0.25">
      <c r="A2247" t="str">
        <f t="shared" si="251"/>
        <v>CP139-NEW DONOR -6th</v>
      </c>
      <c r="B2247" t="s">
        <v>199</v>
      </c>
      <c r="C2247" t="str">
        <f t="shared" si="245"/>
        <v>Norman</v>
      </c>
      <c r="D2247" t="str">
        <f t="shared" si="246"/>
        <v>Y</v>
      </c>
      <c r="E2247" t="s">
        <v>654</v>
      </c>
      <c r="F2247" t="str">
        <f t="shared" si="247"/>
        <v>NEW DONOR -6th</v>
      </c>
      <c r="G2247" t="str">
        <f t="shared" si="248"/>
        <v>Marketing</v>
      </c>
      <c r="H2247" t="s">
        <v>560</v>
      </c>
      <c r="I2247">
        <f t="shared" si="249"/>
        <v>6</v>
      </c>
      <c r="J2247" t="s">
        <v>546</v>
      </c>
      <c r="K2247" s="5">
        <v>100</v>
      </c>
      <c r="L2247" t="str">
        <f>Table_DataFromNL[[#This Row],[PROFILECODE]]&amp;"-"&amp;Table_DataFromNL[[#This Row],[RULENAME]]</f>
        <v>CP139-New Donor 6th Visit-Bonus</v>
      </c>
      <c r="M2247" t="str">
        <f t="shared" si="250"/>
        <v>CP139-NEW DONOR -6th</v>
      </c>
    </row>
    <row r="2248" spans="1:13" x14ac:dyDescent="0.25">
      <c r="A2248" t="str">
        <f t="shared" si="251"/>
        <v>CP139-NEW DONOR -7th</v>
      </c>
      <c r="B2248" t="s">
        <v>199</v>
      </c>
      <c r="C2248" t="str">
        <f t="shared" si="245"/>
        <v>Norman</v>
      </c>
      <c r="D2248" t="str">
        <f t="shared" si="246"/>
        <v>Y</v>
      </c>
      <c r="E2248" t="s">
        <v>654</v>
      </c>
      <c r="F2248" t="str">
        <f t="shared" si="247"/>
        <v>NEW DONOR -7th</v>
      </c>
      <c r="G2248" t="str">
        <f t="shared" si="248"/>
        <v>Marketing</v>
      </c>
      <c r="H2248" t="s">
        <v>561</v>
      </c>
      <c r="I2248">
        <f t="shared" si="249"/>
        <v>7</v>
      </c>
      <c r="J2248" t="s">
        <v>546</v>
      </c>
      <c r="K2248" s="5">
        <v>45</v>
      </c>
      <c r="L2248" t="str">
        <f>Table_DataFromNL[[#This Row],[PROFILECODE]]&amp;"-"&amp;Table_DataFromNL[[#This Row],[RULENAME]]</f>
        <v>CP139-New Donor 7th Visit-Bonus</v>
      </c>
      <c r="M2248" t="str">
        <f t="shared" si="250"/>
        <v>CP139-NEW DONOR -7th</v>
      </c>
    </row>
    <row r="2249" spans="1:13" x14ac:dyDescent="0.25">
      <c r="A2249" t="str">
        <f t="shared" si="251"/>
        <v>CP139-NEW DONOR -8th</v>
      </c>
      <c r="B2249" t="s">
        <v>199</v>
      </c>
      <c r="C2249" t="str">
        <f t="shared" si="245"/>
        <v>Norman</v>
      </c>
      <c r="D2249" t="str">
        <f t="shared" si="246"/>
        <v>Y</v>
      </c>
      <c r="E2249" t="s">
        <v>654</v>
      </c>
      <c r="F2249" t="str">
        <f t="shared" si="247"/>
        <v>NEW DONOR -8th</v>
      </c>
      <c r="G2249" t="str">
        <f t="shared" si="248"/>
        <v>Marketing</v>
      </c>
      <c r="H2249" t="s">
        <v>562</v>
      </c>
      <c r="I2249">
        <f t="shared" si="249"/>
        <v>8</v>
      </c>
      <c r="J2249" t="s">
        <v>546</v>
      </c>
      <c r="K2249" s="5">
        <v>45</v>
      </c>
      <c r="L2249" t="str">
        <f>Table_DataFromNL[[#This Row],[PROFILECODE]]&amp;"-"&amp;Table_DataFromNL[[#This Row],[RULENAME]]</f>
        <v>CP139-New Donor 8th Visit-Bonus</v>
      </c>
      <c r="M2249" t="str">
        <f t="shared" si="250"/>
        <v>CP139-NEW DONOR -8th</v>
      </c>
    </row>
    <row r="2250" spans="1:13" x14ac:dyDescent="0.25">
      <c r="A2250" t="str">
        <f t="shared" si="251"/>
        <v>CP139-Community</v>
      </c>
      <c r="B2250" t="s">
        <v>199</v>
      </c>
      <c r="C2250" t="str">
        <f t="shared" si="245"/>
        <v>Norman</v>
      </c>
      <c r="D2250" t="str">
        <f t="shared" si="246"/>
        <v>Y</v>
      </c>
      <c r="E2250" t="s">
        <v>654</v>
      </c>
      <c r="F2250" t="str">
        <f t="shared" si="247"/>
        <v>Community</v>
      </c>
      <c r="G2250">
        <f t="shared" si="248"/>
        <v>0</v>
      </c>
      <c r="H2250" t="s">
        <v>563</v>
      </c>
      <c r="I2250">
        <f t="shared" si="249"/>
        <v>0</v>
      </c>
      <c r="J2250" t="s">
        <v>564</v>
      </c>
      <c r="K2250" s="5">
        <v>5</v>
      </c>
      <c r="L2250" t="str">
        <f>Table_DataFromNL[[#This Row],[PROFILECODE]]&amp;"-"&amp;Table_DataFromNL[[#This Row],[RULENAME]]</f>
        <v>CP139-Community</v>
      </c>
      <c r="M2250" t="e">
        <f t="shared" si="250"/>
        <v>#N/A</v>
      </c>
    </row>
    <row r="2251" spans="1:13" x14ac:dyDescent="0.25">
      <c r="A2251" t="str">
        <f t="shared" si="251"/>
        <v>CP139-HANGER_RECRUIT_5USD_once</v>
      </c>
      <c r="B2251" t="s">
        <v>199</v>
      </c>
      <c r="C2251" t="str">
        <f t="shared" si="245"/>
        <v>Norman</v>
      </c>
      <c r="D2251" t="str">
        <f t="shared" si="246"/>
        <v>Y</v>
      </c>
      <c r="E2251" t="s">
        <v>654</v>
      </c>
      <c r="F2251" t="str">
        <f t="shared" si="247"/>
        <v>HANGER_RECRUIT_5USD_once</v>
      </c>
      <c r="G2251">
        <f t="shared" si="248"/>
        <v>0</v>
      </c>
      <c r="H2251" t="s">
        <v>565</v>
      </c>
      <c r="I2251">
        <f t="shared" si="249"/>
        <v>0</v>
      </c>
      <c r="J2251" t="s">
        <v>564</v>
      </c>
      <c r="K2251" s="5">
        <v>5</v>
      </c>
      <c r="L2251" t="str">
        <f>Table_DataFromNL[[#This Row],[PROFILECODE]]&amp;"-"&amp;Table_DataFromNL[[#This Row],[RULENAME]]</f>
        <v>CP139-HANGER_RECRUIT_5USD_once</v>
      </c>
      <c r="M2251" t="e">
        <f t="shared" si="250"/>
        <v>#N/A</v>
      </c>
    </row>
    <row r="2252" spans="1:13" x14ac:dyDescent="0.25">
      <c r="A2252" t="str">
        <f t="shared" si="251"/>
        <v>CP139-Inconv Fee $20-$50-Comment Req'd</v>
      </c>
      <c r="B2252" t="s">
        <v>199</v>
      </c>
      <c r="C2252" t="str">
        <f t="shared" si="245"/>
        <v>Norman</v>
      </c>
      <c r="D2252" t="str">
        <f t="shared" si="246"/>
        <v>Y</v>
      </c>
      <c r="E2252" t="s">
        <v>654</v>
      </c>
      <c r="F2252" t="str">
        <f t="shared" si="247"/>
        <v>Inconv Fee $20-$50-Comment Req'd</v>
      </c>
      <c r="G2252">
        <f t="shared" si="248"/>
        <v>0</v>
      </c>
      <c r="H2252" t="s">
        <v>566</v>
      </c>
      <c r="I2252">
        <f t="shared" si="249"/>
        <v>0</v>
      </c>
      <c r="J2252" t="s">
        <v>564</v>
      </c>
      <c r="K2252" s="5">
        <v>50</v>
      </c>
      <c r="L2252" t="str">
        <f>Table_DataFromNL[[#This Row],[PROFILECODE]]&amp;"-"&amp;Table_DataFromNL[[#This Row],[RULENAME]]</f>
        <v>CP139-Inconv Fee $20-$50-Comment Req'd</v>
      </c>
      <c r="M2252" t="e">
        <f t="shared" si="250"/>
        <v>#N/A</v>
      </c>
    </row>
    <row r="2253" spans="1:13" x14ac:dyDescent="0.25">
      <c r="A2253" t="str">
        <f t="shared" si="251"/>
        <v>CP139-Inconv Fee $5-$20-Comment Req'd</v>
      </c>
      <c r="B2253" t="s">
        <v>199</v>
      </c>
      <c r="C2253" t="str">
        <f t="shared" si="245"/>
        <v>Norman</v>
      </c>
      <c r="D2253" t="str">
        <f t="shared" si="246"/>
        <v>Y</v>
      </c>
      <c r="E2253" t="s">
        <v>654</v>
      </c>
      <c r="F2253" t="str">
        <f t="shared" si="247"/>
        <v>Inconv Fee $5-$20-Comment Req'd</v>
      </c>
      <c r="G2253">
        <f t="shared" si="248"/>
        <v>0</v>
      </c>
      <c r="H2253" t="s">
        <v>567</v>
      </c>
      <c r="I2253">
        <f t="shared" si="249"/>
        <v>0</v>
      </c>
      <c r="J2253" t="s">
        <v>564</v>
      </c>
      <c r="K2253" s="5">
        <v>20</v>
      </c>
      <c r="L2253" t="str">
        <f>Table_DataFromNL[[#This Row],[PROFILECODE]]&amp;"-"&amp;Table_DataFromNL[[#This Row],[RULENAME]]</f>
        <v>CP139-Inconv Fee $5-$20-Comment Req'd</v>
      </c>
      <c r="M2253" t="e">
        <f t="shared" si="250"/>
        <v>#N/A</v>
      </c>
    </row>
    <row r="2254" spans="1:13" x14ac:dyDescent="0.25">
      <c r="A2254" t="str">
        <f t="shared" si="251"/>
        <v>CP139-Inconv Fee$50-$100-Comment Req'd</v>
      </c>
      <c r="B2254" t="s">
        <v>199</v>
      </c>
      <c r="C2254" t="str">
        <f t="shared" si="245"/>
        <v>Norman</v>
      </c>
      <c r="D2254" t="str">
        <f t="shared" si="246"/>
        <v>Y</v>
      </c>
      <c r="E2254" t="s">
        <v>654</v>
      </c>
      <c r="F2254" t="str">
        <f t="shared" si="247"/>
        <v>Inconv Fee$50-$100-Comment Req'd</v>
      </c>
      <c r="G2254">
        <f t="shared" si="248"/>
        <v>0</v>
      </c>
      <c r="H2254" t="s">
        <v>568</v>
      </c>
      <c r="I2254">
        <f t="shared" si="249"/>
        <v>0</v>
      </c>
      <c r="J2254" t="s">
        <v>564</v>
      </c>
      <c r="K2254" s="5">
        <v>100</v>
      </c>
      <c r="L2254" t="str">
        <f>Table_DataFromNL[[#This Row],[PROFILECODE]]&amp;"-"&amp;Table_DataFromNL[[#This Row],[RULENAME]]</f>
        <v>CP139-Inconv Fee$50-$100-Comment Req'd</v>
      </c>
      <c r="M2254" t="e">
        <f t="shared" si="250"/>
        <v>#N/A</v>
      </c>
    </row>
    <row r="2255" spans="1:13" x14ac:dyDescent="0.25">
      <c r="A2255" t="str">
        <f t="shared" si="251"/>
        <v>CP139-NSP_ LAPSEDONOR_50_Twice</v>
      </c>
      <c r="B2255" t="s">
        <v>199</v>
      </c>
      <c r="C2255" t="str">
        <f t="shared" si="245"/>
        <v>Norman</v>
      </c>
      <c r="D2255" t="str">
        <f t="shared" si="246"/>
        <v>Y</v>
      </c>
      <c r="E2255" t="s">
        <v>654</v>
      </c>
      <c r="F2255" t="str">
        <f t="shared" si="247"/>
        <v>NSP_ LAPSEDONOR_50_Twice</v>
      </c>
      <c r="G2255">
        <f t="shared" si="248"/>
        <v>0</v>
      </c>
      <c r="H2255" t="s">
        <v>569</v>
      </c>
      <c r="I2255">
        <f t="shared" si="249"/>
        <v>0</v>
      </c>
      <c r="J2255" t="s">
        <v>564</v>
      </c>
      <c r="K2255" s="5">
        <v>50</v>
      </c>
      <c r="L2255" t="str">
        <f>Table_DataFromNL[[#This Row],[PROFILECODE]]&amp;"-"&amp;Table_DataFromNL[[#This Row],[RULENAME]]</f>
        <v>CP139-NSP_ LAPSEDONOR_50_Twice</v>
      </c>
      <c r="M2255" t="e">
        <f t="shared" si="250"/>
        <v>#N/A</v>
      </c>
    </row>
    <row r="2256" spans="1:13" x14ac:dyDescent="0.25">
      <c r="A2256" t="str">
        <f t="shared" si="251"/>
        <v>CP139-NSP_LD_25_2X</v>
      </c>
      <c r="B2256" t="s">
        <v>199</v>
      </c>
      <c r="C2256" t="str">
        <f t="shared" si="245"/>
        <v>Norman</v>
      </c>
      <c r="D2256" t="str">
        <f t="shared" si="246"/>
        <v>Y</v>
      </c>
      <c r="E2256" t="s">
        <v>654</v>
      </c>
      <c r="F2256" t="str">
        <f t="shared" si="247"/>
        <v>NSP_LD_25_2X</v>
      </c>
      <c r="G2256">
        <f t="shared" si="248"/>
        <v>0</v>
      </c>
      <c r="H2256" t="s">
        <v>570</v>
      </c>
      <c r="I2256">
        <f t="shared" si="249"/>
        <v>0</v>
      </c>
      <c r="J2256" t="s">
        <v>564</v>
      </c>
      <c r="K2256" s="5">
        <v>25</v>
      </c>
      <c r="L2256" t="str">
        <f>Table_DataFromNL[[#This Row],[PROFILECODE]]&amp;"-"&amp;Table_DataFromNL[[#This Row],[RULENAME]]</f>
        <v>CP139-NSP_LD_25_2X</v>
      </c>
      <c r="M2256" t="e">
        <f t="shared" si="250"/>
        <v>#N/A</v>
      </c>
    </row>
    <row r="2257" spans="1:13" x14ac:dyDescent="0.25">
      <c r="A2257" t="str">
        <f t="shared" si="251"/>
        <v>CP139-NSP_LD_50_1X</v>
      </c>
      <c r="B2257" t="s">
        <v>199</v>
      </c>
      <c r="C2257" t="str">
        <f t="shared" si="245"/>
        <v>Norman</v>
      </c>
      <c r="D2257" t="str">
        <f t="shared" si="246"/>
        <v>Y</v>
      </c>
      <c r="E2257" t="s">
        <v>654</v>
      </c>
      <c r="F2257" t="str">
        <f t="shared" si="247"/>
        <v>NSP_LD_50_1X</v>
      </c>
      <c r="G2257">
        <f t="shared" si="248"/>
        <v>0</v>
      </c>
      <c r="H2257" t="s">
        <v>571</v>
      </c>
      <c r="I2257">
        <f t="shared" si="249"/>
        <v>0</v>
      </c>
      <c r="J2257" t="s">
        <v>564</v>
      </c>
      <c r="K2257" s="5">
        <v>50</v>
      </c>
      <c r="L2257" t="str">
        <f>Table_DataFromNL[[#This Row],[PROFILECODE]]&amp;"-"&amp;Table_DataFromNL[[#This Row],[RULENAME]]</f>
        <v>CP139-NSP_LD_50_1X</v>
      </c>
      <c r="M2257" t="e">
        <f t="shared" si="250"/>
        <v>#N/A</v>
      </c>
    </row>
    <row r="2258" spans="1:13" x14ac:dyDescent="0.25">
      <c r="A2258" t="str">
        <f t="shared" si="251"/>
        <v>CP139-NSP_ORPHAN_100_once</v>
      </c>
      <c r="B2258" t="s">
        <v>199</v>
      </c>
      <c r="C2258" t="str">
        <f t="shared" si="245"/>
        <v>Norman</v>
      </c>
      <c r="D2258" t="str">
        <f t="shared" si="246"/>
        <v>Y</v>
      </c>
      <c r="E2258" t="s">
        <v>654</v>
      </c>
      <c r="F2258" t="str">
        <f t="shared" si="247"/>
        <v>NSP_ORPHAN_100_once</v>
      </c>
      <c r="G2258">
        <f t="shared" si="248"/>
        <v>0</v>
      </c>
      <c r="H2258" t="s">
        <v>572</v>
      </c>
      <c r="I2258">
        <f t="shared" si="249"/>
        <v>0</v>
      </c>
      <c r="J2258" t="s">
        <v>564</v>
      </c>
      <c r="K2258" s="5">
        <v>100</v>
      </c>
      <c r="L2258" t="str">
        <f>Table_DataFromNL[[#This Row],[PROFILECODE]]&amp;"-"&amp;Table_DataFromNL[[#This Row],[RULENAME]]</f>
        <v>CP139-NSP_ORPHAN_100_once</v>
      </c>
      <c r="M2258" t="e">
        <f t="shared" si="250"/>
        <v>#N/A</v>
      </c>
    </row>
    <row r="2259" spans="1:13" x14ac:dyDescent="0.25">
      <c r="A2259" t="str">
        <f t="shared" si="251"/>
        <v>CP139-Restick</v>
      </c>
      <c r="B2259" t="s">
        <v>199</v>
      </c>
      <c r="C2259" t="str">
        <f t="shared" si="245"/>
        <v>Norman</v>
      </c>
      <c r="D2259" t="str">
        <f t="shared" si="246"/>
        <v>Y</v>
      </c>
      <c r="E2259" t="s">
        <v>654</v>
      </c>
      <c r="F2259" t="str">
        <f t="shared" si="247"/>
        <v>Restick</v>
      </c>
      <c r="G2259">
        <f t="shared" si="248"/>
        <v>0</v>
      </c>
      <c r="H2259" t="s">
        <v>573</v>
      </c>
      <c r="I2259">
        <f t="shared" si="249"/>
        <v>0</v>
      </c>
      <c r="J2259" t="s">
        <v>564</v>
      </c>
      <c r="K2259" s="5">
        <v>5</v>
      </c>
      <c r="L2259" t="str">
        <f>Table_DataFromNL[[#This Row],[PROFILECODE]]&amp;"-"&amp;Table_DataFromNL[[#This Row],[RULENAME]]</f>
        <v>CP139-Restick</v>
      </c>
      <c r="M2259" t="e">
        <f t="shared" si="250"/>
        <v>#N/A</v>
      </c>
    </row>
    <row r="2260" spans="1:13" x14ac:dyDescent="0.25">
      <c r="A2260" t="str">
        <f t="shared" si="251"/>
        <v>CP139-SLOW_TEXT_5</v>
      </c>
      <c r="B2260" t="s">
        <v>199</v>
      </c>
      <c r="C2260" t="str">
        <f t="shared" si="245"/>
        <v>Norman</v>
      </c>
      <c r="D2260" t="str">
        <f t="shared" si="246"/>
        <v>Y</v>
      </c>
      <c r="E2260" t="s">
        <v>654</v>
      </c>
      <c r="F2260" t="str">
        <f t="shared" si="247"/>
        <v>SLOW_TEXT_5</v>
      </c>
      <c r="G2260">
        <f t="shared" si="248"/>
        <v>0</v>
      </c>
      <c r="H2260" t="s">
        <v>574</v>
      </c>
      <c r="I2260">
        <f t="shared" si="249"/>
        <v>0</v>
      </c>
      <c r="J2260" t="s">
        <v>564</v>
      </c>
      <c r="K2260" s="5">
        <v>5</v>
      </c>
      <c r="L2260" t="str">
        <f>Table_DataFromNL[[#This Row],[PROFILECODE]]&amp;"-"&amp;Table_DataFromNL[[#This Row],[RULENAME]]</f>
        <v>CP139-SLOW_TEXT_5</v>
      </c>
      <c r="M2260" t="e">
        <f t="shared" si="250"/>
        <v>#N/A</v>
      </c>
    </row>
    <row r="2261" spans="1:13" x14ac:dyDescent="0.25">
      <c r="A2261" t="str">
        <f t="shared" si="251"/>
        <v>CP139-Sample Only</v>
      </c>
      <c r="B2261" t="s">
        <v>199</v>
      </c>
      <c r="C2261" t="str">
        <f t="shared" si="245"/>
        <v>Norman</v>
      </c>
      <c r="D2261" t="str">
        <f t="shared" si="246"/>
        <v>Y</v>
      </c>
      <c r="E2261" t="s">
        <v>654</v>
      </c>
      <c r="F2261" t="str">
        <f t="shared" si="247"/>
        <v>Sample Only</v>
      </c>
      <c r="G2261">
        <f t="shared" si="248"/>
        <v>0</v>
      </c>
      <c r="H2261" t="s">
        <v>575</v>
      </c>
      <c r="I2261">
        <f t="shared" si="249"/>
        <v>0</v>
      </c>
      <c r="J2261" t="s">
        <v>564</v>
      </c>
      <c r="K2261" s="5">
        <v>5</v>
      </c>
      <c r="L2261" t="str">
        <f>Table_DataFromNL[[#This Row],[PROFILECODE]]&amp;"-"&amp;Table_DataFromNL[[#This Row],[RULENAME]]</f>
        <v>CP139-Sample Only</v>
      </c>
      <c r="M2261" t="e">
        <f t="shared" si="250"/>
        <v>#N/A</v>
      </c>
    </row>
    <row r="2262" spans="1:13" x14ac:dyDescent="0.25">
      <c r="A2262" t="str">
        <f t="shared" si="251"/>
        <v>CP139-Unit Below 250 mL</v>
      </c>
      <c r="B2262" t="s">
        <v>199</v>
      </c>
      <c r="C2262" t="str">
        <f t="shared" si="245"/>
        <v>Norman</v>
      </c>
      <c r="D2262" t="str">
        <f t="shared" si="246"/>
        <v>Y</v>
      </c>
      <c r="E2262" t="s">
        <v>654</v>
      </c>
      <c r="F2262" t="str">
        <f t="shared" si="247"/>
        <v>Unit Below 250 mL</v>
      </c>
      <c r="G2262">
        <f t="shared" si="248"/>
        <v>0</v>
      </c>
      <c r="H2262" t="s">
        <v>576</v>
      </c>
      <c r="I2262">
        <f t="shared" si="249"/>
        <v>0</v>
      </c>
      <c r="J2262" t="s">
        <v>564</v>
      </c>
      <c r="K2262" s="5">
        <v>5</v>
      </c>
      <c r="L2262" t="str">
        <f>Table_DataFromNL[[#This Row],[PROFILECODE]]&amp;"-"&amp;Table_DataFromNL[[#This Row],[RULENAME]]</f>
        <v>CP139-Unit Below 250 mL</v>
      </c>
      <c r="M2262" t="e">
        <f t="shared" si="250"/>
        <v>#N/A</v>
      </c>
    </row>
    <row r="2263" spans="1:13" x14ac:dyDescent="0.25">
      <c r="A2263" t="str">
        <f t="shared" si="251"/>
        <v>CP139-Unit above 250 mL/underdraw</v>
      </c>
      <c r="B2263" t="s">
        <v>199</v>
      </c>
      <c r="C2263" t="str">
        <f t="shared" si="245"/>
        <v>Norman</v>
      </c>
      <c r="D2263" t="str">
        <f t="shared" si="246"/>
        <v>Y</v>
      </c>
      <c r="E2263" t="s">
        <v>654</v>
      </c>
      <c r="F2263" t="str">
        <f t="shared" si="247"/>
        <v>Unit above 250 mL/underdraw</v>
      </c>
      <c r="G2263">
        <f t="shared" si="248"/>
        <v>0</v>
      </c>
      <c r="H2263" t="s">
        <v>577</v>
      </c>
      <c r="I2263">
        <f t="shared" si="249"/>
        <v>0</v>
      </c>
      <c r="J2263" t="s">
        <v>564</v>
      </c>
      <c r="K2263" s="5">
        <v>10</v>
      </c>
      <c r="L2263" t="str">
        <f>Table_DataFromNL[[#This Row],[PROFILECODE]]&amp;"-"&amp;Table_DataFromNL[[#This Row],[RULENAME]]</f>
        <v>CP139-Unit above 250 mL/underdraw</v>
      </c>
      <c r="M2263" t="e">
        <f t="shared" si="250"/>
        <v>#N/A</v>
      </c>
    </row>
    <row r="2264" spans="1:13" x14ac:dyDescent="0.25">
      <c r="A2264" t="str">
        <f t="shared" si="251"/>
        <v>CP139-RETURN - Buddy referral  -BONUS</v>
      </c>
      <c r="B2264" t="s">
        <v>199</v>
      </c>
      <c r="C2264" t="str">
        <f t="shared" si="245"/>
        <v>Norman</v>
      </c>
      <c r="D2264" t="str">
        <f t="shared" si="246"/>
        <v>Y</v>
      </c>
      <c r="E2264" t="s">
        <v>654</v>
      </c>
      <c r="F2264" t="str">
        <f t="shared" si="247"/>
        <v>RETURN - Buddy referral  -BONUS</v>
      </c>
      <c r="G2264" t="str">
        <f t="shared" si="248"/>
        <v>Marketing</v>
      </c>
      <c r="H2264" t="s">
        <v>34</v>
      </c>
      <c r="I2264">
        <f t="shared" si="249"/>
        <v>50</v>
      </c>
      <c r="J2264" t="s">
        <v>578</v>
      </c>
      <c r="K2264" s="5">
        <v>50</v>
      </c>
      <c r="L2264" t="str">
        <f>Table_DataFromNL[[#This Row],[PROFILECODE]]&amp;"-"&amp;Table_DataFromNL[[#This Row],[RULENAME]]</f>
        <v>CP139-Referral</v>
      </c>
      <c r="M2264" t="str">
        <f t="shared" si="250"/>
        <v>CP139-RETURN - Buddy referral  -BONUS</v>
      </c>
    </row>
    <row r="2265" spans="1:13" x14ac:dyDescent="0.25">
      <c r="A2265" t="str">
        <f t="shared" si="251"/>
        <v>CP139-P Anti-D Pre-Existing Standard</v>
      </c>
      <c r="B2265" t="s">
        <v>199</v>
      </c>
      <c r="C2265" t="str">
        <f t="shared" si="245"/>
        <v>Norman</v>
      </c>
      <c r="D2265" t="str">
        <f t="shared" si="246"/>
        <v>Y</v>
      </c>
      <c r="E2265" t="s">
        <v>654</v>
      </c>
      <c r="F2265" t="str">
        <f t="shared" si="247"/>
        <v>P Anti-D Pre-Existing Standard</v>
      </c>
      <c r="G2265" t="str">
        <f t="shared" si="248"/>
        <v>Specialty</v>
      </c>
      <c r="H2265" t="s">
        <v>469</v>
      </c>
      <c r="I2265" t="str">
        <f t="shared" si="249"/>
        <v>RETURN - 1st don of the week -STD</v>
      </c>
      <c r="J2265" t="s">
        <v>579</v>
      </c>
      <c r="K2265" s="5">
        <v>50</v>
      </c>
      <c r="L2265" t="str">
        <f>Table_DataFromNL[[#This Row],[PROFILECODE]]&amp;"-"&amp;Table_DataFromNL[[#This Row],[RULENAME]]</f>
        <v>CP139-P Anti-D Pre-Existing Standard</v>
      </c>
      <c r="M2265" t="str">
        <f t="shared" si="250"/>
        <v>CP139-P Anti-D Pre-Existing Standard</v>
      </c>
    </row>
    <row r="2266" spans="1:13" x14ac:dyDescent="0.25">
      <c r="A2266" t="str">
        <f t="shared" si="251"/>
        <v>CP139-P Anti-D Standard</v>
      </c>
      <c r="B2266" t="s">
        <v>199</v>
      </c>
      <c r="C2266" t="str">
        <f t="shared" si="245"/>
        <v>Norman</v>
      </c>
      <c r="D2266" t="str">
        <f t="shared" si="246"/>
        <v>Y</v>
      </c>
      <c r="E2266" t="s">
        <v>654</v>
      </c>
      <c r="F2266" t="str">
        <f t="shared" si="247"/>
        <v>P Anti-D Standard</v>
      </c>
      <c r="G2266" t="str">
        <f t="shared" si="248"/>
        <v>Specialty</v>
      </c>
      <c r="H2266" t="s">
        <v>474</v>
      </c>
      <c r="I2266" t="str">
        <f t="shared" si="249"/>
        <v>RETURN - 1st don of the week -STD</v>
      </c>
      <c r="J2266" t="s">
        <v>579</v>
      </c>
      <c r="K2266" s="5">
        <v>50</v>
      </c>
      <c r="L2266" t="str">
        <f>Table_DataFromNL[[#This Row],[PROFILECODE]]&amp;"-"&amp;Table_DataFromNL[[#This Row],[RULENAME]]</f>
        <v>CP139-P Anti-D Standard</v>
      </c>
      <c r="M2266" t="str">
        <f t="shared" si="250"/>
        <v>CP139-P Anti-D Standard</v>
      </c>
    </row>
    <row r="2267" spans="1:13" x14ac:dyDescent="0.25">
      <c r="A2267" t="str">
        <f t="shared" si="251"/>
        <v>CP139-RETURN - 1st don of the week -STD</v>
      </c>
      <c r="B2267" t="s">
        <v>199</v>
      </c>
      <c r="C2267" t="str">
        <f t="shared" si="245"/>
        <v>Norman</v>
      </c>
      <c r="D2267" t="str">
        <f t="shared" si="246"/>
        <v>Y</v>
      </c>
      <c r="E2267" t="s">
        <v>654</v>
      </c>
      <c r="F2267" t="str">
        <f t="shared" si="247"/>
        <v>RETURN - 1st don of the week -STD</v>
      </c>
      <c r="G2267" t="str">
        <f t="shared" si="248"/>
        <v>Marketing</v>
      </c>
      <c r="H2267" t="s">
        <v>583</v>
      </c>
      <c r="I2267">
        <f t="shared" si="249"/>
        <v>22</v>
      </c>
      <c r="J2267" t="s">
        <v>579</v>
      </c>
      <c r="K2267" s="5">
        <v>45</v>
      </c>
      <c r="L2267" t="str">
        <f>Table_DataFromNL[[#This Row],[PROFILECODE]]&amp;"-"&amp;Table_DataFromNL[[#This Row],[RULENAME]]</f>
        <v>CP139-P NSP NS AP Standard</v>
      </c>
      <c r="M2267" t="str">
        <f t="shared" si="250"/>
        <v>CP139-RETURN - 1st don of the week -STD</v>
      </c>
    </row>
    <row r="2268" spans="1:13" x14ac:dyDescent="0.25">
      <c r="A2268" t="str">
        <f t="shared" si="251"/>
        <v>CP139-RETURN - 1st don of the week -STD</v>
      </c>
      <c r="B2268" t="s">
        <v>199</v>
      </c>
      <c r="C2268" t="str">
        <f t="shared" si="245"/>
        <v>Norman</v>
      </c>
      <c r="D2268" t="str">
        <f t="shared" si="246"/>
        <v>Y</v>
      </c>
      <c r="E2268" t="s">
        <v>654</v>
      </c>
      <c r="F2268" t="str">
        <f t="shared" si="247"/>
        <v>RETURN - 1st don of the week -STD</v>
      </c>
      <c r="G2268" t="str">
        <f t="shared" si="248"/>
        <v>Marketing</v>
      </c>
      <c r="H2268" t="s">
        <v>584</v>
      </c>
      <c r="I2268">
        <f t="shared" si="249"/>
        <v>23</v>
      </c>
      <c r="J2268" t="s">
        <v>579</v>
      </c>
      <c r="K2268" s="5">
        <v>45</v>
      </c>
      <c r="L2268" t="str">
        <f>Table_DataFromNL[[#This Row],[PROFILECODE]]&amp;"-"&amp;Table_DataFromNL[[#This Row],[RULENAME]]</f>
        <v>CP139-P NSP NS Standard</v>
      </c>
      <c r="M2268" t="str">
        <f t="shared" si="250"/>
        <v>CP139-RETURN - 1st don of the week -STD</v>
      </c>
    </row>
    <row r="2269" spans="1:13" x14ac:dyDescent="0.25">
      <c r="A2269" t="str">
        <f t="shared" si="251"/>
        <v>CP961-1st Responder-Medical</v>
      </c>
      <c r="B2269" t="s">
        <v>93</v>
      </c>
      <c r="C2269" t="str">
        <f t="shared" si="245"/>
        <v>Orlando</v>
      </c>
      <c r="D2269" t="str">
        <f t="shared" si="246"/>
        <v>Y</v>
      </c>
      <c r="E2269" t="s">
        <v>655</v>
      </c>
      <c r="F2269" t="str">
        <f t="shared" si="247"/>
        <v>1st Responder-Medical</v>
      </c>
      <c r="G2269">
        <f t="shared" si="248"/>
        <v>0</v>
      </c>
      <c r="H2269" t="s">
        <v>545</v>
      </c>
      <c r="I2269">
        <f t="shared" si="249"/>
        <v>0</v>
      </c>
      <c r="J2269" t="s">
        <v>546</v>
      </c>
      <c r="K2269" s="5">
        <v>5</v>
      </c>
      <c r="L2269" t="str">
        <f>Table_DataFromNL[[#This Row],[PROFILECODE]]&amp;"-"&amp;Table_DataFromNL[[#This Row],[RULENAME]]</f>
        <v>CP961-1st Responder-Medical</v>
      </c>
      <c r="M2269" t="e">
        <f t="shared" si="250"/>
        <v>#N/A</v>
      </c>
    </row>
    <row r="2270" spans="1:13" x14ac:dyDescent="0.25">
      <c r="A2270" t="str">
        <f t="shared" si="251"/>
        <v>CP961-2X Week P Anti-D</v>
      </c>
      <c r="B2270" t="s">
        <v>93</v>
      </c>
      <c r="C2270" t="str">
        <f t="shared" si="245"/>
        <v>Orlando</v>
      </c>
      <c r="D2270" t="str">
        <f t="shared" si="246"/>
        <v>Y</v>
      </c>
      <c r="E2270" t="s">
        <v>655</v>
      </c>
      <c r="F2270" t="str">
        <f t="shared" si="247"/>
        <v>2X Week P Anti-D</v>
      </c>
      <c r="G2270" t="str">
        <f t="shared" si="248"/>
        <v>Specialty</v>
      </c>
      <c r="H2270" t="s">
        <v>518</v>
      </c>
      <c r="I2270" t="str">
        <f t="shared" si="249"/>
        <v>RETURN - 2nd don of the week -BONUS</v>
      </c>
      <c r="J2270" t="s">
        <v>546</v>
      </c>
      <c r="K2270" s="5">
        <v>80</v>
      </c>
      <c r="L2270" t="str">
        <f>Table_DataFromNL[[#This Row],[PROFILECODE]]&amp;"-"&amp;Table_DataFromNL[[#This Row],[RULENAME]]</f>
        <v>CP961-2X Week P Anti-D</v>
      </c>
      <c r="M2270" t="str">
        <f t="shared" si="250"/>
        <v>CP961-2X Week P Anti-D</v>
      </c>
    </row>
    <row r="2271" spans="1:13" x14ac:dyDescent="0.25">
      <c r="A2271" t="str">
        <f t="shared" si="251"/>
        <v>CP961-RETURN - 2nd don of the week -BONUS</v>
      </c>
      <c r="B2271" t="s">
        <v>93</v>
      </c>
      <c r="C2271" t="str">
        <f t="shared" si="245"/>
        <v>Orlando</v>
      </c>
      <c r="D2271" t="str">
        <f t="shared" si="246"/>
        <v>Y</v>
      </c>
      <c r="E2271" t="s">
        <v>655</v>
      </c>
      <c r="F2271" t="str">
        <f t="shared" si="247"/>
        <v>RETURN - 2nd don of the week -BONUS</v>
      </c>
      <c r="G2271" t="str">
        <f t="shared" si="248"/>
        <v>Marketing</v>
      </c>
      <c r="H2271" t="s">
        <v>550</v>
      </c>
      <c r="I2271">
        <f t="shared" si="249"/>
        <v>26</v>
      </c>
      <c r="J2271" t="s">
        <v>546</v>
      </c>
      <c r="K2271" s="5">
        <v>10</v>
      </c>
      <c r="L2271" t="str">
        <f>Table_DataFromNL[[#This Row],[PROFILECODE]]&amp;"-"&amp;Table_DataFromNL[[#This Row],[RULENAME]]</f>
        <v>CP961-2X Week P NSP NS</v>
      </c>
      <c r="M2271" t="str">
        <f t="shared" si="250"/>
        <v>CP961-RETURN - 2nd don of the week -BONUS</v>
      </c>
    </row>
    <row r="2272" spans="1:13" x14ac:dyDescent="0.25">
      <c r="A2272" t="str">
        <f t="shared" si="251"/>
        <v>CP961-RETURN - 2nd don of the week -BONUS</v>
      </c>
      <c r="B2272" t="s">
        <v>93</v>
      </c>
      <c r="C2272" t="str">
        <f t="shared" si="245"/>
        <v>Orlando</v>
      </c>
      <c r="D2272" t="str">
        <f t="shared" si="246"/>
        <v>Y</v>
      </c>
      <c r="E2272" t="s">
        <v>655</v>
      </c>
      <c r="F2272" t="str">
        <f t="shared" si="247"/>
        <v>RETURN - 2nd don of the week -BONUS</v>
      </c>
      <c r="G2272" t="str">
        <f t="shared" si="248"/>
        <v>Marketing</v>
      </c>
      <c r="H2272" t="s">
        <v>551</v>
      </c>
      <c r="I2272" t="str">
        <f t="shared" si="249"/>
        <v>RETURN - 2nd don of the week -BONUS</v>
      </c>
      <c r="J2272" t="s">
        <v>546</v>
      </c>
      <c r="K2272" s="5">
        <v>10</v>
      </c>
      <c r="L2272" t="str">
        <f>Table_DataFromNL[[#This Row],[PROFILECODE]]&amp;"-"&amp;Table_DataFromNL[[#This Row],[RULENAME]]</f>
        <v>CP961-2X Week P NSP NS AP</v>
      </c>
      <c r="M2272" t="str">
        <f t="shared" si="250"/>
        <v>CP961-RETURN - 2nd don of the week -BONUS</v>
      </c>
    </row>
    <row r="2273" spans="1:13" x14ac:dyDescent="0.25">
      <c r="A2273" t="str">
        <f t="shared" si="251"/>
        <v>CP961-2X Week P VZV Pre-Existing</v>
      </c>
      <c r="B2273" t="s">
        <v>93</v>
      </c>
      <c r="C2273" t="str">
        <f t="shared" si="245"/>
        <v>Orlando</v>
      </c>
      <c r="D2273" t="str">
        <f t="shared" si="246"/>
        <v>Y</v>
      </c>
      <c r="E2273" t="s">
        <v>655</v>
      </c>
      <c r="F2273" t="str">
        <f t="shared" si="247"/>
        <v>2X Week P VZV Pre-Existing</v>
      </c>
      <c r="G2273" t="str">
        <f t="shared" si="248"/>
        <v>Specialty</v>
      </c>
      <c r="H2273" t="s">
        <v>490</v>
      </c>
      <c r="I2273" t="str">
        <f t="shared" si="249"/>
        <v>RETURN - 2nd don of the week -BONUS</v>
      </c>
      <c r="J2273" t="s">
        <v>546</v>
      </c>
      <c r="K2273" s="5">
        <v>10</v>
      </c>
      <c r="L2273" t="str">
        <f>Table_DataFromNL[[#This Row],[PROFILECODE]]&amp;"-"&amp;Table_DataFromNL[[#This Row],[RULENAME]]</f>
        <v>CP961-2X Week P VZV Pre-Existing</v>
      </c>
      <c r="M2273" t="str">
        <f t="shared" si="250"/>
        <v>CP961-2X Week P VZV Pre-Existing</v>
      </c>
    </row>
    <row r="2274" spans="1:13" x14ac:dyDescent="0.25">
      <c r="A2274" t="str">
        <f t="shared" si="251"/>
        <v>CP961-2X Week P VZV Pre-Existing AP</v>
      </c>
      <c r="B2274" t="s">
        <v>93</v>
      </c>
      <c r="C2274" t="str">
        <f t="shared" si="245"/>
        <v>Orlando</v>
      </c>
      <c r="D2274" t="str">
        <f t="shared" si="246"/>
        <v>Y</v>
      </c>
      <c r="E2274" t="s">
        <v>655</v>
      </c>
      <c r="F2274" t="str">
        <f t="shared" si="247"/>
        <v>2X Week P VZV Pre-Existing AP</v>
      </c>
      <c r="G2274" t="str">
        <f t="shared" si="248"/>
        <v>Specialty</v>
      </c>
      <c r="H2274" t="s">
        <v>491</v>
      </c>
      <c r="I2274" t="str">
        <f t="shared" si="249"/>
        <v>RETURN - 2nd don of the week -BONUS</v>
      </c>
      <c r="J2274" t="s">
        <v>546</v>
      </c>
      <c r="K2274" s="5">
        <v>10</v>
      </c>
      <c r="L2274" t="str">
        <f>Table_DataFromNL[[#This Row],[PROFILECODE]]&amp;"-"&amp;Table_DataFromNL[[#This Row],[RULENAME]]</f>
        <v>CP961-2X Week P VZV Pre-Existing AP</v>
      </c>
      <c r="M2274" t="str">
        <f t="shared" si="250"/>
        <v>CP961-2X Week P VZV Pre-Existing AP</v>
      </c>
    </row>
    <row r="2275" spans="1:13" x14ac:dyDescent="0.25">
      <c r="A2275" t="str">
        <f t="shared" si="251"/>
        <v>CP961-RETURN - 6th don of the month -BONUS</v>
      </c>
      <c r="B2275" t="s">
        <v>93</v>
      </c>
      <c r="C2275" t="str">
        <f t="shared" si="245"/>
        <v>Orlando</v>
      </c>
      <c r="D2275" t="str">
        <f t="shared" si="246"/>
        <v>Y</v>
      </c>
      <c r="E2275" t="s">
        <v>655</v>
      </c>
      <c r="F2275" t="str">
        <f t="shared" si="247"/>
        <v>RETURN - 6th don of the month -BONUS</v>
      </c>
      <c r="G2275" t="str">
        <f t="shared" si="248"/>
        <v>Marketing</v>
      </c>
      <c r="H2275" t="s">
        <v>552</v>
      </c>
      <c r="I2275">
        <f t="shared" si="249"/>
        <v>28</v>
      </c>
      <c r="J2275" t="s">
        <v>546</v>
      </c>
      <c r="K2275" s="5">
        <v>30</v>
      </c>
      <c r="L2275" t="str">
        <f>Table_DataFromNL[[#This Row],[PROFILECODE]]&amp;"-"&amp;Table_DataFromNL[[#This Row],[RULENAME]]</f>
        <v>CP961-6X Month</v>
      </c>
      <c r="M2275" t="str">
        <f t="shared" si="250"/>
        <v>CP961-RETURN - 6th don of the month -BONUS</v>
      </c>
    </row>
    <row r="2276" spans="1:13" x14ac:dyDescent="0.25">
      <c r="A2276" t="str">
        <f t="shared" si="251"/>
        <v>CP961-College ID Standard Bonus</v>
      </c>
      <c r="B2276" t="s">
        <v>93</v>
      </c>
      <c r="C2276" t="str">
        <f t="shared" si="245"/>
        <v>Orlando</v>
      </c>
      <c r="D2276" t="str">
        <f t="shared" si="246"/>
        <v>Y</v>
      </c>
      <c r="E2276" t="s">
        <v>655</v>
      </c>
      <c r="F2276" t="str">
        <f t="shared" si="247"/>
        <v>College ID Standard Bonus</v>
      </c>
      <c r="G2276">
        <f t="shared" si="248"/>
        <v>0</v>
      </c>
      <c r="H2276" t="s">
        <v>553</v>
      </c>
      <c r="I2276">
        <f t="shared" si="249"/>
        <v>0</v>
      </c>
      <c r="J2276" t="s">
        <v>546</v>
      </c>
      <c r="K2276" s="5">
        <v>5</v>
      </c>
      <c r="L2276" t="str">
        <f>Table_DataFromNL[[#This Row],[PROFILECODE]]&amp;"-"&amp;Table_DataFromNL[[#This Row],[RULENAME]]</f>
        <v>CP961-College ID Standard Bonus</v>
      </c>
      <c r="M2276" t="e">
        <f t="shared" si="250"/>
        <v>#N/A</v>
      </c>
    </row>
    <row r="2277" spans="1:13" x14ac:dyDescent="0.25">
      <c r="A2277" t="str">
        <f t="shared" si="251"/>
        <v>CP961-Military ID</v>
      </c>
      <c r="B2277" t="s">
        <v>93</v>
      </c>
      <c r="C2277" t="str">
        <f t="shared" si="245"/>
        <v>Orlando</v>
      </c>
      <c r="D2277" t="str">
        <f t="shared" si="246"/>
        <v>Y</v>
      </c>
      <c r="E2277" t="s">
        <v>655</v>
      </c>
      <c r="F2277" t="str">
        <f t="shared" si="247"/>
        <v>Military ID</v>
      </c>
      <c r="G2277">
        <f t="shared" si="248"/>
        <v>0</v>
      </c>
      <c r="H2277" t="s">
        <v>554</v>
      </c>
      <c r="I2277">
        <f t="shared" si="249"/>
        <v>0</v>
      </c>
      <c r="J2277" t="s">
        <v>546</v>
      </c>
      <c r="K2277" s="5">
        <v>5</v>
      </c>
      <c r="L2277" t="str">
        <f>Table_DataFromNL[[#This Row],[PROFILECODE]]&amp;"-"&amp;Table_DataFromNL[[#This Row],[RULENAME]]</f>
        <v>CP961-Military ID</v>
      </c>
      <c r="M2277" t="e">
        <f t="shared" si="250"/>
        <v>#N/A</v>
      </c>
    </row>
    <row r="2278" spans="1:13" x14ac:dyDescent="0.25">
      <c r="A2278" t="str">
        <f t="shared" si="251"/>
        <v>CP961-NEW DONOR -1st</v>
      </c>
      <c r="B2278" t="s">
        <v>93</v>
      </c>
      <c r="C2278" t="str">
        <f t="shared" si="245"/>
        <v>Orlando</v>
      </c>
      <c r="D2278" t="str">
        <f t="shared" si="246"/>
        <v>Y</v>
      </c>
      <c r="E2278" t="s">
        <v>655</v>
      </c>
      <c r="F2278" t="str">
        <f t="shared" si="247"/>
        <v>NEW DONOR -1st</v>
      </c>
      <c r="G2278" t="str">
        <f t="shared" si="248"/>
        <v>Marketing</v>
      </c>
      <c r="H2278" t="s">
        <v>555</v>
      </c>
      <c r="I2278">
        <f t="shared" si="249"/>
        <v>1</v>
      </c>
      <c r="J2278" t="s">
        <v>546</v>
      </c>
      <c r="K2278" s="5">
        <v>60</v>
      </c>
      <c r="L2278" t="str">
        <f>Table_DataFromNL[[#This Row],[PROFILECODE]]&amp;"-"&amp;Table_DataFromNL[[#This Row],[RULENAME]]</f>
        <v>CP961-New Donor 1st Visit-Bonus</v>
      </c>
      <c r="M2278" t="str">
        <f t="shared" si="250"/>
        <v>CP961-NEW DONOR -1st</v>
      </c>
    </row>
    <row r="2279" spans="1:13" x14ac:dyDescent="0.25">
      <c r="A2279" t="str">
        <f t="shared" si="251"/>
        <v>CP961-NEW DONOR -2nd</v>
      </c>
      <c r="B2279" t="s">
        <v>93</v>
      </c>
      <c r="C2279" t="str">
        <f t="shared" si="245"/>
        <v>Orlando</v>
      </c>
      <c r="D2279" t="str">
        <f t="shared" si="246"/>
        <v>Y</v>
      </c>
      <c r="E2279" t="s">
        <v>655</v>
      </c>
      <c r="F2279" t="str">
        <f t="shared" si="247"/>
        <v>NEW DONOR -2nd</v>
      </c>
      <c r="G2279" t="str">
        <f t="shared" si="248"/>
        <v>Marketing</v>
      </c>
      <c r="H2279" t="s">
        <v>556</v>
      </c>
      <c r="I2279">
        <f t="shared" si="249"/>
        <v>2</v>
      </c>
      <c r="J2279" t="s">
        <v>546</v>
      </c>
      <c r="K2279" s="5">
        <v>60</v>
      </c>
      <c r="L2279" t="str">
        <f>Table_DataFromNL[[#This Row],[PROFILECODE]]&amp;"-"&amp;Table_DataFromNL[[#This Row],[RULENAME]]</f>
        <v>CP961-New Donor 2nd Visit-Bonus</v>
      </c>
      <c r="M2279" t="str">
        <f t="shared" si="250"/>
        <v>CP961-NEW DONOR -2nd</v>
      </c>
    </row>
    <row r="2280" spans="1:13" x14ac:dyDescent="0.25">
      <c r="A2280" t="str">
        <f t="shared" si="251"/>
        <v>CP961-NEW DONOR -3rd</v>
      </c>
      <c r="B2280" t="s">
        <v>93</v>
      </c>
      <c r="C2280" t="str">
        <f t="shared" si="245"/>
        <v>Orlando</v>
      </c>
      <c r="D2280" t="str">
        <f t="shared" si="246"/>
        <v>Y</v>
      </c>
      <c r="E2280" t="s">
        <v>655</v>
      </c>
      <c r="F2280" t="str">
        <f t="shared" si="247"/>
        <v>NEW DONOR -3rd</v>
      </c>
      <c r="G2280" t="str">
        <f t="shared" si="248"/>
        <v>Marketing</v>
      </c>
      <c r="H2280" t="s">
        <v>557</v>
      </c>
      <c r="I2280">
        <f t="shared" si="249"/>
        <v>3</v>
      </c>
      <c r="J2280" t="s">
        <v>546</v>
      </c>
      <c r="K2280" s="5">
        <v>60</v>
      </c>
      <c r="L2280" t="str">
        <f>Table_DataFromNL[[#This Row],[PROFILECODE]]&amp;"-"&amp;Table_DataFromNL[[#This Row],[RULENAME]]</f>
        <v>CP961-New Donor 3rd Visit-Bonus</v>
      </c>
      <c r="M2280" t="str">
        <f t="shared" si="250"/>
        <v>CP961-NEW DONOR -3rd</v>
      </c>
    </row>
    <row r="2281" spans="1:13" x14ac:dyDescent="0.25">
      <c r="A2281" t="str">
        <f t="shared" si="251"/>
        <v>CP961-NEW DONOR -4th</v>
      </c>
      <c r="B2281" t="s">
        <v>93</v>
      </c>
      <c r="C2281" t="str">
        <f t="shared" si="245"/>
        <v>Orlando</v>
      </c>
      <c r="D2281" t="str">
        <f t="shared" si="246"/>
        <v>Y</v>
      </c>
      <c r="E2281" t="s">
        <v>655</v>
      </c>
      <c r="F2281" t="str">
        <f t="shared" si="247"/>
        <v>NEW DONOR -4th</v>
      </c>
      <c r="G2281" t="str">
        <f t="shared" si="248"/>
        <v>Marketing</v>
      </c>
      <c r="H2281" t="s">
        <v>558</v>
      </c>
      <c r="I2281">
        <f t="shared" si="249"/>
        <v>4</v>
      </c>
      <c r="J2281" t="s">
        <v>546</v>
      </c>
      <c r="K2281" s="5">
        <v>60</v>
      </c>
      <c r="L2281" t="str">
        <f>Table_DataFromNL[[#This Row],[PROFILECODE]]&amp;"-"&amp;Table_DataFromNL[[#This Row],[RULENAME]]</f>
        <v>CP961-New Donor 4th Visit-Bonus</v>
      </c>
      <c r="M2281" t="str">
        <f t="shared" si="250"/>
        <v>CP961-NEW DONOR -4th</v>
      </c>
    </row>
    <row r="2282" spans="1:13" x14ac:dyDescent="0.25">
      <c r="A2282" t="str">
        <f t="shared" si="251"/>
        <v>CP961-NEW DONOR -5th</v>
      </c>
      <c r="B2282" t="s">
        <v>93</v>
      </c>
      <c r="C2282" t="str">
        <f t="shared" si="245"/>
        <v>Orlando</v>
      </c>
      <c r="D2282" t="str">
        <f t="shared" si="246"/>
        <v>Y</v>
      </c>
      <c r="E2282" t="s">
        <v>655</v>
      </c>
      <c r="F2282" t="str">
        <f t="shared" si="247"/>
        <v>NEW DONOR -5th</v>
      </c>
      <c r="G2282" t="str">
        <f t="shared" si="248"/>
        <v>Marketing</v>
      </c>
      <c r="H2282" t="s">
        <v>559</v>
      </c>
      <c r="I2282">
        <f t="shared" si="249"/>
        <v>5</v>
      </c>
      <c r="J2282" t="s">
        <v>546</v>
      </c>
      <c r="K2282" s="5">
        <v>60</v>
      </c>
      <c r="L2282" t="str">
        <f>Table_DataFromNL[[#This Row],[PROFILECODE]]&amp;"-"&amp;Table_DataFromNL[[#This Row],[RULENAME]]</f>
        <v>CP961-New Donor 5th Visit-Bonus</v>
      </c>
      <c r="M2282" t="str">
        <f t="shared" si="250"/>
        <v>CP961-NEW DONOR -5th</v>
      </c>
    </row>
    <row r="2283" spans="1:13" x14ac:dyDescent="0.25">
      <c r="A2283" t="str">
        <f t="shared" si="251"/>
        <v>CP961-NEW DONOR -6th</v>
      </c>
      <c r="B2283" t="s">
        <v>93</v>
      </c>
      <c r="C2283" t="str">
        <f t="shared" si="245"/>
        <v>Orlando</v>
      </c>
      <c r="D2283" t="str">
        <f t="shared" si="246"/>
        <v>Y</v>
      </c>
      <c r="E2283" t="s">
        <v>655</v>
      </c>
      <c r="F2283" t="str">
        <f t="shared" si="247"/>
        <v>NEW DONOR -6th</v>
      </c>
      <c r="G2283" t="str">
        <f t="shared" si="248"/>
        <v>Marketing</v>
      </c>
      <c r="H2283" t="s">
        <v>560</v>
      </c>
      <c r="I2283">
        <f t="shared" si="249"/>
        <v>6</v>
      </c>
      <c r="J2283" t="s">
        <v>546</v>
      </c>
      <c r="K2283" s="5">
        <v>60</v>
      </c>
      <c r="L2283" t="str">
        <f>Table_DataFromNL[[#This Row],[PROFILECODE]]&amp;"-"&amp;Table_DataFromNL[[#This Row],[RULENAME]]</f>
        <v>CP961-New Donor 6th Visit-Bonus</v>
      </c>
      <c r="M2283" t="str">
        <f t="shared" si="250"/>
        <v>CP961-NEW DONOR -6th</v>
      </c>
    </row>
    <row r="2284" spans="1:13" x14ac:dyDescent="0.25">
      <c r="A2284" t="str">
        <f t="shared" si="251"/>
        <v>CP961-NEW DONOR -7th</v>
      </c>
      <c r="B2284" t="s">
        <v>93</v>
      </c>
      <c r="C2284" t="str">
        <f t="shared" si="245"/>
        <v>Orlando</v>
      </c>
      <c r="D2284" t="str">
        <f t="shared" si="246"/>
        <v>Y</v>
      </c>
      <c r="E2284" t="s">
        <v>655</v>
      </c>
      <c r="F2284" t="str">
        <f t="shared" si="247"/>
        <v>NEW DONOR -7th</v>
      </c>
      <c r="G2284" t="str">
        <f t="shared" si="248"/>
        <v>Marketing</v>
      </c>
      <c r="H2284" t="s">
        <v>561</v>
      </c>
      <c r="I2284">
        <f t="shared" si="249"/>
        <v>7</v>
      </c>
      <c r="J2284" t="s">
        <v>546</v>
      </c>
      <c r="K2284" s="5">
        <v>60</v>
      </c>
      <c r="L2284" t="str">
        <f>Table_DataFromNL[[#This Row],[PROFILECODE]]&amp;"-"&amp;Table_DataFromNL[[#This Row],[RULENAME]]</f>
        <v>CP961-New Donor 7th Visit-Bonus</v>
      </c>
      <c r="M2284" t="str">
        <f t="shared" si="250"/>
        <v>CP961-NEW DONOR -7th</v>
      </c>
    </row>
    <row r="2285" spans="1:13" x14ac:dyDescent="0.25">
      <c r="A2285" t="str">
        <f t="shared" si="251"/>
        <v>CP961-NEW DONOR -8th</v>
      </c>
      <c r="B2285" t="s">
        <v>93</v>
      </c>
      <c r="C2285" t="str">
        <f t="shared" si="245"/>
        <v>Orlando</v>
      </c>
      <c r="D2285" t="str">
        <f t="shared" si="246"/>
        <v>Y</v>
      </c>
      <c r="E2285" t="s">
        <v>655</v>
      </c>
      <c r="F2285" t="str">
        <f t="shared" si="247"/>
        <v>NEW DONOR -8th</v>
      </c>
      <c r="G2285" t="str">
        <f t="shared" si="248"/>
        <v>Marketing</v>
      </c>
      <c r="H2285" t="s">
        <v>562</v>
      </c>
      <c r="I2285">
        <f t="shared" si="249"/>
        <v>8</v>
      </c>
      <c r="J2285" t="s">
        <v>546</v>
      </c>
      <c r="K2285" s="5">
        <v>60</v>
      </c>
      <c r="L2285" t="str">
        <f>Table_DataFromNL[[#This Row],[PROFILECODE]]&amp;"-"&amp;Table_DataFromNL[[#This Row],[RULENAME]]</f>
        <v>CP961-New Donor 8th Visit-Bonus</v>
      </c>
      <c r="M2285" t="str">
        <f t="shared" si="250"/>
        <v>CP961-NEW DONOR -8th</v>
      </c>
    </row>
    <row r="2286" spans="1:13" x14ac:dyDescent="0.25">
      <c r="A2286" t="str">
        <f t="shared" si="251"/>
        <v>CP961-Vaccinia - 1st Donation</v>
      </c>
      <c r="B2286" t="s">
        <v>93</v>
      </c>
      <c r="C2286" t="str">
        <f t="shared" si="245"/>
        <v>Orlando</v>
      </c>
      <c r="D2286" t="str">
        <f t="shared" si="246"/>
        <v>Y</v>
      </c>
      <c r="E2286" t="s">
        <v>655</v>
      </c>
      <c r="F2286" t="str">
        <f t="shared" si="247"/>
        <v>Vaccinia - 1st Donation</v>
      </c>
      <c r="G2286" t="str">
        <f t="shared" si="248"/>
        <v>Specialty</v>
      </c>
      <c r="H2286" t="s">
        <v>477</v>
      </c>
      <c r="I2286">
        <f t="shared" si="249"/>
        <v>0</v>
      </c>
      <c r="J2286" t="s">
        <v>546</v>
      </c>
      <c r="K2286" s="5">
        <v>150</v>
      </c>
      <c r="L2286" t="str">
        <f>Table_DataFromNL[[#This Row],[PROFILECODE]]&amp;"-"&amp;Table_DataFromNL[[#This Row],[RULENAME]]</f>
        <v>CP961-Vaccinia - 1st Donation</v>
      </c>
      <c r="M2286" t="str">
        <f t="shared" si="250"/>
        <v>CP961-Vaccinia - 1st Donation</v>
      </c>
    </row>
    <row r="2287" spans="1:13" x14ac:dyDescent="0.25">
      <c r="A2287" t="str">
        <f t="shared" si="251"/>
        <v>CP961-Vaccinia - 2nd Donation</v>
      </c>
      <c r="B2287" t="s">
        <v>93</v>
      </c>
      <c r="C2287" t="str">
        <f t="shared" si="245"/>
        <v>Orlando</v>
      </c>
      <c r="D2287" t="str">
        <f t="shared" si="246"/>
        <v>Y</v>
      </c>
      <c r="E2287" t="s">
        <v>655</v>
      </c>
      <c r="F2287" t="str">
        <f t="shared" si="247"/>
        <v>Vaccinia - 2nd Donation</v>
      </c>
      <c r="G2287" t="str">
        <f t="shared" si="248"/>
        <v>Specialty</v>
      </c>
      <c r="H2287" t="s">
        <v>478</v>
      </c>
      <c r="I2287">
        <f t="shared" si="249"/>
        <v>0</v>
      </c>
      <c r="J2287" t="s">
        <v>546</v>
      </c>
      <c r="K2287" s="5">
        <v>250</v>
      </c>
      <c r="L2287" t="str">
        <f>Table_DataFromNL[[#This Row],[PROFILECODE]]&amp;"-"&amp;Table_DataFromNL[[#This Row],[RULENAME]]</f>
        <v>CP961-Vaccinia - 2nd Donation</v>
      </c>
      <c r="M2287" t="str">
        <f t="shared" si="250"/>
        <v>CP961-Vaccinia - 2nd Donation</v>
      </c>
    </row>
    <row r="2288" spans="1:13" x14ac:dyDescent="0.25">
      <c r="A2288" t="str">
        <f t="shared" si="251"/>
        <v>CP961-Vaccinia - 3rd Donation</v>
      </c>
      <c r="B2288" t="s">
        <v>93</v>
      </c>
      <c r="C2288" t="str">
        <f t="shared" si="245"/>
        <v>Orlando</v>
      </c>
      <c r="D2288" t="str">
        <f t="shared" si="246"/>
        <v>Y</v>
      </c>
      <c r="E2288" t="s">
        <v>655</v>
      </c>
      <c r="F2288" t="str">
        <f t="shared" si="247"/>
        <v>Vaccinia - 3rd Donation</v>
      </c>
      <c r="G2288" t="str">
        <f t="shared" si="248"/>
        <v>Specialty</v>
      </c>
      <c r="H2288" t="s">
        <v>479</v>
      </c>
      <c r="I2288">
        <f t="shared" si="249"/>
        <v>0</v>
      </c>
      <c r="J2288" t="s">
        <v>546</v>
      </c>
      <c r="K2288" s="5">
        <v>300</v>
      </c>
      <c r="L2288" t="str">
        <f>Table_DataFromNL[[#This Row],[PROFILECODE]]&amp;"-"&amp;Table_DataFromNL[[#This Row],[RULENAME]]</f>
        <v>CP961-Vaccinia - 3rd Donation</v>
      </c>
      <c r="M2288" t="str">
        <f t="shared" si="250"/>
        <v>CP961-Vaccinia - 3rd Donation</v>
      </c>
    </row>
    <row r="2289" spans="1:13" x14ac:dyDescent="0.25">
      <c r="A2289" t="str">
        <f t="shared" si="251"/>
        <v>CP961-Vaccinia - 4th Donation</v>
      </c>
      <c r="B2289" t="s">
        <v>93</v>
      </c>
      <c r="C2289" t="str">
        <f t="shared" si="245"/>
        <v>Orlando</v>
      </c>
      <c r="D2289" t="str">
        <f t="shared" si="246"/>
        <v>Y</v>
      </c>
      <c r="E2289" t="s">
        <v>655</v>
      </c>
      <c r="F2289" t="str">
        <f t="shared" si="247"/>
        <v>Vaccinia - 4th Donation</v>
      </c>
      <c r="G2289" t="str">
        <f t="shared" si="248"/>
        <v>Specialty</v>
      </c>
      <c r="H2289" t="s">
        <v>480</v>
      </c>
      <c r="I2289">
        <f t="shared" si="249"/>
        <v>0</v>
      </c>
      <c r="J2289" t="s">
        <v>546</v>
      </c>
      <c r="K2289" s="5">
        <v>300</v>
      </c>
      <c r="L2289" t="str">
        <f>Table_DataFromNL[[#This Row],[PROFILECODE]]&amp;"-"&amp;Table_DataFromNL[[#This Row],[RULENAME]]</f>
        <v>CP961-Vaccinia - 4th Donation</v>
      </c>
      <c r="M2289" t="str">
        <f t="shared" si="250"/>
        <v>CP961-Vaccinia - 4th Donation</v>
      </c>
    </row>
    <row r="2290" spans="1:13" x14ac:dyDescent="0.25">
      <c r="A2290" t="str">
        <f t="shared" si="251"/>
        <v>CP961-Vaccinia AP - 1st Donation</v>
      </c>
      <c r="B2290" t="s">
        <v>93</v>
      </c>
      <c r="C2290" t="str">
        <f t="shared" si="245"/>
        <v>Orlando</v>
      </c>
      <c r="D2290" t="str">
        <f t="shared" si="246"/>
        <v>Y</v>
      </c>
      <c r="E2290" t="s">
        <v>655</v>
      </c>
      <c r="F2290" t="str">
        <f t="shared" si="247"/>
        <v>Vaccinia AP - 1st Donation</v>
      </c>
      <c r="G2290" t="str">
        <f t="shared" si="248"/>
        <v>Specialty</v>
      </c>
      <c r="H2290" t="s">
        <v>481</v>
      </c>
      <c r="I2290">
        <f t="shared" si="249"/>
        <v>0</v>
      </c>
      <c r="J2290" t="s">
        <v>546</v>
      </c>
      <c r="K2290" s="5">
        <v>150</v>
      </c>
      <c r="L2290" t="str">
        <f>Table_DataFromNL[[#This Row],[PROFILECODE]]&amp;"-"&amp;Table_DataFromNL[[#This Row],[RULENAME]]</f>
        <v>CP961-Vaccinia AP - 1st Donation</v>
      </c>
      <c r="M2290" t="str">
        <f t="shared" si="250"/>
        <v>CP961-Vaccinia AP - 1st Donation</v>
      </c>
    </row>
    <row r="2291" spans="1:13" x14ac:dyDescent="0.25">
      <c r="A2291" t="str">
        <f t="shared" si="251"/>
        <v>CP961-Vaccinia AP - 2nd Donation</v>
      </c>
      <c r="B2291" t="s">
        <v>93</v>
      </c>
      <c r="C2291" t="str">
        <f t="shared" si="245"/>
        <v>Orlando</v>
      </c>
      <c r="D2291" t="str">
        <f t="shared" si="246"/>
        <v>Y</v>
      </c>
      <c r="E2291" t="s">
        <v>655</v>
      </c>
      <c r="F2291" t="str">
        <f t="shared" si="247"/>
        <v>Vaccinia AP - 2nd Donation</v>
      </c>
      <c r="G2291" t="str">
        <f t="shared" si="248"/>
        <v>Specialty</v>
      </c>
      <c r="H2291" t="s">
        <v>482</v>
      </c>
      <c r="I2291">
        <f t="shared" si="249"/>
        <v>0</v>
      </c>
      <c r="J2291" t="s">
        <v>546</v>
      </c>
      <c r="K2291" s="5">
        <v>250</v>
      </c>
      <c r="L2291" t="str">
        <f>Table_DataFromNL[[#This Row],[PROFILECODE]]&amp;"-"&amp;Table_DataFromNL[[#This Row],[RULENAME]]</f>
        <v>CP961-Vaccinia AP - 2nd Donation</v>
      </c>
      <c r="M2291" t="str">
        <f t="shared" si="250"/>
        <v>CP961-Vaccinia AP - 2nd Donation</v>
      </c>
    </row>
    <row r="2292" spans="1:13" x14ac:dyDescent="0.25">
      <c r="A2292" t="str">
        <f t="shared" si="251"/>
        <v>CP961-Vaccinia AP - 3rd Donation</v>
      </c>
      <c r="B2292" t="s">
        <v>93</v>
      </c>
      <c r="C2292" t="str">
        <f t="shared" si="245"/>
        <v>Orlando</v>
      </c>
      <c r="D2292" t="str">
        <f t="shared" si="246"/>
        <v>Y</v>
      </c>
      <c r="E2292" t="s">
        <v>655</v>
      </c>
      <c r="F2292" t="str">
        <f t="shared" si="247"/>
        <v>Vaccinia AP - 3rd Donation</v>
      </c>
      <c r="G2292" t="str">
        <f t="shared" si="248"/>
        <v>Specialty</v>
      </c>
      <c r="H2292" t="s">
        <v>483</v>
      </c>
      <c r="I2292">
        <f t="shared" si="249"/>
        <v>0</v>
      </c>
      <c r="J2292" t="s">
        <v>546</v>
      </c>
      <c r="K2292" s="5">
        <v>300</v>
      </c>
      <c r="L2292" t="str">
        <f>Table_DataFromNL[[#This Row],[PROFILECODE]]&amp;"-"&amp;Table_DataFromNL[[#This Row],[RULENAME]]</f>
        <v>CP961-Vaccinia AP - 3rd Donation</v>
      </c>
      <c r="M2292" t="str">
        <f t="shared" si="250"/>
        <v>CP961-Vaccinia AP - 3rd Donation</v>
      </c>
    </row>
    <row r="2293" spans="1:13" x14ac:dyDescent="0.25">
      <c r="A2293" t="str">
        <f t="shared" si="251"/>
        <v>CP961-Vaccinia AP - 4th Donation</v>
      </c>
      <c r="B2293" t="s">
        <v>93</v>
      </c>
      <c r="C2293" t="str">
        <f t="shared" si="245"/>
        <v>Orlando</v>
      </c>
      <c r="D2293" t="str">
        <f t="shared" si="246"/>
        <v>Y</v>
      </c>
      <c r="E2293" t="s">
        <v>655</v>
      </c>
      <c r="F2293" t="str">
        <f t="shared" si="247"/>
        <v>Vaccinia AP - 4th Donation</v>
      </c>
      <c r="G2293" t="str">
        <f t="shared" si="248"/>
        <v>Specialty</v>
      </c>
      <c r="H2293" t="s">
        <v>484</v>
      </c>
      <c r="I2293">
        <f t="shared" si="249"/>
        <v>0</v>
      </c>
      <c r="J2293" t="s">
        <v>546</v>
      </c>
      <c r="K2293" s="5">
        <v>300</v>
      </c>
      <c r="L2293" t="str">
        <f>Table_DataFromNL[[#This Row],[PROFILECODE]]&amp;"-"&amp;Table_DataFromNL[[#This Row],[RULENAME]]</f>
        <v>CP961-Vaccinia AP - 4th Donation</v>
      </c>
      <c r="M2293" t="str">
        <f t="shared" si="250"/>
        <v>CP961-Vaccinia AP - 4th Donation</v>
      </c>
    </row>
    <row r="2294" spans="1:13" x14ac:dyDescent="0.25">
      <c r="A2294" t="str">
        <f t="shared" si="251"/>
        <v>CP961-Community</v>
      </c>
      <c r="B2294" t="s">
        <v>93</v>
      </c>
      <c r="C2294" t="str">
        <f t="shared" si="245"/>
        <v>Orlando</v>
      </c>
      <c r="D2294" t="str">
        <f t="shared" si="246"/>
        <v>Y</v>
      </c>
      <c r="E2294" t="s">
        <v>655</v>
      </c>
      <c r="F2294" t="str">
        <f t="shared" si="247"/>
        <v>Community</v>
      </c>
      <c r="G2294">
        <f t="shared" si="248"/>
        <v>0</v>
      </c>
      <c r="H2294" t="s">
        <v>563</v>
      </c>
      <c r="I2294">
        <f t="shared" si="249"/>
        <v>0</v>
      </c>
      <c r="J2294" t="s">
        <v>564</v>
      </c>
      <c r="K2294" s="5">
        <v>5</v>
      </c>
      <c r="L2294" t="str">
        <f>Table_DataFromNL[[#This Row],[PROFILECODE]]&amp;"-"&amp;Table_DataFromNL[[#This Row],[RULENAME]]</f>
        <v>CP961-Community</v>
      </c>
      <c r="M2294" t="e">
        <f t="shared" si="250"/>
        <v>#N/A</v>
      </c>
    </row>
    <row r="2295" spans="1:13" x14ac:dyDescent="0.25">
      <c r="A2295" t="str">
        <f t="shared" si="251"/>
        <v>CP961-HANGER_RECRUIT_5USD_once</v>
      </c>
      <c r="B2295" t="s">
        <v>93</v>
      </c>
      <c r="C2295" t="str">
        <f t="shared" si="245"/>
        <v>Orlando</v>
      </c>
      <c r="D2295" t="str">
        <f t="shared" si="246"/>
        <v>Y</v>
      </c>
      <c r="E2295" t="s">
        <v>655</v>
      </c>
      <c r="F2295" t="str">
        <f t="shared" si="247"/>
        <v>HANGER_RECRUIT_5USD_once</v>
      </c>
      <c r="G2295">
        <f t="shared" si="248"/>
        <v>0</v>
      </c>
      <c r="H2295" t="s">
        <v>565</v>
      </c>
      <c r="I2295">
        <f t="shared" si="249"/>
        <v>0</v>
      </c>
      <c r="J2295" t="s">
        <v>564</v>
      </c>
      <c r="K2295" s="5">
        <v>5</v>
      </c>
      <c r="L2295" t="str">
        <f>Table_DataFromNL[[#This Row],[PROFILECODE]]&amp;"-"&amp;Table_DataFromNL[[#This Row],[RULENAME]]</f>
        <v>CP961-HANGER_RECRUIT_5USD_once</v>
      </c>
      <c r="M2295" t="e">
        <f t="shared" si="250"/>
        <v>#N/A</v>
      </c>
    </row>
    <row r="2296" spans="1:13" x14ac:dyDescent="0.25">
      <c r="A2296" t="str">
        <f t="shared" si="251"/>
        <v>CP961-Immunization Boost Payment</v>
      </c>
      <c r="B2296" t="s">
        <v>93</v>
      </c>
      <c r="C2296" t="str">
        <f t="shared" si="245"/>
        <v>Orlando</v>
      </c>
      <c r="D2296" t="str">
        <f t="shared" si="246"/>
        <v>Y</v>
      </c>
      <c r="E2296" t="s">
        <v>655</v>
      </c>
      <c r="F2296" t="str">
        <f t="shared" si="247"/>
        <v>Immunization Boost Payment</v>
      </c>
      <c r="G2296">
        <f t="shared" si="248"/>
        <v>0</v>
      </c>
      <c r="H2296" t="s">
        <v>598</v>
      </c>
      <c r="I2296">
        <f t="shared" si="249"/>
        <v>0</v>
      </c>
      <c r="J2296" t="s">
        <v>564</v>
      </c>
      <c r="K2296" s="5">
        <v>50</v>
      </c>
      <c r="L2296" t="str">
        <f>Table_DataFromNL[[#This Row],[PROFILECODE]]&amp;"-"&amp;Table_DataFromNL[[#This Row],[RULENAME]]</f>
        <v>CP961-Immunization Boost Payment</v>
      </c>
      <c r="M2296" t="e">
        <f t="shared" si="250"/>
        <v>#N/A</v>
      </c>
    </row>
    <row r="2297" spans="1:13" x14ac:dyDescent="0.25">
      <c r="A2297" t="str">
        <f t="shared" si="251"/>
        <v>CP961-Immunization Series Payment</v>
      </c>
      <c r="B2297" t="s">
        <v>93</v>
      </c>
      <c r="C2297" t="str">
        <f t="shared" si="245"/>
        <v>Orlando</v>
      </c>
      <c r="D2297" t="str">
        <f t="shared" si="246"/>
        <v>Y</v>
      </c>
      <c r="E2297" t="s">
        <v>655</v>
      </c>
      <c r="F2297" t="str">
        <f t="shared" si="247"/>
        <v>Immunization Series Payment</v>
      </c>
      <c r="G2297">
        <f t="shared" si="248"/>
        <v>0</v>
      </c>
      <c r="H2297" t="s">
        <v>599</v>
      </c>
      <c r="I2297">
        <f t="shared" si="249"/>
        <v>0</v>
      </c>
      <c r="J2297" t="s">
        <v>564</v>
      </c>
      <c r="K2297" s="5">
        <v>100</v>
      </c>
      <c r="L2297" t="str">
        <f>Table_DataFromNL[[#This Row],[PROFILECODE]]&amp;"-"&amp;Table_DataFromNL[[#This Row],[RULENAME]]</f>
        <v>CP961-Immunization Series Payment</v>
      </c>
      <c r="M2297" t="e">
        <f t="shared" si="250"/>
        <v>#N/A</v>
      </c>
    </row>
    <row r="2298" spans="1:13" x14ac:dyDescent="0.25">
      <c r="A2298" t="str">
        <f t="shared" si="251"/>
        <v>CP961-Inconv Fee $20-$50-Comment Req'd</v>
      </c>
      <c r="B2298" t="s">
        <v>93</v>
      </c>
      <c r="C2298" t="str">
        <f t="shared" si="245"/>
        <v>Orlando</v>
      </c>
      <c r="D2298" t="str">
        <f t="shared" si="246"/>
        <v>Y</v>
      </c>
      <c r="E2298" t="s">
        <v>655</v>
      </c>
      <c r="F2298" t="str">
        <f t="shared" si="247"/>
        <v>Inconv Fee $20-$50-Comment Req'd</v>
      </c>
      <c r="G2298">
        <f t="shared" si="248"/>
        <v>0</v>
      </c>
      <c r="H2298" t="s">
        <v>566</v>
      </c>
      <c r="I2298">
        <f t="shared" si="249"/>
        <v>0</v>
      </c>
      <c r="J2298" t="s">
        <v>564</v>
      </c>
      <c r="K2298" s="5">
        <v>50</v>
      </c>
      <c r="L2298" t="str">
        <f>Table_DataFromNL[[#This Row],[PROFILECODE]]&amp;"-"&amp;Table_DataFromNL[[#This Row],[RULENAME]]</f>
        <v>CP961-Inconv Fee $20-$50-Comment Req'd</v>
      </c>
      <c r="M2298" t="e">
        <f t="shared" si="250"/>
        <v>#N/A</v>
      </c>
    </row>
    <row r="2299" spans="1:13" x14ac:dyDescent="0.25">
      <c r="A2299" t="str">
        <f t="shared" si="251"/>
        <v>CP961-Inconv Fee $5-$20-Comment Req'd</v>
      </c>
      <c r="B2299" t="s">
        <v>93</v>
      </c>
      <c r="C2299" t="str">
        <f t="shared" si="245"/>
        <v>Orlando</v>
      </c>
      <c r="D2299" t="str">
        <f t="shared" si="246"/>
        <v>Y</v>
      </c>
      <c r="E2299" t="s">
        <v>655</v>
      </c>
      <c r="F2299" t="str">
        <f t="shared" si="247"/>
        <v>Inconv Fee $5-$20-Comment Req'd</v>
      </c>
      <c r="G2299">
        <f t="shared" si="248"/>
        <v>0</v>
      </c>
      <c r="H2299" t="s">
        <v>567</v>
      </c>
      <c r="I2299">
        <f t="shared" si="249"/>
        <v>0</v>
      </c>
      <c r="J2299" t="s">
        <v>564</v>
      </c>
      <c r="K2299" s="5">
        <v>20</v>
      </c>
      <c r="L2299" t="str">
        <f>Table_DataFromNL[[#This Row],[PROFILECODE]]&amp;"-"&amp;Table_DataFromNL[[#This Row],[RULENAME]]</f>
        <v>CP961-Inconv Fee $5-$20-Comment Req'd</v>
      </c>
      <c r="M2299" t="e">
        <f t="shared" si="250"/>
        <v>#N/A</v>
      </c>
    </row>
    <row r="2300" spans="1:13" x14ac:dyDescent="0.25">
      <c r="A2300" t="str">
        <f t="shared" si="251"/>
        <v>CP961-Inconv Fee$50-$100-Comment Req'd</v>
      </c>
      <c r="B2300" t="s">
        <v>93</v>
      </c>
      <c r="C2300" t="str">
        <f t="shared" si="245"/>
        <v>Orlando</v>
      </c>
      <c r="D2300" t="str">
        <f t="shared" si="246"/>
        <v>Y</v>
      </c>
      <c r="E2300" t="s">
        <v>655</v>
      </c>
      <c r="F2300" t="str">
        <f t="shared" si="247"/>
        <v>Inconv Fee$50-$100-Comment Req'd</v>
      </c>
      <c r="G2300">
        <f t="shared" si="248"/>
        <v>0</v>
      </c>
      <c r="H2300" t="s">
        <v>568</v>
      </c>
      <c r="I2300">
        <f t="shared" si="249"/>
        <v>0</v>
      </c>
      <c r="J2300" t="s">
        <v>564</v>
      </c>
      <c r="K2300" s="5">
        <v>100</v>
      </c>
      <c r="L2300" t="str">
        <f>Table_DataFromNL[[#This Row],[PROFILECODE]]&amp;"-"&amp;Table_DataFromNL[[#This Row],[RULENAME]]</f>
        <v>CP961-Inconv Fee$50-$100-Comment Req'd</v>
      </c>
      <c r="M2300" t="e">
        <f t="shared" si="250"/>
        <v>#N/A</v>
      </c>
    </row>
    <row r="2301" spans="1:13" x14ac:dyDescent="0.25">
      <c r="A2301" t="str">
        <f t="shared" si="251"/>
        <v>CP961-NSP_ LAPSEDONOR_50_Twice</v>
      </c>
      <c r="B2301" t="s">
        <v>93</v>
      </c>
      <c r="C2301" t="str">
        <f t="shared" si="245"/>
        <v>Orlando</v>
      </c>
      <c r="D2301" t="str">
        <f t="shared" si="246"/>
        <v>Y</v>
      </c>
      <c r="E2301" t="s">
        <v>655</v>
      </c>
      <c r="F2301" t="str">
        <f t="shared" si="247"/>
        <v>NSP_ LAPSEDONOR_50_Twice</v>
      </c>
      <c r="G2301">
        <f t="shared" si="248"/>
        <v>0</v>
      </c>
      <c r="H2301" t="s">
        <v>569</v>
      </c>
      <c r="I2301">
        <f t="shared" si="249"/>
        <v>0</v>
      </c>
      <c r="J2301" t="s">
        <v>564</v>
      </c>
      <c r="K2301" s="5">
        <v>50</v>
      </c>
      <c r="L2301" t="str">
        <f>Table_DataFromNL[[#This Row],[PROFILECODE]]&amp;"-"&amp;Table_DataFromNL[[#This Row],[RULENAME]]</f>
        <v>CP961-NSP_ LAPSEDONOR_50_Twice</v>
      </c>
      <c r="M2301" t="e">
        <f t="shared" si="250"/>
        <v>#N/A</v>
      </c>
    </row>
    <row r="2302" spans="1:13" x14ac:dyDescent="0.25">
      <c r="A2302" t="str">
        <f t="shared" si="251"/>
        <v>CP961-NSP_LD_25_2X</v>
      </c>
      <c r="B2302" t="s">
        <v>93</v>
      </c>
      <c r="C2302" t="str">
        <f t="shared" si="245"/>
        <v>Orlando</v>
      </c>
      <c r="D2302" t="str">
        <f t="shared" si="246"/>
        <v>Y</v>
      </c>
      <c r="E2302" t="s">
        <v>655</v>
      </c>
      <c r="F2302" t="str">
        <f t="shared" si="247"/>
        <v>NSP_LD_25_2X</v>
      </c>
      <c r="G2302">
        <f t="shared" si="248"/>
        <v>0</v>
      </c>
      <c r="H2302" t="s">
        <v>570</v>
      </c>
      <c r="I2302">
        <f t="shared" si="249"/>
        <v>0</v>
      </c>
      <c r="J2302" t="s">
        <v>564</v>
      </c>
      <c r="K2302" s="5">
        <v>25</v>
      </c>
      <c r="L2302" t="str">
        <f>Table_DataFromNL[[#This Row],[PROFILECODE]]&amp;"-"&amp;Table_DataFromNL[[#This Row],[RULENAME]]</f>
        <v>CP961-NSP_LD_25_2X</v>
      </c>
      <c r="M2302" t="e">
        <f t="shared" si="250"/>
        <v>#N/A</v>
      </c>
    </row>
    <row r="2303" spans="1:13" x14ac:dyDescent="0.25">
      <c r="A2303" t="str">
        <f t="shared" si="251"/>
        <v>CP961-NSP_LD_50_1X</v>
      </c>
      <c r="B2303" t="s">
        <v>93</v>
      </c>
      <c r="C2303" t="str">
        <f t="shared" si="245"/>
        <v>Orlando</v>
      </c>
      <c r="D2303" t="str">
        <f t="shared" si="246"/>
        <v>Y</v>
      </c>
      <c r="E2303" t="s">
        <v>655</v>
      </c>
      <c r="F2303" t="str">
        <f t="shared" si="247"/>
        <v>NSP_LD_50_1X</v>
      </c>
      <c r="G2303">
        <f t="shared" si="248"/>
        <v>0</v>
      </c>
      <c r="H2303" t="s">
        <v>571</v>
      </c>
      <c r="I2303">
        <f t="shared" si="249"/>
        <v>0</v>
      </c>
      <c r="J2303" t="s">
        <v>564</v>
      </c>
      <c r="K2303" s="5">
        <v>50</v>
      </c>
      <c r="L2303" t="str">
        <f>Table_DataFromNL[[#This Row],[PROFILECODE]]&amp;"-"&amp;Table_DataFromNL[[#This Row],[RULENAME]]</f>
        <v>CP961-NSP_LD_50_1X</v>
      </c>
      <c r="M2303" t="e">
        <f t="shared" si="250"/>
        <v>#N/A</v>
      </c>
    </row>
    <row r="2304" spans="1:13" x14ac:dyDescent="0.25">
      <c r="A2304" t="str">
        <f t="shared" si="251"/>
        <v>CP961-NSP_ORPHAN_100_once</v>
      </c>
      <c r="B2304" t="s">
        <v>93</v>
      </c>
      <c r="C2304" t="str">
        <f t="shared" si="245"/>
        <v>Orlando</v>
      </c>
      <c r="D2304" t="str">
        <f t="shared" si="246"/>
        <v>Y</v>
      </c>
      <c r="E2304" t="s">
        <v>655</v>
      </c>
      <c r="F2304" t="str">
        <f t="shared" si="247"/>
        <v>NSP_ORPHAN_100_once</v>
      </c>
      <c r="G2304">
        <f t="shared" si="248"/>
        <v>0</v>
      </c>
      <c r="H2304" t="s">
        <v>572</v>
      </c>
      <c r="I2304">
        <f t="shared" si="249"/>
        <v>0</v>
      </c>
      <c r="J2304" t="s">
        <v>564</v>
      </c>
      <c r="K2304" s="5">
        <v>100</v>
      </c>
      <c r="L2304" t="str">
        <f>Table_DataFromNL[[#This Row],[PROFILECODE]]&amp;"-"&amp;Table_DataFromNL[[#This Row],[RULENAME]]</f>
        <v>CP961-NSP_ORPHAN_100_once</v>
      </c>
      <c r="M2304" t="e">
        <f t="shared" si="250"/>
        <v>#N/A</v>
      </c>
    </row>
    <row r="2305" spans="1:13" x14ac:dyDescent="0.25">
      <c r="A2305" t="str">
        <f t="shared" si="251"/>
        <v>CP961-Referral - Vaccinia</v>
      </c>
      <c r="B2305" t="s">
        <v>93</v>
      </c>
      <c r="C2305" t="str">
        <f t="shared" si="245"/>
        <v>Orlando</v>
      </c>
      <c r="D2305" t="str">
        <f t="shared" si="246"/>
        <v>Y</v>
      </c>
      <c r="E2305" t="s">
        <v>655</v>
      </c>
      <c r="F2305" t="str">
        <f t="shared" si="247"/>
        <v>Referral - Vaccinia</v>
      </c>
      <c r="G2305">
        <f t="shared" si="248"/>
        <v>0</v>
      </c>
      <c r="H2305" t="s">
        <v>595</v>
      </c>
      <c r="I2305">
        <f t="shared" si="249"/>
        <v>0</v>
      </c>
      <c r="J2305" t="s">
        <v>564</v>
      </c>
      <c r="K2305" s="5">
        <v>200</v>
      </c>
      <c r="L2305" t="str">
        <f>Table_DataFromNL[[#This Row],[PROFILECODE]]&amp;"-"&amp;Table_DataFromNL[[#This Row],[RULENAME]]</f>
        <v>CP961-Referral - Vaccinia</v>
      </c>
      <c r="M2305" t="e">
        <f t="shared" si="250"/>
        <v>#N/A</v>
      </c>
    </row>
    <row r="2306" spans="1:13" x14ac:dyDescent="0.25">
      <c r="A2306" t="str">
        <f t="shared" si="251"/>
        <v>CP961-Restick</v>
      </c>
      <c r="B2306" t="s">
        <v>93</v>
      </c>
      <c r="C2306" t="str">
        <f t="shared" ref="C2306:C2369" si="252">VLOOKUP(B2306,CenterLU,2,FALSE)</f>
        <v>Orlando</v>
      </c>
      <c r="D2306" t="str">
        <f t="shared" ref="D2306:D2369" si="253">VLOOKUP(B2306,CenterLU,3,FALSE)</f>
        <v>Y</v>
      </c>
      <c r="E2306" t="s">
        <v>655</v>
      </c>
      <c r="F2306" t="str">
        <f t="shared" ref="F2306:F2369" si="254">IF(VLOOKUP(H2306,RULENAMELU,3,FALSE)=0,H2306,VLOOKUP(H2306,RULENAMELU,3,FALSE))</f>
        <v>Restick</v>
      </c>
      <c r="G2306">
        <f t="shared" ref="G2306:G2369" si="255">VLOOKUP(H2306,RULENAMELU,4,FALSE)</f>
        <v>0</v>
      </c>
      <c r="H2306" t="s">
        <v>573</v>
      </c>
      <c r="I2306">
        <f t="shared" ref="I2306:I2369" si="256">VLOOKUP(H2306,RULENAMELU,5,FALSE)</f>
        <v>0</v>
      </c>
      <c r="J2306" t="s">
        <v>564</v>
      </c>
      <c r="K2306" s="5">
        <v>5</v>
      </c>
      <c r="L2306" t="str">
        <f>Table_DataFromNL[[#This Row],[PROFILECODE]]&amp;"-"&amp;Table_DataFromNL[[#This Row],[RULENAME]]</f>
        <v>CP961-Restick</v>
      </c>
      <c r="M2306" t="e">
        <f t="shared" ref="M2306:M2369" si="257">IFERROR(VLOOKUP(A2306,PaychangesLU,1,FALSE),VLOOKUP(A2306,SpecialtyCheckLU,1,FALSE))</f>
        <v>#N/A</v>
      </c>
    </row>
    <row r="2307" spans="1:13" x14ac:dyDescent="0.25">
      <c r="A2307" t="str">
        <f t="shared" ref="A2307:A2370" si="258">B2307&amp;"-"&amp;F2307</f>
        <v>CP961-SLOW_TEXT_5</v>
      </c>
      <c r="B2307" t="s">
        <v>93</v>
      </c>
      <c r="C2307" t="str">
        <f t="shared" si="252"/>
        <v>Orlando</v>
      </c>
      <c r="D2307" t="str">
        <f t="shared" si="253"/>
        <v>Y</v>
      </c>
      <c r="E2307" t="s">
        <v>655</v>
      </c>
      <c r="F2307" t="str">
        <f t="shared" si="254"/>
        <v>SLOW_TEXT_5</v>
      </c>
      <c r="G2307">
        <f t="shared" si="255"/>
        <v>0</v>
      </c>
      <c r="H2307" t="s">
        <v>574</v>
      </c>
      <c r="I2307">
        <f t="shared" si="256"/>
        <v>0</v>
      </c>
      <c r="J2307" t="s">
        <v>564</v>
      </c>
      <c r="K2307" s="5">
        <v>5</v>
      </c>
      <c r="L2307" t="str">
        <f>Table_DataFromNL[[#This Row],[PROFILECODE]]&amp;"-"&amp;Table_DataFromNL[[#This Row],[RULENAME]]</f>
        <v>CP961-SLOW_TEXT_5</v>
      </c>
      <c r="M2307" t="e">
        <f t="shared" si="257"/>
        <v>#N/A</v>
      </c>
    </row>
    <row r="2308" spans="1:13" x14ac:dyDescent="0.25">
      <c r="A2308" t="str">
        <f t="shared" si="258"/>
        <v>CP961-Sample Only</v>
      </c>
      <c r="B2308" t="s">
        <v>93</v>
      </c>
      <c r="C2308" t="str">
        <f t="shared" si="252"/>
        <v>Orlando</v>
      </c>
      <c r="D2308" t="str">
        <f t="shared" si="253"/>
        <v>Y</v>
      </c>
      <c r="E2308" t="s">
        <v>655</v>
      </c>
      <c r="F2308" t="str">
        <f t="shared" si="254"/>
        <v>Sample Only</v>
      </c>
      <c r="G2308">
        <f t="shared" si="255"/>
        <v>0</v>
      </c>
      <c r="H2308" t="s">
        <v>575</v>
      </c>
      <c r="I2308">
        <f t="shared" si="256"/>
        <v>0</v>
      </c>
      <c r="J2308" t="s">
        <v>564</v>
      </c>
      <c r="K2308" s="5">
        <v>5</v>
      </c>
      <c r="L2308" t="str">
        <f>Table_DataFromNL[[#This Row],[PROFILECODE]]&amp;"-"&amp;Table_DataFromNL[[#This Row],[RULENAME]]</f>
        <v>CP961-Sample Only</v>
      </c>
      <c r="M2308" t="e">
        <f t="shared" si="257"/>
        <v>#N/A</v>
      </c>
    </row>
    <row r="2309" spans="1:13" x14ac:dyDescent="0.25">
      <c r="A2309" t="str">
        <f t="shared" si="258"/>
        <v>CP961-Unit Below 250 mL</v>
      </c>
      <c r="B2309" t="s">
        <v>93</v>
      </c>
      <c r="C2309" t="str">
        <f t="shared" si="252"/>
        <v>Orlando</v>
      </c>
      <c r="D2309" t="str">
        <f t="shared" si="253"/>
        <v>Y</v>
      </c>
      <c r="E2309" t="s">
        <v>655</v>
      </c>
      <c r="F2309" t="str">
        <f t="shared" si="254"/>
        <v>Unit Below 250 mL</v>
      </c>
      <c r="G2309">
        <f t="shared" si="255"/>
        <v>0</v>
      </c>
      <c r="H2309" t="s">
        <v>576</v>
      </c>
      <c r="I2309">
        <f t="shared" si="256"/>
        <v>0</v>
      </c>
      <c r="J2309" t="s">
        <v>564</v>
      </c>
      <c r="K2309" s="5">
        <v>5</v>
      </c>
      <c r="L2309" t="str">
        <f>Table_DataFromNL[[#This Row],[PROFILECODE]]&amp;"-"&amp;Table_DataFromNL[[#This Row],[RULENAME]]</f>
        <v>CP961-Unit Below 250 mL</v>
      </c>
      <c r="M2309" t="e">
        <f t="shared" si="257"/>
        <v>#N/A</v>
      </c>
    </row>
    <row r="2310" spans="1:13" x14ac:dyDescent="0.25">
      <c r="A2310" t="str">
        <f t="shared" si="258"/>
        <v>CP961-Unit above 250 mL/underdraw</v>
      </c>
      <c r="B2310" t="s">
        <v>93</v>
      </c>
      <c r="C2310" t="str">
        <f t="shared" si="252"/>
        <v>Orlando</v>
      </c>
      <c r="D2310" t="str">
        <f t="shared" si="253"/>
        <v>Y</v>
      </c>
      <c r="E2310" t="s">
        <v>655</v>
      </c>
      <c r="F2310" t="str">
        <f t="shared" si="254"/>
        <v>Unit above 250 mL/underdraw</v>
      </c>
      <c r="G2310">
        <f t="shared" si="255"/>
        <v>0</v>
      </c>
      <c r="H2310" t="s">
        <v>577</v>
      </c>
      <c r="I2310">
        <f t="shared" si="256"/>
        <v>0</v>
      </c>
      <c r="J2310" t="s">
        <v>564</v>
      </c>
      <c r="K2310" s="5">
        <v>10</v>
      </c>
      <c r="L2310" t="str">
        <f>Table_DataFromNL[[#This Row],[PROFILECODE]]&amp;"-"&amp;Table_DataFromNL[[#This Row],[RULENAME]]</f>
        <v>CP961-Unit above 250 mL/underdraw</v>
      </c>
      <c r="M2310" t="e">
        <f t="shared" si="257"/>
        <v>#N/A</v>
      </c>
    </row>
    <row r="2311" spans="1:13" x14ac:dyDescent="0.25">
      <c r="A2311" t="str">
        <f t="shared" si="258"/>
        <v>CP961-Vaccinia Immunization</v>
      </c>
      <c r="B2311" t="s">
        <v>93</v>
      </c>
      <c r="C2311" t="str">
        <f t="shared" si="252"/>
        <v>Orlando</v>
      </c>
      <c r="D2311" t="str">
        <f t="shared" si="253"/>
        <v>Y</v>
      </c>
      <c r="E2311" t="s">
        <v>655</v>
      </c>
      <c r="F2311" t="str">
        <f t="shared" si="254"/>
        <v>Vaccinia Immunization</v>
      </c>
      <c r="G2311">
        <f t="shared" si="255"/>
        <v>0</v>
      </c>
      <c r="H2311" t="s">
        <v>596</v>
      </c>
      <c r="I2311">
        <f t="shared" si="256"/>
        <v>0</v>
      </c>
      <c r="J2311" t="s">
        <v>564</v>
      </c>
      <c r="K2311" s="5">
        <v>100</v>
      </c>
      <c r="L2311" t="str">
        <f>Table_DataFromNL[[#This Row],[PROFILECODE]]&amp;"-"&amp;Table_DataFromNL[[#This Row],[RULENAME]]</f>
        <v>CP961-Vaccinia Immunization</v>
      </c>
      <c r="M2311" t="e">
        <f t="shared" si="257"/>
        <v>#N/A</v>
      </c>
    </row>
    <row r="2312" spans="1:13" x14ac:dyDescent="0.25">
      <c r="A2312" t="str">
        <f t="shared" si="258"/>
        <v>CP961-RETURN - Buddy referral  -BONUS</v>
      </c>
      <c r="B2312" t="s">
        <v>93</v>
      </c>
      <c r="C2312" t="str">
        <f t="shared" si="252"/>
        <v>Orlando</v>
      </c>
      <c r="D2312" t="str">
        <f t="shared" si="253"/>
        <v>Y</v>
      </c>
      <c r="E2312" t="s">
        <v>655</v>
      </c>
      <c r="F2312" t="str">
        <f t="shared" si="254"/>
        <v>RETURN - Buddy referral  -BONUS</v>
      </c>
      <c r="G2312" t="str">
        <f t="shared" si="255"/>
        <v>Marketing</v>
      </c>
      <c r="H2312" t="s">
        <v>34</v>
      </c>
      <c r="I2312">
        <f t="shared" si="256"/>
        <v>50</v>
      </c>
      <c r="J2312" t="s">
        <v>578</v>
      </c>
      <c r="K2312" s="5">
        <v>50</v>
      </c>
      <c r="L2312" t="str">
        <f>Table_DataFromNL[[#This Row],[PROFILECODE]]&amp;"-"&amp;Table_DataFromNL[[#This Row],[RULENAME]]</f>
        <v>CP961-Referral</v>
      </c>
      <c r="M2312" t="str">
        <f t="shared" si="257"/>
        <v>CP961-RETURN - Buddy referral  -BONUS</v>
      </c>
    </row>
    <row r="2313" spans="1:13" x14ac:dyDescent="0.25">
      <c r="A2313" t="str">
        <f t="shared" si="258"/>
        <v>CP961-P Anti-D Pre-Existing Standard</v>
      </c>
      <c r="B2313" t="s">
        <v>93</v>
      </c>
      <c r="C2313" t="str">
        <f t="shared" si="252"/>
        <v>Orlando</v>
      </c>
      <c r="D2313" t="str">
        <f t="shared" si="253"/>
        <v>Y</v>
      </c>
      <c r="E2313" t="s">
        <v>655</v>
      </c>
      <c r="F2313" t="str">
        <f t="shared" si="254"/>
        <v>P Anti-D Pre-Existing Standard</v>
      </c>
      <c r="G2313" t="str">
        <f t="shared" si="255"/>
        <v>Specialty</v>
      </c>
      <c r="H2313" t="s">
        <v>469</v>
      </c>
      <c r="I2313" t="str">
        <f t="shared" si="256"/>
        <v>RETURN - 1st don of the week -STD</v>
      </c>
      <c r="J2313" t="s">
        <v>579</v>
      </c>
      <c r="K2313" s="5">
        <v>50</v>
      </c>
      <c r="L2313" t="str">
        <f>Table_DataFromNL[[#This Row],[PROFILECODE]]&amp;"-"&amp;Table_DataFromNL[[#This Row],[RULENAME]]</f>
        <v>CP961-P Anti-D Pre-Existing Standard</v>
      </c>
      <c r="M2313" t="str">
        <f t="shared" si="257"/>
        <v>CP961-P Anti-D Pre-Existing Standard</v>
      </c>
    </row>
    <row r="2314" spans="1:13" x14ac:dyDescent="0.25">
      <c r="A2314" t="str">
        <f t="shared" si="258"/>
        <v>CP961-P Anti-D Standard</v>
      </c>
      <c r="B2314" t="s">
        <v>93</v>
      </c>
      <c r="C2314" t="str">
        <f t="shared" si="252"/>
        <v>Orlando</v>
      </c>
      <c r="D2314" t="str">
        <f t="shared" si="253"/>
        <v>Y</v>
      </c>
      <c r="E2314" t="s">
        <v>655</v>
      </c>
      <c r="F2314" t="str">
        <f t="shared" si="254"/>
        <v>P Anti-D Standard</v>
      </c>
      <c r="G2314" t="str">
        <f t="shared" si="255"/>
        <v>Specialty</v>
      </c>
      <c r="H2314" t="s">
        <v>474</v>
      </c>
      <c r="I2314" t="str">
        <f t="shared" si="256"/>
        <v>RETURN - 1st don of the week -STD</v>
      </c>
      <c r="J2314" t="s">
        <v>579</v>
      </c>
      <c r="K2314" s="5">
        <v>60</v>
      </c>
      <c r="L2314" t="str">
        <f>Table_DataFromNL[[#This Row],[PROFILECODE]]&amp;"-"&amp;Table_DataFromNL[[#This Row],[RULENAME]]</f>
        <v>CP961-P Anti-D Standard</v>
      </c>
      <c r="M2314" t="str">
        <f t="shared" si="257"/>
        <v>CP961-P Anti-D Standard</v>
      </c>
    </row>
    <row r="2315" spans="1:13" x14ac:dyDescent="0.25">
      <c r="A2315" t="str">
        <f t="shared" si="258"/>
        <v>CP961-RETURN - 1st don of the week -STD</v>
      </c>
      <c r="B2315" t="s">
        <v>93</v>
      </c>
      <c r="C2315" t="str">
        <f t="shared" si="252"/>
        <v>Orlando</v>
      </c>
      <c r="D2315" t="str">
        <f t="shared" si="253"/>
        <v>Y</v>
      </c>
      <c r="E2315" t="s">
        <v>655</v>
      </c>
      <c r="F2315" t="str">
        <f t="shared" si="254"/>
        <v>RETURN - 1st don of the week -STD</v>
      </c>
      <c r="G2315" t="str">
        <f t="shared" si="255"/>
        <v>Marketing</v>
      </c>
      <c r="H2315" t="s">
        <v>583</v>
      </c>
      <c r="I2315">
        <f t="shared" si="256"/>
        <v>22</v>
      </c>
      <c r="J2315" t="s">
        <v>579</v>
      </c>
      <c r="K2315" s="5">
        <v>60</v>
      </c>
      <c r="L2315" t="str">
        <f>Table_DataFromNL[[#This Row],[PROFILECODE]]&amp;"-"&amp;Table_DataFromNL[[#This Row],[RULENAME]]</f>
        <v>CP961-P NSP NS AP Standard</v>
      </c>
      <c r="M2315" t="str">
        <f t="shared" si="257"/>
        <v>CP961-RETURN - 1st don of the week -STD</v>
      </c>
    </row>
    <row r="2316" spans="1:13" x14ac:dyDescent="0.25">
      <c r="A2316" t="str">
        <f t="shared" si="258"/>
        <v>CP961-RETURN - 1st don of the week -STD</v>
      </c>
      <c r="B2316" t="s">
        <v>93</v>
      </c>
      <c r="C2316" t="str">
        <f t="shared" si="252"/>
        <v>Orlando</v>
      </c>
      <c r="D2316" t="str">
        <f t="shared" si="253"/>
        <v>Y</v>
      </c>
      <c r="E2316" t="s">
        <v>655</v>
      </c>
      <c r="F2316" t="str">
        <f t="shared" si="254"/>
        <v>RETURN - 1st don of the week -STD</v>
      </c>
      <c r="G2316" t="str">
        <f t="shared" si="255"/>
        <v>Marketing</v>
      </c>
      <c r="H2316" t="s">
        <v>584</v>
      </c>
      <c r="I2316">
        <f t="shared" si="256"/>
        <v>23</v>
      </c>
      <c r="J2316" t="s">
        <v>579</v>
      </c>
      <c r="K2316" s="5">
        <v>60</v>
      </c>
      <c r="L2316" t="str">
        <f>Table_DataFromNL[[#This Row],[PROFILECODE]]&amp;"-"&amp;Table_DataFromNL[[#This Row],[RULENAME]]</f>
        <v>CP961-P NSP NS Standard</v>
      </c>
      <c r="M2316" t="str">
        <f t="shared" si="257"/>
        <v>CP961-RETURN - 1st don of the week -STD</v>
      </c>
    </row>
    <row r="2317" spans="1:13" x14ac:dyDescent="0.25">
      <c r="A2317" t="str">
        <f t="shared" si="258"/>
        <v>CP961-P VZV Pre-Existing AP</v>
      </c>
      <c r="B2317" t="s">
        <v>93</v>
      </c>
      <c r="C2317" t="str">
        <f t="shared" si="252"/>
        <v>Orlando</v>
      </c>
      <c r="D2317" t="str">
        <f t="shared" si="253"/>
        <v>Y</v>
      </c>
      <c r="E2317" t="s">
        <v>655</v>
      </c>
      <c r="F2317" t="str">
        <f t="shared" si="254"/>
        <v>P VZV Pre-Existing AP</v>
      </c>
      <c r="G2317" t="str">
        <f t="shared" si="255"/>
        <v>Specialty</v>
      </c>
      <c r="H2317" t="s">
        <v>495</v>
      </c>
      <c r="I2317" t="str">
        <f t="shared" si="256"/>
        <v>RETURN - 1st don of the week -STD</v>
      </c>
      <c r="J2317" t="s">
        <v>579</v>
      </c>
      <c r="K2317" s="5">
        <v>70</v>
      </c>
      <c r="L2317" t="str">
        <f>Table_DataFromNL[[#This Row],[PROFILECODE]]&amp;"-"&amp;Table_DataFromNL[[#This Row],[RULENAME]]</f>
        <v>CP961-P VZV Pre-Existing AP</v>
      </c>
      <c r="M2317" t="str">
        <f t="shared" si="257"/>
        <v>CP961-P VZV Pre-Existing AP</v>
      </c>
    </row>
    <row r="2318" spans="1:13" x14ac:dyDescent="0.25">
      <c r="A2318" t="str">
        <f t="shared" si="258"/>
        <v>CP961-P Vaccinia AP Standard</v>
      </c>
      <c r="B2318" t="s">
        <v>93</v>
      </c>
      <c r="C2318" t="str">
        <f t="shared" si="252"/>
        <v>Orlando</v>
      </c>
      <c r="D2318" t="str">
        <f t="shared" si="253"/>
        <v>Y</v>
      </c>
      <c r="E2318" t="s">
        <v>655</v>
      </c>
      <c r="F2318" t="str">
        <f t="shared" si="254"/>
        <v>P Vaccinia AP Standard</v>
      </c>
      <c r="G2318" t="str">
        <f t="shared" si="255"/>
        <v>Specialty</v>
      </c>
      <c r="H2318" t="s">
        <v>475</v>
      </c>
      <c r="I2318">
        <f t="shared" si="256"/>
        <v>0</v>
      </c>
      <c r="J2318" t="s">
        <v>579</v>
      </c>
      <c r="K2318" s="5">
        <v>100</v>
      </c>
      <c r="L2318" t="str">
        <f>Table_DataFromNL[[#This Row],[PROFILECODE]]&amp;"-"&amp;Table_DataFromNL[[#This Row],[RULENAME]]</f>
        <v>CP961-P Vaccinia AP Standard</v>
      </c>
      <c r="M2318" t="str">
        <f t="shared" si="257"/>
        <v>CP961-P Vaccinia AP Standard</v>
      </c>
    </row>
    <row r="2319" spans="1:13" x14ac:dyDescent="0.25">
      <c r="A2319" t="str">
        <f t="shared" si="258"/>
        <v>CP961-P Vaccinia Standard</v>
      </c>
      <c r="B2319" t="s">
        <v>93</v>
      </c>
      <c r="C2319" t="str">
        <f t="shared" si="252"/>
        <v>Orlando</v>
      </c>
      <c r="D2319" t="str">
        <f t="shared" si="253"/>
        <v>Y</v>
      </c>
      <c r="E2319" t="s">
        <v>655</v>
      </c>
      <c r="F2319" t="str">
        <f t="shared" si="254"/>
        <v>P Vaccinia Standard</v>
      </c>
      <c r="G2319" t="str">
        <f t="shared" si="255"/>
        <v>Specialty</v>
      </c>
      <c r="H2319" t="s">
        <v>476</v>
      </c>
      <c r="I2319">
        <f t="shared" si="256"/>
        <v>0</v>
      </c>
      <c r="J2319" t="s">
        <v>579</v>
      </c>
      <c r="K2319" s="5">
        <v>100</v>
      </c>
      <c r="L2319" t="str">
        <f>Table_DataFromNL[[#This Row],[PROFILECODE]]&amp;"-"&amp;Table_DataFromNL[[#This Row],[RULENAME]]</f>
        <v>CP961-P Vaccinia Standard</v>
      </c>
      <c r="M2319" t="str">
        <f t="shared" si="257"/>
        <v>CP961-P Vaccinia Standard</v>
      </c>
    </row>
    <row r="2320" spans="1:13" x14ac:dyDescent="0.25">
      <c r="A2320" t="str">
        <f t="shared" si="258"/>
        <v>CP961-PVZV Pre-Existing Standard</v>
      </c>
      <c r="B2320" t="s">
        <v>93</v>
      </c>
      <c r="C2320" t="str">
        <f t="shared" si="252"/>
        <v>Orlando</v>
      </c>
      <c r="D2320" t="str">
        <f t="shared" si="253"/>
        <v>Y</v>
      </c>
      <c r="E2320" t="s">
        <v>655</v>
      </c>
      <c r="F2320" t="str">
        <f t="shared" si="254"/>
        <v>PVZV Pre-Existing Standard</v>
      </c>
      <c r="G2320" t="str">
        <f t="shared" si="255"/>
        <v>Specialty</v>
      </c>
      <c r="H2320" t="s">
        <v>497</v>
      </c>
      <c r="I2320" t="str">
        <f t="shared" si="256"/>
        <v>RETURN - 1st don of the week -STD</v>
      </c>
      <c r="J2320" t="s">
        <v>579</v>
      </c>
      <c r="K2320" s="5">
        <v>70</v>
      </c>
      <c r="L2320" t="str">
        <f>Table_DataFromNL[[#This Row],[PROFILECODE]]&amp;"-"&amp;Table_DataFromNL[[#This Row],[RULENAME]]</f>
        <v>CP961-PVZV Pre-Existing Standard</v>
      </c>
      <c r="M2320" t="str">
        <f t="shared" si="257"/>
        <v>CP961-PVZV Pre-Existing Standard</v>
      </c>
    </row>
    <row r="2321" spans="1:13" x14ac:dyDescent="0.25">
      <c r="A2321" t="str">
        <f t="shared" si="258"/>
        <v>CP962-1st Responder-Medical</v>
      </c>
      <c r="B2321" t="s">
        <v>66</v>
      </c>
      <c r="C2321" t="str">
        <f t="shared" si="252"/>
        <v>Palmview</v>
      </c>
      <c r="D2321" t="str">
        <f t="shared" si="253"/>
        <v>Y</v>
      </c>
      <c r="E2321" t="s">
        <v>656</v>
      </c>
      <c r="F2321" t="str">
        <f t="shared" si="254"/>
        <v>1st Responder-Medical</v>
      </c>
      <c r="G2321">
        <f t="shared" si="255"/>
        <v>0</v>
      </c>
      <c r="H2321" t="s">
        <v>545</v>
      </c>
      <c r="I2321">
        <f t="shared" si="256"/>
        <v>0</v>
      </c>
      <c r="J2321" t="s">
        <v>546</v>
      </c>
      <c r="K2321" s="5">
        <v>5</v>
      </c>
      <c r="L2321" t="str">
        <f>Table_DataFromNL[[#This Row],[PROFILECODE]]&amp;"-"&amp;Table_DataFromNL[[#This Row],[RULENAME]]</f>
        <v>CP962-1st Responder-Medical</v>
      </c>
      <c r="M2321" t="e">
        <f t="shared" si="257"/>
        <v>#N/A</v>
      </c>
    </row>
    <row r="2322" spans="1:13" x14ac:dyDescent="0.25">
      <c r="A2322" t="str">
        <f t="shared" si="258"/>
        <v>CP962-RETURN - 2nd don of the week -BONUS</v>
      </c>
      <c r="B2322" t="s">
        <v>66</v>
      </c>
      <c r="C2322" t="str">
        <f t="shared" si="252"/>
        <v>Palmview</v>
      </c>
      <c r="D2322" t="str">
        <f t="shared" si="253"/>
        <v>Y</v>
      </c>
      <c r="E2322" t="s">
        <v>656</v>
      </c>
      <c r="F2322" t="str">
        <f t="shared" si="254"/>
        <v>RETURN - 2nd don of the week -BONUS</v>
      </c>
      <c r="G2322" t="str">
        <f t="shared" si="255"/>
        <v>Marketing</v>
      </c>
      <c r="H2322" t="s">
        <v>550</v>
      </c>
      <c r="I2322">
        <f t="shared" si="256"/>
        <v>26</v>
      </c>
      <c r="J2322" t="s">
        <v>546</v>
      </c>
      <c r="K2322" s="5">
        <v>20</v>
      </c>
      <c r="L2322" t="str">
        <f>Table_DataFromNL[[#This Row],[PROFILECODE]]&amp;"-"&amp;Table_DataFromNL[[#This Row],[RULENAME]]</f>
        <v>CP962-2X Week P NSP NS</v>
      </c>
      <c r="M2322" t="str">
        <f t="shared" si="257"/>
        <v>CP962-RETURN - 2nd don of the week -BONUS</v>
      </c>
    </row>
    <row r="2323" spans="1:13" x14ac:dyDescent="0.25">
      <c r="A2323" t="str">
        <f t="shared" si="258"/>
        <v>CP962-RETURN - 2nd don of the week -BONUS</v>
      </c>
      <c r="B2323" t="s">
        <v>66</v>
      </c>
      <c r="C2323" t="str">
        <f t="shared" si="252"/>
        <v>Palmview</v>
      </c>
      <c r="D2323" t="str">
        <f t="shared" si="253"/>
        <v>Y</v>
      </c>
      <c r="E2323" t="s">
        <v>656</v>
      </c>
      <c r="F2323" t="str">
        <f t="shared" si="254"/>
        <v>RETURN - 2nd don of the week -BONUS</v>
      </c>
      <c r="G2323" t="str">
        <f t="shared" si="255"/>
        <v>Marketing</v>
      </c>
      <c r="H2323" t="s">
        <v>551</v>
      </c>
      <c r="I2323" t="str">
        <f t="shared" si="256"/>
        <v>RETURN - 2nd don of the week -BONUS</v>
      </c>
      <c r="J2323" t="s">
        <v>546</v>
      </c>
      <c r="K2323" s="5">
        <v>20</v>
      </c>
      <c r="L2323" t="str">
        <f>Table_DataFromNL[[#This Row],[PROFILECODE]]&amp;"-"&amp;Table_DataFromNL[[#This Row],[RULENAME]]</f>
        <v>CP962-2X Week P NSP NS AP</v>
      </c>
      <c r="M2323" t="str">
        <f t="shared" si="257"/>
        <v>CP962-RETURN - 2nd don of the week -BONUS</v>
      </c>
    </row>
    <row r="2324" spans="1:13" x14ac:dyDescent="0.25">
      <c r="A2324" t="str">
        <f t="shared" si="258"/>
        <v>CP962-2X Week P VZV Pre-Existing</v>
      </c>
      <c r="B2324" t="s">
        <v>66</v>
      </c>
      <c r="C2324" t="str">
        <f t="shared" si="252"/>
        <v>Palmview</v>
      </c>
      <c r="D2324" t="str">
        <f t="shared" si="253"/>
        <v>Y</v>
      </c>
      <c r="E2324" t="s">
        <v>656</v>
      </c>
      <c r="F2324" t="str">
        <f t="shared" si="254"/>
        <v>2X Week P VZV Pre-Existing</v>
      </c>
      <c r="G2324" t="str">
        <f t="shared" si="255"/>
        <v>Specialty</v>
      </c>
      <c r="H2324" t="s">
        <v>490</v>
      </c>
      <c r="I2324" t="str">
        <f t="shared" si="256"/>
        <v>RETURN - 2nd don of the week -BONUS</v>
      </c>
      <c r="J2324" t="s">
        <v>546</v>
      </c>
      <c r="K2324" s="5">
        <v>20</v>
      </c>
      <c r="L2324" t="str">
        <f>Table_DataFromNL[[#This Row],[PROFILECODE]]&amp;"-"&amp;Table_DataFromNL[[#This Row],[RULENAME]]</f>
        <v>CP962-2X Week P VZV Pre-Existing</v>
      </c>
      <c r="M2324" t="str">
        <f t="shared" si="257"/>
        <v>CP962-2X Week P VZV Pre-Existing</v>
      </c>
    </row>
    <row r="2325" spans="1:13" x14ac:dyDescent="0.25">
      <c r="A2325" t="str">
        <f t="shared" si="258"/>
        <v>CP962-2X Week P VZV Pre-Existing AP</v>
      </c>
      <c r="B2325" t="s">
        <v>66</v>
      </c>
      <c r="C2325" t="str">
        <f t="shared" si="252"/>
        <v>Palmview</v>
      </c>
      <c r="D2325" t="str">
        <f t="shared" si="253"/>
        <v>Y</v>
      </c>
      <c r="E2325" t="s">
        <v>656</v>
      </c>
      <c r="F2325" t="str">
        <f t="shared" si="254"/>
        <v>2X Week P VZV Pre-Existing AP</v>
      </c>
      <c r="G2325" t="str">
        <f t="shared" si="255"/>
        <v>Specialty</v>
      </c>
      <c r="H2325" t="s">
        <v>491</v>
      </c>
      <c r="I2325" t="str">
        <f t="shared" si="256"/>
        <v>RETURN - 2nd don of the week -BONUS</v>
      </c>
      <c r="J2325" t="s">
        <v>546</v>
      </c>
      <c r="K2325" s="5">
        <v>20</v>
      </c>
      <c r="L2325" t="str">
        <f>Table_DataFromNL[[#This Row],[PROFILECODE]]&amp;"-"&amp;Table_DataFromNL[[#This Row],[RULENAME]]</f>
        <v>CP962-2X Week P VZV Pre-Existing AP</v>
      </c>
      <c r="M2325" t="str">
        <f t="shared" si="257"/>
        <v>CP962-2X Week P VZV Pre-Existing AP</v>
      </c>
    </row>
    <row r="2326" spans="1:13" x14ac:dyDescent="0.25">
      <c r="A2326" t="str">
        <f t="shared" si="258"/>
        <v>CP962-RETURN - 6th don of the month -BONUS</v>
      </c>
      <c r="B2326" t="s">
        <v>66</v>
      </c>
      <c r="C2326" t="str">
        <f t="shared" si="252"/>
        <v>Palmview</v>
      </c>
      <c r="D2326" t="str">
        <f t="shared" si="253"/>
        <v>Y</v>
      </c>
      <c r="E2326" t="s">
        <v>656</v>
      </c>
      <c r="F2326" t="str">
        <f t="shared" si="254"/>
        <v>RETURN - 6th don of the month -BONUS</v>
      </c>
      <c r="G2326" t="str">
        <f t="shared" si="255"/>
        <v>Marketing</v>
      </c>
      <c r="H2326" t="s">
        <v>552</v>
      </c>
      <c r="I2326">
        <f t="shared" si="256"/>
        <v>28</v>
      </c>
      <c r="J2326" t="s">
        <v>546</v>
      </c>
      <c r="K2326" s="5">
        <v>30</v>
      </c>
      <c r="L2326" t="str">
        <f>Table_DataFromNL[[#This Row],[PROFILECODE]]&amp;"-"&amp;Table_DataFromNL[[#This Row],[RULENAME]]</f>
        <v>CP962-6X Month</v>
      </c>
      <c r="M2326" t="str">
        <f t="shared" si="257"/>
        <v>CP962-RETURN - 6th don of the month -BONUS</v>
      </c>
    </row>
    <row r="2327" spans="1:13" x14ac:dyDescent="0.25">
      <c r="A2327" t="str">
        <f t="shared" si="258"/>
        <v>CP962-College ID Standard Bonus</v>
      </c>
      <c r="B2327" t="s">
        <v>66</v>
      </c>
      <c r="C2327" t="str">
        <f t="shared" si="252"/>
        <v>Palmview</v>
      </c>
      <c r="D2327" t="str">
        <f t="shared" si="253"/>
        <v>Y</v>
      </c>
      <c r="E2327" t="s">
        <v>656</v>
      </c>
      <c r="F2327" t="str">
        <f t="shared" si="254"/>
        <v>College ID Standard Bonus</v>
      </c>
      <c r="G2327">
        <f t="shared" si="255"/>
        <v>0</v>
      </c>
      <c r="H2327" t="s">
        <v>553</v>
      </c>
      <c r="I2327">
        <f t="shared" si="256"/>
        <v>0</v>
      </c>
      <c r="J2327" t="s">
        <v>546</v>
      </c>
      <c r="K2327" s="5">
        <v>5</v>
      </c>
      <c r="L2327" t="str">
        <f>Table_DataFromNL[[#This Row],[PROFILECODE]]&amp;"-"&amp;Table_DataFromNL[[#This Row],[RULENAME]]</f>
        <v>CP962-College ID Standard Bonus</v>
      </c>
      <c r="M2327" t="e">
        <f t="shared" si="257"/>
        <v>#N/A</v>
      </c>
    </row>
    <row r="2328" spans="1:13" x14ac:dyDescent="0.25">
      <c r="A2328" t="str">
        <f t="shared" si="258"/>
        <v>CP962-Military ID</v>
      </c>
      <c r="B2328" t="s">
        <v>66</v>
      </c>
      <c r="C2328" t="str">
        <f t="shared" si="252"/>
        <v>Palmview</v>
      </c>
      <c r="D2328" t="str">
        <f t="shared" si="253"/>
        <v>Y</v>
      </c>
      <c r="E2328" t="s">
        <v>656</v>
      </c>
      <c r="F2328" t="str">
        <f t="shared" si="254"/>
        <v>Military ID</v>
      </c>
      <c r="G2328">
        <f t="shared" si="255"/>
        <v>0</v>
      </c>
      <c r="H2328" t="s">
        <v>554</v>
      </c>
      <c r="I2328">
        <f t="shared" si="256"/>
        <v>0</v>
      </c>
      <c r="J2328" t="s">
        <v>546</v>
      </c>
      <c r="K2328" s="5">
        <v>5</v>
      </c>
      <c r="L2328" t="str">
        <f>Table_DataFromNL[[#This Row],[PROFILECODE]]&amp;"-"&amp;Table_DataFromNL[[#This Row],[RULENAME]]</f>
        <v>CP962-Military ID</v>
      </c>
      <c r="M2328" t="e">
        <f t="shared" si="257"/>
        <v>#N/A</v>
      </c>
    </row>
    <row r="2329" spans="1:13" x14ac:dyDescent="0.25">
      <c r="A2329" t="str">
        <f t="shared" si="258"/>
        <v>CP962-NEW DONOR -1st</v>
      </c>
      <c r="B2329" t="s">
        <v>66</v>
      </c>
      <c r="C2329" t="str">
        <f t="shared" si="252"/>
        <v>Palmview</v>
      </c>
      <c r="D2329" t="str">
        <f t="shared" si="253"/>
        <v>Y</v>
      </c>
      <c r="E2329" t="s">
        <v>656</v>
      </c>
      <c r="F2329" t="str">
        <f t="shared" si="254"/>
        <v>NEW DONOR -1st</v>
      </c>
      <c r="G2329" t="str">
        <f t="shared" si="255"/>
        <v>Marketing</v>
      </c>
      <c r="H2329" t="s">
        <v>555</v>
      </c>
      <c r="I2329">
        <f t="shared" si="256"/>
        <v>1</v>
      </c>
      <c r="J2329" t="s">
        <v>546</v>
      </c>
      <c r="K2329" s="5">
        <v>60</v>
      </c>
      <c r="L2329" t="str">
        <f>Table_DataFromNL[[#This Row],[PROFILECODE]]&amp;"-"&amp;Table_DataFromNL[[#This Row],[RULENAME]]</f>
        <v>CP962-New Donor 1st Visit-Bonus</v>
      </c>
      <c r="M2329" t="str">
        <f t="shared" si="257"/>
        <v>CP962-NEW DONOR -1st</v>
      </c>
    </row>
    <row r="2330" spans="1:13" x14ac:dyDescent="0.25">
      <c r="A2330" t="str">
        <f t="shared" si="258"/>
        <v>CP962-NEW DONOR -2nd</v>
      </c>
      <c r="B2330" t="s">
        <v>66</v>
      </c>
      <c r="C2330" t="str">
        <f t="shared" si="252"/>
        <v>Palmview</v>
      </c>
      <c r="D2330" t="str">
        <f t="shared" si="253"/>
        <v>Y</v>
      </c>
      <c r="E2330" t="s">
        <v>656</v>
      </c>
      <c r="F2330" t="str">
        <f t="shared" si="254"/>
        <v>NEW DONOR -2nd</v>
      </c>
      <c r="G2330" t="str">
        <f t="shared" si="255"/>
        <v>Marketing</v>
      </c>
      <c r="H2330" t="s">
        <v>556</v>
      </c>
      <c r="I2330">
        <f t="shared" si="256"/>
        <v>2</v>
      </c>
      <c r="J2330" t="s">
        <v>546</v>
      </c>
      <c r="K2330" s="5">
        <v>60</v>
      </c>
      <c r="L2330" t="str">
        <f>Table_DataFromNL[[#This Row],[PROFILECODE]]&amp;"-"&amp;Table_DataFromNL[[#This Row],[RULENAME]]</f>
        <v>CP962-New Donor 2nd Visit-Bonus</v>
      </c>
      <c r="M2330" t="str">
        <f t="shared" si="257"/>
        <v>CP962-NEW DONOR -2nd</v>
      </c>
    </row>
    <row r="2331" spans="1:13" x14ac:dyDescent="0.25">
      <c r="A2331" t="str">
        <f t="shared" si="258"/>
        <v>CP962-NEW DONOR -3rd</v>
      </c>
      <c r="B2331" t="s">
        <v>66</v>
      </c>
      <c r="C2331" t="str">
        <f t="shared" si="252"/>
        <v>Palmview</v>
      </c>
      <c r="D2331" t="str">
        <f t="shared" si="253"/>
        <v>Y</v>
      </c>
      <c r="E2331" t="s">
        <v>656</v>
      </c>
      <c r="F2331" t="str">
        <f t="shared" si="254"/>
        <v>NEW DONOR -3rd</v>
      </c>
      <c r="G2331" t="str">
        <f t="shared" si="255"/>
        <v>Marketing</v>
      </c>
      <c r="H2331" t="s">
        <v>557</v>
      </c>
      <c r="I2331">
        <f t="shared" si="256"/>
        <v>3</v>
      </c>
      <c r="J2331" t="s">
        <v>546</v>
      </c>
      <c r="K2331" s="5">
        <v>60</v>
      </c>
      <c r="L2331" t="str">
        <f>Table_DataFromNL[[#This Row],[PROFILECODE]]&amp;"-"&amp;Table_DataFromNL[[#This Row],[RULENAME]]</f>
        <v>CP962-New Donor 3rd Visit-Bonus</v>
      </c>
      <c r="M2331" t="str">
        <f t="shared" si="257"/>
        <v>CP962-NEW DONOR -3rd</v>
      </c>
    </row>
    <row r="2332" spans="1:13" x14ac:dyDescent="0.25">
      <c r="A2332" t="str">
        <f t="shared" si="258"/>
        <v>CP962-NEW DONOR -4th</v>
      </c>
      <c r="B2332" t="s">
        <v>66</v>
      </c>
      <c r="C2332" t="str">
        <f t="shared" si="252"/>
        <v>Palmview</v>
      </c>
      <c r="D2332" t="str">
        <f t="shared" si="253"/>
        <v>Y</v>
      </c>
      <c r="E2332" t="s">
        <v>656</v>
      </c>
      <c r="F2332" t="str">
        <f t="shared" si="254"/>
        <v>NEW DONOR -4th</v>
      </c>
      <c r="G2332" t="str">
        <f t="shared" si="255"/>
        <v>Marketing</v>
      </c>
      <c r="H2332" t="s">
        <v>558</v>
      </c>
      <c r="I2332">
        <f t="shared" si="256"/>
        <v>4</v>
      </c>
      <c r="J2332" t="s">
        <v>546</v>
      </c>
      <c r="K2332" s="5">
        <v>60</v>
      </c>
      <c r="L2332" t="str">
        <f>Table_DataFromNL[[#This Row],[PROFILECODE]]&amp;"-"&amp;Table_DataFromNL[[#This Row],[RULENAME]]</f>
        <v>CP962-New Donor 4th Visit-Bonus</v>
      </c>
      <c r="M2332" t="str">
        <f t="shared" si="257"/>
        <v>CP962-NEW DONOR -4th</v>
      </c>
    </row>
    <row r="2333" spans="1:13" x14ac:dyDescent="0.25">
      <c r="A2333" t="str">
        <f t="shared" si="258"/>
        <v>CP962-NEW DONOR -5th</v>
      </c>
      <c r="B2333" t="s">
        <v>66</v>
      </c>
      <c r="C2333" t="str">
        <f t="shared" si="252"/>
        <v>Palmview</v>
      </c>
      <c r="D2333" t="str">
        <f t="shared" si="253"/>
        <v>Y</v>
      </c>
      <c r="E2333" t="s">
        <v>656</v>
      </c>
      <c r="F2333" t="str">
        <f t="shared" si="254"/>
        <v>NEW DONOR -5th</v>
      </c>
      <c r="G2333" t="str">
        <f t="shared" si="255"/>
        <v>Marketing</v>
      </c>
      <c r="H2333" t="s">
        <v>559</v>
      </c>
      <c r="I2333">
        <f t="shared" si="256"/>
        <v>5</v>
      </c>
      <c r="J2333" t="s">
        <v>546</v>
      </c>
      <c r="K2333" s="5">
        <v>60</v>
      </c>
      <c r="L2333" t="str">
        <f>Table_DataFromNL[[#This Row],[PROFILECODE]]&amp;"-"&amp;Table_DataFromNL[[#This Row],[RULENAME]]</f>
        <v>CP962-New Donor 5th Visit-Bonus</v>
      </c>
      <c r="M2333" t="str">
        <f t="shared" si="257"/>
        <v>CP962-NEW DONOR -5th</v>
      </c>
    </row>
    <row r="2334" spans="1:13" x14ac:dyDescent="0.25">
      <c r="A2334" t="str">
        <f t="shared" si="258"/>
        <v>CP962-NEW DONOR -6th</v>
      </c>
      <c r="B2334" t="s">
        <v>66</v>
      </c>
      <c r="C2334" t="str">
        <f t="shared" si="252"/>
        <v>Palmview</v>
      </c>
      <c r="D2334" t="str">
        <f t="shared" si="253"/>
        <v>Y</v>
      </c>
      <c r="E2334" t="s">
        <v>656</v>
      </c>
      <c r="F2334" t="str">
        <f t="shared" si="254"/>
        <v>NEW DONOR -6th</v>
      </c>
      <c r="G2334" t="str">
        <f t="shared" si="255"/>
        <v>Marketing</v>
      </c>
      <c r="H2334" t="s">
        <v>560</v>
      </c>
      <c r="I2334">
        <f t="shared" si="256"/>
        <v>6</v>
      </c>
      <c r="J2334" t="s">
        <v>546</v>
      </c>
      <c r="K2334" s="5">
        <v>60</v>
      </c>
      <c r="L2334" t="str">
        <f>Table_DataFromNL[[#This Row],[PROFILECODE]]&amp;"-"&amp;Table_DataFromNL[[#This Row],[RULENAME]]</f>
        <v>CP962-New Donor 6th Visit-Bonus</v>
      </c>
      <c r="M2334" t="str">
        <f t="shared" si="257"/>
        <v>CP962-NEW DONOR -6th</v>
      </c>
    </row>
    <row r="2335" spans="1:13" x14ac:dyDescent="0.25">
      <c r="A2335" t="str">
        <f t="shared" si="258"/>
        <v>CP962-NEW DONOR -7th</v>
      </c>
      <c r="B2335" t="s">
        <v>66</v>
      </c>
      <c r="C2335" t="str">
        <f t="shared" si="252"/>
        <v>Palmview</v>
      </c>
      <c r="D2335" t="str">
        <f t="shared" si="253"/>
        <v>Y</v>
      </c>
      <c r="E2335" t="s">
        <v>656</v>
      </c>
      <c r="F2335" t="str">
        <f t="shared" si="254"/>
        <v>NEW DONOR -7th</v>
      </c>
      <c r="G2335" t="str">
        <f t="shared" si="255"/>
        <v>Marketing</v>
      </c>
      <c r="H2335" t="s">
        <v>561</v>
      </c>
      <c r="I2335">
        <f t="shared" si="256"/>
        <v>7</v>
      </c>
      <c r="J2335" t="s">
        <v>546</v>
      </c>
      <c r="K2335" s="5">
        <v>60</v>
      </c>
      <c r="L2335" t="str">
        <f>Table_DataFromNL[[#This Row],[PROFILECODE]]&amp;"-"&amp;Table_DataFromNL[[#This Row],[RULENAME]]</f>
        <v>CP962-New Donor 7th Visit-Bonus</v>
      </c>
      <c r="M2335" t="str">
        <f t="shared" si="257"/>
        <v>CP962-NEW DONOR -7th</v>
      </c>
    </row>
    <row r="2336" spans="1:13" x14ac:dyDescent="0.25">
      <c r="A2336" t="str">
        <f t="shared" si="258"/>
        <v>CP962-NEW DONOR -8th</v>
      </c>
      <c r="B2336" t="s">
        <v>66</v>
      </c>
      <c r="C2336" t="str">
        <f t="shared" si="252"/>
        <v>Palmview</v>
      </c>
      <c r="D2336" t="str">
        <f t="shared" si="253"/>
        <v>Y</v>
      </c>
      <c r="E2336" t="s">
        <v>656</v>
      </c>
      <c r="F2336" t="str">
        <f t="shared" si="254"/>
        <v>NEW DONOR -8th</v>
      </c>
      <c r="G2336" t="str">
        <f t="shared" si="255"/>
        <v>Marketing</v>
      </c>
      <c r="H2336" t="s">
        <v>562</v>
      </c>
      <c r="I2336">
        <f t="shared" si="256"/>
        <v>8</v>
      </c>
      <c r="J2336" t="s">
        <v>546</v>
      </c>
      <c r="K2336" s="5">
        <v>60</v>
      </c>
      <c r="L2336" t="str">
        <f>Table_DataFromNL[[#This Row],[PROFILECODE]]&amp;"-"&amp;Table_DataFromNL[[#This Row],[RULENAME]]</f>
        <v>CP962-New Donor 8th Visit-Bonus</v>
      </c>
      <c r="M2336" t="str">
        <f t="shared" si="257"/>
        <v>CP962-NEW DONOR -8th</v>
      </c>
    </row>
    <row r="2337" spans="1:13" x14ac:dyDescent="0.25">
      <c r="A2337" t="str">
        <f t="shared" si="258"/>
        <v>CP962-Vaccinia - 1st Donation</v>
      </c>
      <c r="B2337" t="s">
        <v>66</v>
      </c>
      <c r="C2337" t="str">
        <f t="shared" si="252"/>
        <v>Palmview</v>
      </c>
      <c r="D2337" t="str">
        <f t="shared" si="253"/>
        <v>Y</v>
      </c>
      <c r="E2337" t="s">
        <v>656</v>
      </c>
      <c r="F2337" t="str">
        <f t="shared" si="254"/>
        <v>Vaccinia - 1st Donation</v>
      </c>
      <c r="G2337" t="str">
        <f t="shared" si="255"/>
        <v>Specialty</v>
      </c>
      <c r="H2337" t="s">
        <v>477</v>
      </c>
      <c r="I2337">
        <f t="shared" si="256"/>
        <v>0</v>
      </c>
      <c r="J2337" t="s">
        <v>546</v>
      </c>
      <c r="K2337" s="5">
        <v>150</v>
      </c>
      <c r="L2337" t="str">
        <f>Table_DataFromNL[[#This Row],[PROFILECODE]]&amp;"-"&amp;Table_DataFromNL[[#This Row],[RULENAME]]</f>
        <v>CP962-Vaccinia - 1st Donation</v>
      </c>
      <c r="M2337" t="str">
        <f t="shared" si="257"/>
        <v>CP962-Vaccinia - 1st Donation</v>
      </c>
    </row>
    <row r="2338" spans="1:13" x14ac:dyDescent="0.25">
      <c r="A2338" t="str">
        <f t="shared" si="258"/>
        <v>CP962-Vaccinia - 2nd Donation</v>
      </c>
      <c r="B2338" t="s">
        <v>66</v>
      </c>
      <c r="C2338" t="str">
        <f t="shared" si="252"/>
        <v>Palmview</v>
      </c>
      <c r="D2338" t="str">
        <f t="shared" si="253"/>
        <v>Y</v>
      </c>
      <c r="E2338" t="s">
        <v>656</v>
      </c>
      <c r="F2338" t="str">
        <f t="shared" si="254"/>
        <v>Vaccinia - 2nd Donation</v>
      </c>
      <c r="G2338" t="str">
        <f t="shared" si="255"/>
        <v>Specialty</v>
      </c>
      <c r="H2338" t="s">
        <v>478</v>
      </c>
      <c r="I2338">
        <f t="shared" si="256"/>
        <v>0</v>
      </c>
      <c r="J2338" t="s">
        <v>546</v>
      </c>
      <c r="K2338" s="5">
        <v>250</v>
      </c>
      <c r="L2338" t="str">
        <f>Table_DataFromNL[[#This Row],[PROFILECODE]]&amp;"-"&amp;Table_DataFromNL[[#This Row],[RULENAME]]</f>
        <v>CP962-Vaccinia - 2nd Donation</v>
      </c>
      <c r="M2338" t="str">
        <f t="shared" si="257"/>
        <v>CP962-Vaccinia - 2nd Donation</v>
      </c>
    </row>
    <row r="2339" spans="1:13" x14ac:dyDescent="0.25">
      <c r="A2339" t="str">
        <f t="shared" si="258"/>
        <v>CP962-Vaccinia - 3rd Donation</v>
      </c>
      <c r="B2339" t="s">
        <v>66</v>
      </c>
      <c r="C2339" t="str">
        <f t="shared" si="252"/>
        <v>Palmview</v>
      </c>
      <c r="D2339" t="str">
        <f t="shared" si="253"/>
        <v>Y</v>
      </c>
      <c r="E2339" t="s">
        <v>656</v>
      </c>
      <c r="F2339" t="str">
        <f t="shared" si="254"/>
        <v>Vaccinia - 3rd Donation</v>
      </c>
      <c r="G2339" t="str">
        <f t="shared" si="255"/>
        <v>Specialty</v>
      </c>
      <c r="H2339" t="s">
        <v>479</v>
      </c>
      <c r="I2339">
        <f t="shared" si="256"/>
        <v>0</v>
      </c>
      <c r="J2339" t="s">
        <v>546</v>
      </c>
      <c r="K2339" s="5">
        <v>300</v>
      </c>
      <c r="L2339" t="str">
        <f>Table_DataFromNL[[#This Row],[PROFILECODE]]&amp;"-"&amp;Table_DataFromNL[[#This Row],[RULENAME]]</f>
        <v>CP962-Vaccinia - 3rd Donation</v>
      </c>
      <c r="M2339" t="str">
        <f t="shared" si="257"/>
        <v>CP962-Vaccinia - 3rd Donation</v>
      </c>
    </row>
    <row r="2340" spans="1:13" x14ac:dyDescent="0.25">
      <c r="A2340" t="str">
        <f t="shared" si="258"/>
        <v>CP962-Vaccinia - 4th Donation</v>
      </c>
      <c r="B2340" t="s">
        <v>66</v>
      </c>
      <c r="C2340" t="str">
        <f t="shared" si="252"/>
        <v>Palmview</v>
      </c>
      <c r="D2340" t="str">
        <f t="shared" si="253"/>
        <v>Y</v>
      </c>
      <c r="E2340" t="s">
        <v>656</v>
      </c>
      <c r="F2340" t="str">
        <f t="shared" si="254"/>
        <v>Vaccinia - 4th Donation</v>
      </c>
      <c r="G2340" t="str">
        <f t="shared" si="255"/>
        <v>Specialty</v>
      </c>
      <c r="H2340" t="s">
        <v>480</v>
      </c>
      <c r="I2340">
        <f t="shared" si="256"/>
        <v>0</v>
      </c>
      <c r="J2340" t="s">
        <v>546</v>
      </c>
      <c r="K2340" s="5">
        <v>300</v>
      </c>
      <c r="L2340" t="str">
        <f>Table_DataFromNL[[#This Row],[PROFILECODE]]&amp;"-"&amp;Table_DataFromNL[[#This Row],[RULENAME]]</f>
        <v>CP962-Vaccinia - 4th Donation</v>
      </c>
      <c r="M2340" t="str">
        <f t="shared" si="257"/>
        <v>CP962-Vaccinia - 4th Donation</v>
      </c>
    </row>
    <row r="2341" spans="1:13" x14ac:dyDescent="0.25">
      <c r="A2341" t="str">
        <f t="shared" si="258"/>
        <v>CP962-Vaccinia AP - 1st Donation</v>
      </c>
      <c r="B2341" t="s">
        <v>66</v>
      </c>
      <c r="C2341" t="str">
        <f t="shared" si="252"/>
        <v>Palmview</v>
      </c>
      <c r="D2341" t="str">
        <f t="shared" si="253"/>
        <v>Y</v>
      </c>
      <c r="E2341" t="s">
        <v>656</v>
      </c>
      <c r="F2341" t="str">
        <f t="shared" si="254"/>
        <v>Vaccinia AP - 1st Donation</v>
      </c>
      <c r="G2341" t="str">
        <f t="shared" si="255"/>
        <v>Specialty</v>
      </c>
      <c r="H2341" t="s">
        <v>481</v>
      </c>
      <c r="I2341">
        <f t="shared" si="256"/>
        <v>0</v>
      </c>
      <c r="J2341" t="s">
        <v>546</v>
      </c>
      <c r="K2341" s="5">
        <v>150</v>
      </c>
      <c r="L2341" t="str">
        <f>Table_DataFromNL[[#This Row],[PROFILECODE]]&amp;"-"&amp;Table_DataFromNL[[#This Row],[RULENAME]]</f>
        <v>CP962-Vaccinia AP - 1st Donation</v>
      </c>
      <c r="M2341" t="str">
        <f t="shared" si="257"/>
        <v>CP962-Vaccinia AP - 1st Donation</v>
      </c>
    </row>
    <row r="2342" spans="1:13" x14ac:dyDescent="0.25">
      <c r="A2342" t="str">
        <f t="shared" si="258"/>
        <v>CP962-Vaccinia AP - 2nd Donation</v>
      </c>
      <c r="B2342" t="s">
        <v>66</v>
      </c>
      <c r="C2342" t="str">
        <f t="shared" si="252"/>
        <v>Palmview</v>
      </c>
      <c r="D2342" t="str">
        <f t="shared" si="253"/>
        <v>Y</v>
      </c>
      <c r="E2342" t="s">
        <v>656</v>
      </c>
      <c r="F2342" t="str">
        <f t="shared" si="254"/>
        <v>Vaccinia AP - 2nd Donation</v>
      </c>
      <c r="G2342" t="str">
        <f t="shared" si="255"/>
        <v>Specialty</v>
      </c>
      <c r="H2342" t="s">
        <v>482</v>
      </c>
      <c r="I2342">
        <f t="shared" si="256"/>
        <v>0</v>
      </c>
      <c r="J2342" t="s">
        <v>546</v>
      </c>
      <c r="K2342" s="5">
        <v>250</v>
      </c>
      <c r="L2342" t="str">
        <f>Table_DataFromNL[[#This Row],[PROFILECODE]]&amp;"-"&amp;Table_DataFromNL[[#This Row],[RULENAME]]</f>
        <v>CP962-Vaccinia AP - 2nd Donation</v>
      </c>
      <c r="M2342" t="str">
        <f t="shared" si="257"/>
        <v>CP962-Vaccinia AP - 2nd Donation</v>
      </c>
    </row>
    <row r="2343" spans="1:13" x14ac:dyDescent="0.25">
      <c r="A2343" t="str">
        <f t="shared" si="258"/>
        <v>CP962-Vaccinia AP - 3rd Donation</v>
      </c>
      <c r="B2343" t="s">
        <v>66</v>
      </c>
      <c r="C2343" t="str">
        <f t="shared" si="252"/>
        <v>Palmview</v>
      </c>
      <c r="D2343" t="str">
        <f t="shared" si="253"/>
        <v>Y</v>
      </c>
      <c r="E2343" t="s">
        <v>656</v>
      </c>
      <c r="F2343" t="str">
        <f t="shared" si="254"/>
        <v>Vaccinia AP - 3rd Donation</v>
      </c>
      <c r="G2343" t="str">
        <f t="shared" si="255"/>
        <v>Specialty</v>
      </c>
      <c r="H2343" t="s">
        <v>483</v>
      </c>
      <c r="I2343">
        <f t="shared" si="256"/>
        <v>0</v>
      </c>
      <c r="J2343" t="s">
        <v>546</v>
      </c>
      <c r="K2343" s="5">
        <v>300</v>
      </c>
      <c r="L2343" t="str">
        <f>Table_DataFromNL[[#This Row],[PROFILECODE]]&amp;"-"&amp;Table_DataFromNL[[#This Row],[RULENAME]]</f>
        <v>CP962-Vaccinia AP - 3rd Donation</v>
      </c>
      <c r="M2343" t="str">
        <f t="shared" si="257"/>
        <v>CP962-Vaccinia AP - 3rd Donation</v>
      </c>
    </row>
    <row r="2344" spans="1:13" x14ac:dyDescent="0.25">
      <c r="A2344" t="str">
        <f t="shared" si="258"/>
        <v>CP962-Vaccinia AP - 4th Donation</v>
      </c>
      <c r="B2344" t="s">
        <v>66</v>
      </c>
      <c r="C2344" t="str">
        <f t="shared" si="252"/>
        <v>Palmview</v>
      </c>
      <c r="D2344" t="str">
        <f t="shared" si="253"/>
        <v>Y</v>
      </c>
      <c r="E2344" t="s">
        <v>656</v>
      </c>
      <c r="F2344" t="str">
        <f t="shared" si="254"/>
        <v>Vaccinia AP - 4th Donation</v>
      </c>
      <c r="G2344" t="str">
        <f t="shared" si="255"/>
        <v>Specialty</v>
      </c>
      <c r="H2344" t="s">
        <v>484</v>
      </c>
      <c r="I2344">
        <f t="shared" si="256"/>
        <v>0</v>
      </c>
      <c r="J2344" t="s">
        <v>546</v>
      </c>
      <c r="K2344" s="5">
        <v>300</v>
      </c>
      <c r="L2344" t="str">
        <f>Table_DataFromNL[[#This Row],[PROFILECODE]]&amp;"-"&amp;Table_DataFromNL[[#This Row],[RULENAME]]</f>
        <v>CP962-Vaccinia AP - 4th Donation</v>
      </c>
      <c r="M2344" t="str">
        <f t="shared" si="257"/>
        <v>CP962-Vaccinia AP - 4th Donation</v>
      </c>
    </row>
    <row r="2345" spans="1:13" x14ac:dyDescent="0.25">
      <c r="A2345" t="str">
        <f t="shared" si="258"/>
        <v>CP962-Community</v>
      </c>
      <c r="B2345" t="s">
        <v>66</v>
      </c>
      <c r="C2345" t="str">
        <f t="shared" si="252"/>
        <v>Palmview</v>
      </c>
      <c r="D2345" t="str">
        <f t="shared" si="253"/>
        <v>Y</v>
      </c>
      <c r="E2345" t="s">
        <v>656</v>
      </c>
      <c r="F2345" t="str">
        <f t="shared" si="254"/>
        <v>Community</v>
      </c>
      <c r="G2345">
        <f t="shared" si="255"/>
        <v>0</v>
      </c>
      <c r="H2345" t="s">
        <v>563</v>
      </c>
      <c r="I2345">
        <f t="shared" si="256"/>
        <v>0</v>
      </c>
      <c r="J2345" t="s">
        <v>564</v>
      </c>
      <c r="K2345" s="5">
        <v>5</v>
      </c>
      <c r="L2345" t="str">
        <f>Table_DataFromNL[[#This Row],[PROFILECODE]]&amp;"-"&amp;Table_DataFromNL[[#This Row],[RULENAME]]</f>
        <v>CP962-Community</v>
      </c>
      <c r="M2345" t="e">
        <f t="shared" si="257"/>
        <v>#N/A</v>
      </c>
    </row>
    <row r="2346" spans="1:13" x14ac:dyDescent="0.25">
      <c r="A2346" t="str">
        <f t="shared" si="258"/>
        <v>CP962-HANGER_RECRUIT_5USD_once</v>
      </c>
      <c r="B2346" t="s">
        <v>66</v>
      </c>
      <c r="C2346" t="str">
        <f t="shared" si="252"/>
        <v>Palmview</v>
      </c>
      <c r="D2346" t="str">
        <f t="shared" si="253"/>
        <v>Y</v>
      </c>
      <c r="E2346" t="s">
        <v>656</v>
      </c>
      <c r="F2346" t="str">
        <f t="shared" si="254"/>
        <v>HANGER_RECRUIT_5USD_once</v>
      </c>
      <c r="G2346">
        <f t="shared" si="255"/>
        <v>0</v>
      </c>
      <c r="H2346" t="s">
        <v>565</v>
      </c>
      <c r="I2346">
        <f t="shared" si="256"/>
        <v>0</v>
      </c>
      <c r="J2346" t="s">
        <v>564</v>
      </c>
      <c r="K2346" s="5">
        <v>5</v>
      </c>
      <c r="L2346" t="str">
        <f>Table_DataFromNL[[#This Row],[PROFILECODE]]&amp;"-"&amp;Table_DataFromNL[[#This Row],[RULENAME]]</f>
        <v>CP962-HANGER_RECRUIT_5USD_once</v>
      </c>
      <c r="M2346" t="e">
        <f t="shared" si="257"/>
        <v>#N/A</v>
      </c>
    </row>
    <row r="2347" spans="1:13" x14ac:dyDescent="0.25">
      <c r="A2347" t="str">
        <f t="shared" si="258"/>
        <v>CP962-Immunization Boost Payment</v>
      </c>
      <c r="B2347" t="s">
        <v>66</v>
      </c>
      <c r="C2347" t="str">
        <f t="shared" si="252"/>
        <v>Palmview</v>
      </c>
      <c r="D2347" t="str">
        <f t="shared" si="253"/>
        <v>Y</v>
      </c>
      <c r="E2347" t="s">
        <v>656</v>
      </c>
      <c r="F2347" t="str">
        <f t="shared" si="254"/>
        <v>Immunization Boost Payment</v>
      </c>
      <c r="G2347">
        <f t="shared" si="255"/>
        <v>0</v>
      </c>
      <c r="H2347" t="s">
        <v>598</v>
      </c>
      <c r="I2347">
        <f t="shared" si="256"/>
        <v>0</v>
      </c>
      <c r="J2347" t="s">
        <v>564</v>
      </c>
      <c r="K2347" s="5">
        <v>50</v>
      </c>
      <c r="L2347" t="str">
        <f>Table_DataFromNL[[#This Row],[PROFILECODE]]&amp;"-"&amp;Table_DataFromNL[[#This Row],[RULENAME]]</f>
        <v>CP962-Immunization Boost Payment</v>
      </c>
      <c r="M2347" t="e">
        <f t="shared" si="257"/>
        <v>#N/A</v>
      </c>
    </row>
    <row r="2348" spans="1:13" x14ac:dyDescent="0.25">
      <c r="A2348" t="str">
        <f t="shared" si="258"/>
        <v>CP962-Immunization Series Payment</v>
      </c>
      <c r="B2348" t="s">
        <v>66</v>
      </c>
      <c r="C2348" t="str">
        <f t="shared" si="252"/>
        <v>Palmview</v>
      </c>
      <c r="D2348" t="str">
        <f t="shared" si="253"/>
        <v>Y</v>
      </c>
      <c r="E2348" t="s">
        <v>656</v>
      </c>
      <c r="F2348" t="str">
        <f t="shared" si="254"/>
        <v>Immunization Series Payment</v>
      </c>
      <c r="G2348">
        <f t="shared" si="255"/>
        <v>0</v>
      </c>
      <c r="H2348" t="s">
        <v>599</v>
      </c>
      <c r="I2348">
        <f t="shared" si="256"/>
        <v>0</v>
      </c>
      <c r="J2348" t="s">
        <v>564</v>
      </c>
      <c r="K2348" s="5">
        <v>100</v>
      </c>
      <c r="L2348" t="str">
        <f>Table_DataFromNL[[#This Row],[PROFILECODE]]&amp;"-"&amp;Table_DataFromNL[[#This Row],[RULENAME]]</f>
        <v>CP962-Immunization Series Payment</v>
      </c>
      <c r="M2348" t="e">
        <f t="shared" si="257"/>
        <v>#N/A</v>
      </c>
    </row>
    <row r="2349" spans="1:13" x14ac:dyDescent="0.25">
      <c r="A2349" t="str">
        <f t="shared" si="258"/>
        <v>CP962-Inconv Fee $20-$50-Comment Req'd</v>
      </c>
      <c r="B2349" t="s">
        <v>66</v>
      </c>
      <c r="C2349" t="str">
        <f t="shared" si="252"/>
        <v>Palmview</v>
      </c>
      <c r="D2349" t="str">
        <f t="shared" si="253"/>
        <v>Y</v>
      </c>
      <c r="E2349" t="s">
        <v>656</v>
      </c>
      <c r="F2349" t="str">
        <f t="shared" si="254"/>
        <v>Inconv Fee $20-$50-Comment Req'd</v>
      </c>
      <c r="G2349">
        <f t="shared" si="255"/>
        <v>0</v>
      </c>
      <c r="H2349" t="s">
        <v>566</v>
      </c>
      <c r="I2349">
        <f t="shared" si="256"/>
        <v>0</v>
      </c>
      <c r="J2349" t="s">
        <v>564</v>
      </c>
      <c r="K2349" s="5">
        <v>50</v>
      </c>
      <c r="L2349" t="str">
        <f>Table_DataFromNL[[#This Row],[PROFILECODE]]&amp;"-"&amp;Table_DataFromNL[[#This Row],[RULENAME]]</f>
        <v>CP962-Inconv Fee $20-$50-Comment Req'd</v>
      </c>
      <c r="M2349" t="e">
        <f t="shared" si="257"/>
        <v>#N/A</v>
      </c>
    </row>
    <row r="2350" spans="1:13" x14ac:dyDescent="0.25">
      <c r="A2350" t="str">
        <f t="shared" si="258"/>
        <v>CP962-Inconv Fee $5-$20-Comment Req'd</v>
      </c>
      <c r="B2350" t="s">
        <v>66</v>
      </c>
      <c r="C2350" t="str">
        <f t="shared" si="252"/>
        <v>Palmview</v>
      </c>
      <c r="D2350" t="str">
        <f t="shared" si="253"/>
        <v>Y</v>
      </c>
      <c r="E2350" t="s">
        <v>656</v>
      </c>
      <c r="F2350" t="str">
        <f t="shared" si="254"/>
        <v>Inconv Fee $5-$20-Comment Req'd</v>
      </c>
      <c r="G2350">
        <f t="shared" si="255"/>
        <v>0</v>
      </c>
      <c r="H2350" t="s">
        <v>567</v>
      </c>
      <c r="I2350">
        <f t="shared" si="256"/>
        <v>0</v>
      </c>
      <c r="J2350" t="s">
        <v>564</v>
      </c>
      <c r="K2350" s="5">
        <v>20</v>
      </c>
      <c r="L2350" t="str">
        <f>Table_DataFromNL[[#This Row],[PROFILECODE]]&amp;"-"&amp;Table_DataFromNL[[#This Row],[RULENAME]]</f>
        <v>CP962-Inconv Fee $5-$20-Comment Req'd</v>
      </c>
      <c r="M2350" t="e">
        <f t="shared" si="257"/>
        <v>#N/A</v>
      </c>
    </row>
    <row r="2351" spans="1:13" x14ac:dyDescent="0.25">
      <c r="A2351" t="str">
        <f t="shared" si="258"/>
        <v>CP962-Inconv Fee$50-$100-Comment Req'd</v>
      </c>
      <c r="B2351" t="s">
        <v>66</v>
      </c>
      <c r="C2351" t="str">
        <f t="shared" si="252"/>
        <v>Palmview</v>
      </c>
      <c r="D2351" t="str">
        <f t="shared" si="253"/>
        <v>Y</v>
      </c>
      <c r="E2351" t="s">
        <v>656</v>
      </c>
      <c r="F2351" t="str">
        <f t="shared" si="254"/>
        <v>Inconv Fee$50-$100-Comment Req'd</v>
      </c>
      <c r="G2351">
        <f t="shared" si="255"/>
        <v>0</v>
      </c>
      <c r="H2351" t="s">
        <v>568</v>
      </c>
      <c r="I2351">
        <f t="shared" si="256"/>
        <v>0</v>
      </c>
      <c r="J2351" t="s">
        <v>564</v>
      </c>
      <c r="K2351" s="5">
        <v>100</v>
      </c>
      <c r="L2351" t="str">
        <f>Table_DataFromNL[[#This Row],[PROFILECODE]]&amp;"-"&amp;Table_DataFromNL[[#This Row],[RULENAME]]</f>
        <v>CP962-Inconv Fee$50-$100-Comment Req'd</v>
      </c>
      <c r="M2351" t="e">
        <f t="shared" si="257"/>
        <v>#N/A</v>
      </c>
    </row>
    <row r="2352" spans="1:13" x14ac:dyDescent="0.25">
      <c r="A2352" t="str">
        <f t="shared" si="258"/>
        <v>CP962-NSP_ LAPSEDONOR_50_Twice</v>
      </c>
      <c r="B2352" t="s">
        <v>66</v>
      </c>
      <c r="C2352" t="str">
        <f t="shared" si="252"/>
        <v>Palmview</v>
      </c>
      <c r="D2352" t="str">
        <f t="shared" si="253"/>
        <v>Y</v>
      </c>
      <c r="E2352" t="s">
        <v>656</v>
      </c>
      <c r="F2352" t="str">
        <f t="shared" si="254"/>
        <v>NSP_ LAPSEDONOR_50_Twice</v>
      </c>
      <c r="G2352">
        <f t="shared" si="255"/>
        <v>0</v>
      </c>
      <c r="H2352" t="s">
        <v>569</v>
      </c>
      <c r="I2352">
        <f t="shared" si="256"/>
        <v>0</v>
      </c>
      <c r="J2352" t="s">
        <v>564</v>
      </c>
      <c r="K2352" s="5">
        <v>50</v>
      </c>
      <c r="L2352" t="str">
        <f>Table_DataFromNL[[#This Row],[PROFILECODE]]&amp;"-"&amp;Table_DataFromNL[[#This Row],[RULENAME]]</f>
        <v>CP962-NSP_ LAPSEDONOR_50_Twice</v>
      </c>
      <c r="M2352" t="e">
        <f t="shared" si="257"/>
        <v>#N/A</v>
      </c>
    </row>
    <row r="2353" spans="1:13" x14ac:dyDescent="0.25">
      <c r="A2353" t="str">
        <f t="shared" si="258"/>
        <v>CP962-NSP_LD_25_2X</v>
      </c>
      <c r="B2353" t="s">
        <v>66</v>
      </c>
      <c r="C2353" t="str">
        <f t="shared" si="252"/>
        <v>Palmview</v>
      </c>
      <c r="D2353" t="str">
        <f t="shared" si="253"/>
        <v>Y</v>
      </c>
      <c r="E2353" t="s">
        <v>656</v>
      </c>
      <c r="F2353" t="str">
        <f t="shared" si="254"/>
        <v>NSP_LD_25_2X</v>
      </c>
      <c r="G2353">
        <f t="shared" si="255"/>
        <v>0</v>
      </c>
      <c r="H2353" t="s">
        <v>570</v>
      </c>
      <c r="I2353">
        <f t="shared" si="256"/>
        <v>0</v>
      </c>
      <c r="J2353" t="s">
        <v>564</v>
      </c>
      <c r="K2353" s="5">
        <v>25</v>
      </c>
      <c r="L2353" t="str">
        <f>Table_DataFromNL[[#This Row],[PROFILECODE]]&amp;"-"&amp;Table_DataFromNL[[#This Row],[RULENAME]]</f>
        <v>CP962-NSP_LD_25_2X</v>
      </c>
      <c r="M2353" t="e">
        <f t="shared" si="257"/>
        <v>#N/A</v>
      </c>
    </row>
    <row r="2354" spans="1:13" x14ac:dyDescent="0.25">
      <c r="A2354" t="str">
        <f t="shared" si="258"/>
        <v>CP962-NSP_LD_50_1X</v>
      </c>
      <c r="B2354" t="s">
        <v>66</v>
      </c>
      <c r="C2354" t="str">
        <f t="shared" si="252"/>
        <v>Palmview</v>
      </c>
      <c r="D2354" t="str">
        <f t="shared" si="253"/>
        <v>Y</v>
      </c>
      <c r="E2354" t="s">
        <v>656</v>
      </c>
      <c r="F2354" t="str">
        <f t="shared" si="254"/>
        <v>NSP_LD_50_1X</v>
      </c>
      <c r="G2354">
        <f t="shared" si="255"/>
        <v>0</v>
      </c>
      <c r="H2354" t="s">
        <v>571</v>
      </c>
      <c r="I2354">
        <f t="shared" si="256"/>
        <v>0</v>
      </c>
      <c r="J2354" t="s">
        <v>564</v>
      </c>
      <c r="K2354" s="5">
        <v>50</v>
      </c>
      <c r="L2354" t="str">
        <f>Table_DataFromNL[[#This Row],[PROFILECODE]]&amp;"-"&amp;Table_DataFromNL[[#This Row],[RULENAME]]</f>
        <v>CP962-NSP_LD_50_1X</v>
      </c>
      <c r="M2354" t="e">
        <f t="shared" si="257"/>
        <v>#N/A</v>
      </c>
    </row>
    <row r="2355" spans="1:13" x14ac:dyDescent="0.25">
      <c r="A2355" t="str">
        <f t="shared" si="258"/>
        <v>CP962-NSP_ORPHAN_100_once</v>
      </c>
      <c r="B2355" t="s">
        <v>66</v>
      </c>
      <c r="C2355" t="str">
        <f t="shared" si="252"/>
        <v>Palmview</v>
      </c>
      <c r="D2355" t="str">
        <f t="shared" si="253"/>
        <v>Y</v>
      </c>
      <c r="E2355" t="s">
        <v>656</v>
      </c>
      <c r="F2355" t="str">
        <f t="shared" si="254"/>
        <v>NSP_ORPHAN_100_once</v>
      </c>
      <c r="G2355">
        <f t="shared" si="255"/>
        <v>0</v>
      </c>
      <c r="H2355" t="s">
        <v>572</v>
      </c>
      <c r="I2355">
        <f t="shared" si="256"/>
        <v>0</v>
      </c>
      <c r="J2355" t="s">
        <v>564</v>
      </c>
      <c r="K2355" s="5">
        <v>100</v>
      </c>
      <c r="L2355" t="str">
        <f>Table_DataFromNL[[#This Row],[PROFILECODE]]&amp;"-"&amp;Table_DataFromNL[[#This Row],[RULENAME]]</f>
        <v>CP962-NSP_ORPHAN_100_once</v>
      </c>
      <c r="M2355" t="e">
        <f t="shared" si="257"/>
        <v>#N/A</v>
      </c>
    </row>
    <row r="2356" spans="1:13" x14ac:dyDescent="0.25">
      <c r="A2356" t="str">
        <f t="shared" si="258"/>
        <v>CP962-Referral - Vaccinia</v>
      </c>
      <c r="B2356" t="s">
        <v>66</v>
      </c>
      <c r="C2356" t="str">
        <f t="shared" si="252"/>
        <v>Palmview</v>
      </c>
      <c r="D2356" t="str">
        <f t="shared" si="253"/>
        <v>Y</v>
      </c>
      <c r="E2356" t="s">
        <v>656</v>
      </c>
      <c r="F2356" t="str">
        <f t="shared" si="254"/>
        <v>Referral - Vaccinia</v>
      </c>
      <c r="G2356">
        <f t="shared" si="255"/>
        <v>0</v>
      </c>
      <c r="H2356" t="s">
        <v>595</v>
      </c>
      <c r="I2356">
        <f t="shared" si="256"/>
        <v>0</v>
      </c>
      <c r="J2356" t="s">
        <v>564</v>
      </c>
      <c r="K2356" s="5">
        <v>200</v>
      </c>
      <c r="L2356" t="str">
        <f>Table_DataFromNL[[#This Row],[PROFILECODE]]&amp;"-"&amp;Table_DataFromNL[[#This Row],[RULENAME]]</f>
        <v>CP962-Referral - Vaccinia</v>
      </c>
      <c r="M2356" t="e">
        <f t="shared" si="257"/>
        <v>#N/A</v>
      </c>
    </row>
    <row r="2357" spans="1:13" x14ac:dyDescent="0.25">
      <c r="A2357" t="str">
        <f t="shared" si="258"/>
        <v>CP962-Restick</v>
      </c>
      <c r="B2357" t="s">
        <v>66</v>
      </c>
      <c r="C2357" t="str">
        <f t="shared" si="252"/>
        <v>Palmview</v>
      </c>
      <c r="D2357" t="str">
        <f t="shared" si="253"/>
        <v>Y</v>
      </c>
      <c r="E2357" t="s">
        <v>656</v>
      </c>
      <c r="F2357" t="str">
        <f t="shared" si="254"/>
        <v>Restick</v>
      </c>
      <c r="G2357">
        <f t="shared" si="255"/>
        <v>0</v>
      </c>
      <c r="H2357" t="s">
        <v>573</v>
      </c>
      <c r="I2357">
        <f t="shared" si="256"/>
        <v>0</v>
      </c>
      <c r="J2357" t="s">
        <v>564</v>
      </c>
      <c r="K2357" s="5">
        <v>5</v>
      </c>
      <c r="L2357" t="str">
        <f>Table_DataFromNL[[#This Row],[PROFILECODE]]&amp;"-"&amp;Table_DataFromNL[[#This Row],[RULENAME]]</f>
        <v>CP962-Restick</v>
      </c>
      <c r="M2357" t="e">
        <f t="shared" si="257"/>
        <v>#N/A</v>
      </c>
    </row>
    <row r="2358" spans="1:13" x14ac:dyDescent="0.25">
      <c r="A2358" t="str">
        <f t="shared" si="258"/>
        <v>CP962-SLOW_TEXT_5</v>
      </c>
      <c r="B2358" t="s">
        <v>66</v>
      </c>
      <c r="C2358" t="str">
        <f t="shared" si="252"/>
        <v>Palmview</v>
      </c>
      <c r="D2358" t="str">
        <f t="shared" si="253"/>
        <v>Y</v>
      </c>
      <c r="E2358" t="s">
        <v>656</v>
      </c>
      <c r="F2358" t="str">
        <f t="shared" si="254"/>
        <v>SLOW_TEXT_5</v>
      </c>
      <c r="G2358">
        <f t="shared" si="255"/>
        <v>0</v>
      </c>
      <c r="H2358" t="s">
        <v>574</v>
      </c>
      <c r="I2358">
        <f t="shared" si="256"/>
        <v>0</v>
      </c>
      <c r="J2358" t="s">
        <v>564</v>
      </c>
      <c r="K2358" s="5">
        <v>5</v>
      </c>
      <c r="L2358" t="str">
        <f>Table_DataFromNL[[#This Row],[PROFILECODE]]&amp;"-"&amp;Table_DataFromNL[[#This Row],[RULENAME]]</f>
        <v>CP962-SLOW_TEXT_5</v>
      </c>
      <c r="M2358" t="e">
        <f t="shared" si="257"/>
        <v>#N/A</v>
      </c>
    </row>
    <row r="2359" spans="1:13" x14ac:dyDescent="0.25">
      <c r="A2359" t="str">
        <f t="shared" si="258"/>
        <v>CP962-Sample Only</v>
      </c>
      <c r="B2359" t="s">
        <v>66</v>
      </c>
      <c r="C2359" t="str">
        <f t="shared" si="252"/>
        <v>Palmview</v>
      </c>
      <c r="D2359" t="str">
        <f t="shared" si="253"/>
        <v>Y</v>
      </c>
      <c r="E2359" t="s">
        <v>656</v>
      </c>
      <c r="F2359" t="str">
        <f t="shared" si="254"/>
        <v>Sample Only</v>
      </c>
      <c r="G2359">
        <f t="shared" si="255"/>
        <v>0</v>
      </c>
      <c r="H2359" t="s">
        <v>575</v>
      </c>
      <c r="I2359">
        <f t="shared" si="256"/>
        <v>0</v>
      </c>
      <c r="J2359" t="s">
        <v>564</v>
      </c>
      <c r="K2359" s="5">
        <v>5</v>
      </c>
      <c r="L2359" t="str">
        <f>Table_DataFromNL[[#This Row],[PROFILECODE]]&amp;"-"&amp;Table_DataFromNL[[#This Row],[RULENAME]]</f>
        <v>CP962-Sample Only</v>
      </c>
      <c r="M2359" t="e">
        <f t="shared" si="257"/>
        <v>#N/A</v>
      </c>
    </row>
    <row r="2360" spans="1:13" x14ac:dyDescent="0.25">
      <c r="A2360" t="str">
        <f t="shared" si="258"/>
        <v>CP962-Unit Below 250 mL</v>
      </c>
      <c r="B2360" t="s">
        <v>66</v>
      </c>
      <c r="C2360" t="str">
        <f t="shared" si="252"/>
        <v>Palmview</v>
      </c>
      <c r="D2360" t="str">
        <f t="shared" si="253"/>
        <v>Y</v>
      </c>
      <c r="E2360" t="s">
        <v>656</v>
      </c>
      <c r="F2360" t="str">
        <f t="shared" si="254"/>
        <v>Unit Below 250 mL</v>
      </c>
      <c r="G2360">
        <f t="shared" si="255"/>
        <v>0</v>
      </c>
      <c r="H2360" t="s">
        <v>576</v>
      </c>
      <c r="I2360">
        <f t="shared" si="256"/>
        <v>0</v>
      </c>
      <c r="J2360" t="s">
        <v>564</v>
      </c>
      <c r="K2360" s="5">
        <v>5</v>
      </c>
      <c r="L2360" t="str">
        <f>Table_DataFromNL[[#This Row],[PROFILECODE]]&amp;"-"&amp;Table_DataFromNL[[#This Row],[RULENAME]]</f>
        <v>CP962-Unit Below 250 mL</v>
      </c>
      <c r="M2360" t="e">
        <f t="shared" si="257"/>
        <v>#N/A</v>
      </c>
    </row>
    <row r="2361" spans="1:13" x14ac:dyDescent="0.25">
      <c r="A2361" t="str">
        <f t="shared" si="258"/>
        <v>CP962-Unit above 250 mL/underdraw</v>
      </c>
      <c r="B2361" t="s">
        <v>66</v>
      </c>
      <c r="C2361" t="str">
        <f t="shared" si="252"/>
        <v>Palmview</v>
      </c>
      <c r="D2361" t="str">
        <f t="shared" si="253"/>
        <v>Y</v>
      </c>
      <c r="E2361" t="s">
        <v>656</v>
      </c>
      <c r="F2361" t="str">
        <f t="shared" si="254"/>
        <v>Unit above 250 mL/underdraw</v>
      </c>
      <c r="G2361">
        <f t="shared" si="255"/>
        <v>0</v>
      </c>
      <c r="H2361" t="s">
        <v>577</v>
      </c>
      <c r="I2361">
        <f t="shared" si="256"/>
        <v>0</v>
      </c>
      <c r="J2361" t="s">
        <v>564</v>
      </c>
      <c r="K2361" s="5">
        <v>10</v>
      </c>
      <c r="L2361" t="str">
        <f>Table_DataFromNL[[#This Row],[PROFILECODE]]&amp;"-"&amp;Table_DataFromNL[[#This Row],[RULENAME]]</f>
        <v>CP962-Unit above 250 mL/underdraw</v>
      </c>
      <c r="M2361" t="e">
        <f t="shared" si="257"/>
        <v>#N/A</v>
      </c>
    </row>
    <row r="2362" spans="1:13" x14ac:dyDescent="0.25">
      <c r="A2362" t="str">
        <f t="shared" si="258"/>
        <v>CP962-Vaccinia Immunization</v>
      </c>
      <c r="B2362" t="s">
        <v>66</v>
      </c>
      <c r="C2362" t="str">
        <f t="shared" si="252"/>
        <v>Palmview</v>
      </c>
      <c r="D2362" t="str">
        <f t="shared" si="253"/>
        <v>Y</v>
      </c>
      <c r="E2362" t="s">
        <v>656</v>
      </c>
      <c r="F2362" t="str">
        <f t="shared" si="254"/>
        <v>Vaccinia Immunization</v>
      </c>
      <c r="G2362">
        <f t="shared" si="255"/>
        <v>0</v>
      </c>
      <c r="H2362" t="s">
        <v>596</v>
      </c>
      <c r="I2362">
        <f t="shared" si="256"/>
        <v>0</v>
      </c>
      <c r="J2362" t="s">
        <v>564</v>
      </c>
      <c r="K2362" s="5">
        <v>100</v>
      </c>
      <c r="L2362" t="str">
        <f>Table_DataFromNL[[#This Row],[PROFILECODE]]&amp;"-"&amp;Table_DataFromNL[[#This Row],[RULENAME]]</f>
        <v>CP962-Vaccinia Immunization</v>
      </c>
      <c r="M2362" t="e">
        <f t="shared" si="257"/>
        <v>#N/A</v>
      </c>
    </row>
    <row r="2363" spans="1:13" x14ac:dyDescent="0.25">
      <c r="A2363" t="str">
        <f t="shared" si="258"/>
        <v>CP962-RETURN - Buddy referral  -BONUS</v>
      </c>
      <c r="B2363" t="s">
        <v>66</v>
      </c>
      <c r="C2363" t="str">
        <f t="shared" si="252"/>
        <v>Palmview</v>
      </c>
      <c r="D2363" t="str">
        <f t="shared" si="253"/>
        <v>Y</v>
      </c>
      <c r="E2363" t="s">
        <v>656</v>
      </c>
      <c r="F2363" t="str">
        <f t="shared" si="254"/>
        <v>RETURN - Buddy referral  -BONUS</v>
      </c>
      <c r="G2363" t="str">
        <f t="shared" si="255"/>
        <v>Marketing</v>
      </c>
      <c r="H2363" t="s">
        <v>34</v>
      </c>
      <c r="I2363">
        <f t="shared" si="256"/>
        <v>50</v>
      </c>
      <c r="J2363" t="s">
        <v>578</v>
      </c>
      <c r="K2363" s="5">
        <v>50</v>
      </c>
      <c r="L2363" t="str">
        <f>Table_DataFromNL[[#This Row],[PROFILECODE]]&amp;"-"&amp;Table_DataFromNL[[#This Row],[RULENAME]]</f>
        <v>CP962-Referral</v>
      </c>
      <c r="M2363" t="str">
        <f t="shared" si="257"/>
        <v>CP962-RETURN - Buddy referral  -BONUS</v>
      </c>
    </row>
    <row r="2364" spans="1:13" x14ac:dyDescent="0.25">
      <c r="A2364" t="str">
        <f t="shared" si="258"/>
        <v>CP962-P Anti-D Pre-Existing Standard</v>
      </c>
      <c r="B2364" t="s">
        <v>66</v>
      </c>
      <c r="C2364" t="str">
        <f t="shared" si="252"/>
        <v>Palmview</v>
      </c>
      <c r="D2364" t="str">
        <f t="shared" si="253"/>
        <v>Y</v>
      </c>
      <c r="E2364" t="s">
        <v>656</v>
      </c>
      <c r="F2364" t="str">
        <f t="shared" si="254"/>
        <v>P Anti-D Pre-Existing Standard</v>
      </c>
      <c r="G2364" t="str">
        <f t="shared" si="255"/>
        <v>Specialty</v>
      </c>
      <c r="H2364" t="s">
        <v>469</v>
      </c>
      <c r="I2364" t="str">
        <f t="shared" si="256"/>
        <v>RETURN - 1st don of the week -STD</v>
      </c>
      <c r="J2364" t="s">
        <v>579</v>
      </c>
      <c r="K2364" s="5">
        <v>50</v>
      </c>
      <c r="L2364" t="str">
        <f>Table_DataFromNL[[#This Row],[PROFILECODE]]&amp;"-"&amp;Table_DataFromNL[[#This Row],[RULENAME]]</f>
        <v>CP962-P Anti-D Pre-Existing Standard</v>
      </c>
      <c r="M2364" t="str">
        <f t="shared" si="257"/>
        <v>CP962-P Anti-D Pre-Existing Standard</v>
      </c>
    </row>
    <row r="2365" spans="1:13" x14ac:dyDescent="0.25">
      <c r="A2365" t="str">
        <f t="shared" si="258"/>
        <v>CP962-RETURN - 1st don of the week -STD</v>
      </c>
      <c r="B2365" t="s">
        <v>66</v>
      </c>
      <c r="C2365" t="str">
        <f t="shared" si="252"/>
        <v>Palmview</v>
      </c>
      <c r="D2365" t="str">
        <f t="shared" si="253"/>
        <v>Y</v>
      </c>
      <c r="E2365" t="s">
        <v>656</v>
      </c>
      <c r="F2365" t="str">
        <f t="shared" si="254"/>
        <v>RETURN - 1st don of the week -STD</v>
      </c>
      <c r="G2365" t="str">
        <f t="shared" si="255"/>
        <v>Marketing</v>
      </c>
      <c r="H2365" t="s">
        <v>583</v>
      </c>
      <c r="I2365">
        <f t="shared" si="256"/>
        <v>22</v>
      </c>
      <c r="J2365" t="s">
        <v>579</v>
      </c>
      <c r="K2365" s="5">
        <v>60</v>
      </c>
      <c r="L2365" t="str">
        <f>Table_DataFromNL[[#This Row],[PROFILECODE]]&amp;"-"&amp;Table_DataFromNL[[#This Row],[RULENAME]]</f>
        <v>CP962-P NSP NS AP Standard</v>
      </c>
      <c r="M2365" t="str">
        <f t="shared" si="257"/>
        <v>CP962-RETURN - 1st don of the week -STD</v>
      </c>
    </row>
    <row r="2366" spans="1:13" x14ac:dyDescent="0.25">
      <c r="A2366" t="str">
        <f t="shared" si="258"/>
        <v>CP962-RETURN - 1st don of the week -STD</v>
      </c>
      <c r="B2366" t="s">
        <v>66</v>
      </c>
      <c r="C2366" t="str">
        <f t="shared" si="252"/>
        <v>Palmview</v>
      </c>
      <c r="D2366" t="str">
        <f t="shared" si="253"/>
        <v>Y</v>
      </c>
      <c r="E2366" t="s">
        <v>656</v>
      </c>
      <c r="F2366" t="str">
        <f t="shared" si="254"/>
        <v>RETURN - 1st don of the week -STD</v>
      </c>
      <c r="G2366" t="str">
        <f t="shared" si="255"/>
        <v>Marketing</v>
      </c>
      <c r="H2366" t="s">
        <v>584</v>
      </c>
      <c r="I2366">
        <f t="shared" si="256"/>
        <v>23</v>
      </c>
      <c r="J2366" t="s">
        <v>579</v>
      </c>
      <c r="K2366" s="5">
        <v>60</v>
      </c>
      <c r="L2366" t="str">
        <f>Table_DataFromNL[[#This Row],[PROFILECODE]]&amp;"-"&amp;Table_DataFromNL[[#This Row],[RULENAME]]</f>
        <v>CP962-P NSP NS Standard</v>
      </c>
      <c r="M2366" t="str">
        <f t="shared" si="257"/>
        <v>CP962-RETURN - 1st don of the week -STD</v>
      </c>
    </row>
    <row r="2367" spans="1:13" x14ac:dyDescent="0.25">
      <c r="A2367" t="str">
        <f t="shared" si="258"/>
        <v>CP962-P VZV Pre-Existing AP</v>
      </c>
      <c r="B2367" t="s">
        <v>66</v>
      </c>
      <c r="C2367" t="str">
        <f t="shared" si="252"/>
        <v>Palmview</v>
      </c>
      <c r="D2367" t="str">
        <f t="shared" si="253"/>
        <v>Y</v>
      </c>
      <c r="E2367" t="s">
        <v>656</v>
      </c>
      <c r="F2367" t="str">
        <f t="shared" si="254"/>
        <v>P VZV Pre-Existing AP</v>
      </c>
      <c r="G2367" t="str">
        <f t="shared" si="255"/>
        <v>Specialty</v>
      </c>
      <c r="H2367" t="s">
        <v>495</v>
      </c>
      <c r="I2367" t="str">
        <f t="shared" si="256"/>
        <v>RETURN - 1st don of the week -STD</v>
      </c>
      <c r="J2367" t="s">
        <v>579</v>
      </c>
      <c r="K2367" s="5">
        <v>70</v>
      </c>
      <c r="L2367" t="str">
        <f>Table_DataFromNL[[#This Row],[PROFILECODE]]&amp;"-"&amp;Table_DataFromNL[[#This Row],[RULENAME]]</f>
        <v>CP962-P VZV Pre-Existing AP</v>
      </c>
      <c r="M2367" t="str">
        <f t="shared" si="257"/>
        <v>CP962-P VZV Pre-Existing AP</v>
      </c>
    </row>
    <row r="2368" spans="1:13" x14ac:dyDescent="0.25">
      <c r="A2368" t="str">
        <f t="shared" si="258"/>
        <v>CP962-P Vaccinia AP Standard</v>
      </c>
      <c r="B2368" t="s">
        <v>66</v>
      </c>
      <c r="C2368" t="str">
        <f t="shared" si="252"/>
        <v>Palmview</v>
      </c>
      <c r="D2368" t="str">
        <f t="shared" si="253"/>
        <v>Y</v>
      </c>
      <c r="E2368" t="s">
        <v>656</v>
      </c>
      <c r="F2368" t="str">
        <f t="shared" si="254"/>
        <v>P Vaccinia AP Standard</v>
      </c>
      <c r="G2368" t="str">
        <f t="shared" si="255"/>
        <v>Specialty</v>
      </c>
      <c r="H2368" t="s">
        <v>475</v>
      </c>
      <c r="I2368">
        <f t="shared" si="256"/>
        <v>0</v>
      </c>
      <c r="J2368" t="s">
        <v>579</v>
      </c>
      <c r="K2368" s="5">
        <v>100</v>
      </c>
      <c r="L2368" t="str">
        <f>Table_DataFromNL[[#This Row],[PROFILECODE]]&amp;"-"&amp;Table_DataFromNL[[#This Row],[RULENAME]]</f>
        <v>CP962-P Vaccinia AP Standard</v>
      </c>
      <c r="M2368" t="str">
        <f t="shared" si="257"/>
        <v>CP962-P Vaccinia AP Standard</v>
      </c>
    </row>
    <row r="2369" spans="1:13" x14ac:dyDescent="0.25">
      <c r="A2369" t="str">
        <f t="shared" si="258"/>
        <v>CP962-P Vaccinia Standard</v>
      </c>
      <c r="B2369" t="s">
        <v>66</v>
      </c>
      <c r="C2369" t="str">
        <f t="shared" si="252"/>
        <v>Palmview</v>
      </c>
      <c r="D2369" t="str">
        <f t="shared" si="253"/>
        <v>Y</v>
      </c>
      <c r="E2369" t="s">
        <v>656</v>
      </c>
      <c r="F2369" t="str">
        <f t="shared" si="254"/>
        <v>P Vaccinia Standard</v>
      </c>
      <c r="G2369" t="str">
        <f t="shared" si="255"/>
        <v>Specialty</v>
      </c>
      <c r="H2369" t="s">
        <v>476</v>
      </c>
      <c r="I2369">
        <f t="shared" si="256"/>
        <v>0</v>
      </c>
      <c r="J2369" t="s">
        <v>579</v>
      </c>
      <c r="K2369" s="5">
        <v>100</v>
      </c>
      <c r="L2369" t="str">
        <f>Table_DataFromNL[[#This Row],[PROFILECODE]]&amp;"-"&amp;Table_DataFromNL[[#This Row],[RULENAME]]</f>
        <v>CP962-P Vaccinia Standard</v>
      </c>
      <c r="M2369" t="str">
        <f t="shared" si="257"/>
        <v>CP962-P Vaccinia Standard</v>
      </c>
    </row>
    <row r="2370" spans="1:13" x14ac:dyDescent="0.25">
      <c r="A2370" t="str">
        <f t="shared" si="258"/>
        <v>CP962-PVZV Pre-Existing Standard</v>
      </c>
      <c r="B2370" t="s">
        <v>66</v>
      </c>
      <c r="C2370" t="str">
        <f t="shared" ref="C2370:C2433" si="259">VLOOKUP(B2370,CenterLU,2,FALSE)</f>
        <v>Palmview</v>
      </c>
      <c r="D2370" t="str">
        <f t="shared" ref="D2370:D2433" si="260">VLOOKUP(B2370,CenterLU,3,FALSE)</f>
        <v>Y</v>
      </c>
      <c r="E2370" t="s">
        <v>656</v>
      </c>
      <c r="F2370" t="str">
        <f t="shared" ref="F2370:F2433" si="261">IF(VLOOKUP(H2370,RULENAMELU,3,FALSE)=0,H2370,VLOOKUP(H2370,RULENAMELU,3,FALSE))</f>
        <v>PVZV Pre-Existing Standard</v>
      </c>
      <c r="G2370" t="str">
        <f t="shared" ref="G2370:G2433" si="262">VLOOKUP(H2370,RULENAMELU,4,FALSE)</f>
        <v>Specialty</v>
      </c>
      <c r="H2370" t="s">
        <v>497</v>
      </c>
      <c r="I2370" t="str">
        <f t="shared" ref="I2370:I2433" si="263">VLOOKUP(H2370,RULENAMELU,5,FALSE)</f>
        <v>RETURN - 1st don of the week -STD</v>
      </c>
      <c r="J2370" t="s">
        <v>579</v>
      </c>
      <c r="K2370" s="5">
        <v>70</v>
      </c>
      <c r="L2370" t="str">
        <f>Table_DataFromNL[[#This Row],[PROFILECODE]]&amp;"-"&amp;Table_DataFromNL[[#This Row],[RULENAME]]</f>
        <v>CP962-PVZV Pre-Existing Standard</v>
      </c>
      <c r="M2370" t="str">
        <f t="shared" ref="M2370:M2433" si="264">IFERROR(VLOOKUP(A2370,PaychangesLU,1,FALSE),VLOOKUP(A2370,SpecialtyCheckLU,1,FALSE))</f>
        <v>CP962-PVZV Pre-Existing Standard</v>
      </c>
    </row>
    <row r="2371" spans="1:13" x14ac:dyDescent="0.25">
      <c r="A2371" t="str">
        <f t="shared" ref="A2371:A2434" si="265">B2371&amp;"-"&amp;F2371</f>
        <v>CP534-1st Responder-Medical</v>
      </c>
      <c r="B2371" t="s">
        <v>308</v>
      </c>
      <c r="C2371" t="str">
        <f t="shared" si="259"/>
        <v>Pasadena</v>
      </c>
      <c r="D2371" t="str">
        <f t="shared" si="260"/>
        <v>Y</v>
      </c>
      <c r="E2371" t="s">
        <v>657</v>
      </c>
      <c r="F2371" t="str">
        <f t="shared" si="261"/>
        <v>1st Responder-Medical</v>
      </c>
      <c r="G2371">
        <f t="shared" si="262"/>
        <v>0</v>
      </c>
      <c r="H2371" t="s">
        <v>545</v>
      </c>
      <c r="I2371">
        <f t="shared" si="263"/>
        <v>0</v>
      </c>
      <c r="J2371" t="s">
        <v>546</v>
      </c>
      <c r="K2371" s="5">
        <v>5</v>
      </c>
      <c r="L2371" t="str">
        <f>Table_DataFromNL[[#This Row],[PROFILECODE]]&amp;"-"&amp;Table_DataFromNL[[#This Row],[RULENAME]]</f>
        <v>CP534-1st Responder-Medical</v>
      </c>
      <c r="M2371" t="e">
        <f t="shared" si="264"/>
        <v>#N/A</v>
      </c>
    </row>
    <row r="2372" spans="1:13" x14ac:dyDescent="0.25">
      <c r="A2372" t="str">
        <f t="shared" si="265"/>
        <v>CP534-RETURN - 2nd don of the week -BONUS</v>
      </c>
      <c r="B2372" t="s">
        <v>308</v>
      </c>
      <c r="C2372" t="str">
        <f t="shared" si="259"/>
        <v>Pasadena</v>
      </c>
      <c r="D2372" t="str">
        <f t="shared" si="260"/>
        <v>Y</v>
      </c>
      <c r="E2372" t="s">
        <v>657</v>
      </c>
      <c r="F2372" t="str">
        <f t="shared" si="261"/>
        <v>RETURN - 2nd don of the week -BONUS</v>
      </c>
      <c r="G2372" t="str">
        <f t="shared" si="262"/>
        <v>Marketing</v>
      </c>
      <c r="H2372" t="s">
        <v>550</v>
      </c>
      <c r="I2372">
        <f t="shared" si="263"/>
        <v>26</v>
      </c>
      <c r="J2372" t="s">
        <v>546</v>
      </c>
      <c r="K2372" s="5">
        <v>15</v>
      </c>
      <c r="L2372" t="str">
        <f>Table_DataFromNL[[#This Row],[PROFILECODE]]&amp;"-"&amp;Table_DataFromNL[[#This Row],[RULENAME]]</f>
        <v>CP534-2X Week P NSP NS</v>
      </c>
      <c r="M2372" t="str">
        <f t="shared" si="264"/>
        <v>CP534-RETURN - 2nd don of the week -BONUS</v>
      </c>
    </row>
    <row r="2373" spans="1:13" x14ac:dyDescent="0.25">
      <c r="A2373" t="str">
        <f t="shared" si="265"/>
        <v>CP534-RETURN - 2nd don of the week -BONUS</v>
      </c>
      <c r="B2373" t="s">
        <v>308</v>
      </c>
      <c r="C2373" t="str">
        <f t="shared" si="259"/>
        <v>Pasadena</v>
      </c>
      <c r="D2373" t="str">
        <f t="shared" si="260"/>
        <v>Y</v>
      </c>
      <c r="E2373" t="s">
        <v>657</v>
      </c>
      <c r="F2373" t="str">
        <f t="shared" si="261"/>
        <v>RETURN - 2nd don of the week -BONUS</v>
      </c>
      <c r="G2373" t="str">
        <f t="shared" si="262"/>
        <v>Marketing</v>
      </c>
      <c r="H2373" t="s">
        <v>551</v>
      </c>
      <c r="I2373" t="str">
        <f t="shared" si="263"/>
        <v>RETURN - 2nd don of the week -BONUS</v>
      </c>
      <c r="J2373" t="s">
        <v>546</v>
      </c>
      <c r="K2373" s="5">
        <v>15</v>
      </c>
      <c r="L2373" t="str">
        <f>Table_DataFromNL[[#This Row],[PROFILECODE]]&amp;"-"&amp;Table_DataFromNL[[#This Row],[RULENAME]]</f>
        <v>CP534-2X Week P NSP NS AP</v>
      </c>
      <c r="M2373" t="str">
        <f t="shared" si="264"/>
        <v>CP534-RETURN - 2nd don of the week -BONUS</v>
      </c>
    </row>
    <row r="2374" spans="1:13" x14ac:dyDescent="0.25">
      <c r="A2374" t="str">
        <f t="shared" si="265"/>
        <v>CP534-RETURN - 2nd don of the week -BONUS</v>
      </c>
      <c r="B2374" t="s">
        <v>308</v>
      </c>
      <c r="C2374" t="str">
        <f t="shared" si="259"/>
        <v>Pasadena</v>
      </c>
      <c r="D2374" t="str">
        <f t="shared" si="260"/>
        <v>Y</v>
      </c>
      <c r="E2374" t="s">
        <v>657</v>
      </c>
      <c r="F2374" t="str">
        <f t="shared" si="261"/>
        <v>RETURN - 2nd don of the week -BONUS</v>
      </c>
      <c r="G2374" t="str">
        <f t="shared" si="262"/>
        <v>Specialty</v>
      </c>
      <c r="H2374" t="s">
        <v>606</v>
      </c>
      <c r="I2374" t="str">
        <f t="shared" si="263"/>
        <v>RETURN - 2nd don of the week -BONUS</v>
      </c>
      <c r="J2374" t="s">
        <v>546</v>
      </c>
      <c r="K2374" s="5">
        <v>15</v>
      </c>
      <c r="L2374" t="str">
        <f>Table_DataFromNL[[#This Row],[PROFILECODE]]&amp;"-"&amp;Table_DataFromNL[[#This Row],[RULENAME]]</f>
        <v>CP534-2X Week P Normal Source PL</v>
      </c>
      <c r="M2374" t="str">
        <f t="shared" si="264"/>
        <v>CP534-RETURN - 2nd don of the week -BONUS</v>
      </c>
    </row>
    <row r="2375" spans="1:13" x14ac:dyDescent="0.25">
      <c r="A2375" t="str">
        <f t="shared" si="265"/>
        <v>CP534-RETURN - 6th don of the month -BONUS</v>
      </c>
      <c r="B2375" t="s">
        <v>308</v>
      </c>
      <c r="C2375" t="str">
        <f t="shared" si="259"/>
        <v>Pasadena</v>
      </c>
      <c r="D2375" t="str">
        <f t="shared" si="260"/>
        <v>Y</v>
      </c>
      <c r="E2375" t="s">
        <v>657</v>
      </c>
      <c r="F2375" t="str">
        <f t="shared" si="261"/>
        <v>RETURN - 6th don of the month -BONUS</v>
      </c>
      <c r="G2375" t="str">
        <f t="shared" si="262"/>
        <v>Marketing</v>
      </c>
      <c r="H2375" t="s">
        <v>552</v>
      </c>
      <c r="I2375">
        <f t="shared" si="263"/>
        <v>28</v>
      </c>
      <c r="J2375" t="s">
        <v>546</v>
      </c>
      <c r="K2375" s="5">
        <v>20</v>
      </c>
      <c r="L2375" t="str">
        <f>Table_DataFromNL[[#This Row],[PROFILECODE]]&amp;"-"&amp;Table_DataFromNL[[#This Row],[RULENAME]]</f>
        <v>CP534-6X Month</v>
      </c>
      <c r="M2375" t="str">
        <f t="shared" si="264"/>
        <v>CP534-RETURN - 6th don of the month -BONUS</v>
      </c>
    </row>
    <row r="2376" spans="1:13" x14ac:dyDescent="0.25">
      <c r="A2376" t="str">
        <f t="shared" si="265"/>
        <v>CP534-College ID Standard Bonus</v>
      </c>
      <c r="B2376" t="s">
        <v>308</v>
      </c>
      <c r="C2376" t="str">
        <f t="shared" si="259"/>
        <v>Pasadena</v>
      </c>
      <c r="D2376" t="str">
        <f t="shared" si="260"/>
        <v>Y</v>
      </c>
      <c r="E2376" t="s">
        <v>657</v>
      </c>
      <c r="F2376" t="str">
        <f t="shared" si="261"/>
        <v>College ID Standard Bonus</v>
      </c>
      <c r="G2376">
        <f t="shared" si="262"/>
        <v>0</v>
      </c>
      <c r="H2376" t="s">
        <v>553</v>
      </c>
      <c r="I2376">
        <f t="shared" si="263"/>
        <v>0</v>
      </c>
      <c r="J2376" t="s">
        <v>546</v>
      </c>
      <c r="K2376" s="5">
        <v>5</v>
      </c>
      <c r="L2376" t="str">
        <f>Table_DataFromNL[[#This Row],[PROFILECODE]]&amp;"-"&amp;Table_DataFromNL[[#This Row],[RULENAME]]</f>
        <v>CP534-College ID Standard Bonus</v>
      </c>
      <c r="M2376" t="e">
        <f t="shared" si="264"/>
        <v>#N/A</v>
      </c>
    </row>
    <row r="2377" spans="1:13" x14ac:dyDescent="0.25">
      <c r="A2377" t="str">
        <f t="shared" si="265"/>
        <v>CP534-Military ID</v>
      </c>
      <c r="B2377" t="s">
        <v>308</v>
      </c>
      <c r="C2377" t="str">
        <f t="shared" si="259"/>
        <v>Pasadena</v>
      </c>
      <c r="D2377" t="str">
        <f t="shared" si="260"/>
        <v>Y</v>
      </c>
      <c r="E2377" t="s">
        <v>657</v>
      </c>
      <c r="F2377" t="str">
        <f t="shared" si="261"/>
        <v>Military ID</v>
      </c>
      <c r="G2377">
        <f t="shared" si="262"/>
        <v>0</v>
      </c>
      <c r="H2377" t="s">
        <v>554</v>
      </c>
      <c r="I2377">
        <f t="shared" si="263"/>
        <v>0</v>
      </c>
      <c r="J2377" t="s">
        <v>546</v>
      </c>
      <c r="K2377" s="5">
        <v>5</v>
      </c>
      <c r="L2377" t="str">
        <f>Table_DataFromNL[[#This Row],[PROFILECODE]]&amp;"-"&amp;Table_DataFromNL[[#This Row],[RULENAME]]</f>
        <v>CP534-Military ID</v>
      </c>
      <c r="M2377" t="e">
        <f t="shared" si="264"/>
        <v>#N/A</v>
      </c>
    </row>
    <row r="2378" spans="1:13" x14ac:dyDescent="0.25">
      <c r="A2378" t="str">
        <f t="shared" si="265"/>
        <v>CP534-NEW DONOR -1st</v>
      </c>
      <c r="B2378" t="s">
        <v>308</v>
      </c>
      <c r="C2378" t="str">
        <f t="shared" si="259"/>
        <v>Pasadena</v>
      </c>
      <c r="D2378" t="str">
        <f t="shared" si="260"/>
        <v>Y</v>
      </c>
      <c r="E2378" t="s">
        <v>657</v>
      </c>
      <c r="F2378" t="str">
        <f t="shared" si="261"/>
        <v>NEW DONOR -1st</v>
      </c>
      <c r="G2378" t="str">
        <f t="shared" si="262"/>
        <v>Marketing</v>
      </c>
      <c r="H2378" t="s">
        <v>555</v>
      </c>
      <c r="I2378">
        <f t="shared" si="263"/>
        <v>1</v>
      </c>
      <c r="J2378" t="s">
        <v>546</v>
      </c>
      <c r="K2378" s="5">
        <v>100</v>
      </c>
      <c r="L2378" t="str">
        <f>Table_DataFromNL[[#This Row],[PROFILECODE]]&amp;"-"&amp;Table_DataFromNL[[#This Row],[RULENAME]]</f>
        <v>CP534-New Donor 1st Visit-Bonus</v>
      </c>
      <c r="M2378" t="str">
        <f t="shared" si="264"/>
        <v>CP534-NEW DONOR -1st</v>
      </c>
    </row>
    <row r="2379" spans="1:13" x14ac:dyDescent="0.25">
      <c r="A2379" t="str">
        <f t="shared" si="265"/>
        <v>CP534-NEW DONOR -2nd</v>
      </c>
      <c r="B2379" t="s">
        <v>308</v>
      </c>
      <c r="C2379" t="str">
        <f t="shared" si="259"/>
        <v>Pasadena</v>
      </c>
      <c r="D2379" t="str">
        <f t="shared" si="260"/>
        <v>Y</v>
      </c>
      <c r="E2379" t="s">
        <v>657</v>
      </c>
      <c r="F2379" t="str">
        <f t="shared" si="261"/>
        <v>NEW DONOR -2nd</v>
      </c>
      <c r="G2379" t="str">
        <f t="shared" si="262"/>
        <v>Marketing</v>
      </c>
      <c r="H2379" t="s">
        <v>556</v>
      </c>
      <c r="I2379">
        <f t="shared" si="263"/>
        <v>2</v>
      </c>
      <c r="J2379" t="s">
        <v>546</v>
      </c>
      <c r="K2379" s="5">
        <v>100</v>
      </c>
      <c r="L2379" t="str">
        <f>Table_DataFromNL[[#This Row],[PROFILECODE]]&amp;"-"&amp;Table_DataFromNL[[#This Row],[RULENAME]]</f>
        <v>CP534-New Donor 2nd Visit-Bonus</v>
      </c>
      <c r="M2379" t="str">
        <f t="shared" si="264"/>
        <v>CP534-NEW DONOR -2nd</v>
      </c>
    </row>
    <row r="2380" spans="1:13" x14ac:dyDescent="0.25">
      <c r="A2380" t="str">
        <f t="shared" si="265"/>
        <v>CP534-NEW DONOR -3rd</v>
      </c>
      <c r="B2380" t="s">
        <v>308</v>
      </c>
      <c r="C2380" t="str">
        <f t="shared" si="259"/>
        <v>Pasadena</v>
      </c>
      <c r="D2380" t="str">
        <f t="shared" si="260"/>
        <v>Y</v>
      </c>
      <c r="E2380" t="s">
        <v>657</v>
      </c>
      <c r="F2380" t="str">
        <f t="shared" si="261"/>
        <v>NEW DONOR -3rd</v>
      </c>
      <c r="G2380" t="str">
        <f t="shared" si="262"/>
        <v>Marketing</v>
      </c>
      <c r="H2380" t="s">
        <v>557</v>
      </c>
      <c r="I2380">
        <f t="shared" si="263"/>
        <v>3</v>
      </c>
      <c r="J2380" t="s">
        <v>546</v>
      </c>
      <c r="K2380" s="5">
        <v>100</v>
      </c>
      <c r="L2380" t="str">
        <f>Table_DataFromNL[[#This Row],[PROFILECODE]]&amp;"-"&amp;Table_DataFromNL[[#This Row],[RULENAME]]</f>
        <v>CP534-New Donor 3rd Visit-Bonus</v>
      </c>
      <c r="M2380" t="str">
        <f t="shared" si="264"/>
        <v>CP534-NEW DONOR -3rd</v>
      </c>
    </row>
    <row r="2381" spans="1:13" x14ac:dyDescent="0.25">
      <c r="A2381" t="str">
        <f t="shared" si="265"/>
        <v>CP534-NEW DONOR -4th</v>
      </c>
      <c r="B2381" t="s">
        <v>308</v>
      </c>
      <c r="C2381" t="str">
        <f t="shared" si="259"/>
        <v>Pasadena</v>
      </c>
      <c r="D2381" t="str">
        <f t="shared" si="260"/>
        <v>Y</v>
      </c>
      <c r="E2381" t="s">
        <v>657</v>
      </c>
      <c r="F2381" t="str">
        <f t="shared" si="261"/>
        <v>NEW DONOR -4th</v>
      </c>
      <c r="G2381" t="str">
        <f t="shared" si="262"/>
        <v>Marketing</v>
      </c>
      <c r="H2381" t="s">
        <v>558</v>
      </c>
      <c r="I2381">
        <f t="shared" si="263"/>
        <v>4</v>
      </c>
      <c r="J2381" t="s">
        <v>546</v>
      </c>
      <c r="K2381" s="5">
        <v>100</v>
      </c>
      <c r="L2381" t="str">
        <f>Table_DataFromNL[[#This Row],[PROFILECODE]]&amp;"-"&amp;Table_DataFromNL[[#This Row],[RULENAME]]</f>
        <v>CP534-New Donor 4th Visit-Bonus</v>
      </c>
      <c r="M2381" t="str">
        <f t="shared" si="264"/>
        <v>CP534-NEW DONOR -4th</v>
      </c>
    </row>
    <row r="2382" spans="1:13" x14ac:dyDescent="0.25">
      <c r="A2382" t="str">
        <f t="shared" si="265"/>
        <v>CP534-NEW DONOR -5th</v>
      </c>
      <c r="B2382" t="s">
        <v>308</v>
      </c>
      <c r="C2382" t="str">
        <f t="shared" si="259"/>
        <v>Pasadena</v>
      </c>
      <c r="D2382" t="str">
        <f t="shared" si="260"/>
        <v>Y</v>
      </c>
      <c r="E2382" t="s">
        <v>657</v>
      </c>
      <c r="F2382" t="str">
        <f t="shared" si="261"/>
        <v>NEW DONOR -5th</v>
      </c>
      <c r="G2382" t="str">
        <f t="shared" si="262"/>
        <v>Marketing</v>
      </c>
      <c r="H2382" t="s">
        <v>559</v>
      </c>
      <c r="I2382">
        <f t="shared" si="263"/>
        <v>5</v>
      </c>
      <c r="J2382" t="s">
        <v>546</v>
      </c>
      <c r="K2382" s="5">
        <v>45</v>
      </c>
      <c r="L2382" t="str">
        <f>Table_DataFromNL[[#This Row],[PROFILECODE]]&amp;"-"&amp;Table_DataFromNL[[#This Row],[RULENAME]]</f>
        <v>CP534-New Donor 5th Visit-Bonus</v>
      </c>
      <c r="M2382" t="str">
        <f t="shared" si="264"/>
        <v>CP534-NEW DONOR -5th</v>
      </c>
    </row>
    <row r="2383" spans="1:13" x14ac:dyDescent="0.25">
      <c r="A2383" t="str">
        <f t="shared" si="265"/>
        <v>CP534-NEW DONOR -6th</v>
      </c>
      <c r="B2383" t="s">
        <v>308</v>
      </c>
      <c r="C2383" t="str">
        <f t="shared" si="259"/>
        <v>Pasadena</v>
      </c>
      <c r="D2383" t="str">
        <f t="shared" si="260"/>
        <v>Y</v>
      </c>
      <c r="E2383" t="s">
        <v>657</v>
      </c>
      <c r="F2383" t="str">
        <f t="shared" si="261"/>
        <v>NEW DONOR -6th</v>
      </c>
      <c r="G2383" t="str">
        <f t="shared" si="262"/>
        <v>Marketing</v>
      </c>
      <c r="H2383" t="s">
        <v>560</v>
      </c>
      <c r="I2383">
        <f t="shared" si="263"/>
        <v>6</v>
      </c>
      <c r="J2383" t="s">
        <v>546</v>
      </c>
      <c r="K2383" s="5">
        <v>45</v>
      </c>
      <c r="L2383" t="str">
        <f>Table_DataFromNL[[#This Row],[PROFILECODE]]&amp;"-"&amp;Table_DataFromNL[[#This Row],[RULENAME]]</f>
        <v>CP534-New Donor 6th Visit-Bonus</v>
      </c>
      <c r="M2383" t="str">
        <f t="shared" si="264"/>
        <v>CP534-NEW DONOR -6th</v>
      </c>
    </row>
    <row r="2384" spans="1:13" x14ac:dyDescent="0.25">
      <c r="A2384" t="str">
        <f t="shared" si="265"/>
        <v>CP534-NEW DONOR -7th</v>
      </c>
      <c r="B2384" t="s">
        <v>308</v>
      </c>
      <c r="C2384" t="str">
        <f t="shared" si="259"/>
        <v>Pasadena</v>
      </c>
      <c r="D2384" t="str">
        <f t="shared" si="260"/>
        <v>Y</v>
      </c>
      <c r="E2384" t="s">
        <v>657</v>
      </c>
      <c r="F2384" t="str">
        <f t="shared" si="261"/>
        <v>NEW DONOR -7th</v>
      </c>
      <c r="G2384" t="str">
        <f t="shared" si="262"/>
        <v>Marketing</v>
      </c>
      <c r="H2384" t="s">
        <v>561</v>
      </c>
      <c r="I2384">
        <f t="shared" si="263"/>
        <v>7</v>
      </c>
      <c r="J2384" t="s">
        <v>546</v>
      </c>
      <c r="K2384" s="5">
        <v>45</v>
      </c>
      <c r="L2384" t="str">
        <f>Table_DataFromNL[[#This Row],[PROFILECODE]]&amp;"-"&amp;Table_DataFromNL[[#This Row],[RULENAME]]</f>
        <v>CP534-New Donor 7th Visit-Bonus</v>
      </c>
      <c r="M2384" t="str">
        <f t="shared" si="264"/>
        <v>CP534-NEW DONOR -7th</v>
      </c>
    </row>
    <row r="2385" spans="1:13" x14ac:dyDescent="0.25">
      <c r="A2385" t="str">
        <f t="shared" si="265"/>
        <v>CP534-NEW DONOR -8th</v>
      </c>
      <c r="B2385" t="s">
        <v>308</v>
      </c>
      <c r="C2385" t="str">
        <f t="shared" si="259"/>
        <v>Pasadena</v>
      </c>
      <c r="D2385" t="str">
        <f t="shared" si="260"/>
        <v>Y</v>
      </c>
      <c r="E2385" t="s">
        <v>657</v>
      </c>
      <c r="F2385" t="str">
        <f t="shared" si="261"/>
        <v>NEW DONOR -8th</v>
      </c>
      <c r="G2385" t="str">
        <f t="shared" si="262"/>
        <v>Marketing</v>
      </c>
      <c r="H2385" t="s">
        <v>562</v>
      </c>
      <c r="I2385">
        <f t="shared" si="263"/>
        <v>8</v>
      </c>
      <c r="J2385" t="s">
        <v>546</v>
      </c>
      <c r="K2385" s="5">
        <v>45</v>
      </c>
      <c r="L2385" t="str">
        <f>Table_DataFromNL[[#This Row],[PROFILECODE]]&amp;"-"&amp;Table_DataFromNL[[#This Row],[RULENAME]]</f>
        <v>CP534-New Donor 8th Visit-Bonus</v>
      </c>
      <c r="M2385" t="str">
        <f t="shared" si="264"/>
        <v>CP534-NEW DONOR -8th</v>
      </c>
    </row>
    <row r="2386" spans="1:13" x14ac:dyDescent="0.25">
      <c r="A2386" t="str">
        <f t="shared" si="265"/>
        <v>CP534-Community</v>
      </c>
      <c r="B2386" t="s">
        <v>308</v>
      </c>
      <c r="C2386" t="str">
        <f t="shared" si="259"/>
        <v>Pasadena</v>
      </c>
      <c r="D2386" t="str">
        <f t="shared" si="260"/>
        <v>Y</v>
      </c>
      <c r="E2386" t="s">
        <v>657</v>
      </c>
      <c r="F2386" t="str">
        <f t="shared" si="261"/>
        <v>Community</v>
      </c>
      <c r="G2386">
        <f t="shared" si="262"/>
        <v>0</v>
      </c>
      <c r="H2386" t="s">
        <v>563</v>
      </c>
      <c r="I2386">
        <f t="shared" si="263"/>
        <v>0</v>
      </c>
      <c r="J2386" t="s">
        <v>564</v>
      </c>
      <c r="K2386" s="5">
        <v>5</v>
      </c>
      <c r="L2386" t="str">
        <f>Table_DataFromNL[[#This Row],[PROFILECODE]]&amp;"-"&amp;Table_DataFromNL[[#This Row],[RULENAME]]</f>
        <v>CP534-Community</v>
      </c>
      <c r="M2386" t="e">
        <f t="shared" si="264"/>
        <v>#N/A</v>
      </c>
    </row>
    <row r="2387" spans="1:13" x14ac:dyDescent="0.25">
      <c r="A2387" t="str">
        <f t="shared" si="265"/>
        <v>CP534-HANGER_RECRUIT_5USD_once</v>
      </c>
      <c r="B2387" t="s">
        <v>308</v>
      </c>
      <c r="C2387" t="str">
        <f t="shared" si="259"/>
        <v>Pasadena</v>
      </c>
      <c r="D2387" t="str">
        <f t="shared" si="260"/>
        <v>Y</v>
      </c>
      <c r="E2387" t="s">
        <v>657</v>
      </c>
      <c r="F2387" t="str">
        <f t="shared" si="261"/>
        <v>HANGER_RECRUIT_5USD_once</v>
      </c>
      <c r="G2387">
        <f t="shared" si="262"/>
        <v>0</v>
      </c>
      <c r="H2387" t="s">
        <v>565</v>
      </c>
      <c r="I2387">
        <f t="shared" si="263"/>
        <v>0</v>
      </c>
      <c r="J2387" t="s">
        <v>564</v>
      </c>
      <c r="K2387" s="5">
        <v>5</v>
      </c>
      <c r="L2387" t="str">
        <f>Table_DataFromNL[[#This Row],[PROFILECODE]]&amp;"-"&amp;Table_DataFromNL[[#This Row],[RULENAME]]</f>
        <v>CP534-HANGER_RECRUIT_5USD_once</v>
      </c>
      <c r="M2387" t="e">
        <f t="shared" si="264"/>
        <v>#N/A</v>
      </c>
    </row>
    <row r="2388" spans="1:13" x14ac:dyDescent="0.25">
      <c r="A2388" t="str">
        <f t="shared" si="265"/>
        <v>CP534-Inconv Fee $20-$50-Comment Req'd</v>
      </c>
      <c r="B2388" t="s">
        <v>308</v>
      </c>
      <c r="C2388" t="str">
        <f t="shared" si="259"/>
        <v>Pasadena</v>
      </c>
      <c r="D2388" t="str">
        <f t="shared" si="260"/>
        <v>Y</v>
      </c>
      <c r="E2388" t="s">
        <v>657</v>
      </c>
      <c r="F2388" t="str">
        <f t="shared" si="261"/>
        <v>Inconv Fee $20-$50-Comment Req'd</v>
      </c>
      <c r="G2388">
        <f t="shared" si="262"/>
        <v>0</v>
      </c>
      <c r="H2388" t="s">
        <v>566</v>
      </c>
      <c r="I2388">
        <f t="shared" si="263"/>
        <v>0</v>
      </c>
      <c r="J2388" t="s">
        <v>564</v>
      </c>
      <c r="K2388" s="5">
        <v>50</v>
      </c>
      <c r="L2388" t="str">
        <f>Table_DataFromNL[[#This Row],[PROFILECODE]]&amp;"-"&amp;Table_DataFromNL[[#This Row],[RULENAME]]</f>
        <v>CP534-Inconv Fee $20-$50-Comment Req'd</v>
      </c>
      <c r="M2388" t="e">
        <f t="shared" si="264"/>
        <v>#N/A</v>
      </c>
    </row>
    <row r="2389" spans="1:13" x14ac:dyDescent="0.25">
      <c r="A2389" t="str">
        <f t="shared" si="265"/>
        <v>CP534-Inconv Fee $5-$20-Comment Req'd</v>
      </c>
      <c r="B2389" t="s">
        <v>308</v>
      </c>
      <c r="C2389" t="str">
        <f t="shared" si="259"/>
        <v>Pasadena</v>
      </c>
      <c r="D2389" t="str">
        <f t="shared" si="260"/>
        <v>Y</v>
      </c>
      <c r="E2389" t="s">
        <v>657</v>
      </c>
      <c r="F2389" t="str">
        <f t="shared" si="261"/>
        <v>Inconv Fee $5-$20-Comment Req'd</v>
      </c>
      <c r="G2389">
        <f t="shared" si="262"/>
        <v>0</v>
      </c>
      <c r="H2389" t="s">
        <v>567</v>
      </c>
      <c r="I2389">
        <f t="shared" si="263"/>
        <v>0</v>
      </c>
      <c r="J2389" t="s">
        <v>564</v>
      </c>
      <c r="K2389" s="5">
        <v>20</v>
      </c>
      <c r="L2389" t="str">
        <f>Table_DataFromNL[[#This Row],[PROFILECODE]]&amp;"-"&amp;Table_DataFromNL[[#This Row],[RULENAME]]</f>
        <v>CP534-Inconv Fee $5-$20-Comment Req'd</v>
      </c>
      <c r="M2389" t="e">
        <f t="shared" si="264"/>
        <v>#N/A</v>
      </c>
    </row>
    <row r="2390" spans="1:13" x14ac:dyDescent="0.25">
      <c r="A2390" t="str">
        <f t="shared" si="265"/>
        <v>CP534-Inconv Fee$50-$100-Comment Req'd</v>
      </c>
      <c r="B2390" t="s">
        <v>308</v>
      </c>
      <c r="C2390" t="str">
        <f t="shared" si="259"/>
        <v>Pasadena</v>
      </c>
      <c r="D2390" t="str">
        <f t="shared" si="260"/>
        <v>Y</v>
      </c>
      <c r="E2390" t="s">
        <v>657</v>
      </c>
      <c r="F2390" t="str">
        <f t="shared" si="261"/>
        <v>Inconv Fee$50-$100-Comment Req'd</v>
      </c>
      <c r="G2390">
        <f t="shared" si="262"/>
        <v>0</v>
      </c>
      <c r="H2390" t="s">
        <v>568</v>
      </c>
      <c r="I2390">
        <f t="shared" si="263"/>
        <v>0</v>
      </c>
      <c r="J2390" t="s">
        <v>564</v>
      </c>
      <c r="K2390" s="5">
        <v>100</v>
      </c>
      <c r="L2390" t="str">
        <f>Table_DataFromNL[[#This Row],[PROFILECODE]]&amp;"-"&amp;Table_DataFromNL[[#This Row],[RULENAME]]</f>
        <v>CP534-Inconv Fee$50-$100-Comment Req'd</v>
      </c>
      <c r="M2390" t="e">
        <f t="shared" si="264"/>
        <v>#N/A</v>
      </c>
    </row>
    <row r="2391" spans="1:13" x14ac:dyDescent="0.25">
      <c r="A2391" t="str">
        <f t="shared" si="265"/>
        <v>CP534-MONDAY_COUPON_RETENTION_10_once</v>
      </c>
      <c r="B2391" t="s">
        <v>308</v>
      </c>
      <c r="C2391" t="str">
        <f t="shared" si="259"/>
        <v>Pasadena</v>
      </c>
      <c r="D2391" t="str">
        <f t="shared" si="260"/>
        <v>Y</v>
      </c>
      <c r="E2391" t="s">
        <v>657</v>
      </c>
      <c r="F2391" t="str">
        <f t="shared" si="261"/>
        <v>MONDAY_COUPON_RETENTION_10_once</v>
      </c>
      <c r="G2391">
        <f t="shared" si="262"/>
        <v>0</v>
      </c>
      <c r="H2391" t="s">
        <v>594</v>
      </c>
      <c r="I2391">
        <f t="shared" si="263"/>
        <v>0</v>
      </c>
      <c r="J2391" t="s">
        <v>564</v>
      </c>
      <c r="K2391" s="5">
        <v>10</v>
      </c>
      <c r="L2391" t="str">
        <f>Table_DataFromNL[[#This Row],[PROFILECODE]]&amp;"-"&amp;Table_DataFromNL[[#This Row],[RULENAME]]</f>
        <v>CP534-MONDAY_COUPON_RETENTION_10_once</v>
      </c>
      <c r="M2391" t="e">
        <f t="shared" si="264"/>
        <v>#N/A</v>
      </c>
    </row>
    <row r="2392" spans="1:13" x14ac:dyDescent="0.25">
      <c r="A2392" t="str">
        <f t="shared" si="265"/>
        <v>CP534-NSP_ LAPSEDONOR_50_Twice</v>
      </c>
      <c r="B2392" t="s">
        <v>308</v>
      </c>
      <c r="C2392" t="str">
        <f t="shared" si="259"/>
        <v>Pasadena</v>
      </c>
      <c r="D2392" t="str">
        <f t="shared" si="260"/>
        <v>Y</v>
      </c>
      <c r="E2392" t="s">
        <v>657</v>
      </c>
      <c r="F2392" t="str">
        <f t="shared" si="261"/>
        <v>NSP_ LAPSEDONOR_50_Twice</v>
      </c>
      <c r="G2392">
        <f t="shared" si="262"/>
        <v>0</v>
      </c>
      <c r="H2392" t="s">
        <v>569</v>
      </c>
      <c r="I2392">
        <f t="shared" si="263"/>
        <v>0</v>
      </c>
      <c r="J2392" t="s">
        <v>564</v>
      </c>
      <c r="K2392" s="5">
        <v>50</v>
      </c>
      <c r="L2392" t="str">
        <f>Table_DataFromNL[[#This Row],[PROFILECODE]]&amp;"-"&amp;Table_DataFromNL[[#This Row],[RULENAME]]</f>
        <v>CP534-NSP_ LAPSEDONOR_50_Twice</v>
      </c>
      <c r="M2392" t="e">
        <f t="shared" si="264"/>
        <v>#N/A</v>
      </c>
    </row>
    <row r="2393" spans="1:13" x14ac:dyDescent="0.25">
      <c r="A2393" t="str">
        <f t="shared" si="265"/>
        <v>CP534-NSP_LD_25_2X</v>
      </c>
      <c r="B2393" t="s">
        <v>308</v>
      </c>
      <c r="C2393" t="str">
        <f t="shared" si="259"/>
        <v>Pasadena</v>
      </c>
      <c r="D2393" t="str">
        <f t="shared" si="260"/>
        <v>Y</v>
      </c>
      <c r="E2393" t="s">
        <v>657</v>
      </c>
      <c r="F2393" t="str">
        <f t="shared" si="261"/>
        <v>NSP_LD_25_2X</v>
      </c>
      <c r="G2393">
        <f t="shared" si="262"/>
        <v>0</v>
      </c>
      <c r="H2393" t="s">
        <v>570</v>
      </c>
      <c r="I2393">
        <f t="shared" si="263"/>
        <v>0</v>
      </c>
      <c r="J2393" t="s">
        <v>564</v>
      </c>
      <c r="K2393" s="5">
        <v>25</v>
      </c>
      <c r="L2393" t="str">
        <f>Table_DataFromNL[[#This Row],[PROFILECODE]]&amp;"-"&amp;Table_DataFromNL[[#This Row],[RULENAME]]</f>
        <v>CP534-NSP_LD_25_2X</v>
      </c>
      <c r="M2393" t="e">
        <f t="shared" si="264"/>
        <v>#N/A</v>
      </c>
    </row>
    <row r="2394" spans="1:13" x14ac:dyDescent="0.25">
      <c r="A2394" t="str">
        <f t="shared" si="265"/>
        <v>CP534-NSP_LD_50_1X</v>
      </c>
      <c r="B2394" t="s">
        <v>308</v>
      </c>
      <c r="C2394" t="str">
        <f t="shared" si="259"/>
        <v>Pasadena</v>
      </c>
      <c r="D2394" t="str">
        <f t="shared" si="260"/>
        <v>Y</v>
      </c>
      <c r="E2394" t="s">
        <v>657</v>
      </c>
      <c r="F2394" t="str">
        <f t="shared" si="261"/>
        <v>NSP_LD_50_1X</v>
      </c>
      <c r="G2394">
        <f t="shared" si="262"/>
        <v>0</v>
      </c>
      <c r="H2394" t="s">
        <v>571</v>
      </c>
      <c r="I2394">
        <f t="shared" si="263"/>
        <v>0</v>
      </c>
      <c r="J2394" t="s">
        <v>564</v>
      </c>
      <c r="K2394" s="5">
        <v>50</v>
      </c>
      <c r="L2394" t="str">
        <f>Table_DataFromNL[[#This Row],[PROFILECODE]]&amp;"-"&amp;Table_DataFromNL[[#This Row],[RULENAME]]</f>
        <v>CP534-NSP_LD_50_1X</v>
      </c>
      <c r="M2394" t="e">
        <f t="shared" si="264"/>
        <v>#N/A</v>
      </c>
    </row>
    <row r="2395" spans="1:13" x14ac:dyDescent="0.25">
      <c r="A2395" t="str">
        <f t="shared" si="265"/>
        <v>CP534-NSP_ORPHAN_100_once</v>
      </c>
      <c r="B2395" t="s">
        <v>308</v>
      </c>
      <c r="C2395" t="str">
        <f t="shared" si="259"/>
        <v>Pasadena</v>
      </c>
      <c r="D2395" t="str">
        <f t="shared" si="260"/>
        <v>Y</v>
      </c>
      <c r="E2395" t="s">
        <v>657</v>
      </c>
      <c r="F2395" t="str">
        <f t="shared" si="261"/>
        <v>NSP_ORPHAN_100_once</v>
      </c>
      <c r="G2395">
        <f t="shared" si="262"/>
        <v>0</v>
      </c>
      <c r="H2395" t="s">
        <v>572</v>
      </c>
      <c r="I2395">
        <f t="shared" si="263"/>
        <v>0</v>
      </c>
      <c r="J2395" t="s">
        <v>564</v>
      </c>
      <c r="K2395" s="5">
        <v>100</v>
      </c>
      <c r="L2395" t="str">
        <f>Table_DataFromNL[[#This Row],[PROFILECODE]]&amp;"-"&amp;Table_DataFromNL[[#This Row],[RULENAME]]</f>
        <v>CP534-NSP_ORPHAN_100_once</v>
      </c>
      <c r="M2395" t="e">
        <f t="shared" si="264"/>
        <v>#N/A</v>
      </c>
    </row>
    <row r="2396" spans="1:13" x14ac:dyDescent="0.25">
      <c r="A2396" t="str">
        <f t="shared" si="265"/>
        <v>CP534-Restick</v>
      </c>
      <c r="B2396" t="s">
        <v>308</v>
      </c>
      <c r="C2396" t="str">
        <f t="shared" si="259"/>
        <v>Pasadena</v>
      </c>
      <c r="D2396" t="str">
        <f t="shared" si="260"/>
        <v>Y</v>
      </c>
      <c r="E2396" t="s">
        <v>657</v>
      </c>
      <c r="F2396" t="str">
        <f t="shared" si="261"/>
        <v>Restick</v>
      </c>
      <c r="G2396">
        <f t="shared" si="262"/>
        <v>0</v>
      </c>
      <c r="H2396" t="s">
        <v>573</v>
      </c>
      <c r="I2396">
        <f t="shared" si="263"/>
        <v>0</v>
      </c>
      <c r="J2396" t="s">
        <v>564</v>
      </c>
      <c r="K2396" s="5">
        <v>5</v>
      </c>
      <c r="L2396" t="str">
        <f>Table_DataFromNL[[#This Row],[PROFILECODE]]&amp;"-"&amp;Table_DataFromNL[[#This Row],[RULENAME]]</f>
        <v>CP534-Restick</v>
      </c>
      <c r="M2396" t="e">
        <f t="shared" si="264"/>
        <v>#N/A</v>
      </c>
    </row>
    <row r="2397" spans="1:13" x14ac:dyDescent="0.25">
      <c r="A2397" t="str">
        <f t="shared" si="265"/>
        <v>CP534-SCRATCH_100_USD</v>
      </c>
      <c r="B2397" t="s">
        <v>308</v>
      </c>
      <c r="C2397" t="str">
        <f t="shared" si="259"/>
        <v>Pasadena</v>
      </c>
      <c r="D2397" t="str">
        <f t="shared" si="260"/>
        <v>Y</v>
      </c>
      <c r="E2397" t="s">
        <v>657</v>
      </c>
      <c r="F2397" t="str">
        <f t="shared" si="261"/>
        <v>SCRATCH_100_USD</v>
      </c>
      <c r="G2397">
        <f t="shared" si="262"/>
        <v>0</v>
      </c>
      <c r="H2397" t="s">
        <v>586</v>
      </c>
      <c r="I2397">
        <f t="shared" si="263"/>
        <v>0</v>
      </c>
      <c r="J2397" t="s">
        <v>564</v>
      </c>
      <c r="K2397" s="5">
        <v>100</v>
      </c>
      <c r="L2397" t="str">
        <f>Table_DataFromNL[[#This Row],[PROFILECODE]]&amp;"-"&amp;Table_DataFromNL[[#This Row],[RULENAME]]</f>
        <v>CP534-SCRATCH_100_USD</v>
      </c>
      <c r="M2397" t="e">
        <f t="shared" si="264"/>
        <v>#N/A</v>
      </c>
    </row>
    <row r="2398" spans="1:13" x14ac:dyDescent="0.25">
      <c r="A2398" t="str">
        <f t="shared" si="265"/>
        <v>CP534-SCRATCH_10_USD</v>
      </c>
      <c r="B2398" t="s">
        <v>308</v>
      </c>
      <c r="C2398" t="str">
        <f t="shared" si="259"/>
        <v>Pasadena</v>
      </c>
      <c r="D2398" t="str">
        <f t="shared" si="260"/>
        <v>Y</v>
      </c>
      <c r="E2398" t="s">
        <v>657</v>
      </c>
      <c r="F2398" t="str">
        <f t="shared" si="261"/>
        <v>SCRATCH_10_USD</v>
      </c>
      <c r="G2398">
        <f t="shared" si="262"/>
        <v>0</v>
      </c>
      <c r="H2398" t="s">
        <v>587</v>
      </c>
      <c r="I2398">
        <f t="shared" si="263"/>
        <v>0</v>
      </c>
      <c r="J2398" t="s">
        <v>564</v>
      </c>
      <c r="K2398" s="5">
        <v>10</v>
      </c>
      <c r="L2398" t="str">
        <f>Table_DataFromNL[[#This Row],[PROFILECODE]]&amp;"-"&amp;Table_DataFromNL[[#This Row],[RULENAME]]</f>
        <v>CP534-SCRATCH_10_USD</v>
      </c>
      <c r="M2398" t="e">
        <f t="shared" si="264"/>
        <v>#N/A</v>
      </c>
    </row>
    <row r="2399" spans="1:13" x14ac:dyDescent="0.25">
      <c r="A2399" t="str">
        <f t="shared" si="265"/>
        <v>CP534-SCRATCH_20_USD</v>
      </c>
      <c r="B2399" t="s">
        <v>308</v>
      </c>
      <c r="C2399" t="str">
        <f t="shared" si="259"/>
        <v>Pasadena</v>
      </c>
      <c r="D2399" t="str">
        <f t="shared" si="260"/>
        <v>Y</v>
      </c>
      <c r="E2399" t="s">
        <v>657</v>
      </c>
      <c r="F2399" t="str">
        <f t="shared" si="261"/>
        <v>SCRATCH_20_USD</v>
      </c>
      <c r="G2399">
        <f t="shared" si="262"/>
        <v>0</v>
      </c>
      <c r="H2399" t="s">
        <v>588</v>
      </c>
      <c r="I2399">
        <f t="shared" si="263"/>
        <v>0</v>
      </c>
      <c r="J2399" t="s">
        <v>564</v>
      </c>
      <c r="K2399" s="5">
        <v>20</v>
      </c>
      <c r="L2399" t="str">
        <f>Table_DataFromNL[[#This Row],[PROFILECODE]]&amp;"-"&amp;Table_DataFromNL[[#This Row],[RULENAME]]</f>
        <v>CP534-SCRATCH_20_USD</v>
      </c>
      <c r="M2399" t="e">
        <f t="shared" si="264"/>
        <v>#N/A</v>
      </c>
    </row>
    <row r="2400" spans="1:13" x14ac:dyDescent="0.25">
      <c r="A2400" t="str">
        <f t="shared" si="265"/>
        <v>CP534-SCRATCH_25_USD</v>
      </c>
      <c r="B2400" t="s">
        <v>308</v>
      </c>
      <c r="C2400" t="str">
        <f t="shared" si="259"/>
        <v>Pasadena</v>
      </c>
      <c r="D2400" t="str">
        <f t="shared" si="260"/>
        <v>Y</v>
      </c>
      <c r="E2400" t="s">
        <v>657</v>
      </c>
      <c r="F2400" t="str">
        <f t="shared" si="261"/>
        <v>SCRATCH_25_USD</v>
      </c>
      <c r="G2400">
        <f t="shared" si="262"/>
        <v>0</v>
      </c>
      <c r="H2400" t="s">
        <v>589</v>
      </c>
      <c r="I2400">
        <f t="shared" si="263"/>
        <v>0</v>
      </c>
      <c r="J2400" t="s">
        <v>564</v>
      </c>
      <c r="K2400" s="5">
        <v>25</v>
      </c>
      <c r="L2400" t="str">
        <f>Table_DataFromNL[[#This Row],[PROFILECODE]]&amp;"-"&amp;Table_DataFromNL[[#This Row],[RULENAME]]</f>
        <v>CP534-SCRATCH_25_USD</v>
      </c>
      <c r="M2400" t="e">
        <f t="shared" si="264"/>
        <v>#N/A</v>
      </c>
    </row>
    <row r="2401" spans="1:13" x14ac:dyDescent="0.25">
      <c r="A2401" t="str">
        <f t="shared" si="265"/>
        <v>CP534-SCRATCH_50_USD</v>
      </c>
      <c r="B2401" t="s">
        <v>308</v>
      </c>
      <c r="C2401" t="str">
        <f t="shared" si="259"/>
        <v>Pasadena</v>
      </c>
      <c r="D2401" t="str">
        <f t="shared" si="260"/>
        <v>Y</v>
      </c>
      <c r="E2401" t="s">
        <v>657</v>
      </c>
      <c r="F2401" t="str">
        <f t="shared" si="261"/>
        <v>SCRATCH_50_USD</v>
      </c>
      <c r="G2401">
        <f t="shared" si="262"/>
        <v>0</v>
      </c>
      <c r="H2401" t="s">
        <v>590</v>
      </c>
      <c r="I2401">
        <f t="shared" si="263"/>
        <v>0</v>
      </c>
      <c r="J2401" t="s">
        <v>564</v>
      </c>
      <c r="K2401" s="5">
        <v>50</v>
      </c>
      <c r="L2401" t="str">
        <f>Table_DataFromNL[[#This Row],[PROFILECODE]]&amp;"-"&amp;Table_DataFromNL[[#This Row],[RULENAME]]</f>
        <v>CP534-SCRATCH_50_USD</v>
      </c>
      <c r="M2401" t="e">
        <f t="shared" si="264"/>
        <v>#N/A</v>
      </c>
    </row>
    <row r="2402" spans="1:13" x14ac:dyDescent="0.25">
      <c r="A2402" t="str">
        <f t="shared" si="265"/>
        <v>CP534-SCRATCH_5_USD</v>
      </c>
      <c r="B2402" t="s">
        <v>308</v>
      </c>
      <c r="C2402" t="str">
        <f t="shared" si="259"/>
        <v>Pasadena</v>
      </c>
      <c r="D2402" t="str">
        <f t="shared" si="260"/>
        <v>Y</v>
      </c>
      <c r="E2402" t="s">
        <v>657</v>
      </c>
      <c r="F2402" t="str">
        <f t="shared" si="261"/>
        <v>SCRATCH_5_USD</v>
      </c>
      <c r="G2402">
        <f t="shared" si="262"/>
        <v>0</v>
      </c>
      <c r="H2402" t="s">
        <v>591</v>
      </c>
      <c r="I2402">
        <f t="shared" si="263"/>
        <v>0</v>
      </c>
      <c r="J2402" t="s">
        <v>564</v>
      </c>
      <c r="K2402" s="5">
        <v>5</v>
      </c>
      <c r="L2402" t="str">
        <f>Table_DataFromNL[[#This Row],[PROFILECODE]]&amp;"-"&amp;Table_DataFromNL[[#This Row],[RULENAME]]</f>
        <v>CP534-SCRATCH_5_USD</v>
      </c>
      <c r="M2402" t="e">
        <f t="shared" si="264"/>
        <v>#N/A</v>
      </c>
    </row>
    <row r="2403" spans="1:13" x14ac:dyDescent="0.25">
      <c r="A2403" t="str">
        <f t="shared" si="265"/>
        <v>CP534-SLOW_TEXT_5</v>
      </c>
      <c r="B2403" t="s">
        <v>308</v>
      </c>
      <c r="C2403" t="str">
        <f t="shared" si="259"/>
        <v>Pasadena</v>
      </c>
      <c r="D2403" t="str">
        <f t="shared" si="260"/>
        <v>Y</v>
      </c>
      <c r="E2403" t="s">
        <v>657</v>
      </c>
      <c r="F2403" t="str">
        <f t="shared" si="261"/>
        <v>SLOW_TEXT_5</v>
      </c>
      <c r="G2403">
        <f t="shared" si="262"/>
        <v>0</v>
      </c>
      <c r="H2403" t="s">
        <v>574</v>
      </c>
      <c r="I2403">
        <f t="shared" si="263"/>
        <v>0</v>
      </c>
      <c r="J2403" t="s">
        <v>564</v>
      </c>
      <c r="K2403" s="5">
        <v>5</v>
      </c>
      <c r="L2403" t="str">
        <f>Table_DataFromNL[[#This Row],[PROFILECODE]]&amp;"-"&amp;Table_DataFromNL[[#This Row],[RULENAME]]</f>
        <v>CP534-SLOW_TEXT_5</v>
      </c>
      <c r="M2403" t="e">
        <f t="shared" si="264"/>
        <v>#N/A</v>
      </c>
    </row>
    <row r="2404" spans="1:13" x14ac:dyDescent="0.25">
      <c r="A2404" t="str">
        <f t="shared" si="265"/>
        <v>CP534-Unit Below 250 mL</v>
      </c>
      <c r="B2404" t="s">
        <v>308</v>
      </c>
      <c r="C2404" t="str">
        <f t="shared" si="259"/>
        <v>Pasadena</v>
      </c>
      <c r="D2404" t="str">
        <f t="shared" si="260"/>
        <v>Y</v>
      </c>
      <c r="E2404" t="s">
        <v>657</v>
      </c>
      <c r="F2404" t="str">
        <f t="shared" si="261"/>
        <v>Unit Below 250 mL</v>
      </c>
      <c r="G2404">
        <f t="shared" si="262"/>
        <v>0</v>
      </c>
      <c r="H2404" t="s">
        <v>576</v>
      </c>
      <c r="I2404">
        <f t="shared" si="263"/>
        <v>0</v>
      </c>
      <c r="J2404" t="s">
        <v>564</v>
      </c>
      <c r="K2404" s="5">
        <v>5</v>
      </c>
      <c r="L2404" t="str">
        <f>Table_DataFromNL[[#This Row],[PROFILECODE]]&amp;"-"&amp;Table_DataFromNL[[#This Row],[RULENAME]]</f>
        <v>CP534-Unit Below 250 mL</v>
      </c>
      <c r="M2404" t="e">
        <f t="shared" si="264"/>
        <v>#N/A</v>
      </c>
    </row>
    <row r="2405" spans="1:13" x14ac:dyDescent="0.25">
      <c r="A2405" t="str">
        <f t="shared" si="265"/>
        <v>CP534-Unit above 250 mL/underdraw</v>
      </c>
      <c r="B2405" t="s">
        <v>308</v>
      </c>
      <c r="C2405" t="str">
        <f t="shared" si="259"/>
        <v>Pasadena</v>
      </c>
      <c r="D2405" t="str">
        <f t="shared" si="260"/>
        <v>Y</v>
      </c>
      <c r="E2405" t="s">
        <v>657</v>
      </c>
      <c r="F2405" t="str">
        <f t="shared" si="261"/>
        <v>Unit above 250 mL/underdraw</v>
      </c>
      <c r="G2405">
        <f t="shared" si="262"/>
        <v>0</v>
      </c>
      <c r="H2405" t="s">
        <v>577</v>
      </c>
      <c r="I2405">
        <f t="shared" si="263"/>
        <v>0</v>
      </c>
      <c r="J2405" t="s">
        <v>564</v>
      </c>
      <c r="K2405" s="5">
        <v>10</v>
      </c>
      <c r="L2405" t="str">
        <f>Table_DataFromNL[[#This Row],[PROFILECODE]]&amp;"-"&amp;Table_DataFromNL[[#This Row],[RULENAME]]</f>
        <v>CP534-Unit above 250 mL/underdraw</v>
      </c>
      <c r="M2405" t="e">
        <f t="shared" si="264"/>
        <v>#N/A</v>
      </c>
    </row>
    <row r="2406" spans="1:13" x14ac:dyDescent="0.25">
      <c r="A2406" t="str">
        <f t="shared" si="265"/>
        <v>CP534-RETURN - Buddy referral  -BONUS</v>
      </c>
      <c r="B2406" t="s">
        <v>308</v>
      </c>
      <c r="C2406" t="str">
        <f t="shared" si="259"/>
        <v>Pasadena</v>
      </c>
      <c r="D2406" t="str">
        <f t="shared" si="260"/>
        <v>Y</v>
      </c>
      <c r="E2406" t="s">
        <v>657</v>
      </c>
      <c r="F2406" t="str">
        <f t="shared" si="261"/>
        <v>RETURN - Buddy referral  -BONUS</v>
      </c>
      <c r="G2406" t="str">
        <f t="shared" si="262"/>
        <v>Marketing</v>
      </c>
      <c r="H2406" t="s">
        <v>34</v>
      </c>
      <c r="I2406">
        <f t="shared" si="263"/>
        <v>50</v>
      </c>
      <c r="J2406" t="s">
        <v>578</v>
      </c>
      <c r="K2406" s="5">
        <v>50</v>
      </c>
      <c r="L2406" t="str">
        <f>Table_DataFromNL[[#This Row],[PROFILECODE]]&amp;"-"&amp;Table_DataFromNL[[#This Row],[RULENAME]]</f>
        <v>CP534-Referral</v>
      </c>
      <c r="M2406" t="str">
        <f t="shared" si="264"/>
        <v>CP534-RETURN - Buddy referral  -BONUS</v>
      </c>
    </row>
    <row r="2407" spans="1:13" x14ac:dyDescent="0.25">
      <c r="A2407" t="str">
        <f t="shared" si="265"/>
        <v>CP534-P Anti-D Pre-Existing Standard</v>
      </c>
      <c r="B2407" t="s">
        <v>308</v>
      </c>
      <c r="C2407" t="str">
        <f t="shared" si="259"/>
        <v>Pasadena</v>
      </c>
      <c r="D2407" t="str">
        <f t="shared" si="260"/>
        <v>Y</v>
      </c>
      <c r="E2407" t="s">
        <v>657</v>
      </c>
      <c r="F2407" t="str">
        <f t="shared" si="261"/>
        <v>P Anti-D Pre-Existing Standard</v>
      </c>
      <c r="G2407" t="str">
        <f t="shared" si="262"/>
        <v>Specialty</v>
      </c>
      <c r="H2407" t="s">
        <v>469</v>
      </c>
      <c r="I2407" t="str">
        <f t="shared" si="263"/>
        <v>RETURN - 1st don of the week -STD</v>
      </c>
      <c r="J2407" t="s">
        <v>579</v>
      </c>
      <c r="K2407" s="5">
        <v>50</v>
      </c>
      <c r="L2407" t="str">
        <f>Table_DataFromNL[[#This Row],[PROFILECODE]]&amp;"-"&amp;Table_DataFromNL[[#This Row],[RULENAME]]</f>
        <v>CP534-P Anti-D Pre-Existing Standard</v>
      </c>
      <c r="M2407" t="str">
        <f t="shared" si="264"/>
        <v>CP534-P Anti-D Pre-Existing Standard</v>
      </c>
    </row>
    <row r="2408" spans="1:13" x14ac:dyDescent="0.25">
      <c r="A2408" t="str">
        <f t="shared" si="265"/>
        <v>CP534-RETURN - 1st don of the week -STD</v>
      </c>
      <c r="B2408" t="s">
        <v>308</v>
      </c>
      <c r="C2408" t="str">
        <f t="shared" si="259"/>
        <v>Pasadena</v>
      </c>
      <c r="D2408" t="str">
        <f t="shared" si="260"/>
        <v>Y</v>
      </c>
      <c r="E2408" t="s">
        <v>657</v>
      </c>
      <c r="F2408" t="str">
        <f t="shared" si="261"/>
        <v>RETURN - 1st don of the week -STD</v>
      </c>
      <c r="G2408" t="str">
        <f t="shared" si="262"/>
        <v>Marketing</v>
      </c>
      <c r="H2408" t="s">
        <v>583</v>
      </c>
      <c r="I2408">
        <f t="shared" si="263"/>
        <v>22</v>
      </c>
      <c r="J2408" t="s">
        <v>579</v>
      </c>
      <c r="K2408" s="5">
        <v>45</v>
      </c>
      <c r="L2408" t="str">
        <f>Table_DataFromNL[[#This Row],[PROFILECODE]]&amp;"-"&amp;Table_DataFromNL[[#This Row],[RULENAME]]</f>
        <v>CP534-P NSP NS AP Standard</v>
      </c>
      <c r="M2408" t="str">
        <f t="shared" si="264"/>
        <v>CP534-RETURN - 1st don of the week -STD</v>
      </c>
    </row>
    <row r="2409" spans="1:13" x14ac:dyDescent="0.25">
      <c r="A2409" t="str">
        <f t="shared" si="265"/>
        <v>CP534-RETURN - 1st don of the week -STD</v>
      </c>
      <c r="B2409" t="s">
        <v>308</v>
      </c>
      <c r="C2409" t="str">
        <f t="shared" si="259"/>
        <v>Pasadena</v>
      </c>
      <c r="D2409" t="str">
        <f t="shared" si="260"/>
        <v>Y</v>
      </c>
      <c r="E2409" t="s">
        <v>657</v>
      </c>
      <c r="F2409" t="str">
        <f t="shared" si="261"/>
        <v>RETURN - 1st don of the week -STD</v>
      </c>
      <c r="G2409" t="str">
        <f t="shared" si="262"/>
        <v>Marketing</v>
      </c>
      <c r="H2409" t="s">
        <v>584</v>
      </c>
      <c r="I2409">
        <f t="shared" si="263"/>
        <v>23</v>
      </c>
      <c r="J2409" t="s">
        <v>579</v>
      </c>
      <c r="K2409" s="5">
        <v>45</v>
      </c>
      <c r="L2409" t="str">
        <f>Table_DataFromNL[[#This Row],[PROFILECODE]]&amp;"-"&amp;Table_DataFromNL[[#This Row],[RULENAME]]</f>
        <v>CP534-P NSP NS Standard</v>
      </c>
      <c r="M2409" t="str">
        <f t="shared" si="264"/>
        <v>CP534-RETURN - 1st don of the week -STD</v>
      </c>
    </row>
    <row r="2410" spans="1:13" x14ac:dyDescent="0.25">
      <c r="A2410" t="str">
        <f t="shared" si="265"/>
        <v>CP534-RETURN - 1st don of the week -STD</v>
      </c>
      <c r="B2410" t="s">
        <v>308</v>
      </c>
      <c r="C2410" t="str">
        <f t="shared" si="259"/>
        <v>Pasadena</v>
      </c>
      <c r="D2410" t="str">
        <f t="shared" si="260"/>
        <v>Y</v>
      </c>
      <c r="E2410" t="s">
        <v>657</v>
      </c>
      <c r="F2410" t="str">
        <f t="shared" si="261"/>
        <v>RETURN - 1st don of the week -STD</v>
      </c>
      <c r="G2410" t="str">
        <f t="shared" si="262"/>
        <v>Marketing</v>
      </c>
      <c r="H2410" t="s">
        <v>607</v>
      </c>
      <c r="I2410">
        <f t="shared" si="263"/>
        <v>21</v>
      </c>
      <c r="J2410" t="s">
        <v>579</v>
      </c>
      <c r="K2410" s="5">
        <v>45</v>
      </c>
      <c r="L2410" t="str">
        <f>Table_DataFromNL[[#This Row],[PROFILECODE]]&amp;"-"&amp;Table_DataFromNL[[#This Row],[RULENAME]]</f>
        <v>CP534-P Normal Source PL Standard</v>
      </c>
      <c r="M2410" t="str">
        <f t="shared" si="264"/>
        <v>CP534-RETURN - 1st don of the week -STD</v>
      </c>
    </row>
    <row r="2411" spans="1:13" x14ac:dyDescent="0.25">
      <c r="A2411" t="str">
        <f t="shared" si="265"/>
        <v>CP150-1st Responder-Medical</v>
      </c>
      <c r="B2411" t="s">
        <v>389</v>
      </c>
      <c r="C2411" t="str">
        <f t="shared" si="259"/>
        <v>Pensacola</v>
      </c>
      <c r="D2411" t="str">
        <f t="shared" si="260"/>
        <v>Y</v>
      </c>
      <c r="E2411" t="s">
        <v>658</v>
      </c>
      <c r="F2411" t="str">
        <f t="shared" si="261"/>
        <v>1st Responder-Medical</v>
      </c>
      <c r="G2411">
        <f t="shared" si="262"/>
        <v>0</v>
      </c>
      <c r="H2411" t="s">
        <v>545</v>
      </c>
      <c r="I2411">
        <f t="shared" si="263"/>
        <v>0</v>
      </c>
      <c r="J2411" t="s">
        <v>546</v>
      </c>
      <c r="K2411" s="5">
        <v>5</v>
      </c>
      <c r="L2411" t="str">
        <f>Table_DataFromNL[[#This Row],[PROFILECODE]]&amp;"-"&amp;Table_DataFromNL[[#This Row],[RULENAME]]</f>
        <v>CP150-1st Responder-Medical</v>
      </c>
      <c r="M2411" t="e">
        <f t="shared" si="264"/>
        <v>#N/A</v>
      </c>
    </row>
    <row r="2412" spans="1:13" x14ac:dyDescent="0.25">
      <c r="A2412" t="str">
        <f t="shared" si="265"/>
        <v>CP150-2X Week P Anti-D</v>
      </c>
      <c r="B2412" t="s">
        <v>389</v>
      </c>
      <c r="C2412" t="str">
        <f t="shared" si="259"/>
        <v>Pensacola</v>
      </c>
      <c r="D2412" t="str">
        <f t="shared" si="260"/>
        <v>Y</v>
      </c>
      <c r="E2412" t="s">
        <v>658</v>
      </c>
      <c r="F2412" t="str">
        <f t="shared" si="261"/>
        <v>2X Week P Anti-D</v>
      </c>
      <c r="G2412" t="str">
        <f t="shared" si="262"/>
        <v>Specialty</v>
      </c>
      <c r="H2412" t="s">
        <v>518</v>
      </c>
      <c r="I2412" t="str">
        <f t="shared" si="263"/>
        <v>RETURN - 2nd don of the week -BONUS</v>
      </c>
      <c r="J2412" t="s">
        <v>546</v>
      </c>
      <c r="K2412" s="5">
        <v>80</v>
      </c>
      <c r="L2412" t="str">
        <f>Table_DataFromNL[[#This Row],[PROFILECODE]]&amp;"-"&amp;Table_DataFromNL[[#This Row],[RULENAME]]</f>
        <v>CP150-2X Week P Anti-D</v>
      </c>
      <c r="M2412" t="str">
        <f t="shared" si="264"/>
        <v>CP150-2X Week P Anti-D</v>
      </c>
    </row>
    <row r="2413" spans="1:13" x14ac:dyDescent="0.25">
      <c r="A2413" t="str">
        <f t="shared" si="265"/>
        <v>CP150-2X Week P HBS</v>
      </c>
      <c r="B2413" t="s">
        <v>389</v>
      </c>
      <c r="C2413" t="str">
        <f t="shared" si="259"/>
        <v>Pensacola</v>
      </c>
      <c r="D2413" t="str">
        <f t="shared" si="260"/>
        <v>Y</v>
      </c>
      <c r="E2413" t="s">
        <v>658</v>
      </c>
      <c r="F2413" t="str">
        <f t="shared" si="261"/>
        <v>2X Week P HBS</v>
      </c>
      <c r="G2413" t="str">
        <f t="shared" si="262"/>
        <v>Specialty</v>
      </c>
      <c r="H2413" t="s">
        <v>470</v>
      </c>
      <c r="I2413" t="str">
        <f t="shared" si="263"/>
        <v>RETURN - 2nd don of the week -BONUS</v>
      </c>
      <c r="J2413" t="s">
        <v>546</v>
      </c>
      <c r="K2413" s="5">
        <v>100</v>
      </c>
      <c r="L2413" t="str">
        <f>Table_DataFromNL[[#This Row],[PROFILECODE]]&amp;"-"&amp;Table_DataFromNL[[#This Row],[RULENAME]]</f>
        <v>CP150-2X Week P HBS</v>
      </c>
      <c r="M2413" t="str">
        <f t="shared" si="264"/>
        <v>CP150-2X Week P HBS</v>
      </c>
    </row>
    <row r="2414" spans="1:13" x14ac:dyDescent="0.25">
      <c r="A2414" t="str">
        <f t="shared" si="265"/>
        <v>CP150-2X Week P HBS Pre-Existing</v>
      </c>
      <c r="B2414" t="s">
        <v>389</v>
      </c>
      <c r="C2414" t="str">
        <f t="shared" si="259"/>
        <v>Pensacola</v>
      </c>
      <c r="D2414" t="str">
        <f t="shared" si="260"/>
        <v>Y</v>
      </c>
      <c r="E2414" t="s">
        <v>658</v>
      </c>
      <c r="F2414" t="str">
        <f t="shared" si="261"/>
        <v>2X Week P HBS Pre-Existing</v>
      </c>
      <c r="G2414" t="str">
        <f t="shared" si="262"/>
        <v>Specialty</v>
      </c>
      <c r="H2414" t="s">
        <v>471</v>
      </c>
      <c r="I2414" t="str">
        <f t="shared" si="263"/>
        <v>RETURN - 2nd don of the week -BONUS</v>
      </c>
      <c r="J2414" t="s">
        <v>546</v>
      </c>
      <c r="K2414" s="5">
        <v>100</v>
      </c>
      <c r="L2414" t="str">
        <f>Table_DataFromNL[[#This Row],[PROFILECODE]]&amp;"-"&amp;Table_DataFromNL[[#This Row],[RULENAME]]</f>
        <v>CP150-2X Week P HBS Pre-Existing</v>
      </c>
      <c r="M2414" t="str">
        <f t="shared" si="264"/>
        <v>CP150-2X Week P HBS Pre-Existing</v>
      </c>
    </row>
    <row r="2415" spans="1:13" x14ac:dyDescent="0.25">
      <c r="A2415" t="str">
        <f t="shared" si="265"/>
        <v>CP150-RETURN - 2nd don of the week -BONUS</v>
      </c>
      <c r="B2415" t="s">
        <v>389</v>
      </c>
      <c r="C2415" t="str">
        <f t="shared" si="259"/>
        <v>Pensacola</v>
      </c>
      <c r="D2415" t="str">
        <f t="shared" si="260"/>
        <v>Y</v>
      </c>
      <c r="E2415" t="s">
        <v>658</v>
      </c>
      <c r="F2415" t="str">
        <f t="shared" si="261"/>
        <v>RETURN - 2nd don of the week -BONUS</v>
      </c>
      <c r="G2415" t="str">
        <f t="shared" si="262"/>
        <v>Marketing</v>
      </c>
      <c r="H2415" t="s">
        <v>550</v>
      </c>
      <c r="I2415">
        <f t="shared" si="263"/>
        <v>26</v>
      </c>
      <c r="J2415" t="s">
        <v>546</v>
      </c>
      <c r="K2415" s="5">
        <v>40</v>
      </c>
      <c r="L2415" t="str">
        <f>Table_DataFromNL[[#This Row],[PROFILECODE]]&amp;"-"&amp;Table_DataFromNL[[#This Row],[RULENAME]]</f>
        <v>CP150-2X Week P NSP NS</v>
      </c>
      <c r="M2415" t="str">
        <f t="shared" si="264"/>
        <v>CP150-RETURN - 2nd don of the week -BONUS</v>
      </c>
    </row>
    <row r="2416" spans="1:13" x14ac:dyDescent="0.25">
      <c r="A2416" t="str">
        <f t="shared" si="265"/>
        <v>CP150-RETURN - 2nd don of the week -BONUS</v>
      </c>
      <c r="B2416" t="s">
        <v>389</v>
      </c>
      <c r="C2416" t="str">
        <f t="shared" si="259"/>
        <v>Pensacola</v>
      </c>
      <c r="D2416" t="str">
        <f t="shared" si="260"/>
        <v>Y</v>
      </c>
      <c r="E2416" t="s">
        <v>658</v>
      </c>
      <c r="F2416" t="str">
        <f t="shared" si="261"/>
        <v>RETURN - 2nd don of the week -BONUS</v>
      </c>
      <c r="G2416" t="str">
        <f t="shared" si="262"/>
        <v>Marketing</v>
      </c>
      <c r="H2416" t="s">
        <v>551</v>
      </c>
      <c r="I2416" t="str">
        <f t="shared" si="263"/>
        <v>RETURN - 2nd don of the week -BONUS</v>
      </c>
      <c r="J2416" t="s">
        <v>546</v>
      </c>
      <c r="K2416" s="5">
        <v>40</v>
      </c>
      <c r="L2416" t="str">
        <f>Table_DataFromNL[[#This Row],[PROFILECODE]]&amp;"-"&amp;Table_DataFromNL[[#This Row],[RULENAME]]</f>
        <v>CP150-2X Week P NSP NS AP</v>
      </c>
      <c r="M2416" t="str">
        <f t="shared" si="264"/>
        <v>CP150-RETURN - 2nd don of the week -BONUS</v>
      </c>
    </row>
    <row r="2417" spans="1:13" x14ac:dyDescent="0.25">
      <c r="A2417" t="str">
        <f t="shared" si="265"/>
        <v>CP150-2X Week P Rabies</v>
      </c>
      <c r="B2417" t="s">
        <v>389</v>
      </c>
      <c r="C2417" t="str">
        <f t="shared" si="259"/>
        <v>Pensacola</v>
      </c>
      <c r="D2417" t="str">
        <f t="shared" si="260"/>
        <v>Y</v>
      </c>
      <c r="E2417" t="s">
        <v>658</v>
      </c>
      <c r="F2417" t="str">
        <f t="shared" si="261"/>
        <v>2X Week P Rabies</v>
      </c>
      <c r="G2417" t="str">
        <f t="shared" si="262"/>
        <v>Specialty</v>
      </c>
      <c r="H2417" t="s">
        <v>499</v>
      </c>
      <c r="I2417" t="str">
        <f t="shared" si="263"/>
        <v>RETURN - 2nd don of the week -BONUS</v>
      </c>
      <c r="J2417" t="s">
        <v>546</v>
      </c>
      <c r="K2417" s="5">
        <v>100</v>
      </c>
      <c r="L2417" t="str">
        <f>Table_DataFromNL[[#This Row],[PROFILECODE]]&amp;"-"&amp;Table_DataFromNL[[#This Row],[RULENAME]]</f>
        <v>CP150-2X Week P Rabies</v>
      </c>
      <c r="M2417" t="str">
        <f t="shared" si="264"/>
        <v>CP150-2X Week P Rabies</v>
      </c>
    </row>
    <row r="2418" spans="1:13" x14ac:dyDescent="0.25">
      <c r="A2418" t="str">
        <f t="shared" si="265"/>
        <v>CP150-2X Week P Rabies HT</v>
      </c>
      <c r="B2418" t="s">
        <v>389</v>
      </c>
      <c r="C2418" t="str">
        <f t="shared" si="259"/>
        <v>Pensacola</v>
      </c>
      <c r="D2418" t="str">
        <f t="shared" si="260"/>
        <v>Y</v>
      </c>
      <c r="E2418" t="s">
        <v>658</v>
      </c>
      <c r="F2418" t="str">
        <f t="shared" si="261"/>
        <v>2X Week P Rabies HT</v>
      </c>
      <c r="G2418" t="str">
        <f t="shared" si="262"/>
        <v>Specialty</v>
      </c>
      <c r="H2418" t="s">
        <v>500</v>
      </c>
      <c r="I2418" t="str">
        <f t="shared" si="263"/>
        <v>RETURN - 2nd don of the week -BONUS</v>
      </c>
      <c r="J2418" t="s">
        <v>546</v>
      </c>
      <c r="K2418" s="5">
        <v>100</v>
      </c>
      <c r="L2418" t="str">
        <f>Table_DataFromNL[[#This Row],[PROFILECODE]]&amp;"-"&amp;Table_DataFromNL[[#This Row],[RULENAME]]</f>
        <v>CP150-2X Week P Rabies HT</v>
      </c>
      <c r="M2418" t="str">
        <f t="shared" si="264"/>
        <v>CP150-2X Week P Rabies HT</v>
      </c>
    </row>
    <row r="2419" spans="1:13" x14ac:dyDescent="0.25">
      <c r="A2419" t="str">
        <f t="shared" si="265"/>
        <v>CP150-2X Week P Tetanus</v>
      </c>
      <c r="B2419" t="s">
        <v>389</v>
      </c>
      <c r="C2419" t="str">
        <f t="shared" si="259"/>
        <v>Pensacola</v>
      </c>
      <c r="D2419" t="str">
        <f t="shared" si="260"/>
        <v>Y</v>
      </c>
      <c r="E2419" t="s">
        <v>658</v>
      </c>
      <c r="F2419" t="str">
        <f t="shared" si="261"/>
        <v>2X Week P Tetanus</v>
      </c>
      <c r="G2419" t="str">
        <f t="shared" si="262"/>
        <v>Specialty</v>
      </c>
      <c r="H2419" t="s">
        <v>485</v>
      </c>
      <c r="I2419" t="str">
        <f t="shared" si="263"/>
        <v>RETURN - 2nd don of the week -BONUS</v>
      </c>
      <c r="J2419" t="s">
        <v>546</v>
      </c>
      <c r="K2419" s="5">
        <v>100</v>
      </c>
      <c r="L2419" t="str">
        <f>Table_DataFromNL[[#This Row],[PROFILECODE]]&amp;"-"&amp;Table_DataFromNL[[#This Row],[RULENAME]]</f>
        <v>CP150-2X Week P Tetanus</v>
      </c>
      <c r="M2419" t="str">
        <f t="shared" si="264"/>
        <v>CP150-2X Week P Tetanus</v>
      </c>
    </row>
    <row r="2420" spans="1:13" x14ac:dyDescent="0.25">
      <c r="A2420" t="str">
        <f t="shared" si="265"/>
        <v>CP150-2X Week P Tetanus AP</v>
      </c>
      <c r="B2420" t="s">
        <v>389</v>
      </c>
      <c r="C2420" t="str">
        <f t="shared" si="259"/>
        <v>Pensacola</v>
      </c>
      <c r="D2420" t="str">
        <f t="shared" si="260"/>
        <v>Y</v>
      </c>
      <c r="E2420" t="s">
        <v>658</v>
      </c>
      <c r="F2420" t="str">
        <f t="shared" si="261"/>
        <v>2X Week P Tetanus AP</v>
      </c>
      <c r="G2420" t="str">
        <f t="shared" si="262"/>
        <v>Specialty</v>
      </c>
      <c r="H2420" t="s">
        <v>486</v>
      </c>
      <c r="I2420" t="str">
        <f t="shared" si="263"/>
        <v>RETURN - 2nd don of the week -BONUS</v>
      </c>
      <c r="J2420" t="s">
        <v>546</v>
      </c>
      <c r="K2420" s="5">
        <v>100</v>
      </c>
      <c r="L2420" t="str">
        <f>Table_DataFromNL[[#This Row],[PROFILECODE]]&amp;"-"&amp;Table_DataFromNL[[#This Row],[RULENAME]]</f>
        <v>CP150-2X Week P Tetanus AP</v>
      </c>
      <c r="M2420" t="str">
        <f t="shared" si="264"/>
        <v>CP150-2X Week P Tetanus AP</v>
      </c>
    </row>
    <row r="2421" spans="1:13" x14ac:dyDescent="0.25">
      <c r="A2421" t="str">
        <f t="shared" si="265"/>
        <v>CP150-2X Week P Tetanus PE</v>
      </c>
      <c r="B2421" t="s">
        <v>389</v>
      </c>
      <c r="C2421" t="str">
        <f t="shared" si="259"/>
        <v>Pensacola</v>
      </c>
      <c r="D2421" t="str">
        <f t="shared" si="260"/>
        <v>Y</v>
      </c>
      <c r="E2421" t="s">
        <v>658</v>
      </c>
      <c r="F2421" t="str">
        <f t="shared" si="261"/>
        <v>2X Week P Tetanus PE</v>
      </c>
      <c r="G2421" t="str">
        <f t="shared" si="262"/>
        <v>Specialty</v>
      </c>
      <c r="H2421" t="s">
        <v>487</v>
      </c>
      <c r="I2421" t="str">
        <f t="shared" si="263"/>
        <v>RETURN - 2nd don of the week -BONUS</v>
      </c>
      <c r="J2421" t="s">
        <v>546</v>
      </c>
      <c r="K2421" s="5">
        <v>100</v>
      </c>
      <c r="L2421" t="str">
        <f>Table_DataFromNL[[#This Row],[PROFILECODE]]&amp;"-"&amp;Table_DataFromNL[[#This Row],[RULENAME]]</f>
        <v>CP150-2X Week P Tetanus PE</v>
      </c>
      <c r="M2421" t="str">
        <f t="shared" si="264"/>
        <v>CP150-2X Week P Tetanus PE</v>
      </c>
    </row>
    <row r="2422" spans="1:13" x14ac:dyDescent="0.25">
      <c r="A2422" t="str">
        <f t="shared" si="265"/>
        <v>CP150-RETURN - 6th don of the month -BONUS</v>
      </c>
      <c r="B2422" t="s">
        <v>389</v>
      </c>
      <c r="C2422" t="str">
        <f t="shared" si="259"/>
        <v>Pensacola</v>
      </c>
      <c r="D2422" t="str">
        <f t="shared" si="260"/>
        <v>Y</v>
      </c>
      <c r="E2422" t="s">
        <v>658</v>
      </c>
      <c r="F2422" t="str">
        <f t="shared" si="261"/>
        <v>RETURN - 6th don of the month -BONUS</v>
      </c>
      <c r="G2422" t="str">
        <f t="shared" si="262"/>
        <v>Marketing</v>
      </c>
      <c r="H2422" t="s">
        <v>552</v>
      </c>
      <c r="I2422">
        <f t="shared" si="263"/>
        <v>28</v>
      </c>
      <c r="J2422" t="s">
        <v>546</v>
      </c>
      <c r="K2422" s="5">
        <v>20</v>
      </c>
      <c r="L2422" t="str">
        <f>Table_DataFromNL[[#This Row],[PROFILECODE]]&amp;"-"&amp;Table_DataFromNL[[#This Row],[RULENAME]]</f>
        <v>CP150-6X Month</v>
      </c>
      <c r="M2422" t="str">
        <f t="shared" si="264"/>
        <v>CP150-RETURN - 6th don of the month -BONUS</v>
      </c>
    </row>
    <row r="2423" spans="1:13" x14ac:dyDescent="0.25">
      <c r="A2423" t="str">
        <f t="shared" si="265"/>
        <v>CP150-College ID Standard Bonus</v>
      </c>
      <c r="B2423" t="s">
        <v>389</v>
      </c>
      <c r="C2423" t="str">
        <f t="shared" si="259"/>
        <v>Pensacola</v>
      </c>
      <c r="D2423" t="str">
        <f t="shared" si="260"/>
        <v>Y</v>
      </c>
      <c r="E2423" t="s">
        <v>658</v>
      </c>
      <c r="F2423" t="str">
        <f t="shared" si="261"/>
        <v>College ID Standard Bonus</v>
      </c>
      <c r="G2423">
        <f t="shared" si="262"/>
        <v>0</v>
      </c>
      <c r="H2423" t="s">
        <v>553</v>
      </c>
      <c r="I2423">
        <f t="shared" si="263"/>
        <v>0</v>
      </c>
      <c r="J2423" t="s">
        <v>546</v>
      </c>
      <c r="K2423" s="5">
        <v>5</v>
      </c>
      <c r="L2423" t="str">
        <f>Table_DataFromNL[[#This Row],[PROFILECODE]]&amp;"-"&amp;Table_DataFromNL[[#This Row],[RULENAME]]</f>
        <v>CP150-College ID Standard Bonus</v>
      </c>
      <c r="M2423" t="e">
        <f t="shared" si="264"/>
        <v>#N/A</v>
      </c>
    </row>
    <row r="2424" spans="1:13" x14ac:dyDescent="0.25">
      <c r="A2424" t="str">
        <f t="shared" si="265"/>
        <v>CP150-Military ID</v>
      </c>
      <c r="B2424" t="s">
        <v>389</v>
      </c>
      <c r="C2424" t="str">
        <f t="shared" si="259"/>
        <v>Pensacola</v>
      </c>
      <c r="D2424" t="str">
        <f t="shared" si="260"/>
        <v>Y</v>
      </c>
      <c r="E2424" t="s">
        <v>658</v>
      </c>
      <c r="F2424" t="str">
        <f t="shared" si="261"/>
        <v>Military ID</v>
      </c>
      <c r="G2424">
        <f t="shared" si="262"/>
        <v>0</v>
      </c>
      <c r="H2424" t="s">
        <v>554</v>
      </c>
      <c r="I2424">
        <f t="shared" si="263"/>
        <v>0</v>
      </c>
      <c r="J2424" t="s">
        <v>546</v>
      </c>
      <c r="K2424" s="5">
        <v>5</v>
      </c>
      <c r="L2424" t="str">
        <f>Table_DataFromNL[[#This Row],[PROFILECODE]]&amp;"-"&amp;Table_DataFromNL[[#This Row],[RULENAME]]</f>
        <v>CP150-Military ID</v>
      </c>
      <c r="M2424" t="e">
        <f t="shared" si="264"/>
        <v>#N/A</v>
      </c>
    </row>
    <row r="2425" spans="1:13" x14ac:dyDescent="0.25">
      <c r="A2425" t="str">
        <f t="shared" si="265"/>
        <v>CP150-NEW DONOR -1st</v>
      </c>
      <c r="B2425" t="s">
        <v>389</v>
      </c>
      <c r="C2425" t="str">
        <f t="shared" si="259"/>
        <v>Pensacola</v>
      </c>
      <c r="D2425" t="str">
        <f t="shared" si="260"/>
        <v>Y</v>
      </c>
      <c r="E2425" t="s">
        <v>658</v>
      </c>
      <c r="F2425" t="str">
        <f t="shared" si="261"/>
        <v>NEW DONOR -1st</v>
      </c>
      <c r="G2425" t="str">
        <f t="shared" si="262"/>
        <v>Marketing</v>
      </c>
      <c r="H2425" t="s">
        <v>555</v>
      </c>
      <c r="I2425">
        <f t="shared" si="263"/>
        <v>1</v>
      </c>
      <c r="J2425" t="s">
        <v>546</v>
      </c>
      <c r="K2425" s="5">
        <v>100</v>
      </c>
      <c r="L2425" t="str">
        <f>Table_DataFromNL[[#This Row],[PROFILECODE]]&amp;"-"&amp;Table_DataFromNL[[#This Row],[RULENAME]]</f>
        <v>CP150-New Donor 1st Visit-Bonus</v>
      </c>
      <c r="M2425" t="str">
        <f t="shared" si="264"/>
        <v>CP150-NEW DONOR -1st</v>
      </c>
    </row>
    <row r="2426" spans="1:13" x14ac:dyDescent="0.25">
      <c r="A2426" t="str">
        <f t="shared" si="265"/>
        <v>CP150-NEW DONOR -2nd</v>
      </c>
      <c r="B2426" t="s">
        <v>389</v>
      </c>
      <c r="C2426" t="str">
        <f t="shared" si="259"/>
        <v>Pensacola</v>
      </c>
      <c r="D2426" t="str">
        <f t="shared" si="260"/>
        <v>Y</v>
      </c>
      <c r="E2426" t="s">
        <v>658</v>
      </c>
      <c r="F2426" t="str">
        <f t="shared" si="261"/>
        <v>NEW DONOR -2nd</v>
      </c>
      <c r="G2426" t="str">
        <f t="shared" si="262"/>
        <v>Marketing</v>
      </c>
      <c r="H2426" t="s">
        <v>556</v>
      </c>
      <c r="I2426">
        <f t="shared" si="263"/>
        <v>2</v>
      </c>
      <c r="J2426" t="s">
        <v>546</v>
      </c>
      <c r="K2426" s="5">
        <v>100</v>
      </c>
      <c r="L2426" t="str">
        <f>Table_DataFromNL[[#This Row],[PROFILECODE]]&amp;"-"&amp;Table_DataFromNL[[#This Row],[RULENAME]]</f>
        <v>CP150-New Donor 2nd Visit-Bonus</v>
      </c>
      <c r="M2426" t="str">
        <f t="shared" si="264"/>
        <v>CP150-NEW DONOR -2nd</v>
      </c>
    </row>
    <row r="2427" spans="1:13" x14ac:dyDescent="0.25">
      <c r="A2427" t="str">
        <f t="shared" si="265"/>
        <v>CP150-NEW DONOR -3rd</v>
      </c>
      <c r="B2427" t="s">
        <v>389</v>
      </c>
      <c r="C2427" t="str">
        <f t="shared" si="259"/>
        <v>Pensacola</v>
      </c>
      <c r="D2427" t="str">
        <f t="shared" si="260"/>
        <v>Y</v>
      </c>
      <c r="E2427" t="s">
        <v>658</v>
      </c>
      <c r="F2427" t="str">
        <f t="shared" si="261"/>
        <v>NEW DONOR -3rd</v>
      </c>
      <c r="G2427" t="str">
        <f t="shared" si="262"/>
        <v>Marketing</v>
      </c>
      <c r="H2427" t="s">
        <v>557</v>
      </c>
      <c r="I2427">
        <f t="shared" si="263"/>
        <v>3</v>
      </c>
      <c r="J2427" t="s">
        <v>546</v>
      </c>
      <c r="K2427" s="5">
        <v>100</v>
      </c>
      <c r="L2427" t="str">
        <f>Table_DataFromNL[[#This Row],[PROFILECODE]]&amp;"-"&amp;Table_DataFromNL[[#This Row],[RULENAME]]</f>
        <v>CP150-New Donor 3rd Visit-Bonus</v>
      </c>
      <c r="M2427" t="str">
        <f t="shared" si="264"/>
        <v>CP150-NEW DONOR -3rd</v>
      </c>
    </row>
    <row r="2428" spans="1:13" x14ac:dyDescent="0.25">
      <c r="A2428" t="str">
        <f t="shared" si="265"/>
        <v>CP150-NEW DONOR -4th</v>
      </c>
      <c r="B2428" t="s">
        <v>389</v>
      </c>
      <c r="C2428" t="str">
        <f t="shared" si="259"/>
        <v>Pensacola</v>
      </c>
      <c r="D2428" t="str">
        <f t="shared" si="260"/>
        <v>Y</v>
      </c>
      <c r="E2428" t="s">
        <v>658</v>
      </c>
      <c r="F2428" t="str">
        <f t="shared" si="261"/>
        <v>NEW DONOR -4th</v>
      </c>
      <c r="G2428" t="str">
        <f t="shared" si="262"/>
        <v>Marketing</v>
      </c>
      <c r="H2428" t="s">
        <v>558</v>
      </c>
      <c r="I2428">
        <f t="shared" si="263"/>
        <v>4</v>
      </c>
      <c r="J2428" t="s">
        <v>546</v>
      </c>
      <c r="K2428" s="5">
        <v>100</v>
      </c>
      <c r="L2428" t="str">
        <f>Table_DataFromNL[[#This Row],[PROFILECODE]]&amp;"-"&amp;Table_DataFromNL[[#This Row],[RULENAME]]</f>
        <v>CP150-New Donor 4th Visit-Bonus</v>
      </c>
      <c r="M2428" t="str">
        <f t="shared" si="264"/>
        <v>CP150-NEW DONOR -4th</v>
      </c>
    </row>
    <row r="2429" spans="1:13" x14ac:dyDescent="0.25">
      <c r="A2429" t="str">
        <f t="shared" si="265"/>
        <v>CP150-NEW DONOR -5th</v>
      </c>
      <c r="B2429" t="s">
        <v>389</v>
      </c>
      <c r="C2429" t="str">
        <f t="shared" si="259"/>
        <v>Pensacola</v>
      </c>
      <c r="D2429" t="str">
        <f t="shared" si="260"/>
        <v>Y</v>
      </c>
      <c r="E2429" t="s">
        <v>658</v>
      </c>
      <c r="F2429" t="str">
        <f t="shared" si="261"/>
        <v>NEW DONOR -5th</v>
      </c>
      <c r="G2429" t="str">
        <f t="shared" si="262"/>
        <v>Marketing</v>
      </c>
      <c r="H2429" t="s">
        <v>559</v>
      </c>
      <c r="I2429">
        <f t="shared" si="263"/>
        <v>5</v>
      </c>
      <c r="J2429" t="s">
        <v>546</v>
      </c>
      <c r="K2429" s="5">
        <v>100</v>
      </c>
      <c r="L2429" t="str">
        <f>Table_DataFromNL[[#This Row],[PROFILECODE]]&amp;"-"&amp;Table_DataFromNL[[#This Row],[RULENAME]]</f>
        <v>CP150-New Donor 5th Visit-Bonus</v>
      </c>
      <c r="M2429" t="str">
        <f t="shared" si="264"/>
        <v>CP150-NEW DONOR -5th</v>
      </c>
    </row>
    <row r="2430" spans="1:13" x14ac:dyDescent="0.25">
      <c r="A2430" t="str">
        <f t="shared" si="265"/>
        <v>CP150-NEW DONOR -6th</v>
      </c>
      <c r="B2430" t="s">
        <v>389</v>
      </c>
      <c r="C2430" t="str">
        <f t="shared" si="259"/>
        <v>Pensacola</v>
      </c>
      <c r="D2430" t="str">
        <f t="shared" si="260"/>
        <v>Y</v>
      </c>
      <c r="E2430" t="s">
        <v>658</v>
      </c>
      <c r="F2430" t="str">
        <f t="shared" si="261"/>
        <v>NEW DONOR -6th</v>
      </c>
      <c r="G2430" t="str">
        <f t="shared" si="262"/>
        <v>Marketing</v>
      </c>
      <c r="H2430" t="s">
        <v>560</v>
      </c>
      <c r="I2430">
        <f t="shared" si="263"/>
        <v>6</v>
      </c>
      <c r="J2430" t="s">
        <v>546</v>
      </c>
      <c r="K2430" s="5">
        <v>40</v>
      </c>
      <c r="L2430" t="str">
        <f>Table_DataFromNL[[#This Row],[PROFILECODE]]&amp;"-"&amp;Table_DataFromNL[[#This Row],[RULENAME]]</f>
        <v>CP150-New Donor 6th Visit-Bonus</v>
      </c>
      <c r="M2430" t="str">
        <f t="shared" si="264"/>
        <v>CP150-NEW DONOR -6th</v>
      </c>
    </row>
    <row r="2431" spans="1:13" x14ac:dyDescent="0.25">
      <c r="A2431" t="str">
        <f t="shared" si="265"/>
        <v>CP150-NEW DONOR -7th</v>
      </c>
      <c r="B2431" t="s">
        <v>389</v>
      </c>
      <c r="C2431" t="str">
        <f t="shared" si="259"/>
        <v>Pensacola</v>
      </c>
      <c r="D2431" t="str">
        <f t="shared" si="260"/>
        <v>Y</v>
      </c>
      <c r="E2431" t="s">
        <v>658</v>
      </c>
      <c r="F2431" t="str">
        <f t="shared" si="261"/>
        <v>NEW DONOR -7th</v>
      </c>
      <c r="G2431" t="str">
        <f t="shared" si="262"/>
        <v>Marketing</v>
      </c>
      <c r="H2431" t="s">
        <v>561</v>
      </c>
      <c r="I2431">
        <f t="shared" si="263"/>
        <v>7</v>
      </c>
      <c r="J2431" t="s">
        <v>546</v>
      </c>
      <c r="K2431" s="5">
        <v>40</v>
      </c>
      <c r="L2431" t="str">
        <f>Table_DataFromNL[[#This Row],[PROFILECODE]]&amp;"-"&amp;Table_DataFromNL[[#This Row],[RULENAME]]</f>
        <v>CP150-New Donor 7th Visit-Bonus</v>
      </c>
      <c r="M2431" t="str">
        <f t="shared" si="264"/>
        <v>CP150-NEW DONOR -7th</v>
      </c>
    </row>
    <row r="2432" spans="1:13" x14ac:dyDescent="0.25">
      <c r="A2432" t="str">
        <f t="shared" si="265"/>
        <v>CP150-NEW DONOR -8th</v>
      </c>
      <c r="B2432" t="s">
        <v>389</v>
      </c>
      <c r="C2432" t="str">
        <f t="shared" si="259"/>
        <v>Pensacola</v>
      </c>
      <c r="D2432" t="str">
        <f t="shared" si="260"/>
        <v>Y</v>
      </c>
      <c r="E2432" t="s">
        <v>658</v>
      </c>
      <c r="F2432" t="str">
        <f t="shared" si="261"/>
        <v>NEW DONOR -8th</v>
      </c>
      <c r="G2432" t="str">
        <f t="shared" si="262"/>
        <v>Marketing</v>
      </c>
      <c r="H2432" t="s">
        <v>562</v>
      </c>
      <c r="I2432">
        <f t="shared" si="263"/>
        <v>8</v>
      </c>
      <c r="J2432" t="s">
        <v>546</v>
      </c>
      <c r="K2432" s="5">
        <v>40</v>
      </c>
      <c r="L2432" t="str">
        <f>Table_DataFromNL[[#This Row],[PROFILECODE]]&amp;"-"&amp;Table_DataFromNL[[#This Row],[RULENAME]]</f>
        <v>CP150-New Donor 8th Visit-Bonus</v>
      </c>
      <c r="M2432" t="str">
        <f t="shared" si="264"/>
        <v>CP150-NEW DONOR -8th</v>
      </c>
    </row>
    <row r="2433" spans="1:13" x14ac:dyDescent="0.25">
      <c r="A2433" t="str">
        <f t="shared" si="265"/>
        <v>CP150-Vaccinia - 1st Donation</v>
      </c>
      <c r="B2433" t="s">
        <v>389</v>
      </c>
      <c r="C2433" t="str">
        <f t="shared" si="259"/>
        <v>Pensacola</v>
      </c>
      <c r="D2433" t="str">
        <f t="shared" si="260"/>
        <v>Y</v>
      </c>
      <c r="E2433" t="s">
        <v>658</v>
      </c>
      <c r="F2433" t="str">
        <f t="shared" si="261"/>
        <v>Vaccinia - 1st Donation</v>
      </c>
      <c r="G2433" t="str">
        <f t="shared" si="262"/>
        <v>Specialty</v>
      </c>
      <c r="H2433" t="s">
        <v>477</v>
      </c>
      <c r="I2433">
        <f t="shared" si="263"/>
        <v>0</v>
      </c>
      <c r="J2433" t="s">
        <v>546</v>
      </c>
      <c r="K2433" s="5">
        <v>150</v>
      </c>
      <c r="L2433" t="str">
        <f>Table_DataFromNL[[#This Row],[PROFILECODE]]&amp;"-"&amp;Table_DataFromNL[[#This Row],[RULENAME]]</f>
        <v>CP150-Vaccinia - 1st Donation</v>
      </c>
      <c r="M2433" t="str">
        <f t="shared" si="264"/>
        <v>CP150-Vaccinia - 1st Donation</v>
      </c>
    </row>
    <row r="2434" spans="1:13" x14ac:dyDescent="0.25">
      <c r="A2434" t="str">
        <f t="shared" si="265"/>
        <v>CP150-Vaccinia - 2nd Donation</v>
      </c>
      <c r="B2434" t="s">
        <v>389</v>
      </c>
      <c r="C2434" t="str">
        <f t="shared" ref="C2434:C2497" si="266">VLOOKUP(B2434,CenterLU,2,FALSE)</f>
        <v>Pensacola</v>
      </c>
      <c r="D2434" t="str">
        <f t="shared" ref="D2434:D2497" si="267">VLOOKUP(B2434,CenterLU,3,FALSE)</f>
        <v>Y</v>
      </c>
      <c r="E2434" t="s">
        <v>658</v>
      </c>
      <c r="F2434" t="str">
        <f t="shared" ref="F2434:F2497" si="268">IF(VLOOKUP(H2434,RULENAMELU,3,FALSE)=0,H2434,VLOOKUP(H2434,RULENAMELU,3,FALSE))</f>
        <v>Vaccinia - 2nd Donation</v>
      </c>
      <c r="G2434" t="str">
        <f t="shared" ref="G2434:G2497" si="269">VLOOKUP(H2434,RULENAMELU,4,FALSE)</f>
        <v>Specialty</v>
      </c>
      <c r="H2434" t="s">
        <v>478</v>
      </c>
      <c r="I2434">
        <f t="shared" ref="I2434:I2497" si="270">VLOOKUP(H2434,RULENAMELU,5,FALSE)</f>
        <v>0</v>
      </c>
      <c r="J2434" t="s">
        <v>546</v>
      </c>
      <c r="K2434" s="5">
        <v>250</v>
      </c>
      <c r="L2434" t="str">
        <f>Table_DataFromNL[[#This Row],[PROFILECODE]]&amp;"-"&amp;Table_DataFromNL[[#This Row],[RULENAME]]</f>
        <v>CP150-Vaccinia - 2nd Donation</v>
      </c>
      <c r="M2434" t="str">
        <f t="shared" ref="M2434:M2497" si="271">IFERROR(VLOOKUP(A2434,PaychangesLU,1,FALSE),VLOOKUP(A2434,SpecialtyCheckLU,1,FALSE))</f>
        <v>CP150-Vaccinia - 2nd Donation</v>
      </c>
    </row>
    <row r="2435" spans="1:13" x14ac:dyDescent="0.25">
      <c r="A2435" t="str">
        <f t="shared" ref="A2435:A2498" si="272">B2435&amp;"-"&amp;F2435</f>
        <v>CP150-Vaccinia - 3rd Donation</v>
      </c>
      <c r="B2435" t="s">
        <v>389</v>
      </c>
      <c r="C2435" t="str">
        <f t="shared" si="266"/>
        <v>Pensacola</v>
      </c>
      <c r="D2435" t="str">
        <f t="shared" si="267"/>
        <v>Y</v>
      </c>
      <c r="E2435" t="s">
        <v>658</v>
      </c>
      <c r="F2435" t="str">
        <f t="shared" si="268"/>
        <v>Vaccinia - 3rd Donation</v>
      </c>
      <c r="G2435" t="str">
        <f t="shared" si="269"/>
        <v>Specialty</v>
      </c>
      <c r="H2435" t="s">
        <v>479</v>
      </c>
      <c r="I2435">
        <f t="shared" si="270"/>
        <v>0</v>
      </c>
      <c r="J2435" t="s">
        <v>546</v>
      </c>
      <c r="K2435" s="5">
        <v>300</v>
      </c>
      <c r="L2435" t="str">
        <f>Table_DataFromNL[[#This Row],[PROFILECODE]]&amp;"-"&amp;Table_DataFromNL[[#This Row],[RULENAME]]</f>
        <v>CP150-Vaccinia - 3rd Donation</v>
      </c>
      <c r="M2435" t="str">
        <f t="shared" si="271"/>
        <v>CP150-Vaccinia - 3rd Donation</v>
      </c>
    </row>
    <row r="2436" spans="1:13" x14ac:dyDescent="0.25">
      <c r="A2436" t="str">
        <f t="shared" si="272"/>
        <v>CP150-Vaccinia - 4th Donation</v>
      </c>
      <c r="B2436" t="s">
        <v>389</v>
      </c>
      <c r="C2436" t="str">
        <f t="shared" si="266"/>
        <v>Pensacola</v>
      </c>
      <c r="D2436" t="str">
        <f t="shared" si="267"/>
        <v>Y</v>
      </c>
      <c r="E2436" t="s">
        <v>658</v>
      </c>
      <c r="F2436" t="str">
        <f t="shared" si="268"/>
        <v>Vaccinia - 4th Donation</v>
      </c>
      <c r="G2436" t="str">
        <f t="shared" si="269"/>
        <v>Specialty</v>
      </c>
      <c r="H2436" t="s">
        <v>480</v>
      </c>
      <c r="I2436">
        <f t="shared" si="270"/>
        <v>0</v>
      </c>
      <c r="J2436" t="s">
        <v>546</v>
      </c>
      <c r="K2436" s="5">
        <v>300</v>
      </c>
      <c r="L2436" t="str">
        <f>Table_DataFromNL[[#This Row],[PROFILECODE]]&amp;"-"&amp;Table_DataFromNL[[#This Row],[RULENAME]]</f>
        <v>CP150-Vaccinia - 4th Donation</v>
      </c>
      <c r="M2436" t="str">
        <f t="shared" si="271"/>
        <v>CP150-Vaccinia - 4th Donation</v>
      </c>
    </row>
    <row r="2437" spans="1:13" x14ac:dyDescent="0.25">
      <c r="A2437" t="str">
        <f t="shared" si="272"/>
        <v>CP150-Vaccinia AP - 1st Donation</v>
      </c>
      <c r="B2437" t="s">
        <v>389</v>
      </c>
      <c r="C2437" t="str">
        <f t="shared" si="266"/>
        <v>Pensacola</v>
      </c>
      <c r="D2437" t="str">
        <f t="shared" si="267"/>
        <v>Y</v>
      </c>
      <c r="E2437" t="s">
        <v>658</v>
      </c>
      <c r="F2437" t="str">
        <f t="shared" si="268"/>
        <v>Vaccinia AP - 1st Donation</v>
      </c>
      <c r="G2437" t="str">
        <f t="shared" si="269"/>
        <v>Specialty</v>
      </c>
      <c r="H2437" t="s">
        <v>481</v>
      </c>
      <c r="I2437">
        <f t="shared" si="270"/>
        <v>0</v>
      </c>
      <c r="J2437" t="s">
        <v>546</v>
      </c>
      <c r="K2437" s="5">
        <v>150</v>
      </c>
      <c r="L2437" t="str">
        <f>Table_DataFromNL[[#This Row],[PROFILECODE]]&amp;"-"&amp;Table_DataFromNL[[#This Row],[RULENAME]]</f>
        <v>CP150-Vaccinia AP - 1st Donation</v>
      </c>
      <c r="M2437" t="str">
        <f t="shared" si="271"/>
        <v>CP150-Vaccinia AP - 1st Donation</v>
      </c>
    </row>
    <row r="2438" spans="1:13" x14ac:dyDescent="0.25">
      <c r="A2438" t="str">
        <f t="shared" si="272"/>
        <v>CP150-Vaccinia AP - 2nd Donation</v>
      </c>
      <c r="B2438" t="s">
        <v>389</v>
      </c>
      <c r="C2438" t="str">
        <f t="shared" si="266"/>
        <v>Pensacola</v>
      </c>
      <c r="D2438" t="str">
        <f t="shared" si="267"/>
        <v>Y</v>
      </c>
      <c r="E2438" t="s">
        <v>658</v>
      </c>
      <c r="F2438" t="str">
        <f t="shared" si="268"/>
        <v>Vaccinia AP - 2nd Donation</v>
      </c>
      <c r="G2438" t="str">
        <f t="shared" si="269"/>
        <v>Specialty</v>
      </c>
      <c r="H2438" t="s">
        <v>482</v>
      </c>
      <c r="I2438">
        <f t="shared" si="270"/>
        <v>0</v>
      </c>
      <c r="J2438" t="s">
        <v>546</v>
      </c>
      <c r="K2438" s="5">
        <v>250</v>
      </c>
      <c r="L2438" t="str">
        <f>Table_DataFromNL[[#This Row],[PROFILECODE]]&amp;"-"&amp;Table_DataFromNL[[#This Row],[RULENAME]]</f>
        <v>CP150-Vaccinia AP - 2nd Donation</v>
      </c>
      <c r="M2438" t="str">
        <f t="shared" si="271"/>
        <v>CP150-Vaccinia AP - 2nd Donation</v>
      </c>
    </row>
    <row r="2439" spans="1:13" x14ac:dyDescent="0.25">
      <c r="A2439" t="str">
        <f t="shared" si="272"/>
        <v>CP150-Vaccinia AP - 3rd Donation</v>
      </c>
      <c r="B2439" t="s">
        <v>389</v>
      </c>
      <c r="C2439" t="str">
        <f t="shared" si="266"/>
        <v>Pensacola</v>
      </c>
      <c r="D2439" t="str">
        <f t="shared" si="267"/>
        <v>Y</v>
      </c>
      <c r="E2439" t="s">
        <v>658</v>
      </c>
      <c r="F2439" t="str">
        <f t="shared" si="268"/>
        <v>Vaccinia AP - 3rd Donation</v>
      </c>
      <c r="G2439" t="str">
        <f t="shared" si="269"/>
        <v>Specialty</v>
      </c>
      <c r="H2439" t="s">
        <v>483</v>
      </c>
      <c r="I2439">
        <f t="shared" si="270"/>
        <v>0</v>
      </c>
      <c r="J2439" t="s">
        <v>546</v>
      </c>
      <c r="K2439" s="5">
        <v>300</v>
      </c>
      <c r="L2439" t="str">
        <f>Table_DataFromNL[[#This Row],[PROFILECODE]]&amp;"-"&amp;Table_DataFromNL[[#This Row],[RULENAME]]</f>
        <v>CP150-Vaccinia AP - 3rd Donation</v>
      </c>
      <c r="M2439" t="str">
        <f t="shared" si="271"/>
        <v>CP150-Vaccinia AP - 3rd Donation</v>
      </c>
    </row>
    <row r="2440" spans="1:13" x14ac:dyDescent="0.25">
      <c r="A2440" t="str">
        <f t="shared" si="272"/>
        <v>CP150-Vaccinia AP - 4th Donation</v>
      </c>
      <c r="B2440" t="s">
        <v>389</v>
      </c>
      <c r="C2440" t="str">
        <f t="shared" si="266"/>
        <v>Pensacola</v>
      </c>
      <c r="D2440" t="str">
        <f t="shared" si="267"/>
        <v>Y</v>
      </c>
      <c r="E2440" t="s">
        <v>658</v>
      </c>
      <c r="F2440" t="str">
        <f t="shared" si="268"/>
        <v>Vaccinia AP - 4th Donation</v>
      </c>
      <c r="G2440" t="str">
        <f t="shared" si="269"/>
        <v>Specialty</v>
      </c>
      <c r="H2440" t="s">
        <v>484</v>
      </c>
      <c r="I2440">
        <f t="shared" si="270"/>
        <v>0</v>
      </c>
      <c r="J2440" t="s">
        <v>546</v>
      </c>
      <c r="K2440" s="5">
        <v>300</v>
      </c>
      <c r="L2440" t="str">
        <f>Table_DataFromNL[[#This Row],[PROFILECODE]]&amp;"-"&amp;Table_DataFromNL[[#This Row],[RULENAME]]</f>
        <v>CP150-Vaccinia AP - 4th Donation</v>
      </c>
      <c r="M2440" t="str">
        <f t="shared" si="271"/>
        <v>CP150-Vaccinia AP - 4th Donation</v>
      </c>
    </row>
    <row r="2441" spans="1:13" x14ac:dyDescent="0.25">
      <c r="A2441" t="str">
        <f t="shared" si="272"/>
        <v>CP150-Community</v>
      </c>
      <c r="B2441" t="s">
        <v>389</v>
      </c>
      <c r="C2441" t="str">
        <f t="shared" si="266"/>
        <v>Pensacola</v>
      </c>
      <c r="D2441" t="str">
        <f t="shared" si="267"/>
        <v>Y</v>
      </c>
      <c r="E2441" t="s">
        <v>658</v>
      </c>
      <c r="F2441" t="str">
        <f t="shared" si="268"/>
        <v>Community</v>
      </c>
      <c r="G2441">
        <f t="shared" si="269"/>
        <v>0</v>
      </c>
      <c r="H2441" t="s">
        <v>563</v>
      </c>
      <c r="I2441">
        <f t="shared" si="270"/>
        <v>0</v>
      </c>
      <c r="J2441" t="s">
        <v>564</v>
      </c>
      <c r="K2441" s="5">
        <v>5</v>
      </c>
      <c r="L2441" t="str">
        <f>Table_DataFromNL[[#This Row],[PROFILECODE]]&amp;"-"&amp;Table_DataFromNL[[#This Row],[RULENAME]]</f>
        <v>CP150-Community</v>
      </c>
      <c r="M2441" t="e">
        <f t="shared" si="271"/>
        <v>#N/A</v>
      </c>
    </row>
    <row r="2442" spans="1:13" x14ac:dyDescent="0.25">
      <c r="A2442" t="str">
        <f t="shared" si="272"/>
        <v>CP150-DENOVO  - Antibody Screen</v>
      </c>
      <c r="B2442" t="s">
        <v>389</v>
      </c>
      <c r="C2442" t="str">
        <f t="shared" si="266"/>
        <v>Pensacola</v>
      </c>
      <c r="D2442" t="str">
        <f t="shared" si="267"/>
        <v>Y</v>
      </c>
      <c r="E2442" t="s">
        <v>658</v>
      </c>
      <c r="F2442" t="str">
        <f t="shared" si="268"/>
        <v>DENOVO  - Antibody Screen</v>
      </c>
      <c r="G2442">
        <f t="shared" si="269"/>
        <v>0</v>
      </c>
      <c r="H2442" t="s">
        <v>651</v>
      </c>
      <c r="I2442">
        <f t="shared" si="270"/>
        <v>0</v>
      </c>
      <c r="J2442" t="s">
        <v>564</v>
      </c>
      <c r="K2442" s="5">
        <v>300</v>
      </c>
      <c r="L2442" t="str">
        <f>Table_DataFromNL[[#This Row],[PROFILECODE]]&amp;"-"&amp;Table_DataFromNL[[#This Row],[RULENAME]]</f>
        <v>CP150-DENOVO  - Antibody Screen</v>
      </c>
      <c r="M2442" t="e">
        <f t="shared" si="271"/>
        <v>#N/A</v>
      </c>
    </row>
    <row r="2443" spans="1:13" x14ac:dyDescent="0.25">
      <c r="A2443" t="str">
        <f t="shared" si="272"/>
        <v>CP150-Denovo - Attendance Bonus</v>
      </c>
      <c r="B2443" t="s">
        <v>389</v>
      </c>
      <c r="C2443" t="str">
        <f t="shared" si="266"/>
        <v>Pensacola</v>
      </c>
      <c r="D2443" t="str">
        <f t="shared" si="267"/>
        <v>Y</v>
      </c>
      <c r="E2443" t="s">
        <v>658</v>
      </c>
      <c r="F2443" t="str">
        <f t="shared" si="268"/>
        <v>Denovo - Attendance Bonus</v>
      </c>
      <c r="G2443">
        <f t="shared" si="269"/>
        <v>0</v>
      </c>
      <c r="H2443" t="s">
        <v>652</v>
      </c>
      <c r="I2443">
        <f t="shared" si="270"/>
        <v>0</v>
      </c>
      <c r="J2443" t="s">
        <v>564</v>
      </c>
      <c r="K2443" s="5">
        <v>100</v>
      </c>
      <c r="L2443" t="str">
        <f>Table_DataFromNL[[#This Row],[PROFILECODE]]&amp;"-"&amp;Table_DataFromNL[[#This Row],[RULENAME]]</f>
        <v>CP150-Denovo - Attendance Bonus</v>
      </c>
      <c r="M2443" t="e">
        <f t="shared" si="271"/>
        <v>#N/A</v>
      </c>
    </row>
    <row r="2444" spans="1:13" x14ac:dyDescent="0.25">
      <c r="A2444" t="str">
        <f t="shared" si="272"/>
        <v>CP150-Denovo - Immunization</v>
      </c>
      <c r="B2444" t="s">
        <v>389</v>
      </c>
      <c r="C2444" t="str">
        <f t="shared" si="266"/>
        <v>Pensacola</v>
      </c>
      <c r="D2444" t="str">
        <f t="shared" si="267"/>
        <v>Y</v>
      </c>
      <c r="E2444" t="s">
        <v>658</v>
      </c>
      <c r="F2444" t="str">
        <f t="shared" si="268"/>
        <v>Denovo - Immunization</v>
      </c>
      <c r="G2444">
        <f t="shared" si="269"/>
        <v>0</v>
      </c>
      <c r="H2444" t="s">
        <v>653</v>
      </c>
      <c r="I2444">
        <f t="shared" si="270"/>
        <v>0</v>
      </c>
      <c r="J2444" t="s">
        <v>564</v>
      </c>
      <c r="K2444" s="5">
        <v>300</v>
      </c>
      <c r="L2444" t="str">
        <f>Table_DataFromNL[[#This Row],[PROFILECODE]]&amp;"-"&amp;Table_DataFromNL[[#This Row],[RULENAME]]</f>
        <v>CP150-Denovo - Immunization</v>
      </c>
      <c r="M2444" t="e">
        <f t="shared" si="271"/>
        <v>#N/A</v>
      </c>
    </row>
    <row r="2445" spans="1:13" x14ac:dyDescent="0.25">
      <c r="A2445" t="str">
        <f t="shared" si="272"/>
        <v>CP150-HANGER_RECRUIT_5USD_once</v>
      </c>
      <c r="B2445" t="s">
        <v>389</v>
      </c>
      <c r="C2445" t="str">
        <f t="shared" si="266"/>
        <v>Pensacola</v>
      </c>
      <c r="D2445" t="str">
        <f t="shared" si="267"/>
        <v>Y</v>
      </c>
      <c r="E2445" t="s">
        <v>658</v>
      </c>
      <c r="F2445" t="str">
        <f t="shared" si="268"/>
        <v>HANGER_RECRUIT_5USD_once</v>
      </c>
      <c r="G2445">
        <f t="shared" si="269"/>
        <v>0</v>
      </c>
      <c r="H2445" t="s">
        <v>565</v>
      </c>
      <c r="I2445">
        <f t="shared" si="270"/>
        <v>0</v>
      </c>
      <c r="J2445" t="s">
        <v>564</v>
      </c>
      <c r="K2445" s="5">
        <v>5</v>
      </c>
      <c r="L2445" t="str">
        <f>Table_DataFromNL[[#This Row],[PROFILECODE]]&amp;"-"&amp;Table_DataFromNL[[#This Row],[RULENAME]]</f>
        <v>CP150-HANGER_RECRUIT_5USD_once</v>
      </c>
      <c r="M2445" t="e">
        <f t="shared" si="271"/>
        <v>#N/A</v>
      </c>
    </row>
    <row r="2446" spans="1:13" x14ac:dyDescent="0.25">
      <c r="A2446" t="str">
        <f t="shared" si="272"/>
        <v>CP150-HBS Missed Donation</v>
      </c>
      <c r="B2446" t="s">
        <v>389</v>
      </c>
      <c r="C2446" t="str">
        <f t="shared" si="266"/>
        <v>Pensacola</v>
      </c>
      <c r="D2446" t="str">
        <f t="shared" si="267"/>
        <v>Y</v>
      </c>
      <c r="E2446" t="s">
        <v>658</v>
      </c>
      <c r="F2446" t="str">
        <f t="shared" si="268"/>
        <v>HBS Missed Donation</v>
      </c>
      <c r="G2446">
        <f t="shared" si="269"/>
        <v>0</v>
      </c>
      <c r="H2446" t="s">
        <v>649</v>
      </c>
      <c r="I2446">
        <f t="shared" si="270"/>
        <v>0</v>
      </c>
      <c r="J2446" t="s">
        <v>564</v>
      </c>
      <c r="K2446" s="5">
        <v>25</v>
      </c>
      <c r="L2446" t="str">
        <f>Table_DataFromNL[[#This Row],[PROFILECODE]]&amp;"-"&amp;Table_DataFromNL[[#This Row],[RULENAME]]</f>
        <v>CP150-HBS Missed Donation</v>
      </c>
      <c r="M2446" t="e">
        <f t="shared" si="271"/>
        <v>#N/A</v>
      </c>
    </row>
    <row r="2447" spans="1:13" x14ac:dyDescent="0.25">
      <c r="A2447" t="str">
        <f t="shared" si="272"/>
        <v>CP150-Immunization Boost Payment</v>
      </c>
      <c r="B2447" t="s">
        <v>389</v>
      </c>
      <c r="C2447" t="str">
        <f t="shared" si="266"/>
        <v>Pensacola</v>
      </c>
      <c r="D2447" t="str">
        <f t="shared" si="267"/>
        <v>Y</v>
      </c>
      <c r="E2447" t="s">
        <v>658</v>
      </c>
      <c r="F2447" t="str">
        <f t="shared" si="268"/>
        <v>Immunization Boost Payment</v>
      </c>
      <c r="G2447">
        <f t="shared" si="269"/>
        <v>0</v>
      </c>
      <c r="H2447" t="s">
        <v>598</v>
      </c>
      <c r="I2447">
        <f t="shared" si="270"/>
        <v>0</v>
      </c>
      <c r="J2447" t="s">
        <v>564</v>
      </c>
      <c r="K2447" s="5">
        <v>50</v>
      </c>
      <c r="L2447" t="str">
        <f>Table_DataFromNL[[#This Row],[PROFILECODE]]&amp;"-"&amp;Table_DataFromNL[[#This Row],[RULENAME]]</f>
        <v>CP150-Immunization Boost Payment</v>
      </c>
      <c r="M2447" t="e">
        <f t="shared" si="271"/>
        <v>#N/A</v>
      </c>
    </row>
    <row r="2448" spans="1:13" x14ac:dyDescent="0.25">
      <c r="A2448" t="str">
        <f t="shared" si="272"/>
        <v>CP150-Immunization Series Payment</v>
      </c>
      <c r="B2448" t="s">
        <v>389</v>
      </c>
      <c r="C2448" t="str">
        <f t="shared" si="266"/>
        <v>Pensacola</v>
      </c>
      <c r="D2448" t="str">
        <f t="shared" si="267"/>
        <v>Y</v>
      </c>
      <c r="E2448" t="s">
        <v>658</v>
      </c>
      <c r="F2448" t="str">
        <f t="shared" si="268"/>
        <v>Immunization Series Payment</v>
      </c>
      <c r="G2448">
        <f t="shared" si="269"/>
        <v>0</v>
      </c>
      <c r="H2448" t="s">
        <v>599</v>
      </c>
      <c r="I2448">
        <f t="shared" si="270"/>
        <v>0</v>
      </c>
      <c r="J2448" t="s">
        <v>564</v>
      </c>
      <c r="K2448" s="5">
        <v>100</v>
      </c>
      <c r="L2448" t="str">
        <f>Table_DataFromNL[[#This Row],[PROFILECODE]]&amp;"-"&amp;Table_DataFromNL[[#This Row],[RULENAME]]</f>
        <v>CP150-Immunization Series Payment</v>
      </c>
      <c r="M2448" t="e">
        <f t="shared" si="271"/>
        <v>#N/A</v>
      </c>
    </row>
    <row r="2449" spans="1:13" x14ac:dyDescent="0.25">
      <c r="A2449" t="str">
        <f t="shared" si="272"/>
        <v>CP150-Inconv Fee $20-$50-Comment Req'd</v>
      </c>
      <c r="B2449" t="s">
        <v>389</v>
      </c>
      <c r="C2449" t="str">
        <f t="shared" si="266"/>
        <v>Pensacola</v>
      </c>
      <c r="D2449" t="str">
        <f t="shared" si="267"/>
        <v>Y</v>
      </c>
      <c r="E2449" t="s">
        <v>658</v>
      </c>
      <c r="F2449" t="str">
        <f t="shared" si="268"/>
        <v>Inconv Fee $20-$50-Comment Req'd</v>
      </c>
      <c r="G2449">
        <f t="shared" si="269"/>
        <v>0</v>
      </c>
      <c r="H2449" t="s">
        <v>566</v>
      </c>
      <c r="I2449">
        <f t="shared" si="270"/>
        <v>0</v>
      </c>
      <c r="J2449" t="s">
        <v>564</v>
      </c>
      <c r="K2449" s="5">
        <v>50</v>
      </c>
      <c r="L2449" t="str">
        <f>Table_DataFromNL[[#This Row],[PROFILECODE]]&amp;"-"&amp;Table_DataFromNL[[#This Row],[RULENAME]]</f>
        <v>CP150-Inconv Fee $20-$50-Comment Req'd</v>
      </c>
      <c r="M2449" t="e">
        <f t="shared" si="271"/>
        <v>#N/A</v>
      </c>
    </row>
    <row r="2450" spans="1:13" x14ac:dyDescent="0.25">
      <c r="A2450" t="str">
        <f t="shared" si="272"/>
        <v>CP150-Inconv Fee $5-$20-Comment Req'd</v>
      </c>
      <c r="B2450" t="s">
        <v>389</v>
      </c>
      <c r="C2450" t="str">
        <f t="shared" si="266"/>
        <v>Pensacola</v>
      </c>
      <c r="D2450" t="str">
        <f t="shared" si="267"/>
        <v>Y</v>
      </c>
      <c r="E2450" t="s">
        <v>658</v>
      </c>
      <c r="F2450" t="str">
        <f t="shared" si="268"/>
        <v>Inconv Fee $5-$20-Comment Req'd</v>
      </c>
      <c r="G2450">
        <f t="shared" si="269"/>
        <v>0</v>
      </c>
      <c r="H2450" t="s">
        <v>567</v>
      </c>
      <c r="I2450">
        <f t="shared" si="270"/>
        <v>0</v>
      </c>
      <c r="J2450" t="s">
        <v>564</v>
      </c>
      <c r="K2450" s="5">
        <v>20</v>
      </c>
      <c r="L2450" t="str">
        <f>Table_DataFromNL[[#This Row],[PROFILECODE]]&amp;"-"&amp;Table_DataFromNL[[#This Row],[RULENAME]]</f>
        <v>CP150-Inconv Fee $5-$20-Comment Req'd</v>
      </c>
      <c r="M2450" t="e">
        <f t="shared" si="271"/>
        <v>#N/A</v>
      </c>
    </row>
    <row r="2451" spans="1:13" x14ac:dyDescent="0.25">
      <c r="A2451" t="str">
        <f t="shared" si="272"/>
        <v>CP150-Inconv Fee$50-$100-Comment Req'd</v>
      </c>
      <c r="B2451" t="s">
        <v>389</v>
      </c>
      <c r="C2451" t="str">
        <f t="shared" si="266"/>
        <v>Pensacola</v>
      </c>
      <c r="D2451" t="str">
        <f t="shared" si="267"/>
        <v>Y</v>
      </c>
      <c r="E2451" t="s">
        <v>658</v>
      </c>
      <c r="F2451" t="str">
        <f t="shared" si="268"/>
        <v>Inconv Fee$50-$100-Comment Req'd</v>
      </c>
      <c r="G2451">
        <f t="shared" si="269"/>
        <v>0</v>
      </c>
      <c r="H2451" t="s">
        <v>568</v>
      </c>
      <c r="I2451">
        <f t="shared" si="270"/>
        <v>0</v>
      </c>
      <c r="J2451" t="s">
        <v>564</v>
      </c>
      <c r="K2451" s="5">
        <v>100</v>
      </c>
      <c r="L2451" t="str">
        <f>Table_DataFromNL[[#This Row],[PROFILECODE]]&amp;"-"&amp;Table_DataFromNL[[#This Row],[RULENAME]]</f>
        <v>CP150-Inconv Fee$50-$100-Comment Req'd</v>
      </c>
      <c r="M2451" t="e">
        <f t="shared" si="271"/>
        <v>#N/A</v>
      </c>
    </row>
    <row r="2452" spans="1:13" x14ac:dyDescent="0.25">
      <c r="A2452" t="str">
        <f t="shared" si="272"/>
        <v>CP150-NSP_ LAPSEDONOR_50_Twice</v>
      </c>
      <c r="B2452" t="s">
        <v>389</v>
      </c>
      <c r="C2452" t="str">
        <f t="shared" si="266"/>
        <v>Pensacola</v>
      </c>
      <c r="D2452" t="str">
        <f t="shared" si="267"/>
        <v>Y</v>
      </c>
      <c r="E2452" t="s">
        <v>658</v>
      </c>
      <c r="F2452" t="str">
        <f t="shared" si="268"/>
        <v>NSP_ LAPSEDONOR_50_Twice</v>
      </c>
      <c r="G2452">
        <f t="shared" si="269"/>
        <v>0</v>
      </c>
      <c r="H2452" t="s">
        <v>569</v>
      </c>
      <c r="I2452">
        <f t="shared" si="270"/>
        <v>0</v>
      </c>
      <c r="J2452" t="s">
        <v>564</v>
      </c>
      <c r="K2452" s="5">
        <v>50</v>
      </c>
      <c r="L2452" t="str">
        <f>Table_DataFromNL[[#This Row],[PROFILECODE]]&amp;"-"&amp;Table_DataFromNL[[#This Row],[RULENAME]]</f>
        <v>CP150-NSP_ LAPSEDONOR_50_Twice</v>
      </c>
      <c r="M2452" t="e">
        <f t="shared" si="271"/>
        <v>#N/A</v>
      </c>
    </row>
    <row r="2453" spans="1:13" x14ac:dyDescent="0.25">
      <c r="A2453" t="str">
        <f t="shared" si="272"/>
        <v>CP150-NSP_LD_25_2X</v>
      </c>
      <c r="B2453" t="s">
        <v>389</v>
      </c>
      <c r="C2453" t="str">
        <f t="shared" si="266"/>
        <v>Pensacola</v>
      </c>
      <c r="D2453" t="str">
        <f t="shared" si="267"/>
        <v>Y</v>
      </c>
      <c r="E2453" t="s">
        <v>658</v>
      </c>
      <c r="F2453" t="str">
        <f t="shared" si="268"/>
        <v>NSP_LD_25_2X</v>
      </c>
      <c r="G2453">
        <f t="shared" si="269"/>
        <v>0</v>
      </c>
      <c r="H2453" t="s">
        <v>570</v>
      </c>
      <c r="I2453">
        <f t="shared" si="270"/>
        <v>0</v>
      </c>
      <c r="J2453" t="s">
        <v>564</v>
      </c>
      <c r="K2453" s="5">
        <v>25</v>
      </c>
      <c r="L2453" t="str">
        <f>Table_DataFromNL[[#This Row],[PROFILECODE]]&amp;"-"&amp;Table_DataFromNL[[#This Row],[RULENAME]]</f>
        <v>CP150-NSP_LD_25_2X</v>
      </c>
      <c r="M2453" t="e">
        <f t="shared" si="271"/>
        <v>#N/A</v>
      </c>
    </row>
    <row r="2454" spans="1:13" x14ac:dyDescent="0.25">
      <c r="A2454" t="str">
        <f t="shared" si="272"/>
        <v>CP150-NSP_LD_50_1X</v>
      </c>
      <c r="B2454" t="s">
        <v>389</v>
      </c>
      <c r="C2454" t="str">
        <f t="shared" si="266"/>
        <v>Pensacola</v>
      </c>
      <c r="D2454" t="str">
        <f t="shared" si="267"/>
        <v>Y</v>
      </c>
      <c r="E2454" t="s">
        <v>658</v>
      </c>
      <c r="F2454" t="str">
        <f t="shared" si="268"/>
        <v>NSP_LD_50_1X</v>
      </c>
      <c r="G2454">
        <f t="shared" si="269"/>
        <v>0</v>
      </c>
      <c r="H2454" t="s">
        <v>571</v>
      </c>
      <c r="I2454">
        <f t="shared" si="270"/>
        <v>0</v>
      </c>
      <c r="J2454" t="s">
        <v>564</v>
      </c>
      <c r="K2454" s="5">
        <v>50</v>
      </c>
      <c r="L2454" t="str">
        <f>Table_DataFromNL[[#This Row],[PROFILECODE]]&amp;"-"&amp;Table_DataFromNL[[#This Row],[RULENAME]]</f>
        <v>CP150-NSP_LD_50_1X</v>
      </c>
      <c r="M2454" t="e">
        <f t="shared" si="271"/>
        <v>#N/A</v>
      </c>
    </row>
    <row r="2455" spans="1:13" x14ac:dyDescent="0.25">
      <c r="A2455" t="str">
        <f t="shared" si="272"/>
        <v>CP150-NSP_ORPHAN_100_once</v>
      </c>
      <c r="B2455" t="s">
        <v>389</v>
      </c>
      <c r="C2455" t="str">
        <f t="shared" si="266"/>
        <v>Pensacola</v>
      </c>
      <c r="D2455" t="str">
        <f t="shared" si="267"/>
        <v>Y</v>
      </c>
      <c r="E2455" t="s">
        <v>658</v>
      </c>
      <c r="F2455" t="str">
        <f t="shared" si="268"/>
        <v>NSP_ORPHAN_100_once</v>
      </c>
      <c r="G2455">
        <f t="shared" si="269"/>
        <v>0</v>
      </c>
      <c r="H2455" t="s">
        <v>572</v>
      </c>
      <c r="I2455">
        <f t="shared" si="270"/>
        <v>0</v>
      </c>
      <c r="J2455" t="s">
        <v>564</v>
      </c>
      <c r="K2455" s="5">
        <v>100</v>
      </c>
      <c r="L2455" t="str">
        <f>Table_DataFromNL[[#This Row],[PROFILECODE]]&amp;"-"&amp;Table_DataFromNL[[#This Row],[RULENAME]]</f>
        <v>CP150-NSP_ORPHAN_100_once</v>
      </c>
      <c r="M2455" t="e">
        <f t="shared" si="271"/>
        <v>#N/A</v>
      </c>
    </row>
    <row r="2456" spans="1:13" x14ac:dyDescent="0.25">
      <c r="A2456" t="str">
        <f t="shared" si="272"/>
        <v>CP150-Referral - Vaccinia</v>
      </c>
      <c r="B2456" t="s">
        <v>389</v>
      </c>
      <c r="C2456" t="str">
        <f t="shared" si="266"/>
        <v>Pensacola</v>
      </c>
      <c r="D2456" t="str">
        <f t="shared" si="267"/>
        <v>Y</v>
      </c>
      <c r="E2456" t="s">
        <v>658</v>
      </c>
      <c r="F2456" t="str">
        <f t="shared" si="268"/>
        <v>Referral - Vaccinia</v>
      </c>
      <c r="G2456">
        <f t="shared" si="269"/>
        <v>0</v>
      </c>
      <c r="H2456" t="s">
        <v>595</v>
      </c>
      <c r="I2456">
        <f t="shared" si="270"/>
        <v>0</v>
      </c>
      <c r="J2456" t="s">
        <v>564</v>
      </c>
      <c r="K2456" s="5">
        <v>250</v>
      </c>
      <c r="L2456" t="str">
        <f>Table_DataFromNL[[#This Row],[PROFILECODE]]&amp;"-"&amp;Table_DataFromNL[[#This Row],[RULENAME]]</f>
        <v>CP150-Referral - Vaccinia</v>
      </c>
      <c r="M2456" t="e">
        <f t="shared" si="271"/>
        <v>#N/A</v>
      </c>
    </row>
    <row r="2457" spans="1:13" x14ac:dyDescent="0.25">
      <c r="A2457" t="str">
        <f t="shared" si="272"/>
        <v>CP150-Restick</v>
      </c>
      <c r="B2457" t="s">
        <v>389</v>
      </c>
      <c r="C2457" t="str">
        <f t="shared" si="266"/>
        <v>Pensacola</v>
      </c>
      <c r="D2457" t="str">
        <f t="shared" si="267"/>
        <v>Y</v>
      </c>
      <c r="E2457" t="s">
        <v>658</v>
      </c>
      <c r="F2457" t="str">
        <f t="shared" si="268"/>
        <v>Restick</v>
      </c>
      <c r="G2457">
        <f t="shared" si="269"/>
        <v>0</v>
      </c>
      <c r="H2457" t="s">
        <v>573</v>
      </c>
      <c r="I2457">
        <f t="shared" si="270"/>
        <v>0</v>
      </c>
      <c r="J2457" t="s">
        <v>564</v>
      </c>
      <c r="K2457" s="5">
        <v>5</v>
      </c>
      <c r="L2457" t="str">
        <f>Table_DataFromNL[[#This Row],[PROFILECODE]]&amp;"-"&amp;Table_DataFromNL[[#This Row],[RULENAME]]</f>
        <v>CP150-Restick</v>
      </c>
      <c r="M2457" t="e">
        <f t="shared" si="271"/>
        <v>#N/A</v>
      </c>
    </row>
    <row r="2458" spans="1:13" x14ac:dyDescent="0.25">
      <c r="A2458" t="str">
        <f t="shared" si="272"/>
        <v>CP150-SLOW_TEXT_5</v>
      </c>
      <c r="B2458" t="s">
        <v>389</v>
      </c>
      <c r="C2458" t="str">
        <f t="shared" si="266"/>
        <v>Pensacola</v>
      </c>
      <c r="D2458" t="str">
        <f t="shared" si="267"/>
        <v>Y</v>
      </c>
      <c r="E2458" t="s">
        <v>658</v>
      </c>
      <c r="F2458" t="str">
        <f t="shared" si="268"/>
        <v>SLOW_TEXT_5</v>
      </c>
      <c r="G2458">
        <f t="shared" si="269"/>
        <v>0</v>
      </c>
      <c r="H2458" t="s">
        <v>574</v>
      </c>
      <c r="I2458">
        <f t="shared" si="270"/>
        <v>0</v>
      </c>
      <c r="J2458" t="s">
        <v>564</v>
      </c>
      <c r="K2458" s="5">
        <v>5</v>
      </c>
      <c r="L2458" t="str">
        <f>Table_DataFromNL[[#This Row],[PROFILECODE]]&amp;"-"&amp;Table_DataFromNL[[#This Row],[RULENAME]]</f>
        <v>CP150-SLOW_TEXT_5</v>
      </c>
      <c r="M2458" t="e">
        <f t="shared" si="271"/>
        <v>#N/A</v>
      </c>
    </row>
    <row r="2459" spans="1:13" x14ac:dyDescent="0.25">
      <c r="A2459" t="str">
        <f t="shared" si="272"/>
        <v>CP150-Sample Only</v>
      </c>
      <c r="B2459" t="s">
        <v>389</v>
      </c>
      <c r="C2459" t="str">
        <f t="shared" si="266"/>
        <v>Pensacola</v>
      </c>
      <c r="D2459" t="str">
        <f t="shared" si="267"/>
        <v>Y</v>
      </c>
      <c r="E2459" t="s">
        <v>658</v>
      </c>
      <c r="F2459" t="str">
        <f t="shared" si="268"/>
        <v>Sample Only</v>
      </c>
      <c r="G2459">
        <f t="shared" si="269"/>
        <v>0</v>
      </c>
      <c r="H2459" t="s">
        <v>575</v>
      </c>
      <c r="I2459">
        <f t="shared" si="270"/>
        <v>0</v>
      </c>
      <c r="J2459" t="s">
        <v>564</v>
      </c>
      <c r="K2459" s="5">
        <v>5</v>
      </c>
      <c r="L2459" t="str">
        <f>Table_DataFromNL[[#This Row],[PROFILECODE]]&amp;"-"&amp;Table_DataFromNL[[#This Row],[RULENAME]]</f>
        <v>CP150-Sample Only</v>
      </c>
      <c r="M2459" t="e">
        <f t="shared" si="271"/>
        <v>#N/A</v>
      </c>
    </row>
    <row r="2460" spans="1:13" x14ac:dyDescent="0.25">
      <c r="A2460" t="str">
        <f t="shared" si="272"/>
        <v>CP150-Unit Below 250 mL</v>
      </c>
      <c r="B2460" t="s">
        <v>389</v>
      </c>
      <c r="C2460" t="str">
        <f t="shared" si="266"/>
        <v>Pensacola</v>
      </c>
      <c r="D2460" t="str">
        <f t="shared" si="267"/>
        <v>Y</v>
      </c>
      <c r="E2460" t="s">
        <v>658</v>
      </c>
      <c r="F2460" t="str">
        <f t="shared" si="268"/>
        <v>Unit Below 250 mL</v>
      </c>
      <c r="G2460">
        <f t="shared" si="269"/>
        <v>0</v>
      </c>
      <c r="H2460" t="s">
        <v>576</v>
      </c>
      <c r="I2460">
        <f t="shared" si="270"/>
        <v>0</v>
      </c>
      <c r="J2460" t="s">
        <v>564</v>
      </c>
      <c r="K2460" s="5">
        <v>5</v>
      </c>
      <c r="L2460" t="str">
        <f>Table_DataFromNL[[#This Row],[PROFILECODE]]&amp;"-"&amp;Table_DataFromNL[[#This Row],[RULENAME]]</f>
        <v>CP150-Unit Below 250 mL</v>
      </c>
      <c r="M2460" t="e">
        <f t="shared" si="271"/>
        <v>#N/A</v>
      </c>
    </row>
    <row r="2461" spans="1:13" x14ac:dyDescent="0.25">
      <c r="A2461" t="str">
        <f t="shared" si="272"/>
        <v>CP150-Unit above 250 mL/underdraw</v>
      </c>
      <c r="B2461" t="s">
        <v>389</v>
      </c>
      <c r="C2461" t="str">
        <f t="shared" si="266"/>
        <v>Pensacola</v>
      </c>
      <c r="D2461" t="str">
        <f t="shared" si="267"/>
        <v>Y</v>
      </c>
      <c r="E2461" t="s">
        <v>658</v>
      </c>
      <c r="F2461" t="str">
        <f t="shared" si="268"/>
        <v>Unit above 250 mL/underdraw</v>
      </c>
      <c r="G2461">
        <f t="shared" si="269"/>
        <v>0</v>
      </c>
      <c r="H2461" t="s">
        <v>577</v>
      </c>
      <c r="I2461">
        <f t="shared" si="270"/>
        <v>0</v>
      </c>
      <c r="J2461" t="s">
        <v>564</v>
      </c>
      <c r="K2461" s="5">
        <v>10</v>
      </c>
      <c r="L2461" t="str">
        <f>Table_DataFromNL[[#This Row],[PROFILECODE]]&amp;"-"&amp;Table_DataFromNL[[#This Row],[RULENAME]]</f>
        <v>CP150-Unit above 250 mL/underdraw</v>
      </c>
      <c r="M2461" t="e">
        <f t="shared" si="271"/>
        <v>#N/A</v>
      </c>
    </row>
    <row r="2462" spans="1:13" x14ac:dyDescent="0.25">
      <c r="A2462" t="str">
        <f t="shared" si="272"/>
        <v>CP150-Vaccinia Immunization</v>
      </c>
      <c r="B2462" t="s">
        <v>389</v>
      </c>
      <c r="C2462" t="str">
        <f t="shared" si="266"/>
        <v>Pensacola</v>
      </c>
      <c r="D2462" t="str">
        <f t="shared" si="267"/>
        <v>Y</v>
      </c>
      <c r="E2462" t="s">
        <v>658</v>
      </c>
      <c r="F2462" t="str">
        <f t="shared" si="268"/>
        <v>Vaccinia Immunization</v>
      </c>
      <c r="G2462">
        <f t="shared" si="269"/>
        <v>0</v>
      </c>
      <c r="H2462" t="s">
        <v>596</v>
      </c>
      <c r="I2462">
        <f t="shared" si="270"/>
        <v>0</v>
      </c>
      <c r="J2462" t="s">
        <v>564</v>
      </c>
      <c r="K2462" s="5">
        <v>100</v>
      </c>
      <c r="L2462" t="str">
        <f>Table_DataFromNL[[#This Row],[PROFILECODE]]&amp;"-"&amp;Table_DataFromNL[[#This Row],[RULENAME]]</f>
        <v>CP150-Vaccinia Immunization</v>
      </c>
      <c r="M2462" t="e">
        <f t="shared" si="271"/>
        <v>#N/A</v>
      </c>
    </row>
    <row r="2463" spans="1:13" x14ac:dyDescent="0.25">
      <c r="A2463" t="str">
        <f t="shared" si="272"/>
        <v>CP150-RETURN - Buddy referral  -BONUS</v>
      </c>
      <c r="B2463" t="s">
        <v>389</v>
      </c>
      <c r="C2463" t="str">
        <f t="shared" si="266"/>
        <v>Pensacola</v>
      </c>
      <c r="D2463" t="str">
        <f t="shared" si="267"/>
        <v>Y</v>
      </c>
      <c r="E2463" t="s">
        <v>658</v>
      </c>
      <c r="F2463" t="str">
        <f t="shared" si="268"/>
        <v>RETURN - Buddy referral  -BONUS</v>
      </c>
      <c r="G2463" t="str">
        <f t="shared" si="269"/>
        <v>Marketing</v>
      </c>
      <c r="H2463" t="s">
        <v>34</v>
      </c>
      <c r="I2463">
        <f t="shared" si="270"/>
        <v>50</v>
      </c>
      <c r="J2463" t="s">
        <v>578</v>
      </c>
      <c r="K2463" s="5">
        <v>50</v>
      </c>
      <c r="L2463" t="str">
        <f>Table_DataFromNL[[#This Row],[PROFILECODE]]&amp;"-"&amp;Table_DataFromNL[[#This Row],[RULENAME]]</f>
        <v>CP150-Referral</v>
      </c>
      <c r="M2463" t="str">
        <f t="shared" si="271"/>
        <v>CP150-RETURN - Buddy referral  -BONUS</v>
      </c>
    </row>
    <row r="2464" spans="1:13" x14ac:dyDescent="0.25">
      <c r="A2464" t="str">
        <f t="shared" si="272"/>
        <v>CP150-P Anti-D Pre-Existing Standard</v>
      </c>
      <c r="B2464" t="s">
        <v>389</v>
      </c>
      <c r="C2464" t="str">
        <f t="shared" si="266"/>
        <v>Pensacola</v>
      </c>
      <c r="D2464" t="str">
        <f t="shared" si="267"/>
        <v>Y</v>
      </c>
      <c r="E2464" t="s">
        <v>658</v>
      </c>
      <c r="F2464" t="str">
        <f t="shared" si="268"/>
        <v>P Anti-D Pre-Existing Standard</v>
      </c>
      <c r="G2464" t="str">
        <f t="shared" si="269"/>
        <v>Specialty</v>
      </c>
      <c r="H2464" t="s">
        <v>469</v>
      </c>
      <c r="I2464" t="str">
        <f t="shared" si="270"/>
        <v>RETURN - 1st don of the week -STD</v>
      </c>
      <c r="J2464" t="s">
        <v>579</v>
      </c>
      <c r="K2464" s="5">
        <v>60</v>
      </c>
      <c r="L2464" t="str">
        <f>Table_DataFromNL[[#This Row],[PROFILECODE]]&amp;"-"&amp;Table_DataFromNL[[#This Row],[RULENAME]]</f>
        <v>CP150-P Anti-D Pre-Existing Standard</v>
      </c>
      <c r="M2464" t="str">
        <f t="shared" si="271"/>
        <v>CP150-P Anti-D Pre-Existing Standard</v>
      </c>
    </row>
    <row r="2465" spans="1:13" x14ac:dyDescent="0.25">
      <c r="A2465" t="str">
        <f t="shared" si="272"/>
        <v>CP150-P Anti-D Standard</v>
      </c>
      <c r="B2465" t="s">
        <v>389</v>
      </c>
      <c r="C2465" t="str">
        <f t="shared" si="266"/>
        <v>Pensacola</v>
      </c>
      <c r="D2465" t="str">
        <f t="shared" si="267"/>
        <v>Y</v>
      </c>
      <c r="E2465" t="s">
        <v>658</v>
      </c>
      <c r="F2465" t="str">
        <f t="shared" si="268"/>
        <v>P Anti-D Standard</v>
      </c>
      <c r="G2465" t="str">
        <f t="shared" si="269"/>
        <v>Specialty</v>
      </c>
      <c r="H2465" t="s">
        <v>474</v>
      </c>
      <c r="I2465" t="str">
        <f t="shared" si="270"/>
        <v>RETURN - 1st don of the week -STD</v>
      </c>
      <c r="J2465" t="s">
        <v>579</v>
      </c>
      <c r="K2465" s="5">
        <v>60</v>
      </c>
      <c r="L2465" t="str">
        <f>Table_DataFromNL[[#This Row],[PROFILECODE]]&amp;"-"&amp;Table_DataFromNL[[#This Row],[RULENAME]]</f>
        <v>CP150-P Anti-D Standard</v>
      </c>
      <c r="M2465" t="str">
        <f t="shared" si="271"/>
        <v>CP150-P Anti-D Standard</v>
      </c>
    </row>
    <row r="2466" spans="1:13" x14ac:dyDescent="0.25">
      <c r="A2466" t="str">
        <f t="shared" si="272"/>
        <v>CP150-P HBS Pre-Existing Standard</v>
      </c>
      <c r="B2466" t="s">
        <v>389</v>
      </c>
      <c r="C2466" t="str">
        <f t="shared" si="266"/>
        <v>Pensacola</v>
      </c>
      <c r="D2466" t="str">
        <f t="shared" si="267"/>
        <v>Y</v>
      </c>
      <c r="E2466" t="s">
        <v>658</v>
      </c>
      <c r="F2466" t="str">
        <f t="shared" si="268"/>
        <v>P HBS Pre-Existing Standard</v>
      </c>
      <c r="G2466" t="str">
        <f t="shared" si="269"/>
        <v>Specialty</v>
      </c>
      <c r="H2466" t="s">
        <v>472</v>
      </c>
      <c r="I2466" t="str">
        <f t="shared" si="270"/>
        <v>RETURN - 1st don of the week -STD</v>
      </c>
      <c r="J2466" t="s">
        <v>579</v>
      </c>
      <c r="K2466" s="5">
        <v>40</v>
      </c>
      <c r="L2466" t="str">
        <f>Table_DataFromNL[[#This Row],[PROFILECODE]]&amp;"-"&amp;Table_DataFromNL[[#This Row],[RULENAME]]</f>
        <v>CP150-P HBS Pre-Existing Standard</v>
      </c>
      <c r="M2466" t="str">
        <f t="shared" si="271"/>
        <v>CP150-P HBS Pre-Existing Standard</v>
      </c>
    </row>
    <row r="2467" spans="1:13" x14ac:dyDescent="0.25">
      <c r="A2467" t="str">
        <f t="shared" si="272"/>
        <v>CP150-P HBS Standard</v>
      </c>
      <c r="B2467" t="s">
        <v>389</v>
      </c>
      <c r="C2467" t="str">
        <f t="shared" si="266"/>
        <v>Pensacola</v>
      </c>
      <c r="D2467" t="str">
        <f t="shared" si="267"/>
        <v>Y</v>
      </c>
      <c r="E2467" t="s">
        <v>658</v>
      </c>
      <c r="F2467" t="str">
        <f t="shared" si="268"/>
        <v>P HBS Standard</v>
      </c>
      <c r="G2467" t="str">
        <f t="shared" si="269"/>
        <v>Specialty</v>
      </c>
      <c r="H2467" t="s">
        <v>473</v>
      </c>
      <c r="I2467" t="str">
        <f t="shared" si="270"/>
        <v>RETURN - 1st don of the week -STD</v>
      </c>
      <c r="J2467" t="s">
        <v>579</v>
      </c>
      <c r="K2467" s="5">
        <v>40</v>
      </c>
      <c r="L2467" t="str">
        <f>Table_DataFromNL[[#This Row],[PROFILECODE]]&amp;"-"&amp;Table_DataFromNL[[#This Row],[RULENAME]]</f>
        <v>CP150-P HBS Standard</v>
      </c>
      <c r="M2467" t="str">
        <f t="shared" si="271"/>
        <v>CP150-P HBS Standard</v>
      </c>
    </row>
    <row r="2468" spans="1:13" x14ac:dyDescent="0.25">
      <c r="A2468" t="str">
        <f t="shared" si="272"/>
        <v>CP150-RETURN - 1st don of the week -STD</v>
      </c>
      <c r="B2468" t="s">
        <v>389</v>
      </c>
      <c r="C2468" t="str">
        <f t="shared" si="266"/>
        <v>Pensacola</v>
      </c>
      <c r="D2468" t="str">
        <f t="shared" si="267"/>
        <v>Y</v>
      </c>
      <c r="E2468" t="s">
        <v>658</v>
      </c>
      <c r="F2468" t="str">
        <f t="shared" si="268"/>
        <v>RETURN - 1st don of the week -STD</v>
      </c>
      <c r="G2468" t="str">
        <f t="shared" si="269"/>
        <v>Marketing</v>
      </c>
      <c r="H2468" t="s">
        <v>583</v>
      </c>
      <c r="I2468">
        <f t="shared" si="270"/>
        <v>22</v>
      </c>
      <c r="J2468" t="s">
        <v>579</v>
      </c>
      <c r="K2468" s="5">
        <v>40</v>
      </c>
      <c r="L2468" t="str">
        <f>Table_DataFromNL[[#This Row],[PROFILECODE]]&amp;"-"&amp;Table_DataFromNL[[#This Row],[RULENAME]]</f>
        <v>CP150-P NSP NS AP Standard</v>
      </c>
      <c r="M2468" t="str">
        <f t="shared" si="271"/>
        <v>CP150-RETURN - 1st don of the week -STD</v>
      </c>
    </row>
    <row r="2469" spans="1:13" x14ac:dyDescent="0.25">
      <c r="A2469" t="str">
        <f t="shared" si="272"/>
        <v>CP150-RETURN - 1st don of the week -STD</v>
      </c>
      <c r="B2469" t="s">
        <v>389</v>
      </c>
      <c r="C2469" t="str">
        <f t="shared" si="266"/>
        <v>Pensacola</v>
      </c>
      <c r="D2469" t="str">
        <f t="shared" si="267"/>
        <v>Y</v>
      </c>
      <c r="E2469" t="s">
        <v>658</v>
      </c>
      <c r="F2469" t="str">
        <f t="shared" si="268"/>
        <v>RETURN - 1st don of the week -STD</v>
      </c>
      <c r="G2469" t="str">
        <f t="shared" si="269"/>
        <v>Marketing</v>
      </c>
      <c r="H2469" t="s">
        <v>584</v>
      </c>
      <c r="I2469">
        <f t="shared" si="270"/>
        <v>23</v>
      </c>
      <c r="J2469" t="s">
        <v>579</v>
      </c>
      <c r="K2469" s="5">
        <v>40</v>
      </c>
      <c r="L2469" t="str">
        <f>Table_DataFromNL[[#This Row],[PROFILECODE]]&amp;"-"&amp;Table_DataFromNL[[#This Row],[RULENAME]]</f>
        <v>CP150-P NSP NS Standard</v>
      </c>
      <c r="M2469" t="str">
        <f t="shared" si="271"/>
        <v>CP150-RETURN - 1st don of the week -STD</v>
      </c>
    </row>
    <row r="2470" spans="1:13" x14ac:dyDescent="0.25">
      <c r="A2470" t="str">
        <f t="shared" si="272"/>
        <v>CP150-P Rabies HT Standard</v>
      </c>
      <c r="B2470" t="s">
        <v>389</v>
      </c>
      <c r="C2470" t="str">
        <f t="shared" si="266"/>
        <v>Pensacola</v>
      </c>
      <c r="D2470" t="str">
        <f t="shared" si="267"/>
        <v>Y</v>
      </c>
      <c r="E2470" t="s">
        <v>658</v>
      </c>
      <c r="F2470" t="str">
        <f t="shared" si="268"/>
        <v>P Rabies HT Standard</v>
      </c>
      <c r="G2470" t="str">
        <f t="shared" si="269"/>
        <v>Specialty</v>
      </c>
      <c r="H2470" t="s">
        <v>502</v>
      </c>
      <c r="I2470" t="str">
        <f t="shared" si="270"/>
        <v>RETURN - 1st don of the week -STD</v>
      </c>
      <c r="J2470" t="s">
        <v>579</v>
      </c>
      <c r="K2470" s="5">
        <v>40</v>
      </c>
      <c r="L2470" t="str">
        <f>Table_DataFromNL[[#This Row],[PROFILECODE]]&amp;"-"&amp;Table_DataFromNL[[#This Row],[RULENAME]]</f>
        <v>CP150-P Rabies HT Standard</v>
      </c>
      <c r="M2470" t="str">
        <f t="shared" si="271"/>
        <v>CP150-P Rabies HT Standard</v>
      </c>
    </row>
    <row r="2471" spans="1:13" x14ac:dyDescent="0.25">
      <c r="A2471" t="str">
        <f t="shared" si="272"/>
        <v>CP150-P Rabies Standard</v>
      </c>
      <c r="B2471" t="s">
        <v>389</v>
      </c>
      <c r="C2471" t="str">
        <f t="shared" si="266"/>
        <v>Pensacola</v>
      </c>
      <c r="D2471" t="str">
        <f t="shared" si="267"/>
        <v>Y</v>
      </c>
      <c r="E2471" t="s">
        <v>658</v>
      </c>
      <c r="F2471" t="str">
        <f t="shared" si="268"/>
        <v>P Rabies Standard</v>
      </c>
      <c r="G2471" t="str">
        <f t="shared" si="269"/>
        <v>Specialty</v>
      </c>
      <c r="H2471" t="s">
        <v>503</v>
      </c>
      <c r="I2471" t="str">
        <f t="shared" si="270"/>
        <v>RETURN - 1st don of the week -STD</v>
      </c>
      <c r="J2471" t="s">
        <v>579</v>
      </c>
      <c r="K2471" s="5">
        <v>40</v>
      </c>
      <c r="L2471" t="str">
        <f>Table_DataFromNL[[#This Row],[PROFILECODE]]&amp;"-"&amp;Table_DataFromNL[[#This Row],[RULENAME]]</f>
        <v>CP150-P Rabies Standard</v>
      </c>
      <c r="M2471" t="str">
        <f t="shared" si="271"/>
        <v>CP150-P Rabies Standard</v>
      </c>
    </row>
    <row r="2472" spans="1:13" x14ac:dyDescent="0.25">
      <c r="A2472" t="str">
        <f t="shared" si="272"/>
        <v>CP150-P Tetanus AP Standard</v>
      </c>
      <c r="B2472" t="s">
        <v>389</v>
      </c>
      <c r="C2472" t="str">
        <f t="shared" si="266"/>
        <v>Pensacola</v>
      </c>
      <c r="D2472" t="str">
        <f t="shared" si="267"/>
        <v>Y</v>
      </c>
      <c r="E2472" t="s">
        <v>658</v>
      </c>
      <c r="F2472" t="str">
        <f t="shared" si="268"/>
        <v>P Tetanus AP Standard</v>
      </c>
      <c r="G2472" t="str">
        <f t="shared" si="269"/>
        <v>Specialty</v>
      </c>
      <c r="H2472" t="s">
        <v>492</v>
      </c>
      <c r="I2472" t="str">
        <f t="shared" si="270"/>
        <v>RETURN - 1st don of the week -STD</v>
      </c>
      <c r="J2472" t="s">
        <v>579</v>
      </c>
      <c r="K2472" s="5">
        <v>40</v>
      </c>
      <c r="L2472" t="str">
        <f>Table_DataFromNL[[#This Row],[PROFILECODE]]&amp;"-"&amp;Table_DataFromNL[[#This Row],[RULENAME]]</f>
        <v>CP150-P Tetanus AP Standard</v>
      </c>
      <c r="M2472" t="str">
        <f t="shared" si="271"/>
        <v>CP150-P Tetanus AP Standard</v>
      </c>
    </row>
    <row r="2473" spans="1:13" x14ac:dyDescent="0.25">
      <c r="A2473" t="str">
        <f t="shared" si="272"/>
        <v>CP150-P Tetanus Pre-Existing Standard</v>
      </c>
      <c r="B2473" t="s">
        <v>389</v>
      </c>
      <c r="C2473" t="str">
        <f t="shared" si="266"/>
        <v>Pensacola</v>
      </c>
      <c r="D2473" t="str">
        <f t="shared" si="267"/>
        <v>Y</v>
      </c>
      <c r="E2473" t="s">
        <v>658</v>
      </c>
      <c r="F2473" t="str">
        <f t="shared" si="268"/>
        <v>P Tetanus Pre-Existing Standard</v>
      </c>
      <c r="G2473" t="str">
        <f t="shared" si="269"/>
        <v>Specialty</v>
      </c>
      <c r="H2473" t="s">
        <v>493</v>
      </c>
      <c r="I2473" t="str">
        <f t="shared" si="270"/>
        <v>RETURN - 1st don of the week -STD</v>
      </c>
      <c r="J2473" t="s">
        <v>579</v>
      </c>
      <c r="K2473" s="5">
        <v>40</v>
      </c>
      <c r="L2473" t="str">
        <f>Table_DataFromNL[[#This Row],[PROFILECODE]]&amp;"-"&amp;Table_DataFromNL[[#This Row],[RULENAME]]</f>
        <v>CP150-P Tetanus Pre-Existing Standard</v>
      </c>
      <c r="M2473" t="str">
        <f t="shared" si="271"/>
        <v>CP150-P Tetanus Pre-Existing Standard</v>
      </c>
    </row>
    <row r="2474" spans="1:13" x14ac:dyDescent="0.25">
      <c r="A2474" t="str">
        <f t="shared" si="272"/>
        <v>CP150-P Tetanus Standard</v>
      </c>
      <c r="B2474" t="s">
        <v>389</v>
      </c>
      <c r="C2474" t="str">
        <f t="shared" si="266"/>
        <v>Pensacola</v>
      </c>
      <c r="D2474" t="str">
        <f t="shared" si="267"/>
        <v>Y</v>
      </c>
      <c r="E2474" t="s">
        <v>658</v>
      </c>
      <c r="F2474" t="str">
        <f t="shared" si="268"/>
        <v>P Tetanus Standard</v>
      </c>
      <c r="G2474" t="str">
        <f t="shared" si="269"/>
        <v>Specialty</v>
      </c>
      <c r="H2474" t="s">
        <v>494</v>
      </c>
      <c r="I2474" t="str">
        <f t="shared" si="270"/>
        <v>RETURN - 1st don of the week -STD</v>
      </c>
      <c r="J2474" t="s">
        <v>579</v>
      </c>
      <c r="K2474" s="5">
        <v>40</v>
      </c>
      <c r="L2474" t="str">
        <f>Table_DataFromNL[[#This Row],[PROFILECODE]]&amp;"-"&amp;Table_DataFromNL[[#This Row],[RULENAME]]</f>
        <v>CP150-P Tetanus Standard</v>
      </c>
      <c r="M2474" t="str">
        <f t="shared" si="271"/>
        <v>CP150-P Tetanus Standard</v>
      </c>
    </row>
    <row r="2475" spans="1:13" x14ac:dyDescent="0.25">
      <c r="A2475" t="str">
        <f t="shared" si="272"/>
        <v>CP150-P Tetanus Tox Standard</v>
      </c>
      <c r="B2475" t="s">
        <v>389</v>
      </c>
      <c r="C2475" t="str">
        <f t="shared" si="266"/>
        <v>Pensacola</v>
      </c>
      <c r="D2475" t="str">
        <f t="shared" si="267"/>
        <v>Y</v>
      </c>
      <c r="E2475" t="s">
        <v>658</v>
      </c>
      <c r="F2475" t="str">
        <f t="shared" si="268"/>
        <v>P Tetanus Tox Standard</v>
      </c>
      <c r="G2475" t="str">
        <f t="shared" si="269"/>
        <v>Specialty</v>
      </c>
      <c r="H2475" t="s">
        <v>508</v>
      </c>
      <c r="I2475" t="str">
        <f t="shared" si="270"/>
        <v>RETURN - 1st don of the week -STD</v>
      </c>
      <c r="J2475" t="s">
        <v>579</v>
      </c>
      <c r="K2475" s="5">
        <v>40</v>
      </c>
      <c r="L2475" t="str">
        <f>Table_DataFromNL[[#This Row],[PROFILECODE]]&amp;"-"&amp;Table_DataFromNL[[#This Row],[RULENAME]]</f>
        <v>CP150-P Tetanus Tox Standard</v>
      </c>
      <c r="M2475" t="str">
        <f t="shared" si="271"/>
        <v>CP150-P Tetanus Tox Standard</v>
      </c>
    </row>
    <row r="2476" spans="1:13" x14ac:dyDescent="0.25">
      <c r="A2476" t="str">
        <f t="shared" si="272"/>
        <v>CP150-P Vaccinia AP Standard</v>
      </c>
      <c r="B2476" t="s">
        <v>389</v>
      </c>
      <c r="C2476" t="str">
        <f t="shared" si="266"/>
        <v>Pensacola</v>
      </c>
      <c r="D2476" t="str">
        <f t="shared" si="267"/>
        <v>Y</v>
      </c>
      <c r="E2476" t="s">
        <v>658</v>
      </c>
      <c r="F2476" t="str">
        <f t="shared" si="268"/>
        <v>P Vaccinia AP Standard</v>
      </c>
      <c r="G2476" t="str">
        <f t="shared" si="269"/>
        <v>Specialty</v>
      </c>
      <c r="H2476" t="s">
        <v>475</v>
      </c>
      <c r="I2476">
        <f t="shared" si="270"/>
        <v>0</v>
      </c>
      <c r="J2476" t="s">
        <v>579</v>
      </c>
      <c r="K2476" s="5">
        <v>100</v>
      </c>
      <c r="L2476" t="str">
        <f>Table_DataFromNL[[#This Row],[PROFILECODE]]&amp;"-"&amp;Table_DataFromNL[[#This Row],[RULENAME]]</f>
        <v>CP150-P Vaccinia AP Standard</v>
      </c>
      <c r="M2476" t="str">
        <f t="shared" si="271"/>
        <v>CP150-P Vaccinia AP Standard</v>
      </c>
    </row>
    <row r="2477" spans="1:13" x14ac:dyDescent="0.25">
      <c r="A2477" t="str">
        <f t="shared" si="272"/>
        <v>CP150-P Vaccinia Standard</v>
      </c>
      <c r="B2477" t="s">
        <v>389</v>
      </c>
      <c r="C2477" t="str">
        <f t="shared" si="266"/>
        <v>Pensacola</v>
      </c>
      <c r="D2477" t="str">
        <f t="shared" si="267"/>
        <v>Y</v>
      </c>
      <c r="E2477" t="s">
        <v>658</v>
      </c>
      <c r="F2477" t="str">
        <f t="shared" si="268"/>
        <v>P Vaccinia Standard</v>
      </c>
      <c r="G2477" t="str">
        <f t="shared" si="269"/>
        <v>Specialty</v>
      </c>
      <c r="H2477" t="s">
        <v>476</v>
      </c>
      <c r="I2477">
        <f t="shared" si="270"/>
        <v>0</v>
      </c>
      <c r="J2477" t="s">
        <v>579</v>
      </c>
      <c r="K2477" s="5">
        <v>100</v>
      </c>
      <c r="L2477" t="str">
        <f>Table_DataFromNL[[#This Row],[PROFILECODE]]&amp;"-"&amp;Table_DataFromNL[[#This Row],[RULENAME]]</f>
        <v>CP150-P Vaccinia Standard</v>
      </c>
      <c r="M2477" t="str">
        <f t="shared" si="271"/>
        <v>CP150-P Vaccinia Standard</v>
      </c>
    </row>
    <row r="2478" spans="1:13" x14ac:dyDescent="0.25">
      <c r="A2478" t="str">
        <f t="shared" si="272"/>
        <v>CP150-Whole Blood INJ</v>
      </c>
      <c r="B2478" t="s">
        <v>389</v>
      </c>
      <c r="C2478" t="str">
        <f t="shared" si="266"/>
        <v>Pensacola</v>
      </c>
      <c r="D2478" t="str">
        <f t="shared" si="267"/>
        <v>Y</v>
      </c>
      <c r="E2478" t="s">
        <v>658</v>
      </c>
      <c r="F2478" t="str">
        <f t="shared" si="268"/>
        <v>Whole Blood INJ</v>
      </c>
      <c r="G2478" t="str">
        <f t="shared" si="269"/>
        <v>Specialty</v>
      </c>
      <c r="H2478" t="s">
        <v>526</v>
      </c>
      <c r="I2478">
        <f t="shared" si="270"/>
        <v>0</v>
      </c>
      <c r="J2478" t="s">
        <v>579</v>
      </c>
      <c r="K2478" s="5">
        <v>200</v>
      </c>
      <c r="L2478" t="str">
        <f>Table_DataFromNL[[#This Row],[PROFILECODE]]&amp;"-"&amp;Table_DataFromNL[[#This Row],[RULENAME]]</f>
        <v>CP150-Whole Blood INJ</v>
      </c>
      <c r="M2478" t="str">
        <f t="shared" si="271"/>
        <v>CP150-Whole Blood INJ</v>
      </c>
    </row>
    <row r="2479" spans="1:13" x14ac:dyDescent="0.25">
      <c r="A2479" t="str">
        <f t="shared" si="272"/>
        <v>CP523-1st Responder-Medical</v>
      </c>
      <c r="B2479" t="s">
        <v>72</v>
      </c>
      <c r="C2479" t="str">
        <f t="shared" si="266"/>
        <v>Pharr</v>
      </c>
      <c r="D2479" t="str">
        <f t="shared" si="267"/>
        <v>Y</v>
      </c>
      <c r="E2479" t="s">
        <v>659</v>
      </c>
      <c r="F2479" t="str">
        <f t="shared" si="268"/>
        <v>1st Responder-Medical</v>
      </c>
      <c r="G2479">
        <f t="shared" si="269"/>
        <v>0</v>
      </c>
      <c r="H2479" t="s">
        <v>545</v>
      </c>
      <c r="I2479">
        <f t="shared" si="270"/>
        <v>0</v>
      </c>
      <c r="J2479" t="s">
        <v>546</v>
      </c>
      <c r="K2479" s="5">
        <v>5</v>
      </c>
      <c r="L2479" t="str">
        <f>Table_DataFromNL[[#This Row],[PROFILECODE]]&amp;"-"&amp;Table_DataFromNL[[#This Row],[RULENAME]]</f>
        <v>CP523-1st Responder-Medical</v>
      </c>
      <c r="M2479" t="e">
        <f t="shared" si="271"/>
        <v>#N/A</v>
      </c>
    </row>
    <row r="2480" spans="1:13" x14ac:dyDescent="0.25">
      <c r="A2480" t="str">
        <f t="shared" si="272"/>
        <v>CP523-2X Week P HBS Pre-Existing</v>
      </c>
      <c r="B2480" t="s">
        <v>72</v>
      </c>
      <c r="C2480" t="str">
        <f t="shared" si="266"/>
        <v>Pharr</v>
      </c>
      <c r="D2480" t="str">
        <f t="shared" si="267"/>
        <v>Y</v>
      </c>
      <c r="E2480" t="s">
        <v>659</v>
      </c>
      <c r="F2480" t="str">
        <f t="shared" si="268"/>
        <v>2X Week P HBS Pre-Existing</v>
      </c>
      <c r="G2480" t="str">
        <f t="shared" si="269"/>
        <v>Specialty</v>
      </c>
      <c r="H2480" t="s">
        <v>471</v>
      </c>
      <c r="I2480" t="str">
        <f t="shared" si="270"/>
        <v>RETURN - 2nd don of the week -BONUS</v>
      </c>
      <c r="J2480" t="s">
        <v>546</v>
      </c>
      <c r="K2480" s="5">
        <v>20</v>
      </c>
      <c r="L2480" t="str">
        <f>Table_DataFromNL[[#This Row],[PROFILECODE]]&amp;"-"&amp;Table_DataFromNL[[#This Row],[RULENAME]]</f>
        <v>CP523-2X Week P HBS Pre-Existing</v>
      </c>
      <c r="M2480" t="str">
        <f t="shared" si="271"/>
        <v>CP523-2X Week P HBS Pre-Existing</v>
      </c>
    </row>
    <row r="2481" spans="1:13" x14ac:dyDescent="0.25">
      <c r="A2481" t="str">
        <f t="shared" si="272"/>
        <v>CP523-2X Week P HBS TWINRX</v>
      </c>
      <c r="B2481" t="s">
        <v>72</v>
      </c>
      <c r="C2481" t="str">
        <f t="shared" si="266"/>
        <v>Pharr</v>
      </c>
      <c r="D2481" t="str">
        <f t="shared" si="267"/>
        <v>Y</v>
      </c>
      <c r="E2481" t="s">
        <v>659</v>
      </c>
      <c r="F2481" t="str">
        <f t="shared" si="268"/>
        <v>2X Week P HBS TWINRX</v>
      </c>
      <c r="G2481" t="str">
        <f t="shared" si="269"/>
        <v>Specialty</v>
      </c>
      <c r="H2481" t="s">
        <v>504</v>
      </c>
      <c r="I2481" t="str">
        <f t="shared" si="270"/>
        <v>RETURN - 2nd don of the week -BONUS</v>
      </c>
      <c r="J2481" t="s">
        <v>546</v>
      </c>
      <c r="K2481" s="5">
        <v>20</v>
      </c>
      <c r="L2481" t="str">
        <f>Table_DataFromNL[[#This Row],[PROFILECODE]]&amp;"-"&amp;Table_DataFromNL[[#This Row],[RULENAME]]</f>
        <v>CP523-2X Week P HBS TWINRX</v>
      </c>
      <c r="M2481" t="str">
        <f t="shared" si="271"/>
        <v>CP523-2X Week P HBS TWINRX</v>
      </c>
    </row>
    <row r="2482" spans="1:13" x14ac:dyDescent="0.25">
      <c r="A2482" t="str">
        <f t="shared" si="272"/>
        <v>CP523-2X Week P HBS TWINRX-AP</v>
      </c>
      <c r="B2482" t="s">
        <v>72</v>
      </c>
      <c r="C2482" t="str">
        <f t="shared" si="266"/>
        <v>Pharr</v>
      </c>
      <c r="D2482" t="str">
        <f t="shared" si="267"/>
        <v>Y</v>
      </c>
      <c r="E2482" t="s">
        <v>659</v>
      </c>
      <c r="F2482" t="str">
        <f t="shared" si="268"/>
        <v>2X Week P HBS TWINRX-AP</v>
      </c>
      <c r="G2482" t="str">
        <f t="shared" si="269"/>
        <v>Specialty</v>
      </c>
      <c r="H2482" t="s">
        <v>505</v>
      </c>
      <c r="I2482" t="str">
        <f t="shared" si="270"/>
        <v>RETURN - 2nd don of the week -BONUS</v>
      </c>
      <c r="J2482" t="s">
        <v>546</v>
      </c>
      <c r="K2482" s="5">
        <v>20</v>
      </c>
      <c r="L2482" t="str">
        <f>Table_DataFromNL[[#This Row],[PROFILECODE]]&amp;"-"&amp;Table_DataFromNL[[#This Row],[RULENAME]]</f>
        <v>CP523-2X Week P HBS TWINRX-AP</v>
      </c>
      <c r="M2482" t="str">
        <f t="shared" si="271"/>
        <v>CP523-2X Week P HBS TWINRX-AP</v>
      </c>
    </row>
    <row r="2483" spans="1:13" x14ac:dyDescent="0.25">
      <c r="A2483" t="str">
        <f t="shared" si="272"/>
        <v>CP523-RETURN - 2nd don of the week -BONUS</v>
      </c>
      <c r="B2483" t="s">
        <v>72</v>
      </c>
      <c r="C2483" t="str">
        <f t="shared" si="266"/>
        <v>Pharr</v>
      </c>
      <c r="D2483" t="str">
        <f t="shared" si="267"/>
        <v>Y</v>
      </c>
      <c r="E2483" t="s">
        <v>659</v>
      </c>
      <c r="F2483" t="str">
        <f t="shared" si="268"/>
        <v>RETURN - 2nd don of the week -BONUS</v>
      </c>
      <c r="G2483" t="str">
        <f t="shared" si="269"/>
        <v>Marketing</v>
      </c>
      <c r="H2483" t="s">
        <v>550</v>
      </c>
      <c r="I2483">
        <f t="shared" si="270"/>
        <v>26</v>
      </c>
      <c r="J2483" t="s">
        <v>546</v>
      </c>
      <c r="K2483" s="5">
        <v>20</v>
      </c>
      <c r="L2483" t="str">
        <f>Table_DataFromNL[[#This Row],[PROFILECODE]]&amp;"-"&amp;Table_DataFromNL[[#This Row],[RULENAME]]</f>
        <v>CP523-2X Week P NSP NS</v>
      </c>
      <c r="M2483" t="str">
        <f t="shared" si="271"/>
        <v>CP523-RETURN - 2nd don of the week -BONUS</v>
      </c>
    </row>
    <row r="2484" spans="1:13" x14ac:dyDescent="0.25">
      <c r="A2484" t="str">
        <f t="shared" si="272"/>
        <v>CP523-RETURN - 2nd don of the week -BONUS</v>
      </c>
      <c r="B2484" t="s">
        <v>72</v>
      </c>
      <c r="C2484" t="str">
        <f t="shared" si="266"/>
        <v>Pharr</v>
      </c>
      <c r="D2484" t="str">
        <f t="shared" si="267"/>
        <v>Y</v>
      </c>
      <c r="E2484" t="s">
        <v>659</v>
      </c>
      <c r="F2484" t="str">
        <f t="shared" si="268"/>
        <v>RETURN - 2nd don of the week -BONUS</v>
      </c>
      <c r="G2484" t="str">
        <f t="shared" si="269"/>
        <v>Marketing</v>
      </c>
      <c r="H2484" t="s">
        <v>551</v>
      </c>
      <c r="I2484" t="str">
        <f t="shared" si="270"/>
        <v>RETURN - 2nd don of the week -BONUS</v>
      </c>
      <c r="J2484" t="s">
        <v>546</v>
      </c>
      <c r="K2484" s="5">
        <v>20</v>
      </c>
      <c r="L2484" t="str">
        <f>Table_DataFromNL[[#This Row],[PROFILECODE]]&amp;"-"&amp;Table_DataFromNL[[#This Row],[RULENAME]]</f>
        <v>CP523-2X Week P NSP NS AP</v>
      </c>
      <c r="M2484" t="str">
        <f t="shared" si="271"/>
        <v>CP523-RETURN - 2nd don of the week -BONUS</v>
      </c>
    </row>
    <row r="2485" spans="1:13" x14ac:dyDescent="0.25">
      <c r="A2485" t="str">
        <f t="shared" si="272"/>
        <v>CP523-2X Week P VZV Pre-Existing</v>
      </c>
      <c r="B2485" t="s">
        <v>72</v>
      </c>
      <c r="C2485" t="str">
        <f t="shared" si="266"/>
        <v>Pharr</v>
      </c>
      <c r="D2485" t="str">
        <f t="shared" si="267"/>
        <v>Y</v>
      </c>
      <c r="E2485" t="s">
        <v>659</v>
      </c>
      <c r="F2485" t="str">
        <f t="shared" si="268"/>
        <v>2X Week P VZV Pre-Existing</v>
      </c>
      <c r="G2485" t="str">
        <f t="shared" si="269"/>
        <v>Specialty</v>
      </c>
      <c r="H2485" t="s">
        <v>490</v>
      </c>
      <c r="I2485" t="str">
        <f t="shared" si="270"/>
        <v>RETURN - 2nd don of the week -BONUS</v>
      </c>
      <c r="J2485" t="s">
        <v>546</v>
      </c>
      <c r="K2485" s="5">
        <v>20</v>
      </c>
      <c r="L2485" t="str">
        <f>Table_DataFromNL[[#This Row],[PROFILECODE]]&amp;"-"&amp;Table_DataFromNL[[#This Row],[RULENAME]]</f>
        <v>CP523-2X Week P VZV Pre-Existing</v>
      </c>
      <c r="M2485" t="str">
        <f t="shared" si="271"/>
        <v>CP523-2X Week P VZV Pre-Existing</v>
      </c>
    </row>
    <row r="2486" spans="1:13" x14ac:dyDescent="0.25">
      <c r="A2486" t="str">
        <f t="shared" si="272"/>
        <v>CP523-2X Week P VZV Pre-Existing AP</v>
      </c>
      <c r="B2486" t="s">
        <v>72</v>
      </c>
      <c r="C2486" t="str">
        <f t="shared" si="266"/>
        <v>Pharr</v>
      </c>
      <c r="D2486" t="str">
        <f t="shared" si="267"/>
        <v>Y</v>
      </c>
      <c r="E2486" t="s">
        <v>659</v>
      </c>
      <c r="F2486" t="str">
        <f t="shared" si="268"/>
        <v>2X Week P VZV Pre-Existing AP</v>
      </c>
      <c r="G2486" t="str">
        <f t="shared" si="269"/>
        <v>Specialty</v>
      </c>
      <c r="H2486" t="s">
        <v>491</v>
      </c>
      <c r="I2486" t="str">
        <f t="shared" si="270"/>
        <v>RETURN - 2nd don of the week -BONUS</v>
      </c>
      <c r="J2486" t="s">
        <v>546</v>
      </c>
      <c r="K2486" s="5">
        <v>20</v>
      </c>
      <c r="L2486" t="str">
        <f>Table_DataFromNL[[#This Row],[PROFILECODE]]&amp;"-"&amp;Table_DataFromNL[[#This Row],[RULENAME]]</f>
        <v>CP523-2X Week P VZV Pre-Existing AP</v>
      </c>
      <c r="M2486" t="str">
        <f t="shared" si="271"/>
        <v>CP523-2X Week P VZV Pre-Existing AP</v>
      </c>
    </row>
    <row r="2487" spans="1:13" x14ac:dyDescent="0.25">
      <c r="A2487" t="str">
        <f t="shared" si="272"/>
        <v>CP523-College ID Standard Bonus</v>
      </c>
      <c r="B2487" t="s">
        <v>72</v>
      </c>
      <c r="C2487" t="str">
        <f t="shared" si="266"/>
        <v>Pharr</v>
      </c>
      <c r="D2487" t="str">
        <f t="shared" si="267"/>
        <v>Y</v>
      </c>
      <c r="E2487" t="s">
        <v>659</v>
      </c>
      <c r="F2487" t="str">
        <f t="shared" si="268"/>
        <v>College ID Standard Bonus</v>
      </c>
      <c r="G2487">
        <f t="shared" si="269"/>
        <v>0</v>
      </c>
      <c r="H2487" t="s">
        <v>553</v>
      </c>
      <c r="I2487">
        <f t="shared" si="270"/>
        <v>0</v>
      </c>
      <c r="J2487" t="s">
        <v>546</v>
      </c>
      <c r="K2487" s="5">
        <v>5</v>
      </c>
      <c r="L2487" t="str">
        <f>Table_DataFromNL[[#This Row],[PROFILECODE]]&amp;"-"&amp;Table_DataFromNL[[#This Row],[RULENAME]]</f>
        <v>CP523-College ID Standard Bonus</v>
      </c>
      <c r="M2487" t="e">
        <f t="shared" si="271"/>
        <v>#N/A</v>
      </c>
    </row>
    <row r="2488" spans="1:13" x14ac:dyDescent="0.25">
      <c r="A2488" t="str">
        <f t="shared" si="272"/>
        <v>CP523-Military ID</v>
      </c>
      <c r="B2488" t="s">
        <v>72</v>
      </c>
      <c r="C2488" t="str">
        <f t="shared" si="266"/>
        <v>Pharr</v>
      </c>
      <c r="D2488" t="str">
        <f t="shared" si="267"/>
        <v>Y</v>
      </c>
      <c r="E2488" t="s">
        <v>659</v>
      </c>
      <c r="F2488" t="str">
        <f t="shared" si="268"/>
        <v>Military ID</v>
      </c>
      <c r="G2488">
        <f t="shared" si="269"/>
        <v>0</v>
      </c>
      <c r="H2488" t="s">
        <v>554</v>
      </c>
      <c r="I2488">
        <f t="shared" si="270"/>
        <v>0</v>
      </c>
      <c r="J2488" t="s">
        <v>546</v>
      </c>
      <c r="K2488" s="5">
        <v>5</v>
      </c>
      <c r="L2488" t="str">
        <f>Table_DataFromNL[[#This Row],[PROFILECODE]]&amp;"-"&amp;Table_DataFromNL[[#This Row],[RULENAME]]</f>
        <v>CP523-Military ID</v>
      </c>
      <c r="M2488" t="e">
        <f t="shared" si="271"/>
        <v>#N/A</v>
      </c>
    </row>
    <row r="2489" spans="1:13" x14ac:dyDescent="0.25">
      <c r="A2489" t="str">
        <f t="shared" si="272"/>
        <v>CP523-NEW DONOR -1st</v>
      </c>
      <c r="B2489" t="s">
        <v>72</v>
      </c>
      <c r="C2489" t="str">
        <f t="shared" si="266"/>
        <v>Pharr</v>
      </c>
      <c r="D2489" t="str">
        <f t="shared" si="267"/>
        <v>Y</v>
      </c>
      <c r="E2489" t="s">
        <v>659</v>
      </c>
      <c r="F2489" t="str">
        <f t="shared" si="268"/>
        <v>NEW DONOR -1st</v>
      </c>
      <c r="G2489" t="str">
        <f t="shared" si="269"/>
        <v>Marketing</v>
      </c>
      <c r="H2489" t="s">
        <v>555</v>
      </c>
      <c r="I2489">
        <f t="shared" si="270"/>
        <v>1</v>
      </c>
      <c r="J2489" t="s">
        <v>546</v>
      </c>
      <c r="K2489" s="5">
        <v>60</v>
      </c>
      <c r="L2489" t="str">
        <f>Table_DataFromNL[[#This Row],[PROFILECODE]]&amp;"-"&amp;Table_DataFromNL[[#This Row],[RULENAME]]</f>
        <v>CP523-New Donor 1st Visit-Bonus</v>
      </c>
      <c r="M2489" t="str">
        <f t="shared" si="271"/>
        <v>CP523-NEW DONOR -1st</v>
      </c>
    </row>
    <row r="2490" spans="1:13" x14ac:dyDescent="0.25">
      <c r="A2490" t="str">
        <f t="shared" si="272"/>
        <v>CP523-NEW DONOR -2nd</v>
      </c>
      <c r="B2490" t="s">
        <v>72</v>
      </c>
      <c r="C2490" t="str">
        <f t="shared" si="266"/>
        <v>Pharr</v>
      </c>
      <c r="D2490" t="str">
        <f t="shared" si="267"/>
        <v>Y</v>
      </c>
      <c r="E2490" t="s">
        <v>659</v>
      </c>
      <c r="F2490" t="str">
        <f t="shared" si="268"/>
        <v>NEW DONOR -2nd</v>
      </c>
      <c r="G2490" t="str">
        <f t="shared" si="269"/>
        <v>Marketing</v>
      </c>
      <c r="H2490" t="s">
        <v>556</v>
      </c>
      <c r="I2490">
        <f t="shared" si="270"/>
        <v>2</v>
      </c>
      <c r="J2490" t="s">
        <v>546</v>
      </c>
      <c r="K2490" s="5">
        <v>60</v>
      </c>
      <c r="L2490" t="str">
        <f>Table_DataFromNL[[#This Row],[PROFILECODE]]&amp;"-"&amp;Table_DataFromNL[[#This Row],[RULENAME]]</f>
        <v>CP523-New Donor 2nd Visit-Bonus</v>
      </c>
      <c r="M2490" t="str">
        <f t="shared" si="271"/>
        <v>CP523-NEW DONOR -2nd</v>
      </c>
    </row>
    <row r="2491" spans="1:13" x14ac:dyDescent="0.25">
      <c r="A2491" t="str">
        <f t="shared" si="272"/>
        <v>CP523-NEW DONOR -3rd</v>
      </c>
      <c r="B2491" t="s">
        <v>72</v>
      </c>
      <c r="C2491" t="str">
        <f t="shared" si="266"/>
        <v>Pharr</v>
      </c>
      <c r="D2491" t="str">
        <f t="shared" si="267"/>
        <v>Y</v>
      </c>
      <c r="E2491" t="s">
        <v>659</v>
      </c>
      <c r="F2491" t="str">
        <f t="shared" si="268"/>
        <v>NEW DONOR -3rd</v>
      </c>
      <c r="G2491" t="str">
        <f t="shared" si="269"/>
        <v>Marketing</v>
      </c>
      <c r="H2491" t="s">
        <v>557</v>
      </c>
      <c r="I2491">
        <f t="shared" si="270"/>
        <v>3</v>
      </c>
      <c r="J2491" t="s">
        <v>546</v>
      </c>
      <c r="K2491" s="5">
        <v>60</v>
      </c>
      <c r="L2491" t="str">
        <f>Table_DataFromNL[[#This Row],[PROFILECODE]]&amp;"-"&amp;Table_DataFromNL[[#This Row],[RULENAME]]</f>
        <v>CP523-New Donor 3rd Visit-Bonus</v>
      </c>
      <c r="M2491" t="str">
        <f t="shared" si="271"/>
        <v>CP523-NEW DONOR -3rd</v>
      </c>
    </row>
    <row r="2492" spans="1:13" x14ac:dyDescent="0.25">
      <c r="A2492" t="str">
        <f t="shared" si="272"/>
        <v>CP523-NEW DONOR -4th</v>
      </c>
      <c r="B2492" t="s">
        <v>72</v>
      </c>
      <c r="C2492" t="str">
        <f t="shared" si="266"/>
        <v>Pharr</v>
      </c>
      <c r="D2492" t="str">
        <f t="shared" si="267"/>
        <v>Y</v>
      </c>
      <c r="E2492" t="s">
        <v>659</v>
      </c>
      <c r="F2492" t="str">
        <f t="shared" si="268"/>
        <v>NEW DONOR -4th</v>
      </c>
      <c r="G2492" t="str">
        <f t="shared" si="269"/>
        <v>Marketing</v>
      </c>
      <c r="H2492" t="s">
        <v>558</v>
      </c>
      <c r="I2492">
        <f t="shared" si="270"/>
        <v>4</v>
      </c>
      <c r="J2492" t="s">
        <v>546</v>
      </c>
      <c r="K2492" s="5">
        <v>60</v>
      </c>
      <c r="L2492" t="str">
        <f>Table_DataFromNL[[#This Row],[PROFILECODE]]&amp;"-"&amp;Table_DataFromNL[[#This Row],[RULENAME]]</f>
        <v>CP523-New Donor 4th Visit-Bonus</v>
      </c>
      <c r="M2492" t="str">
        <f t="shared" si="271"/>
        <v>CP523-NEW DONOR -4th</v>
      </c>
    </row>
    <row r="2493" spans="1:13" x14ac:dyDescent="0.25">
      <c r="A2493" t="str">
        <f t="shared" si="272"/>
        <v>CP523-NEW DONOR -5th</v>
      </c>
      <c r="B2493" t="s">
        <v>72</v>
      </c>
      <c r="C2493" t="str">
        <f t="shared" si="266"/>
        <v>Pharr</v>
      </c>
      <c r="D2493" t="str">
        <f t="shared" si="267"/>
        <v>Y</v>
      </c>
      <c r="E2493" t="s">
        <v>659</v>
      </c>
      <c r="F2493" t="str">
        <f t="shared" si="268"/>
        <v>NEW DONOR -5th</v>
      </c>
      <c r="G2493" t="str">
        <f t="shared" si="269"/>
        <v>Marketing</v>
      </c>
      <c r="H2493" t="s">
        <v>559</v>
      </c>
      <c r="I2493">
        <f t="shared" si="270"/>
        <v>5</v>
      </c>
      <c r="J2493" t="s">
        <v>546</v>
      </c>
      <c r="K2493" s="5">
        <v>60</v>
      </c>
      <c r="L2493" t="str">
        <f>Table_DataFromNL[[#This Row],[PROFILECODE]]&amp;"-"&amp;Table_DataFromNL[[#This Row],[RULENAME]]</f>
        <v>CP523-New Donor 5th Visit-Bonus</v>
      </c>
      <c r="M2493" t="str">
        <f t="shared" si="271"/>
        <v>CP523-NEW DONOR -5th</v>
      </c>
    </row>
    <row r="2494" spans="1:13" x14ac:dyDescent="0.25">
      <c r="A2494" t="str">
        <f t="shared" si="272"/>
        <v>CP523-NEW DONOR -6th</v>
      </c>
      <c r="B2494" t="s">
        <v>72</v>
      </c>
      <c r="C2494" t="str">
        <f t="shared" si="266"/>
        <v>Pharr</v>
      </c>
      <c r="D2494" t="str">
        <f t="shared" si="267"/>
        <v>Y</v>
      </c>
      <c r="E2494" t="s">
        <v>659</v>
      </c>
      <c r="F2494" t="str">
        <f t="shared" si="268"/>
        <v>NEW DONOR -6th</v>
      </c>
      <c r="G2494" t="str">
        <f t="shared" si="269"/>
        <v>Marketing</v>
      </c>
      <c r="H2494" t="s">
        <v>560</v>
      </c>
      <c r="I2494">
        <f t="shared" si="270"/>
        <v>6</v>
      </c>
      <c r="J2494" t="s">
        <v>546</v>
      </c>
      <c r="K2494" s="5">
        <v>60</v>
      </c>
      <c r="L2494" t="str">
        <f>Table_DataFromNL[[#This Row],[PROFILECODE]]&amp;"-"&amp;Table_DataFromNL[[#This Row],[RULENAME]]</f>
        <v>CP523-New Donor 6th Visit-Bonus</v>
      </c>
      <c r="M2494" t="str">
        <f t="shared" si="271"/>
        <v>CP523-NEW DONOR -6th</v>
      </c>
    </row>
    <row r="2495" spans="1:13" x14ac:dyDescent="0.25">
      <c r="A2495" t="str">
        <f t="shared" si="272"/>
        <v>CP523-NEW DONOR -7th</v>
      </c>
      <c r="B2495" t="s">
        <v>72</v>
      </c>
      <c r="C2495" t="str">
        <f t="shared" si="266"/>
        <v>Pharr</v>
      </c>
      <c r="D2495" t="str">
        <f t="shared" si="267"/>
        <v>Y</v>
      </c>
      <c r="E2495" t="s">
        <v>659</v>
      </c>
      <c r="F2495" t="str">
        <f t="shared" si="268"/>
        <v>NEW DONOR -7th</v>
      </c>
      <c r="G2495" t="str">
        <f t="shared" si="269"/>
        <v>Marketing</v>
      </c>
      <c r="H2495" t="s">
        <v>561</v>
      </c>
      <c r="I2495">
        <f t="shared" si="270"/>
        <v>7</v>
      </c>
      <c r="J2495" t="s">
        <v>546</v>
      </c>
      <c r="K2495" s="5">
        <v>60</v>
      </c>
      <c r="L2495" t="str">
        <f>Table_DataFromNL[[#This Row],[PROFILECODE]]&amp;"-"&amp;Table_DataFromNL[[#This Row],[RULENAME]]</f>
        <v>CP523-New Donor 7th Visit-Bonus</v>
      </c>
      <c r="M2495" t="str">
        <f t="shared" si="271"/>
        <v>CP523-NEW DONOR -7th</v>
      </c>
    </row>
    <row r="2496" spans="1:13" x14ac:dyDescent="0.25">
      <c r="A2496" t="str">
        <f t="shared" si="272"/>
        <v>CP523-NEW DONOR -8th</v>
      </c>
      <c r="B2496" t="s">
        <v>72</v>
      </c>
      <c r="C2496" t="str">
        <f t="shared" si="266"/>
        <v>Pharr</v>
      </c>
      <c r="D2496" t="str">
        <f t="shared" si="267"/>
        <v>Y</v>
      </c>
      <c r="E2496" t="s">
        <v>659</v>
      </c>
      <c r="F2496" t="str">
        <f t="shared" si="268"/>
        <v>NEW DONOR -8th</v>
      </c>
      <c r="G2496" t="str">
        <f t="shared" si="269"/>
        <v>Marketing</v>
      </c>
      <c r="H2496" t="s">
        <v>562</v>
      </c>
      <c r="I2496">
        <f t="shared" si="270"/>
        <v>8</v>
      </c>
      <c r="J2496" t="s">
        <v>546</v>
      </c>
      <c r="K2496" s="5">
        <v>60</v>
      </c>
      <c r="L2496" t="str">
        <f>Table_DataFromNL[[#This Row],[PROFILECODE]]&amp;"-"&amp;Table_DataFromNL[[#This Row],[RULENAME]]</f>
        <v>CP523-New Donor 8th Visit-Bonus</v>
      </c>
      <c r="M2496" t="str">
        <f t="shared" si="271"/>
        <v>CP523-NEW DONOR -8th</v>
      </c>
    </row>
    <row r="2497" spans="1:13" x14ac:dyDescent="0.25">
      <c r="A2497" t="str">
        <f t="shared" si="272"/>
        <v>CP523-Vaccinia - 1st Donation</v>
      </c>
      <c r="B2497" t="s">
        <v>72</v>
      </c>
      <c r="C2497" t="str">
        <f t="shared" si="266"/>
        <v>Pharr</v>
      </c>
      <c r="D2497" t="str">
        <f t="shared" si="267"/>
        <v>Y</v>
      </c>
      <c r="E2497" t="s">
        <v>659</v>
      </c>
      <c r="F2497" t="str">
        <f t="shared" si="268"/>
        <v>Vaccinia - 1st Donation</v>
      </c>
      <c r="G2497" t="str">
        <f t="shared" si="269"/>
        <v>Specialty</v>
      </c>
      <c r="H2497" t="s">
        <v>477</v>
      </c>
      <c r="I2497">
        <f t="shared" si="270"/>
        <v>0</v>
      </c>
      <c r="J2497" t="s">
        <v>546</v>
      </c>
      <c r="K2497" s="5">
        <v>150</v>
      </c>
      <c r="L2497" t="str">
        <f>Table_DataFromNL[[#This Row],[PROFILECODE]]&amp;"-"&amp;Table_DataFromNL[[#This Row],[RULENAME]]</f>
        <v>CP523-Vaccinia - 1st Donation</v>
      </c>
      <c r="M2497" t="str">
        <f t="shared" si="271"/>
        <v>CP523-Vaccinia - 1st Donation</v>
      </c>
    </row>
    <row r="2498" spans="1:13" x14ac:dyDescent="0.25">
      <c r="A2498" t="str">
        <f t="shared" si="272"/>
        <v>CP523-Vaccinia - 2nd Donation</v>
      </c>
      <c r="B2498" t="s">
        <v>72</v>
      </c>
      <c r="C2498" t="str">
        <f t="shared" ref="C2498:C2561" si="273">VLOOKUP(B2498,CenterLU,2,FALSE)</f>
        <v>Pharr</v>
      </c>
      <c r="D2498" t="str">
        <f t="shared" ref="D2498:D2561" si="274">VLOOKUP(B2498,CenterLU,3,FALSE)</f>
        <v>Y</v>
      </c>
      <c r="E2498" t="s">
        <v>659</v>
      </c>
      <c r="F2498" t="str">
        <f t="shared" ref="F2498:F2561" si="275">IF(VLOOKUP(H2498,RULENAMELU,3,FALSE)=0,H2498,VLOOKUP(H2498,RULENAMELU,3,FALSE))</f>
        <v>Vaccinia - 2nd Donation</v>
      </c>
      <c r="G2498" t="str">
        <f t="shared" ref="G2498:G2561" si="276">VLOOKUP(H2498,RULENAMELU,4,FALSE)</f>
        <v>Specialty</v>
      </c>
      <c r="H2498" t="s">
        <v>478</v>
      </c>
      <c r="I2498">
        <f t="shared" ref="I2498:I2561" si="277">VLOOKUP(H2498,RULENAMELU,5,FALSE)</f>
        <v>0</v>
      </c>
      <c r="J2498" t="s">
        <v>546</v>
      </c>
      <c r="K2498" s="5">
        <v>250</v>
      </c>
      <c r="L2498" t="str">
        <f>Table_DataFromNL[[#This Row],[PROFILECODE]]&amp;"-"&amp;Table_DataFromNL[[#This Row],[RULENAME]]</f>
        <v>CP523-Vaccinia - 2nd Donation</v>
      </c>
      <c r="M2498" t="str">
        <f t="shared" ref="M2498:M2561" si="278">IFERROR(VLOOKUP(A2498,PaychangesLU,1,FALSE),VLOOKUP(A2498,SpecialtyCheckLU,1,FALSE))</f>
        <v>CP523-Vaccinia - 2nd Donation</v>
      </c>
    </row>
    <row r="2499" spans="1:13" x14ac:dyDescent="0.25">
      <c r="A2499" t="str">
        <f t="shared" ref="A2499:A2562" si="279">B2499&amp;"-"&amp;F2499</f>
        <v>CP523-Vaccinia - 3rd Donation</v>
      </c>
      <c r="B2499" t="s">
        <v>72</v>
      </c>
      <c r="C2499" t="str">
        <f t="shared" si="273"/>
        <v>Pharr</v>
      </c>
      <c r="D2499" t="str">
        <f t="shared" si="274"/>
        <v>Y</v>
      </c>
      <c r="E2499" t="s">
        <v>659</v>
      </c>
      <c r="F2499" t="str">
        <f t="shared" si="275"/>
        <v>Vaccinia - 3rd Donation</v>
      </c>
      <c r="G2499" t="str">
        <f t="shared" si="276"/>
        <v>Specialty</v>
      </c>
      <c r="H2499" t="s">
        <v>479</v>
      </c>
      <c r="I2499">
        <f t="shared" si="277"/>
        <v>0</v>
      </c>
      <c r="J2499" t="s">
        <v>546</v>
      </c>
      <c r="K2499" s="5">
        <v>300</v>
      </c>
      <c r="L2499" t="str">
        <f>Table_DataFromNL[[#This Row],[PROFILECODE]]&amp;"-"&amp;Table_DataFromNL[[#This Row],[RULENAME]]</f>
        <v>CP523-Vaccinia - 3rd Donation</v>
      </c>
      <c r="M2499" t="str">
        <f t="shared" si="278"/>
        <v>CP523-Vaccinia - 3rd Donation</v>
      </c>
    </row>
    <row r="2500" spans="1:13" x14ac:dyDescent="0.25">
      <c r="A2500" t="str">
        <f t="shared" si="279"/>
        <v>CP523-Vaccinia - 4th Donation</v>
      </c>
      <c r="B2500" t="s">
        <v>72</v>
      </c>
      <c r="C2500" t="str">
        <f t="shared" si="273"/>
        <v>Pharr</v>
      </c>
      <c r="D2500" t="str">
        <f t="shared" si="274"/>
        <v>Y</v>
      </c>
      <c r="E2500" t="s">
        <v>659</v>
      </c>
      <c r="F2500" t="str">
        <f t="shared" si="275"/>
        <v>Vaccinia - 4th Donation</v>
      </c>
      <c r="G2500" t="str">
        <f t="shared" si="276"/>
        <v>Specialty</v>
      </c>
      <c r="H2500" t="s">
        <v>480</v>
      </c>
      <c r="I2500">
        <f t="shared" si="277"/>
        <v>0</v>
      </c>
      <c r="J2500" t="s">
        <v>546</v>
      </c>
      <c r="K2500" s="5">
        <v>300</v>
      </c>
      <c r="L2500" t="str">
        <f>Table_DataFromNL[[#This Row],[PROFILECODE]]&amp;"-"&amp;Table_DataFromNL[[#This Row],[RULENAME]]</f>
        <v>CP523-Vaccinia - 4th Donation</v>
      </c>
      <c r="M2500" t="str">
        <f t="shared" si="278"/>
        <v>CP523-Vaccinia - 4th Donation</v>
      </c>
    </row>
    <row r="2501" spans="1:13" x14ac:dyDescent="0.25">
      <c r="A2501" t="str">
        <f t="shared" si="279"/>
        <v>CP523-Vaccinia AP - 1st Donation</v>
      </c>
      <c r="B2501" t="s">
        <v>72</v>
      </c>
      <c r="C2501" t="str">
        <f t="shared" si="273"/>
        <v>Pharr</v>
      </c>
      <c r="D2501" t="str">
        <f t="shared" si="274"/>
        <v>Y</v>
      </c>
      <c r="E2501" t="s">
        <v>659</v>
      </c>
      <c r="F2501" t="str">
        <f t="shared" si="275"/>
        <v>Vaccinia AP - 1st Donation</v>
      </c>
      <c r="G2501" t="str">
        <f t="shared" si="276"/>
        <v>Specialty</v>
      </c>
      <c r="H2501" t="s">
        <v>481</v>
      </c>
      <c r="I2501">
        <f t="shared" si="277"/>
        <v>0</v>
      </c>
      <c r="J2501" t="s">
        <v>546</v>
      </c>
      <c r="K2501" s="5">
        <v>150</v>
      </c>
      <c r="L2501" t="str">
        <f>Table_DataFromNL[[#This Row],[PROFILECODE]]&amp;"-"&amp;Table_DataFromNL[[#This Row],[RULENAME]]</f>
        <v>CP523-Vaccinia AP - 1st Donation</v>
      </c>
      <c r="M2501" t="str">
        <f t="shared" si="278"/>
        <v>CP523-Vaccinia AP - 1st Donation</v>
      </c>
    </row>
    <row r="2502" spans="1:13" x14ac:dyDescent="0.25">
      <c r="A2502" t="str">
        <f t="shared" si="279"/>
        <v>CP523-Vaccinia AP - 2nd Donation</v>
      </c>
      <c r="B2502" t="s">
        <v>72</v>
      </c>
      <c r="C2502" t="str">
        <f t="shared" si="273"/>
        <v>Pharr</v>
      </c>
      <c r="D2502" t="str">
        <f t="shared" si="274"/>
        <v>Y</v>
      </c>
      <c r="E2502" t="s">
        <v>659</v>
      </c>
      <c r="F2502" t="str">
        <f t="shared" si="275"/>
        <v>Vaccinia AP - 2nd Donation</v>
      </c>
      <c r="G2502" t="str">
        <f t="shared" si="276"/>
        <v>Specialty</v>
      </c>
      <c r="H2502" t="s">
        <v>482</v>
      </c>
      <c r="I2502">
        <f t="shared" si="277"/>
        <v>0</v>
      </c>
      <c r="J2502" t="s">
        <v>546</v>
      </c>
      <c r="K2502" s="5">
        <v>250</v>
      </c>
      <c r="L2502" t="str">
        <f>Table_DataFromNL[[#This Row],[PROFILECODE]]&amp;"-"&amp;Table_DataFromNL[[#This Row],[RULENAME]]</f>
        <v>CP523-Vaccinia AP - 2nd Donation</v>
      </c>
      <c r="M2502" t="str">
        <f t="shared" si="278"/>
        <v>CP523-Vaccinia AP - 2nd Donation</v>
      </c>
    </row>
    <row r="2503" spans="1:13" x14ac:dyDescent="0.25">
      <c r="A2503" t="str">
        <f t="shared" si="279"/>
        <v>CP523-Vaccinia AP - 3rd Donation</v>
      </c>
      <c r="B2503" t="s">
        <v>72</v>
      </c>
      <c r="C2503" t="str">
        <f t="shared" si="273"/>
        <v>Pharr</v>
      </c>
      <c r="D2503" t="str">
        <f t="shared" si="274"/>
        <v>Y</v>
      </c>
      <c r="E2503" t="s">
        <v>659</v>
      </c>
      <c r="F2503" t="str">
        <f t="shared" si="275"/>
        <v>Vaccinia AP - 3rd Donation</v>
      </c>
      <c r="G2503" t="str">
        <f t="shared" si="276"/>
        <v>Specialty</v>
      </c>
      <c r="H2503" t="s">
        <v>483</v>
      </c>
      <c r="I2503">
        <f t="shared" si="277"/>
        <v>0</v>
      </c>
      <c r="J2503" t="s">
        <v>546</v>
      </c>
      <c r="K2503" s="5">
        <v>300</v>
      </c>
      <c r="L2503" t="str">
        <f>Table_DataFromNL[[#This Row],[PROFILECODE]]&amp;"-"&amp;Table_DataFromNL[[#This Row],[RULENAME]]</f>
        <v>CP523-Vaccinia AP - 3rd Donation</v>
      </c>
      <c r="M2503" t="str">
        <f t="shared" si="278"/>
        <v>CP523-Vaccinia AP - 3rd Donation</v>
      </c>
    </row>
    <row r="2504" spans="1:13" x14ac:dyDescent="0.25">
      <c r="A2504" t="str">
        <f t="shared" si="279"/>
        <v>CP523-Vaccinia AP - 4th Donation</v>
      </c>
      <c r="B2504" t="s">
        <v>72</v>
      </c>
      <c r="C2504" t="str">
        <f t="shared" si="273"/>
        <v>Pharr</v>
      </c>
      <c r="D2504" t="str">
        <f t="shared" si="274"/>
        <v>Y</v>
      </c>
      <c r="E2504" t="s">
        <v>659</v>
      </c>
      <c r="F2504" t="str">
        <f t="shared" si="275"/>
        <v>Vaccinia AP - 4th Donation</v>
      </c>
      <c r="G2504" t="str">
        <f t="shared" si="276"/>
        <v>Specialty</v>
      </c>
      <c r="H2504" t="s">
        <v>484</v>
      </c>
      <c r="I2504">
        <f t="shared" si="277"/>
        <v>0</v>
      </c>
      <c r="J2504" t="s">
        <v>546</v>
      </c>
      <c r="K2504" s="5">
        <v>300</v>
      </c>
      <c r="L2504" t="str">
        <f>Table_DataFromNL[[#This Row],[PROFILECODE]]&amp;"-"&amp;Table_DataFromNL[[#This Row],[RULENAME]]</f>
        <v>CP523-Vaccinia AP - 4th Donation</v>
      </c>
      <c r="M2504" t="str">
        <f t="shared" si="278"/>
        <v>CP523-Vaccinia AP - 4th Donation</v>
      </c>
    </row>
    <row r="2505" spans="1:13" x14ac:dyDescent="0.25">
      <c r="A2505" t="str">
        <f t="shared" si="279"/>
        <v>CP523-Community</v>
      </c>
      <c r="B2505" t="s">
        <v>72</v>
      </c>
      <c r="C2505" t="str">
        <f t="shared" si="273"/>
        <v>Pharr</v>
      </c>
      <c r="D2505" t="str">
        <f t="shared" si="274"/>
        <v>Y</v>
      </c>
      <c r="E2505" t="s">
        <v>659</v>
      </c>
      <c r="F2505" t="str">
        <f t="shared" si="275"/>
        <v>Community</v>
      </c>
      <c r="G2505">
        <f t="shared" si="276"/>
        <v>0</v>
      </c>
      <c r="H2505" t="s">
        <v>563</v>
      </c>
      <c r="I2505">
        <f t="shared" si="277"/>
        <v>0</v>
      </c>
      <c r="J2505" t="s">
        <v>564</v>
      </c>
      <c r="K2505" s="5">
        <v>5</v>
      </c>
      <c r="L2505" t="str">
        <f>Table_DataFromNL[[#This Row],[PROFILECODE]]&amp;"-"&amp;Table_DataFromNL[[#This Row],[RULENAME]]</f>
        <v>CP523-Community</v>
      </c>
      <c r="M2505" t="e">
        <f t="shared" si="278"/>
        <v>#N/A</v>
      </c>
    </row>
    <row r="2506" spans="1:13" x14ac:dyDescent="0.25">
      <c r="A2506" t="str">
        <f t="shared" si="279"/>
        <v>CP523-HANGER_RECRUIT_5USD_once</v>
      </c>
      <c r="B2506" t="s">
        <v>72</v>
      </c>
      <c r="C2506" t="str">
        <f t="shared" si="273"/>
        <v>Pharr</v>
      </c>
      <c r="D2506" t="str">
        <f t="shared" si="274"/>
        <v>Y</v>
      </c>
      <c r="E2506" t="s">
        <v>659</v>
      </c>
      <c r="F2506" t="str">
        <f t="shared" si="275"/>
        <v>HANGER_RECRUIT_5USD_once</v>
      </c>
      <c r="G2506">
        <f t="shared" si="276"/>
        <v>0</v>
      </c>
      <c r="H2506" t="s">
        <v>565</v>
      </c>
      <c r="I2506">
        <f t="shared" si="277"/>
        <v>0</v>
      </c>
      <c r="J2506" t="s">
        <v>564</v>
      </c>
      <c r="K2506" s="5">
        <v>5</v>
      </c>
      <c r="L2506" t="str">
        <f>Table_DataFromNL[[#This Row],[PROFILECODE]]&amp;"-"&amp;Table_DataFromNL[[#This Row],[RULENAME]]</f>
        <v>CP523-HANGER_RECRUIT_5USD_once</v>
      </c>
      <c r="M2506" t="e">
        <f t="shared" si="278"/>
        <v>#N/A</v>
      </c>
    </row>
    <row r="2507" spans="1:13" x14ac:dyDescent="0.25">
      <c r="A2507" t="str">
        <f t="shared" si="279"/>
        <v>CP523-Immunization Boost Payment</v>
      </c>
      <c r="B2507" t="s">
        <v>72</v>
      </c>
      <c r="C2507" t="str">
        <f t="shared" si="273"/>
        <v>Pharr</v>
      </c>
      <c r="D2507" t="str">
        <f t="shared" si="274"/>
        <v>Y</v>
      </c>
      <c r="E2507" t="s">
        <v>659</v>
      </c>
      <c r="F2507" t="str">
        <f t="shared" si="275"/>
        <v>Immunization Boost Payment</v>
      </c>
      <c r="G2507">
        <f t="shared" si="276"/>
        <v>0</v>
      </c>
      <c r="H2507" t="s">
        <v>598</v>
      </c>
      <c r="I2507">
        <f t="shared" si="277"/>
        <v>0</v>
      </c>
      <c r="J2507" t="s">
        <v>564</v>
      </c>
      <c r="K2507" s="5">
        <v>50</v>
      </c>
      <c r="L2507" t="str">
        <f>Table_DataFromNL[[#This Row],[PROFILECODE]]&amp;"-"&amp;Table_DataFromNL[[#This Row],[RULENAME]]</f>
        <v>CP523-Immunization Boost Payment</v>
      </c>
      <c r="M2507" t="e">
        <f t="shared" si="278"/>
        <v>#N/A</v>
      </c>
    </row>
    <row r="2508" spans="1:13" x14ac:dyDescent="0.25">
      <c r="A2508" t="str">
        <f t="shared" si="279"/>
        <v>CP523-Immunization Series Payment</v>
      </c>
      <c r="B2508" t="s">
        <v>72</v>
      </c>
      <c r="C2508" t="str">
        <f t="shared" si="273"/>
        <v>Pharr</v>
      </c>
      <c r="D2508" t="str">
        <f t="shared" si="274"/>
        <v>Y</v>
      </c>
      <c r="E2508" t="s">
        <v>659</v>
      </c>
      <c r="F2508" t="str">
        <f t="shared" si="275"/>
        <v>Immunization Series Payment</v>
      </c>
      <c r="G2508">
        <f t="shared" si="276"/>
        <v>0</v>
      </c>
      <c r="H2508" t="s">
        <v>599</v>
      </c>
      <c r="I2508">
        <f t="shared" si="277"/>
        <v>0</v>
      </c>
      <c r="J2508" t="s">
        <v>564</v>
      </c>
      <c r="K2508" s="5">
        <v>100</v>
      </c>
      <c r="L2508" t="str">
        <f>Table_DataFromNL[[#This Row],[PROFILECODE]]&amp;"-"&amp;Table_DataFromNL[[#This Row],[RULENAME]]</f>
        <v>CP523-Immunization Series Payment</v>
      </c>
      <c r="M2508" t="e">
        <f t="shared" si="278"/>
        <v>#N/A</v>
      </c>
    </row>
    <row r="2509" spans="1:13" x14ac:dyDescent="0.25">
      <c r="A2509" t="str">
        <f t="shared" si="279"/>
        <v>CP523-Inconv Fee $20-$50-Comment Req'd</v>
      </c>
      <c r="B2509" t="s">
        <v>72</v>
      </c>
      <c r="C2509" t="str">
        <f t="shared" si="273"/>
        <v>Pharr</v>
      </c>
      <c r="D2509" t="str">
        <f t="shared" si="274"/>
        <v>Y</v>
      </c>
      <c r="E2509" t="s">
        <v>659</v>
      </c>
      <c r="F2509" t="str">
        <f t="shared" si="275"/>
        <v>Inconv Fee $20-$50-Comment Req'd</v>
      </c>
      <c r="G2509">
        <f t="shared" si="276"/>
        <v>0</v>
      </c>
      <c r="H2509" t="s">
        <v>566</v>
      </c>
      <c r="I2509">
        <f t="shared" si="277"/>
        <v>0</v>
      </c>
      <c r="J2509" t="s">
        <v>564</v>
      </c>
      <c r="K2509" s="5">
        <v>50</v>
      </c>
      <c r="L2509" t="str">
        <f>Table_DataFromNL[[#This Row],[PROFILECODE]]&amp;"-"&amp;Table_DataFromNL[[#This Row],[RULENAME]]</f>
        <v>CP523-Inconv Fee $20-$50-Comment Req'd</v>
      </c>
      <c r="M2509" t="e">
        <f t="shared" si="278"/>
        <v>#N/A</v>
      </c>
    </row>
    <row r="2510" spans="1:13" x14ac:dyDescent="0.25">
      <c r="A2510" t="str">
        <f t="shared" si="279"/>
        <v>CP523-Inconv Fee $5-$20-Comment Req'd</v>
      </c>
      <c r="B2510" t="s">
        <v>72</v>
      </c>
      <c r="C2510" t="str">
        <f t="shared" si="273"/>
        <v>Pharr</v>
      </c>
      <c r="D2510" t="str">
        <f t="shared" si="274"/>
        <v>Y</v>
      </c>
      <c r="E2510" t="s">
        <v>659</v>
      </c>
      <c r="F2510" t="str">
        <f t="shared" si="275"/>
        <v>Inconv Fee $5-$20-Comment Req'd</v>
      </c>
      <c r="G2510">
        <f t="shared" si="276"/>
        <v>0</v>
      </c>
      <c r="H2510" t="s">
        <v>567</v>
      </c>
      <c r="I2510">
        <f t="shared" si="277"/>
        <v>0</v>
      </c>
      <c r="J2510" t="s">
        <v>564</v>
      </c>
      <c r="K2510" s="5">
        <v>20</v>
      </c>
      <c r="L2510" t="str">
        <f>Table_DataFromNL[[#This Row],[PROFILECODE]]&amp;"-"&amp;Table_DataFromNL[[#This Row],[RULENAME]]</f>
        <v>CP523-Inconv Fee $5-$20-Comment Req'd</v>
      </c>
      <c r="M2510" t="e">
        <f t="shared" si="278"/>
        <v>#N/A</v>
      </c>
    </row>
    <row r="2511" spans="1:13" x14ac:dyDescent="0.25">
      <c r="A2511" t="str">
        <f t="shared" si="279"/>
        <v>CP523-Inconv Fee$50-$100-Comment Req'd</v>
      </c>
      <c r="B2511" t="s">
        <v>72</v>
      </c>
      <c r="C2511" t="str">
        <f t="shared" si="273"/>
        <v>Pharr</v>
      </c>
      <c r="D2511" t="str">
        <f t="shared" si="274"/>
        <v>Y</v>
      </c>
      <c r="E2511" t="s">
        <v>659</v>
      </c>
      <c r="F2511" t="str">
        <f t="shared" si="275"/>
        <v>Inconv Fee$50-$100-Comment Req'd</v>
      </c>
      <c r="G2511">
        <f t="shared" si="276"/>
        <v>0</v>
      </c>
      <c r="H2511" t="s">
        <v>568</v>
      </c>
      <c r="I2511">
        <f t="shared" si="277"/>
        <v>0</v>
      </c>
      <c r="J2511" t="s">
        <v>564</v>
      </c>
      <c r="K2511" s="5">
        <v>100</v>
      </c>
      <c r="L2511" t="str">
        <f>Table_DataFromNL[[#This Row],[PROFILECODE]]&amp;"-"&amp;Table_DataFromNL[[#This Row],[RULENAME]]</f>
        <v>CP523-Inconv Fee$50-$100-Comment Req'd</v>
      </c>
      <c r="M2511" t="e">
        <f t="shared" si="278"/>
        <v>#N/A</v>
      </c>
    </row>
    <row r="2512" spans="1:13" x14ac:dyDescent="0.25">
      <c r="A2512" t="str">
        <f t="shared" si="279"/>
        <v>CP523-NSP_ LAPSEDONOR_50_Twice</v>
      </c>
      <c r="B2512" t="s">
        <v>72</v>
      </c>
      <c r="C2512" t="str">
        <f t="shared" si="273"/>
        <v>Pharr</v>
      </c>
      <c r="D2512" t="str">
        <f t="shared" si="274"/>
        <v>Y</v>
      </c>
      <c r="E2512" t="s">
        <v>659</v>
      </c>
      <c r="F2512" t="str">
        <f t="shared" si="275"/>
        <v>NSP_ LAPSEDONOR_50_Twice</v>
      </c>
      <c r="G2512">
        <f t="shared" si="276"/>
        <v>0</v>
      </c>
      <c r="H2512" t="s">
        <v>569</v>
      </c>
      <c r="I2512">
        <f t="shared" si="277"/>
        <v>0</v>
      </c>
      <c r="J2512" t="s">
        <v>564</v>
      </c>
      <c r="K2512" s="5">
        <v>50</v>
      </c>
      <c r="L2512" t="str">
        <f>Table_DataFromNL[[#This Row],[PROFILECODE]]&amp;"-"&amp;Table_DataFromNL[[#This Row],[RULENAME]]</f>
        <v>CP523-NSP_ LAPSEDONOR_50_Twice</v>
      </c>
      <c r="M2512" t="e">
        <f t="shared" si="278"/>
        <v>#N/A</v>
      </c>
    </row>
    <row r="2513" spans="1:13" x14ac:dyDescent="0.25">
      <c r="A2513" t="str">
        <f t="shared" si="279"/>
        <v>CP523-NSP_LD_25_2X</v>
      </c>
      <c r="B2513" t="s">
        <v>72</v>
      </c>
      <c r="C2513" t="str">
        <f t="shared" si="273"/>
        <v>Pharr</v>
      </c>
      <c r="D2513" t="str">
        <f t="shared" si="274"/>
        <v>Y</v>
      </c>
      <c r="E2513" t="s">
        <v>659</v>
      </c>
      <c r="F2513" t="str">
        <f t="shared" si="275"/>
        <v>NSP_LD_25_2X</v>
      </c>
      <c r="G2513">
        <f t="shared" si="276"/>
        <v>0</v>
      </c>
      <c r="H2513" t="s">
        <v>570</v>
      </c>
      <c r="I2513">
        <f t="shared" si="277"/>
        <v>0</v>
      </c>
      <c r="J2513" t="s">
        <v>564</v>
      </c>
      <c r="K2513" s="5">
        <v>25</v>
      </c>
      <c r="L2513" t="str">
        <f>Table_DataFromNL[[#This Row],[PROFILECODE]]&amp;"-"&amp;Table_DataFromNL[[#This Row],[RULENAME]]</f>
        <v>CP523-NSP_LD_25_2X</v>
      </c>
      <c r="M2513" t="e">
        <f t="shared" si="278"/>
        <v>#N/A</v>
      </c>
    </row>
    <row r="2514" spans="1:13" x14ac:dyDescent="0.25">
      <c r="A2514" t="str">
        <f t="shared" si="279"/>
        <v>CP523-NSP_LD_50_1X</v>
      </c>
      <c r="B2514" t="s">
        <v>72</v>
      </c>
      <c r="C2514" t="str">
        <f t="shared" si="273"/>
        <v>Pharr</v>
      </c>
      <c r="D2514" t="str">
        <f t="shared" si="274"/>
        <v>Y</v>
      </c>
      <c r="E2514" t="s">
        <v>659</v>
      </c>
      <c r="F2514" t="str">
        <f t="shared" si="275"/>
        <v>NSP_LD_50_1X</v>
      </c>
      <c r="G2514">
        <f t="shared" si="276"/>
        <v>0</v>
      </c>
      <c r="H2514" t="s">
        <v>571</v>
      </c>
      <c r="I2514">
        <f t="shared" si="277"/>
        <v>0</v>
      </c>
      <c r="J2514" t="s">
        <v>564</v>
      </c>
      <c r="K2514" s="5">
        <v>50</v>
      </c>
      <c r="L2514" t="str">
        <f>Table_DataFromNL[[#This Row],[PROFILECODE]]&amp;"-"&amp;Table_DataFromNL[[#This Row],[RULENAME]]</f>
        <v>CP523-NSP_LD_50_1X</v>
      </c>
      <c r="M2514" t="e">
        <f t="shared" si="278"/>
        <v>#N/A</v>
      </c>
    </row>
    <row r="2515" spans="1:13" x14ac:dyDescent="0.25">
      <c r="A2515" t="str">
        <f t="shared" si="279"/>
        <v>CP523-NSP_ORPHAN_100_once</v>
      </c>
      <c r="B2515" t="s">
        <v>72</v>
      </c>
      <c r="C2515" t="str">
        <f t="shared" si="273"/>
        <v>Pharr</v>
      </c>
      <c r="D2515" t="str">
        <f t="shared" si="274"/>
        <v>Y</v>
      </c>
      <c r="E2515" t="s">
        <v>659</v>
      </c>
      <c r="F2515" t="str">
        <f t="shared" si="275"/>
        <v>NSP_ORPHAN_100_once</v>
      </c>
      <c r="G2515">
        <f t="shared" si="276"/>
        <v>0</v>
      </c>
      <c r="H2515" t="s">
        <v>572</v>
      </c>
      <c r="I2515">
        <f t="shared" si="277"/>
        <v>0</v>
      </c>
      <c r="J2515" t="s">
        <v>564</v>
      </c>
      <c r="K2515" s="5">
        <v>100</v>
      </c>
      <c r="L2515" t="str">
        <f>Table_DataFromNL[[#This Row],[PROFILECODE]]&amp;"-"&amp;Table_DataFromNL[[#This Row],[RULENAME]]</f>
        <v>CP523-NSP_ORPHAN_100_once</v>
      </c>
      <c r="M2515" t="e">
        <f t="shared" si="278"/>
        <v>#N/A</v>
      </c>
    </row>
    <row r="2516" spans="1:13" x14ac:dyDescent="0.25">
      <c r="A2516" t="str">
        <f t="shared" si="279"/>
        <v>CP523-Referral - Vaccinia</v>
      </c>
      <c r="B2516" t="s">
        <v>72</v>
      </c>
      <c r="C2516" t="str">
        <f t="shared" si="273"/>
        <v>Pharr</v>
      </c>
      <c r="D2516" t="str">
        <f t="shared" si="274"/>
        <v>Y</v>
      </c>
      <c r="E2516" t="s">
        <v>659</v>
      </c>
      <c r="F2516" t="str">
        <f t="shared" si="275"/>
        <v>Referral - Vaccinia</v>
      </c>
      <c r="G2516">
        <f t="shared" si="276"/>
        <v>0</v>
      </c>
      <c r="H2516" t="s">
        <v>595</v>
      </c>
      <c r="I2516">
        <f t="shared" si="277"/>
        <v>0</v>
      </c>
      <c r="J2516" t="s">
        <v>564</v>
      </c>
      <c r="K2516" s="5">
        <v>250</v>
      </c>
      <c r="L2516" t="str">
        <f>Table_DataFromNL[[#This Row],[PROFILECODE]]&amp;"-"&amp;Table_DataFromNL[[#This Row],[RULENAME]]</f>
        <v>CP523-Referral - Vaccinia</v>
      </c>
      <c r="M2516" t="e">
        <f t="shared" si="278"/>
        <v>#N/A</v>
      </c>
    </row>
    <row r="2517" spans="1:13" x14ac:dyDescent="0.25">
      <c r="A2517" t="str">
        <f t="shared" si="279"/>
        <v>CP523-Restick</v>
      </c>
      <c r="B2517" t="s">
        <v>72</v>
      </c>
      <c r="C2517" t="str">
        <f t="shared" si="273"/>
        <v>Pharr</v>
      </c>
      <c r="D2517" t="str">
        <f t="shared" si="274"/>
        <v>Y</v>
      </c>
      <c r="E2517" t="s">
        <v>659</v>
      </c>
      <c r="F2517" t="str">
        <f t="shared" si="275"/>
        <v>Restick</v>
      </c>
      <c r="G2517">
        <f t="shared" si="276"/>
        <v>0</v>
      </c>
      <c r="H2517" t="s">
        <v>573</v>
      </c>
      <c r="I2517">
        <f t="shared" si="277"/>
        <v>0</v>
      </c>
      <c r="J2517" t="s">
        <v>564</v>
      </c>
      <c r="K2517" s="5">
        <v>5</v>
      </c>
      <c r="L2517" t="str">
        <f>Table_DataFromNL[[#This Row],[PROFILECODE]]&amp;"-"&amp;Table_DataFromNL[[#This Row],[RULENAME]]</f>
        <v>CP523-Restick</v>
      </c>
      <c r="M2517" t="e">
        <f t="shared" si="278"/>
        <v>#N/A</v>
      </c>
    </row>
    <row r="2518" spans="1:13" x14ac:dyDescent="0.25">
      <c r="A2518" t="str">
        <f t="shared" si="279"/>
        <v>CP523-SCRATCH_100_USD</v>
      </c>
      <c r="B2518" t="s">
        <v>72</v>
      </c>
      <c r="C2518" t="str">
        <f t="shared" si="273"/>
        <v>Pharr</v>
      </c>
      <c r="D2518" t="str">
        <f t="shared" si="274"/>
        <v>Y</v>
      </c>
      <c r="E2518" t="s">
        <v>659</v>
      </c>
      <c r="F2518" t="str">
        <f t="shared" si="275"/>
        <v>SCRATCH_100_USD</v>
      </c>
      <c r="G2518">
        <f t="shared" si="276"/>
        <v>0</v>
      </c>
      <c r="H2518" t="s">
        <v>586</v>
      </c>
      <c r="I2518">
        <f t="shared" si="277"/>
        <v>0</v>
      </c>
      <c r="J2518" t="s">
        <v>564</v>
      </c>
      <c r="K2518" s="5">
        <v>100</v>
      </c>
      <c r="L2518" t="str">
        <f>Table_DataFromNL[[#This Row],[PROFILECODE]]&amp;"-"&amp;Table_DataFromNL[[#This Row],[RULENAME]]</f>
        <v>CP523-SCRATCH_100_USD</v>
      </c>
      <c r="M2518" t="e">
        <f t="shared" si="278"/>
        <v>#N/A</v>
      </c>
    </row>
    <row r="2519" spans="1:13" x14ac:dyDescent="0.25">
      <c r="A2519" t="str">
        <f t="shared" si="279"/>
        <v>CP523-SCRATCH_10_USD</v>
      </c>
      <c r="B2519" t="s">
        <v>72</v>
      </c>
      <c r="C2519" t="str">
        <f t="shared" si="273"/>
        <v>Pharr</v>
      </c>
      <c r="D2519" t="str">
        <f t="shared" si="274"/>
        <v>Y</v>
      </c>
      <c r="E2519" t="s">
        <v>659</v>
      </c>
      <c r="F2519" t="str">
        <f t="shared" si="275"/>
        <v>SCRATCH_10_USD</v>
      </c>
      <c r="G2519">
        <f t="shared" si="276"/>
        <v>0</v>
      </c>
      <c r="H2519" t="s">
        <v>587</v>
      </c>
      <c r="I2519">
        <f t="shared" si="277"/>
        <v>0</v>
      </c>
      <c r="J2519" t="s">
        <v>564</v>
      </c>
      <c r="K2519" s="5">
        <v>10</v>
      </c>
      <c r="L2519" t="str">
        <f>Table_DataFromNL[[#This Row],[PROFILECODE]]&amp;"-"&amp;Table_DataFromNL[[#This Row],[RULENAME]]</f>
        <v>CP523-SCRATCH_10_USD</v>
      </c>
      <c r="M2519" t="e">
        <f t="shared" si="278"/>
        <v>#N/A</v>
      </c>
    </row>
    <row r="2520" spans="1:13" x14ac:dyDescent="0.25">
      <c r="A2520" t="str">
        <f t="shared" si="279"/>
        <v>CP523-SCRATCH_20_USD</v>
      </c>
      <c r="B2520" t="s">
        <v>72</v>
      </c>
      <c r="C2520" t="str">
        <f t="shared" si="273"/>
        <v>Pharr</v>
      </c>
      <c r="D2520" t="str">
        <f t="shared" si="274"/>
        <v>Y</v>
      </c>
      <c r="E2520" t="s">
        <v>659</v>
      </c>
      <c r="F2520" t="str">
        <f t="shared" si="275"/>
        <v>SCRATCH_20_USD</v>
      </c>
      <c r="G2520">
        <f t="shared" si="276"/>
        <v>0</v>
      </c>
      <c r="H2520" t="s">
        <v>588</v>
      </c>
      <c r="I2520">
        <f t="shared" si="277"/>
        <v>0</v>
      </c>
      <c r="J2520" t="s">
        <v>564</v>
      </c>
      <c r="K2520" s="5">
        <v>20</v>
      </c>
      <c r="L2520" t="str">
        <f>Table_DataFromNL[[#This Row],[PROFILECODE]]&amp;"-"&amp;Table_DataFromNL[[#This Row],[RULENAME]]</f>
        <v>CP523-SCRATCH_20_USD</v>
      </c>
      <c r="M2520" t="e">
        <f t="shared" si="278"/>
        <v>#N/A</v>
      </c>
    </row>
    <row r="2521" spans="1:13" x14ac:dyDescent="0.25">
      <c r="A2521" t="str">
        <f t="shared" si="279"/>
        <v>CP523-SCRATCH_25_USD</v>
      </c>
      <c r="B2521" t="s">
        <v>72</v>
      </c>
      <c r="C2521" t="str">
        <f t="shared" si="273"/>
        <v>Pharr</v>
      </c>
      <c r="D2521" t="str">
        <f t="shared" si="274"/>
        <v>Y</v>
      </c>
      <c r="E2521" t="s">
        <v>659</v>
      </c>
      <c r="F2521" t="str">
        <f t="shared" si="275"/>
        <v>SCRATCH_25_USD</v>
      </c>
      <c r="G2521">
        <f t="shared" si="276"/>
        <v>0</v>
      </c>
      <c r="H2521" t="s">
        <v>589</v>
      </c>
      <c r="I2521">
        <f t="shared" si="277"/>
        <v>0</v>
      </c>
      <c r="J2521" t="s">
        <v>564</v>
      </c>
      <c r="K2521" s="5">
        <v>25</v>
      </c>
      <c r="L2521" t="str">
        <f>Table_DataFromNL[[#This Row],[PROFILECODE]]&amp;"-"&amp;Table_DataFromNL[[#This Row],[RULENAME]]</f>
        <v>CP523-SCRATCH_25_USD</v>
      </c>
      <c r="M2521" t="e">
        <f t="shared" si="278"/>
        <v>#N/A</v>
      </c>
    </row>
    <row r="2522" spans="1:13" x14ac:dyDescent="0.25">
      <c r="A2522" t="str">
        <f t="shared" si="279"/>
        <v>CP523-SCRATCH_50_USD</v>
      </c>
      <c r="B2522" t="s">
        <v>72</v>
      </c>
      <c r="C2522" t="str">
        <f t="shared" si="273"/>
        <v>Pharr</v>
      </c>
      <c r="D2522" t="str">
        <f t="shared" si="274"/>
        <v>Y</v>
      </c>
      <c r="E2522" t="s">
        <v>659</v>
      </c>
      <c r="F2522" t="str">
        <f t="shared" si="275"/>
        <v>SCRATCH_50_USD</v>
      </c>
      <c r="G2522">
        <f t="shared" si="276"/>
        <v>0</v>
      </c>
      <c r="H2522" t="s">
        <v>590</v>
      </c>
      <c r="I2522">
        <f t="shared" si="277"/>
        <v>0</v>
      </c>
      <c r="J2522" t="s">
        <v>564</v>
      </c>
      <c r="K2522" s="5">
        <v>50</v>
      </c>
      <c r="L2522" t="str">
        <f>Table_DataFromNL[[#This Row],[PROFILECODE]]&amp;"-"&amp;Table_DataFromNL[[#This Row],[RULENAME]]</f>
        <v>CP523-SCRATCH_50_USD</v>
      </c>
      <c r="M2522" t="e">
        <f t="shared" si="278"/>
        <v>#N/A</v>
      </c>
    </row>
    <row r="2523" spans="1:13" x14ac:dyDescent="0.25">
      <c r="A2523" t="str">
        <f t="shared" si="279"/>
        <v>CP523-SCRATCH_5_USD</v>
      </c>
      <c r="B2523" t="s">
        <v>72</v>
      </c>
      <c r="C2523" t="str">
        <f t="shared" si="273"/>
        <v>Pharr</v>
      </c>
      <c r="D2523" t="str">
        <f t="shared" si="274"/>
        <v>Y</v>
      </c>
      <c r="E2523" t="s">
        <v>659</v>
      </c>
      <c r="F2523" t="str">
        <f t="shared" si="275"/>
        <v>SCRATCH_5_USD</v>
      </c>
      <c r="G2523">
        <f t="shared" si="276"/>
        <v>0</v>
      </c>
      <c r="H2523" t="s">
        <v>591</v>
      </c>
      <c r="I2523">
        <f t="shared" si="277"/>
        <v>0</v>
      </c>
      <c r="J2523" t="s">
        <v>564</v>
      </c>
      <c r="K2523" s="5">
        <v>5</v>
      </c>
      <c r="L2523" t="str">
        <f>Table_DataFromNL[[#This Row],[PROFILECODE]]&amp;"-"&amp;Table_DataFromNL[[#This Row],[RULENAME]]</f>
        <v>CP523-SCRATCH_5_USD</v>
      </c>
      <c r="M2523" t="e">
        <f t="shared" si="278"/>
        <v>#N/A</v>
      </c>
    </row>
    <row r="2524" spans="1:13" x14ac:dyDescent="0.25">
      <c r="A2524" t="str">
        <f t="shared" si="279"/>
        <v>CP523-SLOW_TEXT_5</v>
      </c>
      <c r="B2524" t="s">
        <v>72</v>
      </c>
      <c r="C2524" t="str">
        <f t="shared" si="273"/>
        <v>Pharr</v>
      </c>
      <c r="D2524" t="str">
        <f t="shared" si="274"/>
        <v>Y</v>
      </c>
      <c r="E2524" t="s">
        <v>659</v>
      </c>
      <c r="F2524" t="str">
        <f t="shared" si="275"/>
        <v>SLOW_TEXT_5</v>
      </c>
      <c r="G2524">
        <f t="shared" si="276"/>
        <v>0</v>
      </c>
      <c r="H2524" t="s">
        <v>574</v>
      </c>
      <c r="I2524">
        <f t="shared" si="277"/>
        <v>0</v>
      </c>
      <c r="J2524" t="s">
        <v>564</v>
      </c>
      <c r="K2524" s="5">
        <v>5</v>
      </c>
      <c r="L2524" t="str">
        <f>Table_DataFromNL[[#This Row],[PROFILECODE]]&amp;"-"&amp;Table_DataFromNL[[#This Row],[RULENAME]]</f>
        <v>CP523-SLOW_TEXT_5</v>
      </c>
      <c r="M2524" t="e">
        <f t="shared" si="278"/>
        <v>#N/A</v>
      </c>
    </row>
    <row r="2525" spans="1:13" x14ac:dyDescent="0.25">
      <c r="A2525" t="str">
        <f t="shared" si="279"/>
        <v>CP523-Sample Only</v>
      </c>
      <c r="B2525" t="s">
        <v>72</v>
      </c>
      <c r="C2525" t="str">
        <f t="shared" si="273"/>
        <v>Pharr</v>
      </c>
      <c r="D2525" t="str">
        <f t="shared" si="274"/>
        <v>Y</v>
      </c>
      <c r="E2525" t="s">
        <v>659</v>
      </c>
      <c r="F2525" t="str">
        <f t="shared" si="275"/>
        <v>Sample Only</v>
      </c>
      <c r="G2525">
        <f t="shared" si="276"/>
        <v>0</v>
      </c>
      <c r="H2525" t="s">
        <v>575</v>
      </c>
      <c r="I2525">
        <f t="shared" si="277"/>
        <v>0</v>
      </c>
      <c r="J2525" t="s">
        <v>564</v>
      </c>
      <c r="K2525" s="5">
        <v>5</v>
      </c>
      <c r="L2525" t="str">
        <f>Table_DataFromNL[[#This Row],[PROFILECODE]]&amp;"-"&amp;Table_DataFromNL[[#This Row],[RULENAME]]</f>
        <v>CP523-Sample Only</v>
      </c>
      <c r="M2525" t="e">
        <f t="shared" si="278"/>
        <v>#N/A</v>
      </c>
    </row>
    <row r="2526" spans="1:13" x14ac:dyDescent="0.25">
      <c r="A2526" t="str">
        <f t="shared" si="279"/>
        <v>CP523-Unit Below 250 mL</v>
      </c>
      <c r="B2526" t="s">
        <v>72</v>
      </c>
      <c r="C2526" t="str">
        <f t="shared" si="273"/>
        <v>Pharr</v>
      </c>
      <c r="D2526" t="str">
        <f t="shared" si="274"/>
        <v>Y</v>
      </c>
      <c r="E2526" t="s">
        <v>659</v>
      </c>
      <c r="F2526" t="str">
        <f t="shared" si="275"/>
        <v>Unit Below 250 mL</v>
      </c>
      <c r="G2526">
        <f t="shared" si="276"/>
        <v>0</v>
      </c>
      <c r="H2526" t="s">
        <v>576</v>
      </c>
      <c r="I2526">
        <f t="shared" si="277"/>
        <v>0</v>
      </c>
      <c r="J2526" t="s">
        <v>564</v>
      </c>
      <c r="K2526" s="5">
        <v>5</v>
      </c>
      <c r="L2526" t="str">
        <f>Table_DataFromNL[[#This Row],[PROFILECODE]]&amp;"-"&amp;Table_DataFromNL[[#This Row],[RULENAME]]</f>
        <v>CP523-Unit Below 250 mL</v>
      </c>
      <c r="M2526" t="e">
        <f t="shared" si="278"/>
        <v>#N/A</v>
      </c>
    </row>
    <row r="2527" spans="1:13" x14ac:dyDescent="0.25">
      <c r="A2527" t="str">
        <f t="shared" si="279"/>
        <v>CP523-Unit above 250 mL/underdraw</v>
      </c>
      <c r="B2527" t="s">
        <v>72</v>
      </c>
      <c r="C2527" t="str">
        <f t="shared" si="273"/>
        <v>Pharr</v>
      </c>
      <c r="D2527" t="str">
        <f t="shared" si="274"/>
        <v>Y</v>
      </c>
      <c r="E2527" t="s">
        <v>659</v>
      </c>
      <c r="F2527" t="str">
        <f t="shared" si="275"/>
        <v>Unit above 250 mL/underdraw</v>
      </c>
      <c r="G2527">
        <f t="shared" si="276"/>
        <v>0</v>
      </c>
      <c r="H2527" t="s">
        <v>577</v>
      </c>
      <c r="I2527">
        <f t="shared" si="277"/>
        <v>0</v>
      </c>
      <c r="J2527" t="s">
        <v>564</v>
      </c>
      <c r="K2527" s="5">
        <v>10</v>
      </c>
      <c r="L2527" t="str">
        <f>Table_DataFromNL[[#This Row],[PROFILECODE]]&amp;"-"&amp;Table_DataFromNL[[#This Row],[RULENAME]]</f>
        <v>CP523-Unit above 250 mL/underdraw</v>
      </c>
      <c r="M2527" t="e">
        <f t="shared" si="278"/>
        <v>#N/A</v>
      </c>
    </row>
    <row r="2528" spans="1:13" x14ac:dyDescent="0.25">
      <c r="A2528" t="str">
        <f t="shared" si="279"/>
        <v>CP523-Vaccinia Immunization</v>
      </c>
      <c r="B2528" t="s">
        <v>72</v>
      </c>
      <c r="C2528" t="str">
        <f t="shared" si="273"/>
        <v>Pharr</v>
      </c>
      <c r="D2528" t="str">
        <f t="shared" si="274"/>
        <v>Y</v>
      </c>
      <c r="E2528" t="s">
        <v>659</v>
      </c>
      <c r="F2528" t="str">
        <f t="shared" si="275"/>
        <v>Vaccinia Immunization</v>
      </c>
      <c r="G2528">
        <f t="shared" si="276"/>
        <v>0</v>
      </c>
      <c r="H2528" t="s">
        <v>596</v>
      </c>
      <c r="I2528">
        <f t="shared" si="277"/>
        <v>0</v>
      </c>
      <c r="J2528" t="s">
        <v>564</v>
      </c>
      <c r="K2528" s="5">
        <v>100</v>
      </c>
      <c r="L2528" t="str">
        <f>Table_DataFromNL[[#This Row],[PROFILECODE]]&amp;"-"&amp;Table_DataFromNL[[#This Row],[RULENAME]]</f>
        <v>CP523-Vaccinia Immunization</v>
      </c>
      <c r="M2528" t="e">
        <f t="shared" si="278"/>
        <v>#N/A</v>
      </c>
    </row>
    <row r="2529" spans="1:13" x14ac:dyDescent="0.25">
      <c r="A2529" t="str">
        <f t="shared" si="279"/>
        <v>CP523-RETURN - Buddy referral  -BONUS</v>
      </c>
      <c r="B2529" t="s">
        <v>72</v>
      </c>
      <c r="C2529" t="str">
        <f t="shared" si="273"/>
        <v>Pharr</v>
      </c>
      <c r="D2529" t="str">
        <f t="shared" si="274"/>
        <v>Y</v>
      </c>
      <c r="E2529" t="s">
        <v>659</v>
      </c>
      <c r="F2529" t="str">
        <f t="shared" si="275"/>
        <v>RETURN - Buddy referral  -BONUS</v>
      </c>
      <c r="G2529" t="str">
        <f t="shared" si="276"/>
        <v>Marketing</v>
      </c>
      <c r="H2529" t="s">
        <v>34</v>
      </c>
      <c r="I2529">
        <f t="shared" si="277"/>
        <v>50</v>
      </c>
      <c r="J2529" t="s">
        <v>578</v>
      </c>
      <c r="K2529" s="5">
        <v>50</v>
      </c>
      <c r="L2529" t="str">
        <f>Table_DataFromNL[[#This Row],[PROFILECODE]]&amp;"-"&amp;Table_DataFromNL[[#This Row],[RULENAME]]</f>
        <v>CP523-Referral</v>
      </c>
      <c r="M2529" t="str">
        <f t="shared" si="278"/>
        <v>CP523-RETURN - Buddy referral  -BONUS</v>
      </c>
    </row>
    <row r="2530" spans="1:13" x14ac:dyDescent="0.25">
      <c r="A2530" t="str">
        <f t="shared" si="279"/>
        <v>CP523-P Anti-D Pre-Existing Standard</v>
      </c>
      <c r="B2530" t="s">
        <v>72</v>
      </c>
      <c r="C2530" t="str">
        <f t="shared" si="273"/>
        <v>Pharr</v>
      </c>
      <c r="D2530" t="str">
        <f t="shared" si="274"/>
        <v>Y</v>
      </c>
      <c r="E2530" t="s">
        <v>659</v>
      </c>
      <c r="F2530" t="str">
        <f t="shared" si="275"/>
        <v>P Anti-D Pre-Existing Standard</v>
      </c>
      <c r="G2530" t="str">
        <f t="shared" si="276"/>
        <v>Specialty</v>
      </c>
      <c r="H2530" t="s">
        <v>469</v>
      </c>
      <c r="I2530" t="str">
        <f t="shared" si="277"/>
        <v>RETURN - 1st don of the week -STD</v>
      </c>
      <c r="J2530" t="s">
        <v>579</v>
      </c>
      <c r="K2530" s="5">
        <v>50</v>
      </c>
      <c r="L2530" t="str">
        <f>Table_DataFromNL[[#This Row],[PROFILECODE]]&amp;"-"&amp;Table_DataFromNL[[#This Row],[RULENAME]]</f>
        <v>CP523-P Anti-D Pre-Existing Standard</v>
      </c>
      <c r="M2530" t="str">
        <f t="shared" si="278"/>
        <v>CP523-P Anti-D Pre-Existing Standard</v>
      </c>
    </row>
    <row r="2531" spans="1:13" x14ac:dyDescent="0.25">
      <c r="A2531" t="str">
        <f t="shared" si="279"/>
        <v>CP523-P HBS Pre-Existing Standard</v>
      </c>
      <c r="B2531" t="s">
        <v>72</v>
      </c>
      <c r="C2531" t="str">
        <f t="shared" si="273"/>
        <v>Pharr</v>
      </c>
      <c r="D2531" t="str">
        <f t="shared" si="274"/>
        <v>Y</v>
      </c>
      <c r="E2531" t="s">
        <v>659</v>
      </c>
      <c r="F2531" t="str">
        <f t="shared" si="275"/>
        <v>P HBS Pre-Existing Standard</v>
      </c>
      <c r="G2531" t="str">
        <f t="shared" si="276"/>
        <v>Specialty</v>
      </c>
      <c r="H2531" t="s">
        <v>472</v>
      </c>
      <c r="I2531" t="str">
        <f t="shared" si="277"/>
        <v>RETURN - 1st don of the week -STD</v>
      </c>
      <c r="J2531" t="s">
        <v>579</v>
      </c>
      <c r="K2531" s="5">
        <v>80</v>
      </c>
      <c r="L2531" t="str">
        <f>Table_DataFromNL[[#This Row],[PROFILECODE]]&amp;"-"&amp;Table_DataFromNL[[#This Row],[RULENAME]]</f>
        <v>CP523-P HBS Pre-Existing Standard</v>
      </c>
      <c r="M2531" t="str">
        <f t="shared" si="278"/>
        <v>CP523-P HBS Pre-Existing Standard</v>
      </c>
    </row>
    <row r="2532" spans="1:13" x14ac:dyDescent="0.25">
      <c r="A2532" t="str">
        <f t="shared" si="279"/>
        <v>CP523-P HBS TWINRIX Standard</v>
      </c>
      <c r="B2532" t="s">
        <v>72</v>
      </c>
      <c r="C2532" t="str">
        <f t="shared" si="273"/>
        <v>Pharr</v>
      </c>
      <c r="D2532" t="str">
        <f t="shared" si="274"/>
        <v>Y</v>
      </c>
      <c r="E2532" t="s">
        <v>659</v>
      </c>
      <c r="F2532" t="str">
        <f t="shared" si="275"/>
        <v>P HBS TWINRIX Standard</v>
      </c>
      <c r="G2532" t="str">
        <f t="shared" si="276"/>
        <v>Specialty</v>
      </c>
      <c r="H2532" t="s">
        <v>506</v>
      </c>
      <c r="I2532" t="str">
        <f t="shared" si="277"/>
        <v>RETURN - 1st don of the week -STD</v>
      </c>
      <c r="J2532" t="s">
        <v>579</v>
      </c>
      <c r="K2532" s="5">
        <v>80</v>
      </c>
      <c r="L2532" t="str">
        <f>Table_DataFromNL[[#This Row],[PROFILECODE]]&amp;"-"&amp;Table_DataFromNL[[#This Row],[RULENAME]]</f>
        <v>CP523-P HBS TWINRIX Standard</v>
      </c>
      <c r="M2532" t="str">
        <f t="shared" si="278"/>
        <v>CP523-P HBS TWINRIX Standard</v>
      </c>
    </row>
    <row r="2533" spans="1:13" x14ac:dyDescent="0.25">
      <c r="A2533" t="str">
        <f t="shared" si="279"/>
        <v>CP523-P HBS TWINRIX-AP Standard</v>
      </c>
      <c r="B2533" t="s">
        <v>72</v>
      </c>
      <c r="C2533" t="str">
        <f t="shared" si="273"/>
        <v>Pharr</v>
      </c>
      <c r="D2533" t="str">
        <f t="shared" si="274"/>
        <v>Y</v>
      </c>
      <c r="E2533" t="s">
        <v>659</v>
      </c>
      <c r="F2533" t="str">
        <f t="shared" si="275"/>
        <v>P HBS TWINRIX-AP Standard</v>
      </c>
      <c r="G2533" t="str">
        <f t="shared" si="276"/>
        <v>Specialty</v>
      </c>
      <c r="H2533" t="s">
        <v>507</v>
      </c>
      <c r="I2533" t="str">
        <f t="shared" si="277"/>
        <v>RETURN - 1st don of the week -STD</v>
      </c>
      <c r="J2533" t="s">
        <v>579</v>
      </c>
      <c r="K2533" s="5">
        <v>80</v>
      </c>
      <c r="L2533" t="str">
        <f>Table_DataFromNL[[#This Row],[PROFILECODE]]&amp;"-"&amp;Table_DataFromNL[[#This Row],[RULENAME]]</f>
        <v>CP523-P HBS TWINRIX-AP Standard</v>
      </c>
      <c r="M2533" t="str">
        <f t="shared" si="278"/>
        <v>CP523-P HBS TWINRIX-AP Standard</v>
      </c>
    </row>
    <row r="2534" spans="1:13" x14ac:dyDescent="0.25">
      <c r="A2534" t="str">
        <f t="shared" si="279"/>
        <v>CP523-RETURN - 1st don of the week -STD</v>
      </c>
      <c r="B2534" t="s">
        <v>72</v>
      </c>
      <c r="C2534" t="str">
        <f t="shared" si="273"/>
        <v>Pharr</v>
      </c>
      <c r="D2534" t="str">
        <f t="shared" si="274"/>
        <v>Y</v>
      </c>
      <c r="E2534" t="s">
        <v>659</v>
      </c>
      <c r="F2534" t="str">
        <f t="shared" si="275"/>
        <v>RETURN - 1st don of the week -STD</v>
      </c>
      <c r="G2534" t="str">
        <f t="shared" si="276"/>
        <v>Marketing</v>
      </c>
      <c r="H2534" t="s">
        <v>583</v>
      </c>
      <c r="I2534">
        <f t="shared" si="277"/>
        <v>22</v>
      </c>
      <c r="J2534" t="s">
        <v>579</v>
      </c>
      <c r="K2534" s="5">
        <v>60</v>
      </c>
      <c r="L2534" t="str">
        <f>Table_DataFromNL[[#This Row],[PROFILECODE]]&amp;"-"&amp;Table_DataFromNL[[#This Row],[RULENAME]]</f>
        <v>CP523-P NSP NS AP Standard</v>
      </c>
      <c r="M2534" t="str">
        <f t="shared" si="278"/>
        <v>CP523-RETURN - 1st don of the week -STD</v>
      </c>
    </row>
    <row r="2535" spans="1:13" x14ac:dyDescent="0.25">
      <c r="A2535" t="str">
        <f t="shared" si="279"/>
        <v>CP523-RETURN - 1st don of the week -STD</v>
      </c>
      <c r="B2535" t="s">
        <v>72</v>
      </c>
      <c r="C2535" t="str">
        <f t="shared" si="273"/>
        <v>Pharr</v>
      </c>
      <c r="D2535" t="str">
        <f t="shared" si="274"/>
        <v>Y</v>
      </c>
      <c r="E2535" t="s">
        <v>659</v>
      </c>
      <c r="F2535" t="str">
        <f t="shared" si="275"/>
        <v>RETURN - 1st don of the week -STD</v>
      </c>
      <c r="G2535" t="str">
        <f t="shared" si="276"/>
        <v>Marketing</v>
      </c>
      <c r="H2535" t="s">
        <v>584</v>
      </c>
      <c r="I2535">
        <f t="shared" si="277"/>
        <v>23</v>
      </c>
      <c r="J2535" t="s">
        <v>579</v>
      </c>
      <c r="K2535" s="5">
        <v>60</v>
      </c>
      <c r="L2535" t="str">
        <f>Table_DataFromNL[[#This Row],[PROFILECODE]]&amp;"-"&amp;Table_DataFromNL[[#This Row],[RULENAME]]</f>
        <v>CP523-P NSP NS Standard</v>
      </c>
      <c r="M2535" t="str">
        <f t="shared" si="278"/>
        <v>CP523-RETURN - 1st don of the week -STD</v>
      </c>
    </row>
    <row r="2536" spans="1:13" x14ac:dyDescent="0.25">
      <c r="A2536" t="str">
        <f t="shared" si="279"/>
        <v>CP523-P VZV Pre-Existing AP</v>
      </c>
      <c r="B2536" t="s">
        <v>72</v>
      </c>
      <c r="C2536" t="str">
        <f t="shared" si="273"/>
        <v>Pharr</v>
      </c>
      <c r="D2536" t="str">
        <f t="shared" si="274"/>
        <v>Y</v>
      </c>
      <c r="E2536" t="s">
        <v>659</v>
      </c>
      <c r="F2536" t="str">
        <f t="shared" si="275"/>
        <v>P VZV Pre-Existing AP</v>
      </c>
      <c r="G2536" t="str">
        <f t="shared" si="276"/>
        <v>Specialty</v>
      </c>
      <c r="H2536" t="s">
        <v>495</v>
      </c>
      <c r="I2536" t="str">
        <f t="shared" si="277"/>
        <v>RETURN - 1st don of the week -STD</v>
      </c>
      <c r="J2536" t="s">
        <v>579</v>
      </c>
      <c r="K2536" s="5">
        <v>70</v>
      </c>
      <c r="L2536" t="str">
        <f>Table_DataFromNL[[#This Row],[PROFILECODE]]&amp;"-"&amp;Table_DataFromNL[[#This Row],[RULENAME]]</f>
        <v>CP523-P VZV Pre-Existing AP</v>
      </c>
      <c r="M2536" t="str">
        <f t="shared" si="278"/>
        <v>CP523-P VZV Pre-Existing AP</v>
      </c>
    </row>
    <row r="2537" spans="1:13" x14ac:dyDescent="0.25">
      <c r="A2537" t="str">
        <f t="shared" si="279"/>
        <v>CP523-P Vaccinia AP Standard</v>
      </c>
      <c r="B2537" t="s">
        <v>72</v>
      </c>
      <c r="C2537" t="str">
        <f t="shared" si="273"/>
        <v>Pharr</v>
      </c>
      <c r="D2537" t="str">
        <f t="shared" si="274"/>
        <v>Y</v>
      </c>
      <c r="E2537" t="s">
        <v>659</v>
      </c>
      <c r="F2537" t="str">
        <f t="shared" si="275"/>
        <v>P Vaccinia AP Standard</v>
      </c>
      <c r="G2537" t="str">
        <f t="shared" si="276"/>
        <v>Specialty</v>
      </c>
      <c r="H2537" t="s">
        <v>475</v>
      </c>
      <c r="I2537">
        <f t="shared" si="277"/>
        <v>0</v>
      </c>
      <c r="J2537" t="s">
        <v>579</v>
      </c>
      <c r="K2537" s="5">
        <v>100</v>
      </c>
      <c r="L2537" t="str">
        <f>Table_DataFromNL[[#This Row],[PROFILECODE]]&amp;"-"&amp;Table_DataFromNL[[#This Row],[RULENAME]]</f>
        <v>CP523-P Vaccinia AP Standard</v>
      </c>
      <c r="M2537" t="str">
        <f t="shared" si="278"/>
        <v>CP523-P Vaccinia AP Standard</v>
      </c>
    </row>
    <row r="2538" spans="1:13" x14ac:dyDescent="0.25">
      <c r="A2538" t="str">
        <f t="shared" si="279"/>
        <v>CP523-P Vaccinia Standard</v>
      </c>
      <c r="B2538" t="s">
        <v>72</v>
      </c>
      <c r="C2538" t="str">
        <f t="shared" si="273"/>
        <v>Pharr</v>
      </c>
      <c r="D2538" t="str">
        <f t="shared" si="274"/>
        <v>Y</v>
      </c>
      <c r="E2538" t="s">
        <v>659</v>
      </c>
      <c r="F2538" t="str">
        <f t="shared" si="275"/>
        <v>P Vaccinia Standard</v>
      </c>
      <c r="G2538" t="str">
        <f t="shared" si="276"/>
        <v>Specialty</v>
      </c>
      <c r="H2538" t="s">
        <v>476</v>
      </c>
      <c r="I2538">
        <f t="shared" si="277"/>
        <v>0</v>
      </c>
      <c r="J2538" t="s">
        <v>579</v>
      </c>
      <c r="K2538" s="5">
        <v>100</v>
      </c>
      <c r="L2538" t="str">
        <f>Table_DataFromNL[[#This Row],[PROFILECODE]]&amp;"-"&amp;Table_DataFromNL[[#This Row],[RULENAME]]</f>
        <v>CP523-P Vaccinia Standard</v>
      </c>
      <c r="M2538" t="str">
        <f t="shared" si="278"/>
        <v>CP523-P Vaccinia Standard</v>
      </c>
    </row>
    <row r="2539" spans="1:13" x14ac:dyDescent="0.25">
      <c r="A2539" t="str">
        <f t="shared" si="279"/>
        <v>CP523-PVZV Pre-Existing Standard</v>
      </c>
      <c r="B2539" t="s">
        <v>72</v>
      </c>
      <c r="C2539" t="str">
        <f t="shared" si="273"/>
        <v>Pharr</v>
      </c>
      <c r="D2539" t="str">
        <f t="shared" si="274"/>
        <v>Y</v>
      </c>
      <c r="E2539" t="s">
        <v>659</v>
      </c>
      <c r="F2539" t="str">
        <f t="shared" si="275"/>
        <v>PVZV Pre-Existing Standard</v>
      </c>
      <c r="G2539" t="str">
        <f t="shared" si="276"/>
        <v>Specialty</v>
      </c>
      <c r="H2539" t="s">
        <v>497</v>
      </c>
      <c r="I2539" t="str">
        <f t="shared" si="277"/>
        <v>RETURN - 1st don of the week -STD</v>
      </c>
      <c r="J2539" t="s">
        <v>579</v>
      </c>
      <c r="K2539" s="5">
        <v>70</v>
      </c>
      <c r="L2539" t="str">
        <f>Table_DataFromNL[[#This Row],[PROFILECODE]]&amp;"-"&amp;Table_DataFromNL[[#This Row],[RULENAME]]</f>
        <v>CP523-PVZV Pre-Existing Standard</v>
      </c>
      <c r="M2539" t="str">
        <f t="shared" si="278"/>
        <v>CP523-PVZV Pre-Existing Standard</v>
      </c>
    </row>
    <row r="2540" spans="1:13" x14ac:dyDescent="0.25">
      <c r="A2540" t="str">
        <f t="shared" si="279"/>
        <v>CP524-1st Responder-Medical</v>
      </c>
      <c r="B2540" t="s">
        <v>80</v>
      </c>
      <c r="C2540" t="str">
        <f t="shared" si="273"/>
        <v>Phoenix</v>
      </c>
      <c r="D2540" t="str">
        <f t="shared" si="274"/>
        <v>Y</v>
      </c>
      <c r="E2540" t="s">
        <v>660</v>
      </c>
      <c r="F2540" t="str">
        <f t="shared" si="275"/>
        <v>1st Responder-Medical</v>
      </c>
      <c r="G2540">
        <f t="shared" si="276"/>
        <v>0</v>
      </c>
      <c r="H2540" t="s">
        <v>545</v>
      </c>
      <c r="I2540">
        <f t="shared" si="277"/>
        <v>0</v>
      </c>
      <c r="J2540" t="s">
        <v>546</v>
      </c>
      <c r="K2540" s="5">
        <v>5</v>
      </c>
      <c r="L2540" t="str">
        <f>Table_DataFromNL[[#This Row],[PROFILECODE]]&amp;"-"&amp;Table_DataFromNL[[#This Row],[RULENAME]]</f>
        <v>CP524-1st Responder-Medical</v>
      </c>
      <c r="M2540" t="e">
        <f t="shared" si="278"/>
        <v>#N/A</v>
      </c>
    </row>
    <row r="2541" spans="1:13" x14ac:dyDescent="0.25">
      <c r="A2541" t="str">
        <f t="shared" si="279"/>
        <v>CP524-2X Week P HBS Pre-Existing</v>
      </c>
      <c r="B2541" t="s">
        <v>80</v>
      </c>
      <c r="C2541" t="str">
        <f t="shared" si="273"/>
        <v>Phoenix</v>
      </c>
      <c r="D2541" t="str">
        <f t="shared" si="274"/>
        <v>Y</v>
      </c>
      <c r="E2541" t="s">
        <v>660</v>
      </c>
      <c r="F2541" t="str">
        <f t="shared" si="275"/>
        <v>2X Week P HBS Pre-Existing</v>
      </c>
      <c r="G2541" t="str">
        <f t="shared" si="276"/>
        <v>Specialty</v>
      </c>
      <c r="H2541" t="s">
        <v>471</v>
      </c>
      <c r="I2541" t="str">
        <f t="shared" si="277"/>
        <v>RETURN - 2nd don of the week -BONUS</v>
      </c>
      <c r="J2541" t="s">
        <v>546</v>
      </c>
      <c r="K2541" s="5">
        <v>4</v>
      </c>
      <c r="L2541" t="str">
        <f>Table_DataFromNL[[#This Row],[PROFILECODE]]&amp;"-"&amp;Table_DataFromNL[[#This Row],[RULENAME]]</f>
        <v>CP524-2X Week P HBS Pre-Existing</v>
      </c>
      <c r="M2541" t="str">
        <f t="shared" si="278"/>
        <v>CP524-2X Week P HBS Pre-Existing</v>
      </c>
    </row>
    <row r="2542" spans="1:13" x14ac:dyDescent="0.25">
      <c r="A2542" t="str">
        <f t="shared" si="279"/>
        <v>CP524-2X Week P HBS TWINRX</v>
      </c>
      <c r="B2542" t="s">
        <v>80</v>
      </c>
      <c r="C2542" t="str">
        <f t="shared" si="273"/>
        <v>Phoenix</v>
      </c>
      <c r="D2542" t="str">
        <f t="shared" si="274"/>
        <v>Y</v>
      </c>
      <c r="E2542" t="s">
        <v>660</v>
      </c>
      <c r="F2542" t="str">
        <f t="shared" si="275"/>
        <v>2X Week P HBS TWINRX</v>
      </c>
      <c r="G2542" t="str">
        <f t="shared" si="276"/>
        <v>Specialty</v>
      </c>
      <c r="H2542" t="s">
        <v>504</v>
      </c>
      <c r="I2542" t="str">
        <f t="shared" si="277"/>
        <v>RETURN - 2nd don of the week -BONUS</v>
      </c>
      <c r="J2542" t="s">
        <v>546</v>
      </c>
      <c r="K2542" s="5">
        <v>4</v>
      </c>
      <c r="L2542" t="str">
        <f>Table_DataFromNL[[#This Row],[PROFILECODE]]&amp;"-"&amp;Table_DataFromNL[[#This Row],[RULENAME]]</f>
        <v>CP524-2X Week P HBS TWINRX</v>
      </c>
      <c r="M2542" t="str">
        <f t="shared" si="278"/>
        <v>CP524-2X Week P HBS TWINRX</v>
      </c>
    </row>
    <row r="2543" spans="1:13" x14ac:dyDescent="0.25">
      <c r="A2543" t="str">
        <f t="shared" si="279"/>
        <v>CP524-2X Week P HBS TWINRX-AP</v>
      </c>
      <c r="B2543" t="s">
        <v>80</v>
      </c>
      <c r="C2543" t="str">
        <f t="shared" si="273"/>
        <v>Phoenix</v>
      </c>
      <c r="D2543" t="str">
        <f t="shared" si="274"/>
        <v>Y</v>
      </c>
      <c r="E2543" t="s">
        <v>660</v>
      </c>
      <c r="F2543" t="str">
        <f t="shared" si="275"/>
        <v>2X Week P HBS TWINRX-AP</v>
      </c>
      <c r="G2543" t="str">
        <f t="shared" si="276"/>
        <v>Specialty</v>
      </c>
      <c r="H2543" t="s">
        <v>505</v>
      </c>
      <c r="I2543" t="str">
        <f t="shared" si="277"/>
        <v>RETURN - 2nd don of the week -BONUS</v>
      </c>
      <c r="J2543" t="s">
        <v>546</v>
      </c>
      <c r="K2543" s="5">
        <v>4</v>
      </c>
      <c r="L2543" t="str">
        <f>Table_DataFromNL[[#This Row],[PROFILECODE]]&amp;"-"&amp;Table_DataFromNL[[#This Row],[RULENAME]]</f>
        <v>CP524-2X Week P HBS TWINRX-AP</v>
      </c>
      <c r="M2543" t="str">
        <f t="shared" si="278"/>
        <v>CP524-2X Week P HBS TWINRX-AP</v>
      </c>
    </row>
    <row r="2544" spans="1:13" x14ac:dyDescent="0.25">
      <c r="A2544" t="str">
        <f t="shared" si="279"/>
        <v>CP524-RETURN - 2nd don of the week -BONUS</v>
      </c>
      <c r="B2544" t="s">
        <v>80</v>
      </c>
      <c r="C2544" t="str">
        <f t="shared" si="273"/>
        <v>Phoenix</v>
      </c>
      <c r="D2544" t="str">
        <f t="shared" si="274"/>
        <v>Y</v>
      </c>
      <c r="E2544" t="s">
        <v>660</v>
      </c>
      <c r="F2544" t="str">
        <f t="shared" si="275"/>
        <v>RETURN - 2nd don of the week -BONUS</v>
      </c>
      <c r="G2544" t="str">
        <f t="shared" si="276"/>
        <v>Marketing</v>
      </c>
      <c r="H2544" t="s">
        <v>550</v>
      </c>
      <c r="I2544">
        <f t="shared" si="277"/>
        <v>26</v>
      </c>
      <c r="J2544" t="s">
        <v>546</v>
      </c>
      <c r="K2544" s="5">
        <v>4</v>
      </c>
      <c r="L2544" t="str">
        <f>Table_DataFromNL[[#This Row],[PROFILECODE]]&amp;"-"&amp;Table_DataFromNL[[#This Row],[RULENAME]]</f>
        <v>CP524-2X Week P NSP NS</v>
      </c>
      <c r="M2544" t="str">
        <f t="shared" si="278"/>
        <v>CP524-RETURN - 2nd don of the week -BONUS</v>
      </c>
    </row>
    <row r="2545" spans="1:13" x14ac:dyDescent="0.25">
      <c r="A2545" t="str">
        <f t="shared" si="279"/>
        <v>CP524-RETURN - 2nd don of the week -BONUS</v>
      </c>
      <c r="B2545" t="s">
        <v>80</v>
      </c>
      <c r="C2545" t="str">
        <f t="shared" si="273"/>
        <v>Phoenix</v>
      </c>
      <c r="D2545" t="str">
        <f t="shared" si="274"/>
        <v>Y</v>
      </c>
      <c r="E2545" t="s">
        <v>660</v>
      </c>
      <c r="F2545" t="str">
        <f t="shared" si="275"/>
        <v>RETURN - 2nd don of the week -BONUS</v>
      </c>
      <c r="G2545" t="str">
        <f t="shared" si="276"/>
        <v>Marketing</v>
      </c>
      <c r="H2545" t="s">
        <v>551</v>
      </c>
      <c r="I2545" t="str">
        <f t="shared" si="277"/>
        <v>RETURN - 2nd don of the week -BONUS</v>
      </c>
      <c r="J2545" t="s">
        <v>546</v>
      </c>
      <c r="K2545" s="5">
        <v>4</v>
      </c>
      <c r="L2545" t="str">
        <f>Table_DataFromNL[[#This Row],[PROFILECODE]]&amp;"-"&amp;Table_DataFromNL[[#This Row],[RULENAME]]</f>
        <v>CP524-2X Week P NSP NS AP</v>
      </c>
      <c r="M2545" t="str">
        <f t="shared" si="278"/>
        <v>CP524-RETURN - 2nd don of the week -BONUS</v>
      </c>
    </row>
    <row r="2546" spans="1:13" x14ac:dyDescent="0.25">
      <c r="A2546" t="str">
        <f t="shared" si="279"/>
        <v>CP524-2X Week P VZV Pre-Existing</v>
      </c>
      <c r="B2546" t="s">
        <v>80</v>
      </c>
      <c r="C2546" t="str">
        <f t="shared" si="273"/>
        <v>Phoenix</v>
      </c>
      <c r="D2546" t="str">
        <f t="shared" si="274"/>
        <v>Y</v>
      </c>
      <c r="E2546" t="s">
        <v>660</v>
      </c>
      <c r="F2546" t="str">
        <f t="shared" si="275"/>
        <v>2X Week P VZV Pre-Existing</v>
      </c>
      <c r="G2546" t="str">
        <f t="shared" si="276"/>
        <v>Specialty</v>
      </c>
      <c r="H2546" t="s">
        <v>490</v>
      </c>
      <c r="I2546" t="str">
        <f t="shared" si="277"/>
        <v>RETURN - 2nd don of the week -BONUS</v>
      </c>
      <c r="J2546" t="s">
        <v>546</v>
      </c>
      <c r="K2546" s="5">
        <v>4</v>
      </c>
      <c r="L2546" t="str">
        <f>Table_DataFromNL[[#This Row],[PROFILECODE]]&amp;"-"&amp;Table_DataFromNL[[#This Row],[RULENAME]]</f>
        <v>CP524-2X Week P VZV Pre-Existing</v>
      </c>
      <c r="M2546" t="str">
        <f t="shared" si="278"/>
        <v>CP524-2X Week P VZV Pre-Existing</v>
      </c>
    </row>
    <row r="2547" spans="1:13" x14ac:dyDescent="0.25">
      <c r="A2547" t="str">
        <f t="shared" si="279"/>
        <v>CP524-2X Week P VZV Pre-Existing AP</v>
      </c>
      <c r="B2547" t="s">
        <v>80</v>
      </c>
      <c r="C2547" t="str">
        <f t="shared" si="273"/>
        <v>Phoenix</v>
      </c>
      <c r="D2547" t="str">
        <f t="shared" si="274"/>
        <v>Y</v>
      </c>
      <c r="E2547" t="s">
        <v>660</v>
      </c>
      <c r="F2547" t="str">
        <f t="shared" si="275"/>
        <v>2X Week P VZV Pre-Existing AP</v>
      </c>
      <c r="G2547" t="str">
        <f t="shared" si="276"/>
        <v>Specialty</v>
      </c>
      <c r="H2547" t="s">
        <v>491</v>
      </c>
      <c r="I2547" t="str">
        <f t="shared" si="277"/>
        <v>RETURN - 2nd don of the week -BONUS</v>
      </c>
      <c r="J2547" t="s">
        <v>546</v>
      </c>
      <c r="K2547" s="5">
        <v>4</v>
      </c>
      <c r="L2547" t="str">
        <f>Table_DataFromNL[[#This Row],[PROFILECODE]]&amp;"-"&amp;Table_DataFromNL[[#This Row],[RULENAME]]</f>
        <v>CP524-2X Week P VZV Pre-Existing AP</v>
      </c>
      <c r="M2547" t="str">
        <f t="shared" si="278"/>
        <v>CP524-2X Week P VZV Pre-Existing AP</v>
      </c>
    </row>
    <row r="2548" spans="1:13" x14ac:dyDescent="0.25">
      <c r="A2548" t="str">
        <f t="shared" si="279"/>
        <v>CP524-College ID Standard Bonus</v>
      </c>
      <c r="B2548" t="s">
        <v>80</v>
      </c>
      <c r="C2548" t="str">
        <f t="shared" si="273"/>
        <v>Phoenix</v>
      </c>
      <c r="D2548" t="str">
        <f t="shared" si="274"/>
        <v>Y</v>
      </c>
      <c r="E2548" t="s">
        <v>660</v>
      </c>
      <c r="F2548" t="str">
        <f t="shared" si="275"/>
        <v>College ID Standard Bonus</v>
      </c>
      <c r="G2548">
        <f t="shared" si="276"/>
        <v>0</v>
      </c>
      <c r="H2548" t="s">
        <v>553</v>
      </c>
      <c r="I2548">
        <f t="shared" si="277"/>
        <v>0</v>
      </c>
      <c r="J2548" t="s">
        <v>546</v>
      </c>
      <c r="K2548" s="5">
        <v>5</v>
      </c>
      <c r="L2548" t="str">
        <f>Table_DataFromNL[[#This Row],[PROFILECODE]]&amp;"-"&amp;Table_DataFromNL[[#This Row],[RULENAME]]</f>
        <v>CP524-College ID Standard Bonus</v>
      </c>
      <c r="M2548" t="e">
        <f t="shared" si="278"/>
        <v>#N/A</v>
      </c>
    </row>
    <row r="2549" spans="1:13" x14ac:dyDescent="0.25">
      <c r="A2549" t="str">
        <f t="shared" si="279"/>
        <v>CP524-Military ID</v>
      </c>
      <c r="B2549" t="s">
        <v>80</v>
      </c>
      <c r="C2549" t="str">
        <f t="shared" si="273"/>
        <v>Phoenix</v>
      </c>
      <c r="D2549" t="str">
        <f t="shared" si="274"/>
        <v>Y</v>
      </c>
      <c r="E2549" t="s">
        <v>660</v>
      </c>
      <c r="F2549" t="str">
        <f t="shared" si="275"/>
        <v>Military ID</v>
      </c>
      <c r="G2549">
        <f t="shared" si="276"/>
        <v>0</v>
      </c>
      <c r="H2549" t="s">
        <v>554</v>
      </c>
      <c r="I2549">
        <f t="shared" si="277"/>
        <v>0</v>
      </c>
      <c r="J2549" t="s">
        <v>546</v>
      </c>
      <c r="K2549" s="5">
        <v>5</v>
      </c>
      <c r="L2549" t="str">
        <f>Table_DataFromNL[[#This Row],[PROFILECODE]]&amp;"-"&amp;Table_DataFromNL[[#This Row],[RULENAME]]</f>
        <v>CP524-Military ID</v>
      </c>
      <c r="M2549" t="e">
        <f t="shared" si="278"/>
        <v>#N/A</v>
      </c>
    </row>
    <row r="2550" spans="1:13" x14ac:dyDescent="0.25">
      <c r="A2550" t="str">
        <f t="shared" si="279"/>
        <v>CP524-NEW DONOR -1st</v>
      </c>
      <c r="B2550" t="s">
        <v>80</v>
      </c>
      <c r="C2550" t="str">
        <f t="shared" si="273"/>
        <v>Phoenix</v>
      </c>
      <c r="D2550" t="str">
        <f t="shared" si="274"/>
        <v>Y</v>
      </c>
      <c r="E2550" t="s">
        <v>660</v>
      </c>
      <c r="F2550" t="str">
        <f t="shared" si="275"/>
        <v>NEW DONOR -1st</v>
      </c>
      <c r="G2550" t="str">
        <f t="shared" si="276"/>
        <v>Marketing</v>
      </c>
      <c r="H2550" t="s">
        <v>555</v>
      </c>
      <c r="I2550">
        <f t="shared" si="277"/>
        <v>1</v>
      </c>
      <c r="J2550" t="s">
        <v>546</v>
      </c>
      <c r="K2550" s="5">
        <v>56</v>
      </c>
      <c r="L2550" t="str">
        <f>Table_DataFromNL[[#This Row],[PROFILECODE]]&amp;"-"&amp;Table_DataFromNL[[#This Row],[RULENAME]]</f>
        <v>CP524-New Donor 1st Visit-Bonus</v>
      </c>
      <c r="M2550" t="str">
        <f t="shared" si="278"/>
        <v>CP524-NEW DONOR -1st</v>
      </c>
    </row>
    <row r="2551" spans="1:13" x14ac:dyDescent="0.25">
      <c r="A2551" t="str">
        <f t="shared" si="279"/>
        <v>CP524-NEW DONOR -2nd</v>
      </c>
      <c r="B2551" t="s">
        <v>80</v>
      </c>
      <c r="C2551" t="str">
        <f t="shared" si="273"/>
        <v>Phoenix</v>
      </c>
      <c r="D2551" t="str">
        <f t="shared" si="274"/>
        <v>Y</v>
      </c>
      <c r="E2551" t="s">
        <v>660</v>
      </c>
      <c r="F2551" t="str">
        <f t="shared" si="275"/>
        <v>NEW DONOR -2nd</v>
      </c>
      <c r="G2551" t="str">
        <f t="shared" si="276"/>
        <v>Marketing</v>
      </c>
      <c r="H2551" t="s">
        <v>556</v>
      </c>
      <c r="I2551">
        <f t="shared" si="277"/>
        <v>2</v>
      </c>
      <c r="J2551" t="s">
        <v>546</v>
      </c>
      <c r="K2551" s="5">
        <v>56</v>
      </c>
      <c r="L2551" t="str">
        <f>Table_DataFromNL[[#This Row],[PROFILECODE]]&amp;"-"&amp;Table_DataFromNL[[#This Row],[RULENAME]]</f>
        <v>CP524-New Donor 2nd Visit-Bonus</v>
      </c>
      <c r="M2551" t="str">
        <f t="shared" si="278"/>
        <v>CP524-NEW DONOR -2nd</v>
      </c>
    </row>
    <row r="2552" spans="1:13" x14ac:dyDescent="0.25">
      <c r="A2552" t="str">
        <f t="shared" si="279"/>
        <v>CP524-NEW DONOR -3rd</v>
      </c>
      <c r="B2552" t="s">
        <v>80</v>
      </c>
      <c r="C2552" t="str">
        <f t="shared" si="273"/>
        <v>Phoenix</v>
      </c>
      <c r="D2552" t="str">
        <f t="shared" si="274"/>
        <v>Y</v>
      </c>
      <c r="E2552" t="s">
        <v>660</v>
      </c>
      <c r="F2552" t="str">
        <f t="shared" si="275"/>
        <v>NEW DONOR -3rd</v>
      </c>
      <c r="G2552" t="str">
        <f t="shared" si="276"/>
        <v>Marketing</v>
      </c>
      <c r="H2552" t="s">
        <v>557</v>
      </c>
      <c r="I2552">
        <f t="shared" si="277"/>
        <v>3</v>
      </c>
      <c r="J2552" t="s">
        <v>546</v>
      </c>
      <c r="K2552" s="5">
        <v>56</v>
      </c>
      <c r="L2552" t="str">
        <f>Table_DataFromNL[[#This Row],[PROFILECODE]]&amp;"-"&amp;Table_DataFromNL[[#This Row],[RULENAME]]</f>
        <v>CP524-New Donor 3rd Visit-Bonus</v>
      </c>
      <c r="M2552" t="str">
        <f t="shared" si="278"/>
        <v>CP524-NEW DONOR -3rd</v>
      </c>
    </row>
    <row r="2553" spans="1:13" x14ac:dyDescent="0.25">
      <c r="A2553" t="str">
        <f t="shared" si="279"/>
        <v>CP524-NEW DONOR -4th</v>
      </c>
      <c r="B2553" t="s">
        <v>80</v>
      </c>
      <c r="C2553" t="str">
        <f t="shared" si="273"/>
        <v>Phoenix</v>
      </c>
      <c r="D2553" t="str">
        <f t="shared" si="274"/>
        <v>Y</v>
      </c>
      <c r="E2553" t="s">
        <v>660</v>
      </c>
      <c r="F2553" t="str">
        <f t="shared" si="275"/>
        <v>NEW DONOR -4th</v>
      </c>
      <c r="G2553" t="str">
        <f t="shared" si="276"/>
        <v>Marketing</v>
      </c>
      <c r="H2553" t="s">
        <v>558</v>
      </c>
      <c r="I2553">
        <f t="shared" si="277"/>
        <v>4</v>
      </c>
      <c r="J2553" t="s">
        <v>546</v>
      </c>
      <c r="K2553" s="5">
        <v>56</v>
      </c>
      <c r="L2553" t="str">
        <f>Table_DataFromNL[[#This Row],[PROFILECODE]]&amp;"-"&amp;Table_DataFromNL[[#This Row],[RULENAME]]</f>
        <v>CP524-New Donor 4th Visit-Bonus</v>
      </c>
      <c r="M2553" t="str">
        <f t="shared" si="278"/>
        <v>CP524-NEW DONOR -4th</v>
      </c>
    </row>
    <row r="2554" spans="1:13" x14ac:dyDescent="0.25">
      <c r="A2554" t="str">
        <f t="shared" si="279"/>
        <v>CP524-NEW DONOR -5th</v>
      </c>
      <c r="B2554" t="s">
        <v>80</v>
      </c>
      <c r="C2554" t="str">
        <f t="shared" si="273"/>
        <v>Phoenix</v>
      </c>
      <c r="D2554" t="str">
        <f t="shared" si="274"/>
        <v>Y</v>
      </c>
      <c r="E2554" t="s">
        <v>660</v>
      </c>
      <c r="F2554" t="str">
        <f t="shared" si="275"/>
        <v>NEW DONOR -5th</v>
      </c>
      <c r="G2554" t="str">
        <f t="shared" si="276"/>
        <v>Marketing</v>
      </c>
      <c r="H2554" t="s">
        <v>559</v>
      </c>
      <c r="I2554">
        <f t="shared" si="277"/>
        <v>5</v>
      </c>
      <c r="J2554" t="s">
        <v>546</v>
      </c>
      <c r="K2554" s="5">
        <v>56</v>
      </c>
      <c r="L2554" t="str">
        <f>Table_DataFromNL[[#This Row],[PROFILECODE]]&amp;"-"&amp;Table_DataFromNL[[#This Row],[RULENAME]]</f>
        <v>CP524-New Donor 5th Visit-Bonus</v>
      </c>
      <c r="M2554" t="str">
        <f t="shared" si="278"/>
        <v>CP524-NEW DONOR -5th</v>
      </c>
    </row>
    <row r="2555" spans="1:13" x14ac:dyDescent="0.25">
      <c r="A2555" t="str">
        <f t="shared" si="279"/>
        <v>CP524-NEW DONOR -6th</v>
      </c>
      <c r="B2555" t="s">
        <v>80</v>
      </c>
      <c r="C2555" t="str">
        <f t="shared" si="273"/>
        <v>Phoenix</v>
      </c>
      <c r="D2555" t="str">
        <f t="shared" si="274"/>
        <v>Y</v>
      </c>
      <c r="E2555" t="s">
        <v>660</v>
      </c>
      <c r="F2555" t="str">
        <f t="shared" si="275"/>
        <v>NEW DONOR -6th</v>
      </c>
      <c r="G2555" t="str">
        <f t="shared" si="276"/>
        <v>Marketing</v>
      </c>
      <c r="H2555" t="s">
        <v>560</v>
      </c>
      <c r="I2555">
        <f t="shared" si="277"/>
        <v>6</v>
      </c>
      <c r="J2555" t="s">
        <v>546</v>
      </c>
      <c r="K2555" s="5">
        <v>56</v>
      </c>
      <c r="L2555" t="str">
        <f>Table_DataFromNL[[#This Row],[PROFILECODE]]&amp;"-"&amp;Table_DataFromNL[[#This Row],[RULENAME]]</f>
        <v>CP524-New Donor 6th Visit-Bonus</v>
      </c>
      <c r="M2555" t="str">
        <f t="shared" si="278"/>
        <v>CP524-NEW DONOR -6th</v>
      </c>
    </row>
    <row r="2556" spans="1:13" x14ac:dyDescent="0.25">
      <c r="A2556" t="str">
        <f t="shared" si="279"/>
        <v>CP524-NEW DONOR -7th</v>
      </c>
      <c r="B2556" t="s">
        <v>80</v>
      </c>
      <c r="C2556" t="str">
        <f t="shared" si="273"/>
        <v>Phoenix</v>
      </c>
      <c r="D2556" t="str">
        <f t="shared" si="274"/>
        <v>Y</v>
      </c>
      <c r="E2556" t="s">
        <v>660</v>
      </c>
      <c r="F2556" t="str">
        <f t="shared" si="275"/>
        <v>NEW DONOR -7th</v>
      </c>
      <c r="G2556" t="str">
        <f t="shared" si="276"/>
        <v>Marketing</v>
      </c>
      <c r="H2556" t="s">
        <v>561</v>
      </c>
      <c r="I2556">
        <f t="shared" si="277"/>
        <v>7</v>
      </c>
      <c r="J2556" t="s">
        <v>546</v>
      </c>
      <c r="K2556" s="5">
        <v>56</v>
      </c>
      <c r="L2556" t="str">
        <f>Table_DataFromNL[[#This Row],[PROFILECODE]]&amp;"-"&amp;Table_DataFromNL[[#This Row],[RULENAME]]</f>
        <v>CP524-New Donor 7th Visit-Bonus</v>
      </c>
      <c r="M2556" t="str">
        <f t="shared" si="278"/>
        <v>CP524-NEW DONOR -7th</v>
      </c>
    </row>
    <row r="2557" spans="1:13" x14ac:dyDescent="0.25">
      <c r="A2557" t="str">
        <f t="shared" si="279"/>
        <v>CP524-NEW DONOR -8th</v>
      </c>
      <c r="B2557" t="s">
        <v>80</v>
      </c>
      <c r="C2557" t="str">
        <f t="shared" si="273"/>
        <v>Phoenix</v>
      </c>
      <c r="D2557" t="str">
        <f t="shared" si="274"/>
        <v>Y</v>
      </c>
      <c r="E2557" t="s">
        <v>660</v>
      </c>
      <c r="F2557" t="str">
        <f t="shared" si="275"/>
        <v>NEW DONOR -8th</v>
      </c>
      <c r="G2557" t="str">
        <f t="shared" si="276"/>
        <v>Marketing</v>
      </c>
      <c r="H2557" t="s">
        <v>562</v>
      </c>
      <c r="I2557">
        <f t="shared" si="277"/>
        <v>8</v>
      </c>
      <c r="J2557" t="s">
        <v>546</v>
      </c>
      <c r="K2557" s="5">
        <v>56</v>
      </c>
      <c r="L2557" t="str">
        <f>Table_DataFromNL[[#This Row],[PROFILECODE]]&amp;"-"&amp;Table_DataFromNL[[#This Row],[RULENAME]]</f>
        <v>CP524-New Donor 8th Visit-Bonus</v>
      </c>
      <c r="M2557" t="str">
        <f t="shared" si="278"/>
        <v>CP524-NEW DONOR -8th</v>
      </c>
    </row>
    <row r="2558" spans="1:13" x14ac:dyDescent="0.25">
      <c r="A2558" t="str">
        <f t="shared" si="279"/>
        <v>CP524-Vaccinia - 1st Donation</v>
      </c>
      <c r="B2558" t="s">
        <v>80</v>
      </c>
      <c r="C2558" t="str">
        <f t="shared" si="273"/>
        <v>Phoenix</v>
      </c>
      <c r="D2558" t="str">
        <f t="shared" si="274"/>
        <v>Y</v>
      </c>
      <c r="E2558" t="s">
        <v>660</v>
      </c>
      <c r="F2558" t="str">
        <f t="shared" si="275"/>
        <v>Vaccinia - 1st Donation</v>
      </c>
      <c r="G2558" t="str">
        <f t="shared" si="276"/>
        <v>Specialty</v>
      </c>
      <c r="H2558" t="s">
        <v>477</v>
      </c>
      <c r="I2558">
        <f t="shared" si="277"/>
        <v>0</v>
      </c>
      <c r="J2558" t="s">
        <v>546</v>
      </c>
      <c r="K2558" s="5">
        <v>150</v>
      </c>
      <c r="L2558" t="str">
        <f>Table_DataFromNL[[#This Row],[PROFILECODE]]&amp;"-"&amp;Table_DataFromNL[[#This Row],[RULENAME]]</f>
        <v>CP524-Vaccinia - 1st Donation</v>
      </c>
      <c r="M2558" t="str">
        <f t="shared" si="278"/>
        <v>CP524-Vaccinia - 1st Donation</v>
      </c>
    </row>
    <row r="2559" spans="1:13" x14ac:dyDescent="0.25">
      <c r="A2559" t="str">
        <f t="shared" si="279"/>
        <v>CP524-Vaccinia - 2nd Donation</v>
      </c>
      <c r="B2559" t="s">
        <v>80</v>
      </c>
      <c r="C2559" t="str">
        <f t="shared" si="273"/>
        <v>Phoenix</v>
      </c>
      <c r="D2559" t="str">
        <f t="shared" si="274"/>
        <v>Y</v>
      </c>
      <c r="E2559" t="s">
        <v>660</v>
      </c>
      <c r="F2559" t="str">
        <f t="shared" si="275"/>
        <v>Vaccinia - 2nd Donation</v>
      </c>
      <c r="G2559" t="str">
        <f t="shared" si="276"/>
        <v>Specialty</v>
      </c>
      <c r="H2559" t="s">
        <v>478</v>
      </c>
      <c r="I2559">
        <f t="shared" si="277"/>
        <v>0</v>
      </c>
      <c r="J2559" t="s">
        <v>546</v>
      </c>
      <c r="K2559" s="5">
        <v>250</v>
      </c>
      <c r="L2559" t="str">
        <f>Table_DataFromNL[[#This Row],[PROFILECODE]]&amp;"-"&amp;Table_DataFromNL[[#This Row],[RULENAME]]</f>
        <v>CP524-Vaccinia - 2nd Donation</v>
      </c>
      <c r="M2559" t="str">
        <f t="shared" si="278"/>
        <v>CP524-Vaccinia - 2nd Donation</v>
      </c>
    </row>
    <row r="2560" spans="1:13" x14ac:dyDescent="0.25">
      <c r="A2560" t="str">
        <f t="shared" si="279"/>
        <v>CP524-Vaccinia - 3rd Donation</v>
      </c>
      <c r="B2560" t="s">
        <v>80</v>
      </c>
      <c r="C2560" t="str">
        <f t="shared" si="273"/>
        <v>Phoenix</v>
      </c>
      <c r="D2560" t="str">
        <f t="shared" si="274"/>
        <v>Y</v>
      </c>
      <c r="E2560" t="s">
        <v>660</v>
      </c>
      <c r="F2560" t="str">
        <f t="shared" si="275"/>
        <v>Vaccinia - 3rd Donation</v>
      </c>
      <c r="G2560" t="str">
        <f t="shared" si="276"/>
        <v>Specialty</v>
      </c>
      <c r="H2560" t="s">
        <v>479</v>
      </c>
      <c r="I2560">
        <f t="shared" si="277"/>
        <v>0</v>
      </c>
      <c r="J2560" t="s">
        <v>546</v>
      </c>
      <c r="K2560" s="5">
        <v>300</v>
      </c>
      <c r="L2560" t="str">
        <f>Table_DataFromNL[[#This Row],[PROFILECODE]]&amp;"-"&amp;Table_DataFromNL[[#This Row],[RULENAME]]</f>
        <v>CP524-Vaccinia - 3rd Donation</v>
      </c>
      <c r="M2560" t="str">
        <f t="shared" si="278"/>
        <v>CP524-Vaccinia - 3rd Donation</v>
      </c>
    </row>
    <row r="2561" spans="1:13" x14ac:dyDescent="0.25">
      <c r="A2561" t="str">
        <f t="shared" si="279"/>
        <v>CP524-Vaccinia - 4th Donation</v>
      </c>
      <c r="B2561" t="s">
        <v>80</v>
      </c>
      <c r="C2561" t="str">
        <f t="shared" si="273"/>
        <v>Phoenix</v>
      </c>
      <c r="D2561" t="str">
        <f t="shared" si="274"/>
        <v>Y</v>
      </c>
      <c r="E2561" t="s">
        <v>660</v>
      </c>
      <c r="F2561" t="str">
        <f t="shared" si="275"/>
        <v>Vaccinia - 4th Donation</v>
      </c>
      <c r="G2561" t="str">
        <f t="shared" si="276"/>
        <v>Specialty</v>
      </c>
      <c r="H2561" t="s">
        <v>480</v>
      </c>
      <c r="I2561">
        <f t="shared" si="277"/>
        <v>0</v>
      </c>
      <c r="J2561" t="s">
        <v>546</v>
      </c>
      <c r="K2561" s="5">
        <v>300</v>
      </c>
      <c r="L2561" t="str">
        <f>Table_DataFromNL[[#This Row],[PROFILECODE]]&amp;"-"&amp;Table_DataFromNL[[#This Row],[RULENAME]]</f>
        <v>CP524-Vaccinia - 4th Donation</v>
      </c>
      <c r="M2561" t="str">
        <f t="shared" si="278"/>
        <v>CP524-Vaccinia - 4th Donation</v>
      </c>
    </row>
    <row r="2562" spans="1:13" x14ac:dyDescent="0.25">
      <c r="A2562" t="str">
        <f t="shared" si="279"/>
        <v>CP524-Vaccinia AP - 1st Donation</v>
      </c>
      <c r="B2562" t="s">
        <v>80</v>
      </c>
      <c r="C2562" t="str">
        <f t="shared" ref="C2562:C2625" si="280">VLOOKUP(B2562,CenterLU,2,FALSE)</f>
        <v>Phoenix</v>
      </c>
      <c r="D2562" t="str">
        <f t="shared" ref="D2562:D2625" si="281">VLOOKUP(B2562,CenterLU,3,FALSE)</f>
        <v>Y</v>
      </c>
      <c r="E2562" t="s">
        <v>660</v>
      </c>
      <c r="F2562" t="str">
        <f t="shared" ref="F2562:F2625" si="282">IF(VLOOKUP(H2562,RULENAMELU,3,FALSE)=0,H2562,VLOOKUP(H2562,RULENAMELU,3,FALSE))</f>
        <v>Vaccinia AP - 1st Donation</v>
      </c>
      <c r="G2562" t="str">
        <f t="shared" ref="G2562:G2625" si="283">VLOOKUP(H2562,RULENAMELU,4,FALSE)</f>
        <v>Specialty</v>
      </c>
      <c r="H2562" t="s">
        <v>481</v>
      </c>
      <c r="I2562">
        <f t="shared" ref="I2562:I2625" si="284">VLOOKUP(H2562,RULENAMELU,5,FALSE)</f>
        <v>0</v>
      </c>
      <c r="J2562" t="s">
        <v>546</v>
      </c>
      <c r="K2562" s="5">
        <v>150</v>
      </c>
      <c r="L2562" t="str">
        <f>Table_DataFromNL[[#This Row],[PROFILECODE]]&amp;"-"&amp;Table_DataFromNL[[#This Row],[RULENAME]]</f>
        <v>CP524-Vaccinia AP - 1st Donation</v>
      </c>
      <c r="M2562" t="str">
        <f t="shared" ref="M2562:M2625" si="285">IFERROR(VLOOKUP(A2562,PaychangesLU,1,FALSE),VLOOKUP(A2562,SpecialtyCheckLU,1,FALSE))</f>
        <v>CP524-Vaccinia AP - 1st Donation</v>
      </c>
    </row>
    <row r="2563" spans="1:13" x14ac:dyDescent="0.25">
      <c r="A2563" t="str">
        <f t="shared" ref="A2563:A2626" si="286">B2563&amp;"-"&amp;F2563</f>
        <v>CP524-Vaccinia AP - 2nd Donation</v>
      </c>
      <c r="B2563" t="s">
        <v>80</v>
      </c>
      <c r="C2563" t="str">
        <f t="shared" si="280"/>
        <v>Phoenix</v>
      </c>
      <c r="D2563" t="str">
        <f t="shared" si="281"/>
        <v>Y</v>
      </c>
      <c r="E2563" t="s">
        <v>660</v>
      </c>
      <c r="F2563" t="str">
        <f t="shared" si="282"/>
        <v>Vaccinia AP - 2nd Donation</v>
      </c>
      <c r="G2563" t="str">
        <f t="shared" si="283"/>
        <v>Specialty</v>
      </c>
      <c r="H2563" t="s">
        <v>482</v>
      </c>
      <c r="I2563">
        <f t="shared" si="284"/>
        <v>0</v>
      </c>
      <c r="J2563" t="s">
        <v>546</v>
      </c>
      <c r="K2563" s="5">
        <v>250</v>
      </c>
      <c r="L2563" t="str">
        <f>Table_DataFromNL[[#This Row],[PROFILECODE]]&amp;"-"&amp;Table_DataFromNL[[#This Row],[RULENAME]]</f>
        <v>CP524-Vaccinia AP - 2nd Donation</v>
      </c>
      <c r="M2563" t="str">
        <f t="shared" si="285"/>
        <v>CP524-Vaccinia AP - 2nd Donation</v>
      </c>
    </row>
    <row r="2564" spans="1:13" x14ac:dyDescent="0.25">
      <c r="A2564" t="str">
        <f t="shared" si="286"/>
        <v>CP524-Vaccinia AP - 3rd Donation</v>
      </c>
      <c r="B2564" t="s">
        <v>80</v>
      </c>
      <c r="C2564" t="str">
        <f t="shared" si="280"/>
        <v>Phoenix</v>
      </c>
      <c r="D2564" t="str">
        <f t="shared" si="281"/>
        <v>Y</v>
      </c>
      <c r="E2564" t="s">
        <v>660</v>
      </c>
      <c r="F2564" t="str">
        <f t="shared" si="282"/>
        <v>Vaccinia AP - 3rd Donation</v>
      </c>
      <c r="G2564" t="str">
        <f t="shared" si="283"/>
        <v>Specialty</v>
      </c>
      <c r="H2564" t="s">
        <v>483</v>
      </c>
      <c r="I2564">
        <f t="shared" si="284"/>
        <v>0</v>
      </c>
      <c r="J2564" t="s">
        <v>546</v>
      </c>
      <c r="K2564" s="5">
        <v>300</v>
      </c>
      <c r="L2564" t="str">
        <f>Table_DataFromNL[[#This Row],[PROFILECODE]]&amp;"-"&amp;Table_DataFromNL[[#This Row],[RULENAME]]</f>
        <v>CP524-Vaccinia AP - 3rd Donation</v>
      </c>
      <c r="M2564" t="str">
        <f t="shared" si="285"/>
        <v>CP524-Vaccinia AP - 3rd Donation</v>
      </c>
    </row>
    <row r="2565" spans="1:13" x14ac:dyDescent="0.25">
      <c r="A2565" t="str">
        <f t="shared" si="286"/>
        <v>CP524-Vaccinia AP - 4th Donation</v>
      </c>
      <c r="B2565" t="s">
        <v>80</v>
      </c>
      <c r="C2565" t="str">
        <f t="shared" si="280"/>
        <v>Phoenix</v>
      </c>
      <c r="D2565" t="str">
        <f t="shared" si="281"/>
        <v>Y</v>
      </c>
      <c r="E2565" t="s">
        <v>660</v>
      </c>
      <c r="F2565" t="str">
        <f t="shared" si="282"/>
        <v>Vaccinia AP - 4th Donation</v>
      </c>
      <c r="G2565" t="str">
        <f t="shared" si="283"/>
        <v>Specialty</v>
      </c>
      <c r="H2565" t="s">
        <v>484</v>
      </c>
      <c r="I2565">
        <f t="shared" si="284"/>
        <v>0</v>
      </c>
      <c r="J2565" t="s">
        <v>546</v>
      </c>
      <c r="K2565" s="5">
        <v>300</v>
      </c>
      <c r="L2565" t="str">
        <f>Table_DataFromNL[[#This Row],[PROFILECODE]]&amp;"-"&amp;Table_DataFromNL[[#This Row],[RULENAME]]</f>
        <v>CP524-Vaccinia AP - 4th Donation</v>
      </c>
      <c r="M2565" t="str">
        <f t="shared" si="285"/>
        <v>CP524-Vaccinia AP - 4th Donation</v>
      </c>
    </row>
    <row r="2566" spans="1:13" x14ac:dyDescent="0.25">
      <c r="A2566" t="str">
        <f t="shared" si="286"/>
        <v>CP524-Community</v>
      </c>
      <c r="B2566" t="s">
        <v>80</v>
      </c>
      <c r="C2566" t="str">
        <f t="shared" si="280"/>
        <v>Phoenix</v>
      </c>
      <c r="D2566" t="str">
        <f t="shared" si="281"/>
        <v>Y</v>
      </c>
      <c r="E2566" t="s">
        <v>660</v>
      </c>
      <c r="F2566" t="str">
        <f t="shared" si="282"/>
        <v>Community</v>
      </c>
      <c r="G2566">
        <f t="shared" si="283"/>
        <v>0</v>
      </c>
      <c r="H2566" t="s">
        <v>563</v>
      </c>
      <c r="I2566">
        <f t="shared" si="284"/>
        <v>0</v>
      </c>
      <c r="J2566" t="s">
        <v>564</v>
      </c>
      <c r="K2566" s="5">
        <v>5</v>
      </c>
      <c r="L2566" t="str">
        <f>Table_DataFromNL[[#This Row],[PROFILECODE]]&amp;"-"&amp;Table_DataFromNL[[#This Row],[RULENAME]]</f>
        <v>CP524-Community</v>
      </c>
      <c r="M2566" t="e">
        <f t="shared" si="285"/>
        <v>#N/A</v>
      </c>
    </row>
    <row r="2567" spans="1:13" x14ac:dyDescent="0.25">
      <c r="A2567" t="str">
        <f t="shared" si="286"/>
        <v>CP524-HANGER_RECRUIT_5USD_once</v>
      </c>
      <c r="B2567" t="s">
        <v>80</v>
      </c>
      <c r="C2567" t="str">
        <f t="shared" si="280"/>
        <v>Phoenix</v>
      </c>
      <c r="D2567" t="str">
        <f t="shared" si="281"/>
        <v>Y</v>
      </c>
      <c r="E2567" t="s">
        <v>660</v>
      </c>
      <c r="F2567" t="str">
        <f t="shared" si="282"/>
        <v>HANGER_RECRUIT_5USD_once</v>
      </c>
      <c r="G2567">
        <f t="shared" si="283"/>
        <v>0</v>
      </c>
      <c r="H2567" t="s">
        <v>565</v>
      </c>
      <c r="I2567">
        <f t="shared" si="284"/>
        <v>0</v>
      </c>
      <c r="J2567" t="s">
        <v>564</v>
      </c>
      <c r="K2567" s="5">
        <v>5</v>
      </c>
      <c r="L2567" t="str">
        <f>Table_DataFromNL[[#This Row],[PROFILECODE]]&amp;"-"&amp;Table_DataFromNL[[#This Row],[RULENAME]]</f>
        <v>CP524-HANGER_RECRUIT_5USD_once</v>
      </c>
      <c r="M2567" t="e">
        <f t="shared" si="285"/>
        <v>#N/A</v>
      </c>
    </row>
    <row r="2568" spans="1:13" x14ac:dyDescent="0.25">
      <c r="A2568" t="str">
        <f t="shared" si="286"/>
        <v>CP524-Inconv Fee $20-$50-Comment Req'd</v>
      </c>
      <c r="B2568" t="s">
        <v>80</v>
      </c>
      <c r="C2568" t="str">
        <f t="shared" si="280"/>
        <v>Phoenix</v>
      </c>
      <c r="D2568" t="str">
        <f t="shared" si="281"/>
        <v>Y</v>
      </c>
      <c r="E2568" t="s">
        <v>660</v>
      </c>
      <c r="F2568" t="str">
        <f t="shared" si="282"/>
        <v>Inconv Fee $20-$50-Comment Req'd</v>
      </c>
      <c r="G2568">
        <f t="shared" si="283"/>
        <v>0</v>
      </c>
      <c r="H2568" t="s">
        <v>566</v>
      </c>
      <c r="I2568">
        <f t="shared" si="284"/>
        <v>0</v>
      </c>
      <c r="J2568" t="s">
        <v>564</v>
      </c>
      <c r="K2568" s="5">
        <v>50</v>
      </c>
      <c r="L2568" t="str">
        <f>Table_DataFromNL[[#This Row],[PROFILECODE]]&amp;"-"&amp;Table_DataFromNL[[#This Row],[RULENAME]]</f>
        <v>CP524-Inconv Fee $20-$50-Comment Req'd</v>
      </c>
      <c r="M2568" t="e">
        <f t="shared" si="285"/>
        <v>#N/A</v>
      </c>
    </row>
    <row r="2569" spans="1:13" x14ac:dyDescent="0.25">
      <c r="A2569" t="str">
        <f t="shared" si="286"/>
        <v>CP524-Inconv Fee $5-$20-Comment Req'd</v>
      </c>
      <c r="B2569" t="s">
        <v>80</v>
      </c>
      <c r="C2569" t="str">
        <f t="shared" si="280"/>
        <v>Phoenix</v>
      </c>
      <c r="D2569" t="str">
        <f t="shared" si="281"/>
        <v>Y</v>
      </c>
      <c r="E2569" t="s">
        <v>660</v>
      </c>
      <c r="F2569" t="str">
        <f t="shared" si="282"/>
        <v>Inconv Fee $5-$20-Comment Req'd</v>
      </c>
      <c r="G2569">
        <f t="shared" si="283"/>
        <v>0</v>
      </c>
      <c r="H2569" t="s">
        <v>567</v>
      </c>
      <c r="I2569">
        <f t="shared" si="284"/>
        <v>0</v>
      </c>
      <c r="J2569" t="s">
        <v>564</v>
      </c>
      <c r="K2569" s="5">
        <v>20</v>
      </c>
      <c r="L2569" t="str">
        <f>Table_DataFromNL[[#This Row],[PROFILECODE]]&amp;"-"&amp;Table_DataFromNL[[#This Row],[RULENAME]]</f>
        <v>CP524-Inconv Fee $5-$20-Comment Req'd</v>
      </c>
      <c r="M2569" t="e">
        <f t="shared" si="285"/>
        <v>#N/A</v>
      </c>
    </row>
    <row r="2570" spans="1:13" x14ac:dyDescent="0.25">
      <c r="A2570" t="str">
        <f t="shared" si="286"/>
        <v>CP524-Inconv Fee$50-$100-Comment Req'd</v>
      </c>
      <c r="B2570" t="s">
        <v>80</v>
      </c>
      <c r="C2570" t="str">
        <f t="shared" si="280"/>
        <v>Phoenix</v>
      </c>
      <c r="D2570" t="str">
        <f t="shared" si="281"/>
        <v>Y</v>
      </c>
      <c r="E2570" t="s">
        <v>660</v>
      </c>
      <c r="F2570" t="str">
        <f t="shared" si="282"/>
        <v>Inconv Fee$50-$100-Comment Req'd</v>
      </c>
      <c r="G2570">
        <f t="shared" si="283"/>
        <v>0</v>
      </c>
      <c r="H2570" t="s">
        <v>568</v>
      </c>
      <c r="I2570">
        <f t="shared" si="284"/>
        <v>0</v>
      </c>
      <c r="J2570" t="s">
        <v>564</v>
      </c>
      <c r="K2570" s="5">
        <v>100</v>
      </c>
      <c r="L2570" t="str">
        <f>Table_DataFromNL[[#This Row],[PROFILECODE]]&amp;"-"&amp;Table_DataFromNL[[#This Row],[RULENAME]]</f>
        <v>CP524-Inconv Fee$50-$100-Comment Req'd</v>
      </c>
      <c r="M2570" t="e">
        <f t="shared" si="285"/>
        <v>#N/A</v>
      </c>
    </row>
    <row r="2571" spans="1:13" x14ac:dyDescent="0.25">
      <c r="A2571" t="str">
        <f t="shared" si="286"/>
        <v>CP524-NSP_ LAPSEDONOR_50_Twice</v>
      </c>
      <c r="B2571" t="s">
        <v>80</v>
      </c>
      <c r="C2571" t="str">
        <f t="shared" si="280"/>
        <v>Phoenix</v>
      </c>
      <c r="D2571" t="str">
        <f t="shared" si="281"/>
        <v>Y</v>
      </c>
      <c r="E2571" t="s">
        <v>660</v>
      </c>
      <c r="F2571" t="str">
        <f t="shared" si="282"/>
        <v>NSP_ LAPSEDONOR_50_Twice</v>
      </c>
      <c r="G2571">
        <f t="shared" si="283"/>
        <v>0</v>
      </c>
      <c r="H2571" t="s">
        <v>569</v>
      </c>
      <c r="I2571">
        <f t="shared" si="284"/>
        <v>0</v>
      </c>
      <c r="J2571" t="s">
        <v>564</v>
      </c>
      <c r="K2571" s="5">
        <v>50</v>
      </c>
      <c r="L2571" t="str">
        <f>Table_DataFromNL[[#This Row],[PROFILECODE]]&amp;"-"&amp;Table_DataFromNL[[#This Row],[RULENAME]]</f>
        <v>CP524-NSP_ LAPSEDONOR_50_Twice</v>
      </c>
      <c r="M2571" t="e">
        <f t="shared" si="285"/>
        <v>#N/A</v>
      </c>
    </row>
    <row r="2572" spans="1:13" x14ac:dyDescent="0.25">
      <c r="A2572" t="str">
        <f t="shared" si="286"/>
        <v>CP524-NSP_LD_25_2X</v>
      </c>
      <c r="B2572" t="s">
        <v>80</v>
      </c>
      <c r="C2572" t="str">
        <f t="shared" si="280"/>
        <v>Phoenix</v>
      </c>
      <c r="D2572" t="str">
        <f t="shared" si="281"/>
        <v>Y</v>
      </c>
      <c r="E2572" t="s">
        <v>660</v>
      </c>
      <c r="F2572" t="str">
        <f t="shared" si="282"/>
        <v>NSP_LD_25_2X</v>
      </c>
      <c r="G2572">
        <f t="shared" si="283"/>
        <v>0</v>
      </c>
      <c r="H2572" t="s">
        <v>570</v>
      </c>
      <c r="I2572">
        <f t="shared" si="284"/>
        <v>0</v>
      </c>
      <c r="J2572" t="s">
        <v>564</v>
      </c>
      <c r="K2572" s="5">
        <v>25</v>
      </c>
      <c r="L2572" t="str">
        <f>Table_DataFromNL[[#This Row],[PROFILECODE]]&amp;"-"&amp;Table_DataFromNL[[#This Row],[RULENAME]]</f>
        <v>CP524-NSP_LD_25_2X</v>
      </c>
      <c r="M2572" t="e">
        <f t="shared" si="285"/>
        <v>#N/A</v>
      </c>
    </row>
    <row r="2573" spans="1:13" x14ac:dyDescent="0.25">
      <c r="A2573" t="str">
        <f t="shared" si="286"/>
        <v>CP524-NSP_LD_50_1X</v>
      </c>
      <c r="B2573" t="s">
        <v>80</v>
      </c>
      <c r="C2573" t="str">
        <f t="shared" si="280"/>
        <v>Phoenix</v>
      </c>
      <c r="D2573" t="str">
        <f t="shared" si="281"/>
        <v>Y</v>
      </c>
      <c r="E2573" t="s">
        <v>660</v>
      </c>
      <c r="F2573" t="str">
        <f t="shared" si="282"/>
        <v>NSP_LD_50_1X</v>
      </c>
      <c r="G2573">
        <f t="shared" si="283"/>
        <v>0</v>
      </c>
      <c r="H2573" t="s">
        <v>571</v>
      </c>
      <c r="I2573">
        <f t="shared" si="284"/>
        <v>0</v>
      </c>
      <c r="J2573" t="s">
        <v>564</v>
      </c>
      <c r="K2573" s="5">
        <v>50</v>
      </c>
      <c r="L2573" t="str">
        <f>Table_DataFromNL[[#This Row],[PROFILECODE]]&amp;"-"&amp;Table_DataFromNL[[#This Row],[RULENAME]]</f>
        <v>CP524-NSP_LD_50_1X</v>
      </c>
      <c r="M2573" t="e">
        <f t="shared" si="285"/>
        <v>#N/A</v>
      </c>
    </row>
    <row r="2574" spans="1:13" x14ac:dyDescent="0.25">
      <c r="A2574" t="str">
        <f t="shared" si="286"/>
        <v>CP524-NSP_ORPHAN_100_once</v>
      </c>
      <c r="B2574" t="s">
        <v>80</v>
      </c>
      <c r="C2574" t="str">
        <f t="shared" si="280"/>
        <v>Phoenix</v>
      </c>
      <c r="D2574" t="str">
        <f t="shared" si="281"/>
        <v>Y</v>
      </c>
      <c r="E2574" t="s">
        <v>660</v>
      </c>
      <c r="F2574" t="str">
        <f t="shared" si="282"/>
        <v>NSP_ORPHAN_100_once</v>
      </c>
      <c r="G2574">
        <f t="shared" si="283"/>
        <v>0</v>
      </c>
      <c r="H2574" t="s">
        <v>572</v>
      </c>
      <c r="I2574">
        <f t="shared" si="284"/>
        <v>0</v>
      </c>
      <c r="J2574" t="s">
        <v>564</v>
      </c>
      <c r="K2574" s="5">
        <v>100</v>
      </c>
      <c r="L2574" t="str">
        <f>Table_DataFromNL[[#This Row],[PROFILECODE]]&amp;"-"&amp;Table_DataFromNL[[#This Row],[RULENAME]]</f>
        <v>CP524-NSP_ORPHAN_100_once</v>
      </c>
      <c r="M2574" t="e">
        <f t="shared" si="285"/>
        <v>#N/A</v>
      </c>
    </row>
    <row r="2575" spans="1:13" x14ac:dyDescent="0.25">
      <c r="A2575" t="str">
        <f t="shared" si="286"/>
        <v>CP524-Referral - Vaccinia</v>
      </c>
      <c r="B2575" t="s">
        <v>80</v>
      </c>
      <c r="C2575" t="str">
        <f t="shared" si="280"/>
        <v>Phoenix</v>
      </c>
      <c r="D2575" t="str">
        <f t="shared" si="281"/>
        <v>Y</v>
      </c>
      <c r="E2575" t="s">
        <v>660</v>
      </c>
      <c r="F2575" t="str">
        <f t="shared" si="282"/>
        <v>Referral - Vaccinia</v>
      </c>
      <c r="G2575">
        <f t="shared" si="283"/>
        <v>0</v>
      </c>
      <c r="H2575" t="s">
        <v>595</v>
      </c>
      <c r="I2575">
        <f t="shared" si="284"/>
        <v>0</v>
      </c>
      <c r="J2575" t="s">
        <v>564</v>
      </c>
      <c r="K2575" s="5">
        <v>250</v>
      </c>
      <c r="L2575" t="str">
        <f>Table_DataFromNL[[#This Row],[PROFILECODE]]&amp;"-"&amp;Table_DataFromNL[[#This Row],[RULENAME]]</f>
        <v>CP524-Referral - Vaccinia</v>
      </c>
      <c r="M2575" t="e">
        <f t="shared" si="285"/>
        <v>#N/A</v>
      </c>
    </row>
    <row r="2576" spans="1:13" x14ac:dyDescent="0.25">
      <c r="A2576" t="str">
        <f t="shared" si="286"/>
        <v>CP524-Restick</v>
      </c>
      <c r="B2576" t="s">
        <v>80</v>
      </c>
      <c r="C2576" t="str">
        <f t="shared" si="280"/>
        <v>Phoenix</v>
      </c>
      <c r="D2576" t="str">
        <f t="shared" si="281"/>
        <v>Y</v>
      </c>
      <c r="E2576" t="s">
        <v>660</v>
      </c>
      <c r="F2576" t="str">
        <f t="shared" si="282"/>
        <v>Restick</v>
      </c>
      <c r="G2576">
        <f t="shared" si="283"/>
        <v>0</v>
      </c>
      <c r="H2576" t="s">
        <v>573</v>
      </c>
      <c r="I2576">
        <f t="shared" si="284"/>
        <v>0</v>
      </c>
      <c r="J2576" t="s">
        <v>564</v>
      </c>
      <c r="K2576" s="5">
        <v>5</v>
      </c>
      <c r="L2576" t="str">
        <f>Table_DataFromNL[[#This Row],[PROFILECODE]]&amp;"-"&amp;Table_DataFromNL[[#This Row],[RULENAME]]</f>
        <v>CP524-Restick</v>
      </c>
      <c r="M2576" t="e">
        <f t="shared" si="285"/>
        <v>#N/A</v>
      </c>
    </row>
    <row r="2577" spans="1:13" x14ac:dyDescent="0.25">
      <c r="A2577" t="str">
        <f t="shared" si="286"/>
        <v>CP524-SCRATCH_100_USD</v>
      </c>
      <c r="B2577" t="s">
        <v>80</v>
      </c>
      <c r="C2577" t="str">
        <f t="shared" si="280"/>
        <v>Phoenix</v>
      </c>
      <c r="D2577" t="str">
        <f t="shared" si="281"/>
        <v>Y</v>
      </c>
      <c r="E2577" t="s">
        <v>660</v>
      </c>
      <c r="F2577" t="str">
        <f t="shared" si="282"/>
        <v>SCRATCH_100_USD</v>
      </c>
      <c r="G2577">
        <f t="shared" si="283"/>
        <v>0</v>
      </c>
      <c r="H2577" t="s">
        <v>586</v>
      </c>
      <c r="I2577">
        <f t="shared" si="284"/>
        <v>0</v>
      </c>
      <c r="J2577" t="s">
        <v>564</v>
      </c>
      <c r="K2577" s="5">
        <v>100</v>
      </c>
      <c r="L2577" t="str">
        <f>Table_DataFromNL[[#This Row],[PROFILECODE]]&amp;"-"&amp;Table_DataFromNL[[#This Row],[RULENAME]]</f>
        <v>CP524-SCRATCH_100_USD</v>
      </c>
      <c r="M2577" t="e">
        <f t="shared" si="285"/>
        <v>#N/A</v>
      </c>
    </row>
    <row r="2578" spans="1:13" x14ac:dyDescent="0.25">
      <c r="A2578" t="str">
        <f t="shared" si="286"/>
        <v>CP524-SCRATCH_10_USD</v>
      </c>
      <c r="B2578" t="s">
        <v>80</v>
      </c>
      <c r="C2578" t="str">
        <f t="shared" si="280"/>
        <v>Phoenix</v>
      </c>
      <c r="D2578" t="str">
        <f t="shared" si="281"/>
        <v>Y</v>
      </c>
      <c r="E2578" t="s">
        <v>660</v>
      </c>
      <c r="F2578" t="str">
        <f t="shared" si="282"/>
        <v>SCRATCH_10_USD</v>
      </c>
      <c r="G2578">
        <f t="shared" si="283"/>
        <v>0</v>
      </c>
      <c r="H2578" t="s">
        <v>587</v>
      </c>
      <c r="I2578">
        <f t="shared" si="284"/>
        <v>0</v>
      </c>
      <c r="J2578" t="s">
        <v>564</v>
      </c>
      <c r="K2578" s="5">
        <v>10</v>
      </c>
      <c r="L2578" t="str">
        <f>Table_DataFromNL[[#This Row],[PROFILECODE]]&amp;"-"&amp;Table_DataFromNL[[#This Row],[RULENAME]]</f>
        <v>CP524-SCRATCH_10_USD</v>
      </c>
      <c r="M2578" t="e">
        <f t="shared" si="285"/>
        <v>#N/A</v>
      </c>
    </row>
    <row r="2579" spans="1:13" x14ac:dyDescent="0.25">
      <c r="A2579" t="str">
        <f t="shared" si="286"/>
        <v>CP524-SCRATCH_20_USD</v>
      </c>
      <c r="B2579" t="s">
        <v>80</v>
      </c>
      <c r="C2579" t="str">
        <f t="shared" si="280"/>
        <v>Phoenix</v>
      </c>
      <c r="D2579" t="str">
        <f t="shared" si="281"/>
        <v>Y</v>
      </c>
      <c r="E2579" t="s">
        <v>660</v>
      </c>
      <c r="F2579" t="str">
        <f t="shared" si="282"/>
        <v>SCRATCH_20_USD</v>
      </c>
      <c r="G2579">
        <f t="shared" si="283"/>
        <v>0</v>
      </c>
      <c r="H2579" t="s">
        <v>588</v>
      </c>
      <c r="I2579">
        <f t="shared" si="284"/>
        <v>0</v>
      </c>
      <c r="J2579" t="s">
        <v>564</v>
      </c>
      <c r="K2579" s="5">
        <v>20</v>
      </c>
      <c r="L2579" t="str">
        <f>Table_DataFromNL[[#This Row],[PROFILECODE]]&amp;"-"&amp;Table_DataFromNL[[#This Row],[RULENAME]]</f>
        <v>CP524-SCRATCH_20_USD</v>
      </c>
      <c r="M2579" t="e">
        <f t="shared" si="285"/>
        <v>#N/A</v>
      </c>
    </row>
    <row r="2580" spans="1:13" x14ac:dyDescent="0.25">
      <c r="A2580" t="str">
        <f t="shared" si="286"/>
        <v>CP524-SCRATCH_25_USD</v>
      </c>
      <c r="B2580" t="s">
        <v>80</v>
      </c>
      <c r="C2580" t="str">
        <f t="shared" si="280"/>
        <v>Phoenix</v>
      </c>
      <c r="D2580" t="str">
        <f t="shared" si="281"/>
        <v>Y</v>
      </c>
      <c r="E2580" t="s">
        <v>660</v>
      </c>
      <c r="F2580" t="str">
        <f t="shared" si="282"/>
        <v>SCRATCH_25_USD</v>
      </c>
      <c r="G2580">
        <f t="shared" si="283"/>
        <v>0</v>
      </c>
      <c r="H2580" t="s">
        <v>589</v>
      </c>
      <c r="I2580">
        <f t="shared" si="284"/>
        <v>0</v>
      </c>
      <c r="J2580" t="s">
        <v>564</v>
      </c>
      <c r="K2580" s="5">
        <v>25</v>
      </c>
      <c r="L2580" t="str">
        <f>Table_DataFromNL[[#This Row],[PROFILECODE]]&amp;"-"&amp;Table_DataFromNL[[#This Row],[RULENAME]]</f>
        <v>CP524-SCRATCH_25_USD</v>
      </c>
      <c r="M2580" t="e">
        <f t="shared" si="285"/>
        <v>#N/A</v>
      </c>
    </row>
    <row r="2581" spans="1:13" x14ac:dyDescent="0.25">
      <c r="A2581" t="str">
        <f t="shared" si="286"/>
        <v>CP524-SCRATCH_50_USD</v>
      </c>
      <c r="B2581" t="s">
        <v>80</v>
      </c>
      <c r="C2581" t="str">
        <f t="shared" si="280"/>
        <v>Phoenix</v>
      </c>
      <c r="D2581" t="str">
        <f t="shared" si="281"/>
        <v>Y</v>
      </c>
      <c r="E2581" t="s">
        <v>660</v>
      </c>
      <c r="F2581" t="str">
        <f t="shared" si="282"/>
        <v>SCRATCH_50_USD</v>
      </c>
      <c r="G2581">
        <f t="shared" si="283"/>
        <v>0</v>
      </c>
      <c r="H2581" t="s">
        <v>590</v>
      </c>
      <c r="I2581">
        <f t="shared" si="284"/>
        <v>0</v>
      </c>
      <c r="J2581" t="s">
        <v>564</v>
      </c>
      <c r="K2581" s="5">
        <v>50</v>
      </c>
      <c r="L2581" t="str">
        <f>Table_DataFromNL[[#This Row],[PROFILECODE]]&amp;"-"&amp;Table_DataFromNL[[#This Row],[RULENAME]]</f>
        <v>CP524-SCRATCH_50_USD</v>
      </c>
      <c r="M2581" t="e">
        <f t="shared" si="285"/>
        <v>#N/A</v>
      </c>
    </row>
    <row r="2582" spans="1:13" x14ac:dyDescent="0.25">
      <c r="A2582" t="str">
        <f t="shared" si="286"/>
        <v>CP524-SCRATCH_5_USD</v>
      </c>
      <c r="B2582" t="s">
        <v>80</v>
      </c>
      <c r="C2582" t="str">
        <f t="shared" si="280"/>
        <v>Phoenix</v>
      </c>
      <c r="D2582" t="str">
        <f t="shared" si="281"/>
        <v>Y</v>
      </c>
      <c r="E2582" t="s">
        <v>660</v>
      </c>
      <c r="F2582" t="str">
        <f t="shared" si="282"/>
        <v>SCRATCH_5_USD</v>
      </c>
      <c r="G2582">
        <f t="shared" si="283"/>
        <v>0</v>
      </c>
      <c r="H2582" t="s">
        <v>591</v>
      </c>
      <c r="I2582">
        <f t="shared" si="284"/>
        <v>0</v>
      </c>
      <c r="J2582" t="s">
        <v>564</v>
      </c>
      <c r="K2582" s="5">
        <v>5</v>
      </c>
      <c r="L2582" t="str">
        <f>Table_DataFromNL[[#This Row],[PROFILECODE]]&amp;"-"&amp;Table_DataFromNL[[#This Row],[RULENAME]]</f>
        <v>CP524-SCRATCH_5_USD</v>
      </c>
      <c r="M2582" t="e">
        <f t="shared" si="285"/>
        <v>#N/A</v>
      </c>
    </row>
    <row r="2583" spans="1:13" x14ac:dyDescent="0.25">
      <c r="A2583" t="str">
        <f t="shared" si="286"/>
        <v>CP524-SLOW_TEXT_5</v>
      </c>
      <c r="B2583" t="s">
        <v>80</v>
      </c>
      <c r="C2583" t="str">
        <f t="shared" si="280"/>
        <v>Phoenix</v>
      </c>
      <c r="D2583" t="str">
        <f t="shared" si="281"/>
        <v>Y</v>
      </c>
      <c r="E2583" t="s">
        <v>660</v>
      </c>
      <c r="F2583" t="str">
        <f t="shared" si="282"/>
        <v>SLOW_TEXT_5</v>
      </c>
      <c r="G2583">
        <f t="shared" si="283"/>
        <v>0</v>
      </c>
      <c r="H2583" t="s">
        <v>574</v>
      </c>
      <c r="I2583">
        <f t="shared" si="284"/>
        <v>0</v>
      </c>
      <c r="J2583" t="s">
        <v>564</v>
      </c>
      <c r="K2583" s="5">
        <v>5</v>
      </c>
      <c r="L2583" t="str">
        <f>Table_DataFromNL[[#This Row],[PROFILECODE]]&amp;"-"&amp;Table_DataFromNL[[#This Row],[RULENAME]]</f>
        <v>CP524-SLOW_TEXT_5</v>
      </c>
      <c r="M2583" t="e">
        <f t="shared" si="285"/>
        <v>#N/A</v>
      </c>
    </row>
    <row r="2584" spans="1:13" x14ac:dyDescent="0.25">
      <c r="A2584" t="str">
        <f t="shared" si="286"/>
        <v>CP524-Sample Only</v>
      </c>
      <c r="B2584" t="s">
        <v>80</v>
      </c>
      <c r="C2584" t="str">
        <f t="shared" si="280"/>
        <v>Phoenix</v>
      </c>
      <c r="D2584" t="str">
        <f t="shared" si="281"/>
        <v>Y</v>
      </c>
      <c r="E2584" t="s">
        <v>660</v>
      </c>
      <c r="F2584" t="str">
        <f t="shared" si="282"/>
        <v>Sample Only</v>
      </c>
      <c r="G2584">
        <f t="shared" si="283"/>
        <v>0</v>
      </c>
      <c r="H2584" t="s">
        <v>575</v>
      </c>
      <c r="I2584">
        <f t="shared" si="284"/>
        <v>0</v>
      </c>
      <c r="J2584" t="s">
        <v>564</v>
      </c>
      <c r="K2584" s="5">
        <v>5</v>
      </c>
      <c r="L2584" t="str">
        <f>Table_DataFromNL[[#This Row],[PROFILECODE]]&amp;"-"&amp;Table_DataFromNL[[#This Row],[RULENAME]]</f>
        <v>CP524-Sample Only</v>
      </c>
      <c r="M2584" t="e">
        <f t="shared" si="285"/>
        <v>#N/A</v>
      </c>
    </row>
    <row r="2585" spans="1:13" x14ac:dyDescent="0.25">
      <c r="A2585" t="str">
        <f t="shared" si="286"/>
        <v>CP524-Unit Below 250 mL</v>
      </c>
      <c r="B2585" t="s">
        <v>80</v>
      </c>
      <c r="C2585" t="str">
        <f t="shared" si="280"/>
        <v>Phoenix</v>
      </c>
      <c r="D2585" t="str">
        <f t="shared" si="281"/>
        <v>Y</v>
      </c>
      <c r="E2585" t="s">
        <v>660</v>
      </c>
      <c r="F2585" t="str">
        <f t="shared" si="282"/>
        <v>Unit Below 250 mL</v>
      </c>
      <c r="G2585">
        <f t="shared" si="283"/>
        <v>0</v>
      </c>
      <c r="H2585" t="s">
        <v>576</v>
      </c>
      <c r="I2585">
        <f t="shared" si="284"/>
        <v>0</v>
      </c>
      <c r="J2585" t="s">
        <v>564</v>
      </c>
      <c r="K2585" s="5">
        <v>5</v>
      </c>
      <c r="L2585" t="str">
        <f>Table_DataFromNL[[#This Row],[PROFILECODE]]&amp;"-"&amp;Table_DataFromNL[[#This Row],[RULENAME]]</f>
        <v>CP524-Unit Below 250 mL</v>
      </c>
      <c r="M2585" t="e">
        <f t="shared" si="285"/>
        <v>#N/A</v>
      </c>
    </row>
    <row r="2586" spans="1:13" x14ac:dyDescent="0.25">
      <c r="A2586" t="str">
        <f t="shared" si="286"/>
        <v>CP524-Unit above 250 mL/underdraw</v>
      </c>
      <c r="B2586" t="s">
        <v>80</v>
      </c>
      <c r="C2586" t="str">
        <f t="shared" si="280"/>
        <v>Phoenix</v>
      </c>
      <c r="D2586" t="str">
        <f t="shared" si="281"/>
        <v>Y</v>
      </c>
      <c r="E2586" t="s">
        <v>660</v>
      </c>
      <c r="F2586" t="str">
        <f t="shared" si="282"/>
        <v>Unit above 250 mL/underdraw</v>
      </c>
      <c r="G2586">
        <f t="shared" si="283"/>
        <v>0</v>
      </c>
      <c r="H2586" t="s">
        <v>577</v>
      </c>
      <c r="I2586">
        <f t="shared" si="284"/>
        <v>0</v>
      </c>
      <c r="J2586" t="s">
        <v>564</v>
      </c>
      <c r="K2586" s="5">
        <v>10</v>
      </c>
      <c r="L2586" t="str">
        <f>Table_DataFromNL[[#This Row],[PROFILECODE]]&amp;"-"&amp;Table_DataFromNL[[#This Row],[RULENAME]]</f>
        <v>CP524-Unit above 250 mL/underdraw</v>
      </c>
      <c r="M2586" t="e">
        <f t="shared" si="285"/>
        <v>#N/A</v>
      </c>
    </row>
    <row r="2587" spans="1:13" x14ac:dyDescent="0.25">
      <c r="A2587" t="str">
        <f t="shared" si="286"/>
        <v>CP524-Vaccinia Immunization</v>
      </c>
      <c r="B2587" t="s">
        <v>80</v>
      </c>
      <c r="C2587" t="str">
        <f t="shared" si="280"/>
        <v>Phoenix</v>
      </c>
      <c r="D2587" t="str">
        <f t="shared" si="281"/>
        <v>Y</v>
      </c>
      <c r="E2587" t="s">
        <v>660</v>
      </c>
      <c r="F2587" t="str">
        <f t="shared" si="282"/>
        <v>Vaccinia Immunization</v>
      </c>
      <c r="G2587">
        <f t="shared" si="283"/>
        <v>0</v>
      </c>
      <c r="H2587" t="s">
        <v>596</v>
      </c>
      <c r="I2587">
        <f t="shared" si="284"/>
        <v>0</v>
      </c>
      <c r="J2587" t="s">
        <v>564</v>
      </c>
      <c r="K2587" s="5">
        <v>100</v>
      </c>
      <c r="L2587" t="str">
        <f>Table_DataFromNL[[#This Row],[PROFILECODE]]&amp;"-"&amp;Table_DataFromNL[[#This Row],[RULENAME]]</f>
        <v>CP524-Vaccinia Immunization</v>
      </c>
      <c r="M2587" t="e">
        <f t="shared" si="285"/>
        <v>#N/A</v>
      </c>
    </row>
    <row r="2588" spans="1:13" x14ac:dyDescent="0.25">
      <c r="A2588" t="str">
        <f t="shared" si="286"/>
        <v>CP524-RETURN - Buddy referral  -BONUS</v>
      </c>
      <c r="B2588" t="s">
        <v>80</v>
      </c>
      <c r="C2588" t="str">
        <f t="shared" si="280"/>
        <v>Phoenix</v>
      </c>
      <c r="D2588" t="str">
        <f t="shared" si="281"/>
        <v>Y</v>
      </c>
      <c r="E2588" t="s">
        <v>660</v>
      </c>
      <c r="F2588" t="str">
        <f t="shared" si="282"/>
        <v>RETURN - Buddy referral  -BONUS</v>
      </c>
      <c r="G2588" t="str">
        <f t="shared" si="283"/>
        <v>Marketing</v>
      </c>
      <c r="H2588" t="s">
        <v>34</v>
      </c>
      <c r="I2588">
        <f t="shared" si="284"/>
        <v>50</v>
      </c>
      <c r="J2588" t="s">
        <v>578</v>
      </c>
      <c r="K2588" s="5">
        <v>50</v>
      </c>
      <c r="L2588" t="str">
        <f>Table_DataFromNL[[#This Row],[PROFILECODE]]&amp;"-"&amp;Table_DataFromNL[[#This Row],[RULENAME]]</f>
        <v>CP524-Referral</v>
      </c>
      <c r="M2588" t="str">
        <f t="shared" si="285"/>
        <v>CP524-RETURN - Buddy referral  -BONUS</v>
      </c>
    </row>
    <row r="2589" spans="1:13" x14ac:dyDescent="0.25">
      <c r="A2589" t="str">
        <f t="shared" si="286"/>
        <v>CP524-P Anti-D Pre-Existing Standard</v>
      </c>
      <c r="B2589" t="s">
        <v>80</v>
      </c>
      <c r="C2589" t="str">
        <f t="shared" si="280"/>
        <v>Phoenix</v>
      </c>
      <c r="D2589" t="str">
        <f t="shared" si="281"/>
        <v>Y</v>
      </c>
      <c r="E2589" t="s">
        <v>660</v>
      </c>
      <c r="F2589" t="str">
        <f t="shared" si="282"/>
        <v>P Anti-D Pre-Existing Standard</v>
      </c>
      <c r="G2589" t="str">
        <f t="shared" si="283"/>
        <v>Specialty</v>
      </c>
      <c r="H2589" t="s">
        <v>469</v>
      </c>
      <c r="I2589" t="str">
        <f t="shared" si="284"/>
        <v>RETURN - 1st don of the week -STD</v>
      </c>
      <c r="J2589" t="s">
        <v>579</v>
      </c>
      <c r="K2589" s="5">
        <v>50</v>
      </c>
      <c r="L2589" t="str">
        <f>Table_DataFromNL[[#This Row],[PROFILECODE]]&amp;"-"&amp;Table_DataFromNL[[#This Row],[RULENAME]]</f>
        <v>CP524-P Anti-D Pre-Existing Standard</v>
      </c>
      <c r="M2589" t="str">
        <f t="shared" si="285"/>
        <v>CP524-P Anti-D Pre-Existing Standard</v>
      </c>
    </row>
    <row r="2590" spans="1:13" x14ac:dyDescent="0.25">
      <c r="A2590" t="str">
        <f t="shared" si="286"/>
        <v>CP524-P HBS Pre-Existing Standard</v>
      </c>
      <c r="B2590" t="s">
        <v>80</v>
      </c>
      <c r="C2590" t="str">
        <f t="shared" si="280"/>
        <v>Phoenix</v>
      </c>
      <c r="D2590" t="str">
        <f t="shared" si="281"/>
        <v>Y</v>
      </c>
      <c r="E2590" t="s">
        <v>660</v>
      </c>
      <c r="F2590" t="str">
        <f t="shared" si="282"/>
        <v>P HBS Pre-Existing Standard</v>
      </c>
      <c r="G2590" t="str">
        <f t="shared" si="283"/>
        <v>Specialty</v>
      </c>
      <c r="H2590" t="s">
        <v>472</v>
      </c>
      <c r="I2590" t="str">
        <f t="shared" si="284"/>
        <v>RETURN - 1st don of the week -STD</v>
      </c>
      <c r="J2590" t="s">
        <v>579</v>
      </c>
      <c r="K2590" s="5">
        <v>76</v>
      </c>
      <c r="L2590" t="str">
        <f>Table_DataFromNL[[#This Row],[PROFILECODE]]&amp;"-"&amp;Table_DataFromNL[[#This Row],[RULENAME]]</f>
        <v>CP524-P HBS Pre-Existing Standard</v>
      </c>
      <c r="M2590" t="str">
        <f t="shared" si="285"/>
        <v>CP524-P HBS Pre-Existing Standard</v>
      </c>
    </row>
    <row r="2591" spans="1:13" x14ac:dyDescent="0.25">
      <c r="A2591" t="str">
        <f t="shared" si="286"/>
        <v>CP524-P HBS TWINRIX Standard</v>
      </c>
      <c r="B2591" t="s">
        <v>80</v>
      </c>
      <c r="C2591" t="str">
        <f t="shared" si="280"/>
        <v>Phoenix</v>
      </c>
      <c r="D2591" t="str">
        <f t="shared" si="281"/>
        <v>Y</v>
      </c>
      <c r="E2591" t="s">
        <v>660</v>
      </c>
      <c r="F2591" t="str">
        <f t="shared" si="282"/>
        <v>P HBS TWINRIX Standard</v>
      </c>
      <c r="G2591" t="str">
        <f t="shared" si="283"/>
        <v>Specialty</v>
      </c>
      <c r="H2591" t="s">
        <v>506</v>
      </c>
      <c r="I2591" t="str">
        <f t="shared" si="284"/>
        <v>RETURN - 1st don of the week -STD</v>
      </c>
      <c r="J2591" t="s">
        <v>579</v>
      </c>
      <c r="K2591" s="5">
        <v>76</v>
      </c>
      <c r="L2591" t="str">
        <f>Table_DataFromNL[[#This Row],[PROFILECODE]]&amp;"-"&amp;Table_DataFromNL[[#This Row],[RULENAME]]</f>
        <v>CP524-P HBS TWINRIX Standard</v>
      </c>
      <c r="M2591" t="str">
        <f t="shared" si="285"/>
        <v>CP524-P HBS TWINRIX Standard</v>
      </c>
    </row>
    <row r="2592" spans="1:13" x14ac:dyDescent="0.25">
      <c r="A2592" t="str">
        <f t="shared" si="286"/>
        <v>CP524-P HBS TWINRIX-AP Standard</v>
      </c>
      <c r="B2592" t="s">
        <v>80</v>
      </c>
      <c r="C2592" t="str">
        <f t="shared" si="280"/>
        <v>Phoenix</v>
      </c>
      <c r="D2592" t="str">
        <f t="shared" si="281"/>
        <v>Y</v>
      </c>
      <c r="E2592" t="s">
        <v>660</v>
      </c>
      <c r="F2592" t="str">
        <f t="shared" si="282"/>
        <v>P HBS TWINRIX-AP Standard</v>
      </c>
      <c r="G2592" t="str">
        <f t="shared" si="283"/>
        <v>Specialty</v>
      </c>
      <c r="H2592" t="s">
        <v>507</v>
      </c>
      <c r="I2592" t="str">
        <f t="shared" si="284"/>
        <v>RETURN - 1st don of the week -STD</v>
      </c>
      <c r="J2592" t="s">
        <v>579</v>
      </c>
      <c r="K2592" s="5">
        <v>76</v>
      </c>
      <c r="L2592" t="str">
        <f>Table_DataFromNL[[#This Row],[PROFILECODE]]&amp;"-"&amp;Table_DataFromNL[[#This Row],[RULENAME]]</f>
        <v>CP524-P HBS TWINRIX-AP Standard</v>
      </c>
      <c r="M2592" t="str">
        <f t="shared" si="285"/>
        <v>CP524-P HBS TWINRIX-AP Standard</v>
      </c>
    </row>
    <row r="2593" spans="1:13" x14ac:dyDescent="0.25">
      <c r="A2593" t="str">
        <f t="shared" si="286"/>
        <v>CP524-RETURN - 1st don of the week -STD</v>
      </c>
      <c r="B2593" t="s">
        <v>80</v>
      </c>
      <c r="C2593" t="str">
        <f t="shared" si="280"/>
        <v>Phoenix</v>
      </c>
      <c r="D2593" t="str">
        <f t="shared" si="281"/>
        <v>Y</v>
      </c>
      <c r="E2593" t="s">
        <v>660</v>
      </c>
      <c r="F2593" t="str">
        <f t="shared" si="282"/>
        <v>RETURN - 1st don of the week -STD</v>
      </c>
      <c r="G2593" t="str">
        <f t="shared" si="283"/>
        <v>Marketing</v>
      </c>
      <c r="H2593" t="s">
        <v>583</v>
      </c>
      <c r="I2593">
        <f t="shared" si="284"/>
        <v>22</v>
      </c>
      <c r="J2593" t="s">
        <v>579</v>
      </c>
      <c r="K2593" s="5">
        <v>56</v>
      </c>
      <c r="L2593" t="str">
        <f>Table_DataFromNL[[#This Row],[PROFILECODE]]&amp;"-"&amp;Table_DataFromNL[[#This Row],[RULENAME]]</f>
        <v>CP524-P NSP NS AP Standard</v>
      </c>
      <c r="M2593" t="str">
        <f t="shared" si="285"/>
        <v>CP524-RETURN - 1st don of the week -STD</v>
      </c>
    </row>
    <row r="2594" spans="1:13" x14ac:dyDescent="0.25">
      <c r="A2594" t="str">
        <f t="shared" si="286"/>
        <v>CP524-RETURN - 1st don of the week -STD</v>
      </c>
      <c r="B2594" t="s">
        <v>80</v>
      </c>
      <c r="C2594" t="str">
        <f t="shared" si="280"/>
        <v>Phoenix</v>
      </c>
      <c r="D2594" t="str">
        <f t="shared" si="281"/>
        <v>Y</v>
      </c>
      <c r="E2594" t="s">
        <v>660</v>
      </c>
      <c r="F2594" t="str">
        <f t="shared" si="282"/>
        <v>RETURN - 1st don of the week -STD</v>
      </c>
      <c r="G2594" t="str">
        <f t="shared" si="283"/>
        <v>Marketing</v>
      </c>
      <c r="H2594" t="s">
        <v>584</v>
      </c>
      <c r="I2594">
        <f t="shared" si="284"/>
        <v>23</v>
      </c>
      <c r="J2594" t="s">
        <v>579</v>
      </c>
      <c r="K2594" s="5">
        <v>56</v>
      </c>
      <c r="L2594" t="str">
        <f>Table_DataFromNL[[#This Row],[PROFILECODE]]&amp;"-"&amp;Table_DataFromNL[[#This Row],[RULENAME]]</f>
        <v>CP524-P NSP NS Standard</v>
      </c>
      <c r="M2594" t="str">
        <f t="shared" si="285"/>
        <v>CP524-RETURN - 1st don of the week -STD</v>
      </c>
    </row>
    <row r="2595" spans="1:13" x14ac:dyDescent="0.25">
      <c r="A2595" t="str">
        <f t="shared" si="286"/>
        <v>CP524-P VZV Pre-Existing AP</v>
      </c>
      <c r="B2595" t="s">
        <v>80</v>
      </c>
      <c r="C2595" t="str">
        <f t="shared" si="280"/>
        <v>Phoenix</v>
      </c>
      <c r="D2595" t="str">
        <f t="shared" si="281"/>
        <v>Y</v>
      </c>
      <c r="E2595" t="s">
        <v>660</v>
      </c>
      <c r="F2595" t="str">
        <f t="shared" si="282"/>
        <v>P VZV Pre-Existing AP</v>
      </c>
      <c r="G2595" t="str">
        <f t="shared" si="283"/>
        <v>Specialty</v>
      </c>
      <c r="H2595" t="s">
        <v>495</v>
      </c>
      <c r="I2595" t="str">
        <f t="shared" si="284"/>
        <v>RETURN - 1st don of the week -STD</v>
      </c>
      <c r="J2595" t="s">
        <v>579</v>
      </c>
      <c r="K2595" s="5">
        <v>66</v>
      </c>
      <c r="L2595" t="str">
        <f>Table_DataFromNL[[#This Row],[PROFILECODE]]&amp;"-"&amp;Table_DataFromNL[[#This Row],[RULENAME]]</f>
        <v>CP524-P VZV Pre-Existing AP</v>
      </c>
      <c r="M2595" t="str">
        <f t="shared" si="285"/>
        <v>CP524-P VZV Pre-Existing AP</v>
      </c>
    </row>
    <row r="2596" spans="1:13" x14ac:dyDescent="0.25">
      <c r="A2596" t="str">
        <f t="shared" si="286"/>
        <v>CP524-P VZV Standard</v>
      </c>
      <c r="B2596" t="s">
        <v>80</v>
      </c>
      <c r="C2596" t="str">
        <f t="shared" si="280"/>
        <v>Phoenix</v>
      </c>
      <c r="D2596" t="str">
        <f t="shared" si="281"/>
        <v>Y</v>
      </c>
      <c r="E2596" t="s">
        <v>660</v>
      </c>
      <c r="F2596" t="str">
        <f t="shared" si="282"/>
        <v>P VZV Standard</v>
      </c>
      <c r="G2596" t="str">
        <f t="shared" si="283"/>
        <v>Specialty</v>
      </c>
      <c r="H2596" t="s">
        <v>496</v>
      </c>
      <c r="I2596" t="str">
        <f t="shared" si="284"/>
        <v>RETURN - 1st don of the week -STD</v>
      </c>
      <c r="J2596" t="s">
        <v>579</v>
      </c>
      <c r="K2596" s="5">
        <v>66</v>
      </c>
      <c r="L2596" t="str">
        <f>Table_DataFromNL[[#This Row],[PROFILECODE]]&amp;"-"&amp;Table_DataFromNL[[#This Row],[RULENAME]]</f>
        <v>CP524-P VZV Standard</v>
      </c>
      <c r="M2596" t="str">
        <f t="shared" si="285"/>
        <v>CP524-P VZV Standard</v>
      </c>
    </row>
    <row r="2597" spans="1:13" x14ac:dyDescent="0.25">
      <c r="A2597" t="str">
        <f t="shared" si="286"/>
        <v>CP524-P Vaccinia AP Standard</v>
      </c>
      <c r="B2597" t="s">
        <v>80</v>
      </c>
      <c r="C2597" t="str">
        <f t="shared" si="280"/>
        <v>Phoenix</v>
      </c>
      <c r="D2597" t="str">
        <f t="shared" si="281"/>
        <v>Y</v>
      </c>
      <c r="E2597" t="s">
        <v>660</v>
      </c>
      <c r="F2597" t="str">
        <f t="shared" si="282"/>
        <v>P Vaccinia AP Standard</v>
      </c>
      <c r="G2597" t="str">
        <f t="shared" si="283"/>
        <v>Specialty</v>
      </c>
      <c r="H2597" t="s">
        <v>475</v>
      </c>
      <c r="I2597">
        <f t="shared" si="284"/>
        <v>0</v>
      </c>
      <c r="J2597" t="s">
        <v>579</v>
      </c>
      <c r="K2597" s="5">
        <v>100</v>
      </c>
      <c r="L2597" t="str">
        <f>Table_DataFromNL[[#This Row],[PROFILECODE]]&amp;"-"&amp;Table_DataFromNL[[#This Row],[RULENAME]]</f>
        <v>CP524-P Vaccinia AP Standard</v>
      </c>
      <c r="M2597" t="str">
        <f t="shared" si="285"/>
        <v>CP524-P Vaccinia AP Standard</v>
      </c>
    </row>
    <row r="2598" spans="1:13" x14ac:dyDescent="0.25">
      <c r="A2598" t="str">
        <f t="shared" si="286"/>
        <v>CP524-P Vaccinia Standard</v>
      </c>
      <c r="B2598" t="s">
        <v>80</v>
      </c>
      <c r="C2598" t="str">
        <f t="shared" si="280"/>
        <v>Phoenix</v>
      </c>
      <c r="D2598" t="str">
        <f t="shared" si="281"/>
        <v>Y</v>
      </c>
      <c r="E2598" t="s">
        <v>660</v>
      </c>
      <c r="F2598" t="str">
        <f t="shared" si="282"/>
        <v>P Vaccinia Standard</v>
      </c>
      <c r="G2598" t="str">
        <f t="shared" si="283"/>
        <v>Specialty</v>
      </c>
      <c r="H2598" t="s">
        <v>476</v>
      </c>
      <c r="I2598">
        <f t="shared" si="284"/>
        <v>0</v>
      </c>
      <c r="J2598" t="s">
        <v>579</v>
      </c>
      <c r="K2598" s="5">
        <v>100</v>
      </c>
      <c r="L2598" t="str">
        <f>Table_DataFromNL[[#This Row],[PROFILECODE]]&amp;"-"&amp;Table_DataFromNL[[#This Row],[RULENAME]]</f>
        <v>CP524-P Vaccinia Standard</v>
      </c>
      <c r="M2598" t="str">
        <f t="shared" si="285"/>
        <v>CP524-P Vaccinia Standard</v>
      </c>
    </row>
    <row r="2599" spans="1:13" x14ac:dyDescent="0.25">
      <c r="A2599" t="str">
        <f t="shared" si="286"/>
        <v>CP524-PVZV Pre-Existing Standard</v>
      </c>
      <c r="B2599" t="s">
        <v>80</v>
      </c>
      <c r="C2599" t="str">
        <f t="shared" si="280"/>
        <v>Phoenix</v>
      </c>
      <c r="D2599" t="str">
        <f t="shared" si="281"/>
        <v>Y</v>
      </c>
      <c r="E2599" t="s">
        <v>660</v>
      </c>
      <c r="F2599" t="str">
        <f t="shared" si="282"/>
        <v>PVZV Pre-Existing Standard</v>
      </c>
      <c r="G2599" t="str">
        <f t="shared" si="283"/>
        <v>Specialty</v>
      </c>
      <c r="H2599" t="s">
        <v>497</v>
      </c>
      <c r="I2599" t="str">
        <f t="shared" si="284"/>
        <v>RETURN - 1st don of the week -STD</v>
      </c>
      <c r="J2599" t="s">
        <v>579</v>
      </c>
      <c r="K2599" s="5">
        <v>66</v>
      </c>
      <c r="L2599" t="str">
        <f>Table_DataFromNL[[#This Row],[PROFILECODE]]&amp;"-"&amp;Table_DataFromNL[[#This Row],[RULENAME]]</f>
        <v>CP524-PVZV Pre-Existing Standard</v>
      </c>
      <c r="M2599" t="str">
        <f t="shared" si="285"/>
        <v>CP524-PVZV Pre-Existing Standard</v>
      </c>
    </row>
    <row r="2600" spans="1:13" x14ac:dyDescent="0.25">
      <c r="A2600" t="str">
        <f t="shared" si="286"/>
        <v>CP944-1st Responder-Medical</v>
      </c>
      <c r="B2600" t="s">
        <v>287</v>
      </c>
      <c r="C2600" t="str">
        <f t="shared" si="280"/>
        <v>Pittston</v>
      </c>
      <c r="D2600" t="str">
        <f t="shared" si="281"/>
        <v>Y</v>
      </c>
      <c r="E2600" t="s">
        <v>661</v>
      </c>
      <c r="F2600" t="str">
        <f t="shared" si="282"/>
        <v>1st Responder-Medical</v>
      </c>
      <c r="G2600">
        <f t="shared" si="283"/>
        <v>0</v>
      </c>
      <c r="H2600" t="s">
        <v>545</v>
      </c>
      <c r="I2600">
        <f t="shared" si="284"/>
        <v>0</v>
      </c>
      <c r="J2600" t="s">
        <v>546</v>
      </c>
      <c r="K2600" s="5">
        <v>5</v>
      </c>
      <c r="L2600" t="str">
        <f>Table_DataFromNL[[#This Row],[PROFILECODE]]&amp;"-"&amp;Table_DataFromNL[[#This Row],[RULENAME]]</f>
        <v>CP944-1st Responder-Medical</v>
      </c>
      <c r="M2600" t="e">
        <f t="shared" si="285"/>
        <v>#N/A</v>
      </c>
    </row>
    <row r="2601" spans="1:13" x14ac:dyDescent="0.25">
      <c r="A2601" t="str">
        <f t="shared" si="286"/>
        <v>CP944-2X Week P NORM KIG10</v>
      </c>
      <c r="B2601" t="s">
        <v>287</v>
      </c>
      <c r="C2601" t="str">
        <f t="shared" si="280"/>
        <v>Pittston</v>
      </c>
      <c r="D2601" t="str">
        <f t="shared" si="281"/>
        <v>Y</v>
      </c>
      <c r="E2601" t="s">
        <v>661</v>
      </c>
      <c r="F2601" t="str">
        <f t="shared" si="282"/>
        <v>2X Week P NORM KIG10</v>
      </c>
      <c r="G2601" t="str">
        <f t="shared" si="283"/>
        <v>?</v>
      </c>
      <c r="H2601" t="s">
        <v>547</v>
      </c>
      <c r="I2601" t="str">
        <f t="shared" si="284"/>
        <v>RETURN - 2nd don of the week -BONUS</v>
      </c>
      <c r="J2601" t="s">
        <v>546</v>
      </c>
      <c r="K2601" s="5">
        <v>20</v>
      </c>
      <c r="L2601" t="str">
        <f>Table_DataFromNL[[#This Row],[PROFILECODE]]&amp;"-"&amp;Table_DataFromNL[[#This Row],[RULENAME]]</f>
        <v>CP944-2X Week P NORM KIG10</v>
      </c>
      <c r="M2601" t="e">
        <f t="shared" si="285"/>
        <v>#N/A</v>
      </c>
    </row>
    <row r="2602" spans="1:13" x14ac:dyDescent="0.25">
      <c r="A2602" t="str">
        <f t="shared" si="286"/>
        <v>CP944-2X Week P NORM KIG10-1</v>
      </c>
      <c r="B2602" t="s">
        <v>287</v>
      </c>
      <c r="C2602" t="str">
        <f t="shared" si="280"/>
        <v>Pittston</v>
      </c>
      <c r="D2602" t="str">
        <f t="shared" si="281"/>
        <v>Y</v>
      </c>
      <c r="E2602" t="s">
        <v>661</v>
      </c>
      <c r="F2602" t="str">
        <f t="shared" si="282"/>
        <v>2X Week P NORM KIG10-1</v>
      </c>
      <c r="G2602" t="str">
        <f t="shared" si="283"/>
        <v>?</v>
      </c>
      <c r="H2602" t="s">
        <v>548</v>
      </c>
      <c r="I2602" t="str">
        <f t="shared" si="284"/>
        <v>RETURN - 2nd don of the week -BONUS</v>
      </c>
      <c r="J2602" t="s">
        <v>546</v>
      </c>
      <c r="K2602" s="5">
        <v>20</v>
      </c>
      <c r="L2602" t="str">
        <f>Table_DataFromNL[[#This Row],[PROFILECODE]]&amp;"-"&amp;Table_DataFromNL[[#This Row],[RULENAME]]</f>
        <v>CP944-2X Week P NORM KIG10-1</v>
      </c>
      <c r="M2602" t="e">
        <f t="shared" si="285"/>
        <v>#N/A</v>
      </c>
    </row>
    <row r="2603" spans="1:13" x14ac:dyDescent="0.25">
      <c r="A2603" t="str">
        <f t="shared" si="286"/>
        <v>CP944-2X Week P NORM KIG10-2</v>
      </c>
      <c r="B2603" t="s">
        <v>287</v>
      </c>
      <c r="C2603" t="str">
        <f t="shared" si="280"/>
        <v>Pittston</v>
      </c>
      <c r="D2603" t="str">
        <f t="shared" si="281"/>
        <v>Y</v>
      </c>
      <c r="E2603" t="s">
        <v>661</v>
      </c>
      <c r="F2603" t="str">
        <f t="shared" si="282"/>
        <v>2X Week P NORM KIG10-2</v>
      </c>
      <c r="G2603" t="str">
        <f t="shared" si="283"/>
        <v>?</v>
      </c>
      <c r="H2603" t="s">
        <v>549</v>
      </c>
      <c r="I2603" t="str">
        <f t="shared" si="284"/>
        <v>RETURN - 2nd don of the week -BONUS</v>
      </c>
      <c r="J2603" t="s">
        <v>546</v>
      </c>
      <c r="K2603" s="5">
        <v>20</v>
      </c>
      <c r="L2603" t="str">
        <f>Table_DataFromNL[[#This Row],[PROFILECODE]]&amp;"-"&amp;Table_DataFromNL[[#This Row],[RULENAME]]</f>
        <v>CP944-2X Week P NORM KIG10-2</v>
      </c>
      <c r="M2603" t="e">
        <f t="shared" si="285"/>
        <v>#N/A</v>
      </c>
    </row>
    <row r="2604" spans="1:13" x14ac:dyDescent="0.25">
      <c r="A2604" t="str">
        <f t="shared" si="286"/>
        <v>CP944-RETURN - 2nd don of the week -BONUS</v>
      </c>
      <c r="B2604" t="s">
        <v>287</v>
      </c>
      <c r="C2604" t="str">
        <f t="shared" si="280"/>
        <v>Pittston</v>
      </c>
      <c r="D2604" t="str">
        <f t="shared" si="281"/>
        <v>Y</v>
      </c>
      <c r="E2604" t="s">
        <v>661</v>
      </c>
      <c r="F2604" t="str">
        <f t="shared" si="282"/>
        <v>RETURN - 2nd don of the week -BONUS</v>
      </c>
      <c r="G2604" t="str">
        <f t="shared" si="283"/>
        <v>Marketing</v>
      </c>
      <c r="H2604" t="s">
        <v>550</v>
      </c>
      <c r="I2604">
        <f t="shared" si="284"/>
        <v>26</v>
      </c>
      <c r="J2604" t="s">
        <v>546</v>
      </c>
      <c r="K2604" s="5">
        <v>20</v>
      </c>
      <c r="L2604" t="str">
        <f>Table_DataFromNL[[#This Row],[PROFILECODE]]&amp;"-"&amp;Table_DataFromNL[[#This Row],[RULENAME]]</f>
        <v>CP944-2X Week P NSP NS</v>
      </c>
      <c r="M2604" t="str">
        <f t="shared" si="285"/>
        <v>CP944-RETURN - 2nd don of the week -BONUS</v>
      </c>
    </row>
    <row r="2605" spans="1:13" x14ac:dyDescent="0.25">
      <c r="A2605" t="str">
        <f t="shared" si="286"/>
        <v>CP944-RETURN - 2nd don of the week -BONUS</v>
      </c>
      <c r="B2605" t="s">
        <v>287</v>
      </c>
      <c r="C2605" t="str">
        <f t="shared" si="280"/>
        <v>Pittston</v>
      </c>
      <c r="D2605" t="str">
        <f t="shared" si="281"/>
        <v>Y</v>
      </c>
      <c r="E2605" t="s">
        <v>661</v>
      </c>
      <c r="F2605" t="str">
        <f t="shared" si="282"/>
        <v>RETURN - 2nd don of the week -BONUS</v>
      </c>
      <c r="G2605" t="str">
        <f t="shared" si="283"/>
        <v>Marketing</v>
      </c>
      <c r="H2605" t="s">
        <v>551</v>
      </c>
      <c r="I2605" t="str">
        <f t="shared" si="284"/>
        <v>RETURN - 2nd don of the week -BONUS</v>
      </c>
      <c r="J2605" t="s">
        <v>546</v>
      </c>
      <c r="K2605" s="5">
        <v>20</v>
      </c>
      <c r="L2605" t="str">
        <f>Table_DataFromNL[[#This Row],[PROFILECODE]]&amp;"-"&amp;Table_DataFromNL[[#This Row],[RULENAME]]</f>
        <v>CP944-2X Week P NSP NS AP</v>
      </c>
      <c r="M2605" t="str">
        <f t="shared" si="285"/>
        <v>CP944-RETURN - 2nd don of the week -BONUS</v>
      </c>
    </row>
    <row r="2606" spans="1:13" x14ac:dyDescent="0.25">
      <c r="A2606" t="str">
        <f t="shared" si="286"/>
        <v>CP944-RETURN - 6th don of the month -BONUS</v>
      </c>
      <c r="B2606" t="s">
        <v>287</v>
      </c>
      <c r="C2606" t="str">
        <f t="shared" si="280"/>
        <v>Pittston</v>
      </c>
      <c r="D2606" t="str">
        <f t="shared" si="281"/>
        <v>Y</v>
      </c>
      <c r="E2606" t="s">
        <v>661</v>
      </c>
      <c r="F2606" t="str">
        <f t="shared" si="282"/>
        <v>RETURN - 6th don of the month -BONUS</v>
      </c>
      <c r="G2606" t="str">
        <f t="shared" si="283"/>
        <v>Marketing</v>
      </c>
      <c r="H2606" t="s">
        <v>552</v>
      </c>
      <c r="I2606">
        <f t="shared" si="284"/>
        <v>28</v>
      </c>
      <c r="J2606" t="s">
        <v>546</v>
      </c>
      <c r="K2606" s="5">
        <v>25</v>
      </c>
      <c r="L2606" t="str">
        <f>Table_DataFromNL[[#This Row],[PROFILECODE]]&amp;"-"&amp;Table_DataFromNL[[#This Row],[RULENAME]]</f>
        <v>CP944-6X Month</v>
      </c>
      <c r="M2606" t="str">
        <f t="shared" si="285"/>
        <v>CP944-RETURN - 6th don of the month -BONUS</v>
      </c>
    </row>
    <row r="2607" spans="1:13" x14ac:dyDescent="0.25">
      <c r="A2607" t="str">
        <f t="shared" si="286"/>
        <v>CP944-College ID Standard Bonus</v>
      </c>
      <c r="B2607" t="s">
        <v>287</v>
      </c>
      <c r="C2607" t="str">
        <f t="shared" si="280"/>
        <v>Pittston</v>
      </c>
      <c r="D2607" t="str">
        <f t="shared" si="281"/>
        <v>Y</v>
      </c>
      <c r="E2607" t="s">
        <v>661</v>
      </c>
      <c r="F2607" t="str">
        <f t="shared" si="282"/>
        <v>College ID Standard Bonus</v>
      </c>
      <c r="G2607">
        <f t="shared" si="283"/>
        <v>0</v>
      </c>
      <c r="H2607" t="s">
        <v>553</v>
      </c>
      <c r="I2607">
        <f t="shared" si="284"/>
        <v>0</v>
      </c>
      <c r="J2607" t="s">
        <v>546</v>
      </c>
      <c r="K2607" s="5">
        <v>5</v>
      </c>
      <c r="L2607" t="str">
        <f>Table_DataFromNL[[#This Row],[PROFILECODE]]&amp;"-"&amp;Table_DataFromNL[[#This Row],[RULENAME]]</f>
        <v>CP944-College ID Standard Bonus</v>
      </c>
      <c r="M2607" t="e">
        <f t="shared" si="285"/>
        <v>#N/A</v>
      </c>
    </row>
    <row r="2608" spans="1:13" x14ac:dyDescent="0.25">
      <c r="A2608" t="str">
        <f t="shared" si="286"/>
        <v>CP944-Military ID</v>
      </c>
      <c r="B2608" t="s">
        <v>287</v>
      </c>
      <c r="C2608" t="str">
        <f t="shared" si="280"/>
        <v>Pittston</v>
      </c>
      <c r="D2608" t="str">
        <f t="shared" si="281"/>
        <v>Y</v>
      </c>
      <c r="E2608" t="s">
        <v>661</v>
      </c>
      <c r="F2608" t="str">
        <f t="shared" si="282"/>
        <v>Military ID</v>
      </c>
      <c r="G2608">
        <f t="shared" si="283"/>
        <v>0</v>
      </c>
      <c r="H2608" t="s">
        <v>554</v>
      </c>
      <c r="I2608">
        <f t="shared" si="284"/>
        <v>0</v>
      </c>
      <c r="J2608" t="s">
        <v>546</v>
      </c>
      <c r="K2608" s="5">
        <v>5</v>
      </c>
      <c r="L2608" t="str">
        <f>Table_DataFromNL[[#This Row],[PROFILECODE]]&amp;"-"&amp;Table_DataFromNL[[#This Row],[RULENAME]]</f>
        <v>CP944-Military ID</v>
      </c>
      <c r="M2608" t="e">
        <f t="shared" si="285"/>
        <v>#N/A</v>
      </c>
    </row>
    <row r="2609" spans="1:13" x14ac:dyDescent="0.25">
      <c r="A2609" t="str">
        <f t="shared" si="286"/>
        <v>CP944-NEW DONOR -1st</v>
      </c>
      <c r="B2609" t="s">
        <v>287</v>
      </c>
      <c r="C2609" t="str">
        <f t="shared" si="280"/>
        <v>Pittston</v>
      </c>
      <c r="D2609" t="str">
        <f t="shared" si="281"/>
        <v>Y</v>
      </c>
      <c r="E2609" t="s">
        <v>661</v>
      </c>
      <c r="F2609" t="str">
        <f t="shared" si="282"/>
        <v>NEW DONOR -1st</v>
      </c>
      <c r="G2609" t="str">
        <f t="shared" si="283"/>
        <v>Marketing</v>
      </c>
      <c r="H2609" t="s">
        <v>555</v>
      </c>
      <c r="I2609">
        <f t="shared" si="284"/>
        <v>1</v>
      </c>
      <c r="J2609" t="s">
        <v>546</v>
      </c>
      <c r="K2609" s="5">
        <v>100</v>
      </c>
      <c r="L2609" t="str">
        <f>Table_DataFromNL[[#This Row],[PROFILECODE]]&amp;"-"&amp;Table_DataFromNL[[#This Row],[RULENAME]]</f>
        <v>CP944-New Donor 1st Visit-Bonus</v>
      </c>
      <c r="M2609" t="str">
        <f t="shared" si="285"/>
        <v>CP944-NEW DONOR -1st</v>
      </c>
    </row>
    <row r="2610" spans="1:13" x14ac:dyDescent="0.25">
      <c r="A2610" t="str">
        <f t="shared" si="286"/>
        <v>CP944-NEW DONOR -2nd</v>
      </c>
      <c r="B2610" t="s">
        <v>287</v>
      </c>
      <c r="C2610" t="str">
        <f t="shared" si="280"/>
        <v>Pittston</v>
      </c>
      <c r="D2610" t="str">
        <f t="shared" si="281"/>
        <v>Y</v>
      </c>
      <c r="E2610" t="s">
        <v>661</v>
      </c>
      <c r="F2610" t="str">
        <f t="shared" si="282"/>
        <v>NEW DONOR -2nd</v>
      </c>
      <c r="G2610" t="str">
        <f t="shared" si="283"/>
        <v>Marketing</v>
      </c>
      <c r="H2610" t="s">
        <v>556</v>
      </c>
      <c r="I2610">
        <f t="shared" si="284"/>
        <v>2</v>
      </c>
      <c r="J2610" t="s">
        <v>546</v>
      </c>
      <c r="K2610" s="5">
        <v>100</v>
      </c>
      <c r="L2610" t="str">
        <f>Table_DataFromNL[[#This Row],[PROFILECODE]]&amp;"-"&amp;Table_DataFromNL[[#This Row],[RULENAME]]</f>
        <v>CP944-New Donor 2nd Visit-Bonus</v>
      </c>
      <c r="M2610" t="str">
        <f t="shared" si="285"/>
        <v>CP944-NEW DONOR -2nd</v>
      </c>
    </row>
    <row r="2611" spans="1:13" x14ac:dyDescent="0.25">
      <c r="A2611" t="str">
        <f t="shared" si="286"/>
        <v>CP944-NEW DONOR -3rd</v>
      </c>
      <c r="B2611" t="s">
        <v>287</v>
      </c>
      <c r="C2611" t="str">
        <f t="shared" si="280"/>
        <v>Pittston</v>
      </c>
      <c r="D2611" t="str">
        <f t="shared" si="281"/>
        <v>Y</v>
      </c>
      <c r="E2611" t="s">
        <v>661</v>
      </c>
      <c r="F2611" t="str">
        <f t="shared" si="282"/>
        <v>NEW DONOR -3rd</v>
      </c>
      <c r="G2611" t="str">
        <f t="shared" si="283"/>
        <v>Marketing</v>
      </c>
      <c r="H2611" t="s">
        <v>557</v>
      </c>
      <c r="I2611">
        <f t="shared" si="284"/>
        <v>3</v>
      </c>
      <c r="J2611" t="s">
        <v>546</v>
      </c>
      <c r="K2611" s="5">
        <v>100</v>
      </c>
      <c r="L2611" t="str">
        <f>Table_DataFromNL[[#This Row],[PROFILECODE]]&amp;"-"&amp;Table_DataFromNL[[#This Row],[RULENAME]]</f>
        <v>CP944-New Donor 3rd Visit-Bonus</v>
      </c>
      <c r="M2611" t="str">
        <f t="shared" si="285"/>
        <v>CP944-NEW DONOR -3rd</v>
      </c>
    </row>
    <row r="2612" spans="1:13" x14ac:dyDescent="0.25">
      <c r="A2612" t="str">
        <f t="shared" si="286"/>
        <v>CP944-NEW DONOR -4th</v>
      </c>
      <c r="B2612" t="s">
        <v>287</v>
      </c>
      <c r="C2612" t="str">
        <f t="shared" si="280"/>
        <v>Pittston</v>
      </c>
      <c r="D2612" t="str">
        <f t="shared" si="281"/>
        <v>Y</v>
      </c>
      <c r="E2612" t="s">
        <v>661</v>
      </c>
      <c r="F2612" t="str">
        <f t="shared" si="282"/>
        <v>NEW DONOR -4th</v>
      </c>
      <c r="G2612" t="str">
        <f t="shared" si="283"/>
        <v>Marketing</v>
      </c>
      <c r="H2612" t="s">
        <v>558</v>
      </c>
      <c r="I2612">
        <f t="shared" si="284"/>
        <v>4</v>
      </c>
      <c r="J2612" t="s">
        <v>546</v>
      </c>
      <c r="K2612" s="5">
        <v>50</v>
      </c>
      <c r="L2612" t="str">
        <f>Table_DataFromNL[[#This Row],[PROFILECODE]]&amp;"-"&amp;Table_DataFromNL[[#This Row],[RULENAME]]</f>
        <v>CP944-New Donor 4th Visit-Bonus</v>
      </c>
      <c r="M2612" t="str">
        <f t="shared" si="285"/>
        <v>CP944-NEW DONOR -4th</v>
      </c>
    </row>
    <row r="2613" spans="1:13" x14ac:dyDescent="0.25">
      <c r="A2613" t="str">
        <f t="shared" si="286"/>
        <v>CP944-NEW DONOR -5th</v>
      </c>
      <c r="B2613" t="s">
        <v>287</v>
      </c>
      <c r="C2613" t="str">
        <f t="shared" si="280"/>
        <v>Pittston</v>
      </c>
      <c r="D2613" t="str">
        <f t="shared" si="281"/>
        <v>Y</v>
      </c>
      <c r="E2613" t="s">
        <v>661</v>
      </c>
      <c r="F2613" t="str">
        <f t="shared" si="282"/>
        <v>NEW DONOR -5th</v>
      </c>
      <c r="G2613" t="str">
        <f t="shared" si="283"/>
        <v>Marketing</v>
      </c>
      <c r="H2613" t="s">
        <v>559</v>
      </c>
      <c r="I2613">
        <f t="shared" si="284"/>
        <v>5</v>
      </c>
      <c r="J2613" t="s">
        <v>546</v>
      </c>
      <c r="K2613" s="5">
        <v>50</v>
      </c>
      <c r="L2613" t="str">
        <f>Table_DataFromNL[[#This Row],[PROFILECODE]]&amp;"-"&amp;Table_DataFromNL[[#This Row],[RULENAME]]</f>
        <v>CP944-New Donor 5th Visit-Bonus</v>
      </c>
      <c r="M2613" t="str">
        <f t="shared" si="285"/>
        <v>CP944-NEW DONOR -5th</v>
      </c>
    </row>
    <row r="2614" spans="1:13" x14ac:dyDescent="0.25">
      <c r="A2614" t="str">
        <f t="shared" si="286"/>
        <v>CP944-NEW DONOR -6th</v>
      </c>
      <c r="B2614" t="s">
        <v>287</v>
      </c>
      <c r="C2614" t="str">
        <f t="shared" si="280"/>
        <v>Pittston</v>
      </c>
      <c r="D2614" t="str">
        <f t="shared" si="281"/>
        <v>Y</v>
      </c>
      <c r="E2614" t="s">
        <v>661</v>
      </c>
      <c r="F2614" t="str">
        <f t="shared" si="282"/>
        <v>NEW DONOR -6th</v>
      </c>
      <c r="G2614" t="str">
        <f t="shared" si="283"/>
        <v>Marketing</v>
      </c>
      <c r="H2614" t="s">
        <v>560</v>
      </c>
      <c r="I2614">
        <f t="shared" si="284"/>
        <v>6</v>
      </c>
      <c r="J2614" t="s">
        <v>546</v>
      </c>
      <c r="K2614" s="5">
        <v>50</v>
      </c>
      <c r="L2614" t="str">
        <f>Table_DataFromNL[[#This Row],[PROFILECODE]]&amp;"-"&amp;Table_DataFromNL[[#This Row],[RULENAME]]</f>
        <v>CP944-New Donor 6th Visit-Bonus</v>
      </c>
      <c r="M2614" t="str">
        <f t="shared" si="285"/>
        <v>CP944-NEW DONOR -6th</v>
      </c>
    </row>
    <row r="2615" spans="1:13" x14ac:dyDescent="0.25">
      <c r="A2615" t="str">
        <f t="shared" si="286"/>
        <v>CP944-NEW DONOR -7th</v>
      </c>
      <c r="B2615" t="s">
        <v>287</v>
      </c>
      <c r="C2615" t="str">
        <f t="shared" si="280"/>
        <v>Pittston</v>
      </c>
      <c r="D2615" t="str">
        <f t="shared" si="281"/>
        <v>Y</v>
      </c>
      <c r="E2615" t="s">
        <v>661</v>
      </c>
      <c r="F2615" t="str">
        <f t="shared" si="282"/>
        <v>NEW DONOR -7th</v>
      </c>
      <c r="G2615" t="str">
        <f t="shared" si="283"/>
        <v>Marketing</v>
      </c>
      <c r="H2615" t="s">
        <v>561</v>
      </c>
      <c r="I2615">
        <f t="shared" si="284"/>
        <v>7</v>
      </c>
      <c r="J2615" t="s">
        <v>546</v>
      </c>
      <c r="K2615" s="5">
        <v>50</v>
      </c>
      <c r="L2615" t="str">
        <f>Table_DataFromNL[[#This Row],[PROFILECODE]]&amp;"-"&amp;Table_DataFromNL[[#This Row],[RULENAME]]</f>
        <v>CP944-New Donor 7th Visit-Bonus</v>
      </c>
      <c r="M2615" t="str">
        <f t="shared" si="285"/>
        <v>CP944-NEW DONOR -7th</v>
      </c>
    </row>
    <row r="2616" spans="1:13" x14ac:dyDescent="0.25">
      <c r="A2616" t="str">
        <f t="shared" si="286"/>
        <v>CP944-NEW DONOR -8th</v>
      </c>
      <c r="B2616" t="s">
        <v>287</v>
      </c>
      <c r="C2616" t="str">
        <f t="shared" si="280"/>
        <v>Pittston</v>
      </c>
      <c r="D2616" t="str">
        <f t="shared" si="281"/>
        <v>Y</v>
      </c>
      <c r="E2616" t="s">
        <v>661</v>
      </c>
      <c r="F2616" t="str">
        <f t="shared" si="282"/>
        <v>NEW DONOR -8th</v>
      </c>
      <c r="G2616" t="str">
        <f t="shared" si="283"/>
        <v>Marketing</v>
      </c>
      <c r="H2616" t="s">
        <v>562</v>
      </c>
      <c r="I2616">
        <f t="shared" si="284"/>
        <v>8</v>
      </c>
      <c r="J2616" t="s">
        <v>546</v>
      </c>
      <c r="K2616" s="5">
        <v>50</v>
      </c>
      <c r="L2616" t="str">
        <f>Table_DataFromNL[[#This Row],[PROFILECODE]]&amp;"-"&amp;Table_DataFromNL[[#This Row],[RULENAME]]</f>
        <v>CP944-New Donor 8th Visit-Bonus</v>
      </c>
      <c r="M2616" t="str">
        <f t="shared" si="285"/>
        <v>CP944-NEW DONOR -8th</v>
      </c>
    </row>
    <row r="2617" spans="1:13" x14ac:dyDescent="0.25">
      <c r="A2617" t="str">
        <f t="shared" si="286"/>
        <v>CP944-Community</v>
      </c>
      <c r="B2617" t="s">
        <v>287</v>
      </c>
      <c r="C2617" t="str">
        <f t="shared" si="280"/>
        <v>Pittston</v>
      </c>
      <c r="D2617" t="str">
        <f t="shared" si="281"/>
        <v>Y</v>
      </c>
      <c r="E2617" t="s">
        <v>661</v>
      </c>
      <c r="F2617" t="str">
        <f t="shared" si="282"/>
        <v>Community</v>
      </c>
      <c r="G2617">
        <f t="shared" si="283"/>
        <v>0</v>
      </c>
      <c r="H2617" t="s">
        <v>563</v>
      </c>
      <c r="I2617">
        <f t="shared" si="284"/>
        <v>0</v>
      </c>
      <c r="J2617" t="s">
        <v>564</v>
      </c>
      <c r="K2617" s="5">
        <v>5</v>
      </c>
      <c r="L2617" t="str">
        <f>Table_DataFromNL[[#This Row],[PROFILECODE]]&amp;"-"&amp;Table_DataFromNL[[#This Row],[RULENAME]]</f>
        <v>CP944-Community</v>
      </c>
      <c r="M2617" t="e">
        <f t="shared" si="285"/>
        <v>#N/A</v>
      </c>
    </row>
    <row r="2618" spans="1:13" x14ac:dyDescent="0.25">
      <c r="A2618" t="str">
        <f t="shared" si="286"/>
        <v>CP944-HANGER_RECRUIT_5USD_once</v>
      </c>
      <c r="B2618" t="s">
        <v>287</v>
      </c>
      <c r="C2618" t="str">
        <f t="shared" si="280"/>
        <v>Pittston</v>
      </c>
      <c r="D2618" t="str">
        <f t="shared" si="281"/>
        <v>Y</v>
      </c>
      <c r="E2618" t="s">
        <v>661</v>
      </c>
      <c r="F2618" t="str">
        <f t="shared" si="282"/>
        <v>HANGER_RECRUIT_5USD_once</v>
      </c>
      <c r="G2618">
        <f t="shared" si="283"/>
        <v>0</v>
      </c>
      <c r="H2618" t="s">
        <v>565</v>
      </c>
      <c r="I2618">
        <f t="shared" si="284"/>
        <v>0</v>
      </c>
      <c r="J2618" t="s">
        <v>564</v>
      </c>
      <c r="K2618" s="5">
        <v>5</v>
      </c>
      <c r="L2618" t="str">
        <f>Table_DataFromNL[[#This Row],[PROFILECODE]]&amp;"-"&amp;Table_DataFromNL[[#This Row],[RULENAME]]</f>
        <v>CP944-HANGER_RECRUIT_5USD_once</v>
      </c>
      <c r="M2618" t="e">
        <f t="shared" si="285"/>
        <v>#N/A</v>
      </c>
    </row>
    <row r="2619" spans="1:13" x14ac:dyDescent="0.25">
      <c r="A2619" t="str">
        <f t="shared" si="286"/>
        <v>CP944-Inconv Fee $20-$50-Comment Req'd</v>
      </c>
      <c r="B2619" t="s">
        <v>287</v>
      </c>
      <c r="C2619" t="str">
        <f t="shared" si="280"/>
        <v>Pittston</v>
      </c>
      <c r="D2619" t="str">
        <f t="shared" si="281"/>
        <v>Y</v>
      </c>
      <c r="E2619" t="s">
        <v>661</v>
      </c>
      <c r="F2619" t="str">
        <f t="shared" si="282"/>
        <v>Inconv Fee $20-$50-Comment Req'd</v>
      </c>
      <c r="G2619">
        <f t="shared" si="283"/>
        <v>0</v>
      </c>
      <c r="H2619" t="s">
        <v>566</v>
      </c>
      <c r="I2619">
        <f t="shared" si="284"/>
        <v>0</v>
      </c>
      <c r="J2619" t="s">
        <v>564</v>
      </c>
      <c r="K2619" s="5">
        <v>50</v>
      </c>
      <c r="L2619" t="str">
        <f>Table_DataFromNL[[#This Row],[PROFILECODE]]&amp;"-"&amp;Table_DataFromNL[[#This Row],[RULENAME]]</f>
        <v>CP944-Inconv Fee $20-$50-Comment Req'd</v>
      </c>
      <c r="M2619" t="e">
        <f t="shared" si="285"/>
        <v>#N/A</v>
      </c>
    </row>
    <row r="2620" spans="1:13" x14ac:dyDescent="0.25">
      <c r="A2620" t="str">
        <f t="shared" si="286"/>
        <v>CP944-Inconv Fee $5-$20-Comment Req'd</v>
      </c>
      <c r="B2620" t="s">
        <v>287</v>
      </c>
      <c r="C2620" t="str">
        <f t="shared" si="280"/>
        <v>Pittston</v>
      </c>
      <c r="D2620" t="str">
        <f t="shared" si="281"/>
        <v>Y</v>
      </c>
      <c r="E2620" t="s">
        <v>661</v>
      </c>
      <c r="F2620" t="str">
        <f t="shared" si="282"/>
        <v>Inconv Fee $5-$20-Comment Req'd</v>
      </c>
      <c r="G2620">
        <f t="shared" si="283"/>
        <v>0</v>
      </c>
      <c r="H2620" t="s">
        <v>567</v>
      </c>
      <c r="I2620">
        <f t="shared" si="284"/>
        <v>0</v>
      </c>
      <c r="J2620" t="s">
        <v>564</v>
      </c>
      <c r="K2620" s="5">
        <v>20</v>
      </c>
      <c r="L2620" t="str">
        <f>Table_DataFromNL[[#This Row],[PROFILECODE]]&amp;"-"&amp;Table_DataFromNL[[#This Row],[RULENAME]]</f>
        <v>CP944-Inconv Fee $5-$20-Comment Req'd</v>
      </c>
      <c r="M2620" t="e">
        <f t="shared" si="285"/>
        <v>#N/A</v>
      </c>
    </row>
    <row r="2621" spans="1:13" x14ac:dyDescent="0.25">
      <c r="A2621" t="str">
        <f t="shared" si="286"/>
        <v>CP944-Inconv Fee$50-$100-Comment Req'd</v>
      </c>
      <c r="B2621" t="s">
        <v>287</v>
      </c>
      <c r="C2621" t="str">
        <f t="shared" si="280"/>
        <v>Pittston</v>
      </c>
      <c r="D2621" t="str">
        <f t="shared" si="281"/>
        <v>Y</v>
      </c>
      <c r="E2621" t="s">
        <v>661</v>
      </c>
      <c r="F2621" t="str">
        <f t="shared" si="282"/>
        <v>Inconv Fee$50-$100-Comment Req'd</v>
      </c>
      <c r="G2621">
        <f t="shared" si="283"/>
        <v>0</v>
      </c>
      <c r="H2621" t="s">
        <v>568</v>
      </c>
      <c r="I2621">
        <f t="shared" si="284"/>
        <v>0</v>
      </c>
      <c r="J2621" t="s">
        <v>564</v>
      </c>
      <c r="K2621" s="5">
        <v>100</v>
      </c>
      <c r="L2621" t="str">
        <f>Table_DataFromNL[[#This Row],[PROFILECODE]]&amp;"-"&amp;Table_DataFromNL[[#This Row],[RULENAME]]</f>
        <v>CP944-Inconv Fee$50-$100-Comment Req'd</v>
      </c>
      <c r="M2621" t="e">
        <f t="shared" si="285"/>
        <v>#N/A</v>
      </c>
    </row>
    <row r="2622" spans="1:13" x14ac:dyDescent="0.25">
      <c r="A2622" t="str">
        <f t="shared" si="286"/>
        <v>CP944-NSP_ LAPSEDONOR_50_Twice</v>
      </c>
      <c r="B2622" t="s">
        <v>287</v>
      </c>
      <c r="C2622" t="str">
        <f t="shared" si="280"/>
        <v>Pittston</v>
      </c>
      <c r="D2622" t="str">
        <f t="shared" si="281"/>
        <v>Y</v>
      </c>
      <c r="E2622" t="s">
        <v>661</v>
      </c>
      <c r="F2622" t="str">
        <f t="shared" si="282"/>
        <v>NSP_ LAPSEDONOR_50_Twice</v>
      </c>
      <c r="G2622">
        <f t="shared" si="283"/>
        <v>0</v>
      </c>
      <c r="H2622" t="s">
        <v>569</v>
      </c>
      <c r="I2622">
        <f t="shared" si="284"/>
        <v>0</v>
      </c>
      <c r="J2622" t="s">
        <v>564</v>
      </c>
      <c r="K2622" s="5">
        <v>50</v>
      </c>
      <c r="L2622" t="str">
        <f>Table_DataFromNL[[#This Row],[PROFILECODE]]&amp;"-"&amp;Table_DataFromNL[[#This Row],[RULENAME]]</f>
        <v>CP944-NSP_ LAPSEDONOR_50_Twice</v>
      </c>
      <c r="M2622" t="e">
        <f t="shared" si="285"/>
        <v>#N/A</v>
      </c>
    </row>
    <row r="2623" spans="1:13" x14ac:dyDescent="0.25">
      <c r="A2623" t="str">
        <f t="shared" si="286"/>
        <v>CP944-NSP_LD_25_2X</v>
      </c>
      <c r="B2623" t="s">
        <v>287</v>
      </c>
      <c r="C2623" t="str">
        <f t="shared" si="280"/>
        <v>Pittston</v>
      </c>
      <c r="D2623" t="str">
        <f t="shared" si="281"/>
        <v>Y</v>
      </c>
      <c r="E2623" t="s">
        <v>661</v>
      </c>
      <c r="F2623" t="str">
        <f t="shared" si="282"/>
        <v>NSP_LD_25_2X</v>
      </c>
      <c r="G2623">
        <f t="shared" si="283"/>
        <v>0</v>
      </c>
      <c r="H2623" t="s">
        <v>570</v>
      </c>
      <c r="I2623">
        <f t="shared" si="284"/>
        <v>0</v>
      </c>
      <c r="J2623" t="s">
        <v>564</v>
      </c>
      <c r="K2623" s="5">
        <v>25</v>
      </c>
      <c r="L2623" t="str">
        <f>Table_DataFromNL[[#This Row],[PROFILECODE]]&amp;"-"&amp;Table_DataFromNL[[#This Row],[RULENAME]]</f>
        <v>CP944-NSP_LD_25_2X</v>
      </c>
      <c r="M2623" t="e">
        <f t="shared" si="285"/>
        <v>#N/A</v>
      </c>
    </row>
    <row r="2624" spans="1:13" x14ac:dyDescent="0.25">
      <c r="A2624" t="str">
        <f t="shared" si="286"/>
        <v>CP944-NSP_LD_50_1X</v>
      </c>
      <c r="B2624" t="s">
        <v>287</v>
      </c>
      <c r="C2624" t="str">
        <f t="shared" si="280"/>
        <v>Pittston</v>
      </c>
      <c r="D2624" t="str">
        <f t="shared" si="281"/>
        <v>Y</v>
      </c>
      <c r="E2624" t="s">
        <v>661</v>
      </c>
      <c r="F2624" t="str">
        <f t="shared" si="282"/>
        <v>NSP_LD_50_1X</v>
      </c>
      <c r="G2624">
        <f t="shared" si="283"/>
        <v>0</v>
      </c>
      <c r="H2624" t="s">
        <v>571</v>
      </c>
      <c r="I2624">
        <f t="shared" si="284"/>
        <v>0</v>
      </c>
      <c r="J2624" t="s">
        <v>564</v>
      </c>
      <c r="K2624" s="5">
        <v>50</v>
      </c>
      <c r="L2624" t="str">
        <f>Table_DataFromNL[[#This Row],[PROFILECODE]]&amp;"-"&amp;Table_DataFromNL[[#This Row],[RULENAME]]</f>
        <v>CP944-NSP_LD_50_1X</v>
      </c>
      <c r="M2624" t="e">
        <f t="shared" si="285"/>
        <v>#N/A</v>
      </c>
    </row>
    <row r="2625" spans="1:13" x14ac:dyDescent="0.25">
      <c r="A2625" t="str">
        <f t="shared" si="286"/>
        <v>CP944-NSP_ORPHAN_100_once</v>
      </c>
      <c r="B2625" t="s">
        <v>287</v>
      </c>
      <c r="C2625" t="str">
        <f t="shared" si="280"/>
        <v>Pittston</v>
      </c>
      <c r="D2625" t="str">
        <f t="shared" si="281"/>
        <v>Y</v>
      </c>
      <c r="E2625" t="s">
        <v>661</v>
      </c>
      <c r="F2625" t="str">
        <f t="shared" si="282"/>
        <v>NSP_ORPHAN_100_once</v>
      </c>
      <c r="G2625">
        <f t="shared" si="283"/>
        <v>0</v>
      </c>
      <c r="H2625" t="s">
        <v>572</v>
      </c>
      <c r="I2625">
        <f t="shared" si="284"/>
        <v>0</v>
      </c>
      <c r="J2625" t="s">
        <v>564</v>
      </c>
      <c r="K2625" s="5">
        <v>100</v>
      </c>
      <c r="L2625" t="str">
        <f>Table_DataFromNL[[#This Row],[PROFILECODE]]&amp;"-"&amp;Table_DataFromNL[[#This Row],[RULENAME]]</f>
        <v>CP944-NSP_ORPHAN_100_once</v>
      </c>
      <c r="M2625" t="e">
        <f t="shared" si="285"/>
        <v>#N/A</v>
      </c>
    </row>
    <row r="2626" spans="1:13" x14ac:dyDescent="0.25">
      <c r="A2626" t="str">
        <f t="shared" si="286"/>
        <v>CP944-Restick</v>
      </c>
      <c r="B2626" t="s">
        <v>287</v>
      </c>
      <c r="C2626" t="str">
        <f t="shared" ref="C2626:C2689" si="287">VLOOKUP(B2626,CenterLU,2,FALSE)</f>
        <v>Pittston</v>
      </c>
      <c r="D2626" t="str">
        <f t="shared" ref="D2626:D2689" si="288">VLOOKUP(B2626,CenterLU,3,FALSE)</f>
        <v>Y</v>
      </c>
      <c r="E2626" t="s">
        <v>661</v>
      </c>
      <c r="F2626" t="str">
        <f t="shared" ref="F2626:F2689" si="289">IF(VLOOKUP(H2626,RULENAMELU,3,FALSE)=0,H2626,VLOOKUP(H2626,RULENAMELU,3,FALSE))</f>
        <v>Restick</v>
      </c>
      <c r="G2626">
        <f t="shared" ref="G2626:G2689" si="290">VLOOKUP(H2626,RULENAMELU,4,FALSE)</f>
        <v>0</v>
      </c>
      <c r="H2626" t="s">
        <v>573</v>
      </c>
      <c r="I2626">
        <f t="shared" ref="I2626:I2689" si="291">VLOOKUP(H2626,RULENAMELU,5,FALSE)</f>
        <v>0</v>
      </c>
      <c r="J2626" t="s">
        <v>564</v>
      </c>
      <c r="K2626" s="5">
        <v>5</v>
      </c>
      <c r="L2626" t="str">
        <f>Table_DataFromNL[[#This Row],[PROFILECODE]]&amp;"-"&amp;Table_DataFromNL[[#This Row],[RULENAME]]</f>
        <v>CP944-Restick</v>
      </c>
      <c r="M2626" t="e">
        <f t="shared" ref="M2626:M2689" si="292">IFERROR(VLOOKUP(A2626,PaychangesLU,1,FALSE),VLOOKUP(A2626,SpecialtyCheckLU,1,FALSE))</f>
        <v>#N/A</v>
      </c>
    </row>
    <row r="2627" spans="1:13" x14ac:dyDescent="0.25">
      <c r="A2627" t="str">
        <f t="shared" ref="A2627:A2690" si="293">B2627&amp;"-"&amp;F2627</f>
        <v>CP944-SLOW_TEXT_5</v>
      </c>
      <c r="B2627" t="s">
        <v>287</v>
      </c>
      <c r="C2627" t="str">
        <f t="shared" si="287"/>
        <v>Pittston</v>
      </c>
      <c r="D2627" t="str">
        <f t="shared" si="288"/>
        <v>Y</v>
      </c>
      <c r="E2627" t="s">
        <v>661</v>
      </c>
      <c r="F2627" t="str">
        <f t="shared" si="289"/>
        <v>SLOW_TEXT_5</v>
      </c>
      <c r="G2627">
        <f t="shared" si="290"/>
        <v>0</v>
      </c>
      <c r="H2627" t="s">
        <v>574</v>
      </c>
      <c r="I2627">
        <f t="shared" si="291"/>
        <v>0</v>
      </c>
      <c r="J2627" t="s">
        <v>564</v>
      </c>
      <c r="K2627" s="5">
        <v>5</v>
      </c>
      <c r="L2627" t="str">
        <f>Table_DataFromNL[[#This Row],[PROFILECODE]]&amp;"-"&amp;Table_DataFromNL[[#This Row],[RULENAME]]</f>
        <v>CP944-SLOW_TEXT_5</v>
      </c>
      <c r="M2627" t="e">
        <f t="shared" si="292"/>
        <v>#N/A</v>
      </c>
    </row>
    <row r="2628" spans="1:13" x14ac:dyDescent="0.25">
      <c r="A2628" t="str">
        <f t="shared" si="293"/>
        <v>CP944-Sample Only</v>
      </c>
      <c r="B2628" t="s">
        <v>287</v>
      </c>
      <c r="C2628" t="str">
        <f t="shared" si="287"/>
        <v>Pittston</v>
      </c>
      <c r="D2628" t="str">
        <f t="shared" si="288"/>
        <v>Y</v>
      </c>
      <c r="E2628" t="s">
        <v>661</v>
      </c>
      <c r="F2628" t="str">
        <f t="shared" si="289"/>
        <v>Sample Only</v>
      </c>
      <c r="G2628">
        <f t="shared" si="290"/>
        <v>0</v>
      </c>
      <c r="H2628" t="s">
        <v>575</v>
      </c>
      <c r="I2628">
        <f t="shared" si="291"/>
        <v>0</v>
      </c>
      <c r="J2628" t="s">
        <v>564</v>
      </c>
      <c r="K2628" s="5">
        <v>5</v>
      </c>
      <c r="L2628" t="str">
        <f>Table_DataFromNL[[#This Row],[PROFILECODE]]&amp;"-"&amp;Table_DataFromNL[[#This Row],[RULENAME]]</f>
        <v>CP944-Sample Only</v>
      </c>
      <c r="M2628" t="e">
        <f t="shared" si="292"/>
        <v>#N/A</v>
      </c>
    </row>
    <row r="2629" spans="1:13" x14ac:dyDescent="0.25">
      <c r="A2629" t="str">
        <f t="shared" si="293"/>
        <v>CP944-Unit Below 250 mL</v>
      </c>
      <c r="B2629" t="s">
        <v>287</v>
      </c>
      <c r="C2629" t="str">
        <f t="shared" si="287"/>
        <v>Pittston</v>
      </c>
      <c r="D2629" t="str">
        <f t="shared" si="288"/>
        <v>Y</v>
      </c>
      <c r="E2629" t="s">
        <v>661</v>
      </c>
      <c r="F2629" t="str">
        <f t="shared" si="289"/>
        <v>Unit Below 250 mL</v>
      </c>
      <c r="G2629">
        <f t="shared" si="290"/>
        <v>0</v>
      </c>
      <c r="H2629" t="s">
        <v>576</v>
      </c>
      <c r="I2629">
        <f t="shared" si="291"/>
        <v>0</v>
      </c>
      <c r="J2629" t="s">
        <v>564</v>
      </c>
      <c r="K2629" s="5">
        <v>5</v>
      </c>
      <c r="L2629" t="str">
        <f>Table_DataFromNL[[#This Row],[PROFILECODE]]&amp;"-"&amp;Table_DataFromNL[[#This Row],[RULENAME]]</f>
        <v>CP944-Unit Below 250 mL</v>
      </c>
      <c r="M2629" t="e">
        <f t="shared" si="292"/>
        <v>#N/A</v>
      </c>
    </row>
    <row r="2630" spans="1:13" x14ac:dyDescent="0.25">
      <c r="A2630" t="str">
        <f t="shared" si="293"/>
        <v>CP944-Unit above 250 mL/underdraw</v>
      </c>
      <c r="B2630" t="s">
        <v>287</v>
      </c>
      <c r="C2630" t="str">
        <f t="shared" si="287"/>
        <v>Pittston</v>
      </c>
      <c r="D2630" t="str">
        <f t="shared" si="288"/>
        <v>Y</v>
      </c>
      <c r="E2630" t="s">
        <v>661</v>
      </c>
      <c r="F2630" t="str">
        <f t="shared" si="289"/>
        <v>Unit above 250 mL/underdraw</v>
      </c>
      <c r="G2630">
        <f t="shared" si="290"/>
        <v>0</v>
      </c>
      <c r="H2630" t="s">
        <v>577</v>
      </c>
      <c r="I2630">
        <f t="shared" si="291"/>
        <v>0</v>
      </c>
      <c r="J2630" t="s">
        <v>564</v>
      </c>
      <c r="K2630" s="5">
        <v>10</v>
      </c>
      <c r="L2630" t="str">
        <f>Table_DataFromNL[[#This Row],[PROFILECODE]]&amp;"-"&amp;Table_DataFromNL[[#This Row],[RULENAME]]</f>
        <v>CP944-Unit above 250 mL/underdraw</v>
      </c>
      <c r="M2630" t="e">
        <f t="shared" si="292"/>
        <v>#N/A</v>
      </c>
    </row>
    <row r="2631" spans="1:13" x14ac:dyDescent="0.25">
      <c r="A2631" t="str">
        <f t="shared" si="293"/>
        <v>CP944-RETURN - Buddy referral  -BONUS</v>
      </c>
      <c r="B2631" t="s">
        <v>287</v>
      </c>
      <c r="C2631" t="str">
        <f t="shared" si="287"/>
        <v>Pittston</v>
      </c>
      <c r="D2631" t="str">
        <f t="shared" si="288"/>
        <v>Y</v>
      </c>
      <c r="E2631" t="s">
        <v>661</v>
      </c>
      <c r="F2631" t="str">
        <f t="shared" si="289"/>
        <v>RETURN - Buddy referral  -BONUS</v>
      </c>
      <c r="G2631" t="str">
        <f t="shared" si="290"/>
        <v>Marketing</v>
      </c>
      <c r="H2631" t="s">
        <v>34</v>
      </c>
      <c r="I2631">
        <f t="shared" si="291"/>
        <v>50</v>
      </c>
      <c r="J2631" t="s">
        <v>578</v>
      </c>
      <c r="K2631" s="5">
        <v>50</v>
      </c>
      <c r="L2631" t="str">
        <f>Table_DataFromNL[[#This Row],[PROFILECODE]]&amp;"-"&amp;Table_DataFromNL[[#This Row],[RULENAME]]</f>
        <v>CP944-Referral</v>
      </c>
      <c r="M2631" t="str">
        <f t="shared" si="292"/>
        <v>CP944-RETURN - Buddy referral  -BONUS</v>
      </c>
    </row>
    <row r="2632" spans="1:13" x14ac:dyDescent="0.25">
      <c r="A2632" t="str">
        <f t="shared" si="293"/>
        <v>CP944-P Anti-D Pre-Existing Standard</v>
      </c>
      <c r="B2632" t="s">
        <v>287</v>
      </c>
      <c r="C2632" t="str">
        <f t="shared" si="287"/>
        <v>Pittston</v>
      </c>
      <c r="D2632" t="str">
        <f t="shared" si="288"/>
        <v>Y</v>
      </c>
      <c r="E2632" t="s">
        <v>661</v>
      </c>
      <c r="F2632" t="str">
        <f t="shared" si="289"/>
        <v>P Anti-D Pre-Existing Standard</v>
      </c>
      <c r="G2632" t="str">
        <f t="shared" si="290"/>
        <v>Specialty</v>
      </c>
      <c r="H2632" t="s">
        <v>469</v>
      </c>
      <c r="I2632" t="str">
        <f t="shared" si="291"/>
        <v>RETURN - 1st don of the week -STD</v>
      </c>
      <c r="J2632" t="s">
        <v>579</v>
      </c>
      <c r="K2632" s="5">
        <v>50</v>
      </c>
      <c r="L2632" t="str">
        <f>Table_DataFromNL[[#This Row],[PROFILECODE]]&amp;"-"&amp;Table_DataFromNL[[#This Row],[RULENAME]]</f>
        <v>CP944-P Anti-D Pre-Existing Standard</v>
      </c>
      <c r="M2632" t="str">
        <f t="shared" si="292"/>
        <v>CP944-P Anti-D Pre-Existing Standard</v>
      </c>
    </row>
    <row r="2633" spans="1:13" x14ac:dyDescent="0.25">
      <c r="A2633" t="str">
        <f t="shared" si="293"/>
        <v>CP944-P NORM KIG 10 Standard</v>
      </c>
      <c r="B2633" t="s">
        <v>287</v>
      </c>
      <c r="C2633" t="str">
        <f t="shared" si="287"/>
        <v>Pittston</v>
      </c>
      <c r="D2633" t="str">
        <f t="shared" si="288"/>
        <v>Y</v>
      </c>
      <c r="E2633" t="s">
        <v>661</v>
      </c>
      <c r="F2633" t="str">
        <f t="shared" si="289"/>
        <v>P NORM KIG 10 Standard</v>
      </c>
      <c r="G2633" t="str">
        <f t="shared" si="290"/>
        <v>?</v>
      </c>
      <c r="H2633" t="s">
        <v>580</v>
      </c>
      <c r="I2633">
        <f t="shared" si="291"/>
        <v>0</v>
      </c>
      <c r="J2633" t="s">
        <v>579</v>
      </c>
      <c r="K2633" s="5">
        <v>50</v>
      </c>
      <c r="L2633" t="str">
        <f>Table_DataFromNL[[#This Row],[PROFILECODE]]&amp;"-"&amp;Table_DataFromNL[[#This Row],[RULENAME]]</f>
        <v>CP944-P NORM KIG 10 Standard</v>
      </c>
      <c r="M2633" t="e">
        <f t="shared" si="292"/>
        <v>#N/A</v>
      </c>
    </row>
    <row r="2634" spans="1:13" x14ac:dyDescent="0.25">
      <c r="A2634" t="str">
        <f t="shared" si="293"/>
        <v>CP944-P NORM KIG 10-1 Standard</v>
      </c>
      <c r="B2634" t="s">
        <v>287</v>
      </c>
      <c r="C2634" t="str">
        <f t="shared" si="287"/>
        <v>Pittston</v>
      </c>
      <c r="D2634" t="str">
        <f t="shared" si="288"/>
        <v>Y</v>
      </c>
      <c r="E2634" t="s">
        <v>661</v>
      </c>
      <c r="F2634" t="str">
        <f t="shared" si="289"/>
        <v>P NORM KIG 10-1 Standard</v>
      </c>
      <c r="G2634" t="str">
        <f t="shared" si="290"/>
        <v>?</v>
      </c>
      <c r="H2634" t="s">
        <v>581</v>
      </c>
      <c r="I2634">
        <f t="shared" si="291"/>
        <v>0</v>
      </c>
      <c r="J2634" t="s">
        <v>579</v>
      </c>
      <c r="K2634" s="5">
        <v>50</v>
      </c>
      <c r="L2634" t="str">
        <f>Table_DataFromNL[[#This Row],[PROFILECODE]]&amp;"-"&amp;Table_DataFromNL[[#This Row],[RULENAME]]</f>
        <v>CP944-P NORM KIG 10-1 Standard</v>
      </c>
      <c r="M2634" t="e">
        <f t="shared" si="292"/>
        <v>#N/A</v>
      </c>
    </row>
    <row r="2635" spans="1:13" x14ac:dyDescent="0.25">
      <c r="A2635" t="str">
        <f t="shared" si="293"/>
        <v>CP944-P NORM KIG 10-2 Standard</v>
      </c>
      <c r="B2635" t="s">
        <v>287</v>
      </c>
      <c r="C2635" t="str">
        <f t="shared" si="287"/>
        <v>Pittston</v>
      </c>
      <c r="D2635" t="str">
        <f t="shared" si="288"/>
        <v>Y</v>
      </c>
      <c r="E2635" t="s">
        <v>661</v>
      </c>
      <c r="F2635" t="str">
        <f t="shared" si="289"/>
        <v>P NORM KIG 10-2 Standard</v>
      </c>
      <c r="G2635" t="str">
        <f t="shared" si="290"/>
        <v>?</v>
      </c>
      <c r="H2635" t="s">
        <v>582</v>
      </c>
      <c r="I2635">
        <f t="shared" si="291"/>
        <v>0</v>
      </c>
      <c r="J2635" t="s">
        <v>579</v>
      </c>
      <c r="K2635" s="5">
        <v>50</v>
      </c>
      <c r="L2635" t="str">
        <f>Table_DataFromNL[[#This Row],[PROFILECODE]]&amp;"-"&amp;Table_DataFromNL[[#This Row],[RULENAME]]</f>
        <v>CP944-P NORM KIG 10-2 Standard</v>
      </c>
      <c r="M2635" t="e">
        <f t="shared" si="292"/>
        <v>#N/A</v>
      </c>
    </row>
    <row r="2636" spans="1:13" x14ac:dyDescent="0.25">
      <c r="A2636" t="str">
        <f t="shared" si="293"/>
        <v>CP944-RETURN - 1st don of the week -STD</v>
      </c>
      <c r="B2636" t="s">
        <v>287</v>
      </c>
      <c r="C2636" t="str">
        <f t="shared" si="287"/>
        <v>Pittston</v>
      </c>
      <c r="D2636" t="str">
        <f t="shared" si="288"/>
        <v>Y</v>
      </c>
      <c r="E2636" t="s">
        <v>661</v>
      </c>
      <c r="F2636" t="str">
        <f t="shared" si="289"/>
        <v>RETURN - 1st don of the week -STD</v>
      </c>
      <c r="G2636" t="str">
        <f t="shared" si="290"/>
        <v>Marketing</v>
      </c>
      <c r="H2636" t="s">
        <v>583</v>
      </c>
      <c r="I2636">
        <f t="shared" si="291"/>
        <v>22</v>
      </c>
      <c r="J2636" t="s">
        <v>579</v>
      </c>
      <c r="K2636" s="5">
        <v>50</v>
      </c>
      <c r="L2636" t="str">
        <f>Table_DataFromNL[[#This Row],[PROFILECODE]]&amp;"-"&amp;Table_DataFromNL[[#This Row],[RULENAME]]</f>
        <v>CP944-P NSP NS AP Standard</v>
      </c>
      <c r="M2636" t="str">
        <f t="shared" si="292"/>
        <v>CP944-RETURN - 1st don of the week -STD</v>
      </c>
    </row>
    <row r="2637" spans="1:13" x14ac:dyDescent="0.25">
      <c r="A2637" t="str">
        <f t="shared" si="293"/>
        <v>CP944-RETURN - 1st don of the week -STD</v>
      </c>
      <c r="B2637" t="s">
        <v>287</v>
      </c>
      <c r="C2637" t="str">
        <f t="shared" si="287"/>
        <v>Pittston</v>
      </c>
      <c r="D2637" t="str">
        <f t="shared" si="288"/>
        <v>Y</v>
      </c>
      <c r="E2637" t="s">
        <v>661</v>
      </c>
      <c r="F2637" t="str">
        <f t="shared" si="289"/>
        <v>RETURN - 1st don of the week -STD</v>
      </c>
      <c r="G2637" t="str">
        <f t="shared" si="290"/>
        <v>Marketing</v>
      </c>
      <c r="H2637" t="s">
        <v>584</v>
      </c>
      <c r="I2637">
        <f t="shared" si="291"/>
        <v>23</v>
      </c>
      <c r="J2637" t="s">
        <v>579</v>
      </c>
      <c r="K2637" s="5">
        <v>50</v>
      </c>
      <c r="L2637" t="str">
        <f>Table_DataFromNL[[#This Row],[PROFILECODE]]&amp;"-"&amp;Table_DataFromNL[[#This Row],[RULENAME]]</f>
        <v>CP944-P NSP NS Standard</v>
      </c>
      <c r="M2637" t="str">
        <f t="shared" si="292"/>
        <v>CP944-RETURN - 1st don of the week -STD</v>
      </c>
    </row>
    <row r="2638" spans="1:13" x14ac:dyDescent="0.25">
      <c r="A2638" t="str">
        <f t="shared" si="293"/>
        <v>CP943-1st Responder-Medical</v>
      </c>
      <c r="B2638" t="s">
        <v>406</v>
      </c>
      <c r="C2638" t="str">
        <f t="shared" si="287"/>
        <v>Port Orange</v>
      </c>
      <c r="D2638" t="str">
        <f t="shared" si="288"/>
        <v>Y</v>
      </c>
      <c r="E2638" t="s">
        <v>662</v>
      </c>
      <c r="F2638" t="str">
        <f t="shared" si="289"/>
        <v>1st Responder-Medical</v>
      </c>
      <c r="G2638">
        <f t="shared" si="290"/>
        <v>0</v>
      </c>
      <c r="H2638" t="s">
        <v>545</v>
      </c>
      <c r="I2638">
        <f t="shared" si="291"/>
        <v>0</v>
      </c>
      <c r="J2638" t="s">
        <v>546</v>
      </c>
      <c r="K2638" s="5">
        <v>5</v>
      </c>
      <c r="L2638" t="str">
        <f>Table_DataFromNL[[#This Row],[PROFILECODE]]&amp;"-"&amp;Table_DataFromNL[[#This Row],[RULENAME]]</f>
        <v>CP943-1st Responder-Medical</v>
      </c>
      <c r="M2638" t="e">
        <f t="shared" si="292"/>
        <v>#N/A</v>
      </c>
    </row>
    <row r="2639" spans="1:13" x14ac:dyDescent="0.25">
      <c r="A2639" t="str">
        <f t="shared" si="293"/>
        <v>CP943-RETURN - 2nd don of the week -BONUS</v>
      </c>
      <c r="B2639" t="s">
        <v>406</v>
      </c>
      <c r="C2639" t="str">
        <f t="shared" si="287"/>
        <v>Port Orange</v>
      </c>
      <c r="D2639" t="str">
        <f t="shared" si="288"/>
        <v>Y</v>
      </c>
      <c r="E2639" t="s">
        <v>662</v>
      </c>
      <c r="F2639" t="str">
        <f t="shared" si="289"/>
        <v>RETURN - 2nd don of the week -BONUS</v>
      </c>
      <c r="G2639" t="str">
        <f t="shared" si="290"/>
        <v>Marketing</v>
      </c>
      <c r="H2639" t="s">
        <v>550</v>
      </c>
      <c r="I2639">
        <f t="shared" si="291"/>
        <v>26</v>
      </c>
      <c r="J2639" t="s">
        <v>546</v>
      </c>
      <c r="K2639" s="5">
        <v>15</v>
      </c>
      <c r="L2639" t="str">
        <f>Table_DataFromNL[[#This Row],[PROFILECODE]]&amp;"-"&amp;Table_DataFromNL[[#This Row],[RULENAME]]</f>
        <v>CP943-2X Week P NSP NS</v>
      </c>
      <c r="M2639" t="str">
        <f t="shared" si="292"/>
        <v>CP943-RETURN - 2nd don of the week -BONUS</v>
      </c>
    </row>
    <row r="2640" spans="1:13" x14ac:dyDescent="0.25">
      <c r="A2640" t="str">
        <f t="shared" si="293"/>
        <v>CP943-RETURN - 2nd don of the week -BONUS</v>
      </c>
      <c r="B2640" t="s">
        <v>406</v>
      </c>
      <c r="C2640" t="str">
        <f t="shared" si="287"/>
        <v>Port Orange</v>
      </c>
      <c r="D2640" t="str">
        <f t="shared" si="288"/>
        <v>Y</v>
      </c>
      <c r="E2640" t="s">
        <v>662</v>
      </c>
      <c r="F2640" t="str">
        <f t="shared" si="289"/>
        <v>RETURN - 2nd don of the week -BONUS</v>
      </c>
      <c r="G2640" t="str">
        <f t="shared" si="290"/>
        <v>Marketing</v>
      </c>
      <c r="H2640" t="s">
        <v>551</v>
      </c>
      <c r="I2640" t="str">
        <f t="shared" si="291"/>
        <v>RETURN - 2nd don of the week -BONUS</v>
      </c>
      <c r="J2640" t="s">
        <v>546</v>
      </c>
      <c r="K2640" s="5">
        <v>15</v>
      </c>
      <c r="L2640" t="str">
        <f>Table_DataFromNL[[#This Row],[PROFILECODE]]&amp;"-"&amp;Table_DataFromNL[[#This Row],[RULENAME]]</f>
        <v>CP943-2X Week P NSP NS AP</v>
      </c>
      <c r="M2640" t="str">
        <f t="shared" si="292"/>
        <v>CP943-RETURN - 2nd don of the week -BONUS</v>
      </c>
    </row>
    <row r="2641" spans="1:13" x14ac:dyDescent="0.25">
      <c r="A2641" t="str">
        <f t="shared" si="293"/>
        <v>CP943-2X Week P Rabies</v>
      </c>
      <c r="B2641" t="s">
        <v>406</v>
      </c>
      <c r="C2641" t="str">
        <f t="shared" si="287"/>
        <v>Port Orange</v>
      </c>
      <c r="D2641" t="str">
        <f t="shared" si="288"/>
        <v>Y</v>
      </c>
      <c r="E2641" t="s">
        <v>662</v>
      </c>
      <c r="F2641" t="str">
        <f t="shared" si="289"/>
        <v>2X Week P Rabies</v>
      </c>
      <c r="G2641" t="str">
        <f t="shared" si="290"/>
        <v>Specialty</v>
      </c>
      <c r="H2641" t="s">
        <v>499</v>
      </c>
      <c r="I2641" t="str">
        <f t="shared" si="291"/>
        <v>RETURN - 2nd don of the week -BONUS</v>
      </c>
      <c r="J2641" t="s">
        <v>546</v>
      </c>
      <c r="K2641" s="5">
        <v>35</v>
      </c>
      <c r="L2641" t="str">
        <f>Table_DataFromNL[[#This Row],[PROFILECODE]]&amp;"-"&amp;Table_DataFromNL[[#This Row],[RULENAME]]</f>
        <v>CP943-2X Week P Rabies</v>
      </c>
      <c r="M2641" t="str">
        <f t="shared" si="292"/>
        <v>CP943-2X Week P Rabies</v>
      </c>
    </row>
    <row r="2642" spans="1:13" x14ac:dyDescent="0.25">
      <c r="A2642" t="str">
        <f t="shared" si="293"/>
        <v>CP943-2X Week P Rabies HT</v>
      </c>
      <c r="B2642" t="s">
        <v>406</v>
      </c>
      <c r="C2642" t="str">
        <f t="shared" si="287"/>
        <v>Port Orange</v>
      </c>
      <c r="D2642" t="str">
        <f t="shared" si="288"/>
        <v>Y</v>
      </c>
      <c r="E2642" t="s">
        <v>662</v>
      </c>
      <c r="F2642" t="str">
        <f t="shared" si="289"/>
        <v>2X Week P Rabies HT</v>
      </c>
      <c r="G2642" t="str">
        <f t="shared" si="290"/>
        <v>Specialty</v>
      </c>
      <c r="H2642" t="s">
        <v>500</v>
      </c>
      <c r="I2642" t="str">
        <f t="shared" si="291"/>
        <v>RETURN - 2nd don of the week -BONUS</v>
      </c>
      <c r="J2642" t="s">
        <v>546</v>
      </c>
      <c r="K2642" s="5">
        <v>35</v>
      </c>
      <c r="L2642" t="str">
        <f>Table_DataFromNL[[#This Row],[PROFILECODE]]&amp;"-"&amp;Table_DataFromNL[[#This Row],[RULENAME]]</f>
        <v>CP943-2X Week P Rabies HT</v>
      </c>
      <c r="M2642" t="str">
        <f t="shared" si="292"/>
        <v>CP943-2X Week P Rabies HT</v>
      </c>
    </row>
    <row r="2643" spans="1:13" x14ac:dyDescent="0.25">
      <c r="A2643" t="str">
        <f t="shared" si="293"/>
        <v>CP943-2X Week P VZV</v>
      </c>
      <c r="B2643" t="s">
        <v>406</v>
      </c>
      <c r="C2643" t="str">
        <f t="shared" si="287"/>
        <v>Port Orange</v>
      </c>
      <c r="D2643" t="str">
        <f t="shared" si="288"/>
        <v>Y</v>
      </c>
      <c r="E2643" t="s">
        <v>662</v>
      </c>
      <c r="F2643" t="str">
        <f t="shared" si="289"/>
        <v>2X Week P VZV</v>
      </c>
      <c r="G2643" t="str">
        <f t="shared" si="290"/>
        <v>Specialty</v>
      </c>
      <c r="H2643" t="s">
        <v>488</v>
      </c>
      <c r="I2643" t="str">
        <f t="shared" si="291"/>
        <v>RETURN - 2nd don of the week -BONUS</v>
      </c>
      <c r="J2643" t="s">
        <v>546</v>
      </c>
      <c r="K2643" s="5">
        <v>15</v>
      </c>
      <c r="L2643" t="str">
        <f>Table_DataFromNL[[#This Row],[PROFILECODE]]&amp;"-"&amp;Table_DataFromNL[[#This Row],[RULENAME]]</f>
        <v>CP943-2X Week P VZV</v>
      </c>
      <c r="M2643" t="str">
        <f t="shared" si="292"/>
        <v>CP943-2X Week P VZV</v>
      </c>
    </row>
    <row r="2644" spans="1:13" x14ac:dyDescent="0.25">
      <c r="A2644" t="str">
        <f t="shared" si="293"/>
        <v>CP943-2X Week P VZV AP</v>
      </c>
      <c r="B2644" t="s">
        <v>406</v>
      </c>
      <c r="C2644" t="str">
        <f t="shared" si="287"/>
        <v>Port Orange</v>
      </c>
      <c r="D2644" t="str">
        <f t="shared" si="288"/>
        <v>Y</v>
      </c>
      <c r="E2644" t="s">
        <v>662</v>
      </c>
      <c r="F2644" t="str">
        <f t="shared" si="289"/>
        <v>2X Week P VZV AP</v>
      </c>
      <c r="G2644" t="str">
        <f t="shared" si="290"/>
        <v>Specialty</v>
      </c>
      <c r="H2644" t="s">
        <v>489</v>
      </c>
      <c r="I2644" t="str">
        <f t="shared" si="291"/>
        <v>RETURN - 2nd don of the week -BONUS</v>
      </c>
      <c r="J2644" t="s">
        <v>546</v>
      </c>
      <c r="K2644" s="5">
        <v>15</v>
      </c>
      <c r="L2644" t="str">
        <f>Table_DataFromNL[[#This Row],[PROFILECODE]]&amp;"-"&amp;Table_DataFromNL[[#This Row],[RULENAME]]</f>
        <v>CP943-2X Week P VZV AP</v>
      </c>
      <c r="M2644" t="str">
        <f t="shared" si="292"/>
        <v>CP943-2X Week P VZV AP</v>
      </c>
    </row>
    <row r="2645" spans="1:13" x14ac:dyDescent="0.25">
      <c r="A2645" t="str">
        <f t="shared" si="293"/>
        <v>CP943-2X Week P VZV Pre-Existing</v>
      </c>
      <c r="B2645" t="s">
        <v>406</v>
      </c>
      <c r="C2645" t="str">
        <f t="shared" si="287"/>
        <v>Port Orange</v>
      </c>
      <c r="D2645" t="str">
        <f t="shared" si="288"/>
        <v>Y</v>
      </c>
      <c r="E2645" t="s">
        <v>662</v>
      </c>
      <c r="F2645" t="str">
        <f t="shared" si="289"/>
        <v>2X Week P VZV Pre-Existing</v>
      </c>
      <c r="G2645" t="str">
        <f t="shared" si="290"/>
        <v>Specialty</v>
      </c>
      <c r="H2645" t="s">
        <v>490</v>
      </c>
      <c r="I2645" t="str">
        <f t="shared" si="291"/>
        <v>RETURN - 2nd don of the week -BONUS</v>
      </c>
      <c r="J2645" t="s">
        <v>546</v>
      </c>
      <c r="K2645" s="5">
        <v>15</v>
      </c>
      <c r="L2645" t="str">
        <f>Table_DataFromNL[[#This Row],[PROFILECODE]]&amp;"-"&amp;Table_DataFromNL[[#This Row],[RULENAME]]</f>
        <v>CP943-2X Week P VZV Pre-Existing</v>
      </c>
      <c r="M2645" t="str">
        <f t="shared" si="292"/>
        <v>CP943-2X Week P VZV Pre-Existing</v>
      </c>
    </row>
    <row r="2646" spans="1:13" x14ac:dyDescent="0.25">
      <c r="A2646" t="str">
        <f t="shared" si="293"/>
        <v>CP943-2X Week P VZV Pre-Existing AP</v>
      </c>
      <c r="B2646" t="s">
        <v>406</v>
      </c>
      <c r="C2646" t="str">
        <f t="shared" si="287"/>
        <v>Port Orange</v>
      </c>
      <c r="D2646" t="str">
        <f t="shared" si="288"/>
        <v>Y</v>
      </c>
      <c r="E2646" t="s">
        <v>662</v>
      </c>
      <c r="F2646" t="str">
        <f t="shared" si="289"/>
        <v>2X Week P VZV Pre-Existing AP</v>
      </c>
      <c r="G2646" t="str">
        <f t="shared" si="290"/>
        <v>Specialty</v>
      </c>
      <c r="H2646" t="s">
        <v>491</v>
      </c>
      <c r="I2646" t="str">
        <f t="shared" si="291"/>
        <v>RETURN - 2nd don of the week -BONUS</v>
      </c>
      <c r="J2646" t="s">
        <v>546</v>
      </c>
      <c r="K2646" s="5">
        <v>15</v>
      </c>
      <c r="L2646" t="str">
        <f>Table_DataFromNL[[#This Row],[PROFILECODE]]&amp;"-"&amp;Table_DataFromNL[[#This Row],[RULENAME]]</f>
        <v>CP943-2X Week P VZV Pre-Existing AP</v>
      </c>
      <c r="M2646" t="str">
        <f t="shared" si="292"/>
        <v>CP943-2X Week P VZV Pre-Existing AP</v>
      </c>
    </row>
    <row r="2647" spans="1:13" x14ac:dyDescent="0.25">
      <c r="A2647" t="str">
        <f t="shared" si="293"/>
        <v>CP943-RETURN - 6th don of the month -BONUS</v>
      </c>
      <c r="B2647" t="s">
        <v>406</v>
      </c>
      <c r="C2647" t="str">
        <f t="shared" si="287"/>
        <v>Port Orange</v>
      </c>
      <c r="D2647" t="str">
        <f t="shared" si="288"/>
        <v>Y</v>
      </c>
      <c r="E2647" t="s">
        <v>662</v>
      </c>
      <c r="F2647" t="str">
        <f t="shared" si="289"/>
        <v>RETURN - 6th don of the month -BONUS</v>
      </c>
      <c r="G2647" t="str">
        <f t="shared" si="290"/>
        <v>Marketing</v>
      </c>
      <c r="H2647" t="s">
        <v>552</v>
      </c>
      <c r="I2647">
        <f t="shared" si="291"/>
        <v>28</v>
      </c>
      <c r="J2647" t="s">
        <v>546</v>
      </c>
      <c r="K2647" s="5">
        <v>30</v>
      </c>
      <c r="L2647" t="str">
        <f>Table_DataFromNL[[#This Row],[PROFILECODE]]&amp;"-"&amp;Table_DataFromNL[[#This Row],[RULENAME]]</f>
        <v>CP943-6X Month</v>
      </c>
      <c r="M2647" t="str">
        <f t="shared" si="292"/>
        <v>CP943-RETURN - 6th don of the month -BONUS</v>
      </c>
    </row>
    <row r="2648" spans="1:13" x14ac:dyDescent="0.25">
      <c r="A2648" t="str">
        <f t="shared" si="293"/>
        <v>CP943-College ID Standard Bonus</v>
      </c>
      <c r="B2648" t="s">
        <v>406</v>
      </c>
      <c r="C2648" t="str">
        <f t="shared" si="287"/>
        <v>Port Orange</v>
      </c>
      <c r="D2648" t="str">
        <f t="shared" si="288"/>
        <v>Y</v>
      </c>
      <c r="E2648" t="s">
        <v>662</v>
      </c>
      <c r="F2648" t="str">
        <f t="shared" si="289"/>
        <v>College ID Standard Bonus</v>
      </c>
      <c r="G2648">
        <f t="shared" si="290"/>
        <v>0</v>
      </c>
      <c r="H2648" t="s">
        <v>553</v>
      </c>
      <c r="I2648">
        <f t="shared" si="291"/>
        <v>0</v>
      </c>
      <c r="J2648" t="s">
        <v>546</v>
      </c>
      <c r="K2648" s="5">
        <v>5</v>
      </c>
      <c r="L2648" t="str">
        <f>Table_DataFromNL[[#This Row],[PROFILECODE]]&amp;"-"&amp;Table_DataFromNL[[#This Row],[RULENAME]]</f>
        <v>CP943-College ID Standard Bonus</v>
      </c>
      <c r="M2648" t="e">
        <f t="shared" si="292"/>
        <v>#N/A</v>
      </c>
    </row>
    <row r="2649" spans="1:13" x14ac:dyDescent="0.25">
      <c r="A2649" t="str">
        <f t="shared" si="293"/>
        <v>CP943-Military ID</v>
      </c>
      <c r="B2649" t="s">
        <v>406</v>
      </c>
      <c r="C2649" t="str">
        <f t="shared" si="287"/>
        <v>Port Orange</v>
      </c>
      <c r="D2649" t="str">
        <f t="shared" si="288"/>
        <v>Y</v>
      </c>
      <c r="E2649" t="s">
        <v>662</v>
      </c>
      <c r="F2649" t="str">
        <f t="shared" si="289"/>
        <v>Military ID</v>
      </c>
      <c r="G2649">
        <f t="shared" si="290"/>
        <v>0</v>
      </c>
      <c r="H2649" t="s">
        <v>554</v>
      </c>
      <c r="I2649">
        <f t="shared" si="291"/>
        <v>0</v>
      </c>
      <c r="J2649" t="s">
        <v>546</v>
      </c>
      <c r="K2649" s="5">
        <v>5</v>
      </c>
      <c r="L2649" t="str">
        <f>Table_DataFromNL[[#This Row],[PROFILECODE]]&amp;"-"&amp;Table_DataFromNL[[#This Row],[RULENAME]]</f>
        <v>CP943-Military ID</v>
      </c>
      <c r="M2649" t="e">
        <f t="shared" si="292"/>
        <v>#N/A</v>
      </c>
    </row>
    <row r="2650" spans="1:13" x14ac:dyDescent="0.25">
      <c r="A2650" t="str">
        <f t="shared" si="293"/>
        <v>CP943-NEW DONOR -1st</v>
      </c>
      <c r="B2650" t="s">
        <v>406</v>
      </c>
      <c r="C2650" t="str">
        <f t="shared" si="287"/>
        <v>Port Orange</v>
      </c>
      <c r="D2650" t="str">
        <f t="shared" si="288"/>
        <v>Y</v>
      </c>
      <c r="E2650" t="s">
        <v>662</v>
      </c>
      <c r="F2650" t="str">
        <f t="shared" si="289"/>
        <v>NEW DONOR -1st</v>
      </c>
      <c r="G2650" t="str">
        <f t="shared" si="290"/>
        <v>Marketing</v>
      </c>
      <c r="H2650" t="s">
        <v>555</v>
      </c>
      <c r="I2650">
        <f t="shared" si="291"/>
        <v>1</v>
      </c>
      <c r="J2650" t="s">
        <v>546</v>
      </c>
      <c r="K2650" s="5">
        <v>100</v>
      </c>
      <c r="L2650" t="str">
        <f>Table_DataFromNL[[#This Row],[PROFILECODE]]&amp;"-"&amp;Table_DataFromNL[[#This Row],[RULENAME]]</f>
        <v>CP943-New Donor 1st Visit-Bonus</v>
      </c>
      <c r="M2650" t="str">
        <f t="shared" si="292"/>
        <v>CP943-NEW DONOR -1st</v>
      </c>
    </row>
    <row r="2651" spans="1:13" x14ac:dyDescent="0.25">
      <c r="A2651" t="str">
        <f t="shared" si="293"/>
        <v>CP943-NEW DONOR -2nd</v>
      </c>
      <c r="B2651" t="s">
        <v>406</v>
      </c>
      <c r="C2651" t="str">
        <f t="shared" si="287"/>
        <v>Port Orange</v>
      </c>
      <c r="D2651" t="str">
        <f t="shared" si="288"/>
        <v>Y</v>
      </c>
      <c r="E2651" t="s">
        <v>662</v>
      </c>
      <c r="F2651" t="str">
        <f t="shared" si="289"/>
        <v>NEW DONOR -2nd</v>
      </c>
      <c r="G2651" t="str">
        <f t="shared" si="290"/>
        <v>Marketing</v>
      </c>
      <c r="H2651" t="s">
        <v>556</v>
      </c>
      <c r="I2651">
        <f t="shared" si="291"/>
        <v>2</v>
      </c>
      <c r="J2651" t="s">
        <v>546</v>
      </c>
      <c r="K2651" s="5">
        <v>100</v>
      </c>
      <c r="L2651" t="str">
        <f>Table_DataFromNL[[#This Row],[PROFILECODE]]&amp;"-"&amp;Table_DataFromNL[[#This Row],[RULENAME]]</f>
        <v>CP943-New Donor 2nd Visit-Bonus</v>
      </c>
      <c r="M2651" t="str">
        <f t="shared" si="292"/>
        <v>CP943-NEW DONOR -2nd</v>
      </c>
    </row>
    <row r="2652" spans="1:13" x14ac:dyDescent="0.25">
      <c r="A2652" t="str">
        <f t="shared" si="293"/>
        <v>CP943-NEW DONOR -3rd</v>
      </c>
      <c r="B2652" t="s">
        <v>406</v>
      </c>
      <c r="C2652" t="str">
        <f t="shared" si="287"/>
        <v>Port Orange</v>
      </c>
      <c r="D2652" t="str">
        <f t="shared" si="288"/>
        <v>Y</v>
      </c>
      <c r="E2652" t="s">
        <v>662</v>
      </c>
      <c r="F2652" t="str">
        <f t="shared" si="289"/>
        <v>NEW DONOR -3rd</v>
      </c>
      <c r="G2652" t="str">
        <f t="shared" si="290"/>
        <v>Marketing</v>
      </c>
      <c r="H2652" t="s">
        <v>557</v>
      </c>
      <c r="I2652">
        <f t="shared" si="291"/>
        <v>3</v>
      </c>
      <c r="J2652" t="s">
        <v>546</v>
      </c>
      <c r="K2652" s="5">
        <v>100</v>
      </c>
      <c r="L2652" t="str">
        <f>Table_DataFromNL[[#This Row],[PROFILECODE]]&amp;"-"&amp;Table_DataFromNL[[#This Row],[RULENAME]]</f>
        <v>CP943-New Donor 3rd Visit-Bonus</v>
      </c>
      <c r="M2652" t="str">
        <f t="shared" si="292"/>
        <v>CP943-NEW DONOR -3rd</v>
      </c>
    </row>
    <row r="2653" spans="1:13" x14ac:dyDescent="0.25">
      <c r="A2653" t="str">
        <f t="shared" si="293"/>
        <v>CP943-NEW DONOR -4th</v>
      </c>
      <c r="B2653" t="s">
        <v>406</v>
      </c>
      <c r="C2653" t="str">
        <f t="shared" si="287"/>
        <v>Port Orange</v>
      </c>
      <c r="D2653" t="str">
        <f t="shared" si="288"/>
        <v>Y</v>
      </c>
      <c r="E2653" t="s">
        <v>662</v>
      </c>
      <c r="F2653" t="str">
        <f t="shared" si="289"/>
        <v>NEW DONOR -4th</v>
      </c>
      <c r="G2653" t="str">
        <f t="shared" si="290"/>
        <v>Marketing</v>
      </c>
      <c r="H2653" t="s">
        <v>558</v>
      </c>
      <c r="I2653">
        <f t="shared" si="291"/>
        <v>4</v>
      </c>
      <c r="J2653" t="s">
        <v>546</v>
      </c>
      <c r="K2653" s="5">
        <v>100</v>
      </c>
      <c r="L2653" t="str">
        <f>Table_DataFromNL[[#This Row],[PROFILECODE]]&amp;"-"&amp;Table_DataFromNL[[#This Row],[RULENAME]]</f>
        <v>CP943-New Donor 4th Visit-Bonus</v>
      </c>
      <c r="M2653" t="str">
        <f t="shared" si="292"/>
        <v>CP943-NEW DONOR -4th</v>
      </c>
    </row>
    <row r="2654" spans="1:13" x14ac:dyDescent="0.25">
      <c r="A2654" t="str">
        <f t="shared" si="293"/>
        <v>CP943-NEW DONOR -5th</v>
      </c>
      <c r="B2654" t="s">
        <v>406</v>
      </c>
      <c r="C2654" t="str">
        <f t="shared" si="287"/>
        <v>Port Orange</v>
      </c>
      <c r="D2654" t="str">
        <f t="shared" si="288"/>
        <v>Y</v>
      </c>
      <c r="E2654" t="s">
        <v>662</v>
      </c>
      <c r="F2654" t="str">
        <f t="shared" si="289"/>
        <v>NEW DONOR -5th</v>
      </c>
      <c r="G2654" t="str">
        <f t="shared" si="290"/>
        <v>Marketing</v>
      </c>
      <c r="H2654" t="s">
        <v>559</v>
      </c>
      <c r="I2654">
        <f t="shared" si="291"/>
        <v>5</v>
      </c>
      <c r="J2654" t="s">
        <v>546</v>
      </c>
      <c r="K2654" s="5">
        <v>100</v>
      </c>
      <c r="L2654" t="str">
        <f>Table_DataFromNL[[#This Row],[PROFILECODE]]&amp;"-"&amp;Table_DataFromNL[[#This Row],[RULENAME]]</f>
        <v>CP943-New Donor 5th Visit-Bonus</v>
      </c>
      <c r="M2654" t="str">
        <f t="shared" si="292"/>
        <v>CP943-NEW DONOR -5th</v>
      </c>
    </row>
    <row r="2655" spans="1:13" x14ac:dyDescent="0.25">
      <c r="A2655" t="str">
        <f t="shared" si="293"/>
        <v>CP943-NEW DONOR -6th</v>
      </c>
      <c r="B2655" t="s">
        <v>406</v>
      </c>
      <c r="C2655" t="str">
        <f t="shared" si="287"/>
        <v>Port Orange</v>
      </c>
      <c r="D2655" t="str">
        <f t="shared" si="288"/>
        <v>Y</v>
      </c>
      <c r="E2655" t="s">
        <v>662</v>
      </c>
      <c r="F2655" t="str">
        <f t="shared" si="289"/>
        <v>NEW DONOR -6th</v>
      </c>
      <c r="G2655" t="str">
        <f t="shared" si="290"/>
        <v>Marketing</v>
      </c>
      <c r="H2655" t="s">
        <v>560</v>
      </c>
      <c r="I2655">
        <f t="shared" si="291"/>
        <v>6</v>
      </c>
      <c r="J2655" t="s">
        <v>546</v>
      </c>
      <c r="K2655" s="5">
        <v>55</v>
      </c>
      <c r="L2655" t="str">
        <f>Table_DataFromNL[[#This Row],[PROFILECODE]]&amp;"-"&amp;Table_DataFromNL[[#This Row],[RULENAME]]</f>
        <v>CP943-New Donor 6th Visit-Bonus</v>
      </c>
      <c r="M2655" t="str">
        <f t="shared" si="292"/>
        <v>CP943-NEW DONOR -6th</v>
      </c>
    </row>
    <row r="2656" spans="1:13" x14ac:dyDescent="0.25">
      <c r="A2656" t="str">
        <f t="shared" si="293"/>
        <v>CP943-NEW DONOR -7th</v>
      </c>
      <c r="B2656" t="s">
        <v>406</v>
      </c>
      <c r="C2656" t="str">
        <f t="shared" si="287"/>
        <v>Port Orange</v>
      </c>
      <c r="D2656" t="str">
        <f t="shared" si="288"/>
        <v>Y</v>
      </c>
      <c r="E2656" t="s">
        <v>662</v>
      </c>
      <c r="F2656" t="str">
        <f t="shared" si="289"/>
        <v>NEW DONOR -7th</v>
      </c>
      <c r="G2656" t="str">
        <f t="shared" si="290"/>
        <v>Marketing</v>
      </c>
      <c r="H2656" t="s">
        <v>561</v>
      </c>
      <c r="I2656">
        <f t="shared" si="291"/>
        <v>7</v>
      </c>
      <c r="J2656" t="s">
        <v>546</v>
      </c>
      <c r="K2656" s="5">
        <v>55</v>
      </c>
      <c r="L2656" t="str">
        <f>Table_DataFromNL[[#This Row],[PROFILECODE]]&amp;"-"&amp;Table_DataFromNL[[#This Row],[RULENAME]]</f>
        <v>CP943-New Donor 7th Visit-Bonus</v>
      </c>
      <c r="M2656" t="str">
        <f t="shared" si="292"/>
        <v>CP943-NEW DONOR -7th</v>
      </c>
    </row>
    <row r="2657" spans="1:13" x14ac:dyDescent="0.25">
      <c r="A2657" t="str">
        <f t="shared" si="293"/>
        <v>CP943-NEW DONOR -8th</v>
      </c>
      <c r="B2657" t="s">
        <v>406</v>
      </c>
      <c r="C2657" t="str">
        <f t="shared" si="287"/>
        <v>Port Orange</v>
      </c>
      <c r="D2657" t="str">
        <f t="shared" si="288"/>
        <v>Y</v>
      </c>
      <c r="E2657" t="s">
        <v>662</v>
      </c>
      <c r="F2657" t="str">
        <f t="shared" si="289"/>
        <v>NEW DONOR -8th</v>
      </c>
      <c r="G2657" t="str">
        <f t="shared" si="290"/>
        <v>Marketing</v>
      </c>
      <c r="H2657" t="s">
        <v>562</v>
      </c>
      <c r="I2657">
        <f t="shared" si="291"/>
        <v>8</v>
      </c>
      <c r="J2657" t="s">
        <v>546</v>
      </c>
      <c r="K2657" s="5">
        <v>55</v>
      </c>
      <c r="L2657" t="str">
        <f>Table_DataFromNL[[#This Row],[PROFILECODE]]&amp;"-"&amp;Table_DataFromNL[[#This Row],[RULENAME]]</f>
        <v>CP943-New Donor 8th Visit-Bonus</v>
      </c>
      <c r="M2657" t="str">
        <f t="shared" si="292"/>
        <v>CP943-NEW DONOR -8th</v>
      </c>
    </row>
    <row r="2658" spans="1:13" x14ac:dyDescent="0.25">
      <c r="A2658" t="str">
        <f t="shared" si="293"/>
        <v>CP943-Vaccinia - 1st Donation</v>
      </c>
      <c r="B2658" t="s">
        <v>406</v>
      </c>
      <c r="C2658" t="str">
        <f t="shared" si="287"/>
        <v>Port Orange</v>
      </c>
      <c r="D2658" t="str">
        <f t="shared" si="288"/>
        <v>Y</v>
      </c>
      <c r="E2658" t="s">
        <v>662</v>
      </c>
      <c r="F2658" t="str">
        <f t="shared" si="289"/>
        <v>Vaccinia - 1st Donation</v>
      </c>
      <c r="G2658" t="str">
        <f t="shared" si="290"/>
        <v>Specialty</v>
      </c>
      <c r="H2658" t="s">
        <v>477</v>
      </c>
      <c r="I2658">
        <f t="shared" si="291"/>
        <v>0</v>
      </c>
      <c r="J2658" t="s">
        <v>546</v>
      </c>
      <c r="K2658" s="5">
        <v>150</v>
      </c>
      <c r="L2658" t="str">
        <f>Table_DataFromNL[[#This Row],[PROFILECODE]]&amp;"-"&amp;Table_DataFromNL[[#This Row],[RULENAME]]</f>
        <v>CP943-Vaccinia - 1st Donation</v>
      </c>
      <c r="M2658" t="str">
        <f t="shared" si="292"/>
        <v>CP943-Vaccinia - 1st Donation</v>
      </c>
    </row>
    <row r="2659" spans="1:13" x14ac:dyDescent="0.25">
      <c r="A2659" t="str">
        <f t="shared" si="293"/>
        <v>CP943-Vaccinia - 2nd Donation</v>
      </c>
      <c r="B2659" t="s">
        <v>406</v>
      </c>
      <c r="C2659" t="str">
        <f t="shared" si="287"/>
        <v>Port Orange</v>
      </c>
      <c r="D2659" t="str">
        <f t="shared" si="288"/>
        <v>Y</v>
      </c>
      <c r="E2659" t="s">
        <v>662</v>
      </c>
      <c r="F2659" t="str">
        <f t="shared" si="289"/>
        <v>Vaccinia - 2nd Donation</v>
      </c>
      <c r="G2659" t="str">
        <f t="shared" si="290"/>
        <v>Specialty</v>
      </c>
      <c r="H2659" t="s">
        <v>478</v>
      </c>
      <c r="I2659">
        <f t="shared" si="291"/>
        <v>0</v>
      </c>
      <c r="J2659" t="s">
        <v>546</v>
      </c>
      <c r="K2659" s="5">
        <v>250</v>
      </c>
      <c r="L2659" t="str">
        <f>Table_DataFromNL[[#This Row],[PROFILECODE]]&amp;"-"&amp;Table_DataFromNL[[#This Row],[RULENAME]]</f>
        <v>CP943-Vaccinia - 2nd Donation</v>
      </c>
      <c r="M2659" t="str">
        <f t="shared" si="292"/>
        <v>CP943-Vaccinia - 2nd Donation</v>
      </c>
    </row>
    <row r="2660" spans="1:13" x14ac:dyDescent="0.25">
      <c r="A2660" t="str">
        <f t="shared" si="293"/>
        <v>CP943-Vaccinia - 3rd Donation</v>
      </c>
      <c r="B2660" t="s">
        <v>406</v>
      </c>
      <c r="C2660" t="str">
        <f t="shared" si="287"/>
        <v>Port Orange</v>
      </c>
      <c r="D2660" t="str">
        <f t="shared" si="288"/>
        <v>Y</v>
      </c>
      <c r="E2660" t="s">
        <v>662</v>
      </c>
      <c r="F2660" t="str">
        <f t="shared" si="289"/>
        <v>Vaccinia - 3rd Donation</v>
      </c>
      <c r="G2660" t="str">
        <f t="shared" si="290"/>
        <v>Specialty</v>
      </c>
      <c r="H2660" t="s">
        <v>479</v>
      </c>
      <c r="I2660">
        <f t="shared" si="291"/>
        <v>0</v>
      </c>
      <c r="J2660" t="s">
        <v>546</v>
      </c>
      <c r="K2660" s="5">
        <v>300</v>
      </c>
      <c r="L2660" t="str">
        <f>Table_DataFromNL[[#This Row],[PROFILECODE]]&amp;"-"&amp;Table_DataFromNL[[#This Row],[RULENAME]]</f>
        <v>CP943-Vaccinia - 3rd Donation</v>
      </c>
      <c r="M2660" t="str">
        <f t="shared" si="292"/>
        <v>CP943-Vaccinia - 3rd Donation</v>
      </c>
    </row>
    <row r="2661" spans="1:13" x14ac:dyDescent="0.25">
      <c r="A2661" t="str">
        <f t="shared" si="293"/>
        <v>CP943-Vaccinia - 4th Donation</v>
      </c>
      <c r="B2661" t="s">
        <v>406</v>
      </c>
      <c r="C2661" t="str">
        <f t="shared" si="287"/>
        <v>Port Orange</v>
      </c>
      <c r="D2661" t="str">
        <f t="shared" si="288"/>
        <v>Y</v>
      </c>
      <c r="E2661" t="s">
        <v>662</v>
      </c>
      <c r="F2661" t="str">
        <f t="shared" si="289"/>
        <v>Vaccinia - 4th Donation</v>
      </c>
      <c r="G2661" t="str">
        <f t="shared" si="290"/>
        <v>Specialty</v>
      </c>
      <c r="H2661" t="s">
        <v>480</v>
      </c>
      <c r="I2661">
        <f t="shared" si="291"/>
        <v>0</v>
      </c>
      <c r="J2661" t="s">
        <v>546</v>
      </c>
      <c r="K2661" s="5">
        <v>300</v>
      </c>
      <c r="L2661" t="str">
        <f>Table_DataFromNL[[#This Row],[PROFILECODE]]&amp;"-"&amp;Table_DataFromNL[[#This Row],[RULENAME]]</f>
        <v>CP943-Vaccinia - 4th Donation</v>
      </c>
      <c r="M2661" t="str">
        <f t="shared" si="292"/>
        <v>CP943-Vaccinia - 4th Donation</v>
      </c>
    </row>
    <row r="2662" spans="1:13" x14ac:dyDescent="0.25">
      <c r="A2662" t="str">
        <f t="shared" si="293"/>
        <v>CP943-Vaccinia AP - 1st Donation</v>
      </c>
      <c r="B2662" t="s">
        <v>406</v>
      </c>
      <c r="C2662" t="str">
        <f t="shared" si="287"/>
        <v>Port Orange</v>
      </c>
      <c r="D2662" t="str">
        <f t="shared" si="288"/>
        <v>Y</v>
      </c>
      <c r="E2662" t="s">
        <v>662</v>
      </c>
      <c r="F2662" t="str">
        <f t="shared" si="289"/>
        <v>Vaccinia AP - 1st Donation</v>
      </c>
      <c r="G2662" t="str">
        <f t="shared" si="290"/>
        <v>Specialty</v>
      </c>
      <c r="H2662" t="s">
        <v>481</v>
      </c>
      <c r="I2662">
        <f t="shared" si="291"/>
        <v>0</v>
      </c>
      <c r="J2662" t="s">
        <v>546</v>
      </c>
      <c r="K2662" s="5">
        <v>150</v>
      </c>
      <c r="L2662" t="str">
        <f>Table_DataFromNL[[#This Row],[PROFILECODE]]&amp;"-"&amp;Table_DataFromNL[[#This Row],[RULENAME]]</f>
        <v>CP943-Vaccinia AP - 1st Donation</v>
      </c>
      <c r="M2662" t="str">
        <f t="shared" si="292"/>
        <v>CP943-Vaccinia AP - 1st Donation</v>
      </c>
    </row>
    <row r="2663" spans="1:13" x14ac:dyDescent="0.25">
      <c r="A2663" t="str">
        <f t="shared" si="293"/>
        <v>CP943-Vaccinia AP - 2nd Donation</v>
      </c>
      <c r="B2663" t="s">
        <v>406</v>
      </c>
      <c r="C2663" t="str">
        <f t="shared" si="287"/>
        <v>Port Orange</v>
      </c>
      <c r="D2663" t="str">
        <f t="shared" si="288"/>
        <v>Y</v>
      </c>
      <c r="E2663" t="s">
        <v>662</v>
      </c>
      <c r="F2663" t="str">
        <f t="shared" si="289"/>
        <v>Vaccinia AP - 2nd Donation</v>
      </c>
      <c r="G2663" t="str">
        <f t="shared" si="290"/>
        <v>Specialty</v>
      </c>
      <c r="H2663" t="s">
        <v>482</v>
      </c>
      <c r="I2663">
        <f t="shared" si="291"/>
        <v>0</v>
      </c>
      <c r="J2663" t="s">
        <v>546</v>
      </c>
      <c r="K2663" s="5">
        <v>250</v>
      </c>
      <c r="L2663" t="str">
        <f>Table_DataFromNL[[#This Row],[PROFILECODE]]&amp;"-"&amp;Table_DataFromNL[[#This Row],[RULENAME]]</f>
        <v>CP943-Vaccinia AP - 2nd Donation</v>
      </c>
      <c r="M2663" t="str">
        <f t="shared" si="292"/>
        <v>CP943-Vaccinia AP - 2nd Donation</v>
      </c>
    </row>
    <row r="2664" spans="1:13" x14ac:dyDescent="0.25">
      <c r="A2664" t="str">
        <f t="shared" si="293"/>
        <v>CP943-Vaccinia AP - 3rd Donation</v>
      </c>
      <c r="B2664" t="s">
        <v>406</v>
      </c>
      <c r="C2664" t="str">
        <f t="shared" si="287"/>
        <v>Port Orange</v>
      </c>
      <c r="D2664" t="str">
        <f t="shared" si="288"/>
        <v>Y</v>
      </c>
      <c r="E2664" t="s">
        <v>662</v>
      </c>
      <c r="F2664" t="str">
        <f t="shared" si="289"/>
        <v>Vaccinia AP - 3rd Donation</v>
      </c>
      <c r="G2664" t="str">
        <f t="shared" si="290"/>
        <v>Specialty</v>
      </c>
      <c r="H2664" t="s">
        <v>483</v>
      </c>
      <c r="I2664">
        <f t="shared" si="291"/>
        <v>0</v>
      </c>
      <c r="J2664" t="s">
        <v>546</v>
      </c>
      <c r="K2664" s="5">
        <v>300</v>
      </c>
      <c r="L2664" t="str">
        <f>Table_DataFromNL[[#This Row],[PROFILECODE]]&amp;"-"&amp;Table_DataFromNL[[#This Row],[RULENAME]]</f>
        <v>CP943-Vaccinia AP - 3rd Donation</v>
      </c>
      <c r="M2664" t="str">
        <f t="shared" si="292"/>
        <v>CP943-Vaccinia AP - 3rd Donation</v>
      </c>
    </row>
    <row r="2665" spans="1:13" x14ac:dyDescent="0.25">
      <c r="A2665" t="str">
        <f t="shared" si="293"/>
        <v>CP943-Vaccinia AP - 4th Donation</v>
      </c>
      <c r="B2665" t="s">
        <v>406</v>
      </c>
      <c r="C2665" t="str">
        <f t="shared" si="287"/>
        <v>Port Orange</v>
      </c>
      <c r="D2665" t="str">
        <f t="shared" si="288"/>
        <v>Y</v>
      </c>
      <c r="E2665" t="s">
        <v>662</v>
      </c>
      <c r="F2665" t="str">
        <f t="shared" si="289"/>
        <v>Vaccinia AP - 4th Donation</v>
      </c>
      <c r="G2665" t="str">
        <f t="shared" si="290"/>
        <v>Specialty</v>
      </c>
      <c r="H2665" t="s">
        <v>484</v>
      </c>
      <c r="I2665">
        <f t="shared" si="291"/>
        <v>0</v>
      </c>
      <c r="J2665" t="s">
        <v>546</v>
      </c>
      <c r="K2665" s="5">
        <v>300</v>
      </c>
      <c r="L2665" t="str">
        <f>Table_DataFromNL[[#This Row],[PROFILECODE]]&amp;"-"&amp;Table_DataFromNL[[#This Row],[RULENAME]]</f>
        <v>CP943-Vaccinia AP - 4th Donation</v>
      </c>
      <c r="M2665" t="str">
        <f t="shared" si="292"/>
        <v>CP943-Vaccinia AP - 4th Donation</v>
      </c>
    </row>
    <row r="2666" spans="1:13" x14ac:dyDescent="0.25">
      <c r="A2666" t="str">
        <f t="shared" si="293"/>
        <v>CP943-Community</v>
      </c>
      <c r="B2666" t="s">
        <v>406</v>
      </c>
      <c r="C2666" t="str">
        <f t="shared" si="287"/>
        <v>Port Orange</v>
      </c>
      <c r="D2666" t="str">
        <f t="shared" si="288"/>
        <v>Y</v>
      </c>
      <c r="E2666" t="s">
        <v>662</v>
      </c>
      <c r="F2666" t="str">
        <f t="shared" si="289"/>
        <v>Community</v>
      </c>
      <c r="G2666">
        <f t="shared" si="290"/>
        <v>0</v>
      </c>
      <c r="H2666" t="s">
        <v>563</v>
      </c>
      <c r="I2666">
        <f t="shared" si="291"/>
        <v>0</v>
      </c>
      <c r="J2666" t="s">
        <v>564</v>
      </c>
      <c r="K2666" s="5">
        <v>5</v>
      </c>
      <c r="L2666" t="str">
        <f>Table_DataFromNL[[#This Row],[PROFILECODE]]&amp;"-"&amp;Table_DataFromNL[[#This Row],[RULENAME]]</f>
        <v>CP943-Community</v>
      </c>
      <c r="M2666" t="e">
        <f t="shared" si="292"/>
        <v>#N/A</v>
      </c>
    </row>
    <row r="2667" spans="1:13" x14ac:dyDescent="0.25">
      <c r="A2667" t="str">
        <f t="shared" si="293"/>
        <v>CP943-HANGER_RECRUIT_5USD_once</v>
      </c>
      <c r="B2667" t="s">
        <v>406</v>
      </c>
      <c r="C2667" t="str">
        <f t="shared" si="287"/>
        <v>Port Orange</v>
      </c>
      <c r="D2667" t="str">
        <f t="shared" si="288"/>
        <v>Y</v>
      </c>
      <c r="E2667" t="s">
        <v>662</v>
      </c>
      <c r="F2667" t="str">
        <f t="shared" si="289"/>
        <v>HANGER_RECRUIT_5USD_once</v>
      </c>
      <c r="G2667">
        <f t="shared" si="290"/>
        <v>0</v>
      </c>
      <c r="H2667" t="s">
        <v>565</v>
      </c>
      <c r="I2667">
        <f t="shared" si="291"/>
        <v>0</v>
      </c>
      <c r="J2667" t="s">
        <v>564</v>
      </c>
      <c r="K2667" s="5">
        <v>5</v>
      </c>
      <c r="L2667" t="str">
        <f>Table_DataFromNL[[#This Row],[PROFILECODE]]&amp;"-"&amp;Table_DataFromNL[[#This Row],[RULENAME]]</f>
        <v>CP943-HANGER_RECRUIT_5USD_once</v>
      </c>
      <c r="M2667" t="e">
        <f t="shared" si="292"/>
        <v>#N/A</v>
      </c>
    </row>
    <row r="2668" spans="1:13" x14ac:dyDescent="0.25">
      <c r="A2668" t="str">
        <f t="shared" si="293"/>
        <v>CP943-Immunization Boost Payment</v>
      </c>
      <c r="B2668" t="s">
        <v>406</v>
      </c>
      <c r="C2668" t="str">
        <f t="shared" si="287"/>
        <v>Port Orange</v>
      </c>
      <c r="D2668" t="str">
        <f t="shared" si="288"/>
        <v>Y</v>
      </c>
      <c r="E2668" t="s">
        <v>662</v>
      </c>
      <c r="F2668" t="str">
        <f t="shared" si="289"/>
        <v>Immunization Boost Payment</v>
      </c>
      <c r="G2668">
        <f t="shared" si="290"/>
        <v>0</v>
      </c>
      <c r="H2668" t="s">
        <v>598</v>
      </c>
      <c r="I2668">
        <f t="shared" si="291"/>
        <v>0</v>
      </c>
      <c r="J2668" t="s">
        <v>564</v>
      </c>
      <c r="K2668" s="5">
        <v>50</v>
      </c>
      <c r="L2668" t="str">
        <f>Table_DataFromNL[[#This Row],[PROFILECODE]]&amp;"-"&amp;Table_DataFromNL[[#This Row],[RULENAME]]</f>
        <v>CP943-Immunization Boost Payment</v>
      </c>
      <c r="M2668" t="e">
        <f t="shared" si="292"/>
        <v>#N/A</v>
      </c>
    </row>
    <row r="2669" spans="1:13" x14ac:dyDescent="0.25">
      <c r="A2669" t="str">
        <f t="shared" si="293"/>
        <v>CP943-Immunization Series Payment</v>
      </c>
      <c r="B2669" t="s">
        <v>406</v>
      </c>
      <c r="C2669" t="str">
        <f t="shared" si="287"/>
        <v>Port Orange</v>
      </c>
      <c r="D2669" t="str">
        <f t="shared" si="288"/>
        <v>Y</v>
      </c>
      <c r="E2669" t="s">
        <v>662</v>
      </c>
      <c r="F2669" t="str">
        <f t="shared" si="289"/>
        <v>Immunization Series Payment</v>
      </c>
      <c r="G2669">
        <f t="shared" si="290"/>
        <v>0</v>
      </c>
      <c r="H2669" t="s">
        <v>599</v>
      </c>
      <c r="I2669">
        <f t="shared" si="291"/>
        <v>0</v>
      </c>
      <c r="J2669" t="s">
        <v>564</v>
      </c>
      <c r="K2669" s="5">
        <v>100</v>
      </c>
      <c r="L2669" t="str">
        <f>Table_DataFromNL[[#This Row],[PROFILECODE]]&amp;"-"&amp;Table_DataFromNL[[#This Row],[RULENAME]]</f>
        <v>CP943-Immunization Series Payment</v>
      </c>
      <c r="M2669" t="e">
        <f t="shared" si="292"/>
        <v>#N/A</v>
      </c>
    </row>
    <row r="2670" spans="1:13" x14ac:dyDescent="0.25">
      <c r="A2670" t="str">
        <f t="shared" si="293"/>
        <v>CP943-Inconv Fee $20-$50-Comment Req'd</v>
      </c>
      <c r="B2670" t="s">
        <v>406</v>
      </c>
      <c r="C2670" t="str">
        <f t="shared" si="287"/>
        <v>Port Orange</v>
      </c>
      <c r="D2670" t="str">
        <f t="shared" si="288"/>
        <v>Y</v>
      </c>
      <c r="E2670" t="s">
        <v>662</v>
      </c>
      <c r="F2670" t="str">
        <f t="shared" si="289"/>
        <v>Inconv Fee $20-$50-Comment Req'd</v>
      </c>
      <c r="G2670">
        <f t="shared" si="290"/>
        <v>0</v>
      </c>
      <c r="H2670" t="s">
        <v>566</v>
      </c>
      <c r="I2670">
        <f t="shared" si="291"/>
        <v>0</v>
      </c>
      <c r="J2670" t="s">
        <v>564</v>
      </c>
      <c r="K2670" s="5">
        <v>50</v>
      </c>
      <c r="L2670" t="str">
        <f>Table_DataFromNL[[#This Row],[PROFILECODE]]&amp;"-"&amp;Table_DataFromNL[[#This Row],[RULENAME]]</f>
        <v>CP943-Inconv Fee $20-$50-Comment Req'd</v>
      </c>
      <c r="M2670" t="e">
        <f t="shared" si="292"/>
        <v>#N/A</v>
      </c>
    </row>
    <row r="2671" spans="1:13" x14ac:dyDescent="0.25">
      <c r="A2671" t="str">
        <f t="shared" si="293"/>
        <v>CP943-Inconv Fee $5-$20-Comment Req'd</v>
      </c>
      <c r="B2671" t="s">
        <v>406</v>
      </c>
      <c r="C2671" t="str">
        <f t="shared" si="287"/>
        <v>Port Orange</v>
      </c>
      <c r="D2671" t="str">
        <f t="shared" si="288"/>
        <v>Y</v>
      </c>
      <c r="E2671" t="s">
        <v>662</v>
      </c>
      <c r="F2671" t="str">
        <f t="shared" si="289"/>
        <v>Inconv Fee $5-$20-Comment Req'd</v>
      </c>
      <c r="G2671">
        <f t="shared" si="290"/>
        <v>0</v>
      </c>
      <c r="H2671" t="s">
        <v>567</v>
      </c>
      <c r="I2671">
        <f t="shared" si="291"/>
        <v>0</v>
      </c>
      <c r="J2671" t="s">
        <v>564</v>
      </c>
      <c r="K2671" s="5">
        <v>20</v>
      </c>
      <c r="L2671" t="str">
        <f>Table_DataFromNL[[#This Row],[PROFILECODE]]&amp;"-"&amp;Table_DataFromNL[[#This Row],[RULENAME]]</f>
        <v>CP943-Inconv Fee $5-$20-Comment Req'd</v>
      </c>
      <c r="M2671" t="e">
        <f t="shared" si="292"/>
        <v>#N/A</v>
      </c>
    </row>
    <row r="2672" spans="1:13" x14ac:dyDescent="0.25">
      <c r="A2672" t="str">
        <f t="shared" si="293"/>
        <v>CP943-Inconv Fee$50-$100-Comment Req'd</v>
      </c>
      <c r="B2672" t="s">
        <v>406</v>
      </c>
      <c r="C2672" t="str">
        <f t="shared" si="287"/>
        <v>Port Orange</v>
      </c>
      <c r="D2672" t="str">
        <f t="shared" si="288"/>
        <v>Y</v>
      </c>
      <c r="E2672" t="s">
        <v>662</v>
      </c>
      <c r="F2672" t="str">
        <f t="shared" si="289"/>
        <v>Inconv Fee$50-$100-Comment Req'd</v>
      </c>
      <c r="G2672">
        <f t="shared" si="290"/>
        <v>0</v>
      </c>
      <c r="H2672" t="s">
        <v>568</v>
      </c>
      <c r="I2672">
        <f t="shared" si="291"/>
        <v>0</v>
      </c>
      <c r="J2672" t="s">
        <v>564</v>
      </c>
      <c r="K2672" s="5">
        <v>100</v>
      </c>
      <c r="L2672" t="str">
        <f>Table_DataFromNL[[#This Row],[PROFILECODE]]&amp;"-"&amp;Table_DataFromNL[[#This Row],[RULENAME]]</f>
        <v>CP943-Inconv Fee$50-$100-Comment Req'd</v>
      </c>
      <c r="M2672" t="e">
        <f t="shared" si="292"/>
        <v>#N/A</v>
      </c>
    </row>
    <row r="2673" spans="1:13" x14ac:dyDescent="0.25">
      <c r="A2673" t="str">
        <f t="shared" si="293"/>
        <v>CP943-MONDAY_COUPON_RETENTION_10_once</v>
      </c>
      <c r="B2673" t="s">
        <v>406</v>
      </c>
      <c r="C2673" t="str">
        <f t="shared" si="287"/>
        <v>Port Orange</v>
      </c>
      <c r="D2673" t="str">
        <f t="shared" si="288"/>
        <v>Y</v>
      </c>
      <c r="E2673" t="s">
        <v>662</v>
      </c>
      <c r="F2673" t="str">
        <f t="shared" si="289"/>
        <v>MONDAY_COUPON_RETENTION_10_once</v>
      </c>
      <c r="G2673">
        <f t="shared" si="290"/>
        <v>0</v>
      </c>
      <c r="H2673" t="s">
        <v>594</v>
      </c>
      <c r="I2673">
        <f t="shared" si="291"/>
        <v>0</v>
      </c>
      <c r="J2673" t="s">
        <v>564</v>
      </c>
      <c r="K2673" s="5">
        <v>10</v>
      </c>
      <c r="L2673" t="str">
        <f>Table_DataFromNL[[#This Row],[PROFILECODE]]&amp;"-"&amp;Table_DataFromNL[[#This Row],[RULENAME]]</f>
        <v>CP943-MONDAY_COUPON_RETENTION_10_once</v>
      </c>
      <c r="M2673" t="e">
        <f t="shared" si="292"/>
        <v>#N/A</v>
      </c>
    </row>
    <row r="2674" spans="1:13" x14ac:dyDescent="0.25">
      <c r="A2674" t="str">
        <f t="shared" si="293"/>
        <v>CP943-NSP_ LAPSEDONOR_50_Twice</v>
      </c>
      <c r="B2674" t="s">
        <v>406</v>
      </c>
      <c r="C2674" t="str">
        <f t="shared" si="287"/>
        <v>Port Orange</v>
      </c>
      <c r="D2674" t="str">
        <f t="shared" si="288"/>
        <v>Y</v>
      </c>
      <c r="E2674" t="s">
        <v>662</v>
      </c>
      <c r="F2674" t="str">
        <f t="shared" si="289"/>
        <v>NSP_ LAPSEDONOR_50_Twice</v>
      </c>
      <c r="G2674">
        <f t="shared" si="290"/>
        <v>0</v>
      </c>
      <c r="H2674" t="s">
        <v>569</v>
      </c>
      <c r="I2674">
        <f t="shared" si="291"/>
        <v>0</v>
      </c>
      <c r="J2674" t="s">
        <v>564</v>
      </c>
      <c r="K2674" s="5">
        <v>50</v>
      </c>
      <c r="L2674" t="str">
        <f>Table_DataFromNL[[#This Row],[PROFILECODE]]&amp;"-"&amp;Table_DataFromNL[[#This Row],[RULENAME]]</f>
        <v>CP943-NSP_ LAPSEDONOR_50_Twice</v>
      </c>
      <c r="M2674" t="e">
        <f t="shared" si="292"/>
        <v>#N/A</v>
      </c>
    </row>
    <row r="2675" spans="1:13" x14ac:dyDescent="0.25">
      <c r="A2675" t="str">
        <f t="shared" si="293"/>
        <v>CP943-NSP_LD_25_2X</v>
      </c>
      <c r="B2675" t="s">
        <v>406</v>
      </c>
      <c r="C2675" t="str">
        <f t="shared" si="287"/>
        <v>Port Orange</v>
      </c>
      <c r="D2675" t="str">
        <f t="shared" si="288"/>
        <v>Y</v>
      </c>
      <c r="E2675" t="s">
        <v>662</v>
      </c>
      <c r="F2675" t="str">
        <f t="shared" si="289"/>
        <v>NSP_LD_25_2X</v>
      </c>
      <c r="G2675">
        <f t="shared" si="290"/>
        <v>0</v>
      </c>
      <c r="H2675" t="s">
        <v>570</v>
      </c>
      <c r="I2675">
        <f t="shared" si="291"/>
        <v>0</v>
      </c>
      <c r="J2675" t="s">
        <v>564</v>
      </c>
      <c r="K2675" s="5">
        <v>25</v>
      </c>
      <c r="L2675" t="str">
        <f>Table_DataFromNL[[#This Row],[PROFILECODE]]&amp;"-"&amp;Table_DataFromNL[[#This Row],[RULENAME]]</f>
        <v>CP943-NSP_LD_25_2X</v>
      </c>
      <c r="M2675" t="e">
        <f t="shared" si="292"/>
        <v>#N/A</v>
      </c>
    </row>
    <row r="2676" spans="1:13" x14ac:dyDescent="0.25">
      <c r="A2676" t="str">
        <f t="shared" si="293"/>
        <v>CP943-NSP_LD_50_1X</v>
      </c>
      <c r="B2676" t="s">
        <v>406</v>
      </c>
      <c r="C2676" t="str">
        <f t="shared" si="287"/>
        <v>Port Orange</v>
      </c>
      <c r="D2676" t="str">
        <f t="shared" si="288"/>
        <v>Y</v>
      </c>
      <c r="E2676" t="s">
        <v>662</v>
      </c>
      <c r="F2676" t="str">
        <f t="shared" si="289"/>
        <v>NSP_LD_50_1X</v>
      </c>
      <c r="G2676">
        <f t="shared" si="290"/>
        <v>0</v>
      </c>
      <c r="H2676" t="s">
        <v>571</v>
      </c>
      <c r="I2676">
        <f t="shared" si="291"/>
        <v>0</v>
      </c>
      <c r="J2676" t="s">
        <v>564</v>
      </c>
      <c r="K2676" s="5">
        <v>50</v>
      </c>
      <c r="L2676" t="str">
        <f>Table_DataFromNL[[#This Row],[PROFILECODE]]&amp;"-"&amp;Table_DataFromNL[[#This Row],[RULENAME]]</f>
        <v>CP943-NSP_LD_50_1X</v>
      </c>
      <c r="M2676" t="e">
        <f t="shared" si="292"/>
        <v>#N/A</v>
      </c>
    </row>
    <row r="2677" spans="1:13" x14ac:dyDescent="0.25">
      <c r="A2677" t="str">
        <f t="shared" si="293"/>
        <v>CP943-NSP_ORPHAN_100_once</v>
      </c>
      <c r="B2677" t="s">
        <v>406</v>
      </c>
      <c r="C2677" t="str">
        <f t="shared" si="287"/>
        <v>Port Orange</v>
      </c>
      <c r="D2677" t="str">
        <f t="shared" si="288"/>
        <v>Y</v>
      </c>
      <c r="E2677" t="s">
        <v>662</v>
      </c>
      <c r="F2677" t="str">
        <f t="shared" si="289"/>
        <v>NSP_ORPHAN_100_once</v>
      </c>
      <c r="G2677">
        <f t="shared" si="290"/>
        <v>0</v>
      </c>
      <c r="H2677" t="s">
        <v>572</v>
      </c>
      <c r="I2677">
        <f t="shared" si="291"/>
        <v>0</v>
      </c>
      <c r="J2677" t="s">
        <v>564</v>
      </c>
      <c r="K2677" s="5">
        <v>100</v>
      </c>
      <c r="L2677" t="str">
        <f>Table_DataFromNL[[#This Row],[PROFILECODE]]&amp;"-"&amp;Table_DataFromNL[[#This Row],[RULENAME]]</f>
        <v>CP943-NSP_ORPHAN_100_once</v>
      </c>
      <c r="M2677" t="e">
        <f t="shared" si="292"/>
        <v>#N/A</v>
      </c>
    </row>
    <row r="2678" spans="1:13" x14ac:dyDescent="0.25">
      <c r="A2678" t="str">
        <f t="shared" si="293"/>
        <v>CP943-Referral - Vaccinia</v>
      </c>
      <c r="B2678" t="s">
        <v>406</v>
      </c>
      <c r="C2678" t="str">
        <f t="shared" si="287"/>
        <v>Port Orange</v>
      </c>
      <c r="D2678" t="str">
        <f t="shared" si="288"/>
        <v>Y</v>
      </c>
      <c r="E2678" t="s">
        <v>662</v>
      </c>
      <c r="F2678" t="str">
        <f t="shared" si="289"/>
        <v>Referral - Vaccinia</v>
      </c>
      <c r="G2678">
        <f t="shared" si="290"/>
        <v>0</v>
      </c>
      <c r="H2678" t="s">
        <v>595</v>
      </c>
      <c r="I2678">
        <f t="shared" si="291"/>
        <v>0</v>
      </c>
      <c r="J2678" t="s">
        <v>564</v>
      </c>
      <c r="K2678" s="5">
        <v>200</v>
      </c>
      <c r="L2678" t="str">
        <f>Table_DataFromNL[[#This Row],[PROFILECODE]]&amp;"-"&amp;Table_DataFromNL[[#This Row],[RULENAME]]</f>
        <v>CP943-Referral - Vaccinia</v>
      </c>
      <c r="M2678" t="e">
        <f t="shared" si="292"/>
        <v>#N/A</v>
      </c>
    </row>
    <row r="2679" spans="1:13" x14ac:dyDescent="0.25">
      <c r="A2679" t="str">
        <f t="shared" si="293"/>
        <v>CP943-Restick</v>
      </c>
      <c r="B2679" t="s">
        <v>406</v>
      </c>
      <c r="C2679" t="str">
        <f t="shared" si="287"/>
        <v>Port Orange</v>
      </c>
      <c r="D2679" t="str">
        <f t="shared" si="288"/>
        <v>Y</v>
      </c>
      <c r="E2679" t="s">
        <v>662</v>
      </c>
      <c r="F2679" t="str">
        <f t="shared" si="289"/>
        <v>Restick</v>
      </c>
      <c r="G2679">
        <f t="shared" si="290"/>
        <v>0</v>
      </c>
      <c r="H2679" t="s">
        <v>573</v>
      </c>
      <c r="I2679">
        <f t="shared" si="291"/>
        <v>0</v>
      </c>
      <c r="J2679" t="s">
        <v>564</v>
      </c>
      <c r="K2679" s="5">
        <v>5</v>
      </c>
      <c r="L2679" t="str">
        <f>Table_DataFromNL[[#This Row],[PROFILECODE]]&amp;"-"&amp;Table_DataFromNL[[#This Row],[RULENAME]]</f>
        <v>CP943-Restick</v>
      </c>
      <c r="M2679" t="e">
        <f t="shared" si="292"/>
        <v>#N/A</v>
      </c>
    </row>
    <row r="2680" spans="1:13" x14ac:dyDescent="0.25">
      <c r="A2680" t="str">
        <f t="shared" si="293"/>
        <v>CP943-SLOW_TEXT_5</v>
      </c>
      <c r="B2680" t="s">
        <v>406</v>
      </c>
      <c r="C2680" t="str">
        <f t="shared" si="287"/>
        <v>Port Orange</v>
      </c>
      <c r="D2680" t="str">
        <f t="shared" si="288"/>
        <v>Y</v>
      </c>
      <c r="E2680" t="s">
        <v>662</v>
      </c>
      <c r="F2680" t="str">
        <f t="shared" si="289"/>
        <v>SLOW_TEXT_5</v>
      </c>
      <c r="G2680">
        <f t="shared" si="290"/>
        <v>0</v>
      </c>
      <c r="H2680" t="s">
        <v>574</v>
      </c>
      <c r="I2680">
        <f t="shared" si="291"/>
        <v>0</v>
      </c>
      <c r="J2680" t="s">
        <v>564</v>
      </c>
      <c r="K2680" s="5">
        <v>5</v>
      </c>
      <c r="L2680" t="str">
        <f>Table_DataFromNL[[#This Row],[PROFILECODE]]&amp;"-"&amp;Table_DataFromNL[[#This Row],[RULENAME]]</f>
        <v>CP943-SLOW_TEXT_5</v>
      </c>
      <c r="M2680" t="e">
        <f t="shared" si="292"/>
        <v>#N/A</v>
      </c>
    </row>
    <row r="2681" spans="1:13" x14ac:dyDescent="0.25">
      <c r="A2681" t="str">
        <f t="shared" si="293"/>
        <v>CP943-Sample Only</v>
      </c>
      <c r="B2681" t="s">
        <v>406</v>
      </c>
      <c r="C2681" t="str">
        <f t="shared" si="287"/>
        <v>Port Orange</v>
      </c>
      <c r="D2681" t="str">
        <f t="shared" si="288"/>
        <v>Y</v>
      </c>
      <c r="E2681" t="s">
        <v>662</v>
      </c>
      <c r="F2681" t="str">
        <f t="shared" si="289"/>
        <v>Sample Only</v>
      </c>
      <c r="G2681">
        <f t="shared" si="290"/>
        <v>0</v>
      </c>
      <c r="H2681" t="s">
        <v>575</v>
      </c>
      <c r="I2681">
        <f t="shared" si="291"/>
        <v>0</v>
      </c>
      <c r="J2681" t="s">
        <v>564</v>
      </c>
      <c r="K2681" s="5">
        <v>5</v>
      </c>
      <c r="L2681" t="str">
        <f>Table_DataFromNL[[#This Row],[PROFILECODE]]&amp;"-"&amp;Table_DataFromNL[[#This Row],[RULENAME]]</f>
        <v>CP943-Sample Only</v>
      </c>
      <c r="M2681" t="e">
        <f t="shared" si="292"/>
        <v>#N/A</v>
      </c>
    </row>
    <row r="2682" spans="1:13" x14ac:dyDescent="0.25">
      <c r="A2682" t="str">
        <f t="shared" si="293"/>
        <v>CP943-Unit Below 250 mL</v>
      </c>
      <c r="B2682" t="s">
        <v>406</v>
      </c>
      <c r="C2682" t="str">
        <f t="shared" si="287"/>
        <v>Port Orange</v>
      </c>
      <c r="D2682" t="str">
        <f t="shared" si="288"/>
        <v>Y</v>
      </c>
      <c r="E2682" t="s">
        <v>662</v>
      </c>
      <c r="F2682" t="str">
        <f t="shared" si="289"/>
        <v>Unit Below 250 mL</v>
      </c>
      <c r="G2682">
        <f t="shared" si="290"/>
        <v>0</v>
      </c>
      <c r="H2682" t="s">
        <v>576</v>
      </c>
      <c r="I2682">
        <f t="shared" si="291"/>
        <v>0</v>
      </c>
      <c r="J2682" t="s">
        <v>564</v>
      </c>
      <c r="K2682" s="5">
        <v>5</v>
      </c>
      <c r="L2682" t="str">
        <f>Table_DataFromNL[[#This Row],[PROFILECODE]]&amp;"-"&amp;Table_DataFromNL[[#This Row],[RULENAME]]</f>
        <v>CP943-Unit Below 250 mL</v>
      </c>
      <c r="M2682" t="e">
        <f t="shared" si="292"/>
        <v>#N/A</v>
      </c>
    </row>
    <row r="2683" spans="1:13" x14ac:dyDescent="0.25">
      <c r="A2683" t="str">
        <f t="shared" si="293"/>
        <v>CP943-Unit above 250 mL/underdraw</v>
      </c>
      <c r="B2683" t="s">
        <v>406</v>
      </c>
      <c r="C2683" t="str">
        <f t="shared" si="287"/>
        <v>Port Orange</v>
      </c>
      <c r="D2683" t="str">
        <f t="shared" si="288"/>
        <v>Y</v>
      </c>
      <c r="E2683" t="s">
        <v>662</v>
      </c>
      <c r="F2683" t="str">
        <f t="shared" si="289"/>
        <v>Unit above 250 mL/underdraw</v>
      </c>
      <c r="G2683">
        <f t="shared" si="290"/>
        <v>0</v>
      </c>
      <c r="H2683" t="s">
        <v>577</v>
      </c>
      <c r="I2683">
        <f t="shared" si="291"/>
        <v>0</v>
      </c>
      <c r="J2683" t="s">
        <v>564</v>
      </c>
      <c r="K2683" s="5">
        <v>10</v>
      </c>
      <c r="L2683" t="str">
        <f>Table_DataFromNL[[#This Row],[PROFILECODE]]&amp;"-"&amp;Table_DataFromNL[[#This Row],[RULENAME]]</f>
        <v>CP943-Unit above 250 mL/underdraw</v>
      </c>
      <c r="M2683" t="e">
        <f t="shared" si="292"/>
        <v>#N/A</v>
      </c>
    </row>
    <row r="2684" spans="1:13" x14ac:dyDescent="0.25">
      <c r="A2684" t="str">
        <f t="shared" si="293"/>
        <v>CP943-Vaccinia Immunization</v>
      </c>
      <c r="B2684" t="s">
        <v>406</v>
      </c>
      <c r="C2684" t="str">
        <f t="shared" si="287"/>
        <v>Port Orange</v>
      </c>
      <c r="D2684" t="str">
        <f t="shared" si="288"/>
        <v>Y</v>
      </c>
      <c r="E2684" t="s">
        <v>662</v>
      </c>
      <c r="F2684" t="str">
        <f t="shared" si="289"/>
        <v>Vaccinia Immunization</v>
      </c>
      <c r="G2684">
        <f t="shared" si="290"/>
        <v>0</v>
      </c>
      <c r="H2684" t="s">
        <v>596</v>
      </c>
      <c r="I2684">
        <f t="shared" si="291"/>
        <v>0</v>
      </c>
      <c r="J2684" t="s">
        <v>564</v>
      </c>
      <c r="K2684" s="5">
        <v>100</v>
      </c>
      <c r="L2684" t="str">
        <f>Table_DataFromNL[[#This Row],[PROFILECODE]]&amp;"-"&amp;Table_DataFromNL[[#This Row],[RULENAME]]</f>
        <v>CP943-Vaccinia Immunization</v>
      </c>
      <c r="M2684" t="e">
        <f t="shared" si="292"/>
        <v>#N/A</v>
      </c>
    </row>
    <row r="2685" spans="1:13" x14ac:dyDescent="0.25">
      <c r="A2685" t="str">
        <f t="shared" si="293"/>
        <v>CP943-RETURN - Buddy referral  -BONUS</v>
      </c>
      <c r="B2685" t="s">
        <v>406</v>
      </c>
      <c r="C2685" t="str">
        <f t="shared" si="287"/>
        <v>Port Orange</v>
      </c>
      <c r="D2685" t="str">
        <f t="shared" si="288"/>
        <v>Y</v>
      </c>
      <c r="E2685" t="s">
        <v>662</v>
      </c>
      <c r="F2685" t="str">
        <f t="shared" si="289"/>
        <v>RETURN - Buddy referral  -BONUS</v>
      </c>
      <c r="G2685" t="str">
        <f t="shared" si="290"/>
        <v>Marketing</v>
      </c>
      <c r="H2685" t="s">
        <v>34</v>
      </c>
      <c r="I2685">
        <f t="shared" si="291"/>
        <v>50</v>
      </c>
      <c r="J2685" t="s">
        <v>578</v>
      </c>
      <c r="K2685" s="5">
        <v>50</v>
      </c>
      <c r="L2685" t="str">
        <f>Table_DataFromNL[[#This Row],[PROFILECODE]]&amp;"-"&amp;Table_DataFromNL[[#This Row],[RULENAME]]</f>
        <v>CP943-Referral</v>
      </c>
      <c r="M2685" t="str">
        <f t="shared" si="292"/>
        <v>CP943-RETURN - Buddy referral  -BONUS</v>
      </c>
    </row>
    <row r="2686" spans="1:13" x14ac:dyDescent="0.25">
      <c r="A2686" t="str">
        <f t="shared" si="293"/>
        <v>CP943-P Anti-D Pre-Existing Standard</v>
      </c>
      <c r="B2686" t="s">
        <v>406</v>
      </c>
      <c r="C2686" t="str">
        <f t="shared" si="287"/>
        <v>Port Orange</v>
      </c>
      <c r="D2686" t="str">
        <f t="shared" si="288"/>
        <v>Y</v>
      </c>
      <c r="E2686" t="s">
        <v>662</v>
      </c>
      <c r="F2686" t="str">
        <f t="shared" si="289"/>
        <v>P Anti-D Pre-Existing Standard</v>
      </c>
      <c r="G2686" t="str">
        <f t="shared" si="290"/>
        <v>Specialty</v>
      </c>
      <c r="H2686" t="s">
        <v>469</v>
      </c>
      <c r="I2686" t="str">
        <f t="shared" si="291"/>
        <v>RETURN - 1st don of the week -STD</v>
      </c>
      <c r="J2686" t="s">
        <v>579</v>
      </c>
      <c r="K2686" s="5">
        <v>50</v>
      </c>
      <c r="L2686" t="str">
        <f>Table_DataFromNL[[#This Row],[PROFILECODE]]&amp;"-"&amp;Table_DataFromNL[[#This Row],[RULENAME]]</f>
        <v>CP943-P Anti-D Pre-Existing Standard</v>
      </c>
      <c r="M2686" t="str">
        <f t="shared" si="292"/>
        <v>CP943-P Anti-D Pre-Existing Standard</v>
      </c>
    </row>
    <row r="2687" spans="1:13" x14ac:dyDescent="0.25">
      <c r="A2687" t="str">
        <f t="shared" si="293"/>
        <v>CP943-RETURN - 1st don of the week -STD</v>
      </c>
      <c r="B2687" t="s">
        <v>406</v>
      </c>
      <c r="C2687" t="str">
        <f t="shared" si="287"/>
        <v>Port Orange</v>
      </c>
      <c r="D2687" t="str">
        <f t="shared" si="288"/>
        <v>Y</v>
      </c>
      <c r="E2687" t="s">
        <v>662</v>
      </c>
      <c r="F2687" t="str">
        <f t="shared" si="289"/>
        <v>RETURN - 1st don of the week -STD</v>
      </c>
      <c r="G2687" t="str">
        <f t="shared" si="290"/>
        <v>Marketing</v>
      </c>
      <c r="H2687" t="s">
        <v>583</v>
      </c>
      <c r="I2687">
        <f t="shared" si="291"/>
        <v>22</v>
      </c>
      <c r="J2687" t="s">
        <v>579</v>
      </c>
      <c r="K2687" s="5">
        <v>55</v>
      </c>
      <c r="L2687" t="str">
        <f>Table_DataFromNL[[#This Row],[PROFILECODE]]&amp;"-"&amp;Table_DataFromNL[[#This Row],[RULENAME]]</f>
        <v>CP943-P NSP NS AP Standard</v>
      </c>
      <c r="M2687" t="str">
        <f t="shared" si="292"/>
        <v>CP943-RETURN - 1st don of the week -STD</v>
      </c>
    </row>
    <row r="2688" spans="1:13" x14ac:dyDescent="0.25">
      <c r="A2688" t="str">
        <f t="shared" si="293"/>
        <v>CP943-RETURN - 1st don of the week -STD</v>
      </c>
      <c r="B2688" t="s">
        <v>406</v>
      </c>
      <c r="C2688" t="str">
        <f t="shared" si="287"/>
        <v>Port Orange</v>
      </c>
      <c r="D2688" t="str">
        <f t="shared" si="288"/>
        <v>Y</v>
      </c>
      <c r="E2688" t="s">
        <v>662</v>
      </c>
      <c r="F2688" t="str">
        <f t="shared" si="289"/>
        <v>RETURN - 1st don of the week -STD</v>
      </c>
      <c r="G2688" t="str">
        <f t="shared" si="290"/>
        <v>Marketing</v>
      </c>
      <c r="H2688" t="s">
        <v>584</v>
      </c>
      <c r="I2688">
        <f t="shared" si="291"/>
        <v>23</v>
      </c>
      <c r="J2688" t="s">
        <v>579</v>
      </c>
      <c r="K2688" s="5">
        <v>55</v>
      </c>
      <c r="L2688" t="str">
        <f>Table_DataFromNL[[#This Row],[PROFILECODE]]&amp;"-"&amp;Table_DataFromNL[[#This Row],[RULENAME]]</f>
        <v>CP943-P NSP NS Standard</v>
      </c>
      <c r="M2688" t="str">
        <f t="shared" si="292"/>
        <v>CP943-RETURN - 1st don of the week -STD</v>
      </c>
    </row>
    <row r="2689" spans="1:13" x14ac:dyDescent="0.25">
      <c r="A2689" t="str">
        <f t="shared" si="293"/>
        <v>CP943-P Rabies HT Standard</v>
      </c>
      <c r="B2689" t="s">
        <v>406</v>
      </c>
      <c r="C2689" t="str">
        <f t="shared" si="287"/>
        <v>Port Orange</v>
      </c>
      <c r="D2689" t="str">
        <f t="shared" si="288"/>
        <v>Y</v>
      </c>
      <c r="E2689" t="s">
        <v>662</v>
      </c>
      <c r="F2689" t="str">
        <f t="shared" si="289"/>
        <v>P Rabies HT Standard</v>
      </c>
      <c r="G2689" t="str">
        <f t="shared" si="290"/>
        <v>Specialty</v>
      </c>
      <c r="H2689" t="s">
        <v>502</v>
      </c>
      <c r="I2689" t="str">
        <f t="shared" si="291"/>
        <v>RETURN - 1st don of the week -STD</v>
      </c>
      <c r="J2689" t="s">
        <v>579</v>
      </c>
      <c r="K2689" s="5">
        <v>60</v>
      </c>
      <c r="L2689" t="str">
        <f>Table_DataFromNL[[#This Row],[PROFILECODE]]&amp;"-"&amp;Table_DataFromNL[[#This Row],[RULENAME]]</f>
        <v>CP943-P Rabies HT Standard</v>
      </c>
      <c r="M2689" t="str">
        <f t="shared" si="292"/>
        <v>CP943-P Rabies HT Standard</v>
      </c>
    </row>
    <row r="2690" spans="1:13" x14ac:dyDescent="0.25">
      <c r="A2690" t="str">
        <f t="shared" si="293"/>
        <v>CP943-P Rabies Standard</v>
      </c>
      <c r="B2690" t="s">
        <v>406</v>
      </c>
      <c r="C2690" t="str">
        <f t="shared" ref="C2690:C2753" si="294">VLOOKUP(B2690,CenterLU,2,FALSE)</f>
        <v>Port Orange</v>
      </c>
      <c r="D2690" t="str">
        <f t="shared" ref="D2690:D2753" si="295">VLOOKUP(B2690,CenterLU,3,FALSE)</f>
        <v>Y</v>
      </c>
      <c r="E2690" t="s">
        <v>662</v>
      </c>
      <c r="F2690" t="str">
        <f t="shared" ref="F2690:F2753" si="296">IF(VLOOKUP(H2690,RULENAMELU,3,FALSE)=0,H2690,VLOOKUP(H2690,RULENAMELU,3,FALSE))</f>
        <v>P Rabies Standard</v>
      </c>
      <c r="G2690" t="str">
        <f t="shared" ref="G2690:G2753" si="297">VLOOKUP(H2690,RULENAMELU,4,FALSE)</f>
        <v>Specialty</v>
      </c>
      <c r="H2690" t="s">
        <v>503</v>
      </c>
      <c r="I2690" t="str">
        <f t="shared" ref="I2690:I2753" si="298">VLOOKUP(H2690,RULENAMELU,5,FALSE)</f>
        <v>RETURN - 1st don of the week -STD</v>
      </c>
      <c r="J2690" t="s">
        <v>579</v>
      </c>
      <c r="K2690" s="5">
        <v>60</v>
      </c>
      <c r="L2690" t="str">
        <f>Table_DataFromNL[[#This Row],[PROFILECODE]]&amp;"-"&amp;Table_DataFromNL[[#This Row],[RULENAME]]</f>
        <v>CP943-P Rabies Standard</v>
      </c>
      <c r="M2690" t="str">
        <f t="shared" ref="M2690:M2753" si="299">IFERROR(VLOOKUP(A2690,PaychangesLU,1,FALSE),VLOOKUP(A2690,SpecialtyCheckLU,1,FALSE))</f>
        <v>CP943-P Rabies Standard</v>
      </c>
    </row>
    <row r="2691" spans="1:13" x14ac:dyDescent="0.25">
      <c r="A2691" t="str">
        <f t="shared" ref="A2691:A2754" si="300">B2691&amp;"-"&amp;F2691</f>
        <v>CP943-P VZV Pre-Existing AP</v>
      </c>
      <c r="B2691" t="s">
        <v>406</v>
      </c>
      <c r="C2691" t="str">
        <f t="shared" si="294"/>
        <v>Port Orange</v>
      </c>
      <c r="D2691" t="str">
        <f t="shared" si="295"/>
        <v>Y</v>
      </c>
      <c r="E2691" t="s">
        <v>662</v>
      </c>
      <c r="F2691" t="str">
        <f t="shared" si="296"/>
        <v>P VZV Pre-Existing AP</v>
      </c>
      <c r="G2691" t="str">
        <f t="shared" si="297"/>
        <v>Specialty</v>
      </c>
      <c r="H2691" t="s">
        <v>495</v>
      </c>
      <c r="I2691" t="str">
        <f t="shared" si="298"/>
        <v>RETURN - 1st don of the week -STD</v>
      </c>
      <c r="J2691" t="s">
        <v>579</v>
      </c>
      <c r="K2691" s="5">
        <v>65</v>
      </c>
      <c r="L2691" t="str">
        <f>Table_DataFromNL[[#This Row],[PROFILECODE]]&amp;"-"&amp;Table_DataFromNL[[#This Row],[RULENAME]]</f>
        <v>CP943-P VZV Pre-Existing AP</v>
      </c>
      <c r="M2691" t="str">
        <f t="shared" si="299"/>
        <v>CP943-P VZV Pre-Existing AP</v>
      </c>
    </row>
    <row r="2692" spans="1:13" x14ac:dyDescent="0.25">
      <c r="A2692" t="str">
        <f t="shared" si="300"/>
        <v>CP943-P VZV Standard</v>
      </c>
      <c r="B2692" t="s">
        <v>406</v>
      </c>
      <c r="C2692" t="str">
        <f t="shared" si="294"/>
        <v>Port Orange</v>
      </c>
      <c r="D2692" t="str">
        <f t="shared" si="295"/>
        <v>Y</v>
      </c>
      <c r="E2692" t="s">
        <v>662</v>
      </c>
      <c r="F2692" t="str">
        <f t="shared" si="296"/>
        <v>P VZV Standard</v>
      </c>
      <c r="G2692" t="str">
        <f t="shared" si="297"/>
        <v>Specialty</v>
      </c>
      <c r="H2692" t="s">
        <v>496</v>
      </c>
      <c r="I2692" t="str">
        <f t="shared" si="298"/>
        <v>RETURN - 1st don of the week -STD</v>
      </c>
      <c r="J2692" t="s">
        <v>579</v>
      </c>
      <c r="K2692" s="5">
        <v>65</v>
      </c>
      <c r="L2692" t="str">
        <f>Table_DataFromNL[[#This Row],[PROFILECODE]]&amp;"-"&amp;Table_DataFromNL[[#This Row],[RULENAME]]</f>
        <v>CP943-P VZV Standard</v>
      </c>
      <c r="M2692" t="str">
        <f t="shared" si="299"/>
        <v>CP943-P VZV Standard</v>
      </c>
    </row>
    <row r="2693" spans="1:13" x14ac:dyDescent="0.25">
      <c r="A2693" t="str">
        <f t="shared" si="300"/>
        <v>CP943-P Vaccinia AP Standard</v>
      </c>
      <c r="B2693" t="s">
        <v>406</v>
      </c>
      <c r="C2693" t="str">
        <f t="shared" si="294"/>
        <v>Port Orange</v>
      </c>
      <c r="D2693" t="str">
        <f t="shared" si="295"/>
        <v>Y</v>
      </c>
      <c r="E2693" t="s">
        <v>662</v>
      </c>
      <c r="F2693" t="str">
        <f t="shared" si="296"/>
        <v>P Vaccinia AP Standard</v>
      </c>
      <c r="G2693" t="str">
        <f t="shared" si="297"/>
        <v>Specialty</v>
      </c>
      <c r="H2693" t="s">
        <v>475</v>
      </c>
      <c r="I2693">
        <f t="shared" si="298"/>
        <v>0</v>
      </c>
      <c r="J2693" t="s">
        <v>579</v>
      </c>
      <c r="K2693" s="5">
        <v>100</v>
      </c>
      <c r="L2693" t="str">
        <f>Table_DataFromNL[[#This Row],[PROFILECODE]]&amp;"-"&amp;Table_DataFromNL[[#This Row],[RULENAME]]</f>
        <v>CP943-P Vaccinia AP Standard</v>
      </c>
      <c r="M2693" t="str">
        <f t="shared" si="299"/>
        <v>CP943-P Vaccinia AP Standard</v>
      </c>
    </row>
    <row r="2694" spans="1:13" x14ac:dyDescent="0.25">
      <c r="A2694" t="str">
        <f t="shared" si="300"/>
        <v>CP943-P Vaccinia Standard</v>
      </c>
      <c r="B2694" t="s">
        <v>406</v>
      </c>
      <c r="C2694" t="str">
        <f t="shared" si="294"/>
        <v>Port Orange</v>
      </c>
      <c r="D2694" t="str">
        <f t="shared" si="295"/>
        <v>Y</v>
      </c>
      <c r="E2694" t="s">
        <v>662</v>
      </c>
      <c r="F2694" t="str">
        <f t="shared" si="296"/>
        <v>P Vaccinia Standard</v>
      </c>
      <c r="G2694" t="str">
        <f t="shared" si="297"/>
        <v>Specialty</v>
      </c>
      <c r="H2694" t="s">
        <v>476</v>
      </c>
      <c r="I2694">
        <f t="shared" si="298"/>
        <v>0</v>
      </c>
      <c r="J2694" t="s">
        <v>579</v>
      </c>
      <c r="K2694" s="5">
        <v>100</v>
      </c>
      <c r="L2694" t="str">
        <f>Table_DataFromNL[[#This Row],[PROFILECODE]]&amp;"-"&amp;Table_DataFromNL[[#This Row],[RULENAME]]</f>
        <v>CP943-P Vaccinia Standard</v>
      </c>
      <c r="M2694" t="str">
        <f t="shared" si="299"/>
        <v>CP943-P Vaccinia Standard</v>
      </c>
    </row>
    <row r="2695" spans="1:13" x14ac:dyDescent="0.25">
      <c r="A2695" t="str">
        <f t="shared" si="300"/>
        <v>CP943-PVZV Pre-Existing Standard</v>
      </c>
      <c r="B2695" t="s">
        <v>406</v>
      </c>
      <c r="C2695" t="str">
        <f t="shared" si="294"/>
        <v>Port Orange</v>
      </c>
      <c r="D2695" t="str">
        <f t="shared" si="295"/>
        <v>Y</v>
      </c>
      <c r="E2695" t="s">
        <v>662</v>
      </c>
      <c r="F2695" t="str">
        <f t="shared" si="296"/>
        <v>PVZV Pre-Existing Standard</v>
      </c>
      <c r="G2695" t="str">
        <f t="shared" si="297"/>
        <v>Specialty</v>
      </c>
      <c r="H2695" t="s">
        <v>497</v>
      </c>
      <c r="I2695" t="str">
        <f t="shared" si="298"/>
        <v>RETURN - 1st don of the week -STD</v>
      </c>
      <c r="J2695" t="s">
        <v>579</v>
      </c>
      <c r="K2695" s="5">
        <v>65</v>
      </c>
      <c r="L2695" t="str">
        <f>Table_DataFromNL[[#This Row],[PROFILECODE]]&amp;"-"&amp;Table_DataFromNL[[#This Row],[RULENAME]]</f>
        <v>CP943-PVZV Pre-Existing Standard</v>
      </c>
      <c r="M2695" t="str">
        <f t="shared" si="299"/>
        <v>CP943-PVZV Pre-Existing Standard</v>
      </c>
    </row>
    <row r="2696" spans="1:13" x14ac:dyDescent="0.25">
      <c r="A2696" t="str">
        <f t="shared" si="300"/>
        <v>CP957-1st Responder-Medical</v>
      </c>
      <c r="B2696" t="s">
        <v>340</v>
      </c>
      <c r="C2696" t="str">
        <f t="shared" si="294"/>
        <v>Rocky Mount</v>
      </c>
      <c r="D2696" t="str">
        <f t="shared" si="295"/>
        <v>Y</v>
      </c>
      <c r="E2696" t="s">
        <v>663</v>
      </c>
      <c r="F2696" t="str">
        <f t="shared" si="296"/>
        <v>1st Responder-Medical</v>
      </c>
      <c r="G2696">
        <f t="shared" si="297"/>
        <v>0</v>
      </c>
      <c r="H2696" t="s">
        <v>545</v>
      </c>
      <c r="I2696">
        <f t="shared" si="298"/>
        <v>0</v>
      </c>
      <c r="J2696" t="s">
        <v>546</v>
      </c>
      <c r="K2696" s="5">
        <v>5</v>
      </c>
      <c r="L2696" t="str">
        <f>Table_DataFromNL[[#This Row],[PROFILECODE]]&amp;"-"&amp;Table_DataFromNL[[#This Row],[RULENAME]]</f>
        <v>CP957-1st Responder-Medical</v>
      </c>
      <c r="M2696" t="e">
        <f t="shared" si="299"/>
        <v>#N/A</v>
      </c>
    </row>
    <row r="2697" spans="1:13" x14ac:dyDescent="0.25">
      <c r="A2697" t="str">
        <f t="shared" si="300"/>
        <v>CP957-RETURN - 2nd don of the week -BONUS</v>
      </c>
      <c r="B2697" t="s">
        <v>340</v>
      </c>
      <c r="C2697" t="str">
        <f t="shared" si="294"/>
        <v>Rocky Mount</v>
      </c>
      <c r="D2697" t="str">
        <f t="shared" si="295"/>
        <v>Y</v>
      </c>
      <c r="E2697" t="s">
        <v>663</v>
      </c>
      <c r="F2697" t="str">
        <f t="shared" si="296"/>
        <v>RETURN - 2nd don of the week -BONUS</v>
      </c>
      <c r="G2697" t="str">
        <f t="shared" si="297"/>
        <v>Marketing</v>
      </c>
      <c r="H2697" t="s">
        <v>550</v>
      </c>
      <c r="I2697">
        <f t="shared" si="298"/>
        <v>26</v>
      </c>
      <c r="J2697" t="s">
        <v>546</v>
      </c>
      <c r="K2697" s="5">
        <v>50</v>
      </c>
      <c r="L2697" t="str">
        <f>Table_DataFromNL[[#This Row],[PROFILECODE]]&amp;"-"&amp;Table_DataFromNL[[#This Row],[RULENAME]]</f>
        <v>CP957-2X Week P NSP NS</v>
      </c>
      <c r="M2697" t="str">
        <f t="shared" si="299"/>
        <v>CP957-RETURN - 2nd don of the week -BONUS</v>
      </c>
    </row>
    <row r="2698" spans="1:13" x14ac:dyDescent="0.25">
      <c r="A2698" t="str">
        <f t="shared" si="300"/>
        <v>CP957-RETURN - 2nd don of the week -BONUS</v>
      </c>
      <c r="B2698" t="s">
        <v>340</v>
      </c>
      <c r="C2698" t="str">
        <f t="shared" si="294"/>
        <v>Rocky Mount</v>
      </c>
      <c r="D2698" t="str">
        <f t="shared" si="295"/>
        <v>Y</v>
      </c>
      <c r="E2698" t="s">
        <v>663</v>
      </c>
      <c r="F2698" t="str">
        <f t="shared" si="296"/>
        <v>RETURN - 2nd don of the week -BONUS</v>
      </c>
      <c r="G2698" t="str">
        <f t="shared" si="297"/>
        <v>Marketing</v>
      </c>
      <c r="H2698" t="s">
        <v>551</v>
      </c>
      <c r="I2698" t="str">
        <f t="shared" si="298"/>
        <v>RETURN - 2nd don of the week -BONUS</v>
      </c>
      <c r="J2698" t="s">
        <v>546</v>
      </c>
      <c r="K2698" s="5">
        <v>50</v>
      </c>
      <c r="L2698" t="str">
        <f>Table_DataFromNL[[#This Row],[PROFILECODE]]&amp;"-"&amp;Table_DataFromNL[[#This Row],[RULENAME]]</f>
        <v>CP957-2X Week P NSP NS AP</v>
      </c>
      <c r="M2698" t="str">
        <f t="shared" si="299"/>
        <v>CP957-RETURN - 2nd don of the week -BONUS</v>
      </c>
    </row>
    <row r="2699" spans="1:13" x14ac:dyDescent="0.25">
      <c r="A2699" t="str">
        <f t="shared" si="300"/>
        <v>CP957-RETURN - 6th don of the month -BONUS</v>
      </c>
      <c r="B2699" t="s">
        <v>340</v>
      </c>
      <c r="C2699" t="str">
        <f t="shared" si="294"/>
        <v>Rocky Mount</v>
      </c>
      <c r="D2699" t="str">
        <f t="shared" si="295"/>
        <v>Y</v>
      </c>
      <c r="E2699" t="s">
        <v>663</v>
      </c>
      <c r="F2699" t="str">
        <f t="shared" si="296"/>
        <v>RETURN - 6th don of the month -BONUS</v>
      </c>
      <c r="G2699" t="str">
        <f t="shared" si="297"/>
        <v>Marketing</v>
      </c>
      <c r="H2699" t="s">
        <v>552</v>
      </c>
      <c r="I2699">
        <f t="shared" si="298"/>
        <v>28</v>
      </c>
      <c r="J2699" t="s">
        <v>546</v>
      </c>
      <c r="K2699" s="5">
        <v>30</v>
      </c>
      <c r="L2699" t="str">
        <f>Table_DataFromNL[[#This Row],[PROFILECODE]]&amp;"-"&amp;Table_DataFromNL[[#This Row],[RULENAME]]</f>
        <v>CP957-6X Month</v>
      </c>
      <c r="M2699" t="str">
        <f t="shared" si="299"/>
        <v>CP957-RETURN - 6th don of the month -BONUS</v>
      </c>
    </row>
    <row r="2700" spans="1:13" x14ac:dyDescent="0.25">
      <c r="A2700" t="str">
        <f t="shared" si="300"/>
        <v>CP957-College ID Standard Bonus</v>
      </c>
      <c r="B2700" t="s">
        <v>340</v>
      </c>
      <c r="C2700" t="str">
        <f t="shared" si="294"/>
        <v>Rocky Mount</v>
      </c>
      <c r="D2700" t="str">
        <f t="shared" si="295"/>
        <v>Y</v>
      </c>
      <c r="E2700" t="s">
        <v>663</v>
      </c>
      <c r="F2700" t="str">
        <f t="shared" si="296"/>
        <v>College ID Standard Bonus</v>
      </c>
      <c r="G2700">
        <f t="shared" si="297"/>
        <v>0</v>
      </c>
      <c r="H2700" t="s">
        <v>553</v>
      </c>
      <c r="I2700">
        <f t="shared" si="298"/>
        <v>0</v>
      </c>
      <c r="J2700" t="s">
        <v>546</v>
      </c>
      <c r="K2700" s="5">
        <v>5</v>
      </c>
      <c r="L2700" t="str">
        <f>Table_DataFromNL[[#This Row],[PROFILECODE]]&amp;"-"&amp;Table_DataFromNL[[#This Row],[RULENAME]]</f>
        <v>CP957-College ID Standard Bonus</v>
      </c>
      <c r="M2700" t="e">
        <f t="shared" si="299"/>
        <v>#N/A</v>
      </c>
    </row>
    <row r="2701" spans="1:13" x14ac:dyDescent="0.25">
      <c r="A2701" t="str">
        <f t="shared" si="300"/>
        <v>CP957-Military ID</v>
      </c>
      <c r="B2701" t="s">
        <v>340</v>
      </c>
      <c r="C2701" t="str">
        <f t="shared" si="294"/>
        <v>Rocky Mount</v>
      </c>
      <c r="D2701" t="str">
        <f t="shared" si="295"/>
        <v>Y</v>
      </c>
      <c r="E2701" t="s">
        <v>663</v>
      </c>
      <c r="F2701" t="str">
        <f t="shared" si="296"/>
        <v>Military ID</v>
      </c>
      <c r="G2701">
        <f t="shared" si="297"/>
        <v>0</v>
      </c>
      <c r="H2701" t="s">
        <v>554</v>
      </c>
      <c r="I2701">
        <f t="shared" si="298"/>
        <v>0</v>
      </c>
      <c r="J2701" t="s">
        <v>546</v>
      </c>
      <c r="K2701" s="5">
        <v>5</v>
      </c>
      <c r="L2701" t="str">
        <f>Table_DataFromNL[[#This Row],[PROFILECODE]]&amp;"-"&amp;Table_DataFromNL[[#This Row],[RULENAME]]</f>
        <v>CP957-Military ID</v>
      </c>
      <c r="M2701" t="e">
        <f t="shared" si="299"/>
        <v>#N/A</v>
      </c>
    </row>
    <row r="2702" spans="1:13" x14ac:dyDescent="0.25">
      <c r="A2702" t="str">
        <f t="shared" si="300"/>
        <v>CP957-NEW DONOR -1st</v>
      </c>
      <c r="B2702" t="s">
        <v>340</v>
      </c>
      <c r="C2702" t="str">
        <f t="shared" si="294"/>
        <v>Rocky Mount</v>
      </c>
      <c r="D2702" t="str">
        <f t="shared" si="295"/>
        <v>Y</v>
      </c>
      <c r="E2702" t="s">
        <v>663</v>
      </c>
      <c r="F2702" t="str">
        <f t="shared" si="296"/>
        <v>NEW DONOR -1st</v>
      </c>
      <c r="G2702" t="str">
        <f t="shared" si="297"/>
        <v>Marketing</v>
      </c>
      <c r="H2702" t="s">
        <v>555</v>
      </c>
      <c r="I2702">
        <f t="shared" si="298"/>
        <v>1</v>
      </c>
      <c r="J2702" t="s">
        <v>546</v>
      </c>
      <c r="K2702" s="5">
        <v>100</v>
      </c>
      <c r="L2702" t="str">
        <f>Table_DataFromNL[[#This Row],[PROFILECODE]]&amp;"-"&amp;Table_DataFromNL[[#This Row],[RULENAME]]</f>
        <v>CP957-New Donor 1st Visit-Bonus</v>
      </c>
      <c r="M2702" t="str">
        <f t="shared" si="299"/>
        <v>CP957-NEW DONOR -1st</v>
      </c>
    </row>
    <row r="2703" spans="1:13" x14ac:dyDescent="0.25">
      <c r="A2703" t="str">
        <f t="shared" si="300"/>
        <v>CP957-NEW DONOR -2nd</v>
      </c>
      <c r="B2703" t="s">
        <v>340</v>
      </c>
      <c r="C2703" t="str">
        <f t="shared" si="294"/>
        <v>Rocky Mount</v>
      </c>
      <c r="D2703" t="str">
        <f t="shared" si="295"/>
        <v>Y</v>
      </c>
      <c r="E2703" t="s">
        <v>663</v>
      </c>
      <c r="F2703" t="str">
        <f t="shared" si="296"/>
        <v>NEW DONOR -2nd</v>
      </c>
      <c r="G2703" t="str">
        <f t="shared" si="297"/>
        <v>Marketing</v>
      </c>
      <c r="H2703" t="s">
        <v>556</v>
      </c>
      <c r="I2703">
        <f t="shared" si="298"/>
        <v>2</v>
      </c>
      <c r="J2703" t="s">
        <v>546</v>
      </c>
      <c r="K2703" s="5">
        <v>100</v>
      </c>
      <c r="L2703" t="str">
        <f>Table_DataFromNL[[#This Row],[PROFILECODE]]&amp;"-"&amp;Table_DataFromNL[[#This Row],[RULENAME]]</f>
        <v>CP957-New Donor 2nd Visit-Bonus</v>
      </c>
      <c r="M2703" t="str">
        <f t="shared" si="299"/>
        <v>CP957-NEW DONOR -2nd</v>
      </c>
    </row>
    <row r="2704" spans="1:13" x14ac:dyDescent="0.25">
      <c r="A2704" t="str">
        <f t="shared" si="300"/>
        <v>CP957-NEW DONOR -3rd</v>
      </c>
      <c r="B2704" t="s">
        <v>340</v>
      </c>
      <c r="C2704" t="str">
        <f t="shared" si="294"/>
        <v>Rocky Mount</v>
      </c>
      <c r="D2704" t="str">
        <f t="shared" si="295"/>
        <v>Y</v>
      </c>
      <c r="E2704" t="s">
        <v>663</v>
      </c>
      <c r="F2704" t="str">
        <f t="shared" si="296"/>
        <v>NEW DONOR -3rd</v>
      </c>
      <c r="G2704" t="str">
        <f t="shared" si="297"/>
        <v>Marketing</v>
      </c>
      <c r="H2704" t="s">
        <v>557</v>
      </c>
      <c r="I2704">
        <f t="shared" si="298"/>
        <v>3</v>
      </c>
      <c r="J2704" t="s">
        <v>546</v>
      </c>
      <c r="K2704" s="5">
        <v>100</v>
      </c>
      <c r="L2704" t="str">
        <f>Table_DataFromNL[[#This Row],[PROFILECODE]]&amp;"-"&amp;Table_DataFromNL[[#This Row],[RULENAME]]</f>
        <v>CP957-New Donor 3rd Visit-Bonus</v>
      </c>
      <c r="M2704" t="str">
        <f t="shared" si="299"/>
        <v>CP957-NEW DONOR -3rd</v>
      </c>
    </row>
    <row r="2705" spans="1:13" x14ac:dyDescent="0.25">
      <c r="A2705" t="str">
        <f t="shared" si="300"/>
        <v>CP957-NEW DONOR -4th</v>
      </c>
      <c r="B2705" t="s">
        <v>340</v>
      </c>
      <c r="C2705" t="str">
        <f t="shared" si="294"/>
        <v>Rocky Mount</v>
      </c>
      <c r="D2705" t="str">
        <f t="shared" si="295"/>
        <v>Y</v>
      </c>
      <c r="E2705" t="s">
        <v>663</v>
      </c>
      <c r="F2705" t="str">
        <f t="shared" si="296"/>
        <v>NEW DONOR -4th</v>
      </c>
      <c r="G2705" t="str">
        <f t="shared" si="297"/>
        <v>Marketing</v>
      </c>
      <c r="H2705" t="s">
        <v>558</v>
      </c>
      <c r="I2705">
        <f t="shared" si="298"/>
        <v>4</v>
      </c>
      <c r="J2705" t="s">
        <v>546</v>
      </c>
      <c r="K2705" s="5">
        <v>100</v>
      </c>
      <c r="L2705" t="str">
        <f>Table_DataFromNL[[#This Row],[PROFILECODE]]&amp;"-"&amp;Table_DataFromNL[[#This Row],[RULENAME]]</f>
        <v>CP957-New Donor 4th Visit-Bonus</v>
      </c>
      <c r="M2705" t="str">
        <f t="shared" si="299"/>
        <v>CP957-NEW DONOR -4th</v>
      </c>
    </row>
    <row r="2706" spans="1:13" x14ac:dyDescent="0.25">
      <c r="A2706" t="str">
        <f t="shared" si="300"/>
        <v>CP957-NEW DONOR -5th</v>
      </c>
      <c r="B2706" t="s">
        <v>340</v>
      </c>
      <c r="C2706" t="str">
        <f t="shared" si="294"/>
        <v>Rocky Mount</v>
      </c>
      <c r="D2706" t="str">
        <f t="shared" si="295"/>
        <v>Y</v>
      </c>
      <c r="E2706" t="s">
        <v>663</v>
      </c>
      <c r="F2706" t="str">
        <f t="shared" si="296"/>
        <v>NEW DONOR -5th</v>
      </c>
      <c r="G2706" t="str">
        <f t="shared" si="297"/>
        <v>Marketing</v>
      </c>
      <c r="H2706" t="s">
        <v>559</v>
      </c>
      <c r="I2706">
        <f t="shared" si="298"/>
        <v>5</v>
      </c>
      <c r="J2706" t="s">
        <v>546</v>
      </c>
      <c r="K2706" s="5">
        <v>40</v>
      </c>
      <c r="L2706" t="str">
        <f>Table_DataFromNL[[#This Row],[PROFILECODE]]&amp;"-"&amp;Table_DataFromNL[[#This Row],[RULENAME]]</f>
        <v>CP957-New Donor 5th Visit-Bonus</v>
      </c>
      <c r="M2706" t="str">
        <f t="shared" si="299"/>
        <v>CP957-NEW DONOR -5th</v>
      </c>
    </row>
    <row r="2707" spans="1:13" x14ac:dyDescent="0.25">
      <c r="A2707" t="str">
        <f t="shared" si="300"/>
        <v>CP957-NEW DONOR -6th</v>
      </c>
      <c r="B2707" t="s">
        <v>340</v>
      </c>
      <c r="C2707" t="str">
        <f t="shared" si="294"/>
        <v>Rocky Mount</v>
      </c>
      <c r="D2707" t="str">
        <f t="shared" si="295"/>
        <v>Y</v>
      </c>
      <c r="E2707" t="s">
        <v>663</v>
      </c>
      <c r="F2707" t="str">
        <f t="shared" si="296"/>
        <v>NEW DONOR -6th</v>
      </c>
      <c r="G2707" t="str">
        <f t="shared" si="297"/>
        <v>Marketing</v>
      </c>
      <c r="H2707" t="s">
        <v>560</v>
      </c>
      <c r="I2707">
        <f t="shared" si="298"/>
        <v>6</v>
      </c>
      <c r="J2707" t="s">
        <v>546</v>
      </c>
      <c r="K2707" s="5">
        <v>40</v>
      </c>
      <c r="L2707" t="str">
        <f>Table_DataFromNL[[#This Row],[PROFILECODE]]&amp;"-"&amp;Table_DataFromNL[[#This Row],[RULENAME]]</f>
        <v>CP957-New Donor 6th Visit-Bonus</v>
      </c>
      <c r="M2707" t="str">
        <f t="shared" si="299"/>
        <v>CP957-NEW DONOR -6th</v>
      </c>
    </row>
    <row r="2708" spans="1:13" x14ac:dyDescent="0.25">
      <c r="A2708" t="str">
        <f t="shared" si="300"/>
        <v>CP957-NEW DONOR -7th</v>
      </c>
      <c r="B2708" t="s">
        <v>340</v>
      </c>
      <c r="C2708" t="str">
        <f t="shared" si="294"/>
        <v>Rocky Mount</v>
      </c>
      <c r="D2708" t="str">
        <f t="shared" si="295"/>
        <v>Y</v>
      </c>
      <c r="E2708" t="s">
        <v>663</v>
      </c>
      <c r="F2708" t="str">
        <f t="shared" si="296"/>
        <v>NEW DONOR -7th</v>
      </c>
      <c r="G2708" t="str">
        <f t="shared" si="297"/>
        <v>Marketing</v>
      </c>
      <c r="H2708" t="s">
        <v>561</v>
      </c>
      <c r="I2708">
        <f t="shared" si="298"/>
        <v>7</v>
      </c>
      <c r="J2708" t="s">
        <v>546</v>
      </c>
      <c r="K2708" s="5">
        <v>40</v>
      </c>
      <c r="L2708" t="str">
        <f>Table_DataFromNL[[#This Row],[PROFILECODE]]&amp;"-"&amp;Table_DataFromNL[[#This Row],[RULENAME]]</f>
        <v>CP957-New Donor 7th Visit-Bonus</v>
      </c>
      <c r="M2708" t="str">
        <f t="shared" si="299"/>
        <v>CP957-NEW DONOR -7th</v>
      </c>
    </row>
    <row r="2709" spans="1:13" x14ac:dyDescent="0.25">
      <c r="A2709" t="str">
        <f t="shared" si="300"/>
        <v>CP957-NEW DONOR -8th</v>
      </c>
      <c r="B2709" t="s">
        <v>340</v>
      </c>
      <c r="C2709" t="str">
        <f t="shared" si="294"/>
        <v>Rocky Mount</v>
      </c>
      <c r="D2709" t="str">
        <f t="shared" si="295"/>
        <v>Y</v>
      </c>
      <c r="E2709" t="s">
        <v>663</v>
      </c>
      <c r="F2709" t="str">
        <f t="shared" si="296"/>
        <v>NEW DONOR -8th</v>
      </c>
      <c r="G2709" t="str">
        <f t="shared" si="297"/>
        <v>Marketing</v>
      </c>
      <c r="H2709" t="s">
        <v>562</v>
      </c>
      <c r="I2709">
        <f t="shared" si="298"/>
        <v>8</v>
      </c>
      <c r="J2709" t="s">
        <v>546</v>
      </c>
      <c r="K2709" s="5">
        <v>40</v>
      </c>
      <c r="L2709" t="str">
        <f>Table_DataFromNL[[#This Row],[PROFILECODE]]&amp;"-"&amp;Table_DataFromNL[[#This Row],[RULENAME]]</f>
        <v>CP957-New Donor 8th Visit-Bonus</v>
      </c>
      <c r="M2709" t="str">
        <f t="shared" si="299"/>
        <v>CP957-NEW DONOR -8th</v>
      </c>
    </row>
    <row r="2710" spans="1:13" x14ac:dyDescent="0.25">
      <c r="A2710" t="str">
        <f t="shared" si="300"/>
        <v>CP957-Community</v>
      </c>
      <c r="B2710" t="s">
        <v>340</v>
      </c>
      <c r="C2710" t="str">
        <f t="shared" si="294"/>
        <v>Rocky Mount</v>
      </c>
      <c r="D2710" t="str">
        <f t="shared" si="295"/>
        <v>Y</v>
      </c>
      <c r="E2710" t="s">
        <v>663</v>
      </c>
      <c r="F2710" t="str">
        <f t="shared" si="296"/>
        <v>Community</v>
      </c>
      <c r="G2710">
        <f t="shared" si="297"/>
        <v>0</v>
      </c>
      <c r="H2710" t="s">
        <v>563</v>
      </c>
      <c r="I2710">
        <f t="shared" si="298"/>
        <v>0</v>
      </c>
      <c r="J2710" t="s">
        <v>564</v>
      </c>
      <c r="K2710" s="5">
        <v>5</v>
      </c>
      <c r="L2710" t="str">
        <f>Table_DataFromNL[[#This Row],[PROFILECODE]]&amp;"-"&amp;Table_DataFromNL[[#This Row],[RULENAME]]</f>
        <v>CP957-Community</v>
      </c>
      <c r="M2710" t="e">
        <f t="shared" si="299"/>
        <v>#N/A</v>
      </c>
    </row>
    <row r="2711" spans="1:13" x14ac:dyDescent="0.25">
      <c r="A2711" t="str">
        <f t="shared" si="300"/>
        <v>CP957-HANGER_RECRUIT_5USD_once</v>
      </c>
      <c r="B2711" t="s">
        <v>340</v>
      </c>
      <c r="C2711" t="str">
        <f t="shared" si="294"/>
        <v>Rocky Mount</v>
      </c>
      <c r="D2711" t="str">
        <f t="shared" si="295"/>
        <v>Y</v>
      </c>
      <c r="E2711" t="s">
        <v>663</v>
      </c>
      <c r="F2711" t="str">
        <f t="shared" si="296"/>
        <v>HANGER_RECRUIT_5USD_once</v>
      </c>
      <c r="G2711">
        <f t="shared" si="297"/>
        <v>0</v>
      </c>
      <c r="H2711" t="s">
        <v>565</v>
      </c>
      <c r="I2711">
        <f t="shared" si="298"/>
        <v>0</v>
      </c>
      <c r="J2711" t="s">
        <v>564</v>
      </c>
      <c r="K2711" s="5">
        <v>5</v>
      </c>
      <c r="L2711" t="str">
        <f>Table_DataFromNL[[#This Row],[PROFILECODE]]&amp;"-"&amp;Table_DataFromNL[[#This Row],[RULENAME]]</f>
        <v>CP957-HANGER_RECRUIT_5USD_once</v>
      </c>
      <c r="M2711" t="e">
        <f t="shared" si="299"/>
        <v>#N/A</v>
      </c>
    </row>
    <row r="2712" spans="1:13" x14ac:dyDescent="0.25">
      <c r="A2712" t="str">
        <f t="shared" si="300"/>
        <v>CP957-Inconv Fee $20-$50-Comment Req'd</v>
      </c>
      <c r="B2712" t="s">
        <v>340</v>
      </c>
      <c r="C2712" t="str">
        <f t="shared" si="294"/>
        <v>Rocky Mount</v>
      </c>
      <c r="D2712" t="str">
        <f t="shared" si="295"/>
        <v>Y</v>
      </c>
      <c r="E2712" t="s">
        <v>663</v>
      </c>
      <c r="F2712" t="str">
        <f t="shared" si="296"/>
        <v>Inconv Fee $20-$50-Comment Req'd</v>
      </c>
      <c r="G2712">
        <f t="shared" si="297"/>
        <v>0</v>
      </c>
      <c r="H2712" t="s">
        <v>566</v>
      </c>
      <c r="I2712">
        <f t="shared" si="298"/>
        <v>0</v>
      </c>
      <c r="J2712" t="s">
        <v>564</v>
      </c>
      <c r="K2712" s="5">
        <v>50</v>
      </c>
      <c r="L2712" t="str">
        <f>Table_DataFromNL[[#This Row],[PROFILECODE]]&amp;"-"&amp;Table_DataFromNL[[#This Row],[RULENAME]]</f>
        <v>CP957-Inconv Fee $20-$50-Comment Req'd</v>
      </c>
      <c r="M2712" t="e">
        <f t="shared" si="299"/>
        <v>#N/A</v>
      </c>
    </row>
    <row r="2713" spans="1:13" x14ac:dyDescent="0.25">
      <c r="A2713" t="str">
        <f t="shared" si="300"/>
        <v>CP957-Inconv Fee $5-$20-Comment Req'd</v>
      </c>
      <c r="B2713" t="s">
        <v>340</v>
      </c>
      <c r="C2713" t="str">
        <f t="shared" si="294"/>
        <v>Rocky Mount</v>
      </c>
      <c r="D2713" t="str">
        <f t="shared" si="295"/>
        <v>Y</v>
      </c>
      <c r="E2713" t="s">
        <v>663</v>
      </c>
      <c r="F2713" t="str">
        <f t="shared" si="296"/>
        <v>Inconv Fee $5-$20-Comment Req'd</v>
      </c>
      <c r="G2713">
        <f t="shared" si="297"/>
        <v>0</v>
      </c>
      <c r="H2713" t="s">
        <v>567</v>
      </c>
      <c r="I2713">
        <f t="shared" si="298"/>
        <v>0</v>
      </c>
      <c r="J2713" t="s">
        <v>564</v>
      </c>
      <c r="K2713" s="5">
        <v>20</v>
      </c>
      <c r="L2713" t="str">
        <f>Table_DataFromNL[[#This Row],[PROFILECODE]]&amp;"-"&amp;Table_DataFromNL[[#This Row],[RULENAME]]</f>
        <v>CP957-Inconv Fee $5-$20-Comment Req'd</v>
      </c>
      <c r="M2713" t="e">
        <f t="shared" si="299"/>
        <v>#N/A</v>
      </c>
    </row>
    <row r="2714" spans="1:13" x14ac:dyDescent="0.25">
      <c r="A2714" t="str">
        <f t="shared" si="300"/>
        <v>CP957-Inconv Fee$50-$100-Comment Req'd</v>
      </c>
      <c r="B2714" t="s">
        <v>340</v>
      </c>
      <c r="C2714" t="str">
        <f t="shared" si="294"/>
        <v>Rocky Mount</v>
      </c>
      <c r="D2714" t="str">
        <f t="shared" si="295"/>
        <v>Y</v>
      </c>
      <c r="E2714" t="s">
        <v>663</v>
      </c>
      <c r="F2714" t="str">
        <f t="shared" si="296"/>
        <v>Inconv Fee$50-$100-Comment Req'd</v>
      </c>
      <c r="G2714">
        <f t="shared" si="297"/>
        <v>0</v>
      </c>
      <c r="H2714" t="s">
        <v>568</v>
      </c>
      <c r="I2714">
        <f t="shared" si="298"/>
        <v>0</v>
      </c>
      <c r="J2714" t="s">
        <v>564</v>
      </c>
      <c r="K2714" s="5">
        <v>100</v>
      </c>
      <c r="L2714" t="str">
        <f>Table_DataFromNL[[#This Row],[PROFILECODE]]&amp;"-"&amp;Table_DataFromNL[[#This Row],[RULENAME]]</f>
        <v>CP957-Inconv Fee$50-$100-Comment Req'd</v>
      </c>
      <c r="M2714" t="e">
        <f t="shared" si="299"/>
        <v>#N/A</v>
      </c>
    </row>
    <row r="2715" spans="1:13" x14ac:dyDescent="0.25">
      <c r="A2715" t="str">
        <f t="shared" si="300"/>
        <v>CP957-NSP_ LAPSEDONOR_50_Twice</v>
      </c>
      <c r="B2715" t="s">
        <v>340</v>
      </c>
      <c r="C2715" t="str">
        <f t="shared" si="294"/>
        <v>Rocky Mount</v>
      </c>
      <c r="D2715" t="str">
        <f t="shared" si="295"/>
        <v>Y</v>
      </c>
      <c r="E2715" t="s">
        <v>663</v>
      </c>
      <c r="F2715" t="str">
        <f t="shared" si="296"/>
        <v>NSP_ LAPSEDONOR_50_Twice</v>
      </c>
      <c r="G2715">
        <f t="shared" si="297"/>
        <v>0</v>
      </c>
      <c r="H2715" t="s">
        <v>569</v>
      </c>
      <c r="I2715">
        <f t="shared" si="298"/>
        <v>0</v>
      </c>
      <c r="J2715" t="s">
        <v>564</v>
      </c>
      <c r="K2715" s="5">
        <v>50</v>
      </c>
      <c r="L2715" t="str">
        <f>Table_DataFromNL[[#This Row],[PROFILECODE]]&amp;"-"&amp;Table_DataFromNL[[#This Row],[RULENAME]]</f>
        <v>CP957-NSP_ LAPSEDONOR_50_Twice</v>
      </c>
      <c r="M2715" t="e">
        <f t="shared" si="299"/>
        <v>#N/A</v>
      </c>
    </row>
    <row r="2716" spans="1:13" x14ac:dyDescent="0.25">
      <c r="A2716" t="str">
        <f t="shared" si="300"/>
        <v>CP957-NSP_LD_25_2X</v>
      </c>
      <c r="B2716" t="s">
        <v>340</v>
      </c>
      <c r="C2716" t="str">
        <f t="shared" si="294"/>
        <v>Rocky Mount</v>
      </c>
      <c r="D2716" t="str">
        <f t="shared" si="295"/>
        <v>Y</v>
      </c>
      <c r="E2716" t="s">
        <v>663</v>
      </c>
      <c r="F2716" t="str">
        <f t="shared" si="296"/>
        <v>NSP_LD_25_2X</v>
      </c>
      <c r="G2716">
        <f t="shared" si="297"/>
        <v>0</v>
      </c>
      <c r="H2716" t="s">
        <v>570</v>
      </c>
      <c r="I2716">
        <f t="shared" si="298"/>
        <v>0</v>
      </c>
      <c r="J2716" t="s">
        <v>564</v>
      </c>
      <c r="K2716" s="5">
        <v>25</v>
      </c>
      <c r="L2716" t="str">
        <f>Table_DataFromNL[[#This Row],[PROFILECODE]]&amp;"-"&amp;Table_DataFromNL[[#This Row],[RULENAME]]</f>
        <v>CP957-NSP_LD_25_2X</v>
      </c>
      <c r="M2716" t="e">
        <f t="shared" si="299"/>
        <v>#N/A</v>
      </c>
    </row>
    <row r="2717" spans="1:13" x14ac:dyDescent="0.25">
      <c r="A2717" t="str">
        <f t="shared" si="300"/>
        <v>CP957-NSP_LD_50_1X</v>
      </c>
      <c r="B2717" t="s">
        <v>340</v>
      </c>
      <c r="C2717" t="str">
        <f t="shared" si="294"/>
        <v>Rocky Mount</v>
      </c>
      <c r="D2717" t="str">
        <f t="shared" si="295"/>
        <v>Y</v>
      </c>
      <c r="E2717" t="s">
        <v>663</v>
      </c>
      <c r="F2717" t="str">
        <f t="shared" si="296"/>
        <v>NSP_LD_50_1X</v>
      </c>
      <c r="G2717">
        <f t="shared" si="297"/>
        <v>0</v>
      </c>
      <c r="H2717" t="s">
        <v>571</v>
      </c>
      <c r="I2717">
        <f t="shared" si="298"/>
        <v>0</v>
      </c>
      <c r="J2717" t="s">
        <v>564</v>
      </c>
      <c r="K2717" s="5">
        <v>50</v>
      </c>
      <c r="L2717" t="str">
        <f>Table_DataFromNL[[#This Row],[PROFILECODE]]&amp;"-"&amp;Table_DataFromNL[[#This Row],[RULENAME]]</f>
        <v>CP957-NSP_LD_50_1X</v>
      </c>
      <c r="M2717" t="e">
        <f t="shared" si="299"/>
        <v>#N/A</v>
      </c>
    </row>
    <row r="2718" spans="1:13" x14ac:dyDescent="0.25">
      <c r="A2718" t="str">
        <f t="shared" si="300"/>
        <v>CP957-NSP_ORPHAN_100_once</v>
      </c>
      <c r="B2718" t="s">
        <v>340</v>
      </c>
      <c r="C2718" t="str">
        <f t="shared" si="294"/>
        <v>Rocky Mount</v>
      </c>
      <c r="D2718" t="str">
        <f t="shared" si="295"/>
        <v>Y</v>
      </c>
      <c r="E2718" t="s">
        <v>663</v>
      </c>
      <c r="F2718" t="str">
        <f t="shared" si="296"/>
        <v>NSP_ORPHAN_100_once</v>
      </c>
      <c r="G2718">
        <f t="shared" si="297"/>
        <v>0</v>
      </c>
      <c r="H2718" t="s">
        <v>572</v>
      </c>
      <c r="I2718">
        <f t="shared" si="298"/>
        <v>0</v>
      </c>
      <c r="J2718" t="s">
        <v>564</v>
      </c>
      <c r="K2718" s="5">
        <v>100</v>
      </c>
      <c r="L2718" t="str">
        <f>Table_DataFromNL[[#This Row],[PROFILECODE]]&amp;"-"&amp;Table_DataFromNL[[#This Row],[RULENAME]]</f>
        <v>CP957-NSP_ORPHAN_100_once</v>
      </c>
      <c r="M2718" t="e">
        <f t="shared" si="299"/>
        <v>#N/A</v>
      </c>
    </row>
    <row r="2719" spans="1:13" x14ac:dyDescent="0.25">
      <c r="A2719" t="str">
        <f t="shared" si="300"/>
        <v>CP957-Restick</v>
      </c>
      <c r="B2719" t="s">
        <v>340</v>
      </c>
      <c r="C2719" t="str">
        <f t="shared" si="294"/>
        <v>Rocky Mount</v>
      </c>
      <c r="D2719" t="str">
        <f t="shared" si="295"/>
        <v>Y</v>
      </c>
      <c r="E2719" t="s">
        <v>663</v>
      </c>
      <c r="F2719" t="str">
        <f t="shared" si="296"/>
        <v>Restick</v>
      </c>
      <c r="G2719">
        <f t="shared" si="297"/>
        <v>0</v>
      </c>
      <c r="H2719" t="s">
        <v>573</v>
      </c>
      <c r="I2719">
        <f t="shared" si="298"/>
        <v>0</v>
      </c>
      <c r="J2719" t="s">
        <v>564</v>
      </c>
      <c r="K2719" s="5">
        <v>5</v>
      </c>
      <c r="L2719" t="str">
        <f>Table_DataFromNL[[#This Row],[PROFILECODE]]&amp;"-"&amp;Table_DataFromNL[[#This Row],[RULENAME]]</f>
        <v>CP957-Restick</v>
      </c>
      <c r="M2719" t="e">
        <f t="shared" si="299"/>
        <v>#N/A</v>
      </c>
    </row>
    <row r="2720" spans="1:13" x14ac:dyDescent="0.25">
      <c r="A2720" t="str">
        <f t="shared" si="300"/>
        <v>CP957-SLOW_TEXT_5</v>
      </c>
      <c r="B2720" t="s">
        <v>340</v>
      </c>
      <c r="C2720" t="str">
        <f t="shared" si="294"/>
        <v>Rocky Mount</v>
      </c>
      <c r="D2720" t="str">
        <f t="shared" si="295"/>
        <v>Y</v>
      </c>
      <c r="E2720" t="s">
        <v>663</v>
      </c>
      <c r="F2720" t="str">
        <f t="shared" si="296"/>
        <v>SLOW_TEXT_5</v>
      </c>
      <c r="G2720">
        <f t="shared" si="297"/>
        <v>0</v>
      </c>
      <c r="H2720" t="s">
        <v>574</v>
      </c>
      <c r="I2720">
        <f t="shared" si="298"/>
        <v>0</v>
      </c>
      <c r="J2720" t="s">
        <v>564</v>
      </c>
      <c r="K2720" s="5">
        <v>5</v>
      </c>
      <c r="L2720" t="str">
        <f>Table_DataFromNL[[#This Row],[PROFILECODE]]&amp;"-"&amp;Table_DataFromNL[[#This Row],[RULENAME]]</f>
        <v>CP957-SLOW_TEXT_5</v>
      </c>
      <c r="M2720" t="e">
        <f t="shared" si="299"/>
        <v>#N/A</v>
      </c>
    </row>
    <row r="2721" spans="1:13" x14ac:dyDescent="0.25">
      <c r="A2721" t="str">
        <f t="shared" si="300"/>
        <v>CP957-Sample Only</v>
      </c>
      <c r="B2721" t="s">
        <v>340</v>
      </c>
      <c r="C2721" t="str">
        <f t="shared" si="294"/>
        <v>Rocky Mount</v>
      </c>
      <c r="D2721" t="str">
        <f t="shared" si="295"/>
        <v>Y</v>
      </c>
      <c r="E2721" t="s">
        <v>663</v>
      </c>
      <c r="F2721" t="str">
        <f t="shared" si="296"/>
        <v>Sample Only</v>
      </c>
      <c r="G2721">
        <f t="shared" si="297"/>
        <v>0</v>
      </c>
      <c r="H2721" t="s">
        <v>575</v>
      </c>
      <c r="I2721">
        <f t="shared" si="298"/>
        <v>0</v>
      </c>
      <c r="J2721" t="s">
        <v>564</v>
      </c>
      <c r="K2721" s="5">
        <v>5</v>
      </c>
      <c r="L2721" t="str">
        <f>Table_DataFromNL[[#This Row],[PROFILECODE]]&amp;"-"&amp;Table_DataFromNL[[#This Row],[RULENAME]]</f>
        <v>CP957-Sample Only</v>
      </c>
      <c r="M2721" t="e">
        <f t="shared" si="299"/>
        <v>#N/A</v>
      </c>
    </row>
    <row r="2722" spans="1:13" x14ac:dyDescent="0.25">
      <c r="A2722" t="str">
        <f t="shared" si="300"/>
        <v>CP957-Unit Below 250 mL</v>
      </c>
      <c r="B2722" t="s">
        <v>340</v>
      </c>
      <c r="C2722" t="str">
        <f t="shared" si="294"/>
        <v>Rocky Mount</v>
      </c>
      <c r="D2722" t="str">
        <f t="shared" si="295"/>
        <v>Y</v>
      </c>
      <c r="E2722" t="s">
        <v>663</v>
      </c>
      <c r="F2722" t="str">
        <f t="shared" si="296"/>
        <v>Unit Below 250 mL</v>
      </c>
      <c r="G2722">
        <f t="shared" si="297"/>
        <v>0</v>
      </c>
      <c r="H2722" t="s">
        <v>576</v>
      </c>
      <c r="I2722">
        <f t="shared" si="298"/>
        <v>0</v>
      </c>
      <c r="J2722" t="s">
        <v>564</v>
      </c>
      <c r="K2722" s="5">
        <v>5</v>
      </c>
      <c r="L2722" t="str">
        <f>Table_DataFromNL[[#This Row],[PROFILECODE]]&amp;"-"&amp;Table_DataFromNL[[#This Row],[RULENAME]]</f>
        <v>CP957-Unit Below 250 mL</v>
      </c>
      <c r="M2722" t="e">
        <f t="shared" si="299"/>
        <v>#N/A</v>
      </c>
    </row>
    <row r="2723" spans="1:13" x14ac:dyDescent="0.25">
      <c r="A2723" t="str">
        <f t="shared" si="300"/>
        <v>CP957-Unit above 250 mL/underdraw</v>
      </c>
      <c r="B2723" t="s">
        <v>340</v>
      </c>
      <c r="C2723" t="str">
        <f t="shared" si="294"/>
        <v>Rocky Mount</v>
      </c>
      <c r="D2723" t="str">
        <f t="shared" si="295"/>
        <v>Y</v>
      </c>
      <c r="E2723" t="s">
        <v>663</v>
      </c>
      <c r="F2723" t="str">
        <f t="shared" si="296"/>
        <v>Unit above 250 mL/underdraw</v>
      </c>
      <c r="G2723">
        <f t="shared" si="297"/>
        <v>0</v>
      </c>
      <c r="H2723" t="s">
        <v>577</v>
      </c>
      <c r="I2723">
        <f t="shared" si="298"/>
        <v>0</v>
      </c>
      <c r="J2723" t="s">
        <v>564</v>
      </c>
      <c r="K2723" s="5">
        <v>10</v>
      </c>
      <c r="L2723" t="str">
        <f>Table_DataFromNL[[#This Row],[PROFILECODE]]&amp;"-"&amp;Table_DataFromNL[[#This Row],[RULENAME]]</f>
        <v>CP957-Unit above 250 mL/underdraw</v>
      </c>
      <c r="M2723" t="e">
        <f t="shared" si="299"/>
        <v>#N/A</v>
      </c>
    </row>
    <row r="2724" spans="1:13" x14ac:dyDescent="0.25">
      <c r="A2724" t="str">
        <f t="shared" si="300"/>
        <v>CP957-RETURN - Buddy referral  -BONUS</v>
      </c>
      <c r="B2724" t="s">
        <v>340</v>
      </c>
      <c r="C2724" t="str">
        <f t="shared" si="294"/>
        <v>Rocky Mount</v>
      </c>
      <c r="D2724" t="str">
        <f t="shared" si="295"/>
        <v>Y</v>
      </c>
      <c r="E2724" t="s">
        <v>663</v>
      </c>
      <c r="F2724" t="str">
        <f t="shared" si="296"/>
        <v>RETURN - Buddy referral  -BONUS</v>
      </c>
      <c r="G2724" t="str">
        <f t="shared" si="297"/>
        <v>Marketing</v>
      </c>
      <c r="H2724" t="s">
        <v>34</v>
      </c>
      <c r="I2724">
        <f t="shared" si="298"/>
        <v>50</v>
      </c>
      <c r="J2724" t="s">
        <v>578</v>
      </c>
      <c r="K2724" s="5">
        <v>50</v>
      </c>
      <c r="L2724" t="str">
        <f>Table_DataFromNL[[#This Row],[PROFILECODE]]&amp;"-"&amp;Table_DataFromNL[[#This Row],[RULENAME]]</f>
        <v>CP957-Referral</v>
      </c>
      <c r="M2724" t="str">
        <f t="shared" si="299"/>
        <v>CP957-RETURN - Buddy referral  -BONUS</v>
      </c>
    </row>
    <row r="2725" spans="1:13" x14ac:dyDescent="0.25">
      <c r="A2725" t="str">
        <f t="shared" si="300"/>
        <v>CP957-P Anti-D Pre-Existing Standard</v>
      </c>
      <c r="B2725" t="s">
        <v>340</v>
      </c>
      <c r="C2725" t="str">
        <f t="shared" si="294"/>
        <v>Rocky Mount</v>
      </c>
      <c r="D2725" t="str">
        <f t="shared" si="295"/>
        <v>Y</v>
      </c>
      <c r="E2725" t="s">
        <v>663</v>
      </c>
      <c r="F2725" t="str">
        <f t="shared" si="296"/>
        <v>P Anti-D Pre-Existing Standard</v>
      </c>
      <c r="G2725" t="str">
        <f t="shared" si="297"/>
        <v>Specialty</v>
      </c>
      <c r="H2725" t="s">
        <v>469</v>
      </c>
      <c r="I2725" t="str">
        <f t="shared" si="298"/>
        <v>RETURN - 1st don of the week -STD</v>
      </c>
      <c r="J2725" t="s">
        <v>579</v>
      </c>
      <c r="K2725" s="5">
        <v>50</v>
      </c>
      <c r="L2725" t="str">
        <f>Table_DataFromNL[[#This Row],[PROFILECODE]]&amp;"-"&amp;Table_DataFromNL[[#This Row],[RULENAME]]</f>
        <v>CP957-P Anti-D Pre-Existing Standard</v>
      </c>
      <c r="M2725" t="str">
        <f t="shared" si="299"/>
        <v>CP957-P Anti-D Pre-Existing Standard</v>
      </c>
    </row>
    <row r="2726" spans="1:13" x14ac:dyDescent="0.25">
      <c r="A2726" t="str">
        <f t="shared" si="300"/>
        <v>CP957-RETURN - 1st don of the week -STD</v>
      </c>
      <c r="B2726" t="s">
        <v>340</v>
      </c>
      <c r="C2726" t="str">
        <f t="shared" si="294"/>
        <v>Rocky Mount</v>
      </c>
      <c r="D2726" t="str">
        <f t="shared" si="295"/>
        <v>Y</v>
      </c>
      <c r="E2726" t="s">
        <v>663</v>
      </c>
      <c r="F2726" t="str">
        <f t="shared" si="296"/>
        <v>RETURN - 1st don of the week -STD</v>
      </c>
      <c r="G2726" t="str">
        <f t="shared" si="297"/>
        <v>Marketing</v>
      </c>
      <c r="H2726" t="s">
        <v>583</v>
      </c>
      <c r="I2726">
        <f t="shared" si="298"/>
        <v>22</v>
      </c>
      <c r="J2726" t="s">
        <v>579</v>
      </c>
      <c r="K2726" s="5">
        <v>40</v>
      </c>
      <c r="L2726" t="str">
        <f>Table_DataFromNL[[#This Row],[PROFILECODE]]&amp;"-"&amp;Table_DataFromNL[[#This Row],[RULENAME]]</f>
        <v>CP957-P NSP NS AP Standard</v>
      </c>
      <c r="M2726" t="str">
        <f t="shared" si="299"/>
        <v>CP957-RETURN - 1st don of the week -STD</v>
      </c>
    </row>
    <row r="2727" spans="1:13" x14ac:dyDescent="0.25">
      <c r="A2727" t="str">
        <f t="shared" si="300"/>
        <v>CP957-RETURN - 1st don of the week -STD</v>
      </c>
      <c r="B2727" t="s">
        <v>340</v>
      </c>
      <c r="C2727" t="str">
        <f t="shared" si="294"/>
        <v>Rocky Mount</v>
      </c>
      <c r="D2727" t="str">
        <f t="shared" si="295"/>
        <v>Y</v>
      </c>
      <c r="E2727" t="s">
        <v>663</v>
      </c>
      <c r="F2727" t="str">
        <f t="shared" si="296"/>
        <v>RETURN - 1st don of the week -STD</v>
      </c>
      <c r="G2727" t="str">
        <f t="shared" si="297"/>
        <v>Marketing</v>
      </c>
      <c r="H2727" t="s">
        <v>584</v>
      </c>
      <c r="I2727">
        <f t="shared" si="298"/>
        <v>23</v>
      </c>
      <c r="J2727" t="s">
        <v>579</v>
      </c>
      <c r="K2727" s="5">
        <v>40</v>
      </c>
      <c r="L2727" t="str">
        <f>Table_DataFromNL[[#This Row],[PROFILECODE]]&amp;"-"&amp;Table_DataFromNL[[#This Row],[RULENAME]]</f>
        <v>CP957-P NSP NS Standard</v>
      </c>
      <c r="M2727" t="str">
        <f t="shared" si="299"/>
        <v>CP957-RETURN - 1st don of the week -STD</v>
      </c>
    </row>
    <row r="2728" spans="1:13" x14ac:dyDescent="0.25">
      <c r="A2728" t="str">
        <f t="shared" si="300"/>
        <v>CP529-1st Responder-Medical</v>
      </c>
      <c r="B2728" t="s">
        <v>54</v>
      </c>
      <c r="C2728" t="str">
        <f t="shared" si="294"/>
        <v>SA Commerce</v>
      </c>
      <c r="D2728" t="str">
        <f t="shared" si="295"/>
        <v>Y</v>
      </c>
      <c r="E2728" t="s">
        <v>664</v>
      </c>
      <c r="F2728" t="str">
        <f t="shared" si="296"/>
        <v>1st Responder-Medical</v>
      </c>
      <c r="G2728">
        <f t="shared" si="297"/>
        <v>0</v>
      </c>
      <c r="H2728" t="s">
        <v>545</v>
      </c>
      <c r="I2728">
        <f t="shared" si="298"/>
        <v>0</v>
      </c>
      <c r="J2728" t="s">
        <v>546</v>
      </c>
      <c r="K2728" s="5">
        <v>5</v>
      </c>
      <c r="L2728" t="str">
        <f>Table_DataFromNL[[#This Row],[PROFILECODE]]&amp;"-"&amp;Table_DataFromNL[[#This Row],[RULENAME]]</f>
        <v>CP529-1st Responder-Medical</v>
      </c>
      <c r="M2728" t="e">
        <f t="shared" si="299"/>
        <v>#N/A</v>
      </c>
    </row>
    <row r="2729" spans="1:13" x14ac:dyDescent="0.25">
      <c r="A2729" t="str">
        <f t="shared" si="300"/>
        <v>CP529-RETURN - 2nd don of the week -BONUS</v>
      </c>
      <c r="B2729" t="s">
        <v>54</v>
      </c>
      <c r="C2729" t="str">
        <f t="shared" si="294"/>
        <v>SA Commerce</v>
      </c>
      <c r="D2729" t="str">
        <f t="shared" si="295"/>
        <v>Y</v>
      </c>
      <c r="E2729" t="s">
        <v>664</v>
      </c>
      <c r="F2729" t="str">
        <f t="shared" si="296"/>
        <v>RETURN - 2nd don of the week -BONUS</v>
      </c>
      <c r="G2729" t="str">
        <f t="shared" si="297"/>
        <v>Marketing</v>
      </c>
      <c r="H2729" t="s">
        <v>550</v>
      </c>
      <c r="I2729">
        <f t="shared" si="298"/>
        <v>26</v>
      </c>
      <c r="J2729" t="s">
        <v>546</v>
      </c>
      <c r="K2729" s="5">
        <v>20</v>
      </c>
      <c r="L2729" t="str">
        <f>Table_DataFromNL[[#This Row],[PROFILECODE]]&amp;"-"&amp;Table_DataFromNL[[#This Row],[RULENAME]]</f>
        <v>CP529-2X Week P NSP NS</v>
      </c>
      <c r="M2729" t="str">
        <f t="shared" si="299"/>
        <v>CP529-RETURN - 2nd don of the week -BONUS</v>
      </c>
    </row>
    <row r="2730" spans="1:13" x14ac:dyDescent="0.25">
      <c r="A2730" t="str">
        <f t="shared" si="300"/>
        <v>CP529-RETURN - 2nd don of the week -BONUS</v>
      </c>
      <c r="B2730" t="s">
        <v>54</v>
      </c>
      <c r="C2730" t="str">
        <f t="shared" si="294"/>
        <v>SA Commerce</v>
      </c>
      <c r="D2730" t="str">
        <f t="shared" si="295"/>
        <v>Y</v>
      </c>
      <c r="E2730" t="s">
        <v>664</v>
      </c>
      <c r="F2730" t="str">
        <f t="shared" si="296"/>
        <v>RETURN - 2nd don of the week -BONUS</v>
      </c>
      <c r="G2730" t="str">
        <f t="shared" si="297"/>
        <v>Marketing</v>
      </c>
      <c r="H2730" t="s">
        <v>551</v>
      </c>
      <c r="I2730" t="str">
        <f t="shared" si="298"/>
        <v>RETURN - 2nd don of the week -BONUS</v>
      </c>
      <c r="J2730" t="s">
        <v>546</v>
      </c>
      <c r="K2730" s="5">
        <v>20</v>
      </c>
      <c r="L2730" t="str">
        <f>Table_DataFromNL[[#This Row],[PROFILECODE]]&amp;"-"&amp;Table_DataFromNL[[#This Row],[RULENAME]]</f>
        <v>CP529-2X Week P NSP NS AP</v>
      </c>
      <c r="M2730" t="str">
        <f t="shared" si="299"/>
        <v>CP529-RETURN - 2nd don of the week -BONUS</v>
      </c>
    </row>
    <row r="2731" spans="1:13" x14ac:dyDescent="0.25">
      <c r="A2731" t="str">
        <f t="shared" si="300"/>
        <v>CP529-RETURN - 6th don of the month -BONUS</v>
      </c>
      <c r="B2731" t="s">
        <v>54</v>
      </c>
      <c r="C2731" t="str">
        <f t="shared" si="294"/>
        <v>SA Commerce</v>
      </c>
      <c r="D2731" t="str">
        <f t="shared" si="295"/>
        <v>Y</v>
      </c>
      <c r="E2731" t="s">
        <v>664</v>
      </c>
      <c r="F2731" t="str">
        <f t="shared" si="296"/>
        <v>RETURN - 6th don of the month -BONUS</v>
      </c>
      <c r="G2731" t="str">
        <f t="shared" si="297"/>
        <v>Marketing</v>
      </c>
      <c r="H2731" t="s">
        <v>552</v>
      </c>
      <c r="I2731">
        <f t="shared" si="298"/>
        <v>28</v>
      </c>
      <c r="J2731" t="s">
        <v>546</v>
      </c>
      <c r="K2731" s="5">
        <v>30</v>
      </c>
      <c r="L2731" t="str">
        <f>Table_DataFromNL[[#This Row],[PROFILECODE]]&amp;"-"&amp;Table_DataFromNL[[#This Row],[RULENAME]]</f>
        <v>CP529-6X Month</v>
      </c>
      <c r="M2731" t="str">
        <f t="shared" si="299"/>
        <v>CP529-RETURN - 6th don of the month -BONUS</v>
      </c>
    </row>
    <row r="2732" spans="1:13" x14ac:dyDescent="0.25">
      <c r="A2732" t="str">
        <f t="shared" si="300"/>
        <v>CP529-College ID Standard Bonus</v>
      </c>
      <c r="B2732" t="s">
        <v>54</v>
      </c>
      <c r="C2732" t="str">
        <f t="shared" si="294"/>
        <v>SA Commerce</v>
      </c>
      <c r="D2732" t="str">
        <f t="shared" si="295"/>
        <v>Y</v>
      </c>
      <c r="E2732" t="s">
        <v>664</v>
      </c>
      <c r="F2732" t="str">
        <f t="shared" si="296"/>
        <v>College ID Standard Bonus</v>
      </c>
      <c r="G2732">
        <f t="shared" si="297"/>
        <v>0</v>
      </c>
      <c r="H2732" t="s">
        <v>553</v>
      </c>
      <c r="I2732">
        <f t="shared" si="298"/>
        <v>0</v>
      </c>
      <c r="J2732" t="s">
        <v>546</v>
      </c>
      <c r="K2732" s="5">
        <v>5</v>
      </c>
      <c r="L2732" t="str">
        <f>Table_DataFromNL[[#This Row],[PROFILECODE]]&amp;"-"&amp;Table_DataFromNL[[#This Row],[RULENAME]]</f>
        <v>CP529-College ID Standard Bonus</v>
      </c>
      <c r="M2732" t="e">
        <f t="shared" si="299"/>
        <v>#N/A</v>
      </c>
    </row>
    <row r="2733" spans="1:13" x14ac:dyDescent="0.25">
      <c r="A2733" t="str">
        <f t="shared" si="300"/>
        <v>CP529-Military ID</v>
      </c>
      <c r="B2733" t="s">
        <v>54</v>
      </c>
      <c r="C2733" t="str">
        <f t="shared" si="294"/>
        <v>SA Commerce</v>
      </c>
      <c r="D2733" t="str">
        <f t="shared" si="295"/>
        <v>Y</v>
      </c>
      <c r="E2733" t="s">
        <v>664</v>
      </c>
      <c r="F2733" t="str">
        <f t="shared" si="296"/>
        <v>Military ID</v>
      </c>
      <c r="G2733">
        <f t="shared" si="297"/>
        <v>0</v>
      </c>
      <c r="H2733" t="s">
        <v>554</v>
      </c>
      <c r="I2733">
        <f t="shared" si="298"/>
        <v>0</v>
      </c>
      <c r="J2733" t="s">
        <v>546</v>
      </c>
      <c r="K2733" s="5">
        <v>5</v>
      </c>
      <c r="L2733" t="str">
        <f>Table_DataFromNL[[#This Row],[PROFILECODE]]&amp;"-"&amp;Table_DataFromNL[[#This Row],[RULENAME]]</f>
        <v>CP529-Military ID</v>
      </c>
      <c r="M2733" t="e">
        <f t="shared" si="299"/>
        <v>#N/A</v>
      </c>
    </row>
    <row r="2734" spans="1:13" x14ac:dyDescent="0.25">
      <c r="A2734" t="str">
        <f t="shared" si="300"/>
        <v>CP529-NEW DONOR -1st</v>
      </c>
      <c r="B2734" t="s">
        <v>54</v>
      </c>
      <c r="C2734" t="str">
        <f t="shared" si="294"/>
        <v>SA Commerce</v>
      </c>
      <c r="D2734" t="str">
        <f t="shared" si="295"/>
        <v>Y</v>
      </c>
      <c r="E2734" t="s">
        <v>664</v>
      </c>
      <c r="F2734" t="str">
        <f t="shared" si="296"/>
        <v>NEW DONOR -1st</v>
      </c>
      <c r="G2734" t="str">
        <f t="shared" si="297"/>
        <v>Marketing</v>
      </c>
      <c r="H2734" t="s">
        <v>555</v>
      </c>
      <c r="I2734">
        <f t="shared" si="298"/>
        <v>1</v>
      </c>
      <c r="J2734" t="s">
        <v>546</v>
      </c>
      <c r="K2734" s="5">
        <v>60</v>
      </c>
      <c r="L2734" t="str">
        <f>Table_DataFromNL[[#This Row],[PROFILECODE]]&amp;"-"&amp;Table_DataFromNL[[#This Row],[RULENAME]]</f>
        <v>CP529-New Donor 1st Visit-Bonus</v>
      </c>
      <c r="M2734" t="str">
        <f t="shared" si="299"/>
        <v>CP529-NEW DONOR -1st</v>
      </c>
    </row>
    <row r="2735" spans="1:13" x14ac:dyDescent="0.25">
      <c r="A2735" t="str">
        <f t="shared" si="300"/>
        <v>CP529-NEW DONOR -2nd</v>
      </c>
      <c r="B2735" t="s">
        <v>54</v>
      </c>
      <c r="C2735" t="str">
        <f t="shared" si="294"/>
        <v>SA Commerce</v>
      </c>
      <c r="D2735" t="str">
        <f t="shared" si="295"/>
        <v>Y</v>
      </c>
      <c r="E2735" t="s">
        <v>664</v>
      </c>
      <c r="F2735" t="str">
        <f t="shared" si="296"/>
        <v>NEW DONOR -2nd</v>
      </c>
      <c r="G2735" t="str">
        <f t="shared" si="297"/>
        <v>Marketing</v>
      </c>
      <c r="H2735" t="s">
        <v>556</v>
      </c>
      <c r="I2735">
        <f t="shared" si="298"/>
        <v>2</v>
      </c>
      <c r="J2735" t="s">
        <v>546</v>
      </c>
      <c r="K2735" s="5">
        <v>60</v>
      </c>
      <c r="L2735" t="str">
        <f>Table_DataFromNL[[#This Row],[PROFILECODE]]&amp;"-"&amp;Table_DataFromNL[[#This Row],[RULENAME]]</f>
        <v>CP529-New Donor 2nd Visit-Bonus</v>
      </c>
      <c r="M2735" t="str">
        <f t="shared" si="299"/>
        <v>CP529-NEW DONOR -2nd</v>
      </c>
    </row>
    <row r="2736" spans="1:13" x14ac:dyDescent="0.25">
      <c r="A2736" t="str">
        <f t="shared" si="300"/>
        <v>CP529-NEW DONOR -3rd</v>
      </c>
      <c r="B2736" t="s">
        <v>54</v>
      </c>
      <c r="C2736" t="str">
        <f t="shared" si="294"/>
        <v>SA Commerce</v>
      </c>
      <c r="D2736" t="str">
        <f t="shared" si="295"/>
        <v>Y</v>
      </c>
      <c r="E2736" t="s">
        <v>664</v>
      </c>
      <c r="F2736" t="str">
        <f t="shared" si="296"/>
        <v>NEW DONOR -3rd</v>
      </c>
      <c r="G2736" t="str">
        <f t="shared" si="297"/>
        <v>Marketing</v>
      </c>
      <c r="H2736" t="s">
        <v>557</v>
      </c>
      <c r="I2736">
        <f t="shared" si="298"/>
        <v>3</v>
      </c>
      <c r="J2736" t="s">
        <v>546</v>
      </c>
      <c r="K2736" s="5">
        <v>60</v>
      </c>
      <c r="L2736" t="str">
        <f>Table_DataFromNL[[#This Row],[PROFILECODE]]&amp;"-"&amp;Table_DataFromNL[[#This Row],[RULENAME]]</f>
        <v>CP529-New Donor 3rd Visit-Bonus</v>
      </c>
      <c r="M2736" t="str">
        <f t="shared" si="299"/>
        <v>CP529-NEW DONOR -3rd</v>
      </c>
    </row>
    <row r="2737" spans="1:13" x14ac:dyDescent="0.25">
      <c r="A2737" t="str">
        <f t="shared" si="300"/>
        <v>CP529-NEW DONOR -4th</v>
      </c>
      <c r="B2737" t="s">
        <v>54</v>
      </c>
      <c r="C2737" t="str">
        <f t="shared" si="294"/>
        <v>SA Commerce</v>
      </c>
      <c r="D2737" t="str">
        <f t="shared" si="295"/>
        <v>Y</v>
      </c>
      <c r="E2737" t="s">
        <v>664</v>
      </c>
      <c r="F2737" t="str">
        <f t="shared" si="296"/>
        <v>NEW DONOR -4th</v>
      </c>
      <c r="G2737" t="str">
        <f t="shared" si="297"/>
        <v>Marketing</v>
      </c>
      <c r="H2737" t="s">
        <v>558</v>
      </c>
      <c r="I2737">
        <f t="shared" si="298"/>
        <v>4</v>
      </c>
      <c r="J2737" t="s">
        <v>546</v>
      </c>
      <c r="K2737" s="5">
        <v>60</v>
      </c>
      <c r="L2737" t="str">
        <f>Table_DataFromNL[[#This Row],[PROFILECODE]]&amp;"-"&amp;Table_DataFromNL[[#This Row],[RULENAME]]</f>
        <v>CP529-New Donor 4th Visit-Bonus</v>
      </c>
      <c r="M2737" t="str">
        <f t="shared" si="299"/>
        <v>CP529-NEW DONOR -4th</v>
      </c>
    </row>
    <row r="2738" spans="1:13" x14ac:dyDescent="0.25">
      <c r="A2738" t="str">
        <f t="shared" si="300"/>
        <v>CP529-NEW DONOR -5th</v>
      </c>
      <c r="B2738" t="s">
        <v>54</v>
      </c>
      <c r="C2738" t="str">
        <f t="shared" si="294"/>
        <v>SA Commerce</v>
      </c>
      <c r="D2738" t="str">
        <f t="shared" si="295"/>
        <v>Y</v>
      </c>
      <c r="E2738" t="s">
        <v>664</v>
      </c>
      <c r="F2738" t="str">
        <f t="shared" si="296"/>
        <v>NEW DONOR -5th</v>
      </c>
      <c r="G2738" t="str">
        <f t="shared" si="297"/>
        <v>Marketing</v>
      </c>
      <c r="H2738" t="s">
        <v>559</v>
      </c>
      <c r="I2738">
        <f t="shared" si="298"/>
        <v>5</v>
      </c>
      <c r="J2738" t="s">
        <v>546</v>
      </c>
      <c r="K2738" s="5">
        <v>60</v>
      </c>
      <c r="L2738" t="str">
        <f>Table_DataFromNL[[#This Row],[PROFILECODE]]&amp;"-"&amp;Table_DataFromNL[[#This Row],[RULENAME]]</f>
        <v>CP529-New Donor 5th Visit-Bonus</v>
      </c>
      <c r="M2738" t="str">
        <f t="shared" si="299"/>
        <v>CP529-NEW DONOR -5th</v>
      </c>
    </row>
    <row r="2739" spans="1:13" x14ac:dyDescent="0.25">
      <c r="A2739" t="str">
        <f t="shared" si="300"/>
        <v>CP529-NEW DONOR -6th</v>
      </c>
      <c r="B2739" t="s">
        <v>54</v>
      </c>
      <c r="C2739" t="str">
        <f t="shared" si="294"/>
        <v>SA Commerce</v>
      </c>
      <c r="D2739" t="str">
        <f t="shared" si="295"/>
        <v>Y</v>
      </c>
      <c r="E2739" t="s">
        <v>664</v>
      </c>
      <c r="F2739" t="str">
        <f t="shared" si="296"/>
        <v>NEW DONOR -6th</v>
      </c>
      <c r="G2739" t="str">
        <f t="shared" si="297"/>
        <v>Marketing</v>
      </c>
      <c r="H2739" t="s">
        <v>560</v>
      </c>
      <c r="I2739">
        <f t="shared" si="298"/>
        <v>6</v>
      </c>
      <c r="J2739" t="s">
        <v>546</v>
      </c>
      <c r="K2739" s="5">
        <v>60</v>
      </c>
      <c r="L2739" t="str">
        <f>Table_DataFromNL[[#This Row],[PROFILECODE]]&amp;"-"&amp;Table_DataFromNL[[#This Row],[RULENAME]]</f>
        <v>CP529-New Donor 6th Visit-Bonus</v>
      </c>
      <c r="M2739" t="str">
        <f t="shared" si="299"/>
        <v>CP529-NEW DONOR -6th</v>
      </c>
    </row>
    <row r="2740" spans="1:13" x14ac:dyDescent="0.25">
      <c r="A2740" t="str">
        <f t="shared" si="300"/>
        <v>CP529-NEW DONOR -7th</v>
      </c>
      <c r="B2740" t="s">
        <v>54</v>
      </c>
      <c r="C2740" t="str">
        <f t="shared" si="294"/>
        <v>SA Commerce</v>
      </c>
      <c r="D2740" t="str">
        <f t="shared" si="295"/>
        <v>Y</v>
      </c>
      <c r="E2740" t="s">
        <v>664</v>
      </c>
      <c r="F2740" t="str">
        <f t="shared" si="296"/>
        <v>NEW DONOR -7th</v>
      </c>
      <c r="G2740" t="str">
        <f t="shared" si="297"/>
        <v>Marketing</v>
      </c>
      <c r="H2740" t="s">
        <v>561</v>
      </c>
      <c r="I2740">
        <f t="shared" si="298"/>
        <v>7</v>
      </c>
      <c r="J2740" t="s">
        <v>546</v>
      </c>
      <c r="K2740" s="5">
        <v>60</v>
      </c>
      <c r="L2740" t="str">
        <f>Table_DataFromNL[[#This Row],[PROFILECODE]]&amp;"-"&amp;Table_DataFromNL[[#This Row],[RULENAME]]</f>
        <v>CP529-New Donor 7th Visit-Bonus</v>
      </c>
      <c r="M2740" t="str">
        <f t="shared" si="299"/>
        <v>CP529-NEW DONOR -7th</v>
      </c>
    </row>
    <row r="2741" spans="1:13" x14ac:dyDescent="0.25">
      <c r="A2741" t="str">
        <f t="shared" si="300"/>
        <v>CP529-NEW DONOR -8th</v>
      </c>
      <c r="B2741" t="s">
        <v>54</v>
      </c>
      <c r="C2741" t="str">
        <f t="shared" si="294"/>
        <v>SA Commerce</v>
      </c>
      <c r="D2741" t="str">
        <f t="shared" si="295"/>
        <v>Y</v>
      </c>
      <c r="E2741" t="s">
        <v>664</v>
      </c>
      <c r="F2741" t="str">
        <f t="shared" si="296"/>
        <v>NEW DONOR -8th</v>
      </c>
      <c r="G2741" t="str">
        <f t="shared" si="297"/>
        <v>Marketing</v>
      </c>
      <c r="H2741" t="s">
        <v>562</v>
      </c>
      <c r="I2741">
        <f t="shared" si="298"/>
        <v>8</v>
      </c>
      <c r="J2741" t="s">
        <v>546</v>
      </c>
      <c r="K2741" s="5">
        <v>60</v>
      </c>
      <c r="L2741" t="str">
        <f>Table_DataFromNL[[#This Row],[PROFILECODE]]&amp;"-"&amp;Table_DataFromNL[[#This Row],[RULENAME]]</f>
        <v>CP529-New Donor 8th Visit-Bonus</v>
      </c>
      <c r="M2741" t="str">
        <f t="shared" si="299"/>
        <v>CP529-NEW DONOR -8th</v>
      </c>
    </row>
    <row r="2742" spans="1:13" x14ac:dyDescent="0.25">
      <c r="A2742" t="str">
        <f t="shared" si="300"/>
        <v>CP529-Community</v>
      </c>
      <c r="B2742" t="s">
        <v>54</v>
      </c>
      <c r="C2742" t="str">
        <f t="shared" si="294"/>
        <v>SA Commerce</v>
      </c>
      <c r="D2742" t="str">
        <f t="shared" si="295"/>
        <v>Y</v>
      </c>
      <c r="E2742" t="s">
        <v>664</v>
      </c>
      <c r="F2742" t="str">
        <f t="shared" si="296"/>
        <v>Community</v>
      </c>
      <c r="G2742">
        <f t="shared" si="297"/>
        <v>0</v>
      </c>
      <c r="H2742" t="s">
        <v>563</v>
      </c>
      <c r="I2742">
        <f t="shared" si="298"/>
        <v>0</v>
      </c>
      <c r="J2742" t="s">
        <v>564</v>
      </c>
      <c r="K2742" s="5">
        <v>5</v>
      </c>
      <c r="L2742" t="str">
        <f>Table_DataFromNL[[#This Row],[PROFILECODE]]&amp;"-"&amp;Table_DataFromNL[[#This Row],[RULENAME]]</f>
        <v>CP529-Community</v>
      </c>
      <c r="M2742" t="e">
        <f t="shared" si="299"/>
        <v>#N/A</v>
      </c>
    </row>
    <row r="2743" spans="1:13" x14ac:dyDescent="0.25">
      <c r="A2743" t="str">
        <f t="shared" si="300"/>
        <v>CP529-HANGER_RECRUIT_5USD_once</v>
      </c>
      <c r="B2743" t="s">
        <v>54</v>
      </c>
      <c r="C2743" t="str">
        <f t="shared" si="294"/>
        <v>SA Commerce</v>
      </c>
      <c r="D2743" t="str">
        <f t="shared" si="295"/>
        <v>Y</v>
      </c>
      <c r="E2743" t="s">
        <v>664</v>
      </c>
      <c r="F2743" t="str">
        <f t="shared" si="296"/>
        <v>HANGER_RECRUIT_5USD_once</v>
      </c>
      <c r="G2743">
        <f t="shared" si="297"/>
        <v>0</v>
      </c>
      <c r="H2743" t="s">
        <v>565</v>
      </c>
      <c r="I2743">
        <f t="shared" si="298"/>
        <v>0</v>
      </c>
      <c r="J2743" t="s">
        <v>564</v>
      </c>
      <c r="K2743" s="5">
        <v>5</v>
      </c>
      <c r="L2743" t="str">
        <f>Table_DataFromNL[[#This Row],[PROFILECODE]]&amp;"-"&amp;Table_DataFromNL[[#This Row],[RULENAME]]</f>
        <v>CP529-HANGER_RECRUIT_5USD_once</v>
      </c>
      <c r="M2743" t="e">
        <f t="shared" si="299"/>
        <v>#N/A</v>
      </c>
    </row>
    <row r="2744" spans="1:13" x14ac:dyDescent="0.25">
      <c r="A2744" t="str">
        <f t="shared" si="300"/>
        <v>CP529-Inconv Fee $20-$50-Comment Req'd</v>
      </c>
      <c r="B2744" t="s">
        <v>54</v>
      </c>
      <c r="C2744" t="str">
        <f t="shared" si="294"/>
        <v>SA Commerce</v>
      </c>
      <c r="D2744" t="str">
        <f t="shared" si="295"/>
        <v>Y</v>
      </c>
      <c r="E2744" t="s">
        <v>664</v>
      </c>
      <c r="F2744" t="str">
        <f t="shared" si="296"/>
        <v>Inconv Fee $20-$50-Comment Req'd</v>
      </c>
      <c r="G2744">
        <f t="shared" si="297"/>
        <v>0</v>
      </c>
      <c r="H2744" t="s">
        <v>566</v>
      </c>
      <c r="I2744">
        <f t="shared" si="298"/>
        <v>0</v>
      </c>
      <c r="J2744" t="s">
        <v>564</v>
      </c>
      <c r="K2744" s="5">
        <v>50</v>
      </c>
      <c r="L2744" t="str">
        <f>Table_DataFromNL[[#This Row],[PROFILECODE]]&amp;"-"&amp;Table_DataFromNL[[#This Row],[RULENAME]]</f>
        <v>CP529-Inconv Fee $20-$50-Comment Req'd</v>
      </c>
      <c r="M2744" t="e">
        <f t="shared" si="299"/>
        <v>#N/A</v>
      </c>
    </row>
    <row r="2745" spans="1:13" x14ac:dyDescent="0.25">
      <c r="A2745" t="str">
        <f t="shared" si="300"/>
        <v>CP529-Inconv Fee $5-$20-Comment Req'd</v>
      </c>
      <c r="B2745" t="s">
        <v>54</v>
      </c>
      <c r="C2745" t="str">
        <f t="shared" si="294"/>
        <v>SA Commerce</v>
      </c>
      <c r="D2745" t="str">
        <f t="shared" si="295"/>
        <v>Y</v>
      </c>
      <c r="E2745" t="s">
        <v>664</v>
      </c>
      <c r="F2745" t="str">
        <f t="shared" si="296"/>
        <v>Inconv Fee $5-$20-Comment Req'd</v>
      </c>
      <c r="G2745">
        <f t="shared" si="297"/>
        <v>0</v>
      </c>
      <c r="H2745" t="s">
        <v>567</v>
      </c>
      <c r="I2745">
        <f t="shared" si="298"/>
        <v>0</v>
      </c>
      <c r="J2745" t="s">
        <v>564</v>
      </c>
      <c r="K2745" s="5">
        <v>20</v>
      </c>
      <c r="L2745" t="str">
        <f>Table_DataFromNL[[#This Row],[PROFILECODE]]&amp;"-"&amp;Table_DataFromNL[[#This Row],[RULENAME]]</f>
        <v>CP529-Inconv Fee $5-$20-Comment Req'd</v>
      </c>
      <c r="M2745" t="e">
        <f t="shared" si="299"/>
        <v>#N/A</v>
      </c>
    </row>
    <row r="2746" spans="1:13" x14ac:dyDescent="0.25">
      <c r="A2746" t="str">
        <f t="shared" si="300"/>
        <v>CP529-Inconv Fee$50-$100-Comment Req'd</v>
      </c>
      <c r="B2746" t="s">
        <v>54</v>
      </c>
      <c r="C2746" t="str">
        <f t="shared" si="294"/>
        <v>SA Commerce</v>
      </c>
      <c r="D2746" t="str">
        <f t="shared" si="295"/>
        <v>Y</v>
      </c>
      <c r="E2746" t="s">
        <v>664</v>
      </c>
      <c r="F2746" t="str">
        <f t="shared" si="296"/>
        <v>Inconv Fee$50-$100-Comment Req'd</v>
      </c>
      <c r="G2746">
        <f t="shared" si="297"/>
        <v>0</v>
      </c>
      <c r="H2746" t="s">
        <v>568</v>
      </c>
      <c r="I2746">
        <f t="shared" si="298"/>
        <v>0</v>
      </c>
      <c r="J2746" t="s">
        <v>564</v>
      </c>
      <c r="K2746" s="5">
        <v>100</v>
      </c>
      <c r="L2746" t="str">
        <f>Table_DataFromNL[[#This Row],[PROFILECODE]]&amp;"-"&amp;Table_DataFromNL[[#This Row],[RULENAME]]</f>
        <v>CP529-Inconv Fee$50-$100-Comment Req'd</v>
      </c>
      <c r="M2746" t="e">
        <f t="shared" si="299"/>
        <v>#N/A</v>
      </c>
    </row>
    <row r="2747" spans="1:13" x14ac:dyDescent="0.25">
      <c r="A2747" t="str">
        <f t="shared" si="300"/>
        <v>CP529-NSP_ LAPSEDONOR_50_Twice</v>
      </c>
      <c r="B2747" t="s">
        <v>54</v>
      </c>
      <c r="C2747" t="str">
        <f t="shared" si="294"/>
        <v>SA Commerce</v>
      </c>
      <c r="D2747" t="str">
        <f t="shared" si="295"/>
        <v>Y</v>
      </c>
      <c r="E2747" t="s">
        <v>664</v>
      </c>
      <c r="F2747" t="str">
        <f t="shared" si="296"/>
        <v>NSP_ LAPSEDONOR_50_Twice</v>
      </c>
      <c r="G2747">
        <f t="shared" si="297"/>
        <v>0</v>
      </c>
      <c r="H2747" t="s">
        <v>569</v>
      </c>
      <c r="I2747">
        <f t="shared" si="298"/>
        <v>0</v>
      </c>
      <c r="J2747" t="s">
        <v>564</v>
      </c>
      <c r="K2747" s="5">
        <v>50</v>
      </c>
      <c r="L2747" t="str">
        <f>Table_DataFromNL[[#This Row],[PROFILECODE]]&amp;"-"&amp;Table_DataFromNL[[#This Row],[RULENAME]]</f>
        <v>CP529-NSP_ LAPSEDONOR_50_Twice</v>
      </c>
      <c r="M2747" t="e">
        <f t="shared" si="299"/>
        <v>#N/A</v>
      </c>
    </row>
    <row r="2748" spans="1:13" x14ac:dyDescent="0.25">
      <c r="A2748" t="str">
        <f t="shared" si="300"/>
        <v>CP529-NSP_LD_25_2X</v>
      </c>
      <c r="B2748" t="s">
        <v>54</v>
      </c>
      <c r="C2748" t="str">
        <f t="shared" si="294"/>
        <v>SA Commerce</v>
      </c>
      <c r="D2748" t="str">
        <f t="shared" si="295"/>
        <v>Y</v>
      </c>
      <c r="E2748" t="s">
        <v>664</v>
      </c>
      <c r="F2748" t="str">
        <f t="shared" si="296"/>
        <v>NSP_LD_25_2X</v>
      </c>
      <c r="G2748">
        <f t="shared" si="297"/>
        <v>0</v>
      </c>
      <c r="H2748" t="s">
        <v>570</v>
      </c>
      <c r="I2748">
        <f t="shared" si="298"/>
        <v>0</v>
      </c>
      <c r="J2748" t="s">
        <v>564</v>
      </c>
      <c r="K2748" s="5">
        <v>25</v>
      </c>
      <c r="L2748" t="str">
        <f>Table_DataFromNL[[#This Row],[PROFILECODE]]&amp;"-"&amp;Table_DataFromNL[[#This Row],[RULENAME]]</f>
        <v>CP529-NSP_LD_25_2X</v>
      </c>
      <c r="M2748" t="e">
        <f t="shared" si="299"/>
        <v>#N/A</v>
      </c>
    </row>
    <row r="2749" spans="1:13" x14ac:dyDescent="0.25">
      <c r="A2749" t="str">
        <f t="shared" si="300"/>
        <v>CP529-NSP_LD_50_1X</v>
      </c>
      <c r="B2749" t="s">
        <v>54</v>
      </c>
      <c r="C2749" t="str">
        <f t="shared" si="294"/>
        <v>SA Commerce</v>
      </c>
      <c r="D2749" t="str">
        <f t="shared" si="295"/>
        <v>Y</v>
      </c>
      <c r="E2749" t="s">
        <v>664</v>
      </c>
      <c r="F2749" t="str">
        <f t="shared" si="296"/>
        <v>NSP_LD_50_1X</v>
      </c>
      <c r="G2749">
        <f t="shared" si="297"/>
        <v>0</v>
      </c>
      <c r="H2749" t="s">
        <v>571</v>
      </c>
      <c r="I2749">
        <f t="shared" si="298"/>
        <v>0</v>
      </c>
      <c r="J2749" t="s">
        <v>564</v>
      </c>
      <c r="K2749" s="5">
        <v>50</v>
      </c>
      <c r="L2749" t="str">
        <f>Table_DataFromNL[[#This Row],[PROFILECODE]]&amp;"-"&amp;Table_DataFromNL[[#This Row],[RULENAME]]</f>
        <v>CP529-NSP_LD_50_1X</v>
      </c>
      <c r="M2749" t="e">
        <f t="shared" si="299"/>
        <v>#N/A</v>
      </c>
    </row>
    <row r="2750" spans="1:13" x14ac:dyDescent="0.25">
      <c r="A2750" t="str">
        <f t="shared" si="300"/>
        <v>CP529-NSP_ORPHAN_100_once</v>
      </c>
      <c r="B2750" t="s">
        <v>54</v>
      </c>
      <c r="C2750" t="str">
        <f t="shared" si="294"/>
        <v>SA Commerce</v>
      </c>
      <c r="D2750" t="str">
        <f t="shared" si="295"/>
        <v>Y</v>
      </c>
      <c r="E2750" t="s">
        <v>664</v>
      </c>
      <c r="F2750" t="str">
        <f t="shared" si="296"/>
        <v>NSP_ORPHAN_100_once</v>
      </c>
      <c r="G2750">
        <f t="shared" si="297"/>
        <v>0</v>
      </c>
      <c r="H2750" t="s">
        <v>572</v>
      </c>
      <c r="I2750">
        <f t="shared" si="298"/>
        <v>0</v>
      </c>
      <c r="J2750" t="s">
        <v>564</v>
      </c>
      <c r="K2750" s="5">
        <v>100</v>
      </c>
      <c r="L2750" t="str">
        <f>Table_DataFromNL[[#This Row],[PROFILECODE]]&amp;"-"&amp;Table_DataFromNL[[#This Row],[RULENAME]]</f>
        <v>CP529-NSP_ORPHAN_100_once</v>
      </c>
      <c r="M2750" t="e">
        <f t="shared" si="299"/>
        <v>#N/A</v>
      </c>
    </row>
    <row r="2751" spans="1:13" x14ac:dyDescent="0.25">
      <c r="A2751" t="str">
        <f t="shared" si="300"/>
        <v>CP529-Restick</v>
      </c>
      <c r="B2751" t="s">
        <v>54</v>
      </c>
      <c r="C2751" t="str">
        <f t="shared" si="294"/>
        <v>SA Commerce</v>
      </c>
      <c r="D2751" t="str">
        <f t="shared" si="295"/>
        <v>Y</v>
      </c>
      <c r="E2751" t="s">
        <v>664</v>
      </c>
      <c r="F2751" t="str">
        <f t="shared" si="296"/>
        <v>Restick</v>
      </c>
      <c r="G2751">
        <f t="shared" si="297"/>
        <v>0</v>
      </c>
      <c r="H2751" t="s">
        <v>573</v>
      </c>
      <c r="I2751">
        <f t="shared" si="298"/>
        <v>0</v>
      </c>
      <c r="J2751" t="s">
        <v>564</v>
      </c>
      <c r="K2751" s="5">
        <v>5</v>
      </c>
      <c r="L2751" t="str">
        <f>Table_DataFromNL[[#This Row],[PROFILECODE]]&amp;"-"&amp;Table_DataFromNL[[#This Row],[RULENAME]]</f>
        <v>CP529-Restick</v>
      </c>
      <c r="M2751" t="e">
        <f t="shared" si="299"/>
        <v>#N/A</v>
      </c>
    </row>
    <row r="2752" spans="1:13" x14ac:dyDescent="0.25">
      <c r="A2752" t="str">
        <f t="shared" si="300"/>
        <v>CP529-SLOW_TEXT_5</v>
      </c>
      <c r="B2752" t="s">
        <v>54</v>
      </c>
      <c r="C2752" t="str">
        <f t="shared" si="294"/>
        <v>SA Commerce</v>
      </c>
      <c r="D2752" t="str">
        <f t="shared" si="295"/>
        <v>Y</v>
      </c>
      <c r="E2752" t="s">
        <v>664</v>
      </c>
      <c r="F2752" t="str">
        <f t="shared" si="296"/>
        <v>SLOW_TEXT_5</v>
      </c>
      <c r="G2752">
        <f t="shared" si="297"/>
        <v>0</v>
      </c>
      <c r="H2752" t="s">
        <v>574</v>
      </c>
      <c r="I2752">
        <f t="shared" si="298"/>
        <v>0</v>
      </c>
      <c r="J2752" t="s">
        <v>564</v>
      </c>
      <c r="K2752" s="5">
        <v>5</v>
      </c>
      <c r="L2752" t="str">
        <f>Table_DataFromNL[[#This Row],[PROFILECODE]]&amp;"-"&amp;Table_DataFromNL[[#This Row],[RULENAME]]</f>
        <v>CP529-SLOW_TEXT_5</v>
      </c>
      <c r="M2752" t="e">
        <f t="shared" si="299"/>
        <v>#N/A</v>
      </c>
    </row>
    <row r="2753" spans="1:13" x14ac:dyDescent="0.25">
      <c r="A2753" t="str">
        <f t="shared" si="300"/>
        <v>CP529-Sample Only</v>
      </c>
      <c r="B2753" t="s">
        <v>54</v>
      </c>
      <c r="C2753" t="str">
        <f t="shared" si="294"/>
        <v>SA Commerce</v>
      </c>
      <c r="D2753" t="str">
        <f t="shared" si="295"/>
        <v>Y</v>
      </c>
      <c r="E2753" t="s">
        <v>664</v>
      </c>
      <c r="F2753" t="str">
        <f t="shared" si="296"/>
        <v>Sample Only</v>
      </c>
      <c r="G2753">
        <f t="shared" si="297"/>
        <v>0</v>
      </c>
      <c r="H2753" t="s">
        <v>575</v>
      </c>
      <c r="I2753">
        <f t="shared" si="298"/>
        <v>0</v>
      </c>
      <c r="J2753" t="s">
        <v>564</v>
      </c>
      <c r="K2753" s="5">
        <v>5</v>
      </c>
      <c r="L2753" t="str">
        <f>Table_DataFromNL[[#This Row],[PROFILECODE]]&amp;"-"&amp;Table_DataFromNL[[#This Row],[RULENAME]]</f>
        <v>CP529-Sample Only</v>
      </c>
      <c r="M2753" t="e">
        <f t="shared" si="299"/>
        <v>#N/A</v>
      </c>
    </row>
    <row r="2754" spans="1:13" x14ac:dyDescent="0.25">
      <c r="A2754" t="str">
        <f t="shared" si="300"/>
        <v>CP529-Unit Below 250 mL</v>
      </c>
      <c r="B2754" t="s">
        <v>54</v>
      </c>
      <c r="C2754" t="str">
        <f t="shared" ref="C2754:C2817" si="301">VLOOKUP(B2754,CenterLU,2,FALSE)</f>
        <v>SA Commerce</v>
      </c>
      <c r="D2754" t="str">
        <f t="shared" ref="D2754:D2817" si="302">VLOOKUP(B2754,CenterLU,3,FALSE)</f>
        <v>Y</v>
      </c>
      <c r="E2754" t="s">
        <v>664</v>
      </c>
      <c r="F2754" t="str">
        <f t="shared" ref="F2754:F2817" si="303">IF(VLOOKUP(H2754,RULENAMELU,3,FALSE)=0,H2754,VLOOKUP(H2754,RULENAMELU,3,FALSE))</f>
        <v>Unit Below 250 mL</v>
      </c>
      <c r="G2754">
        <f t="shared" ref="G2754:G2817" si="304">VLOOKUP(H2754,RULENAMELU,4,FALSE)</f>
        <v>0</v>
      </c>
      <c r="H2754" t="s">
        <v>576</v>
      </c>
      <c r="I2754">
        <f t="shared" ref="I2754:I2817" si="305">VLOOKUP(H2754,RULENAMELU,5,FALSE)</f>
        <v>0</v>
      </c>
      <c r="J2754" t="s">
        <v>564</v>
      </c>
      <c r="K2754" s="5">
        <v>5</v>
      </c>
      <c r="L2754" t="str">
        <f>Table_DataFromNL[[#This Row],[PROFILECODE]]&amp;"-"&amp;Table_DataFromNL[[#This Row],[RULENAME]]</f>
        <v>CP529-Unit Below 250 mL</v>
      </c>
      <c r="M2754" t="e">
        <f t="shared" ref="M2754:M2817" si="306">IFERROR(VLOOKUP(A2754,PaychangesLU,1,FALSE),VLOOKUP(A2754,SpecialtyCheckLU,1,FALSE))</f>
        <v>#N/A</v>
      </c>
    </row>
    <row r="2755" spans="1:13" x14ac:dyDescent="0.25">
      <c r="A2755" t="str">
        <f t="shared" ref="A2755:A2818" si="307">B2755&amp;"-"&amp;F2755</f>
        <v>CP529-Unit above 250 mL/underdraw</v>
      </c>
      <c r="B2755" t="s">
        <v>54</v>
      </c>
      <c r="C2755" t="str">
        <f t="shared" si="301"/>
        <v>SA Commerce</v>
      </c>
      <c r="D2755" t="str">
        <f t="shared" si="302"/>
        <v>Y</v>
      </c>
      <c r="E2755" t="s">
        <v>664</v>
      </c>
      <c r="F2755" t="str">
        <f t="shared" si="303"/>
        <v>Unit above 250 mL/underdraw</v>
      </c>
      <c r="G2755">
        <f t="shared" si="304"/>
        <v>0</v>
      </c>
      <c r="H2755" t="s">
        <v>577</v>
      </c>
      <c r="I2755">
        <f t="shared" si="305"/>
        <v>0</v>
      </c>
      <c r="J2755" t="s">
        <v>564</v>
      </c>
      <c r="K2755" s="5">
        <v>10</v>
      </c>
      <c r="L2755" t="str">
        <f>Table_DataFromNL[[#This Row],[PROFILECODE]]&amp;"-"&amp;Table_DataFromNL[[#This Row],[RULENAME]]</f>
        <v>CP529-Unit above 250 mL/underdraw</v>
      </c>
      <c r="M2755" t="e">
        <f t="shared" si="306"/>
        <v>#N/A</v>
      </c>
    </row>
    <row r="2756" spans="1:13" x14ac:dyDescent="0.25">
      <c r="A2756" t="str">
        <f t="shared" si="307"/>
        <v>CP529-RETURN - Buddy referral  -BONUS</v>
      </c>
      <c r="B2756" t="s">
        <v>54</v>
      </c>
      <c r="C2756" t="str">
        <f t="shared" si="301"/>
        <v>SA Commerce</v>
      </c>
      <c r="D2756" t="str">
        <f t="shared" si="302"/>
        <v>Y</v>
      </c>
      <c r="E2756" t="s">
        <v>664</v>
      </c>
      <c r="F2756" t="str">
        <f t="shared" si="303"/>
        <v>RETURN - Buddy referral  -BONUS</v>
      </c>
      <c r="G2756" t="str">
        <f t="shared" si="304"/>
        <v>Marketing</v>
      </c>
      <c r="H2756" t="s">
        <v>34</v>
      </c>
      <c r="I2756">
        <f t="shared" si="305"/>
        <v>50</v>
      </c>
      <c r="J2756" t="s">
        <v>578</v>
      </c>
      <c r="K2756" s="5">
        <v>50</v>
      </c>
      <c r="L2756" t="str">
        <f>Table_DataFromNL[[#This Row],[PROFILECODE]]&amp;"-"&amp;Table_DataFromNL[[#This Row],[RULENAME]]</f>
        <v>CP529-Referral</v>
      </c>
      <c r="M2756" t="str">
        <f t="shared" si="306"/>
        <v>CP529-RETURN - Buddy referral  -BONUS</v>
      </c>
    </row>
    <row r="2757" spans="1:13" x14ac:dyDescent="0.25">
      <c r="A2757" t="str">
        <f t="shared" si="307"/>
        <v>CP529-P Anti-D Pre-Existing Standard</v>
      </c>
      <c r="B2757" t="s">
        <v>54</v>
      </c>
      <c r="C2757" t="str">
        <f t="shared" si="301"/>
        <v>SA Commerce</v>
      </c>
      <c r="D2757" t="str">
        <f t="shared" si="302"/>
        <v>Y</v>
      </c>
      <c r="E2757" t="s">
        <v>664</v>
      </c>
      <c r="F2757" t="str">
        <f t="shared" si="303"/>
        <v>P Anti-D Pre-Existing Standard</v>
      </c>
      <c r="G2757" t="str">
        <f t="shared" si="304"/>
        <v>Specialty</v>
      </c>
      <c r="H2757" t="s">
        <v>469</v>
      </c>
      <c r="I2757" t="str">
        <f t="shared" si="305"/>
        <v>RETURN - 1st don of the week -STD</v>
      </c>
      <c r="J2757" t="s">
        <v>579</v>
      </c>
      <c r="K2757" s="5">
        <v>50</v>
      </c>
      <c r="L2757" t="str">
        <f>Table_DataFromNL[[#This Row],[PROFILECODE]]&amp;"-"&amp;Table_DataFromNL[[#This Row],[RULENAME]]</f>
        <v>CP529-P Anti-D Pre-Existing Standard</v>
      </c>
      <c r="M2757" t="str">
        <f t="shared" si="306"/>
        <v>CP529-P Anti-D Pre-Existing Standard</v>
      </c>
    </row>
    <row r="2758" spans="1:13" x14ac:dyDescent="0.25">
      <c r="A2758" t="str">
        <f t="shared" si="307"/>
        <v>CP529-RETURN - 1st don of the week -STD</v>
      </c>
      <c r="B2758" t="s">
        <v>54</v>
      </c>
      <c r="C2758" t="str">
        <f t="shared" si="301"/>
        <v>SA Commerce</v>
      </c>
      <c r="D2758" t="str">
        <f t="shared" si="302"/>
        <v>Y</v>
      </c>
      <c r="E2758" t="s">
        <v>664</v>
      </c>
      <c r="F2758" t="str">
        <f t="shared" si="303"/>
        <v>RETURN - 1st don of the week -STD</v>
      </c>
      <c r="G2758" t="str">
        <f t="shared" si="304"/>
        <v>Marketing</v>
      </c>
      <c r="H2758" t="s">
        <v>583</v>
      </c>
      <c r="I2758">
        <f t="shared" si="305"/>
        <v>22</v>
      </c>
      <c r="J2758" t="s">
        <v>579</v>
      </c>
      <c r="K2758" s="5">
        <v>60</v>
      </c>
      <c r="L2758" t="str">
        <f>Table_DataFromNL[[#This Row],[PROFILECODE]]&amp;"-"&amp;Table_DataFromNL[[#This Row],[RULENAME]]</f>
        <v>CP529-P NSP NS AP Standard</v>
      </c>
      <c r="M2758" t="str">
        <f t="shared" si="306"/>
        <v>CP529-RETURN - 1st don of the week -STD</v>
      </c>
    </row>
    <row r="2759" spans="1:13" x14ac:dyDescent="0.25">
      <c r="A2759" t="str">
        <f t="shared" si="307"/>
        <v>CP529-RETURN - 1st don of the week -STD</v>
      </c>
      <c r="B2759" t="s">
        <v>54</v>
      </c>
      <c r="C2759" t="str">
        <f t="shared" si="301"/>
        <v>SA Commerce</v>
      </c>
      <c r="D2759" t="str">
        <f t="shared" si="302"/>
        <v>Y</v>
      </c>
      <c r="E2759" t="s">
        <v>664</v>
      </c>
      <c r="F2759" t="str">
        <f t="shared" si="303"/>
        <v>RETURN - 1st don of the week -STD</v>
      </c>
      <c r="G2759" t="str">
        <f t="shared" si="304"/>
        <v>Marketing</v>
      </c>
      <c r="H2759" t="s">
        <v>584</v>
      </c>
      <c r="I2759">
        <f t="shared" si="305"/>
        <v>23</v>
      </c>
      <c r="J2759" t="s">
        <v>579</v>
      </c>
      <c r="K2759" s="5">
        <v>60</v>
      </c>
      <c r="L2759" t="str">
        <f>Table_DataFromNL[[#This Row],[PROFILECODE]]&amp;"-"&amp;Table_DataFromNL[[#This Row],[RULENAME]]</f>
        <v>CP529-P NSP NS Standard</v>
      </c>
      <c r="M2759" t="str">
        <f t="shared" si="306"/>
        <v>CP529-RETURN - 1st don of the week -STD</v>
      </c>
    </row>
    <row r="2760" spans="1:13" x14ac:dyDescent="0.25">
      <c r="A2760" t="str">
        <f t="shared" si="307"/>
        <v>CP525-1st Responder-Medical</v>
      </c>
      <c r="B2760" t="s">
        <v>21</v>
      </c>
      <c r="C2760" t="str">
        <f t="shared" si="301"/>
        <v>San Antonio</v>
      </c>
      <c r="D2760" t="str">
        <f t="shared" si="302"/>
        <v>Y</v>
      </c>
      <c r="E2760" t="s">
        <v>665</v>
      </c>
      <c r="F2760" t="str">
        <f t="shared" si="303"/>
        <v>1st Responder-Medical</v>
      </c>
      <c r="G2760">
        <f t="shared" si="304"/>
        <v>0</v>
      </c>
      <c r="H2760" t="s">
        <v>545</v>
      </c>
      <c r="I2760">
        <f t="shared" si="305"/>
        <v>0</v>
      </c>
      <c r="J2760" t="s">
        <v>546</v>
      </c>
      <c r="K2760" s="5">
        <v>5</v>
      </c>
      <c r="L2760" t="str">
        <f>Table_DataFromNL[[#This Row],[PROFILECODE]]&amp;"-"&amp;Table_DataFromNL[[#This Row],[RULENAME]]</f>
        <v>CP525-1st Responder-Medical</v>
      </c>
      <c r="M2760" t="e">
        <f t="shared" si="306"/>
        <v>#N/A</v>
      </c>
    </row>
    <row r="2761" spans="1:13" x14ac:dyDescent="0.25">
      <c r="A2761" t="str">
        <f t="shared" si="307"/>
        <v>CP525-RETURN - 2nd don of the week -BONUS</v>
      </c>
      <c r="B2761" t="s">
        <v>21</v>
      </c>
      <c r="C2761" t="str">
        <f t="shared" si="301"/>
        <v>San Antonio</v>
      </c>
      <c r="D2761" t="str">
        <f t="shared" si="302"/>
        <v>Y</v>
      </c>
      <c r="E2761" t="s">
        <v>665</v>
      </c>
      <c r="F2761" t="str">
        <f t="shared" si="303"/>
        <v>RETURN - 2nd don of the week -BONUS</v>
      </c>
      <c r="G2761" t="str">
        <f t="shared" si="304"/>
        <v>Marketing</v>
      </c>
      <c r="H2761" t="s">
        <v>550</v>
      </c>
      <c r="I2761">
        <f t="shared" si="305"/>
        <v>26</v>
      </c>
      <c r="J2761" t="s">
        <v>546</v>
      </c>
      <c r="K2761" s="5">
        <v>20</v>
      </c>
      <c r="L2761" t="str">
        <f>Table_DataFromNL[[#This Row],[PROFILECODE]]&amp;"-"&amp;Table_DataFromNL[[#This Row],[RULENAME]]</f>
        <v>CP525-2X Week P NSP NS</v>
      </c>
      <c r="M2761" t="str">
        <f t="shared" si="306"/>
        <v>CP525-RETURN - 2nd don of the week -BONUS</v>
      </c>
    </row>
    <row r="2762" spans="1:13" x14ac:dyDescent="0.25">
      <c r="A2762" t="str">
        <f t="shared" si="307"/>
        <v>CP525-RETURN - 2nd don of the week -BONUS</v>
      </c>
      <c r="B2762" t="s">
        <v>21</v>
      </c>
      <c r="C2762" t="str">
        <f t="shared" si="301"/>
        <v>San Antonio</v>
      </c>
      <c r="D2762" t="str">
        <f t="shared" si="302"/>
        <v>Y</v>
      </c>
      <c r="E2762" t="s">
        <v>665</v>
      </c>
      <c r="F2762" t="str">
        <f t="shared" si="303"/>
        <v>RETURN - 2nd don of the week -BONUS</v>
      </c>
      <c r="G2762" t="str">
        <f t="shared" si="304"/>
        <v>Marketing</v>
      </c>
      <c r="H2762" t="s">
        <v>551</v>
      </c>
      <c r="I2762" t="str">
        <f t="shared" si="305"/>
        <v>RETURN - 2nd don of the week -BONUS</v>
      </c>
      <c r="J2762" t="s">
        <v>546</v>
      </c>
      <c r="K2762" s="5">
        <v>20</v>
      </c>
      <c r="L2762" t="str">
        <f>Table_DataFromNL[[#This Row],[PROFILECODE]]&amp;"-"&amp;Table_DataFromNL[[#This Row],[RULENAME]]</f>
        <v>CP525-2X Week P NSP NS AP</v>
      </c>
      <c r="M2762" t="str">
        <f t="shared" si="306"/>
        <v>CP525-RETURN - 2nd don of the week -BONUS</v>
      </c>
    </row>
    <row r="2763" spans="1:13" x14ac:dyDescent="0.25">
      <c r="A2763" t="str">
        <f t="shared" si="307"/>
        <v>CP525-2X Week P VZV Pre-Existing</v>
      </c>
      <c r="B2763" t="s">
        <v>21</v>
      </c>
      <c r="C2763" t="str">
        <f t="shared" si="301"/>
        <v>San Antonio</v>
      </c>
      <c r="D2763" t="str">
        <f t="shared" si="302"/>
        <v>Y</v>
      </c>
      <c r="E2763" t="s">
        <v>665</v>
      </c>
      <c r="F2763" t="str">
        <f t="shared" si="303"/>
        <v>2X Week P VZV Pre-Existing</v>
      </c>
      <c r="G2763" t="str">
        <f t="shared" si="304"/>
        <v>Specialty</v>
      </c>
      <c r="H2763" t="s">
        <v>490</v>
      </c>
      <c r="I2763" t="str">
        <f t="shared" si="305"/>
        <v>RETURN - 2nd don of the week -BONUS</v>
      </c>
      <c r="J2763" t="s">
        <v>546</v>
      </c>
      <c r="K2763" s="5">
        <v>20</v>
      </c>
      <c r="L2763" t="str">
        <f>Table_DataFromNL[[#This Row],[PROFILECODE]]&amp;"-"&amp;Table_DataFromNL[[#This Row],[RULENAME]]</f>
        <v>CP525-2X Week P VZV Pre-Existing</v>
      </c>
      <c r="M2763" t="str">
        <f t="shared" si="306"/>
        <v>CP525-2X Week P VZV Pre-Existing</v>
      </c>
    </row>
    <row r="2764" spans="1:13" x14ac:dyDescent="0.25">
      <c r="A2764" t="str">
        <f t="shared" si="307"/>
        <v>CP525-2X Week P VZV Pre-Existing AP</v>
      </c>
      <c r="B2764" t="s">
        <v>21</v>
      </c>
      <c r="C2764" t="str">
        <f t="shared" si="301"/>
        <v>San Antonio</v>
      </c>
      <c r="D2764" t="str">
        <f t="shared" si="302"/>
        <v>Y</v>
      </c>
      <c r="E2764" t="s">
        <v>665</v>
      </c>
      <c r="F2764" t="str">
        <f t="shared" si="303"/>
        <v>2X Week P VZV Pre-Existing AP</v>
      </c>
      <c r="G2764" t="str">
        <f t="shared" si="304"/>
        <v>Specialty</v>
      </c>
      <c r="H2764" t="s">
        <v>491</v>
      </c>
      <c r="I2764" t="str">
        <f t="shared" si="305"/>
        <v>RETURN - 2nd don of the week -BONUS</v>
      </c>
      <c r="J2764" t="s">
        <v>546</v>
      </c>
      <c r="K2764" s="5">
        <v>20</v>
      </c>
      <c r="L2764" t="str">
        <f>Table_DataFromNL[[#This Row],[PROFILECODE]]&amp;"-"&amp;Table_DataFromNL[[#This Row],[RULENAME]]</f>
        <v>CP525-2X Week P VZV Pre-Existing AP</v>
      </c>
      <c r="M2764" t="str">
        <f t="shared" si="306"/>
        <v>CP525-2X Week P VZV Pre-Existing AP</v>
      </c>
    </row>
    <row r="2765" spans="1:13" x14ac:dyDescent="0.25">
      <c r="A2765" t="str">
        <f t="shared" si="307"/>
        <v>CP525-RETURN - 6th don of the month -BONUS</v>
      </c>
      <c r="B2765" t="s">
        <v>21</v>
      </c>
      <c r="C2765" t="str">
        <f t="shared" si="301"/>
        <v>San Antonio</v>
      </c>
      <c r="D2765" t="str">
        <f t="shared" si="302"/>
        <v>Y</v>
      </c>
      <c r="E2765" t="s">
        <v>665</v>
      </c>
      <c r="F2765" t="str">
        <f t="shared" si="303"/>
        <v>RETURN - 6th don of the month -BONUS</v>
      </c>
      <c r="G2765" t="str">
        <f t="shared" si="304"/>
        <v>Marketing</v>
      </c>
      <c r="H2765" t="s">
        <v>552</v>
      </c>
      <c r="I2765">
        <f t="shared" si="305"/>
        <v>28</v>
      </c>
      <c r="J2765" t="s">
        <v>546</v>
      </c>
      <c r="K2765" s="5">
        <v>30</v>
      </c>
      <c r="L2765" t="str">
        <f>Table_DataFromNL[[#This Row],[PROFILECODE]]&amp;"-"&amp;Table_DataFromNL[[#This Row],[RULENAME]]</f>
        <v>CP525-6X Month</v>
      </c>
      <c r="M2765" t="str">
        <f t="shared" si="306"/>
        <v>CP525-RETURN - 6th don of the month -BONUS</v>
      </c>
    </row>
    <row r="2766" spans="1:13" x14ac:dyDescent="0.25">
      <c r="A2766" t="str">
        <f t="shared" si="307"/>
        <v>CP525-College ID Standard Bonus</v>
      </c>
      <c r="B2766" t="s">
        <v>21</v>
      </c>
      <c r="C2766" t="str">
        <f t="shared" si="301"/>
        <v>San Antonio</v>
      </c>
      <c r="D2766" t="str">
        <f t="shared" si="302"/>
        <v>Y</v>
      </c>
      <c r="E2766" t="s">
        <v>665</v>
      </c>
      <c r="F2766" t="str">
        <f t="shared" si="303"/>
        <v>College ID Standard Bonus</v>
      </c>
      <c r="G2766">
        <f t="shared" si="304"/>
        <v>0</v>
      </c>
      <c r="H2766" t="s">
        <v>553</v>
      </c>
      <c r="I2766">
        <f t="shared" si="305"/>
        <v>0</v>
      </c>
      <c r="J2766" t="s">
        <v>546</v>
      </c>
      <c r="K2766" s="5">
        <v>5</v>
      </c>
      <c r="L2766" t="str">
        <f>Table_DataFromNL[[#This Row],[PROFILECODE]]&amp;"-"&amp;Table_DataFromNL[[#This Row],[RULENAME]]</f>
        <v>CP525-College ID Standard Bonus</v>
      </c>
      <c r="M2766" t="e">
        <f t="shared" si="306"/>
        <v>#N/A</v>
      </c>
    </row>
    <row r="2767" spans="1:13" x14ac:dyDescent="0.25">
      <c r="A2767" t="str">
        <f t="shared" si="307"/>
        <v>CP525-Military ID</v>
      </c>
      <c r="B2767" t="s">
        <v>21</v>
      </c>
      <c r="C2767" t="str">
        <f t="shared" si="301"/>
        <v>San Antonio</v>
      </c>
      <c r="D2767" t="str">
        <f t="shared" si="302"/>
        <v>Y</v>
      </c>
      <c r="E2767" t="s">
        <v>665</v>
      </c>
      <c r="F2767" t="str">
        <f t="shared" si="303"/>
        <v>Military ID</v>
      </c>
      <c r="G2767">
        <f t="shared" si="304"/>
        <v>0</v>
      </c>
      <c r="H2767" t="s">
        <v>554</v>
      </c>
      <c r="I2767">
        <f t="shared" si="305"/>
        <v>0</v>
      </c>
      <c r="J2767" t="s">
        <v>546</v>
      </c>
      <c r="K2767" s="5">
        <v>5</v>
      </c>
      <c r="L2767" t="str">
        <f>Table_DataFromNL[[#This Row],[PROFILECODE]]&amp;"-"&amp;Table_DataFromNL[[#This Row],[RULENAME]]</f>
        <v>CP525-Military ID</v>
      </c>
      <c r="M2767" t="e">
        <f t="shared" si="306"/>
        <v>#N/A</v>
      </c>
    </row>
    <row r="2768" spans="1:13" x14ac:dyDescent="0.25">
      <c r="A2768" t="str">
        <f t="shared" si="307"/>
        <v>CP525-NEW DONOR -1st</v>
      </c>
      <c r="B2768" t="s">
        <v>21</v>
      </c>
      <c r="C2768" t="str">
        <f t="shared" si="301"/>
        <v>San Antonio</v>
      </c>
      <c r="D2768" t="str">
        <f t="shared" si="302"/>
        <v>Y</v>
      </c>
      <c r="E2768" t="s">
        <v>665</v>
      </c>
      <c r="F2768" t="str">
        <f t="shared" si="303"/>
        <v>NEW DONOR -1st</v>
      </c>
      <c r="G2768" t="str">
        <f t="shared" si="304"/>
        <v>Marketing</v>
      </c>
      <c r="H2768" t="s">
        <v>555</v>
      </c>
      <c r="I2768">
        <f t="shared" si="305"/>
        <v>1</v>
      </c>
      <c r="J2768" t="s">
        <v>546</v>
      </c>
      <c r="K2768" s="5">
        <v>60</v>
      </c>
      <c r="L2768" t="str">
        <f>Table_DataFromNL[[#This Row],[PROFILECODE]]&amp;"-"&amp;Table_DataFromNL[[#This Row],[RULENAME]]</f>
        <v>CP525-New Donor 1st Visit-Bonus</v>
      </c>
      <c r="M2768" t="str">
        <f t="shared" si="306"/>
        <v>CP525-NEW DONOR -1st</v>
      </c>
    </row>
    <row r="2769" spans="1:13" x14ac:dyDescent="0.25">
      <c r="A2769" t="str">
        <f t="shared" si="307"/>
        <v>CP525-NEW DONOR -2nd</v>
      </c>
      <c r="B2769" t="s">
        <v>21</v>
      </c>
      <c r="C2769" t="str">
        <f t="shared" si="301"/>
        <v>San Antonio</v>
      </c>
      <c r="D2769" t="str">
        <f t="shared" si="302"/>
        <v>Y</v>
      </c>
      <c r="E2769" t="s">
        <v>665</v>
      </c>
      <c r="F2769" t="str">
        <f t="shared" si="303"/>
        <v>NEW DONOR -2nd</v>
      </c>
      <c r="G2769" t="str">
        <f t="shared" si="304"/>
        <v>Marketing</v>
      </c>
      <c r="H2769" t="s">
        <v>556</v>
      </c>
      <c r="I2769">
        <f t="shared" si="305"/>
        <v>2</v>
      </c>
      <c r="J2769" t="s">
        <v>546</v>
      </c>
      <c r="K2769" s="5">
        <v>60</v>
      </c>
      <c r="L2769" t="str">
        <f>Table_DataFromNL[[#This Row],[PROFILECODE]]&amp;"-"&amp;Table_DataFromNL[[#This Row],[RULENAME]]</f>
        <v>CP525-New Donor 2nd Visit-Bonus</v>
      </c>
      <c r="M2769" t="str">
        <f t="shared" si="306"/>
        <v>CP525-NEW DONOR -2nd</v>
      </c>
    </row>
    <row r="2770" spans="1:13" x14ac:dyDescent="0.25">
      <c r="A2770" t="str">
        <f t="shared" si="307"/>
        <v>CP525-NEW DONOR -3rd</v>
      </c>
      <c r="B2770" t="s">
        <v>21</v>
      </c>
      <c r="C2770" t="str">
        <f t="shared" si="301"/>
        <v>San Antonio</v>
      </c>
      <c r="D2770" t="str">
        <f t="shared" si="302"/>
        <v>Y</v>
      </c>
      <c r="E2770" t="s">
        <v>665</v>
      </c>
      <c r="F2770" t="str">
        <f t="shared" si="303"/>
        <v>NEW DONOR -3rd</v>
      </c>
      <c r="G2770" t="str">
        <f t="shared" si="304"/>
        <v>Marketing</v>
      </c>
      <c r="H2770" t="s">
        <v>557</v>
      </c>
      <c r="I2770">
        <f t="shared" si="305"/>
        <v>3</v>
      </c>
      <c r="J2770" t="s">
        <v>546</v>
      </c>
      <c r="K2770" s="5">
        <v>60</v>
      </c>
      <c r="L2770" t="str">
        <f>Table_DataFromNL[[#This Row],[PROFILECODE]]&amp;"-"&amp;Table_DataFromNL[[#This Row],[RULENAME]]</f>
        <v>CP525-New Donor 3rd Visit-Bonus</v>
      </c>
      <c r="M2770" t="str">
        <f t="shared" si="306"/>
        <v>CP525-NEW DONOR -3rd</v>
      </c>
    </row>
    <row r="2771" spans="1:13" x14ac:dyDescent="0.25">
      <c r="A2771" t="str">
        <f t="shared" si="307"/>
        <v>CP525-NEW DONOR -4th</v>
      </c>
      <c r="B2771" t="s">
        <v>21</v>
      </c>
      <c r="C2771" t="str">
        <f t="shared" si="301"/>
        <v>San Antonio</v>
      </c>
      <c r="D2771" t="str">
        <f t="shared" si="302"/>
        <v>Y</v>
      </c>
      <c r="E2771" t="s">
        <v>665</v>
      </c>
      <c r="F2771" t="str">
        <f t="shared" si="303"/>
        <v>NEW DONOR -4th</v>
      </c>
      <c r="G2771" t="str">
        <f t="shared" si="304"/>
        <v>Marketing</v>
      </c>
      <c r="H2771" t="s">
        <v>558</v>
      </c>
      <c r="I2771">
        <f t="shared" si="305"/>
        <v>4</v>
      </c>
      <c r="J2771" t="s">
        <v>546</v>
      </c>
      <c r="K2771" s="5">
        <v>60</v>
      </c>
      <c r="L2771" t="str">
        <f>Table_DataFromNL[[#This Row],[PROFILECODE]]&amp;"-"&amp;Table_DataFromNL[[#This Row],[RULENAME]]</f>
        <v>CP525-New Donor 4th Visit-Bonus</v>
      </c>
      <c r="M2771" t="str">
        <f t="shared" si="306"/>
        <v>CP525-NEW DONOR -4th</v>
      </c>
    </row>
    <row r="2772" spans="1:13" x14ac:dyDescent="0.25">
      <c r="A2772" t="str">
        <f t="shared" si="307"/>
        <v>CP525-NEW DONOR -5th</v>
      </c>
      <c r="B2772" t="s">
        <v>21</v>
      </c>
      <c r="C2772" t="str">
        <f t="shared" si="301"/>
        <v>San Antonio</v>
      </c>
      <c r="D2772" t="str">
        <f t="shared" si="302"/>
        <v>Y</v>
      </c>
      <c r="E2772" t="s">
        <v>665</v>
      </c>
      <c r="F2772" t="str">
        <f t="shared" si="303"/>
        <v>NEW DONOR -5th</v>
      </c>
      <c r="G2772" t="str">
        <f t="shared" si="304"/>
        <v>Marketing</v>
      </c>
      <c r="H2772" t="s">
        <v>559</v>
      </c>
      <c r="I2772">
        <f t="shared" si="305"/>
        <v>5</v>
      </c>
      <c r="J2772" t="s">
        <v>546</v>
      </c>
      <c r="K2772" s="5">
        <v>60</v>
      </c>
      <c r="L2772" t="str">
        <f>Table_DataFromNL[[#This Row],[PROFILECODE]]&amp;"-"&amp;Table_DataFromNL[[#This Row],[RULENAME]]</f>
        <v>CP525-New Donor 5th Visit-Bonus</v>
      </c>
      <c r="M2772" t="str">
        <f t="shared" si="306"/>
        <v>CP525-NEW DONOR -5th</v>
      </c>
    </row>
    <row r="2773" spans="1:13" x14ac:dyDescent="0.25">
      <c r="A2773" t="str">
        <f t="shared" si="307"/>
        <v>CP525-NEW DONOR -6th</v>
      </c>
      <c r="B2773" t="s">
        <v>21</v>
      </c>
      <c r="C2773" t="str">
        <f t="shared" si="301"/>
        <v>San Antonio</v>
      </c>
      <c r="D2773" t="str">
        <f t="shared" si="302"/>
        <v>Y</v>
      </c>
      <c r="E2773" t="s">
        <v>665</v>
      </c>
      <c r="F2773" t="str">
        <f t="shared" si="303"/>
        <v>NEW DONOR -6th</v>
      </c>
      <c r="G2773" t="str">
        <f t="shared" si="304"/>
        <v>Marketing</v>
      </c>
      <c r="H2773" t="s">
        <v>560</v>
      </c>
      <c r="I2773">
        <f t="shared" si="305"/>
        <v>6</v>
      </c>
      <c r="J2773" t="s">
        <v>546</v>
      </c>
      <c r="K2773" s="5">
        <v>60</v>
      </c>
      <c r="L2773" t="str">
        <f>Table_DataFromNL[[#This Row],[PROFILECODE]]&amp;"-"&amp;Table_DataFromNL[[#This Row],[RULENAME]]</f>
        <v>CP525-New Donor 6th Visit-Bonus</v>
      </c>
      <c r="M2773" t="str">
        <f t="shared" si="306"/>
        <v>CP525-NEW DONOR -6th</v>
      </c>
    </row>
    <row r="2774" spans="1:13" x14ac:dyDescent="0.25">
      <c r="A2774" t="str">
        <f t="shared" si="307"/>
        <v>CP525-NEW DONOR -7th</v>
      </c>
      <c r="B2774" t="s">
        <v>21</v>
      </c>
      <c r="C2774" t="str">
        <f t="shared" si="301"/>
        <v>San Antonio</v>
      </c>
      <c r="D2774" t="str">
        <f t="shared" si="302"/>
        <v>Y</v>
      </c>
      <c r="E2774" t="s">
        <v>665</v>
      </c>
      <c r="F2774" t="str">
        <f t="shared" si="303"/>
        <v>NEW DONOR -7th</v>
      </c>
      <c r="G2774" t="str">
        <f t="shared" si="304"/>
        <v>Marketing</v>
      </c>
      <c r="H2774" t="s">
        <v>561</v>
      </c>
      <c r="I2774">
        <f t="shared" si="305"/>
        <v>7</v>
      </c>
      <c r="J2774" t="s">
        <v>546</v>
      </c>
      <c r="K2774" s="5">
        <v>60</v>
      </c>
      <c r="L2774" t="str">
        <f>Table_DataFromNL[[#This Row],[PROFILECODE]]&amp;"-"&amp;Table_DataFromNL[[#This Row],[RULENAME]]</f>
        <v>CP525-New Donor 7th Visit-Bonus</v>
      </c>
      <c r="M2774" t="str">
        <f t="shared" si="306"/>
        <v>CP525-NEW DONOR -7th</v>
      </c>
    </row>
    <row r="2775" spans="1:13" x14ac:dyDescent="0.25">
      <c r="A2775" t="str">
        <f>B2775&amp;"-"&amp;F2775</f>
        <v>CP525-NEW DONOR -8th</v>
      </c>
      <c r="B2775" t="s">
        <v>21</v>
      </c>
      <c r="C2775" t="str">
        <f t="shared" si="301"/>
        <v>San Antonio</v>
      </c>
      <c r="D2775" t="str">
        <f t="shared" si="302"/>
        <v>Y</v>
      </c>
      <c r="E2775" t="s">
        <v>665</v>
      </c>
      <c r="F2775" t="str">
        <f t="shared" si="303"/>
        <v>NEW DONOR -8th</v>
      </c>
      <c r="G2775" t="str">
        <f t="shared" si="304"/>
        <v>Marketing</v>
      </c>
      <c r="H2775" t="s">
        <v>562</v>
      </c>
      <c r="I2775">
        <f t="shared" si="305"/>
        <v>8</v>
      </c>
      <c r="J2775" t="s">
        <v>546</v>
      </c>
      <c r="K2775" s="5">
        <v>60</v>
      </c>
      <c r="L2775" t="str">
        <f>Table_DataFromNL[[#This Row],[PROFILECODE]]&amp;"-"&amp;Table_DataFromNL[[#This Row],[RULENAME]]</f>
        <v>CP525-New Donor 8th Visit-Bonus</v>
      </c>
      <c r="M2775" t="str">
        <f t="shared" si="306"/>
        <v>CP525-NEW DONOR -8th</v>
      </c>
    </row>
    <row r="2776" spans="1:13" x14ac:dyDescent="0.25">
      <c r="A2776" t="str">
        <f t="shared" si="307"/>
        <v>CP525-Vaccinia - 1st Donation</v>
      </c>
      <c r="B2776" t="s">
        <v>21</v>
      </c>
      <c r="C2776" t="str">
        <f t="shared" si="301"/>
        <v>San Antonio</v>
      </c>
      <c r="D2776" t="str">
        <f t="shared" si="302"/>
        <v>Y</v>
      </c>
      <c r="E2776" t="s">
        <v>665</v>
      </c>
      <c r="F2776" t="str">
        <f t="shared" si="303"/>
        <v>Vaccinia - 1st Donation</v>
      </c>
      <c r="G2776" t="str">
        <f t="shared" si="304"/>
        <v>Specialty</v>
      </c>
      <c r="H2776" t="s">
        <v>477</v>
      </c>
      <c r="I2776">
        <f t="shared" si="305"/>
        <v>0</v>
      </c>
      <c r="J2776" t="s">
        <v>546</v>
      </c>
      <c r="K2776" s="5">
        <v>150</v>
      </c>
      <c r="L2776" t="str">
        <f>Table_DataFromNL[[#This Row],[PROFILECODE]]&amp;"-"&amp;Table_DataFromNL[[#This Row],[RULENAME]]</f>
        <v>CP525-Vaccinia - 1st Donation</v>
      </c>
      <c r="M2776" t="str">
        <f t="shared" si="306"/>
        <v>CP525-Vaccinia - 1st Donation</v>
      </c>
    </row>
    <row r="2777" spans="1:13" x14ac:dyDescent="0.25">
      <c r="A2777" t="str">
        <f t="shared" si="307"/>
        <v>CP525-Vaccinia - 2nd Donation</v>
      </c>
      <c r="B2777" t="s">
        <v>21</v>
      </c>
      <c r="C2777" t="str">
        <f t="shared" si="301"/>
        <v>San Antonio</v>
      </c>
      <c r="D2777" t="str">
        <f t="shared" si="302"/>
        <v>Y</v>
      </c>
      <c r="E2777" t="s">
        <v>665</v>
      </c>
      <c r="F2777" t="str">
        <f t="shared" si="303"/>
        <v>Vaccinia - 2nd Donation</v>
      </c>
      <c r="G2777" t="str">
        <f t="shared" si="304"/>
        <v>Specialty</v>
      </c>
      <c r="H2777" t="s">
        <v>478</v>
      </c>
      <c r="I2777">
        <f t="shared" si="305"/>
        <v>0</v>
      </c>
      <c r="J2777" t="s">
        <v>546</v>
      </c>
      <c r="K2777" s="5">
        <v>250</v>
      </c>
      <c r="L2777" t="str">
        <f>Table_DataFromNL[[#This Row],[PROFILECODE]]&amp;"-"&amp;Table_DataFromNL[[#This Row],[RULENAME]]</f>
        <v>CP525-Vaccinia - 2nd Donation</v>
      </c>
      <c r="M2777" t="str">
        <f t="shared" si="306"/>
        <v>CP525-Vaccinia - 2nd Donation</v>
      </c>
    </row>
    <row r="2778" spans="1:13" x14ac:dyDescent="0.25">
      <c r="A2778" t="str">
        <f t="shared" si="307"/>
        <v>CP525-Vaccinia - 3rd Donation</v>
      </c>
      <c r="B2778" t="s">
        <v>21</v>
      </c>
      <c r="C2778" t="str">
        <f t="shared" si="301"/>
        <v>San Antonio</v>
      </c>
      <c r="D2778" t="str">
        <f t="shared" si="302"/>
        <v>Y</v>
      </c>
      <c r="E2778" t="s">
        <v>665</v>
      </c>
      <c r="F2778" t="str">
        <f t="shared" si="303"/>
        <v>Vaccinia - 3rd Donation</v>
      </c>
      <c r="G2778" t="str">
        <f t="shared" si="304"/>
        <v>Specialty</v>
      </c>
      <c r="H2778" t="s">
        <v>479</v>
      </c>
      <c r="I2778">
        <f t="shared" si="305"/>
        <v>0</v>
      </c>
      <c r="J2778" t="s">
        <v>546</v>
      </c>
      <c r="K2778" s="5">
        <v>300</v>
      </c>
      <c r="L2778" t="str">
        <f>Table_DataFromNL[[#This Row],[PROFILECODE]]&amp;"-"&amp;Table_DataFromNL[[#This Row],[RULENAME]]</f>
        <v>CP525-Vaccinia - 3rd Donation</v>
      </c>
      <c r="M2778" t="str">
        <f t="shared" si="306"/>
        <v>CP525-Vaccinia - 3rd Donation</v>
      </c>
    </row>
    <row r="2779" spans="1:13" x14ac:dyDescent="0.25">
      <c r="A2779" t="str">
        <f t="shared" si="307"/>
        <v>CP525-Vaccinia - 4th Donation</v>
      </c>
      <c r="B2779" t="s">
        <v>21</v>
      </c>
      <c r="C2779" t="str">
        <f t="shared" si="301"/>
        <v>San Antonio</v>
      </c>
      <c r="D2779" t="str">
        <f t="shared" si="302"/>
        <v>Y</v>
      </c>
      <c r="E2779" t="s">
        <v>665</v>
      </c>
      <c r="F2779" t="str">
        <f t="shared" si="303"/>
        <v>Vaccinia - 4th Donation</v>
      </c>
      <c r="G2779" t="str">
        <f t="shared" si="304"/>
        <v>Specialty</v>
      </c>
      <c r="H2779" t="s">
        <v>480</v>
      </c>
      <c r="I2779">
        <f t="shared" si="305"/>
        <v>0</v>
      </c>
      <c r="J2779" t="s">
        <v>546</v>
      </c>
      <c r="K2779" s="5">
        <v>300</v>
      </c>
      <c r="L2779" t="str">
        <f>Table_DataFromNL[[#This Row],[PROFILECODE]]&amp;"-"&amp;Table_DataFromNL[[#This Row],[RULENAME]]</f>
        <v>CP525-Vaccinia - 4th Donation</v>
      </c>
      <c r="M2779" t="str">
        <f t="shared" si="306"/>
        <v>CP525-Vaccinia - 4th Donation</v>
      </c>
    </row>
    <row r="2780" spans="1:13" x14ac:dyDescent="0.25">
      <c r="A2780" t="str">
        <f t="shared" si="307"/>
        <v>CP525-Vaccinia AP - 1st Donation</v>
      </c>
      <c r="B2780" t="s">
        <v>21</v>
      </c>
      <c r="C2780" t="str">
        <f t="shared" si="301"/>
        <v>San Antonio</v>
      </c>
      <c r="D2780" t="str">
        <f t="shared" si="302"/>
        <v>Y</v>
      </c>
      <c r="E2780" t="s">
        <v>665</v>
      </c>
      <c r="F2780" t="str">
        <f t="shared" si="303"/>
        <v>Vaccinia AP - 1st Donation</v>
      </c>
      <c r="G2780" t="str">
        <f t="shared" si="304"/>
        <v>Specialty</v>
      </c>
      <c r="H2780" t="s">
        <v>481</v>
      </c>
      <c r="I2780">
        <f t="shared" si="305"/>
        <v>0</v>
      </c>
      <c r="J2780" t="s">
        <v>546</v>
      </c>
      <c r="K2780" s="5">
        <v>150</v>
      </c>
      <c r="L2780" t="str">
        <f>Table_DataFromNL[[#This Row],[PROFILECODE]]&amp;"-"&amp;Table_DataFromNL[[#This Row],[RULENAME]]</f>
        <v>CP525-Vaccinia AP - 1st Donation</v>
      </c>
      <c r="M2780" t="str">
        <f t="shared" si="306"/>
        <v>CP525-Vaccinia AP - 1st Donation</v>
      </c>
    </row>
    <row r="2781" spans="1:13" x14ac:dyDescent="0.25">
      <c r="A2781" t="str">
        <f t="shared" si="307"/>
        <v>CP525-Vaccinia AP - 2nd Donation</v>
      </c>
      <c r="B2781" t="s">
        <v>21</v>
      </c>
      <c r="C2781" t="str">
        <f t="shared" si="301"/>
        <v>San Antonio</v>
      </c>
      <c r="D2781" t="str">
        <f t="shared" si="302"/>
        <v>Y</v>
      </c>
      <c r="E2781" t="s">
        <v>665</v>
      </c>
      <c r="F2781" t="str">
        <f t="shared" si="303"/>
        <v>Vaccinia AP - 2nd Donation</v>
      </c>
      <c r="G2781" t="str">
        <f t="shared" si="304"/>
        <v>Specialty</v>
      </c>
      <c r="H2781" t="s">
        <v>482</v>
      </c>
      <c r="I2781">
        <f t="shared" si="305"/>
        <v>0</v>
      </c>
      <c r="J2781" t="s">
        <v>546</v>
      </c>
      <c r="K2781" s="5">
        <v>250</v>
      </c>
      <c r="L2781" t="str">
        <f>Table_DataFromNL[[#This Row],[PROFILECODE]]&amp;"-"&amp;Table_DataFromNL[[#This Row],[RULENAME]]</f>
        <v>CP525-Vaccinia AP - 2nd Donation</v>
      </c>
      <c r="M2781" t="str">
        <f t="shared" si="306"/>
        <v>CP525-Vaccinia AP - 2nd Donation</v>
      </c>
    </row>
    <row r="2782" spans="1:13" x14ac:dyDescent="0.25">
      <c r="A2782" t="str">
        <f t="shared" si="307"/>
        <v>CP525-Vaccinia AP - 3rd Donation</v>
      </c>
      <c r="B2782" t="s">
        <v>21</v>
      </c>
      <c r="C2782" t="str">
        <f t="shared" si="301"/>
        <v>San Antonio</v>
      </c>
      <c r="D2782" t="str">
        <f t="shared" si="302"/>
        <v>Y</v>
      </c>
      <c r="E2782" t="s">
        <v>665</v>
      </c>
      <c r="F2782" t="str">
        <f t="shared" si="303"/>
        <v>Vaccinia AP - 3rd Donation</v>
      </c>
      <c r="G2782" t="str">
        <f t="shared" si="304"/>
        <v>Specialty</v>
      </c>
      <c r="H2782" t="s">
        <v>483</v>
      </c>
      <c r="I2782">
        <f t="shared" si="305"/>
        <v>0</v>
      </c>
      <c r="J2782" t="s">
        <v>546</v>
      </c>
      <c r="K2782" s="5">
        <v>300</v>
      </c>
      <c r="L2782" t="str">
        <f>Table_DataFromNL[[#This Row],[PROFILECODE]]&amp;"-"&amp;Table_DataFromNL[[#This Row],[RULENAME]]</f>
        <v>CP525-Vaccinia AP - 3rd Donation</v>
      </c>
      <c r="M2782" t="str">
        <f t="shared" si="306"/>
        <v>CP525-Vaccinia AP - 3rd Donation</v>
      </c>
    </row>
    <row r="2783" spans="1:13" x14ac:dyDescent="0.25">
      <c r="A2783" t="str">
        <f t="shared" si="307"/>
        <v>CP525-Vaccinia AP - 4th Donation</v>
      </c>
      <c r="B2783" t="s">
        <v>21</v>
      </c>
      <c r="C2783" t="str">
        <f t="shared" si="301"/>
        <v>San Antonio</v>
      </c>
      <c r="D2783" t="str">
        <f t="shared" si="302"/>
        <v>Y</v>
      </c>
      <c r="E2783" t="s">
        <v>665</v>
      </c>
      <c r="F2783" t="str">
        <f t="shared" si="303"/>
        <v>Vaccinia AP - 4th Donation</v>
      </c>
      <c r="G2783" t="str">
        <f t="shared" si="304"/>
        <v>Specialty</v>
      </c>
      <c r="H2783" t="s">
        <v>484</v>
      </c>
      <c r="I2783">
        <f t="shared" si="305"/>
        <v>0</v>
      </c>
      <c r="J2783" t="s">
        <v>546</v>
      </c>
      <c r="K2783" s="5">
        <v>300</v>
      </c>
      <c r="L2783" t="str">
        <f>Table_DataFromNL[[#This Row],[PROFILECODE]]&amp;"-"&amp;Table_DataFromNL[[#This Row],[RULENAME]]</f>
        <v>CP525-Vaccinia AP - 4th Donation</v>
      </c>
      <c r="M2783" t="str">
        <f t="shared" si="306"/>
        <v>CP525-Vaccinia AP - 4th Donation</v>
      </c>
    </row>
    <row r="2784" spans="1:13" x14ac:dyDescent="0.25">
      <c r="A2784" t="str">
        <f t="shared" si="307"/>
        <v>CP525-Community</v>
      </c>
      <c r="B2784" t="s">
        <v>21</v>
      </c>
      <c r="C2784" t="str">
        <f t="shared" si="301"/>
        <v>San Antonio</v>
      </c>
      <c r="D2784" t="str">
        <f t="shared" si="302"/>
        <v>Y</v>
      </c>
      <c r="E2784" t="s">
        <v>665</v>
      </c>
      <c r="F2784" t="str">
        <f t="shared" si="303"/>
        <v>Community</v>
      </c>
      <c r="G2784">
        <f t="shared" si="304"/>
        <v>0</v>
      </c>
      <c r="H2784" t="s">
        <v>563</v>
      </c>
      <c r="I2784">
        <f t="shared" si="305"/>
        <v>0</v>
      </c>
      <c r="J2784" t="s">
        <v>564</v>
      </c>
      <c r="K2784" s="5">
        <v>5</v>
      </c>
      <c r="L2784" t="str">
        <f>Table_DataFromNL[[#This Row],[PROFILECODE]]&amp;"-"&amp;Table_DataFromNL[[#This Row],[RULENAME]]</f>
        <v>CP525-Community</v>
      </c>
      <c r="M2784" t="e">
        <f t="shared" si="306"/>
        <v>#N/A</v>
      </c>
    </row>
    <row r="2785" spans="1:13" x14ac:dyDescent="0.25">
      <c r="A2785" t="str">
        <f t="shared" si="307"/>
        <v>CP525-HANGER_RECRUIT_5USD_once</v>
      </c>
      <c r="B2785" t="s">
        <v>21</v>
      </c>
      <c r="C2785" t="str">
        <f t="shared" si="301"/>
        <v>San Antonio</v>
      </c>
      <c r="D2785" t="str">
        <f t="shared" si="302"/>
        <v>Y</v>
      </c>
      <c r="E2785" t="s">
        <v>665</v>
      </c>
      <c r="F2785" t="str">
        <f t="shared" si="303"/>
        <v>HANGER_RECRUIT_5USD_once</v>
      </c>
      <c r="G2785">
        <f t="shared" si="304"/>
        <v>0</v>
      </c>
      <c r="H2785" t="s">
        <v>565</v>
      </c>
      <c r="I2785">
        <f t="shared" si="305"/>
        <v>0</v>
      </c>
      <c r="J2785" t="s">
        <v>564</v>
      </c>
      <c r="K2785" s="5">
        <v>5</v>
      </c>
      <c r="L2785" t="str">
        <f>Table_DataFromNL[[#This Row],[PROFILECODE]]&amp;"-"&amp;Table_DataFromNL[[#This Row],[RULENAME]]</f>
        <v>CP525-HANGER_RECRUIT_5USD_once</v>
      </c>
      <c r="M2785" t="e">
        <f t="shared" si="306"/>
        <v>#N/A</v>
      </c>
    </row>
    <row r="2786" spans="1:13" x14ac:dyDescent="0.25">
      <c r="A2786" t="str">
        <f t="shared" si="307"/>
        <v>CP525-Immunization Boost Payment</v>
      </c>
      <c r="B2786" t="s">
        <v>21</v>
      </c>
      <c r="C2786" t="str">
        <f t="shared" si="301"/>
        <v>San Antonio</v>
      </c>
      <c r="D2786" t="str">
        <f t="shared" si="302"/>
        <v>Y</v>
      </c>
      <c r="E2786" t="s">
        <v>665</v>
      </c>
      <c r="F2786" t="str">
        <f t="shared" si="303"/>
        <v>Immunization Boost Payment</v>
      </c>
      <c r="G2786">
        <f t="shared" si="304"/>
        <v>0</v>
      </c>
      <c r="H2786" t="s">
        <v>598</v>
      </c>
      <c r="I2786">
        <f t="shared" si="305"/>
        <v>0</v>
      </c>
      <c r="J2786" t="s">
        <v>564</v>
      </c>
      <c r="K2786" s="5">
        <v>50</v>
      </c>
      <c r="L2786" t="str">
        <f>Table_DataFromNL[[#This Row],[PROFILECODE]]&amp;"-"&amp;Table_DataFromNL[[#This Row],[RULENAME]]</f>
        <v>CP525-Immunization Boost Payment</v>
      </c>
      <c r="M2786" t="e">
        <f t="shared" si="306"/>
        <v>#N/A</v>
      </c>
    </row>
    <row r="2787" spans="1:13" x14ac:dyDescent="0.25">
      <c r="A2787" t="str">
        <f t="shared" si="307"/>
        <v>CP525-Immunization Series Payment</v>
      </c>
      <c r="B2787" t="s">
        <v>21</v>
      </c>
      <c r="C2787" t="str">
        <f t="shared" si="301"/>
        <v>San Antonio</v>
      </c>
      <c r="D2787" t="str">
        <f t="shared" si="302"/>
        <v>Y</v>
      </c>
      <c r="E2787" t="s">
        <v>665</v>
      </c>
      <c r="F2787" t="str">
        <f t="shared" si="303"/>
        <v>Immunization Series Payment</v>
      </c>
      <c r="G2787">
        <f t="shared" si="304"/>
        <v>0</v>
      </c>
      <c r="H2787" t="s">
        <v>599</v>
      </c>
      <c r="I2787">
        <f t="shared" si="305"/>
        <v>0</v>
      </c>
      <c r="J2787" t="s">
        <v>564</v>
      </c>
      <c r="K2787" s="5">
        <v>100</v>
      </c>
      <c r="L2787" t="str">
        <f>Table_DataFromNL[[#This Row],[PROFILECODE]]&amp;"-"&amp;Table_DataFromNL[[#This Row],[RULENAME]]</f>
        <v>CP525-Immunization Series Payment</v>
      </c>
      <c r="M2787" t="e">
        <f t="shared" si="306"/>
        <v>#N/A</v>
      </c>
    </row>
    <row r="2788" spans="1:13" x14ac:dyDescent="0.25">
      <c r="A2788" t="str">
        <f t="shared" si="307"/>
        <v>CP525-Inconv Fee $20-$50-Comment Req'd</v>
      </c>
      <c r="B2788" t="s">
        <v>21</v>
      </c>
      <c r="C2788" t="str">
        <f t="shared" si="301"/>
        <v>San Antonio</v>
      </c>
      <c r="D2788" t="str">
        <f t="shared" si="302"/>
        <v>Y</v>
      </c>
      <c r="E2788" t="s">
        <v>665</v>
      </c>
      <c r="F2788" t="str">
        <f t="shared" si="303"/>
        <v>Inconv Fee $20-$50-Comment Req'd</v>
      </c>
      <c r="G2788">
        <f t="shared" si="304"/>
        <v>0</v>
      </c>
      <c r="H2788" t="s">
        <v>566</v>
      </c>
      <c r="I2788">
        <f t="shared" si="305"/>
        <v>0</v>
      </c>
      <c r="J2788" t="s">
        <v>564</v>
      </c>
      <c r="K2788" s="5">
        <v>50</v>
      </c>
      <c r="L2788" t="str">
        <f>Table_DataFromNL[[#This Row],[PROFILECODE]]&amp;"-"&amp;Table_DataFromNL[[#This Row],[RULENAME]]</f>
        <v>CP525-Inconv Fee $20-$50-Comment Req'd</v>
      </c>
      <c r="M2788" t="e">
        <f t="shared" si="306"/>
        <v>#N/A</v>
      </c>
    </row>
    <row r="2789" spans="1:13" x14ac:dyDescent="0.25">
      <c r="A2789" t="str">
        <f t="shared" si="307"/>
        <v>CP525-Inconv Fee $5-$20-Comment Req'd</v>
      </c>
      <c r="B2789" t="s">
        <v>21</v>
      </c>
      <c r="C2789" t="str">
        <f t="shared" si="301"/>
        <v>San Antonio</v>
      </c>
      <c r="D2789" t="str">
        <f t="shared" si="302"/>
        <v>Y</v>
      </c>
      <c r="E2789" t="s">
        <v>665</v>
      </c>
      <c r="F2789" t="str">
        <f t="shared" si="303"/>
        <v>Inconv Fee $5-$20-Comment Req'd</v>
      </c>
      <c r="G2789">
        <f t="shared" si="304"/>
        <v>0</v>
      </c>
      <c r="H2789" t="s">
        <v>567</v>
      </c>
      <c r="I2789">
        <f t="shared" si="305"/>
        <v>0</v>
      </c>
      <c r="J2789" t="s">
        <v>564</v>
      </c>
      <c r="K2789" s="5">
        <v>20</v>
      </c>
      <c r="L2789" t="str">
        <f>Table_DataFromNL[[#This Row],[PROFILECODE]]&amp;"-"&amp;Table_DataFromNL[[#This Row],[RULENAME]]</f>
        <v>CP525-Inconv Fee $5-$20-Comment Req'd</v>
      </c>
      <c r="M2789" t="e">
        <f t="shared" si="306"/>
        <v>#N/A</v>
      </c>
    </row>
    <row r="2790" spans="1:13" x14ac:dyDescent="0.25">
      <c r="A2790" t="str">
        <f t="shared" si="307"/>
        <v>CP525-Inconv Fee$50-$100-Comment Req'd</v>
      </c>
      <c r="B2790" t="s">
        <v>21</v>
      </c>
      <c r="C2790" t="str">
        <f t="shared" si="301"/>
        <v>San Antonio</v>
      </c>
      <c r="D2790" t="str">
        <f t="shared" si="302"/>
        <v>Y</v>
      </c>
      <c r="E2790" t="s">
        <v>665</v>
      </c>
      <c r="F2790" t="str">
        <f t="shared" si="303"/>
        <v>Inconv Fee$50-$100-Comment Req'd</v>
      </c>
      <c r="G2790">
        <f t="shared" si="304"/>
        <v>0</v>
      </c>
      <c r="H2790" t="s">
        <v>568</v>
      </c>
      <c r="I2790">
        <f t="shared" si="305"/>
        <v>0</v>
      </c>
      <c r="J2790" t="s">
        <v>564</v>
      </c>
      <c r="K2790" s="5">
        <v>100</v>
      </c>
      <c r="L2790" t="str">
        <f>Table_DataFromNL[[#This Row],[PROFILECODE]]&amp;"-"&amp;Table_DataFromNL[[#This Row],[RULENAME]]</f>
        <v>CP525-Inconv Fee$50-$100-Comment Req'd</v>
      </c>
      <c r="M2790" t="e">
        <f t="shared" si="306"/>
        <v>#N/A</v>
      </c>
    </row>
    <row r="2791" spans="1:13" x14ac:dyDescent="0.25">
      <c r="A2791" t="str">
        <f t="shared" si="307"/>
        <v>CP525-NSP_ LAPSEDONOR_50_Twice</v>
      </c>
      <c r="B2791" t="s">
        <v>21</v>
      </c>
      <c r="C2791" t="str">
        <f t="shared" si="301"/>
        <v>San Antonio</v>
      </c>
      <c r="D2791" t="str">
        <f t="shared" si="302"/>
        <v>Y</v>
      </c>
      <c r="E2791" t="s">
        <v>665</v>
      </c>
      <c r="F2791" t="str">
        <f t="shared" si="303"/>
        <v>NSP_ LAPSEDONOR_50_Twice</v>
      </c>
      <c r="G2791">
        <f t="shared" si="304"/>
        <v>0</v>
      </c>
      <c r="H2791" t="s">
        <v>569</v>
      </c>
      <c r="I2791">
        <f t="shared" si="305"/>
        <v>0</v>
      </c>
      <c r="J2791" t="s">
        <v>564</v>
      </c>
      <c r="K2791" s="5">
        <v>50</v>
      </c>
      <c r="L2791" t="str">
        <f>Table_DataFromNL[[#This Row],[PROFILECODE]]&amp;"-"&amp;Table_DataFromNL[[#This Row],[RULENAME]]</f>
        <v>CP525-NSP_ LAPSEDONOR_50_Twice</v>
      </c>
      <c r="M2791" t="e">
        <f t="shared" si="306"/>
        <v>#N/A</v>
      </c>
    </row>
    <row r="2792" spans="1:13" x14ac:dyDescent="0.25">
      <c r="A2792" t="str">
        <f t="shared" si="307"/>
        <v>CP525-NSP_LD_25_2X</v>
      </c>
      <c r="B2792" t="s">
        <v>21</v>
      </c>
      <c r="C2792" t="str">
        <f t="shared" si="301"/>
        <v>San Antonio</v>
      </c>
      <c r="D2792" t="str">
        <f t="shared" si="302"/>
        <v>Y</v>
      </c>
      <c r="E2792" t="s">
        <v>665</v>
      </c>
      <c r="F2792" t="str">
        <f t="shared" si="303"/>
        <v>NSP_LD_25_2X</v>
      </c>
      <c r="G2792">
        <f t="shared" si="304"/>
        <v>0</v>
      </c>
      <c r="H2792" t="s">
        <v>570</v>
      </c>
      <c r="I2792">
        <f t="shared" si="305"/>
        <v>0</v>
      </c>
      <c r="J2792" t="s">
        <v>564</v>
      </c>
      <c r="K2792" s="5">
        <v>25</v>
      </c>
      <c r="L2792" t="str">
        <f>Table_DataFromNL[[#This Row],[PROFILECODE]]&amp;"-"&amp;Table_DataFromNL[[#This Row],[RULENAME]]</f>
        <v>CP525-NSP_LD_25_2X</v>
      </c>
      <c r="M2792" t="e">
        <f t="shared" si="306"/>
        <v>#N/A</v>
      </c>
    </row>
    <row r="2793" spans="1:13" x14ac:dyDescent="0.25">
      <c r="A2793" t="str">
        <f t="shared" si="307"/>
        <v>CP525-NSP_LD_50_1X</v>
      </c>
      <c r="B2793" t="s">
        <v>21</v>
      </c>
      <c r="C2793" t="str">
        <f t="shared" si="301"/>
        <v>San Antonio</v>
      </c>
      <c r="D2793" t="str">
        <f t="shared" si="302"/>
        <v>Y</v>
      </c>
      <c r="E2793" t="s">
        <v>665</v>
      </c>
      <c r="F2793" t="str">
        <f t="shared" si="303"/>
        <v>NSP_LD_50_1X</v>
      </c>
      <c r="G2793">
        <f t="shared" si="304"/>
        <v>0</v>
      </c>
      <c r="H2793" t="s">
        <v>571</v>
      </c>
      <c r="I2793">
        <f t="shared" si="305"/>
        <v>0</v>
      </c>
      <c r="J2793" t="s">
        <v>564</v>
      </c>
      <c r="K2793" s="5">
        <v>50</v>
      </c>
      <c r="L2793" t="str">
        <f>Table_DataFromNL[[#This Row],[PROFILECODE]]&amp;"-"&amp;Table_DataFromNL[[#This Row],[RULENAME]]</f>
        <v>CP525-NSP_LD_50_1X</v>
      </c>
      <c r="M2793" t="e">
        <f t="shared" si="306"/>
        <v>#N/A</v>
      </c>
    </row>
    <row r="2794" spans="1:13" x14ac:dyDescent="0.25">
      <c r="A2794" t="str">
        <f t="shared" si="307"/>
        <v>CP525-NSP_ORPHAN_100_once</v>
      </c>
      <c r="B2794" t="s">
        <v>21</v>
      </c>
      <c r="C2794" t="str">
        <f t="shared" si="301"/>
        <v>San Antonio</v>
      </c>
      <c r="D2794" t="str">
        <f t="shared" si="302"/>
        <v>Y</v>
      </c>
      <c r="E2794" t="s">
        <v>665</v>
      </c>
      <c r="F2794" t="str">
        <f t="shared" si="303"/>
        <v>NSP_ORPHAN_100_once</v>
      </c>
      <c r="G2794">
        <f t="shared" si="304"/>
        <v>0</v>
      </c>
      <c r="H2794" t="s">
        <v>572</v>
      </c>
      <c r="I2794">
        <f t="shared" si="305"/>
        <v>0</v>
      </c>
      <c r="J2794" t="s">
        <v>564</v>
      </c>
      <c r="K2794" s="5">
        <v>100</v>
      </c>
      <c r="L2794" t="str">
        <f>Table_DataFromNL[[#This Row],[PROFILECODE]]&amp;"-"&amp;Table_DataFromNL[[#This Row],[RULENAME]]</f>
        <v>CP525-NSP_ORPHAN_100_once</v>
      </c>
      <c r="M2794" t="e">
        <f t="shared" si="306"/>
        <v>#N/A</v>
      </c>
    </row>
    <row r="2795" spans="1:13" x14ac:dyDescent="0.25">
      <c r="A2795" t="str">
        <f t="shared" si="307"/>
        <v>CP525-Referral - Vaccinia</v>
      </c>
      <c r="B2795" t="s">
        <v>21</v>
      </c>
      <c r="C2795" t="str">
        <f t="shared" si="301"/>
        <v>San Antonio</v>
      </c>
      <c r="D2795" t="str">
        <f t="shared" si="302"/>
        <v>Y</v>
      </c>
      <c r="E2795" t="s">
        <v>665</v>
      </c>
      <c r="F2795" t="str">
        <f t="shared" si="303"/>
        <v>Referral - Vaccinia</v>
      </c>
      <c r="G2795">
        <f t="shared" si="304"/>
        <v>0</v>
      </c>
      <c r="H2795" t="s">
        <v>595</v>
      </c>
      <c r="I2795">
        <f t="shared" si="305"/>
        <v>0</v>
      </c>
      <c r="J2795" t="s">
        <v>564</v>
      </c>
      <c r="K2795" s="5">
        <v>200</v>
      </c>
      <c r="L2795" t="str">
        <f>Table_DataFromNL[[#This Row],[PROFILECODE]]&amp;"-"&amp;Table_DataFromNL[[#This Row],[RULENAME]]</f>
        <v>CP525-Referral - Vaccinia</v>
      </c>
      <c r="M2795" t="e">
        <f t="shared" si="306"/>
        <v>#N/A</v>
      </c>
    </row>
    <row r="2796" spans="1:13" x14ac:dyDescent="0.25">
      <c r="A2796" t="str">
        <f t="shared" si="307"/>
        <v>CP525-Restick</v>
      </c>
      <c r="B2796" t="s">
        <v>21</v>
      </c>
      <c r="C2796" t="str">
        <f t="shared" si="301"/>
        <v>San Antonio</v>
      </c>
      <c r="D2796" t="str">
        <f t="shared" si="302"/>
        <v>Y</v>
      </c>
      <c r="E2796" t="s">
        <v>665</v>
      </c>
      <c r="F2796" t="str">
        <f t="shared" si="303"/>
        <v>Restick</v>
      </c>
      <c r="G2796">
        <f t="shared" si="304"/>
        <v>0</v>
      </c>
      <c r="H2796" t="s">
        <v>573</v>
      </c>
      <c r="I2796">
        <f t="shared" si="305"/>
        <v>0</v>
      </c>
      <c r="J2796" t="s">
        <v>564</v>
      </c>
      <c r="K2796" s="5">
        <v>5</v>
      </c>
      <c r="L2796" t="str">
        <f>Table_DataFromNL[[#This Row],[PROFILECODE]]&amp;"-"&amp;Table_DataFromNL[[#This Row],[RULENAME]]</f>
        <v>CP525-Restick</v>
      </c>
      <c r="M2796" t="e">
        <f t="shared" si="306"/>
        <v>#N/A</v>
      </c>
    </row>
    <row r="2797" spans="1:13" x14ac:dyDescent="0.25">
      <c r="A2797" t="str">
        <f t="shared" si="307"/>
        <v>CP525-SLOW_TEXT_5</v>
      </c>
      <c r="B2797" t="s">
        <v>21</v>
      </c>
      <c r="C2797" t="str">
        <f t="shared" si="301"/>
        <v>San Antonio</v>
      </c>
      <c r="D2797" t="str">
        <f t="shared" si="302"/>
        <v>Y</v>
      </c>
      <c r="E2797" t="s">
        <v>665</v>
      </c>
      <c r="F2797" t="str">
        <f t="shared" si="303"/>
        <v>SLOW_TEXT_5</v>
      </c>
      <c r="G2797">
        <f t="shared" si="304"/>
        <v>0</v>
      </c>
      <c r="H2797" t="s">
        <v>574</v>
      </c>
      <c r="I2797">
        <f t="shared" si="305"/>
        <v>0</v>
      </c>
      <c r="J2797" t="s">
        <v>564</v>
      </c>
      <c r="K2797" s="5">
        <v>5</v>
      </c>
      <c r="L2797" t="str">
        <f>Table_DataFromNL[[#This Row],[PROFILECODE]]&amp;"-"&amp;Table_DataFromNL[[#This Row],[RULENAME]]</f>
        <v>CP525-SLOW_TEXT_5</v>
      </c>
      <c r="M2797" t="e">
        <f t="shared" si="306"/>
        <v>#N/A</v>
      </c>
    </row>
    <row r="2798" spans="1:13" x14ac:dyDescent="0.25">
      <c r="A2798" t="str">
        <f t="shared" si="307"/>
        <v>CP525-Sample Only</v>
      </c>
      <c r="B2798" t="s">
        <v>21</v>
      </c>
      <c r="C2798" t="str">
        <f t="shared" si="301"/>
        <v>San Antonio</v>
      </c>
      <c r="D2798" t="str">
        <f t="shared" si="302"/>
        <v>Y</v>
      </c>
      <c r="E2798" t="s">
        <v>665</v>
      </c>
      <c r="F2798" t="str">
        <f t="shared" si="303"/>
        <v>Sample Only</v>
      </c>
      <c r="G2798">
        <f t="shared" si="304"/>
        <v>0</v>
      </c>
      <c r="H2798" t="s">
        <v>575</v>
      </c>
      <c r="I2798">
        <f t="shared" si="305"/>
        <v>0</v>
      </c>
      <c r="J2798" t="s">
        <v>564</v>
      </c>
      <c r="K2798" s="5">
        <v>5</v>
      </c>
      <c r="L2798" t="str">
        <f>Table_DataFromNL[[#This Row],[PROFILECODE]]&amp;"-"&amp;Table_DataFromNL[[#This Row],[RULENAME]]</f>
        <v>CP525-Sample Only</v>
      </c>
      <c r="M2798" t="e">
        <f t="shared" si="306"/>
        <v>#N/A</v>
      </c>
    </row>
    <row r="2799" spans="1:13" x14ac:dyDescent="0.25">
      <c r="A2799" t="str">
        <f t="shared" si="307"/>
        <v>CP525-Unit Below 250 mL</v>
      </c>
      <c r="B2799" t="s">
        <v>21</v>
      </c>
      <c r="C2799" t="str">
        <f t="shared" si="301"/>
        <v>San Antonio</v>
      </c>
      <c r="D2799" t="str">
        <f t="shared" si="302"/>
        <v>Y</v>
      </c>
      <c r="E2799" t="s">
        <v>665</v>
      </c>
      <c r="F2799" t="str">
        <f t="shared" si="303"/>
        <v>Unit Below 250 mL</v>
      </c>
      <c r="G2799">
        <f t="shared" si="304"/>
        <v>0</v>
      </c>
      <c r="H2799" t="s">
        <v>576</v>
      </c>
      <c r="I2799">
        <f t="shared" si="305"/>
        <v>0</v>
      </c>
      <c r="J2799" t="s">
        <v>564</v>
      </c>
      <c r="K2799" s="5">
        <v>5</v>
      </c>
      <c r="L2799" t="str">
        <f>Table_DataFromNL[[#This Row],[PROFILECODE]]&amp;"-"&amp;Table_DataFromNL[[#This Row],[RULENAME]]</f>
        <v>CP525-Unit Below 250 mL</v>
      </c>
      <c r="M2799" t="e">
        <f t="shared" si="306"/>
        <v>#N/A</v>
      </c>
    </row>
    <row r="2800" spans="1:13" x14ac:dyDescent="0.25">
      <c r="A2800" t="str">
        <f t="shared" si="307"/>
        <v>CP525-Unit above 250 mL/underdraw</v>
      </c>
      <c r="B2800" t="s">
        <v>21</v>
      </c>
      <c r="C2800" t="str">
        <f t="shared" si="301"/>
        <v>San Antonio</v>
      </c>
      <c r="D2800" t="str">
        <f t="shared" si="302"/>
        <v>Y</v>
      </c>
      <c r="E2800" t="s">
        <v>665</v>
      </c>
      <c r="F2800" t="str">
        <f t="shared" si="303"/>
        <v>Unit above 250 mL/underdraw</v>
      </c>
      <c r="G2800">
        <f t="shared" si="304"/>
        <v>0</v>
      </c>
      <c r="H2800" t="s">
        <v>577</v>
      </c>
      <c r="I2800">
        <f t="shared" si="305"/>
        <v>0</v>
      </c>
      <c r="J2800" t="s">
        <v>564</v>
      </c>
      <c r="K2800" s="5">
        <v>10</v>
      </c>
      <c r="L2800" t="str">
        <f>Table_DataFromNL[[#This Row],[PROFILECODE]]&amp;"-"&amp;Table_DataFromNL[[#This Row],[RULENAME]]</f>
        <v>CP525-Unit above 250 mL/underdraw</v>
      </c>
      <c r="M2800" t="e">
        <f t="shared" si="306"/>
        <v>#N/A</v>
      </c>
    </row>
    <row r="2801" spans="1:13" x14ac:dyDescent="0.25">
      <c r="A2801" t="str">
        <f t="shared" si="307"/>
        <v>CP525-Vaccinia Immunization</v>
      </c>
      <c r="B2801" t="s">
        <v>21</v>
      </c>
      <c r="C2801" t="str">
        <f t="shared" si="301"/>
        <v>San Antonio</v>
      </c>
      <c r="D2801" t="str">
        <f t="shared" si="302"/>
        <v>Y</v>
      </c>
      <c r="E2801" t="s">
        <v>665</v>
      </c>
      <c r="F2801" t="str">
        <f t="shared" si="303"/>
        <v>Vaccinia Immunization</v>
      </c>
      <c r="G2801">
        <f t="shared" si="304"/>
        <v>0</v>
      </c>
      <c r="H2801" t="s">
        <v>596</v>
      </c>
      <c r="I2801">
        <f t="shared" si="305"/>
        <v>0</v>
      </c>
      <c r="J2801" t="s">
        <v>564</v>
      </c>
      <c r="K2801" s="5">
        <v>100</v>
      </c>
      <c r="L2801" t="str">
        <f>Table_DataFromNL[[#This Row],[PROFILECODE]]&amp;"-"&amp;Table_DataFromNL[[#This Row],[RULENAME]]</f>
        <v>CP525-Vaccinia Immunization</v>
      </c>
      <c r="M2801" t="e">
        <f t="shared" si="306"/>
        <v>#N/A</v>
      </c>
    </row>
    <row r="2802" spans="1:13" x14ac:dyDescent="0.25">
      <c r="A2802" t="str">
        <f t="shared" si="307"/>
        <v>CP525-RETURN - Buddy referral  -BONUS</v>
      </c>
      <c r="B2802" t="s">
        <v>21</v>
      </c>
      <c r="C2802" t="str">
        <f t="shared" si="301"/>
        <v>San Antonio</v>
      </c>
      <c r="D2802" t="str">
        <f t="shared" si="302"/>
        <v>Y</v>
      </c>
      <c r="E2802" t="s">
        <v>665</v>
      </c>
      <c r="F2802" t="str">
        <f t="shared" si="303"/>
        <v>RETURN - Buddy referral  -BONUS</v>
      </c>
      <c r="G2802" t="str">
        <f t="shared" si="304"/>
        <v>Marketing</v>
      </c>
      <c r="H2802" t="s">
        <v>34</v>
      </c>
      <c r="I2802">
        <f t="shared" si="305"/>
        <v>50</v>
      </c>
      <c r="J2802" t="s">
        <v>578</v>
      </c>
      <c r="K2802" s="5">
        <v>50</v>
      </c>
      <c r="L2802" t="str">
        <f>Table_DataFromNL[[#This Row],[PROFILECODE]]&amp;"-"&amp;Table_DataFromNL[[#This Row],[RULENAME]]</f>
        <v>CP525-Referral</v>
      </c>
      <c r="M2802" t="str">
        <f t="shared" si="306"/>
        <v>CP525-RETURN - Buddy referral  -BONUS</v>
      </c>
    </row>
    <row r="2803" spans="1:13" x14ac:dyDescent="0.25">
      <c r="A2803" t="str">
        <f t="shared" si="307"/>
        <v>CP525-P Anti-D Pre-Existing Standard</v>
      </c>
      <c r="B2803" t="s">
        <v>21</v>
      </c>
      <c r="C2803" t="str">
        <f t="shared" si="301"/>
        <v>San Antonio</v>
      </c>
      <c r="D2803" t="str">
        <f t="shared" si="302"/>
        <v>Y</v>
      </c>
      <c r="E2803" t="s">
        <v>665</v>
      </c>
      <c r="F2803" t="str">
        <f t="shared" si="303"/>
        <v>P Anti-D Pre-Existing Standard</v>
      </c>
      <c r="G2803" t="str">
        <f t="shared" si="304"/>
        <v>Specialty</v>
      </c>
      <c r="H2803" t="s">
        <v>469</v>
      </c>
      <c r="I2803" t="str">
        <f t="shared" si="305"/>
        <v>RETURN - 1st don of the week -STD</v>
      </c>
      <c r="J2803" t="s">
        <v>579</v>
      </c>
      <c r="K2803" s="5">
        <v>50</v>
      </c>
      <c r="L2803" t="str">
        <f>Table_DataFromNL[[#This Row],[PROFILECODE]]&amp;"-"&amp;Table_DataFromNL[[#This Row],[RULENAME]]</f>
        <v>CP525-P Anti-D Pre-Existing Standard</v>
      </c>
      <c r="M2803" t="str">
        <f t="shared" si="306"/>
        <v>CP525-P Anti-D Pre-Existing Standard</v>
      </c>
    </row>
    <row r="2804" spans="1:13" x14ac:dyDescent="0.25">
      <c r="A2804" t="str">
        <f t="shared" si="307"/>
        <v>CP525-P HBS Pre-Existing Standard</v>
      </c>
      <c r="B2804" t="s">
        <v>21</v>
      </c>
      <c r="C2804" t="str">
        <f t="shared" si="301"/>
        <v>San Antonio</v>
      </c>
      <c r="D2804" t="str">
        <f t="shared" si="302"/>
        <v>Y</v>
      </c>
      <c r="E2804" t="s">
        <v>665</v>
      </c>
      <c r="F2804" t="str">
        <f t="shared" si="303"/>
        <v>P HBS Pre-Existing Standard</v>
      </c>
      <c r="G2804" t="str">
        <f t="shared" si="304"/>
        <v>Specialty</v>
      </c>
      <c r="H2804" t="s">
        <v>472</v>
      </c>
      <c r="I2804" t="str">
        <f t="shared" si="305"/>
        <v>RETURN - 1st don of the week -STD</v>
      </c>
      <c r="J2804" t="s">
        <v>579</v>
      </c>
      <c r="K2804" s="5">
        <v>90</v>
      </c>
      <c r="L2804" t="str">
        <f>Table_DataFromNL[[#This Row],[PROFILECODE]]&amp;"-"&amp;Table_DataFromNL[[#This Row],[RULENAME]]</f>
        <v>CP525-P HBS Pre-Existing Standard</v>
      </c>
      <c r="M2804" t="str">
        <f t="shared" si="306"/>
        <v>CP525-P HBS Pre-Existing Standard</v>
      </c>
    </row>
    <row r="2805" spans="1:13" x14ac:dyDescent="0.25">
      <c r="A2805" t="str">
        <f t="shared" si="307"/>
        <v>CP525-P HBS TWINRIX Standard</v>
      </c>
      <c r="B2805" t="s">
        <v>21</v>
      </c>
      <c r="C2805" t="str">
        <f t="shared" si="301"/>
        <v>San Antonio</v>
      </c>
      <c r="D2805" t="str">
        <f t="shared" si="302"/>
        <v>Y</v>
      </c>
      <c r="E2805" t="s">
        <v>665</v>
      </c>
      <c r="F2805" t="str">
        <f t="shared" si="303"/>
        <v>P HBS TWINRIX Standard</v>
      </c>
      <c r="G2805" t="str">
        <f t="shared" si="304"/>
        <v>Specialty</v>
      </c>
      <c r="H2805" t="s">
        <v>506</v>
      </c>
      <c r="I2805" t="str">
        <f t="shared" si="305"/>
        <v>RETURN - 1st don of the week -STD</v>
      </c>
      <c r="J2805" t="s">
        <v>579</v>
      </c>
      <c r="K2805" s="5">
        <v>90</v>
      </c>
      <c r="L2805" t="str">
        <f>Table_DataFromNL[[#This Row],[PROFILECODE]]&amp;"-"&amp;Table_DataFromNL[[#This Row],[RULENAME]]</f>
        <v>CP525-P HBS TWINRIX Standard</v>
      </c>
      <c r="M2805" t="str">
        <f t="shared" si="306"/>
        <v>CP525-P HBS TWINRIX Standard</v>
      </c>
    </row>
    <row r="2806" spans="1:13" x14ac:dyDescent="0.25">
      <c r="A2806" t="str">
        <f t="shared" si="307"/>
        <v>CP525-P HBS TWINRIX-AP Standard</v>
      </c>
      <c r="B2806" t="s">
        <v>21</v>
      </c>
      <c r="C2806" t="str">
        <f t="shared" si="301"/>
        <v>San Antonio</v>
      </c>
      <c r="D2806" t="str">
        <f t="shared" si="302"/>
        <v>Y</v>
      </c>
      <c r="E2806" t="s">
        <v>665</v>
      </c>
      <c r="F2806" t="str">
        <f t="shared" si="303"/>
        <v>P HBS TWINRIX-AP Standard</v>
      </c>
      <c r="G2806" t="str">
        <f t="shared" si="304"/>
        <v>Specialty</v>
      </c>
      <c r="H2806" t="s">
        <v>507</v>
      </c>
      <c r="I2806" t="str">
        <f t="shared" si="305"/>
        <v>RETURN - 1st don of the week -STD</v>
      </c>
      <c r="J2806" t="s">
        <v>579</v>
      </c>
      <c r="K2806" s="5">
        <v>90</v>
      </c>
      <c r="L2806" t="str">
        <f>Table_DataFromNL[[#This Row],[PROFILECODE]]&amp;"-"&amp;Table_DataFromNL[[#This Row],[RULENAME]]</f>
        <v>CP525-P HBS TWINRIX-AP Standard</v>
      </c>
      <c r="M2806" t="str">
        <f t="shared" si="306"/>
        <v>CP525-P HBS TWINRIX-AP Standard</v>
      </c>
    </row>
    <row r="2807" spans="1:13" x14ac:dyDescent="0.25">
      <c r="A2807" t="str">
        <f t="shared" si="307"/>
        <v>CP525-RETURN - 1st don of the week -STD</v>
      </c>
      <c r="B2807" t="s">
        <v>21</v>
      </c>
      <c r="C2807" t="str">
        <f t="shared" si="301"/>
        <v>San Antonio</v>
      </c>
      <c r="D2807" t="str">
        <f t="shared" si="302"/>
        <v>Y</v>
      </c>
      <c r="E2807" t="s">
        <v>665</v>
      </c>
      <c r="F2807" t="str">
        <f t="shared" si="303"/>
        <v>RETURN - 1st don of the week -STD</v>
      </c>
      <c r="G2807" t="str">
        <f t="shared" si="304"/>
        <v>Marketing</v>
      </c>
      <c r="H2807" t="s">
        <v>583</v>
      </c>
      <c r="I2807">
        <f t="shared" si="305"/>
        <v>22</v>
      </c>
      <c r="J2807" t="s">
        <v>579</v>
      </c>
      <c r="K2807" s="5">
        <v>60</v>
      </c>
      <c r="L2807" t="str">
        <f>Table_DataFromNL[[#This Row],[PROFILECODE]]&amp;"-"&amp;Table_DataFromNL[[#This Row],[RULENAME]]</f>
        <v>CP525-P NSP NS AP Standard</v>
      </c>
      <c r="M2807" t="str">
        <f t="shared" si="306"/>
        <v>CP525-RETURN - 1st don of the week -STD</v>
      </c>
    </row>
    <row r="2808" spans="1:13" x14ac:dyDescent="0.25">
      <c r="A2808" t="str">
        <f t="shared" si="307"/>
        <v>CP525-RETURN - 1st don of the week -STD</v>
      </c>
      <c r="B2808" t="s">
        <v>21</v>
      </c>
      <c r="C2808" t="str">
        <f t="shared" si="301"/>
        <v>San Antonio</v>
      </c>
      <c r="D2808" t="str">
        <f t="shared" si="302"/>
        <v>Y</v>
      </c>
      <c r="E2808" t="s">
        <v>665</v>
      </c>
      <c r="F2808" t="str">
        <f t="shared" si="303"/>
        <v>RETURN - 1st don of the week -STD</v>
      </c>
      <c r="G2808" t="str">
        <f t="shared" si="304"/>
        <v>Marketing</v>
      </c>
      <c r="H2808" t="s">
        <v>584</v>
      </c>
      <c r="I2808">
        <f t="shared" si="305"/>
        <v>23</v>
      </c>
      <c r="J2808" t="s">
        <v>579</v>
      </c>
      <c r="K2808" s="5">
        <v>60</v>
      </c>
      <c r="L2808" t="str">
        <f>Table_DataFromNL[[#This Row],[PROFILECODE]]&amp;"-"&amp;Table_DataFromNL[[#This Row],[RULENAME]]</f>
        <v>CP525-P NSP NS Standard</v>
      </c>
      <c r="M2808" t="str">
        <f t="shared" si="306"/>
        <v>CP525-RETURN - 1st don of the week -STD</v>
      </c>
    </row>
    <row r="2809" spans="1:13" x14ac:dyDescent="0.25">
      <c r="A2809" t="str">
        <f t="shared" si="307"/>
        <v>CP525-P VZV Pre-Existing AP</v>
      </c>
      <c r="B2809" t="s">
        <v>21</v>
      </c>
      <c r="C2809" t="str">
        <f t="shared" si="301"/>
        <v>San Antonio</v>
      </c>
      <c r="D2809" t="str">
        <f t="shared" si="302"/>
        <v>Y</v>
      </c>
      <c r="E2809" t="s">
        <v>665</v>
      </c>
      <c r="F2809" t="str">
        <f t="shared" si="303"/>
        <v>P VZV Pre-Existing AP</v>
      </c>
      <c r="G2809" t="str">
        <f t="shared" si="304"/>
        <v>Specialty</v>
      </c>
      <c r="H2809" t="s">
        <v>495</v>
      </c>
      <c r="I2809" t="str">
        <f t="shared" si="305"/>
        <v>RETURN - 1st don of the week -STD</v>
      </c>
      <c r="J2809" t="s">
        <v>579</v>
      </c>
      <c r="K2809" s="5">
        <v>70</v>
      </c>
      <c r="L2809" t="str">
        <f>Table_DataFromNL[[#This Row],[PROFILECODE]]&amp;"-"&amp;Table_DataFromNL[[#This Row],[RULENAME]]</f>
        <v>CP525-P VZV Pre-Existing AP</v>
      </c>
      <c r="M2809" t="str">
        <f t="shared" si="306"/>
        <v>CP525-P VZV Pre-Existing AP</v>
      </c>
    </row>
    <row r="2810" spans="1:13" x14ac:dyDescent="0.25">
      <c r="A2810" t="str">
        <f t="shared" si="307"/>
        <v>CP525-P Vaccinia AP Standard</v>
      </c>
      <c r="B2810" t="s">
        <v>21</v>
      </c>
      <c r="C2810" t="str">
        <f t="shared" si="301"/>
        <v>San Antonio</v>
      </c>
      <c r="D2810" t="str">
        <f t="shared" si="302"/>
        <v>Y</v>
      </c>
      <c r="E2810" t="s">
        <v>665</v>
      </c>
      <c r="F2810" t="str">
        <f t="shared" si="303"/>
        <v>P Vaccinia AP Standard</v>
      </c>
      <c r="G2810" t="str">
        <f t="shared" si="304"/>
        <v>Specialty</v>
      </c>
      <c r="H2810" t="s">
        <v>475</v>
      </c>
      <c r="I2810">
        <f t="shared" si="305"/>
        <v>0</v>
      </c>
      <c r="J2810" t="s">
        <v>579</v>
      </c>
      <c r="K2810" s="5">
        <v>100</v>
      </c>
      <c r="L2810" t="str">
        <f>Table_DataFromNL[[#This Row],[PROFILECODE]]&amp;"-"&amp;Table_DataFromNL[[#This Row],[RULENAME]]</f>
        <v>CP525-P Vaccinia AP Standard</v>
      </c>
      <c r="M2810" t="str">
        <f t="shared" si="306"/>
        <v>CP525-P Vaccinia AP Standard</v>
      </c>
    </row>
    <row r="2811" spans="1:13" x14ac:dyDescent="0.25">
      <c r="A2811" t="str">
        <f t="shared" si="307"/>
        <v>CP525-P Vaccinia Standard</v>
      </c>
      <c r="B2811" t="s">
        <v>21</v>
      </c>
      <c r="C2811" t="str">
        <f t="shared" si="301"/>
        <v>San Antonio</v>
      </c>
      <c r="D2811" t="str">
        <f t="shared" si="302"/>
        <v>Y</v>
      </c>
      <c r="E2811" t="s">
        <v>665</v>
      </c>
      <c r="F2811" t="str">
        <f t="shared" si="303"/>
        <v>P Vaccinia Standard</v>
      </c>
      <c r="G2811" t="str">
        <f t="shared" si="304"/>
        <v>Specialty</v>
      </c>
      <c r="H2811" t="s">
        <v>476</v>
      </c>
      <c r="I2811">
        <f t="shared" si="305"/>
        <v>0</v>
      </c>
      <c r="J2811" t="s">
        <v>579</v>
      </c>
      <c r="K2811" s="5">
        <v>100</v>
      </c>
      <c r="L2811" t="str">
        <f>Table_DataFromNL[[#This Row],[PROFILECODE]]&amp;"-"&amp;Table_DataFromNL[[#This Row],[RULENAME]]</f>
        <v>CP525-P Vaccinia Standard</v>
      </c>
      <c r="M2811" t="str">
        <f t="shared" si="306"/>
        <v>CP525-P Vaccinia Standard</v>
      </c>
    </row>
    <row r="2812" spans="1:13" x14ac:dyDescent="0.25">
      <c r="A2812" t="str">
        <f t="shared" si="307"/>
        <v>CP525-PVZV Pre-Existing Standard</v>
      </c>
      <c r="B2812" t="s">
        <v>21</v>
      </c>
      <c r="C2812" t="str">
        <f t="shared" si="301"/>
        <v>San Antonio</v>
      </c>
      <c r="D2812" t="str">
        <f t="shared" si="302"/>
        <v>Y</v>
      </c>
      <c r="E2812" t="s">
        <v>665</v>
      </c>
      <c r="F2812" t="str">
        <f t="shared" si="303"/>
        <v>PVZV Pre-Existing Standard</v>
      </c>
      <c r="G2812" t="str">
        <f t="shared" si="304"/>
        <v>Specialty</v>
      </c>
      <c r="H2812" t="s">
        <v>497</v>
      </c>
      <c r="I2812" t="str">
        <f t="shared" si="305"/>
        <v>RETURN - 1st don of the week -STD</v>
      </c>
      <c r="J2812" t="s">
        <v>579</v>
      </c>
      <c r="K2812" s="5">
        <v>70</v>
      </c>
      <c r="L2812" t="str">
        <f>Table_DataFromNL[[#This Row],[PROFILECODE]]&amp;"-"&amp;Table_DataFromNL[[#This Row],[RULENAME]]</f>
        <v>CP525-PVZV Pre-Existing Standard</v>
      </c>
      <c r="M2812" t="str">
        <f t="shared" si="306"/>
        <v>CP525-PVZV Pre-Existing Standard</v>
      </c>
    </row>
    <row r="2813" spans="1:13" x14ac:dyDescent="0.25">
      <c r="A2813" t="str">
        <f t="shared" si="307"/>
        <v>CP948-1st Responder-Medical</v>
      </c>
      <c r="B2813" t="s">
        <v>371</v>
      </c>
      <c r="C2813" t="str">
        <f t="shared" si="301"/>
        <v>Sanford</v>
      </c>
      <c r="D2813" t="str">
        <f t="shared" si="302"/>
        <v>Y</v>
      </c>
      <c r="E2813" t="s">
        <v>666</v>
      </c>
      <c r="F2813" t="str">
        <f t="shared" si="303"/>
        <v>1st Responder-Medical</v>
      </c>
      <c r="G2813">
        <f t="shared" si="304"/>
        <v>0</v>
      </c>
      <c r="H2813" t="s">
        <v>545</v>
      </c>
      <c r="I2813">
        <f t="shared" si="305"/>
        <v>0</v>
      </c>
      <c r="J2813" t="s">
        <v>546</v>
      </c>
      <c r="K2813" s="5">
        <v>5</v>
      </c>
      <c r="L2813" t="str">
        <f>Table_DataFromNL[[#This Row],[PROFILECODE]]&amp;"-"&amp;Table_DataFromNL[[#This Row],[RULENAME]]</f>
        <v>CP948-1st Responder-Medical</v>
      </c>
      <c r="M2813" t="e">
        <f t="shared" si="306"/>
        <v>#N/A</v>
      </c>
    </row>
    <row r="2814" spans="1:13" x14ac:dyDescent="0.25">
      <c r="A2814" t="str">
        <f t="shared" si="307"/>
        <v>CP948-2X Week P HBS Pre-Existing</v>
      </c>
      <c r="B2814" t="s">
        <v>371</v>
      </c>
      <c r="C2814" t="str">
        <f t="shared" si="301"/>
        <v>Sanford</v>
      </c>
      <c r="D2814" t="str">
        <f t="shared" si="302"/>
        <v>Y</v>
      </c>
      <c r="E2814" t="s">
        <v>666</v>
      </c>
      <c r="F2814" t="str">
        <f t="shared" si="303"/>
        <v>2X Week P HBS Pre-Existing</v>
      </c>
      <c r="G2814" t="str">
        <f t="shared" si="304"/>
        <v>Specialty</v>
      </c>
      <c r="H2814" t="s">
        <v>471</v>
      </c>
      <c r="I2814" t="str">
        <f t="shared" si="305"/>
        <v>RETURN - 2nd don of the week -BONUS</v>
      </c>
      <c r="J2814" t="s">
        <v>546</v>
      </c>
      <c r="K2814" s="5">
        <v>20</v>
      </c>
      <c r="L2814" t="str">
        <f>Table_DataFromNL[[#This Row],[PROFILECODE]]&amp;"-"&amp;Table_DataFromNL[[#This Row],[RULENAME]]</f>
        <v>CP948-2X Week P HBS Pre-Existing</v>
      </c>
      <c r="M2814" t="str">
        <f t="shared" si="306"/>
        <v>CP948-2X Week P HBS Pre-Existing</v>
      </c>
    </row>
    <row r="2815" spans="1:13" x14ac:dyDescent="0.25">
      <c r="A2815" t="str">
        <f t="shared" si="307"/>
        <v>CP948-2X Week P HBS TWINRX</v>
      </c>
      <c r="B2815" t="s">
        <v>371</v>
      </c>
      <c r="C2815" t="str">
        <f t="shared" si="301"/>
        <v>Sanford</v>
      </c>
      <c r="D2815" t="str">
        <f t="shared" si="302"/>
        <v>Y</v>
      </c>
      <c r="E2815" t="s">
        <v>666</v>
      </c>
      <c r="F2815" t="str">
        <f t="shared" si="303"/>
        <v>2X Week P HBS TWINRX</v>
      </c>
      <c r="G2815" t="str">
        <f t="shared" si="304"/>
        <v>Specialty</v>
      </c>
      <c r="H2815" t="s">
        <v>504</v>
      </c>
      <c r="I2815" t="str">
        <f t="shared" si="305"/>
        <v>RETURN - 2nd don of the week -BONUS</v>
      </c>
      <c r="J2815" t="s">
        <v>546</v>
      </c>
      <c r="K2815" s="5">
        <v>20</v>
      </c>
      <c r="L2815" t="str">
        <f>Table_DataFromNL[[#This Row],[PROFILECODE]]&amp;"-"&amp;Table_DataFromNL[[#This Row],[RULENAME]]</f>
        <v>CP948-2X Week P HBS TWINRX</v>
      </c>
      <c r="M2815" t="str">
        <f t="shared" si="306"/>
        <v>CP948-2X Week P HBS TWINRX</v>
      </c>
    </row>
    <row r="2816" spans="1:13" x14ac:dyDescent="0.25">
      <c r="A2816" t="str">
        <f t="shared" si="307"/>
        <v>CP948-2X Week P HBS TWINRX-AP</v>
      </c>
      <c r="B2816" t="s">
        <v>371</v>
      </c>
      <c r="C2816" t="str">
        <f t="shared" si="301"/>
        <v>Sanford</v>
      </c>
      <c r="D2816" t="str">
        <f t="shared" si="302"/>
        <v>Y</v>
      </c>
      <c r="E2816" t="s">
        <v>666</v>
      </c>
      <c r="F2816" t="str">
        <f t="shared" si="303"/>
        <v>2X Week P HBS TWINRX-AP</v>
      </c>
      <c r="G2816" t="str">
        <f t="shared" si="304"/>
        <v>Specialty</v>
      </c>
      <c r="H2816" t="s">
        <v>505</v>
      </c>
      <c r="I2816" t="str">
        <f t="shared" si="305"/>
        <v>RETURN - 2nd don of the week -BONUS</v>
      </c>
      <c r="J2816" t="s">
        <v>546</v>
      </c>
      <c r="K2816" s="5">
        <v>20</v>
      </c>
      <c r="L2816" t="str">
        <f>Table_DataFromNL[[#This Row],[PROFILECODE]]&amp;"-"&amp;Table_DataFromNL[[#This Row],[RULENAME]]</f>
        <v>CP948-2X Week P HBS TWINRX-AP</v>
      </c>
      <c r="M2816" t="str">
        <f t="shared" si="306"/>
        <v>CP948-2X Week P HBS TWINRX-AP</v>
      </c>
    </row>
    <row r="2817" spans="1:13" x14ac:dyDescent="0.25">
      <c r="A2817" t="str">
        <f t="shared" si="307"/>
        <v>CP948-RETURN - 2nd don of the week -BONUS</v>
      </c>
      <c r="B2817" t="s">
        <v>371</v>
      </c>
      <c r="C2817" t="str">
        <f t="shared" si="301"/>
        <v>Sanford</v>
      </c>
      <c r="D2817" t="str">
        <f t="shared" si="302"/>
        <v>Y</v>
      </c>
      <c r="E2817" t="s">
        <v>666</v>
      </c>
      <c r="F2817" t="str">
        <f t="shared" si="303"/>
        <v>RETURN - 2nd don of the week -BONUS</v>
      </c>
      <c r="G2817" t="str">
        <f t="shared" si="304"/>
        <v>Marketing</v>
      </c>
      <c r="H2817" t="s">
        <v>550</v>
      </c>
      <c r="I2817">
        <f t="shared" si="305"/>
        <v>26</v>
      </c>
      <c r="J2817" t="s">
        <v>546</v>
      </c>
      <c r="K2817" s="5">
        <v>20</v>
      </c>
      <c r="L2817" t="str">
        <f>Table_DataFromNL[[#This Row],[PROFILECODE]]&amp;"-"&amp;Table_DataFromNL[[#This Row],[RULENAME]]</f>
        <v>CP948-2X Week P NSP NS</v>
      </c>
      <c r="M2817" t="str">
        <f t="shared" si="306"/>
        <v>CP948-RETURN - 2nd don of the week -BONUS</v>
      </c>
    </row>
    <row r="2818" spans="1:13" x14ac:dyDescent="0.25">
      <c r="A2818" t="str">
        <f t="shared" si="307"/>
        <v>CP948-RETURN - 2nd don of the week -BONUS</v>
      </c>
      <c r="B2818" t="s">
        <v>371</v>
      </c>
      <c r="C2818" t="str">
        <f t="shared" ref="C2818:C2881" si="308">VLOOKUP(B2818,CenterLU,2,FALSE)</f>
        <v>Sanford</v>
      </c>
      <c r="D2818" t="str">
        <f t="shared" ref="D2818:D2881" si="309">VLOOKUP(B2818,CenterLU,3,FALSE)</f>
        <v>Y</v>
      </c>
      <c r="E2818" t="s">
        <v>666</v>
      </c>
      <c r="F2818" t="str">
        <f t="shared" ref="F2818:F2881" si="310">IF(VLOOKUP(H2818,RULENAMELU,3,FALSE)=0,H2818,VLOOKUP(H2818,RULENAMELU,3,FALSE))</f>
        <v>RETURN - 2nd don of the week -BONUS</v>
      </c>
      <c r="G2818" t="str">
        <f t="shared" ref="G2818:G2881" si="311">VLOOKUP(H2818,RULENAMELU,4,FALSE)</f>
        <v>Marketing</v>
      </c>
      <c r="H2818" t="s">
        <v>551</v>
      </c>
      <c r="I2818" t="str">
        <f t="shared" ref="I2818:I2881" si="312">VLOOKUP(H2818,RULENAMELU,5,FALSE)</f>
        <v>RETURN - 2nd don of the week -BONUS</v>
      </c>
      <c r="J2818" t="s">
        <v>546</v>
      </c>
      <c r="K2818" s="5">
        <v>20</v>
      </c>
      <c r="L2818" t="str">
        <f>Table_DataFromNL[[#This Row],[PROFILECODE]]&amp;"-"&amp;Table_DataFromNL[[#This Row],[RULENAME]]</f>
        <v>CP948-2X Week P NSP NS AP</v>
      </c>
      <c r="M2818" t="str">
        <f t="shared" ref="M2818:M2881" si="313">IFERROR(VLOOKUP(A2818,PaychangesLU,1,FALSE),VLOOKUP(A2818,SpecialtyCheckLU,1,FALSE))</f>
        <v>CP948-RETURN - 2nd don of the week -BONUS</v>
      </c>
    </row>
    <row r="2819" spans="1:13" x14ac:dyDescent="0.25">
      <c r="A2819" t="str">
        <f t="shared" ref="A2819:A2882" si="314">B2819&amp;"-"&amp;F2819</f>
        <v>CP948-2X Week P VZV</v>
      </c>
      <c r="B2819" t="s">
        <v>371</v>
      </c>
      <c r="C2819" t="str">
        <f t="shared" si="308"/>
        <v>Sanford</v>
      </c>
      <c r="D2819" t="str">
        <f t="shared" si="309"/>
        <v>Y</v>
      </c>
      <c r="E2819" t="s">
        <v>666</v>
      </c>
      <c r="F2819" t="str">
        <f t="shared" si="310"/>
        <v>2X Week P VZV</v>
      </c>
      <c r="G2819" t="str">
        <f t="shared" si="311"/>
        <v>Specialty</v>
      </c>
      <c r="H2819" t="s">
        <v>488</v>
      </c>
      <c r="I2819" t="str">
        <f t="shared" si="312"/>
        <v>RETURN - 2nd don of the week -BONUS</v>
      </c>
      <c r="J2819" t="s">
        <v>546</v>
      </c>
      <c r="K2819" s="5">
        <v>20</v>
      </c>
      <c r="L2819" t="str">
        <f>Table_DataFromNL[[#This Row],[PROFILECODE]]&amp;"-"&amp;Table_DataFromNL[[#This Row],[RULENAME]]</f>
        <v>CP948-2X Week P VZV</v>
      </c>
      <c r="M2819" t="str">
        <f t="shared" si="313"/>
        <v>CP948-2X Week P VZV</v>
      </c>
    </row>
    <row r="2820" spans="1:13" x14ac:dyDescent="0.25">
      <c r="A2820" t="str">
        <f t="shared" si="314"/>
        <v>CP948-2X Week P VZV AP</v>
      </c>
      <c r="B2820" t="s">
        <v>371</v>
      </c>
      <c r="C2820" t="str">
        <f t="shared" si="308"/>
        <v>Sanford</v>
      </c>
      <c r="D2820" t="str">
        <f t="shared" si="309"/>
        <v>Y</v>
      </c>
      <c r="E2820" t="s">
        <v>666</v>
      </c>
      <c r="F2820" t="str">
        <f t="shared" si="310"/>
        <v>2X Week P VZV AP</v>
      </c>
      <c r="G2820" t="str">
        <f t="shared" si="311"/>
        <v>Specialty</v>
      </c>
      <c r="H2820" t="s">
        <v>489</v>
      </c>
      <c r="I2820" t="str">
        <f t="shared" si="312"/>
        <v>RETURN - 2nd don of the week -BONUS</v>
      </c>
      <c r="J2820" t="s">
        <v>546</v>
      </c>
      <c r="K2820" s="5">
        <v>20</v>
      </c>
      <c r="L2820" t="str">
        <f>Table_DataFromNL[[#This Row],[PROFILECODE]]&amp;"-"&amp;Table_DataFromNL[[#This Row],[RULENAME]]</f>
        <v>CP948-2X Week P VZV AP</v>
      </c>
      <c r="M2820" t="str">
        <f t="shared" si="313"/>
        <v>CP948-2X Week P VZV AP</v>
      </c>
    </row>
    <row r="2821" spans="1:13" x14ac:dyDescent="0.25">
      <c r="A2821" t="str">
        <f t="shared" si="314"/>
        <v>CP948-2X Week P VZV Pre-Existing</v>
      </c>
      <c r="B2821" t="s">
        <v>371</v>
      </c>
      <c r="C2821" t="str">
        <f t="shared" si="308"/>
        <v>Sanford</v>
      </c>
      <c r="D2821" t="str">
        <f t="shared" si="309"/>
        <v>Y</v>
      </c>
      <c r="E2821" t="s">
        <v>666</v>
      </c>
      <c r="F2821" t="str">
        <f t="shared" si="310"/>
        <v>2X Week P VZV Pre-Existing</v>
      </c>
      <c r="G2821" t="str">
        <f t="shared" si="311"/>
        <v>Specialty</v>
      </c>
      <c r="H2821" t="s">
        <v>490</v>
      </c>
      <c r="I2821" t="str">
        <f t="shared" si="312"/>
        <v>RETURN - 2nd don of the week -BONUS</v>
      </c>
      <c r="J2821" t="s">
        <v>546</v>
      </c>
      <c r="K2821" s="5">
        <v>20</v>
      </c>
      <c r="L2821" t="str">
        <f>Table_DataFromNL[[#This Row],[PROFILECODE]]&amp;"-"&amp;Table_DataFromNL[[#This Row],[RULENAME]]</f>
        <v>CP948-2X Week P VZV Pre-Existing</v>
      </c>
      <c r="M2821" t="str">
        <f t="shared" si="313"/>
        <v>CP948-2X Week P VZV Pre-Existing</v>
      </c>
    </row>
    <row r="2822" spans="1:13" x14ac:dyDescent="0.25">
      <c r="A2822" t="str">
        <f t="shared" si="314"/>
        <v>CP948-2X Week P VZV Pre-Existing AP</v>
      </c>
      <c r="B2822" t="s">
        <v>371</v>
      </c>
      <c r="C2822" t="str">
        <f t="shared" si="308"/>
        <v>Sanford</v>
      </c>
      <c r="D2822" t="str">
        <f t="shared" si="309"/>
        <v>Y</v>
      </c>
      <c r="E2822" t="s">
        <v>666</v>
      </c>
      <c r="F2822" t="str">
        <f t="shared" si="310"/>
        <v>2X Week P VZV Pre-Existing AP</v>
      </c>
      <c r="G2822" t="str">
        <f t="shared" si="311"/>
        <v>Specialty</v>
      </c>
      <c r="H2822" t="s">
        <v>491</v>
      </c>
      <c r="I2822" t="str">
        <f t="shared" si="312"/>
        <v>RETURN - 2nd don of the week -BONUS</v>
      </c>
      <c r="J2822" t="s">
        <v>546</v>
      </c>
      <c r="K2822" s="5">
        <v>20</v>
      </c>
      <c r="L2822" t="str">
        <f>Table_DataFromNL[[#This Row],[PROFILECODE]]&amp;"-"&amp;Table_DataFromNL[[#This Row],[RULENAME]]</f>
        <v>CP948-2X Week P VZV Pre-Existing AP</v>
      </c>
      <c r="M2822" t="str">
        <f t="shared" si="313"/>
        <v>CP948-2X Week P VZV Pre-Existing AP</v>
      </c>
    </row>
    <row r="2823" spans="1:13" x14ac:dyDescent="0.25">
      <c r="A2823" t="str">
        <f t="shared" si="314"/>
        <v>CP948-RETURN - 6th don of the month -BONUS</v>
      </c>
      <c r="B2823" t="s">
        <v>371</v>
      </c>
      <c r="C2823" t="str">
        <f t="shared" si="308"/>
        <v>Sanford</v>
      </c>
      <c r="D2823" t="str">
        <f t="shared" si="309"/>
        <v>Y</v>
      </c>
      <c r="E2823" t="s">
        <v>666</v>
      </c>
      <c r="F2823" t="str">
        <f t="shared" si="310"/>
        <v>RETURN - 6th don of the month -BONUS</v>
      </c>
      <c r="G2823" t="str">
        <f t="shared" si="311"/>
        <v>Marketing</v>
      </c>
      <c r="H2823" t="s">
        <v>552</v>
      </c>
      <c r="I2823">
        <f t="shared" si="312"/>
        <v>28</v>
      </c>
      <c r="J2823" t="s">
        <v>546</v>
      </c>
      <c r="K2823" s="5">
        <v>35</v>
      </c>
      <c r="L2823" t="str">
        <f>Table_DataFromNL[[#This Row],[PROFILECODE]]&amp;"-"&amp;Table_DataFromNL[[#This Row],[RULENAME]]</f>
        <v>CP948-6X Month</v>
      </c>
      <c r="M2823" t="str">
        <f t="shared" si="313"/>
        <v>CP948-RETURN - 6th don of the month -BONUS</v>
      </c>
    </row>
    <row r="2824" spans="1:13" x14ac:dyDescent="0.25">
      <c r="A2824" t="str">
        <f t="shared" si="314"/>
        <v>CP948-College ID Standard Bonus</v>
      </c>
      <c r="B2824" t="s">
        <v>371</v>
      </c>
      <c r="C2824" t="str">
        <f t="shared" si="308"/>
        <v>Sanford</v>
      </c>
      <c r="D2824" t="str">
        <f t="shared" si="309"/>
        <v>Y</v>
      </c>
      <c r="E2824" t="s">
        <v>666</v>
      </c>
      <c r="F2824" t="str">
        <f t="shared" si="310"/>
        <v>College ID Standard Bonus</v>
      </c>
      <c r="G2824">
        <f t="shared" si="311"/>
        <v>0</v>
      </c>
      <c r="H2824" t="s">
        <v>553</v>
      </c>
      <c r="I2824">
        <f t="shared" si="312"/>
        <v>0</v>
      </c>
      <c r="J2824" t="s">
        <v>546</v>
      </c>
      <c r="K2824" s="5">
        <v>5</v>
      </c>
      <c r="L2824" t="str">
        <f>Table_DataFromNL[[#This Row],[PROFILECODE]]&amp;"-"&amp;Table_DataFromNL[[#This Row],[RULENAME]]</f>
        <v>CP948-College ID Standard Bonus</v>
      </c>
      <c r="M2824" t="e">
        <f t="shared" si="313"/>
        <v>#N/A</v>
      </c>
    </row>
    <row r="2825" spans="1:13" x14ac:dyDescent="0.25">
      <c r="A2825" t="str">
        <f t="shared" si="314"/>
        <v>CP948-Military ID</v>
      </c>
      <c r="B2825" t="s">
        <v>371</v>
      </c>
      <c r="C2825" t="str">
        <f t="shared" si="308"/>
        <v>Sanford</v>
      </c>
      <c r="D2825" t="str">
        <f t="shared" si="309"/>
        <v>Y</v>
      </c>
      <c r="E2825" t="s">
        <v>666</v>
      </c>
      <c r="F2825" t="str">
        <f t="shared" si="310"/>
        <v>Military ID</v>
      </c>
      <c r="G2825">
        <f t="shared" si="311"/>
        <v>0</v>
      </c>
      <c r="H2825" t="s">
        <v>554</v>
      </c>
      <c r="I2825">
        <f t="shared" si="312"/>
        <v>0</v>
      </c>
      <c r="J2825" t="s">
        <v>546</v>
      </c>
      <c r="K2825" s="5">
        <v>5</v>
      </c>
      <c r="L2825" t="str">
        <f>Table_DataFromNL[[#This Row],[PROFILECODE]]&amp;"-"&amp;Table_DataFromNL[[#This Row],[RULENAME]]</f>
        <v>CP948-Military ID</v>
      </c>
      <c r="M2825" t="e">
        <f t="shared" si="313"/>
        <v>#N/A</v>
      </c>
    </row>
    <row r="2826" spans="1:13" x14ac:dyDescent="0.25">
      <c r="A2826" t="str">
        <f t="shared" si="314"/>
        <v>CP948-NEW DONOR -1st</v>
      </c>
      <c r="B2826" t="s">
        <v>371</v>
      </c>
      <c r="C2826" t="str">
        <f t="shared" si="308"/>
        <v>Sanford</v>
      </c>
      <c r="D2826" t="str">
        <f t="shared" si="309"/>
        <v>Y</v>
      </c>
      <c r="E2826" t="s">
        <v>666</v>
      </c>
      <c r="F2826" t="str">
        <f t="shared" si="310"/>
        <v>NEW DONOR -1st</v>
      </c>
      <c r="G2826" t="str">
        <f t="shared" si="311"/>
        <v>Marketing</v>
      </c>
      <c r="H2826" t="s">
        <v>555</v>
      </c>
      <c r="I2826">
        <f t="shared" si="312"/>
        <v>1</v>
      </c>
      <c r="J2826" t="s">
        <v>546</v>
      </c>
      <c r="K2826" s="5">
        <v>100</v>
      </c>
      <c r="L2826" t="str">
        <f>Table_DataFromNL[[#This Row],[PROFILECODE]]&amp;"-"&amp;Table_DataFromNL[[#This Row],[RULENAME]]</f>
        <v>CP948-New Donor 1st Visit-Bonus</v>
      </c>
      <c r="M2826" t="str">
        <f t="shared" si="313"/>
        <v>CP948-NEW DONOR -1st</v>
      </c>
    </row>
    <row r="2827" spans="1:13" x14ac:dyDescent="0.25">
      <c r="A2827" t="str">
        <f t="shared" si="314"/>
        <v>CP948-NEW DONOR -2nd</v>
      </c>
      <c r="B2827" t="s">
        <v>371</v>
      </c>
      <c r="C2827" t="str">
        <f t="shared" si="308"/>
        <v>Sanford</v>
      </c>
      <c r="D2827" t="str">
        <f t="shared" si="309"/>
        <v>Y</v>
      </c>
      <c r="E2827" t="s">
        <v>666</v>
      </c>
      <c r="F2827" t="str">
        <f t="shared" si="310"/>
        <v>NEW DONOR -2nd</v>
      </c>
      <c r="G2827" t="str">
        <f t="shared" si="311"/>
        <v>Marketing</v>
      </c>
      <c r="H2827" t="s">
        <v>556</v>
      </c>
      <c r="I2827">
        <f t="shared" si="312"/>
        <v>2</v>
      </c>
      <c r="J2827" t="s">
        <v>546</v>
      </c>
      <c r="K2827" s="5">
        <v>100</v>
      </c>
      <c r="L2827" t="str">
        <f>Table_DataFromNL[[#This Row],[PROFILECODE]]&amp;"-"&amp;Table_DataFromNL[[#This Row],[RULENAME]]</f>
        <v>CP948-New Donor 2nd Visit-Bonus</v>
      </c>
      <c r="M2827" t="str">
        <f t="shared" si="313"/>
        <v>CP948-NEW DONOR -2nd</v>
      </c>
    </row>
    <row r="2828" spans="1:13" x14ac:dyDescent="0.25">
      <c r="A2828" t="str">
        <f t="shared" si="314"/>
        <v>CP948-NEW DONOR -3rd</v>
      </c>
      <c r="B2828" t="s">
        <v>371</v>
      </c>
      <c r="C2828" t="str">
        <f t="shared" si="308"/>
        <v>Sanford</v>
      </c>
      <c r="D2828" t="str">
        <f t="shared" si="309"/>
        <v>Y</v>
      </c>
      <c r="E2828" t="s">
        <v>666</v>
      </c>
      <c r="F2828" t="str">
        <f t="shared" si="310"/>
        <v>NEW DONOR -3rd</v>
      </c>
      <c r="G2828" t="str">
        <f t="shared" si="311"/>
        <v>Marketing</v>
      </c>
      <c r="H2828" t="s">
        <v>557</v>
      </c>
      <c r="I2828">
        <f t="shared" si="312"/>
        <v>3</v>
      </c>
      <c r="J2828" t="s">
        <v>546</v>
      </c>
      <c r="K2828" s="5">
        <v>100</v>
      </c>
      <c r="L2828" t="str">
        <f>Table_DataFromNL[[#This Row],[PROFILECODE]]&amp;"-"&amp;Table_DataFromNL[[#This Row],[RULENAME]]</f>
        <v>CP948-New Donor 3rd Visit-Bonus</v>
      </c>
      <c r="M2828" t="str">
        <f t="shared" si="313"/>
        <v>CP948-NEW DONOR -3rd</v>
      </c>
    </row>
    <row r="2829" spans="1:13" x14ac:dyDescent="0.25">
      <c r="A2829" t="str">
        <f t="shared" si="314"/>
        <v>CP948-NEW DONOR -4th</v>
      </c>
      <c r="B2829" t="s">
        <v>371</v>
      </c>
      <c r="C2829" t="str">
        <f t="shared" si="308"/>
        <v>Sanford</v>
      </c>
      <c r="D2829" t="str">
        <f t="shared" si="309"/>
        <v>Y</v>
      </c>
      <c r="E2829" t="s">
        <v>666</v>
      </c>
      <c r="F2829" t="str">
        <f t="shared" si="310"/>
        <v>NEW DONOR -4th</v>
      </c>
      <c r="G2829" t="str">
        <f t="shared" si="311"/>
        <v>Marketing</v>
      </c>
      <c r="H2829" t="s">
        <v>558</v>
      </c>
      <c r="I2829">
        <f t="shared" si="312"/>
        <v>4</v>
      </c>
      <c r="J2829" t="s">
        <v>546</v>
      </c>
      <c r="K2829" s="5">
        <v>100</v>
      </c>
      <c r="L2829" t="str">
        <f>Table_DataFromNL[[#This Row],[PROFILECODE]]&amp;"-"&amp;Table_DataFromNL[[#This Row],[RULENAME]]</f>
        <v>CP948-New Donor 4th Visit-Bonus</v>
      </c>
      <c r="M2829" t="str">
        <f t="shared" si="313"/>
        <v>CP948-NEW DONOR -4th</v>
      </c>
    </row>
    <row r="2830" spans="1:13" x14ac:dyDescent="0.25">
      <c r="A2830" t="str">
        <f t="shared" si="314"/>
        <v>CP948-NEW DONOR -5th</v>
      </c>
      <c r="B2830" t="s">
        <v>371</v>
      </c>
      <c r="C2830" t="str">
        <f t="shared" si="308"/>
        <v>Sanford</v>
      </c>
      <c r="D2830" t="str">
        <f t="shared" si="309"/>
        <v>Y</v>
      </c>
      <c r="E2830" t="s">
        <v>666</v>
      </c>
      <c r="F2830" t="str">
        <f t="shared" si="310"/>
        <v>NEW DONOR -5th</v>
      </c>
      <c r="G2830" t="str">
        <f t="shared" si="311"/>
        <v>Marketing</v>
      </c>
      <c r="H2830" t="s">
        <v>559</v>
      </c>
      <c r="I2830">
        <f t="shared" si="312"/>
        <v>5</v>
      </c>
      <c r="J2830" t="s">
        <v>546</v>
      </c>
      <c r="K2830" s="5">
        <v>50</v>
      </c>
      <c r="L2830" t="str">
        <f>Table_DataFromNL[[#This Row],[PROFILECODE]]&amp;"-"&amp;Table_DataFromNL[[#This Row],[RULENAME]]</f>
        <v>CP948-New Donor 5th Visit-Bonus</v>
      </c>
      <c r="M2830" t="str">
        <f t="shared" si="313"/>
        <v>CP948-NEW DONOR -5th</v>
      </c>
    </row>
    <row r="2831" spans="1:13" x14ac:dyDescent="0.25">
      <c r="A2831" t="str">
        <f t="shared" si="314"/>
        <v>CP948-NEW DONOR -6th</v>
      </c>
      <c r="B2831" t="s">
        <v>371</v>
      </c>
      <c r="C2831" t="str">
        <f t="shared" si="308"/>
        <v>Sanford</v>
      </c>
      <c r="D2831" t="str">
        <f t="shared" si="309"/>
        <v>Y</v>
      </c>
      <c r="E2831" t="s">
        <v>666</v>
      </c>
      <c r="F2831" t="str">
        <f t="shared" si="310"/>
        <v>NEW DONOR -6th</v>
      </c>
      <c r="G2831" t="str">
        <f t="shared" si="311"/>
        <v>Marketing</v>
      </c>
      <c r="H2831" t="s">
        <v>560</v>
      </c>
      <c r="I2831">
        <f t="shared" si="312"/>
        <v>6</v>
      </c>
      <c r="J2831" t="s">
        <v>546</v>
      </c>
      <c r="K2831" s="5">
        <v>50</v>
      </c>
      <c r="L2831" t="str">
        <f>Table_DataFromNL[[#This Row],[PROFILECODE]]&amp;"-"&amp;Table_DataFromNL[[#This Row],[RULENAME]]</f>
        <v>CP948-New Donor 6th Visit-Bonus</v>
      </c>
      <c r="M2831" t="str">
        <f t="shared" si="313"/>
        <v>CP948-NEW DONOR -6th</v>
      </c>
    </row>
    <row r="2832" spans="1:13" x14ac:dyDescent="0.25">
      <c r="A2832" t="str">
        <f t="shared" si="314"/>
        <v>CP948-NEW DONOR -7th</v>
      </c>
      <c r="B2832" t="s">
        <v>371</v>
      </c>
      <c r="C2832" t="str">
        <f t="shared" si="308"/>
        <v>Sanford</v>
      </c>
      <c r="D2832" t="str">
        <f t="shared" si="309"/>
        <v>Y</v>
      </c>
      <c r="E2832" t="s">
        <v>666</v>
      </c>
      <c r="F2832" t="str">
        <f t="shared" si="310"/>
        <v>NEW DONOR -7th</v>
      </c>
      <c r="G2832" t="str">
        <f t="shared" si="311"/>
        <v>Marketing</v>
      </c>
      <c r="H2832" t="s">
        <v>561</v>
      </c>
      <c r="I2832">
        <f t="shared" si="312"/>
        <v>7</v>
      </c>
      <c r="J2832" t="s">
        <v>546</v>
      </c>
      <c r="K2832" s="5">
        <v>50</v>
      </c>
      <c r="L2832" t="str">
        <f>Table_DataFromNL[[#This Row],[PROFILECODE]]&amp;"-"&amp;Table_DataFromNL[[#This Row],[RULENAME]]</f>
        <v>CP948-New Donor 7th Visit-Bonus</v>
      </c>
      <c r="M2832" t="str">
        <f t="shared" si="313"/>
        <v>CP948-NEW DONOR -7th</v>
      </c>
    </row>
    <row r="2833" spans="1:13" x14ac:dyDescent="0.25">
      <c r="A2833" t="str">
        <f t="shared" si="314"/>
        <v>CP948-NEW DONOR -8th</v>
      </c>
      <c r="B2833" t="s">
        <v>371</v>
      </c>
      <c r="C2833" t="str">
        <f t="shared" si="308"/>
        <v>Sanford</v>
      </c>
      <c r="D2833" t="str">
        <f t="shared" si="309"/>
        <v>Y</v>
      </c>
      <c r="E2833" t="s">
        <v>666</v>
      </c>
      <c r="F2833" t="str">
        <f t="shared" si="310"/>
        <v>NEW DONOR -8th</v>
      </c>
      <c r="G2833" t="str">
        <f t="shared" si="311"/>
        <v>Marketing</v>
      </c>
      <c r="H2833" t="s">
        <v>562</v>
      </c>
      <c r="I2833">
        <f t="shared" si="312"/>
        <v>8</v>
      </c>
      <c r="J2833" t="s">
        <v>546</v>
      </c>
      <c r="K2833" s="5">
        <v>50</v>
      </c>
      <c r="L2833" t="str">
        <f>Table_DataFromNL[[#This Row],[PROFILECODE]]&amp;"-"&amp;Table_DataFromNL[[#This Row],[RULENAME]]</f>
        <v>CP948-New Donor 8th Visit-Bonus</v>
      </c>
      <c r="M2833" t="str">
        <f t="shared" si="313"/>
        <v>CP948-NEW DONOR -8th</v>
      </c>
    </row>
    <row r="2834" spans="1:13" x14ac:dyDescent="0.25">
      <c r="A2834" t="str">
        <f t="shared" si="314"/>
        <v>CP948-Vaccinia - 1st Donation</v>
      </c>
      <c r="B2834" t="s">
        <v>371</v>
      </c>
      <c r="C2834" t="str">
        <f t="shared" si="308"/>
        <v>Sanford</v>
      </c>
      <c r="D2834" t="str">
        <f t="shared" si="309"/>
        <v>Y</v>
      </c>
      <c r="E2834" t="s">
        <v>666</v>
      </c>
      <c r="F2834" t="str">
        <f t="shared" si="310"/>
        <v>Vaccinia - 1st Donation</v>
      </c>
      <c r="G2834" t="str">
        <f t="shared" si="311"/>
        <v>Specialty</v>
      </c>
      <c r="H2834" t="s">
        <v>477</v>
      </c>
      <c r="I2834">
        <f t="shared" si="312"/>
        <v>0</v>
      </c>
      <c r="J2834" t="s">
        <v>546</v>
      </c>
      <c r="K2834" s="5">
        <v>150</v>
      </c>
      <c r="L2834" t="str">
        <f>Table_DataFromNL[[#This Row],[PROFILECODE]]&amp;"-"&amp;Table_DataFromNL[[#This Row],[RULENAME]]</f>
        <v>CP948-Vaccinia - 1st Donation</v>
      </c>
      <c r="M2834" t="str">
        <f t="shared" si="313"/>
        <v>CP948-Vaccinia - 1st Donation</v>
      </c>
    </row>
    <row r="2835" spans="1:13" x14ac:dyDescent="0.25">
      <c r="A2835" t="str">
        <f t="shared" si="314"/>
        <v>CP948-Vaccinia - 2nd Donation</v>
      </c>
      <c r="B2835" t="s">
        <v>371</v>
      </c>
      <c r="C2835" t="str">
        <f t="shared" si="308"/>
        <v>Sanford</v>
      </c>
      <c r="D2835" t="str">
        <f t="shared" si="309"/>
        <v>Y</v>
      </c>
      <c r="E2835" t="s">
        <v>666</v>
      </c>
      <c r="F2835" t="str">
        <f t="shared" si="310"/>
        <v>Vaccinia - 2nd Donation</v>
      </c>
      <c r="G2835" t="str">
        <f t="shared" si="311"/>
        <v>Specialty</v>
      </c>
      <c r="H2835" t="s">
        <v>478</v>
      </c>
      <c r="I2835">
        <f t="shared" si="312"/>
        <v>0</v>
      </c>
      <c r="J2835" t="s">
        <v>546</v>
      </c>
      <c r="K2835" s="5">
        <v>250</v>
      </c>
      <c r="L2835" t="str">
        <f>Table_DataFromNL[[#This Row],[PROFILECODE]]&amp;"-"&amp;Table_DataFromNL[[#This Row],[RULENAME]]</f>
        <v>CP948-Vaccinia - 2nd Donation</v>
      </c>
      <c r="M2835" t="str">
        <f t="shared" si="313"/>
        <v>CP948-Vaccinia - 2nd Donation</v>
      </c>
    </row>
    <row r="2836" spans="1:13" x14ac:dyDescent="0.25">
      <c r="A2836" t="str">
        <f t="shared" si="314"/>
        <v>CP948-Vaccinia - 3rd Donation</v>
      </c>
      <c r="B2836" t="s">
        <v>371</v>
      </c>
      <c r="C2836" t="str">
        <f t="shared" si="308"/>
        <v>Sanford</v>
      </c>
      <c r="D2836" t="str">
        <f t="shared" si="309"/>
        <v>Y</v>
      </c>
      <c r="E2836" t="s">
        <v>666</v>
      </c>
      <c r="F2836" t="str">
        <f t="shared" si="310"/>
        <v>Vaccinia - 3rd Donation</v>
      </c>
      <c r="G2836" t="str">
        <f t="shared" si="311"/>
        <v>Specialty</v>
      </c>
      <c r="H2836" t="s">
        <v>479</v>
      </c>
      <c r="I2836">
        <f t="shared" si="312"/>
        <v>0</v>
      </c>
      <c r="J2836" t="s">
        <v>546</v>
      </c>
      <c r="K2836" s="5">
        <v>300</v>
      </c>
      <c r="L2836" t="str">
        <f>Table_DataFromNL[[#This Row],[PROFILECODE]]&amp;"-"&amp;Table_DataFromNL[[#This Row],[RULENAME]]</f>
        <v>CP948-Vaccinia - 3rd Donation</v>
      </c>
      <c r="M2836" t="str">
        <f t="shared" si="313"/>
        <v>CP948-Vaccinia - 3rd Donation</v>
      </c>
    </row>
    <row r="2837" spans="1:13" x14ac:dyDescent="0.25">
      <c r="A2837" t="str">
        <f t="shared" si="314"/>
        <v>CP948-Vaccinia - 4th Donation</v>
      </c>
      <c r="B2837" t="s">
        <v>371</v>
      </c>
      <c r="C2837" t="str">
        <f t="shared" si="308"/>
        <v>Sanford</v>
      </c>
      <c r="D2837" t="str">
        <f t="shared" si="309"/>
        <v>Y</v>
      </c>
      <c r="E2837" t="s">
        <v>666</v>
      </c>
      <c r="F2837" t="str">
        <f t="shared" si="310"/>
        <v>Vaccinia - 4th Donation</v>
      </c>
      <c r="G2837" t="str">
        <f t="shared" si="311"/>
        <v>Specialty</v>
      </c>
      <c r="H2837" t="s">
        <v>480</v>
      </c>
      <c r="I2837">
        <f t="shared" si="312"/>
        <v>0</v>
      </c>
      <c r="J2837" t="s">
        <v>546</v>
      </c>
      <c r="K2837" s="5">
        <v>300</v>
      </c>
      <c r="L2837" t="str">
        <f>Table_DataFromNL[[#This Row],[PROFILECODE]]&amp;"-"&amp;Table_DataFromNL[[#This Row],[RULENAME]]</f>
        <v>CP948-Vaccinia - 4th Donation</v>
      </c>
      <c r="M2837" t="str">
        <f t="shared" si="313"/>
        <v>CP948-Vaccinia - 4th Donation</v>
      </c>
    </row>
    <row r="2838" spans="1:13" x14ac:dyDescent="0.25">
      <c r="A2838" t="str">
        <f t="shared" si="314"/>
        <v>CP948-Vaccinia AP - 1st Donation</v>
      </c>
      <c r="B2838" t="s">
        <v>371</v>
      </c>
      <c r="C2838" t="str">
        <f t="shared" si="308"/>
        <v>Sanford</v>
      </c>
      <c r="D2838" t="str">
        <f t="shared" si="309"/>
        <v>Y</v>
      </c>
      <c r="E2838" t="s">
        <v>666</v>
      </c>
      <c r="F2838" t="str">
        <f t="shared" si="310"/>
        <v>Vaccinia AP - 1st Donation</v>
      </c>
      <c r="G2838" t="str">
        <f t="shared" si="311"/>
        <v>Specialty</v>
      </c>
      <c r="H2838" t="s">
        <v>481</v>
      </c>
      <c r="I2838">
        <f t="shared" si="312"/>
        <v>0</v>
      </c>
      <c r="J2838" t="s">
        <v>546</v>
      </c>
      <c r="K2838" s="5">
        <v>150</v>
      </c>
      <c r="L2838" t="str">
        <f>Table_DataFromNL[[#This Row],[PROFILECODE]]&amp;"-"&amp;Table_DataFromNL[[#This Row],[RULENAME]]</f>
        <v>CP948-Vaccinia AP - 1st Donation</v>
      </c>
      <c r="M2838" t="str">
        <f t="shared" si="313"/>
        <v>CP948-Vaccinia AP - 1st Donation</v>
      </c>
    </row>
    <row r="2839" spans="1:13" x14ac:dyDescent="0.25">
      <c r="A2839" t="str">
        <f t="shared" si="314"/>
        <v>CP948-Vaccinia AP - 2nd Donation</v>
      </c>
      <c r="B2839" t="s">
        <v>371</v>
      </c>
      <c r="C2839" t="str">
        <f t="shared" si="308"/>
        <v>Sanford</v>
      </c>
      <c r="D2839" t="str">
        <f t="shared" si="309"/>
        <v>Y</v>
      </c>
      <c r="E2839" t="s">
        <v>666</v>
      </c>
      <c r="F2839" t="str">
        <f t="shared" si="310"/>
        <v>Vaccinia AP - 2nd Donation</v>
      </c>
      <c r="G2839" t="str">
        <f t="shared" si="311"/>
        <v>Specialty</v>
      </c>
      <c r="H2839" t="s">
        <v>482</v>
      </c>
      <c r="I2839">
        <f t="shared" si="312"/>
        <v>0</v>
      </c>
      <c r="J2839" t="s">
        <v>546</v>
      </c>
      <c r="K2839" s="5">
        <v>250</v>
      </c>
      <c r="L2839" t="str">
        <f>Table_DataFromNL[[#This Row],[PROFILECODE]]&amp;"-"&amp;Table_DataFromNL[[#This Row],[RULENAME]]</f>
        <v>CP948-Vaccinia AP - 2nd Donation</v>
      </c>
      <c r="M2839" t="str">
        <f t="shared" si="313"/>
        <v>CP948-Vaccinia AP - 2nd Donation</v>
      </c>
    </row>
    <row r="2840" spans="1:13" x14ac:dyDescent="0.25">
      <c r="A2840" t="str">
        <f t="shared" si="314"/>
        <v>CP948-Vaccinia AP - 3rd Donation</v>
      </c>
      <c r="B2840" t="s">
        <v>371</v>
      </c>
      <c r="C2840" t="str">
        <f t="shared" si="308"/>
        <v>Sanford</v>
      </c>
      <c r="D2840" t="str">
        <f t="shared" si="309"/>
        <v>Y</v>
      </c>
      <c r="E2840" t="s">
        <v>666</v>
      </c>
      <c r="F2840" t="str">
        <f t="shared" si="310"/>
        <v>Vaccinia AP - 3rd Donation</v>
      </c>
      <c r="G2840" t="str">
        <f t="shared" si="311"/>
        <v>Specialty</v>
      </c>
      <c r="H2840" t="s">
        <v>483</v>
      </c>
      <c r="I2840">
        <f t="shared" si="312"/>
        <v>0</v>
      </c>
      <c r="J2840" t="s">
        <v>546</v>
      </c>
      <c r="K2840" s="5">
        <v>300</v>
      </c>
      <c r="L2840" t="str">
        <f>Table_DataFromNL[[#This Row],[PROFILECODE]]&amp;"-"&amp;Table_DataFromNL[[#This Row],[RULENAME]]</f>
        <v>CP948-Vaccinia AP - 3rd Donation</v>
      </c>
      <c r="M2840" t="str">
        <f t="shared" si="313"/>
        <v>CP948-Vaccinia AP - 3rd Donation</v>
      </c>
    </row>
    <row r="2841" spans="1:13" x14ac:dyDescent="0.25">
      <c r="A2841" t="str">
        <f>B2841&amp;"-"&amp;F2841</f>
        <v>CP948-Vaccinia AP - 4th Donation</v>
      </c>
      <c r="B2841" t="s">
        <v>371</v>
      </c>
      <c r="C2841" t="str">
        <f t="shared" si="308"/>
        <v>Sanford</v>
      </c>
      <c r="D2841" t="str">
        <f t="shared" si="309"/>
        <v>Y</v>
      </c>
      <c r="E2841" t="s">
        <v>666</v>
      </c>
      <c r="F2841" t="str">
        <f t="shared" si="310"/>
        <v>Vaccinia AP - 4th Donation</v>
      </c>
      <c r="G2841" t="str">
        <f t="shared" si="311"/>
        <v>Specialty</v>
      </c>
      <c r="H2841" t="s">
        <v>484</v>
      </c>
      <c r="I2841">
        <f t="shared" si="312"/>
        <v>0</v>
      </c>
      <c r="J2841" t="s">
        <v>546</v>
      </c>
      <c r="K2841" s="5">
        <v>300</v>
      </c>
      <c r="L2841" t="str">
        <f>Table_DataFromNL[[#This Row],[PROFILECODE]]&amp;"-"&amp;Table_DataFromNL[[#This Row],[RULENAME]]</f>
        <v>CP948-Vaccinia AP - 4th Donation</v>
      </c>
      <c r="M2841" t="str">
        <f t="shared" si="313"/>
        <v>CP948-Vaccinia AP - 4th Donation</v>
      </c>
    </row>
    <row r="2842" spans="1:13" x14ac:dyDescent="0.25">
      <c r="A2842" t="str">
        <f t="shared" si="314"/>
        <v>CP948-Community</v>
      </c>
      <c r="B2842" t="s">
        <v>371</v>
      </c>
      <c r="C2842" t="str">
        <f t="shared" si="308"/>
        <v>Sanford</v>
      </c>
      <c r="D2842" t="str">
        <f t="shared" si="309"/>
        <v>Y</v>
      </c>
      <c r="E2842" t="s">
        <v>666</v>
      </c>
      <c r="F2842" t="str">
        <f t="shared" si="310"/>
        <v>Community</v>
      </c>
      <c r="G2842">
        <f t="shared" si="311"/>
        <v>0</v>
      </c>
      <c r="H2842" t="s">
        <v>563</v>
      </c>
      <c r="I2842">
        <f t="shared" si="312"/>
        <v>0</v>
      </c>
      <c r="J2842" t="s">
        <v>564</v>
      </c>
      <c r="K2842" s="5">
        <v>5</v>
      </c>
      <c r="L2842" t="str">
        <f>Table_DataFromNL[[#This Row],[PROFILECODE]]&amp;"-"&amp;Table_DataFromNL[[#This Row],[RULENAME]]</f>
        <v>CP948-Community</v>
      </c>
      <c r="M2842" t="e">
        <f t="shared" si="313"/>
        <v>#N/A</v>
      </c>
    </row>
    <row r="2843" spans="1:13" x14ac:dyDescent="0.25">
      <c r="A2843" t="str">
        <f t="shared" si="314"/>
        <v>CP948-HANGER_RECRUIT_5USD_once</v>
      </c>
      <c r="B2843" t="s">
        <v>371</v>
      </c>
      <c r="C2843" t="str">
        <f t="shared" si="308"/>
        <v>Sanford</v>
      </c>
      <c r="D2843" t="str">
        <f t="shared" si="309"/>
        <v>Y</v>
      </c>
      <c r="E2843" t="s">
        <v>666</v>
      </c>
      <c r="F2843" t="str">
        <f t="shared" si="310"/>
        <v>HANGER_RECRUIT_5USD_once</v>
      </c>
      <c r="G2843">
        <f t="shared" si="311"/>
        <v>0</v>
      </c>
      <c r="H2843" t="s">
        <v>565</v>
      </c>
      <c r="I2843">
        <f t="shared" si="312"/>
        <v>0</v>
      </c>
      <c r="J2843" t="s">
        <v>564</v>
      </c>
      <c r="K2843" s="5">
        <v>5</v>
      </c>
      <c r="L2843" t="str">
        <f>Table_DataFromNL[[#This Row],[PROFILECODE]]&amp;"-"&amp;Table_DataFromNL[[#This Row],[RULENAME]]</f>
        <v>CP948-HANGER_RECRUIT_5USD_once</v>
      </c>
      <c r="M2843" t="e">
        <f t="shared" si="313"/>
        <v>#N/A</v>
      </c>
    </row>
    <row r="2844" spans="1:13" x14ac:dyDescent="0.25">
      <c r="A2844" t="str">
        <f t="shared" si="314"/>
        <v>CP948-Immunization Boost Payment</v>
      </c>
      <c r="B2844" t="s">
        <v>371</v>
      </c>
      <c r="C2844" t="str">
        <f t="shared" si="308"/>
        <v>Sanford</v>
      </c>
      <c r="D2844" t="str">
        <f t="shared" si="309"/>
        <v>Y</v>
      </c>
      <c r="E2844" t="s">
        <v>666</v>
      </c>
      <c r="F2844" t="str">
        <f t="shared" si="310"/>
        <v>Immunization Boost Payment</v>
      </c>
      <c r="G2844">
        <f t="shared" si="311"/>
        <v>0</v>
      </c>
      <c r="H2844" t="s">
        <v>598</v>
      </c>
      <c r="I2844">
        <f t="shared" si="312"/>
        <v>0</v>
      </c>
      <c r="J2844" t="s">
        <v>564</v>
      </c>
      <c r="K2844" s="5">
        <v>50</v>
      </c>
      <c r="L2844" t="str">
        <f>Table_DataFromNL[[#This Row],[PROFILECODE]]&amp;"-"&amp;Table_DataFromNL[[#This Row],[RULENAME]]</f>
        <v>CP948-Immunization Boost Payment</v>
      </c>
      <c r="M2844" t="e">
        <f t="shared" si="313"/>
        <v>#N/A</v>
      </c>
    </row>
    <row r="2845" spans="1:13" x14ac:dyDescent="0.25">
      <c r="A2845" t="str">
        <f t="shared" si="314"/>
        <v>CP948-Immunization Series Payment</v>
      </c>
      <c r="B2845" t="s">
        <v>371</v>
      </c>
      <c r="C2845" t="str">
        <f t="shared" si="308"/>
        <v>Sanford</v>
      </c>
      <c r="D2845" t="str">
        <f t="shared" si="309"/>
        <v>Y</v>
      </c>
      <c r="E2845" t="s">
        <v>666</v>
      </c>
      <c r="F2845" t="str">
        <f t="shared" si="310"/>
        <v>Immunization Series Payment</v>
      </c>
      <c r="G2845">
        <f t="shared" si="311"/>
        <v>0</v>
      </c>
      <c r="H2845" t="s">
        <v>599</v>
      </c>
      <c r="I2845">
        <f t="shared" si="312"/>
        <v>0</v>
      </c>
      <c r="J2845" t="s">
        <v>564</v>
      </c>
      <c r="K2845" s="5">
        <v>100</v>
      </c>
      <c r="L2845" t="str">
        <f>Table_DataFromNL[[#This Row],[PROFILECODE]]&amp;"-"&amp;Table_DataFromNL[[#This Row],[RULENAME]]</f>
        <v>CP948-Immunization Series Payment</v>
      </c>
      <c r="M2845" t="e">
        <f t="shared" si="313"/>
        <v>#N/A</v>
      </c>
    </row>
    <row r="2846" spans="1:13" x14ac:dyDescent="0.25">
      <c r="A2846" t="str">
        <f t="shared" si="314"/>
        <v>CP948-Inconv Fee $20-$50-Comment Req'd</v>
      </c>
      <c r="B2846" t="s">
        <v>371</v>
      </c>
      <c r="C2846" t="str">
        <f t="shared" si="308"/>
        <v>Sanford</v>
      </c>
      <c r="D2846" t="str">
        <f t="shared" si="309"/>
        <v>Y</v>
      </c>
      <c r="E2846" t="s">
        <v>666</v>
      </c>
      <c r="F2846" t="str">
        <f t="shared" si="310"/>
        <v>Inconv Fee $20-$50-Comment Req'd</v>
      </c>
      <c r="G2846">
        <f t="shared" si="311"/>
        <v>0</v>
      </c>
      <c r="H2846" t="s">
        <v>566</v>
      </c>
      <c r="I2846">
        <f t="shared" si="312"/>
        <v>0</v>
      </c>
      <c r="J2846" t="s">
        <v>564</v>
      </c>
      <c r="K2846" s="5">
        <v>50</v>
      </c>
      <c r="L2846" t="str">
        <f>Table_DataFromNL[[#This Row],[PROFILECODE]]&amp;"-"&amp;Table_DataFromNL[[#This Row],[RULENAME]]</f>
        <v>CP948-Inconv Fee $20-$50-Comment Req'd</v>
      </c>
      <c r="M2846" t="e">
        <f t="shared" si="313"/>
        <v>#N/A</v>
      </c>
    </row>
    <row r="2847" spans="1:13" x14ac:dyDescent="0.25">
      <c r="A2847" t="str">
        <f t="shared" si="314"/>
        <v>CP948-Inconv Fee $5-$20-Comment Req'd</v>
      </c>
      <c r="B2847" t="s">
        <v>371</v>
      </c>
      <c r="C2847" t="str">
        <f t="shared" si="308"/>
        <v>Sanford</v>
      </c>
      <c r="D2847" t="str">
        <f t="shared" si="309"/>
        <v>Y</v>
      </c>
      <c r="E2847" t="s">
        <v>666</v>
      </c>
      <c r="F2847" t="str">
        <f t="shared" si="310"/>
        <v>Inconv Fee $5-$20-Comment Req'd</v>
      </c>
      <c r="G2847">
        <f t="shared" si="311"/>
        <v>0</v>
      </c>
      <c r="H2847" t="s">
        <v>567</v>
      </c>
      <c r="I2847">
        <f t="shared" si="312"/>
        <v>0</v>
      </c>
      <c r="J2847" t="s">
        <v>564</v>
      </c>
      <c r="K2847" s="5">
        <v>20</v>
      </c>
      <c r="L2847" t="str">
        <f>Table_DataFromNL[[#This Row],[PROFILECODE]]&amp;"-"&amp;Table_DataFromNL[[#This Row],[RULENAME]]</f>
        <v>CP948-Inconv Fee $5-$20-Comment Req'd</v>
      </c>
      <c r="M2847" t="e">
        <f t="shared" si="313"/>
        <v>#N/A</v>
      </c>
    </row>
    <row r="2848" spans="1:13" x14ac:dyDescent="0.25">
      <c r="A2848" t="str">
        <f t="shared" si="314"/>
        <v>CP948-Inconv Fee$50-$100-Comment Req'd</v>
      </c>
      <c r="B2848" t="s">
        <v>371</v>
      </c>
      <c r="C2848" t="str">
        <f t="shared" si="308"/>
        <v>Sanford</v>
      </c>
      <c r="D2848" t="str">
        <f t="shared" si="309"/>
        <v>Y</v>
      </c>
      <c r="E2848" t="s">
        <v>666</v>
      </c>
      <c r="F2848" t="str">
        <f t="shared" si="310"/>
        <v>Inconv Fee$50-$100-Comment Req'd</v>
      </c>
      <c r="G2848">
        <f t="shared" si="311"/>
        <v>0</v>
      </c>
      <c r="H2848" t="s">
        <v>568</v>
      </c>
      <c r="I2848">
        <f t="shared" si="312"/>
        <v>0</v>
      </c>
      <c r="J2848" t="s">
        <v>564</v>
      </c>
      <c r="K2848" s="5">
        <v>100</v>
      </c>
      <c r="L2848" t="str">
        <f>Table_DataFromNL[[#This Row],[PROFILECODE]]&amp;"-"&amp;Table_DataFromNL[[#This Row],[RULENAME]]</f>
        <v>CP948-Inconv Fee$50-$100-Comment Req'd</v>
      </c>
      <c r="M2848" t="e">
        <f t="shared" si="313"/>
        <v>#N/A</v>
      </c>
    </row>
    <row r="2849" spans="1:13" x14ac:dyDescent="0.25">
      <c r="A2849" t="str">
        <f t="shared" si="314"/>
        <v>CP948-NSP_ LAPSEDONOR_50_Twice</v>
      </c>
      <c r="B2849" t="s">
        <v>371</v>
      </c>
      <c r="C2849" t="str">
        <f t="shared" si="308"/>
        <v>Sanford</v>
      </c>
      <c r="D2849" t="str">
        <f t="shared" si="309"/>
        <v>Y</v>
      </c>
      <c r="E2849" t="s">
        <v>666</v>
      </c>
      <c r="F2849" t="str">
        <f t="shared" si="310"/>
        <v>NSP_ LAPSEDONOR_50_Twice</v>
      </c>
      <c r="G2849">
        <f t="shared" si="311"/>
        <v>0</v>
      </c>
      <c r="H2849" t="s">
        <v>569</v>
      </c>
      <c r="I2849">
        <f t="shared" si="312"/>
        <v>0</v>
      </c>
      <c r="J2849" t="s">
        <v>564</v>
      </c>
      <c r="K2849" s="5">
        <v>50</v>
      </c>
      <c r="L2849" t="str">
        <f>Table_DataFromNL[[#This Row],[PROFILECODE]]&amp;"-"&amp;Table_DataFromNL[[#This Row],[RULENAME]]</f>
        <v>CP948-NSP_ LAPSEDONOR_50_Twice</v>
      </c>
      <c r="M2849" t="e">
        <f t="shared" si="313"/>
        <v>#N/A</v>
      </c>
    </row>
    <row r="2850" spans="1:13" x14ac:dyDescent="0.25">
      <c r="A2850" t="str">
        <f t="shared" si="314"/>
        <v>CP948-NSP_LD_25_2X</v>
      </c>
      <c r="B2850" t="s">
        <v>371</v>
      </c>
      <c r="C2850" t="str">
        <f t="shared" si="308"/>
        <v>Sanford</v>
      </c>
      <c r="D2850" t="str">
        <f t="shared" si="309"/>
        <v>Y</v>
      </c>
      <c r="E2850" t="s">
        <v>666</v>
      </c>
      <c r="F2850" t="str">
        <f t="shared" si="310"/>
        <v>NSP_LD_25_2X</v>
      </c>
      <c r="G2850">
        <f t="shared" si="311"/>
        <v>0</v>
      </c>
      <c r="H2850" t="s">
        <v>570</v>
      </c>
      <c r="I2850">
        <f t="shared" si="312"/>
        <v>0</v>
      </c>
      <c r="J2850" t="s">
        <v>564</v>
      </c>
      <c r="K2850" s="5">
        <v>25</v>
      </c>
      <c r="L2850" t="str">
        <f>Table_DataFromNL[[#This Row],[PROFILECODE]]&amp;"-"&amp;Table_DataFromNL[[#This Row],[RULENAME]]</f>
        <v>CP948-NSP_LD_25_2X</v>
      </c>
      <c r="M2850" t="e">
        <f t="shared" si="313"/>
        <v>#N/A</v>
      </c>
    </row>
    <row r="2851" spans="1:13" x14ac:dyDescent="0.25">
      <c r="A2851" t="str">
        <f t="shared" si="314"/>
        <v>CP948-NSP_LD_50_1X</v>
      </c>
      <c r="B2851" t="s">
        <v>371</v>
      </c>
      <c r="C2851" t="str">
        <f t="shared" si="308"/>
        <v>Sanford</v>
      </c>
      <c r="D2851" t="str">
        <f t="shared" si="309"/>
        <v>Y</v>
      </c>
      <c r="E2851" t="s">
        <v>666</v>
      </c>
      <c r="F2851" t="str">
        <f t="shared" si="310"/>
        <v>NSP_LD_50_1X</v>
      </c>
      <c r="G2851">
        <f t="shared" si="311"/>
        <v>0</v>
      </c>
      <c r="H2851" t="s">
        <v>571</v>
      </c>
      <c r="I2851">
        <f t="shared" si="312"/>
        <v>0</v>
      </c>
      <c r="J2851" t="s">
        <v>564</v>
      </c>
      <c r="K2851" s="5">
        <v>50</v>
      </c>
      <c r="L2851" t="str">
        <f>Table_DataFromNL[[#This Row],[PROFILECODE]]&amp;"-"&amp;Table_DataFromNL[[#This Row],[RULENAME]]</f>
        <v>CP948-NSP_LD_50_1X</v>
      </c>
      <c r="M2851" t="e">
        <f t="shared" si="313"/>
        <v>#N/A</v>
      </c>
    </row>
    <row r="2852" spans="1:13" x14ac:dyDescent="0.25">
      <c r="A2852" t="str">
        <f t="shared" si="314"/>
        <v>CP948-NSP_ORPHAN_100_once</v>
      </c>
      <c r="B2852" t="s">
        <v>371</v>
      </c>
      <c r="C2852" t="str">
        <f t="shared" si="308"/>
        <v>Sanford</v>
      </c>
      <c r="D2852" t="str">
        <f t="shared" si="309"/>
        <v>Y</v>
      </c>
      <c r="E2852" t="s">
        <v>666</v>
      </c>
      <c r="F2852" t="str">
        <f t="shared" si="310"/>
        <v>NSP_ORPHAN_100_once</v>
      </c>
      <c r="G2852">
        <f t="shared" si="311"/>
        <v>0</v>
      </c>
      <c r="H2852" t="s">
        <v>572</v>
      </c>
      <c r="I2852">
        <f t="shared" si="312"/>
        <v>0</v>
      </c>
      <c r="J2852" t="s">
        <v>564</v>
      </c>
      <c r="K2852" s="5">
        <v>100</v>
      </c>
      <c r="L2852" t="str">
        <f>Table_DataFromNL[[#This Row],[PROFILECODE]]&amp;"-"&amp;Table_DataFromNL[[#This Row],[RULENAME]]</f>
        <v>CP948-NSP_ORPHAN_100_once</v>
      </c>
      <c r="M2852" t="e">
        <f t="shared" si="313"/>
        <v>#N/A</v>
      </c>
    </row>
    <row r="2853" spans="1:13" x14ac:dyDescent="0.25">
      <c r="A2853" t="str">
        <f t="shared" si="314"/>
        <v>CP948-Referral - Vaccinia</v>
      </c>
      <c r="B2853" t="s">
        <v>371</v>
      </c>
      <c r="C2853" t="str">
        <f t="shared" si="308"/>
        <v>Sanford</v>
      </c>
      <c r="D2853" t="str">
        <f t="shared" si="309"/>
        <v>Y</v>
      </c>
      <c r="E2853" t="s">
        <v>666</v>
      </c>
      <c r="F2853" t="str">
        <f t="shared" si="310"/>
        <v>Referral - Vaccinia</v>
      </c>
      <c r="G2853">
        <f t="shared" si="311"/>
        <v>0</v>
      </c>
      <c r="H2853" t="s">
        <v>595</v>
      </c>
      <c r="I2853">
        <f t="shared" si="312"/>
        <v>0</v>
      </c>
      <c r="J2853" t="s">
        <v>564</v>
      </c>
      <c r="K2853" s="5">
        <v>250</v>
      </c>
      <c r="L2853" t="str">
        <f>Table_DataFromNL[[#This Row],[PROFILECODE]]&amp;"-"&amp;Table_DataFromNL[[#This Row],[RULENAME]]</f>
        <v>CP948-Referral - Vaccinia</v>
      </c>
      <c r="M2853" t="e">
        <f t="shared" si="313"/>
        <v>#N/A</v>
      </c>
    </row>
    <row r="2854" spans="1:13" x14ac:dyDescent="0.25">
      <c r="A2854" t="str">
        <f t="shared" si="314"/>
        <v>CP948-Restick</v>
      </c>
      <c r="B2854" t="s">
        <v>371</v>
      </c>
      <c r="C2854" t="str">
        <f t="shared" si="308"/>
        <v>Sanford</v>
      </c>
      <c r="D2854" t="str">
        <f t="shared" si="309"/>
        <v>Y</v>
      </c>
      <c r="E2854" t="s">
        <v>666</v>
      </c>
      <c r="F2854" t="str">
        <f t="shared" si="310"/>
        <v>Restick</v>
      </c>
      <c r="G2854">
        <f t="shared" si="311"/>
        <v>0</v>
      </c>
      <c r="H2854" t="s">
        <v>573</v>
      </c>
      <c r="I2854">
        <f t="shared" si="312"/>
        <v>0</v>
      </c>
      <c r="J2854" t="s">
        <v>564</v>
      </c>
      <c r="K2854" s="5">
        <v>5</v>
      </c>
      <c r="L2854" t="str">
        <f>Table_DataFromNL[[#This Row],[PROFILECODE]]&amp;"-"&amp;Table_DataFromNL[[#This Row],[RULENAME]]</f>
        <v>CP948-Restick</v>
      </c>
      <c r="M2854" t="e">
        <f t="shared" si="313"/>
        <v>#N/A</v>
      </c>
    </row>
    <row r="2855" spans="1:13" x14ac:dyDescent="0.25">
      <c r="A2855" t="str">
        <f t="shared" si="314"/>
        <v>CP948-SLOW_TEXT_5</v>
      </c>
      <c r="B2855" t="s">
        <v>371</v>
      </c>
      <c r="C2855" t="str">
        <f t="shared" si="308"/>
        <v>Sanford</v>
      </c>
      <c r="D2855" t="str">
        <f t="shared" si="309"/>
        <v>Y</v>
      </c>
      <c r="E2855" t="s">
        <v>666</v>
      </c>
      <c r="F2855" t="str">
        <f t="shared" si="310"/>
        <v>SLOW_TEXT_5</v>
      </c>
      <c r="G2855">
        <f t="shared" si="311"/>
        <v>0</v>
      </c>
      <c r="H2855" t="s">
        <v>574</v>
      </c>
      <c r="I2855">
        <f t="shared" si="312"/>
        <v>0</v>
      </c>
      <c r="J2855" t="s">
        <v>564</v>
      </c>
      <c r="K2855" s="5">
        <v>5</v>
      </c>
      <c r="L2855" t="str">
        <f>Table_DataFromNL[[#This Row],[PROFILECODE]]&amp;"-"&amp;Table_DataFromNL[[#This Row],[RULENAME]]</f>
        <v>CP948-SLOW_TEXT_5</v>
      </c>
      <c r="M2855" t="e">
        <f t="shared" si="313"/>
        <v>#N/A</v>
      </c>
    </row>
    <row r="2856" spans="1:13" x14ac:dyDescent="0.25">
      <c r="A2856" t="str">
        <f t="shared" si="314"/>
        <v>CP948-Sample Only</v>
      </c>
      <c r="B2856" t="s">
        <v>371</v>
      </c>
      <c r="C2856" t="str">
        <f t="shared" si="308"/>
        <v>Sanford</v>
      </c>
      <c r="D2856" t="str">
        <f t="shared" si="309"/>
        <v>Y</v>
      </c>
      <c r="E2856" t="s">
        <v>666</v>
      </c>
      <c r="F2856" t="str">
        <f t="shared" si="310"/>
        <v>Sample Only</v>
      </c>
      <c r="G2856">
        <f t="shared" si="311"/>
        <v>0</v>
      </c>
      <c r="H2856" t="s">
        <v>575</v>
      </c>
      <c r="I2856">
        <f t="shared" si="312"/>
        <v>0</v>
      </c>
      <c r="J2856" t="s">
        <v>564</v>
      </c>
      <c r="K2856" s="5">
        <v>5</v>
      </c>
      <c r="L2856" t="str">
        <f>Table_DataFromNL[[#This Row],[PROFILECODE]]&amp;"-"&amp;Table_DataFromNL[[#This Row],[RULENAME]]</f>
        <v>CP948-Sample Only</v>
      </c>
      <c r="M2856" t="e">
        <f t="shared" si="313"/>
        <v>#N/A</v>
      </c>
    </row>
    <row r="2857" spans="1:13" x14ac:dyDescent="0.25">
      <c r="A2857" t="str">
        <f t="shared" si="314"/>
        <v>CP948-Unit Below 250 mL</v>
      </c>
      <c r="B2857" t="s">
        <v>371</v>
      </c>
      <c r="C2857" t="str">
        <f t="shared" si="308"/>
        <v>Sanford</v>
      </c>
      <c r="D2857" t="str">
        <f t="shared" si="309"/>
        <v>Y</v>
      </c>
      <c r="E2857" t="s">
        <v>666</v>
      </c>
      <c r="F2857" t="str">
        <f t="shared" si="310"/>
        <v>Unit Below 250 mL</v>
      </c>
      <c r="G2857">
        <f t="shared" si="311"/>
        <v>0</v>
      </c>
      <c r="H2857" t="s">
        <v>576</v>
      </c>
      <c r="I2857">
        <f t="shared" si="312"/>
        <v>0</v>
      </c>
      <c r="J2857" t="s">
        <v>564</v>
      </c>
      <c r="K2857" s="5">
        <v>5</v>
      </c>
      <c r="L2857" t="str">
        <f>Table_DataFromNL[[#This Row],[PROFILECODE]]&amp;"-"&amp;Table_DataFromNL[[#This Row],[RULENAME]]</f>
        <v>CP948-Unit Below 250 mL</v>
      </c>
      <c r="M2857" t="e">
        <f t="shared" si="313"/>
        <v>#N/A</v>
      </c>
    </row>
    <row r="2858" spans="1:13" x14ac:dyDescent="0.25">
      <c r="A2858" t="str">
        <f t="shared" si="314"/>
        <v>CP948-Unit above 250 mL/underdraw</v>
      </c>
      <c r="B2858" t="s">
        <v>371</v>
      </c>
      <c r="C2858" t="str">
        <f t="shared" si="308"/>
        <v>Sanford</v>
      </c>
      <c r="D2858" t="str">
        <f t="shared" si="309"/>
        <v>Y</v>
      </c>
      <c r="E2858" t="s">
        <v>666</v>
      </c>
      <c r="F2858" t="str">
        <f t="shared" si="310"/>
        <v>Unit above 250 mL/underdraw</v>
      </c>
      <c r="G2858">
        <f t="shared" si="311"/>
        <v>0</v>
      </c>
      <c r="H2858" t="s">
        <v>577</v>
      </c>
      <c r="I2858">
        <f t="shared" si="312"/>
        <v>0</v>
      </c>
      <c r="J2858" t="s">
        <v>564</v>
      </c>
      <c r="K2858" s="5">
        <v>10</v>
      </c>
      <c r="L2858" t="str">
        <f>Table_DataFromNL[[#This Row],[PROFILECODE]]&amp;"-"&amp;Table_DataFromNL[[#This Row],[RULENAME]]</f>
        <v>CP948-Unit above 250 mL/underdraw</v>
      </c>
      <c r="M2858" t="e">
        <f t="shared" si="313"/>
        <v>#N/A</v>
      </c>
    </row>
    <row r="2859" spans="1:13" x14ac:dyDescent="0.25">
      <c r="A2859" t="str">
        <f t="shared" si="314"/>
        <v>CP948-Vaccinia Immunization</v>
      </c>
      <c r="B2859" t="s">
        <v>371</v>
      </c>
      <c r="C2859" t="str">
        <f t="shared" si="308"/>
        <v>Sanford</v>
      </c>
      <c r="D2859" t="str">
        <f t="shared" si="309"/>
        <v>Y</v>
      </c>
      <c r="E2859" t="s">
        <v>666</v>
      </c>
      <c r="F2859" t="str">
        <f t="shared" si="310"/>
        <v>Vaccinia Immunization</v>
      </c>
      <c r="G2859">
        <f t="shared" si="311"/>
        <v>0</v>
      </c>
      <c r="H2859" t="s">
        <v>596</v>
      </c>
      <c r="I2859">
        <f t="shared" si="312"/>
        <v>0</v>
      </c>
      <c r="J2859" t="s">
        <v>564</v>
      </c>
      <c r="K2859" s="5">
        <v>100</v>
      </c>
      <c r="L2859" t="str">
        <f>Table_DataFromNL[[#This Row],[PROFILECODE]]&amp;"-"&amp;Table_DataFromNL[[#This Row],[RULENAME]]</f>
        <v>CP948-Vaccinia Immunization</v>
      </c>
      <c r="M2859" t="e">
        <f t="shared" si="313"/>
        <v>#N/A</v>
      </c>
    </row>
    <row r="2860" spans="1:13" x14ac:dyDescent="0.25">
      <c r="A2860" t="str">
        <f t="shared" si="314"/>
        <v>CP948-RETURN - Buddy referral  -BONUS</v>
      </c>
      <c r="B2860" t="s">
        <v>371</v>
      </c>
      <c r="C2860" t="str">
        <f t="shared" si="308"/>
        <v>Sanford</v>
      </c>
      <c r="D2860" t="str">
        <f t="shared" si="309"/>
        <v>Y</v>
      </c>
      <c r="E2860" t="s">
        <v>666</v>
      </c>
      <c r="F2860" t="str">
        <f t="shared" si="310"/>
        <v>RETURN - Buddy referral  -BONUS</v>
      </c>
      <c r="G2860" t="str">
        <f t="shared" si="311"/>
        <v>Marketing</v>
      </c>
      <c r="H2860" t="s">
        <v>34</v>
      </c>
      <c r="I2860">
        <f t="shared" si="312"/>
        <v>50</v>
      </c>
      <c r="J2860" t="s">
        <v>578</v>
      </c>
      <c r="K2860" s="5">
        <v>50</v>
      </c>
      <c r="L2860" t="str">
        <f>Table_DataFromNL[[#This Row],[PROFILECODE]]&amp;"-"&amp;Table_DataFromNL[[#This Row],[RULENAME]]</f>
        <v>CP948-Referral</v>
      </c>
      <c r="M2860" t="str">
        <f t="shared" si="313"/>
        <v>CP948-RETURN - Buddy referral  -BONUS</v>
      </c>
    </row>
    <row r="2861" spans="1:13" x14ac:dyDescent="0.25">
      <c r="A2861" t="str">
        <f t="shared" si="314"/>
        <v>CP948-P Anti-D Pre-Existing Standard</v>
      </c>
      <c r="B2861" t="s">
        <v>371</v>
      </c>
      <c r="C2861" t="str">
        <f t="shared" si="308"/>
        <v>Sanford</v>
      </c>
      <c r="D2861" t="str">
        <f t="shared" si="309"/>
        <v>Y</v>
      </c>
      <c r="E2861" t="s">
        <v>666</v>
      </c>
      <c r="F2861" t="str">
        <f t="shared" si="310"/>
        <v>P Anti-D Pre-Existing Standard</v>
      </c>
      <c r="G2861" t="str">
        <f t="shared" si="311"/>
        <v>Specialty</v>
      </c>
      <c r="H2861" t="s">
        <v>469</v>
      </c>
      <c r="I2861" t="str">
        <f t="shared" si="312"/>
        <v>RETURN - 1st don of the week -STD</v>
      </c>
      <c r="J2861" t="s">
        <v>579</v>
      </c>
      <c r="K2861" s="5">
        <v>50</v>
      </c>
      <c r="L2861" t="str">
        <f>Table_DataFromNL[[#This Row],[PROFILECODE]]&amp;"-"&amp;Table_DataFromNL[[#This Row],[RULENAME]]</f>
        <v>CP948-P Anti-D Pre-Existing Standard</v>
      </c>
      <c r="M2861" t="str">
        <f t="shared" si="313"/>
        <v>CP948-P Anti-D Pre-Existing Standard</v>
      </c>
    </row>
    <row r="2862" spans="1:13" x14ac:dyDescent="0.25">
      <c r="A2862" t="str">
        <f t="shared" si="314"/>
        <v>CP948-P HBS Pre-Existing Standard</v>
      </c>
      <c r="B2862" t="s">
        <v>371</v>
      </c>
      <c r="C2862" t="str">
        <f t="shared" si="308"/>
        <v>Sanford</v>
      </c>
      <c r="D2862" t="str">
        <f t="shared" si="309"/>
        <v>Y</v>
      </c>
      <c r="E2862" t="s">
        <v>666</v>
      </c>
      <c r="F2862" t="str">
        <f t="shared" si="310"/>
        <v>P HBS Pre-Existing Standard</v>
      </c>
      <c r="G2862" t="str">
        <f t="shared" si="311"/>
        <v>Specialty</v>
      </c>
      <c r="H2862" t="s">
        <v>472</v>
      </c>
      <c r="I2862" t="str">
        <f t="shared" si="312"/>
        <v>RETURN - 1st don of the week -STD</v>
      </c>
      <c r="J2862" t="s">
        <v>579</v>
      </c>
      <c r="K2862" s="5">
        <v>50</v>
      </c>
      <c r="L2862" t="str">
        <f>Table_DataFromNL[[#This Row],[PROFILECODE]]&amp;"-"&amp;Table_DataFromNL[[#This Row],[RULENAME]]</f>
        <v>CP948-P HBS Pre-Existing Standard</v>
      </c>
      <c r="M2862" t="str">
        <f t="shared" si="313"/>
        <v>CP948-P HBS Pre-Existing Standard</v>
      </c>
    </row>
    <row r="2863" spans="1:13" x14ac:dyDescent="0.25">
      <c r="A2863" t="str">
        <f t="shared" si="314"/>
        <v>CP948-P HBS TWINRIX Standard</v>
      </c>
      <c r="B2863" t="s">
        <v>371</v>
      </c>
      <c r="C2863" t="str">
        <f t="shared" si="308"/>
        <v>Sanford</v>
      </c>
      <c r="D2863" t="str">
        <f t="shared" si="309"/>
        <v>Y</v>
      </c>
      <c r="E2863" t="s">
        <v>666</v>
      </c>
      <c r="F2863" t="str">
        <f t="shared" si="310"/>
        <v>P HBS TWINRIX Standard</v>
      </c>
      <c r="G2863" t="str">
        <f t="shared" si="311"/>
        <v>Specialty</v>
      </c>
      <c r="H2863" t="s">
        <v>506</v>
      </c>
      <c r="I2863" t="str">
        <f t="shared" si="312"/>
        <v>RETURN - 1st don of the week -STD</v>
      </c>
      <c r="J2863" t="s">
        <v>579</v>
      </c>
      <c r="K2863" s="5">
        <v>50</v>
      </c>
      <c r="L2863" t="str">
        <f>Table_DataFromNL[[#This Row],[PROFILECODE]]&amp;"-"&amp;Table_DataFromNL[[#This Row],[RULENAME]]</f>
        <v>CP948-P HBS TWINRIX Standard</v>
      </c>
      <c r="M2863" t="str">
        <f t="shared" si="313"/>
        <v>CP948-P HBS TWINRIX Standard</v>
      </c>
    </row>
    <row r="2864" spans="1:13" x14ac:dyDescent="0.25">
      <c r="A2864" t="str">
        <f t="shared" si="314"/>
        <v>CP948-P HBS TWINRIX-AP Standard</v>
      </c>
      <c r="B2864" t="s">
        <v>371</v>
      </c>
      <c r="C2864" t="str">
        <f t="shared" si="308"/>
        <v>Sanford</v>
      </c>
      <c r="D2864" t="str">
        <f t="shared" si="309"/>
        <v>Y</v>
      </c>
      <c r="E2864" t="s">
        <v>666</v>
      </c>
      <c r="F2864" t="str">
        <f t="shared" si="310"/>
        <v>P HBS TWINRIX-AP Standard</v>
      </c>
      <c r="G2864" t="str">
        <f t="shared" si="311"/>
        <v>Specialty</v>
      </c>
      <c r="H2864" t="s">
        <v>507</v>
      </c>
      <c r="I2864" t="str">
        <f t="shared" si="312"/>
        <v>RETURN - 1st don of the week -STD</v>
      </c>
      <c r="J2864" t="s">
        <v>579</v>
      </c>
      <c r="K2864" s="5">
        <v>50</v>
      </c>
      <c r="L2864" t="str">
        <f>Table_DataFromNL[[#This Row],[PROFILECODE]]&amp;"-"&amp;Table_DataFromNL[[#This Row],[RULENAME]]</f>
        <v>CP948-P HBS TWINRIX-AP Standard</v>
      </c>
      <c r="M2864" t="str">
        <f t="shared" si="313"/>
        <v>CP948-P HBS TWINRIX-AP Standard</v>
      </c>
    </row>
    <row r="2865" spans="1:13" x14ac:dyDescent="0.25">
      <c r="A2865" t="str">
        <f t="shared" si="314"/>
        <v>CP948-RETURN - 1st don of the week -STD</v>
      </c>
      <c r="B2865" t="s">
        <v>371</v>
      </c>
      <c r="C2865" t="str">
        <f t="shared" si="308"/>
        <v>Sanford</v>
      </c>
      <c r="D2865" t="str">
        <f t="shared" si="309"/>
        <v>Y</v>
      </c>
      <c r="E2865" t="s">
        <v>666</v>
      </c>
      <c r="F2865" t="str">
        <f t="shared" si="310"/>
        <v>RETURN - 1st don of the week -STD</v>
      </c>
      <c r="G2865" t="str">
        <f t="shared" si="311"/>
        <v>Marketing</v>
      </c>
      <c r="H2865" t="s">
        <v>583</v>
      </c>
      <c r="I2865">
        <f t="shared" si="312"/>
        <v>22</v>
      </c>
      <c r="J2865" t="s">
        <v>579</v>
      </c>
      <c r="K2865" s="5">
        <v>50</v>
      </c>
      <c r="L2865" t="str">
        <f>Table_DataFromNL[[#This Row],[PROFILECODE]]&amp;"-"&amp;Table_DataFromNL[[#This Row],[RULENAME]]</f>
        <v>CP948-P NSP NS AP Standard</v>
      </c>
      <c r="M2865" t="str">
        <f t="shared" si="313"/>
        <v>CP948-RETURN - 1st don of the week -STD</v>
      </c>
    </row>
    <row r="2866" spans="1:13" x14ac:dyDescent="0.25">
      <c r="A2866" t="str">
        <f t="shared" si="314"/>
        <v>CP948-RETURN - 1st don of the week -STD</v>
      </c>
      <c r="B2866" t="s">
        <v>371</v>
      </c>
      <c r="C2866" t="str">
        <f t="shared" si="308"/>
        <v>Sanford</v>
      </c>
      <c r="D2866" t="str">
        <f t="shared" si="309"/>
        <v>Y</v>
      </c>
      <c r="E2866" t="s">
        <v>666</v>
      </c>
      <c r="F2866" t="str">
        <f t="shared" si="310"/>
        <v>RETURN - 1st don of the week -STD</v>
      </c>
      <c r="G2866" t="str">
        <f t="shared" si="311"/>
        <v>Marketing</v>
      </c>
      <c r="H2866" t="s">
        <v>584</v>
      </c>
      <c r="I2866">
        <f t="shared" si="312"/>
        <v>23</v>
      </c>
      <c r="J2866" t="s">
        <v>579</v>
      </c>
      <c r="K2866" s="5">
        <v>50</v>
      </c>
      <c r="L2866" t="str">
        <f>Table_DataFromNL[[#This Row],[PROFILECODE]]&amp;"-"&amp;Table_DataFromNL[[#This Row],[RULENAME]]</f>
        <v>CP948-P NSP NS Standard</v>
      </c>
      <c r="M2866" t="str">
        <f t="shared" si="313"/>
        <v>CP948-RETURN - 1st don of the week -STD</v>
      </c>
    </row>
    <row r="2867" spans="1:13" x14ac:dyDescent="0.25">
      <c r="A2867" t="str">
        <f t="shared" si="314"/>
        <v>CP948-P VZV Pre-Existing AP</v>
      </c>
      <c r="B2867" t="s">
        <v>371</v>
      </c>
      <c r="C2867" t="str">
        <f t="shared" si="308"/>
        <v>Sanford</v>
      </c>
      <c r="D2867" t="str">
        <f t="shared" si="309"/>
        <v>Y</v>
      </c>
      <c r="E2867" t="s">
        <v>666</v>
      </c>
      <c r="F2867" t="str">
        <f t="shared" si="310"/>
        <v>P VZV Pre-Existing AP</v>
      </c>
      <c r="G2867" t="str">
        <f t="shared" si="311"/>
        <v>Specialty</v>
      </c>
      <c r="H2867" t="s">
        <v>495</v>
      </c>
      <c r="I2867" t="str">
        <f t="shared" si="312"/>
        <v>RETURN - 1st don of the week -STD</v>
      </c>
      <c r="J2867" t="s">
        <v>579</v>
      </c>
      <c r="K2867" s="5">
        <v>60</v>
      </c>
      <c r="L2867" t="str">
        <f>Table_DataFromNL[[#This Row],[PROFILECODE]]&amp;"-"&amp;Table_DataFromNL[[#This Row],[RULENAME]]</f>
        <v>CP948-P VZV Pre-Existing AP</v>
      </c>
      <c r="M2867" t="str">
        <f t="shared" si="313"/>
        <v>CP948-P VZV Pre-Existing AP</v>
      </c>
    </row>
    <row r="2868" spans="1:13" x14ac:dyDescent="0.25">
      <c r="A2868" t="str">
        <f t="shared" si="314"/>
        <v>CP948-P VZV Standard</v>
      </c>
      <c r="B2868" t="s">
        <v>371</v>
      </c>
      <c r="C2868" t="str">
        <f t="shared" si="308"/>
        <v>Sanford</v>
      </c>
      <c r="D2868" t="str">
        <f t="shared" si="309"/>
        <v>Y</v>
      </c>
      <c r="E2868" t="s">
        <v>666</v>
      </c>
      <c r="F2868" t="str">
        <f t="shared" si="310"/>
        <v>P VZV Standard</v>
      </c>
      <c r="G2868" t="str">
        <f t="shared" si="311"/>
        <v>Specialty</v>
      </c>
      <c r="H2868" t="s">
        <v>496</v>
      </c>
      <c r="I2868" t="str">
        <f t="shared" si="312"/>
        <v>RETURN - 1st don of the week -STD</v>
      </c>
      <c r="J2868" t="s">
        <v>579</v>
      </c>
      <c r="K2868" s="5">
        <v>60</v>
      </c>
      <c r="L2868" t="str">
        <f>Table_DataFromNL[[#This Row],[PROFILECODE]]&amp;"-"&amp;Table_DataFromNL[[#This Row],[RULENAME]]</f>
        <v>CP948-P VZV Standard</v>
      </c>
      <c r="M2868" t="str">
        <f t="shared" si="313"/>
        <v>CP948-P VZV Standard</v>
      </c>
    </row>
    <row r="2869" spans="1:13" x14ac:dyDescent="0.25">
      <c r="A2869" t="str">
        <f t="shared" si="314"/>
        <v>CP948-P Vaccinia AP Standard</v>
      </c>
      <c r="B2869" t="s">
        <v>371</v>
      </c>
      <c r="C2869" t="str">
        <f t="shared" si="308"/>
        <v>Sanford</v>
      </c>
      <c r="D2869" t="str">
        <f t="shared" si="309"/>
        <v>Y</v>
      </c>
      <c r="E2869" t="s">
        <v>666</v>
      </c>
      <c r="F2869" t="str">
        <f t="shared" si="310"/>
        <v>P Vaccinia AP Standard</v>
      </c>
      <c r="G2869" t="str">
        <f t="shared" si="311"/>
        <v>Specialty</v>
      </c>
      <c r="H2869" t="s">
        <v>475</v>
      </c>
      <c r="I2869">
        <f t="shared" si="312"/>
        <v>0</v>
      </c>
      <c r="J2869" t="s">
        <v>579</v>
      </c>
      <c r="K2869" s="5">
        <v>100</v>
      </c>
      <c r="L2869" t="str">
        <f>Table_DataFromNL[[#This Row],[PROFILECODE]]&amp;"-"&amp;Table_DataFromNL[[#This Row],[RULENAME]]</f>
        <v>CP948-P Vaccinia AP Standard</v>
      </c>
      <c r="M2869" t="str">
        <f t="shared" si="313"/>
        <v>CP948-P Vaccinia AP Standard</v>
      </c>
    </row>
    <row r="2870" spans="1:13" x14ac:dyDescent="0.25">
      <c r="A2870" t="str">
        <f t="shared" si="314"/>
        <v>CP948-P Vaccinia Standard</v>
      </c>
      <c r="B2870" t="s">
        <v>371</v>
      </c>
      <c r="C2870" t="str">
        <f t="shared" si="308"/>
        <v>Sanford</v>
      </c>
      <c r="D2870" t="str">
        <f t="shared" si="309"/>
        <v>Y</v>
      </c>
      <c r="E2870" t="s">
        <v>666</v>
      </c>
      <c r="F2870" t="str">
        <f t="shared" si="310"/>
        <v>P Vaccinia Standard</v>
      </c>
      <c r="G2870" t="str">
        <f t="shared" si="311"/>
        <v>Specialty</v>
      </c>
      <c r="H2870" t="s">
        <v>476</v>
      </c>
      <c r="I2870">
        <f t="shared" si="312"/>
        <v>0</v>
      </c>
      <c r="J2870" t="s">
        <v>579</v>
      </c>
      <c r="K2870" s="5">
        <v>100</v>
      </c>
      <c r="L2870" t="str">
        <f>Table_DataFromNL[[#This Row],[PROFILECODE]]&amp;"-"&amp;Table_DataFromNL[[#This Row],[RULENAME]]</f>
        <v>CP948-P Vaccinia Standard</v>
      </c>
      <c r="M2870" t="str">
        <f t="shared" si="313"/>
        <v>CP948-P Vaccinia Standard</v>
      </c>
    </row>
    <row r="2871" spans="1:13" x14ac:dyDescent="0.25">
      <c r="A2871" t="str">
        <f t="shared" si="314"/>
        <v>CP948-PVZV Pre-Existing Standard</v>
      </c>
      <c r="B2871" t="s">
        <v>371</v>
      </c>
      <c r="C2871" t="str">
        <f t="shared" si="308"/>
        <v>Sanford</v>
      </c>
      <c r="D2871" t="str">
        <f t="shared" si="309"/>
        <v>Y</v>
      </c>
      <c r="E2871" t="s">
        <v>666</v>
      </c>
      <c r="F2871" t="str">
        <f t="shared" si="310"/>
        <v>PVZV Pre-Existing Standard</v>
      </c>
      <c r="G2871" t="str">
        <f t="shared" si="311"/>
        <v>Specialty</v>
      </c>
      <c r="H2871" t="s">
        <v>497</v>
      </c>
      <c r="I2871" t="str">
        <f t="shared" si="312"/>
        <v>RETURN - 1st don of the week -STD</v>
      </c>
      <c r="J2871" t="s">
        <v>579</v>
      </c>
      <c r="K2871" s="5">
        <v>60</v>
      </c>
      <c r="L2871" t="str">
        <f>Table_DataFromNL[[#This Row],[PROFILECODE]]&amp;"-"&amp;Table_DataFromNL[[#This Row],[RULENAME]]</f>
        <v>CP948-PVZV Pre-Existing Standard</v>
      </c>
      <c r="M2871" t="str">
        <f t="shared" si="313"/>
        <v>CP948-PVZV Pre-Existing Standard</v>
      </c>
    </row>
    <row r="2872" spans="1:13" x14ac:dyDescent="0.25">
      <c r="A2872" t="str">
        <f t="shared" si="314"/>
        <v>CP147-1st Responder-Medical</v>
      </c>
      <c r="B2872" t="s">
        <v>382</v>
      </c>
      <c r="C2872" t="str">
        <f t="shared" si="308"/>
        <v>Shreveport</v>
      </c>
      <c r="D2872" t="str">
        <f t="shared" si="309"/>
        <v>Y</v>
      </c>
      <c r="E2872" t="s">
        <v>667</v>
      </c>
      <c r="F2872" t="str">
        <f t="shared" si="310"/>
        <v>1st Responder-Medical</v>
      </c>
      <c r="G2872">
        <f t="shared" si="311"/>
        <v>0</v>
      </c>
      <c r="H2872" t="s">
        <v>545</v>
      </c>
      <c r="I2872">
        <f t="shared" si="312"/>
        <v>0</v>
      </c>
      <c r="J2872" t="s">
        <v>546</v>
      </c>
      <c r="K2872" s="5">
        <v>5</v>
      </c>
      <c r="L2872" t="str">
        <f>Table_DataFromNL[[#This Row],[PROFILECODE]]&amp;"-"&amp;Table_DataFromNL[[#This Row],[RULENAME]]</f>
        <v>CP147-1st Responder-Medical</v>
      </c>
      <c r="M2872" t="e">
        <f t="shared" si="313"/>
        <v>#N/A</v>
      </c>
    </row>
    <row r="2873" spans="1:13" x14ac:dyDescent="0.25">
      <c r="A2873" t="str">
        <f t="shared" si="314"/>
        <v>CP147-2X Week P CMV</v>
      </c>
      <c r="B2873" t="s">
        <v>382</v>
      </c>
      <c r="C2873" t="str">
        <f t="shared" si="308"/>
        <v>Shreveport</v>
      </c>
      <c r="D2873" t="str">
        <f t="shared" si="309"/>
        <v>Y</v>
      </c>
      <c r="E2873" t="s">
        <v>667</v>
      </c>
      <c r="F2873" t="str">
        <f t="shared" si="310"/>
        <v>2X Week P CMV</v>
      </c>
      <c r="G2873" t="str">
        <f t="shared" si="311"/>
        <v>Specialty</v>
      </c>
      <c r="H2873" t="s">
        <v>498</v>
      </c>
      <c r="I2873" t="str">
        <f t="shared" si="312"/>
        <v>RETURN - 2nd don of the week -BONUS</v>
      </c>
      <c r="J2873" t="s">
        <v>546</v>
      </c>
      <c r="K2873" s="5">
        <v>35</v>
      </c>
      <c r="L2873" t="str">
        <f>Table_DataFromNL[[#This Row],[PROFILECODE]]&amp;"-"&amp;Table_DataFromNL[[#This Row],[RULENAME]]</f>
        <v>CP147-2X Week P CMV</v>
      </c>
      <c r="M2873" t="str">
        <f t="shared" si="313"/>
        <v>CP147-2X Week P CMV</v>
      </c>
    </row>
    <row r="2874" spans="1:13" x14ac:dyDescent="0.25">
      <c r="A2874" t="str">
        <f t="shared" si="314"/>
        <v>CP147-RETURN - 2nd don of the week -BONUS</v>
      </c>
      <c r="B2874" t="s">
        <v>382</v>
      </c>
      <c r="C2874" t="str">
        <f t="shared" si="308"/>
        <v>Shreveport</v>
      </c>
      <c r="D2874" t="str">
        <f t="shared" si="309"/>
        <v>Y</v>
      </c>
      <c r="E2874" t="s">
        <v>667</v>
      </c>
      <c r="F2874" t="str">
        <f t="shared" si="310"/>
        <v>RETURN - 2nd don of the week -BONUS</v>
      </c>
      <c r="G2874" t="str">
        <f t="shared" si="311"/>
        <v>Marketing</v>
      </c>
      <c r="H2874" t="s">
        <v>550</v>
      </c>
      <c r="I2874">
        <f t="shared" si="312"/>
        <v>26</v>
      </c>
      <c r="J2874" t="s">
        <v>546</v>
      </c>
      <c r="K2874" s="5">
        <v>35</v>
      </c>
      <c r="L2874" t="str">
        <f>Table_DataFromNL[[#This Row],[PROFILECODE]]&amp;"-"&amp;Table_DataFromNL[[#This Row],[RULENAME]]</f>
        <v>CP147-2X Week P NSP NS</v>
      </c>
      <c r="M2874" t="str">
        <f t="shared" si="313"/>
        <v>CP147-RETURN - 2nd don of the week -BONUS</v>
      </c>
    </row>
    <row r="2875" spans="1:13" x14ac:dyDescent="0.25">
      <c r="A2875" t="str">
        <f t="shared" si="314"/>
        <v>CP147-RETURN - 2nd don of the week -BONUS</v>
      </c>
      <c r="B2875" t="s">
        <v>382</v>
      </c>
      <c r="C2875" t="str">
        <f t="shared" si="308"/>
        <v>Shreveport</v>
      </c>
      <c r="D2875" t="str">
        <f t="shared" si="309"/>
        <v>Y</v>
      </c>
      <c r="E2875" t="s">
        <v>667</v>
      </c>
      <c r="F2875" t="str">
        <f t="shared" si="310"/>
        <v>RETURN - 2nd don of the week -BONUS</v>
      </c>
      <c r="G2875" t="str">
        <f t="shared" si="311"/>
        <v>Marketing</v>
      </c>
      <c r="H2875" t="s">
        <v>551</v>
      </c>
      <c r="I2875" t="str">
        <f t="shared" si="312"/>
        <v>RETURN - 2nd don of the week -BONUS</v>
      </c>
      <c r="J2875" t="s">
        <v>546</v>
      </c>
      <c r="K2875" s="5">
        <v>35</v>
      </c>
      <c r="L2875" t="str">
        <f>Table_DataFromNL[[#This Row],[PROFILECODE]]&amp;"-"&amp;Table_DataFromNL[[#This Row],[RULENAME]]</f>
        <v>CP147-2X Week P NSP NS AP</v>
      </c>
      <c r="M2875" t="str">
        <f t="shared" si="313"/>
        <v>CP147-RETURN - 2nd don of the week -BONUS</v>
      </c>
    </row>
    <row r="2876" spans="1:13" x14ac:dyDescent="0.25">
      <c r="A2876" t="str">
        <f t="shared" si="314"/>
        <v>CP147-RETURN - 6th don of the month -BONUS</v>
      </c>
      <c r="B2876" t="s">
        <v>382</v>
      </c>
      <c r="C2876" t="str">
        <f t="shared" si="308"/>
        <v>Shreveport</v>
      </c>
      <c r="D2876" t="str">
        <f t="shared" si="309"/>
        <v>Y</v>
      </c>
      <c r="E2876" t="s">
        <v>667</v>
      </c>
      <c r="F2876" t="str">
        <f t="shared" si="310"/>
        <v>RETURN - 6th don of the month -BONUS</v>
      </c>
      <c r="G2876" t="str">
        <f t="shared" si="311"/>
        <v>Marketing</v>
      </c>
      <c r="H2876" t="s">
        <v>552</v>
      </c>
      <c r="I2876">
        <f t="shared" si="312"/>
        <v>28</v>
      </c>
      <c r="J2876" t="s">
        <v>546</v>
      </c>
      <c r="K2876" s="5">
        <v>30</v>
      </c>
      <c r="L2876" t="str">
        <f>Table_DataFromNL[[#This Row],[PROFILECODE]]&amp;"-"&amp;Table_DataFromNL[[#This Row],[RULENAME]]</f>
        <v>CP147-6X Month</v>
      </c>
      <c r="M2876" t="str">
        <f t="shared" si="313"/>
        <v>CP147-RETURN - 6th don of the month -BONUS</v>
      </c>
    </row>
    <row r="2877" spans="1:13" x14ac:dyDescent="0.25">
      <c r="A2877" t="str">
        <f t="shared" si="314"/>
        <v>CP147-College ID Standard Bonus</v>
      </c>
      <c r="B2877" t="s">
        <v>382</v>
      </c>
      <c r="C2877" t="str">
        <f t="shared" si="308"/>
        <v>Shreveport</v>
      </c>
      <c r="D2877" t="str">
        <f t="shared" si="309"/>
        <v>Y</v>
      </c>
      <c r="E2877" t="s">
        <v>667</v>
      </c>
      <c r="F2877" t="str">
        <f t="shared" si="310"/>
        <v>College ID Standard Bonus</v>
      </c>
      <c r="G2877">
        <f t="shared" si="311"/>
        <v>0</v>
      </c>
      <c r="H2877" t="s">
        <v>553</v>
      </c>
      <c r="I2877">
        <f t="shared" si="312"/>
        <v>0</v>
      </c>
      <c r="J2877" t="s">
        <v>546</v>
      </c>
      <c r="K2877" s="5">
        <v>5</v>
      </c>
      <c r="L2877" t="str">
        <f>Table_DataFromNL[[#This Row],[PROFILECODE]]&amp;"-"&amp;Table_DataFromNL[[#This Row],[RULENAME]]</f>
        <v>CP147-College ID Standard Bonus</v>
      </c>
      <c r="M2877" t="e">
        <f t="shared" si="313"/>
        <v>#N/A</v>
      </c>
    </row>
    <row r="2878" spans="1:13" x14ac:dyDescent="0.25">
      <c r="A2878" t="str">
        <f t="shared" si="314"/>
        <v>CP147-Military ID</v>
      </c>
      <c r="B2878" t="s">
        <v>382</v>
      </c>
      <c r="C2878" t="str">
        <f t="shared" si="308"/>
        <v>Shreveport</v>
      </c>
      <c r="D2878" t="str">
        <f t="shared" si="309"/>
        <v>Y</v>
      </c>
      <c r="E2878" t="s">
        <v>667</v>
      </c>
      <c r="F2878" t="str">
        <f t="shared" si="310"/>
        <v>Military ID</v>
      </c>
      <c r="G2878">
        <f t="shared" si="311"/>
        <v>0</v>
      </c>
      <c r="H2878" t="s">
        <v>554</v>
      </c>
      <c r="I2878">
        <f t="shared" si="312"/>
        <v>0</v>
      </c>
      <c r="J2878" t="s">
        <v>546</v>
      </c>
      <c r="K2878" s="5">
        <v>5</v>
      </c>
      <c r="L2878" t="str">
        <f>Table_DataFromNL[[#This Row],[PROFILECODE]]&amp;"-"&amp;Table_DataFromNL[[#This Row],[RULENAME]]</f>
        <v>CP147-Military ID</v>
      </c>
      <c r="M2878" t="e">
        <f t="shared" si="313"/>
        <v>#N/A</v>
      </c>
    </row>
    <row r="2879" spans="1:13" x14ac:dyDescent="0.25">
      <c r="A2879" t="str">
        <f t="shared" si="314"/>
        <v>CP147-NEW DONOR -1st</v>
      </c>
      <c r="B2879" t="s">
        <v>382</v>
      </c>
      <c r="C2879" t="str">
        <f t="shared" si="308"/>
        <v>Shreveport</v>
      </c>
      <c r="D2879" t="str">
        <f t="shared" si="309"/>
        <v>Y</v>
      </c>
      <c r="E2879" t="s">
        <v>667</v>
      </c>
      <c r="F2879" t="str">
        <f t="shared" si="310"/>
        <v>NEW DONOR -1st</v>
      </c>
      <c r="G2879" t="str">
        <f t="shared" si="311"/>
        <v>Marketing</v>
      </c>
      <c r="H2879" t="s">
        <v>555</v>
      </c>
      <c r="I2879">
        <f t="shared" si="312"/>
        <v>1</v>
      </c>
      <c r="J2879" t="s">
        <v>546</v>
      </c>
      <c r="K2879" s="5">
        <v>100</v>
      </c>
      <c r="L2879" t="str">
        <f>Table_DataFromNL[[#This Row],[PROFILECODE]]&amp;"-"&amp;Table_DataFromNL[[#This Row],[RULENAME]]</f>
        <v>CP147-New Donor 1st Visit-Bonus</v>
      </c>
      <c r="M2879" t="str">
        <f t="shared" si="313"/>
        <v>CP147-NEW DONOR -1st</v>
      </c>
    </row>
    <row r="2880" spans="1:13" x14ac:dyDescent="0.25">
      <c r="A2880" t="str">
        <f t="shared" si="314"/>
        <v>CP147-NEW DONOR -2nd</v>
      </c>
      <c r="B2880" t="s">
        <v>382</v>
      </c>
      <c r="C2880" t="str">
        <f t="shared" si="308"/>
        <v>Shreveport</v>
      </c>
      <c r="D2880" t="str">
        <f t="shared" si="309"/>
        <v>Y</v>
      </c>
      <c r="E2880" t="s">
        <v>667</v>
      </c>
      <c r="F2880" t="str">
        <f t="shared" si="310"/>
        <v>NEW DONOR -2nd</v>
      </c>
      <c r="G2880" t="str">
        <f t="shared" si="311"/>
        <v>Marketing</v>
      </c>
      <c r="H2880" t="s">
        <v>556</v>
      </c>
      <c r="I2880">
        <f t="shared" si="312"/>
        <v>2</v>
      </c>
      <c r="J2880" t="s">
        <v>546</v>
      </c>
      <c r="K2880" s="5">
        <v>100</v>
      </c>
      <c r="L2880" t="str">
        <f>Table_DataFromNL[[#This Row],[PROFILECODE]]&amp;"-"&amp;Table_DataFromNL[[#This Row],[RULENAME]]</f>
        <v>CP147-New Donor 2nd Visit-Bonus</v>
      </c>
      <c r="M2880" t="str">
        <f t="shared" si="313"/>
        <v>CP147-NEW DONOR -2nd</v>
      </c>
    </row>
    <row r="2881" spans="1:13" x14ac:dyDescent="0.25">
      <c r="A2881" t="str">
        <f t="shared" si="314"/>
        <v>CP147-NEW DONOR -3rd</v>
      </c>
      <c r="B2881" t="s">
        <v>382</v>
      </c>
      <c r="C2881" t="str">
        <f t="shared" si="308"/>
        <v>Shreveport</v>
      </c>
      <c r="D2881" t="str">
        <f t="shared" si="309"/>
        <v>Y</v>
      </c>
      <c r="E2881" t="s">
        <v>667</v>
      </c>
      <c r="F2881" t="str">
        <f t="shared" si="310"/>
        <v>NEW DONOR -3rd</v>
      </c>
      <c r="G2881" t="str">
        <f t="shared" si="311"/>
        <v>Marketing</v>
      </c>
      <c r="H2881" t="s">
        <v>557</v>
      </c>
      <c r="I2881">
        <f t="shared" si="312"/>
        <v>3</v>
      </c>
      <c r="J2881" t="s">
        <v>546</v>
      </c>
      <c r="K2881" s="5">
        <v>100</v>
      </c>
      <c r="L2881" t="str">
        <f>Table_DataFromNL[[#This Row],[PROFILECODE]]&amp;"-"&amp;Table_DataFromNL[[#This Row],[RULENAME]]</f>
        <v>CP147-New Donor 3rd Visit-Bonus</v>
      </c>
      <c r="M2881" t="str">
        <f t="shared" si="313"/>
        <v>CP147-NEW DONOR -3rd</v>
      </c>
    </row>
    <row r="2882" spans="1:13" x14ac:dyDescent="0.25">
      <c r="A2882" t="str">
        <f t="shared" si="314"/>
        <v>CP147-NEW DONOR -4th</v>
      </c>
      <c r="B2882" t="s">
        <v>382</v>
      </c>
      <c r="C2882" t="str">
        <f t="shared" ref="C2882:C2945" si="315">VLOOKUP(B2882,CenterLU,2,FALSE)</f>
        <v>Shreveport</v>
      </c>
      <c r="D2882" t="str">
        <f t="shared" ref="D2882:D2945" si="316">VLOOKUP(B2882,CenterLU,3,FALSE)</f>
        <v>Y</v>
      </c>
      <c r="E2882" t="s">
        <v>667</v>
      </c>
      <c r="F2882" t="str">
        <f t="shared" ref="F2882:F2945" si="317">IF(VLOOKUP(H2882,RULENAMELU,3,FALSE)=0,H2882,VLOOKUP(H2882,RULENAMELU,3,FALSE))</f>
        <v>NEW DONOR -4th</v>
      </c>
      <c r="G2882" t="str">
        <f t="shared" ref="G2882:G2945" si="318">VLOOKUP(H2882,RULENAMELU,4,FALSE)</f>
        <v>Marketing</v>
      </c>
      <c r="H2882" t="s">
        <v>558</v>
      </c>
      <c r="I2882">
        <f t="shared" ref="I2882:I2945" si="319">VLOOKUP(H2882,RULENAMELU,5,FALSE)</f>
        <v>4</v>
      </c>
      <c r="J2882" t="s">
        <v>546</v>
      </c>
      <c r="K2882" s="5">
        <v>100</v>
      </c>
      <c r="L2882" t="str">
        <f>Table_DataFromNL[[#This Row],[PROFILECODE]]&amp;"-"&amp;Table_DataFromNL[[#This Row],[RULENAME]]</f>
        <v>CP147-New Donor 4th Visit-Bonus</v>
      </c>
      <c r="M2882" t="str">
        <f t="shared" ref="M2882:M2945" si="320">IFERROR(VLOOKUP(A2882,PaychangesLU,1,FALSE),VLOOKUP(A2882,SpecialtyCheckLU,1,FALSE))</f>
        <v>CP147-NEW DONOR -4th</v>
      </c>
    </row>
    <row r="2883" spans="1:13" x14ac:dyDescent="0.25">
      <c r="A2883" t="str">
        <f t="shared" ref="A2883:A2946" si="321">B2883&amp;"-"&amp;F2883</f>
        <v>CP147-NEW DONOR -5th</v>
      </c>
      <c r="B2883" t="s">
        <v>382</v>
      </c>
      <c r="C2883" t="str">
        <f t="shared" si="315"/>
        <v>Shreveport</v>
      </c>
      <c r="D2883" t="str">
        <f t="shared" si="316"/>
        <v>Y</v>
      </c>
      <c r="E2883" t="s">
        <v>667</v>
      </c>
      <c r="F2883" t="str">
        <f t="shared" si="317"/>
        <v>NEW DONOR -5th</v>
      </c>
      <c r="G2883" t="str">
        <f t="shared" si="318"/>
        <v>Marketing</v>
      </c>
      <c r="H2883" t="s">
        <v>559</v>
      </c>
      <c r="I2883">
        <f t="shared" si="319"/>
        <v>5</v>
      </c>
      <c r="J2883" t="s">
        <v>546</v>
      </c>
      <c r="K2883" s="5">
        <v>50</v>
      </c>
      <c r="L2883" t="str">
        <f>Table_DataFromNL[[#This Row],[PROFILECODE]]&amp;"-"&amp;Table_DataFromNL[[#This Row],[RULENAME]]</f>
        <v>CP147-New Donor 5th Visit-Bonus</v>
      </c>
      <c r="M2883" t="str">
        <f t="shared" si="320"/>
        <v>CP147-NEW DONOR -5th</v>
      </c>
    </row>
    <row r="2884" spans="1:13" x14ac:dyDescent="0.25">
      <c r="A2884" t="str">
        <f t="shared" si="321"/>
        <v>CP147-NEW DONOR -6th</v>
      </c>
      <c r="B2884" t="s">
        <v>382</v>
      </c>
      <c r="C2884" t="str">
        <f t="shared" si="315"/>
        <v>Shreveport</v>
      </c>
      <c r="D2884" t="str">
        <f t="shared" si="316"/>
        <v>Y</v>
      </c>
      <c r="E2884" t="s">
        <v>667</v>
      </c>
      <c r="F2884" t="str">
        <f t="shared" si="317"/>
        <v>NEW DONOR -6th</v>
      </c>
      <c r="G2884" t="str">
        <f t="shared" si="318"/>
        <v>Marketing</v>
      </c>
      <c r="H2884" t="s">
        <v>560</v>
      </c>
      <c r="I2884">
        <f t="shared" si="319"/>
        <v>6</v>
      </c>
      <c r="J2884" t="s">
        <v>546</v>
      </c>
      <c r="K2884" s="5">
        <v>50</v>
      </c>
      <c r="L2884" t="str">
        <f>Table_DataFromNL[[#This Row],[PROFILECODE]]&amp;"-"&amp;Table_DataFromNL[[#This Row],[RULENAME]]</f>
        <v>CP147-New Donor 6th Visit-Bonus</v>
      </c>
      <c r="M2884" t="str">
        <f t="shared" si="320"/>
        <v>CP147-NEW DONOR -6th</v>
      </c>
    </row>
    <row r="2885" spans="1:13" x14ac:dyDescent="0.25">
      <c r="A2885" t="str">
        <f t="shared" si="321"/>
        <v>CP147-NEW DONOR -7th</v>
      </c>
      <c r="B2885" t="s">
        <v>382</v>
      </c>
      <c r="C2885" t="str">
        <f t="shared" si="315"/>
        <v>Shreveport</v>
      </c>
      <c r="D2885" t="str">
        <f t="shared" si="316"/>
        <v>Y</v>
      </c>
      <c r="E2885" t="s">
        <v>667</v>
      </c>
      <c r="F2885" t="str">
        <f t="shared" si="317"/>
        <v>NEW DONOR -7th</v>
      </c>
      <c r="G2885" t="str">
        <f t="shared" si="318"/>
        <v>Marketing</v>
      </c>
      <c r="H2885" t="s">
        <v>561</v>
      </c>
      <c r="I2885">
        <f t="shared" si="319"/>
        <v>7</v>
      </c>
      <c r="J2885" t="s">
        <v>546</v>
      </c>
      <c r="K2885" s="5">
        <v>50</v>
      </c>
      <c r="L2885" t="str">
        <f>Table_DataFromNL[[#This Row],[PROFILECODE]]&amp;"-"&amp;Table_DataFromNL[[#This Row],[RULENAME]]</f>
        <v>CP147-New Donor 7th Visit-Bonus</v>
      </c>
      <c r="M2885" t="str">
        <f t="shared" si="320"/>
        <v>CP147-NEW DONOR -7th</v>
      </c>
    </row>
    <row r="2886" spans="1:13" x14ac:dyDescent="0.25">
      <c r="A2886" t="str">
        <f t="shared" si="321"/>
        <v>CP147-NEW DONOR -8th</v>
      </c>
      <c r="B2886" t="s">
        <v>382</v>
      </c>
      <c r="C2886" t="str">
        <f t="shared" si="315"/>
        <v>Shreveport</v>
      </c>
      <c r="D2886" t="str">
        <f t="shared" si="316"/>
        <v>Y</v>
      </c>
      <c r="E2886" t="s">
        <v>667</v>
      </c>
      <c r="F2886" t="str">
        <f t="shared" si="317"/>
        <v>NEW DONOR -8th</v>
      </c>
      <c r="G2886" t="str">
        <f t="shared" si="318"/>
        <v>Marketing</v>
      </c>
      <c r="H2886" t="s">
        <v>562</v>
      </c>
      <c r="I2886">
        <f t="shared" si="319"/>
        <v>8</v>
      </c>
      <c r="J2886" t="s">
        <v>546</v>
      </c>
      <c r="K2886" s="5">
        <v>50</v>
      </c>
      <c r="L2886" t="str">
        <f>Table_DataFromNL[[#This Row],[PROFILECODE]]&amp;"-"&amp;Table_DataFromNL[[#This Row],[RULENAME]]</f>
        <v>CP147-New Donor 8th Visit-Bonus</v>
      </c>
      <c r="M2886" t="str">
        <f t="shared" si="320"/>
        <v>CP147-NEW DONOR -8th</v>
      </c>
    </row>
    <row r="2887" spans="1:13" x14ac:dyDescent="0.25">
      <c r="A2887" t="str">
        <f t="shared" si="321"/>
        <v>CP147-Community</v>
      </c>
      <c r="B2887" t="s">
        <v>382</v>
      </c>
      <c r="C2887" t="str">
        <f t="shared" si="315"/>
        <v>Shreveport</v>
      </c>
      <c r="D2887" t="str">
        <f t="shared" si="316"/>
        <v>Y</v>
      </c>
      <c r="E2887" t="s">
        <v>667</v>
      </c>
      <c r="F2887" t="str">
        <f t="shared" si="317"/>
        <v>Community</v>
      </c>
      <c r="G2887">
        <f t="shared" si="318"/>
        <v>0</v>
      </c>
      <c r="H2887" t="s">
        <v>563</v>
      </c>
      <c r="I2887">
        <f t="shared" si="319"/>
        <v>0</v>
      </c>
      <c r="J2887" t="s">
        <v>564</v>
      </c>
      <c r="K2887" s="5">
        <v>5</v>
      </c>
      <c r="L2887" t="str">
        <f>Table_DataFromNL[[#This Row],[PROFILECODE]]&amp;"-"&amp;Table_DataFromNL[[#This Row],[RULENAME]]</f>
        <v>CP147-Community</v>
      </c>
      <c r="M2887" t="e">
        <f t="shared" si="320"/>
        <v>#N/A</v>
      </c>
    </row>
    <row r="2888" spans="1:13" x14ac:dyDescent="0.25">
      <c r="A2888" t="str">
        <f t="shared" si="321"/>
        <v>CP147-HANGER_RECRUIT_5USD_once</v>
      </c>
      <c r="B2888" t="s">
        <v>382</v>
      </c>
      <c r="C2888" t="str">
        <f t="shared" si="315"/>
        <v>Shreveport</v>
      </c>
      <c r="D2888" t="str">
        <f t="shared" si="316"/>
        <v>Y</v>
      </c>
      <c r="E2888" t="s">
        <v>667</v>
      </c>
      <c r="F2888" t="str">
        <f t="shared" si="317"/>
        <v>HANGER_RECRUIT_5USD_once</v>
      </c>
      <c r="G2888">
        <f t="shared" si="318"/>
        <v>0</v>
      </c>
      <c r="H2888" t="s">
        <v>565</v>
      </c>
      <c r="I2888">
        <f t="shared" si="319"/>
        <v>0</v>
      </c>
      <c r="J2888" t="s">
        <v>564</v>
      </c>
      <c r="K2888" s="5">
        <v>5</v>
      </c>
      <c r="L2888" t="str">
        <f>Table_DataFromNL[[#This Row],[PROFILECODE]]&amp;"-"&amp;Table_DataFromNL[[#This Row],[RULENAME]]</f>
        <v>CP147-HANGER_RECRUIT_5USD_once</v>
      </c>
      <c r="M2888" t="e">
        <f t="shared" si="320"/>
        <v>#N/A</v>
      </c>
    </row>
    <row r="2889" spans="1:13" x14ac:dyDescent="0.25">
      <c r="A2889" t="str">
        <f t="shared" si="321"/>
        <v>CP147-Immunization Boost Payment</v>
      </c>
      <c r="B2889" t="s">
        <v>382</v>
      </c>
      <c r="C2889" t="str">
        <f t="shared" si="315"/>
        <v>Shreveport</v>
      </c>
      <c r="D2889" t="str">
        <f t="shared" si="316"/>
        <v>Y</v>
      </c>
      <c r="E2889" t="s">
        <v>667</v>
      </c>
      <c r="F2889" t="str">
        <f t="shared" si="317"/>
        <v>Immunization Boost Payment</v>
      </c>
      <c r="G2889">
        <f t="shared" si="318"/>
        <v>0</v>
      </c>
      <c r="H2889" t="s">
        <v>598</v>
      </c>
      <c r="I2889">
        <f t="shared" si="319"/>
        <v>0</v>
      </c>
      <c r="J2889" t="s">
        <v>564</v>
      </c>
      <c r="K2889" s="5">
        <v>50</v>
      </c>
      <c r="L2889" t="str">
        <f>Table_DataFromNL[[#This Row],[PROFILECODE]]&amp;"-"&amp;Table_DataFromNL[[#This Row],[RULENAME]]</f>
        <v>CP147-Immunization Boost Payment</v>
      </c>
      <c r="M2889" t="e">
        <f t="shared" si="320"/>
        <v>#N/A</v>
      </c>
    </row>
    <row r="2890" spans="1:13" x14ac:dyDescent="0.25">
      <c r="A2890" t="str">
        <f t="shared" si="321"/>
        <v>CP147-Immunization Series Payment</v>
      </c>
      <c r="B2890" t="s">
        <v>382</v>
      </c>
      <c r="C2890" t="str">
        <f t="shared" si="315"/>
        <v>Shreveport</v>
      </c>
      <c r="D2890" t="str">
        <f t="shared" si="316"/>
        <v>Y</v>
      </c>
      <c r="E2890" t="s">
        <v>667</v>
      </c>
      <c r="F2890" t="str">
        <f t="shared" si="317"/>
        <v>Immunization Series Payment</v>
      </c>
      <c r="G2890">
        <f t="shared" si="318"/>
        <v>0</v>
      </c>
      <c r="H2890" t="s">
        <v>599</v>
      </c>
      <c r="I2890">
        <f t="shared" si="319"/>
        <v>0</v>
      </c>
      <c r="J2890" t="s">
        <v>564</v>
      </c>
      <c r="K2890" s="5">
        <v>100</v>
      </c>
      <c r="L2890" t="str">
        <f>Table_DataFromNL[[#This Row],[PROFILECODE]]&amp;"-"&amp;Table_DataFromNL[[#This Row],[RULENAME]]</f>
        <v>CP147-Immunization Series Payment</v>
      </c>
      <c r="M2890" t="e">
        <f t="shared" si="320"/>
        <v>#N/A</v>
      </c>
    </row>
    <row r="2891" spans="1:13" x14ac:dyDescent="0.25">
      <c r="A2891" t="str">
        <f t="shared" si="321"/>
        <v>CP147-Inconv Fee $20-$50-Comment Req'd</v>
      </c>
      <c r="B2891" t="s">
        <v>382</v>
      </c>
      <c r="C2891" t="str">
        <f t="shared" si="315"/>
        <v>Shreveport</v>
      </c>
      <c r="D2891" t="str">
        <f t="shared" si="316"/>
        <v>Y</v>
      </c>
      <c r="E2891" t="s">
        <v>667</v>
      </c>
      <c r="F2891" t="str">
        <f t="shared" si="317"/>
        <v>Inconv Fee $20-$50-Comment Req'd</v>
      </c>
      <c r="G2891">
        <f t="shared" si="318"/>
        <v>0</v>
      </c>
      <c r="H2891" t="s">
        <v>566</v>
      </c>
      <c r="I2891">
        <f t="shared" si="319"/>
        <v>0</v>
      </c>
      <c r="J2891" t="s">
        <v>564</v>
      </c>
      <c r="K2891" s="5">
        <v>50</v>
      </c>
      <c r="L2891" t="str">
        <f>Table_DataFromNL[[#This Row],[PROFILECODE]]&amp;"-"&amp;Table_DataFromNL[[#This Row],[RULENAME]]</f>
        <v>CP147-Inconv Fee $20-$50-Comment Req'd</v>
      </c>
      <c r="M2891" t="e">
        <f t="shared" si="320"/>
        <v>#N/A</v>
      </c>
    </row>
    <row r="2892" spans="1:13" x14ac:dyDescent="0.25">
      <c r="A2892" t="str">
        <f t="shared" si="321"/>
        <v>CP147-Inconv Fee $5-$20-Comment Req'd</v>
      </c>
      <c r="B2892" t="s">
        <v>382</v>
      </c>
      <c r="C2892" t="str">
        <f t="shared" si="315"/>
        <v>Shreveport</v>
      </c>
      <c r="D2892" t="str">
        <f t="shared" si="316"/>
        <v>Y</v>
      </c>
      <c r="E2892" t="s">
        <v>667</v>
      </c>
      <c r="F2892" t="str">
        <f t="shared" si="317"/>
        <v>Inconv Fee $5-$20-Comment Req'd</v>
      </c>
      <c r="G2892">
        <f t="shared" si="318"/>
        <v>0</v>
      </c>
      <c r="H2892" t="s">
        <v>567</v>
      </c>
      <c r="I2892">
        <f t="shared" si="319"/>
        <v>0</v>
      </c>
      <c r="J2892" t="s">
        <v>564</v>
      </c>
      <c r="K2892" s="5">
        <v>20</v>
      </c>
      <c r="L2892" t="str">
        <f>Table_DataFromNL[[#This Row],[PROFILECODE]]&amp;"-"&amp;Table_DataFromNL[[#This Row],[RULENAME]]</f>
        <v>CP147-Inconv Fee $5-$20-Comment Req'd</v>
      </c>
      <c r="M2892" t="e">
        <f t="shared" si="320"/>
        <v>#N/A</v>
      </c>
    </row>
    <row r="2893" spans="1:13" x14ac:dyDescent="0.25">
      <c r="A2893" t="str">
        <f t="shared" si="321"/>
        <v>CP147-Inconv Fee$50-$100-Comment Req'd</v>
      </c>
      <c r="B2893" t="s">
        <v>382</v>
      </c>
      <c r="C2893" t="str">
        <f t="shared" si="315"/>
        <v>Shreveport</v>
      </c>
      <c r="D2893" t="str">
        <f t="shared" si="316"/>
        <v>Y</v>
      </c>
      <c r="E2893" t="s">
        <v>667</v>
      </c>
      <c r="F2893" t="str">
        <f t="shared" si="317"/>
        <v>Inconv Fee$50-$100-Comment Req'd</v>
      </c>
      <c r="G2893">
        <f t="shared" si="318"/>
        <v>0</v>
      </c>
      <c r="H2893" t="s">
        <v>568</v>
      </c>
      <c r="I2893">
        <f t="shared" si="319"/>
        <v>0</v>
      </c>
      <c r="J2893" t="s">
        <v>564</v>
      </c>
      <c r="K2893" s="5">
        <v>100</v>
      </c>
      <c r="L2893" t="str">
        <f>Table_DataFromNL[[#This Row],[PROFILECODE]]&amp;"-"&amp;Table_DataFromNL[[#This Row],[RULENAME]]</f>
        <v>CP147-Inconv Fee$50-$100-Comment Req'd</v>
      </c>
      <c r="M2893" t="e">
        <f t="shared" si="320"/>
        <v>#N/A</v>
      </c>
    </row>
    <row r="2894" spans="1:13" x14ac:dyDescent="0.25">
      <c r="A2894" t="str">
        <f t="shared" si="321"/>
        <v>CP147-NSP_ LAPSEDONOR_50_Twice</v>
      </c>
      <c r="B2894" t="s">
        <v>382</v>
      </c>
      <c r="C2894" t="str">
        <f t="shared" si="315"/>
        <v>Shreveport</v>
      </c>
      <c r="D2894" t="str">
        <f t="shared" si="316"/>
        <v>Y</v>
      </c>
      <c r="E2894" t="s">
        <v>667</v>
      </c>
      <c r="F2894" t="str">
        <f t="shared" si="317"/>
        <v>NSP_ LAPSEDONOR_50_Twice</v>
      </c>
      <c r="G2894">
        <f t="shared" si="318"/>
        <v>0</v>
      </c>
      <c r="H2894" t="s">
        <v>569</v>
      </c>
      <c r="I2894">
        <f t="shared" si="319"/>
        <v>0</v>
      </c>
      <c r="J2894" t="s">
        <v>564</v>
      </c>
      <c r="K2894" s="5">
        <v>50</v>
      </c>
      <c r="L2894" t="str">
        <f>Table_DataFromNL[[#This Row],[PROFILECODE]]&amp;"-"&amp;Table_DataFromNL[[#This Row],[RULENAME]]</f>
        <v>CP147-NSP_ LAPSEDONOR_50_Twice</v>
      </c>
      <c r="M2894" t="e">
        <f t="shared" si="320"/>
        <v>#N/A</v>
      </c>
    </row>
    <row r="2895" spans="1:13" x14ac:dyDescent="0.25">
      <c r="A2895" t="str">
        <f t="shared" si="321"/>
        <v>CP147-NSP_LD_25_2X</v>
      </c>
      <c r="B2895" t="s">
        <v>382</v>
      </c>
      <c r="C2895" t="str">
        <f t="shared" si="315"/>
        <v>Shreveport</v>
      </c>
      <c r="D2895" t="str">
        <f t="shared" si="316"/>
        <v>Y</v>
      </c>
      <c r="E2895" t="s">
        <v>667</v>
      </c>
      <c r="F2895" t="str">
        <f t="shared" si="317"/>
        <v>NSP_LD_25_2X</v>
      </c>
      <c r="G2895">
        <f t="shared" si="318"/>
        <v>0</v>
      </c>
      <c r="H2895" t="s">
        <v>570</v>
      </c>
      <c r="I2895">
        <f t="shared" si="319"/>
        <v>0</v>
      </c>
      <c r="J2895" t="s">
        <v>564</v>
      </c>
      <c r="K2895" s="5">
        <v>25</v>
      </c>
      <c r="L2895" t="str">
        <f>Table_DataFromNL[[#This Row],[PROFILECODE]]&amp;"-"&amp;Table_DataFromNL[[#This Row],[RULENAME]]</f>
        <v>CP147-NSP_LD_25_2X</v>
      </c>
      <c r="M2895" t="e">
        <f t="shared" si="320"/>
        <v>#N/A</v>
      </c>
    </row>
    <row r="2896" spans="1:13" x14ac:dyDescent="0.25">
      <c r="A2896" t="str">
        <f t="shared" si="321"/>
        <v>CP147-NSP_LD_50_1X</v>
      </c>
      <c r="B2896" t="s">
        <v>382</v>
      </c>
      <c r="C2896" t="str">
        <f t="shared" si="315"/>
        <v>Shreveport</v>
      </c>
      <c r="D2896" t="str">
        <f t="shared" si="316"/>
        <v>Y</v>
      </c>
      <c r="E2896" t="s">
        <v>667</v>
      </c>
      <c r="F2896" t="str">
        <f t="shared" si="317"/>
        <v>NSP_LD_50_1X</v>
      </c>
      <c r="G2896">
        <f t="shared" si="318"/>
        <v>0</v>
      </c>
      <c r="H2896" t="s">
        <v>571</v>
      </c>
      <c r="I2896">
        <f t="shared" si="319"/>
        <v>0</v>
      </c>
      <c r="J2896" t="s">
        <v>564</v>
      </c>
      <c r="K2896" s="5">
        <v>50</v>
      </c>
      <c r="L2896" t="str">
        <f>Table_DataFromNL[[#This Row],[PROFILECODE]]&amp;"-"&amp;Table_DataFromNL[[#This Row],[RULENAME]]</f>
        <v>CP147-NSP_LD_50_1X</v>
      </c>
      <c r="M2896" t="e">
        <f t="shared" si="320"/>
        <v>#N/A</v>
      </c>
    </row>
    <row r="2897" spans="1:13" x14ac:dyDescent="0.25">
      <c r="A2897" t="str">
        <f t="shared" si="321"/>
        <v>CP147-NSP_ORPHAN_100_once</v>
      </c>
      <c r="B2897" t="s">
        <v>382</v>
      </c>
      <c r="C2897" t="str">
        <f t="shared" si="315"/>
        <v>Shreveport</v>
      </c>
      <c r="D2897" t="str">
        <f t="shared" si="316"/>
        <v>Y</v>
      </c>
      <c r="E2897" t="s">
        <v>667</v>
      </c>
      <c r="F2897" t="str">
        <f t="shared" si="317"/>
        <v>NSP_ORPHAN_100_once</v>
      </c>
      <c r="G2897">
        <f t="shared" si="318"/>
        <v>0</v>
      </c>
      <c r="H2897" t="s">
        <v>572</v>
      </c>
      <c r="I2897">
        <f t="shared" si="319"/>
        <v>0</v>
      </c>
      <c r="J2897" t="s">
        <v>564</v>
      </c>
      <c r="K2897" s="5">
        <v>100</v>
      </c>
      <c r="L2897" t="str">
        <f>Table_DataFromNL[[#This Row],[PROFILECODE]]&amp;"-"&amp;Table_DataFromNL[[#This Row],[RULENAME]]</f>
        <v>CP147-NSP_ORPHAN_100_once</v>
      </c>
      <c r="M2897" t="e">
        <f t="shared" si="320"/>
        <v>#N/A</v>
      </c>
    </row>
    <row r="2898" spans="1:13" x14ac:dyDescent="0.25">
      <c r="A2898" t="str">
        <f t="shared" si="321"/>
        <v>CP147-Restick</v>
      </c>
      <c r="B2898" t="s">
        <v>382</v>
      </c>
      <c r="C2898" t="str">
        <f t="shared" si="315"/>
        <v>Shreveport</v>
      </c>
      <c r="D2898" t="str">
        <f t="shared" si="316"/>
        <v>Y</v>
      </c>
      <c r="E2898" t="s">
        <v>667</v>
      </c>
      <c r="F2898" t="str">
        <f t="shared" si="317"/>
        <v>Restick</v>
      </c>
      <c r="G2898">
        <f t="shared" si="318"/>
        <v>0</v>
      </c>
      <c r="H2898" t="s">
        <v>573</v>
      </c>
      <c r="I2898">
        <f t="shared" si="319"/>
        <v>0</v>
      </c>
      <c r="J2898" t="s">
        <v>564</v>
      </c>
      <c r="K2898" s="5">
        <v>5</v>
      </c>
      <c r="L2898" t="str">
        <f>Table_DataFromNL[[#This Row],[PROFILECODE]]&amp;"-"&amp;Table_DataFromNL[[#This Row],[RULENAME]]</f>
        <v>CP147-Restick</v>
      </c>
      <c r="M2898" t="e">
        <f t="shared" si="320"/>
        <v>#N/A</v>
      </c>
    </row>
    <row r="2899" spans="1:13" x14ac:dyDescent="0.25">
      <c r="A2899" t="str">
        <f t="shared" si="321"/>
        <v>CP147-SLOW_TEXT_5</v>
      </c>
      <c r="B2899" t="s">
        <v>382</v>
      </c>
      <c r="C2899" t="str">
        <f t="shared" si="315"/>
        <v>Shreveport</v>
      </c>
      <c r="D2899" t="str">
        <f t="shared" si="316"/>
        <v>Y</v>
      </c>
      <c r="E2899" t="s">
        <v>667</v>
      </c>
      <c r="F2899" t="str">
        <f t="shared" si="317"/>
        <v>SLOW_TEXT_5</v>
      </c>
      <c r="G2899">
        <f t="shared" si="318"/>
        <v>0</v>
      </c>
      <c r="H2899" t="s">
        <v>574</v>
      </c>
      <c r="I2899">
        <f t="shared" si="319"/>
        <v>0</v>
      </c>
      <c r="J2899" t="s">
        <v>564</v>
      </c>
      <c r="K2899" s="5">
        <v>5</v>
      </c>
      <c r="L2899" t="str">
        <f>Table_DataFromNL[[#This Row],[PROFILECODE]]&amp;"-"&amp;Table_DataFromNL[[#This Row],[RULENAME]]</f>
        <v>CP147-SLOW_TEXT_5</v>
      </c>
      <c r="M2899" t="e">
        <f t="shared" si="320"/>
        <v>#N/A</v>
      </c>
    </row>
    <row r="2900" spans="1:13" x14ac:dyDescent="0.25">
      <c r="A2900" t="str">
        <f t="shared" si="321"/>
        <v>CP147-Sample Only</v>
      </c>
      <c r="B2900" t="s">
        <v>382</v>
      </c>
      <c r="C2900" t="str">
        <f t="shared" si="315"/>
        <v>Shreveport</v>
      </c>
      <c r="D2900" t="str">
        <f t="shared" si="316"/>
        <v>Y</v>
      </c>
      <c r="E2900" t="s">
        <v>667</v>
      </c>
      <c r="F2900" t="str">
        <f t="shared" si="317"/>
        <v>Sample Only</v>
      </c>
      <c r="G2900">
        <f t="shared" si="318"/>
        <v>0</v>
      </c>
      <c r="H2900" t="s">
        <v>575</v>
      </c>
      <c r="I2900">
        <f t="shared" si="319"/>
        <v>0</v>
      </c>
      <c r="J2900" t="s">
        <v>564</v>
      </c>
      <c r="K2900" s="5">
        <v>5</v>
      </c>
      <c r="L2900" t="str">
        <f>Table_DataFromNL[[#This Row],[PROFILECODE]]&amp;"-"&amp;Table_DataFromNL[[#This Row],[RULENAME]]</f>
        <v>CP147-Sample Only</v>
      </c>
      <c r="M2900" t="e">
        <f t="shared" si="320"/>
        <v>#N/A</v>
      </c>
    </row>
    <row r="2901" spans="1:13" x14ac:dyDescent="0.25">
      <c r="A2901" t="str">
        <f t="shared" si="321"/>
        <v>CP147-Unit Below 250 mL</v>
      </c>
      <c r="B2901" t="s">
        <v>382</v>
      </c>
      <c r="C2901" t="str">
        <f t="shared" si="315"/>
        <v>Shreveport</v>
      </c>
      <c r="D2901" t="str">
        <f t="shared" si="316"/>
        <v>Y</v>
      </c>
      <c r="E2901" t="s">
        <v>667</v>
      </c>
      <c r="F2901" t="str">
        <f t="shared" si="317"/>
        <v>Unit Below 250 mL</v>
      </c>
      <c r="G2901">
        <f t="shared" si="318"/>
        <v>0</v>
      </c>
      <c r="H2901" t="s">
        <v>576</v>
      </c>
      <c r="I2901">
        <f t="shared" si="319"/>
        <v>0</v>
      </c>
      <c r="J2901" t="s">
        <v>564</v>
      </c>
      <c r="K2901" s="5">
        <v>5</v>
      </c>
      <c r="L2901" t="str">
        <f>Table_DataFromNL[[#This Row],[PROFILECODE]]&amp;"-"&amp;Table_DataFromNL[[#This Row],[RULENAME]]</f>
        <v>CP147-Unit Below 250 mL</v>
      </c>
      <c r="M2901" t="e">
        <f t="shared" si="320"/>
        <v>#N/A</v>
      </c>
    </row>
    <row r="2902" spans="1:13" x14ac:dyDescent="0.25">
      <c r="A2902" t="str">
        <f t="shared" si="321"/>
        <v>CP147-Unit above 250 mL/underdraw</v>
      </c>
      <c r="B2902" t="s">
        <v>382</v>
      </c>
      <c r="C2902" t="str">
        <f t="shared" si="315"/>
        <v>Shreveport</v>
      </c>
      <c r="D2902" t="str">
        <f t="shared" si="316"/>
        <v>Y</v>
      </c>
      <c r="E2902" t="s">
        <v>667</v>
      </c>
      <c r="F2902" t="str">
        <f t="shared" si="317"/>
        <v>Unit above 250 mL/underdraw</v>
      </c>
      <c r="G2902">
        <f t="shared" si="318"/>
        <v>0</v>
      </c>
      <c r="H2902" t="s">
        <v>577</v>
      </c>
      <c r="I2902">
        <f t="shared" si="319"/>
        <v>0</v>
      </c>
      <c r="J2902" t="s">
        <v>564</v>
      </c>
      <c r="K2902" s="5">
        <v>10</v>
      </c>
      <c r="L2902" t="str">
        <f>Table_DataFromNL[[#This Row],[PROFILECODE]]&amp;"-"&amp;Table_DataFromNL[[#This Row],[RULENAME]]</f>
        <v>CP147-Unit above 250 mL/underdraw</v>
      </c>
      <c r="M2902" t="e">
        <f t="shared" si="320"/>
        <v>#N/A</v>
      </c>
    </row>
    <row r="2903" spans="1:13" x14ac:dyDescent="0.25">
      <c r="A2903" t="str">
        <f t="shared" si="321"/>
        <v>CP147-RETURN - Buddy referral  -BONUS</v>
      </c>
      <c r="B2903" t="s">
        <v>382</v>
      </c>
      <c r="C2903" t="str">
        <f t="shared" si="315"/>
        <v>Shreveport</v>
      </c>
      <c r="D2903" t="str">
        <f t="shared" si="316"/>
        <v>Y</v>
      </c>
      <c r="E2903" t="s">
        <v>667</v>
      </c>
      <c r="F2903" t="str">
        <f t="shared" si="317"/>
        <v>RETURN - Buddy referral  -BONUS</v>
      </c>
      <c r="G2903" t="str">
        <f t="shared" si="318"/>
        <v>Marketing</v>
      </c>
      <c r="H2903" t="s">
        <v>34</v>
      </c>
      <c r="I2903">
        <f t="shared" si="319"/>
        <v>50</v>
      </c>
      <c r="J2903" t="s">
        <v>578</v>
      </c>
      <c r="K2903" s="5">
        <v>50</v>
      </c>
      <c r="L2903" t="str">
        <f>Table_DataFromNL[[#This Row],[PROFILECODE]]&amp;"-"&amp;Table_DataFromNL[[#This Row],[RULENAME]]</f>
        <v>CP147-Referral</v>
      </c>
      <c r="M2903" t="str">
        <f t="shared" si="320"/>
        <v>CP147-RETURN - Buddy referral  -BONUS</v>
      </c>
    </row>
    <row r="2904" spans="1:13" x14ac:dyDescent="0.25">
      <c r="A2904" t="str">
        <f t="shared" si="321"/>
        <v>CP147-P Anti-D Pre-Existing Standard</v>
      </c>
      <c r="B2904" t="s">
        <v>382</v>
      </c>
      <c r="C2904" t="str">
        <f t="shared" si="315"/>
        <v>Shreveport</v>
      </c>
      <c r="D2904" t="str">
        <f t="shared" si="316"/>
        <v>Y</v>
      </c>
      <c r="E2904" t="s">
        <v>667</v>
      </c>
      <c r="F2904" t="str">
        <f t="shared" si="317"/>
        <v>P Anti-D Pre-Existing Standard</v>
      </c>
      <c r="G2904" t="str">
        <f t="shared" si="318"/>
        <v>Specialty</v>
      </c>
      <c r="H2904" t="s">
        <v>469</v>
      </c>
      <c r="I2904" t="str">
        <f t="shared" si="319"/>
        <v>RETURN - 1st don of the week -STD</v>
      </c>
      <c r="J2904" t="s">
        <v>579</v>
      </c>
      <c r="K2904" s="5">
        <v>50</v>
      </c>
      <c r="L2904" t="str">
        <f>Table_DataFromNL[[#This Row],[PROFILECODE]]&amp;"-"&amp;Table_DataFromNL[[#This Row],[RULENAME]]</f>
        <v>CP147-P Anti-D Pre-Existing Standard</v>
      </c>
      <c r="M2904" t="str">
        <f t="shared" si="320"/>
        <v>CP147-P Anti-D Pre-Existing Standard</v>
      </c>
    </row>
    <row r="2905" spans="1:13" x14ac:dyDescent="0.25">
      <c r="A2905" t="str">
        <f t="shared" si="321"/>
        <v>CP147-P CMV Standard</v>
      </c>
      <c r="B2905" t="s">
        <v>382</v>
      </c>
      <c r="C2905" t="str">
        <f t="shared" si="315"/>
        <v>Shreveport</v>
      </c>
      <c r="D2905" t="str">
        <f t="shared" si="316"/>
        <v>Y</v>
      </c>
      <c r="E2905" t="s">
        <v>667</v>
      </c>
      <c r="F2905" t="str">
        <f t="shared" si="317"/>
        <v>P CMV Standard</v>
      </c>
      <c r="G2905" t="str">
        <f t="shared" si="318"/>
        <v>Specialty</v>
      </c>
      <c r="H2905" t="s">
        <v>501</v>
      </c>
      <c r="I2905" t="str">
        <f t="shared" si="319"/>
        <v>RETURN - 1st don of the week -STD</v>
      </c>
      <c r="J2905" t="s">
        <v>579</v>
      </c>
      <c r="K2905" s="5">
        <v>55</v>
      </c>
      <c r="L2905" t="str">
        <f>Table_DataFromNL[[#This Row],[PROFILECODE]]&amp;"-"&amp;Table_DataFromNL[[#This Row],[RULENAME]]</f>
        <v>CP147-P CMV Standard</v>
      </c>
      <c r="M2905" t="str">
        <f t="shared" si="320"/>
        <v>CP147-P CMV Standard</v>
      </c>
    </row>
    <row r="2906" spans="1:13" x14ac:dyDescent="0.25">
      <c r="A2906" t="str">
        <f t="shared" si="321"/>
        <v>CP147-RETURN - 1st don of the week -STD</v>
      </c>
      <c r="B2906" t="s">
        <v>382</v>
      </c>
      <c r="C2906" t="str">
        <f t="shared" si="315"/>
        <v>Shreveport</v>
      </c>
      <c r="D2906" t="str">
        <f t="shared" si="316"/>
        <v>Y</v>
      </c>
      <c r="E2906" t="s">
        <v>667</v>
      </c>
      <c r="F2906" t="str">
        <f t="shared" si="317"/>
        <v>RETURN - 1st don of the week -STD</v>
      </c>
      <c r="G2906" t="str">
        <f t="shared" si="318"/>
        <v>Marketing</v>
      </c>
      <c r="H2906" t="s">
        <v>583</v>
      </c>
      <c r="I2906">
        <f t="shared" si="319"/>
        <v>22</v>
      </c>
      <c r="J2906" t="s">
        <v>579</v>
      </c>
      <c r="K2906" s="5">
        <v>50</v>
      </c>
      <c r="L2906" t="str">
        <f>Table_DataFromNL[[#This Row],[PROFILECODE]]&amp;"-"&amp;Table_DataFromNL[[#This Row],[RULENAME]]</f>
        <v>CP147-P NSP NS AP Standard</v>
      </c>
      <c r="M2906" t="str">
        <f t="shared" si="320"/>
        <v>CP147-RETURN - 1st don of the week -STD</v>
      </c>
    </row>
    <row r="2907" spans="1:13" x14ac:dyDescent="0.25">
      <c r="A2907" t="str">
        <f t="shared" si="321"/>
        <v>CP147-RETURN - 1st don of the week -STD</v>
      </c>
      <c r="B2907" t="s">
        <v>382</v>
      </c>
      <c r="C2907" t="str">
        <f t="shared" si="315"/>
        <v>Shreveport</v>
      </c>
      <c r="D2907" t="str">
        <f t="shared" si="316"/>
        <v>Y</v>
      </c>
      <c r="E2907" t="s">
        <v>667</v>
      </c>
      <c r="F2907" t="str">
        <f t="shared" si="317"/>
        <v>RETURN - 1st don of the week -STD</v>
      </c>
      <c r="G2907" t="str">
        <f t="shared" si="318"/>
        <v>Marketing</v>
      </c>
      <c r="H2907" t="s">
        <v>584</v>
      </c>
      <c r="I2907">
        <f t="shared" si="319"/>
        <v>23</v>
      </c>
      <c r="J2907" t="s">
        <v>579</v>
      </c>
      <c r="K2907" s="5">
        <v>50</v>
      </c>
      <c r="L2907" t="str">
        <f>Table_DataFromNL[[#This Row],[PROFILECODE]]&amp;"-"&amp;Table_DataFromNL[[#This Row],[RULENAME]]</f>
        <v>CP147-P NSP NS Standard</v>
      </c>
      <c r="M2907" t="str">
        <f t="shared" si="320"/>
        <v>CP147-RETURN - 1st don of the week -STD</v>
      </c>
    </row>
    <row r="2908" spans="1:13" x14ac:dyDescent="0.25">
      <c r="A2908" t="str">
        <f t="shared" si="321"/>
        <v>CP953-1st Responder-Medical</v>
      </c>
      <c r="B2908" t="s">
        <v>313</v>
      </c>
      <c r="C2908" t="str">
        <f t="shared" si="315"/>
        <v>Slidell</v>
      </c>
      <c r="D2908" t="str">
        <f t="shared" si="316"/>
        <v>Y</v>
      </c>
      <c r="E2908" t="s">
        <v>668</v>
      </c>
      <c r="F2908" t="str">
        <f t="shared" si="317"/>
        <v>1st Responder-Medical</v>
      </c>
      <c r="G2908">
        <f t="shared" si="318"/>
        <v>0</v>
      </c>
      <c r="H2908" t="s">
        <v>545</v>
      </c>
      <c r="I2908">
        <f t="shared" si="319"/>
        <v>0</v>
      </c>
      <c r="J2908" t="s">
        <v>546</v>
      </c>
      <c r="K2908" s="5">
        <v>5</v>
      </c>
      <c r="L2908" t="str">
        <f>Table_DataFromNL[[#This Row],[PROFILECODE]]&amp;"-"&amp;Table_DataFromNL[[#This Row],[RULENAME]]</f>
        <v>CP953-1st Responder-Medical</v>
      </c>
      <c r="M2908" t="e">
        <f t="shared" si="320"/>
        <v>#N/A</v>
      </c>
    </row>
    <row r="2909" spans="1:13" x14ac:dyDescent="0.25">
      <c r="A2909" t="str">
        <f t="shared" si="321"/>
        <v>CP953-RETURN - 2nd don of the week -BONUS</v>
      </c>
      <c r="B2909" t="s">
        <v>313</v>
      </c>
      <c r="C2909" t="str">
        <f t="shared" si="315"/>
        <v>Slidell</v>
      </c>
      <c r="D2909" t="str">
        <f t="shared" si="316"/>
        <v>Y</v>
      </c>
      <c r="E2909" t="s">
        <v>668</v>
      </c>
      <c r="F2909" t="str">
        <f t="shared" si="317"/>
        <v>RETURN - 2nd don of the week -BONUS</v>
      </c>
      <c r="G2909" t="str">
        <f t="shared" si="318"/>
        <v>Marketing</v>
      </c>
      <c r="H2909" t="s">
        <v>550</v>
      </c>
      <c r="I2909">
        <f t="shared" si="319"/>
        <v>26</v>
      </c>
      <c r="J2909" t="s">
        <v>546</v>
      </c>
      <c r="K2909" s="5">
        <v>35</v>
      </c>
      <c r="L2909" t="str">
        <f>Table_DataFromNL[[#This Row],[PROFILECODE]]&amp;"-"&amp;Table_DataFromNL[[#This Row],[RULENAME]]</f>
        <v>CP953-2X Week P NSP NS</v>
      </c>
      <c r="M2909" t="str">
        <f t="shared" si="320"/>
        <v>CP953-RETURN - 2nd don of the week -BONUS</v>
      </c>
    </row>
    <row r="2910" spans="1:13" x14ac:dyDescent="0.25">
      <c r="A2910" t="str">
        <f t="shared" si="321"/>
        <v>CP953-RETURN - 2nd don of the week -BONUS</v>
      </c>
      <c r="B2910" t="s">
        <v>313</v>
      </c>
      <c r="C2910" t="str">
        <f t="shared" si="315"/>
        <v>Slidell</v>
      </c>
      <c r="D2910" t="str">
        <f t="shared" si="316"/>
        <v>Y</v>
      </c>
      <c r="E2910" t="s">
        <v>668</v>
      </c>
      <c r="F2910" t="str">
        <f t="shared" si="317"/>
        <v>RETURN - 2nd don of the week -BONUS</v>
      </c>
      <c r="G2910" t="str">
        <f t="shared" si="318"/>
        <v>Marketing</v>
      </c>
      <c r="H2910" t="s">
        <v>551</v>
      </c>
      <c r="I2910" t="str">
        <f t="shared" si="319"/>
        <v>RETURN - 2nd don of the week -BONUS</v>
      </c>
      <c r="J2910" t="s">
        <v>546</v>
      </c>
      <c r="K2910" s="5">
        <v>35</v>
      </c>
      <c r="L2910" t="str">
        <f>Table_DataFromNL[[#This Row],[PROFILECODE]]&amp;"-"&amp;Table_DataFromNL[[#This Row],[RULENAME]]</f>
        <v>CP953-2X Week P NSP NS AP</v>
      </c>
      <c r="M2910" t="str">
        <f t="shared" si="320"/>
        <v>CP953-RETURN - 2nd don of the week -BONUS</v>
      </c>
    </row>
    <row r="2911" spans="1:13" x14ac:dyDescent="0.25">
      <c r="A2911" t="str">
        <f t="shared" si="321"/>
        <v>CP953-College ID Standard Bonus</v>
      </c>
      <c r="B2911" t="s">
        <v>313</v>
      </c>
      <c r="C2911" t="str">
        <f t="shared" si="315"/>
        <v>Slidell</v>
      </c>
      <c r="D2911" t="str">
        <f t="shared" si="316"/>
        <v>Y</v>
      </c>
      <c r="E2911" t="s">
        <v>668</v>
      </c>
      <c r="F2911" t="str">
        <f t="shared" si="317"/>
        <v>College ID Standard Bonus</v>
      </c>
      <c r="G2911">
        <f t="shared" si="318"/>
        <v>0</v>
      </c>
      <c r="H2911" t="s">
        <v>553</v>
      </c>
      <c r="I2911">
        <f t="shared" si="319"/>
        <v>0</v>
      </c>
      <c r="J2911" t="s">
        <v>546</v>
      </c>
      <c r="K2911" s="5">
        <v>5</v>
      </c>
      <c r="L2911" t="str">
        <f>Table_DataFromNL[[#This Row],[PROFILECODE]]&amp;"-"&amp;Table_DataFromNL[[#This Row],[RULENAME]]</f>
        <v>CP953-College ID Standard Bonus</v>
      </c>
      <c r="M2911" t="e">
        <f t="shared" si="320"/>
        <v>#N/A</v>
      </c>
    </row>
    <row r="2912" spans="1:13" x14ac:dyDescent="0.25">
      <c r="A2912" t="str">
        <f t="shared" si="321"/>
        <v>CP953-Military ID</v>
      </c>
      <c r="B2912" t="s">
        <v>313</v>
      </c>
      <c r="C2912" t="str">
        <f t="shared" si="315"/>
        <v>Slidell</v>
      </c>
      <c r="D2912" t="str">
        <f t="shared" si="316"/>
        <v>Y</v>
      </c>
      <c r="E2912" t="s">
        <v>668</v>
      </c>
      <c r="F2912" t="str">
        <f t="shared" si="317"/>
        <v>Military ID</v>
      </c>
      <c r="G2912">
        <f t="shared" si="318"/>
        <v>0</v>
      </c>
      <c r="H2912" t="s">
        <v>554</v>
      </c>
      <c r="I2912">
        <f t="shared" si="319"/>
        <v>0</v>
      </c>
      <c r="J2912" t="s">
        <v>546</v>
      </c>
      <c r="K2912" s="5">
        <v>5</v>
      </c>
      <c r="L2912" t="str">
        <f>Table_DataFromNL[[#This Row],[PROFILECODE]]&amp;"-"&amp;Table_DataFromNL[[#This Row],[RULENAME]]</f>
        <v>CP953-Military ID</v>
      </c>
      <c r="M2912" t="e">
        <f t="shared" si="320"/>
        <v>#N/A</v>
      </c>
    </row>
    <row r="2913" spans="1:13" x14ac:dyDescent="0.25">
      <c r="A2913" t="str">
        <f t="shared" si="321"/>
        <v>CP953-NEW DONOR -1st</v>
      </c>
      <c r="B2913" t="s">
        <v>313</v>
      </c>
      <c r="C2913" t="str">
        <f t="shared" si="315"/>
        <v>Slidell</v>
      </c>
      <c r="D2913" t="str">
        <f t="shared" si="316"/>
        <v>Y</v>
      </c>
      <c r="E2913" t="s">
        <v>668</v>
      </c>
      <c r="F2913" t="str">
        <f t="shared" si="317"/>
        <v>NEW DONOR -1st</v>
      </c>
      <c r="G2913" t="str">
        <f t="shared" si="318"/>
        <v>Marketing</v>
      </c>
      <c r="H2913" t="s">
        <v>555</v>
      </c>
      <c r="I2913">
        <f t="shared" si="319"/>
        <v>1</v>
      </c>
      <c r="J2913" t="s">
        <v>546</v>
      </c>
      <c r="K2913" s="5">
        <v>100</v>
      </c>
      <c r="L2913" t="str">
        <f>Table_DataFromNL[[#This Row],[PROFILECODE]]&amp;"-"&amp;Table_DataFromNL[[#This Row],[RULENAME]]</f>
        <v>CP953-New Donor 1st Visit-Bonus</v>
      </c>
      <c r="M2913" t="str">
        <f t="shared" si="320"/>
        <v>CP953-NEW DONOR -1st</v>
      </c>
    </row>
    <row r="2914" spans="1:13" x14ac:dyDescent="0.25">
      <c r="A2914" t="str">
        <f t="shared" si="321"/>
        <v>CP953-NEW DONOR -2nd</v>
      </c>
      <c r="B2914" t="s">
        <v>313</v>
      </c>
      <c r="C2914" t="str">
        <f t="shared" si="315"/>
        <v>Slidell</v>
      </c>
      <c r="D2914" t="str">
        <f t="shared" si="316"/>
        <v>Y</v>
      </c>
      <c r="E2914" t="s">
        <v>668</v>
      </c>
      <c r="F2914" t="str">
        <f t="shared" si="317"/>
        <v>NEW DONOR -2nd</v>
      </c>
      <c r="G2914" t="str">
        <f t="shared" si="318"/>
        <v>Marketing</v>
      </c>
      <c r="H2914" t="s">
        <v>556</v>
      </c>
      <c r="I2914">
        <f t="shared" si="319"/>
        <v>2</v>
      </c>
      <c r="J2914" t="s">
        <v>546</v>
      </c>
      <c r="K2914" s="5">
        <v>100</v>
      </c>
      <c r="L2914" t="str">
        <f>Table_DataFromNL[[#This Row],[PROFILECODE]]&amp;"-"&amp;Table_DataFromNL[[#This Row],[RULENAME]]</f>
        <v>CP953-New Donor 2nd Visit-Bonus</v>
      </c>
      <c r="M2914" t="str">
        <f t="shared" si="320"/>
        <v>CP953-NEW DONOR -2nd</v>
      </c>
    </row>
    <row r="2915" spans="1:13" x14ac:dyDescent="0.25">
      <c r="A2915" t="str">
        <f t="shared" si="321"/>
        <v>CP953-NEW DONOR -3rd</v>
      </c>
      <c r="B2915" t="s">
        <v>313</v>
      </c>
      <c r="C2915" t="str">
        <f t="shared" si="315"/>
        <v>Slidell</v>
      </c>
      <c r="D2915" t="str">
        <f t="shared" si="316"/>
        <v>Y</v>
      </c>
      <c r="E2915" t="s">
        <v>668</v>
      </c>
      <c r="F2915" t="str">
        <f t="shared" si="317"/>
        <v>NEW DONOR -3rd</v>
      </c>
      <c r="G2915" t="str">
        <f t="shared" si="318"/>
        <v>Marketing</v>
      </c>
      <c r="H2915" t="s">
        <v>557</v>
      </c>
      <c r="I2915">
        <f t="shared" si="319"/>
        <v>3</v>
      </c>
      <c r="J2915" t="s">
        <v>546</v>
      </c>
      <c r="K2915" s="5">
        <v>100</v>
      </c>
      <c r="L2915" t="str">
        <f>Table_DataFromNL[[#This Row],[PROFILECODE]]&amp;"-"&amp;Table_DataFromNL[[#This Row],[RULENAME]]</f>
        <v>CP953-New Donor 3rd Visit-Bonus</v>
      </c>
      <c r="M2915" t="str">
        <f t="shared" si="320"/>
        <v>CP953-NEW DONOR -3rd</v>
      </c>
    </row>
    <row r="2916" spans="1:13" x14ac:dyDescent="0.25">
      <c r="A2916" t="str">
        <f t="shared" si="321"/>
        <v>CP953-NEW DONOR -4th</v>
      </c>
      <c r="B2916" t="s">
        <v>313</v>
      </c>
      <c r="C2916" t="str">
        <f t="shared" si="315"/>
        <v>Slidell</v>
      </c>
      <c r="D2916" t="str">
        <f t="shared" si="316"/>
        <v>Y</v>
      </c>
      <c r="E2916" t="s">
        <v>668</v>
      </c>
      <c r="F2916" t="str">
        <f t="shared" si="317"/>
        <v>NEW DONOR -4th</v>
      </c>
      <c r="G2916" t="str">
        <f t="shared" si="318"/>
        <v>Marketing</v>
      </c>
      <c r="H2916" t="s">
        <v>558</v>
      </c>
      <c r="I2916">
        <f t="shared" si="319"/>
        <v>4</v>
      </c>
      <c r="J2916" t="s">
        <v>546</v>
      </c>
      <c r="K2916" s="5">
        <v>100</v>
      </c>
      <c r="L2916" t="str">
        <f>Table_DataFromNL[[#This Row],[PROFILECODE]]&amp;"-"&amp;Table_DataFromNL[[#This Row],[RULENAME]]</f>
        <v>CP953-New Donor 4th Visit-Bonus</v>
      </c>
      <c r="M2916" t="str">
        <f t="shared" si="320"/>
        <v>CP953-NEW DONOR -4th</v>
      </c>
    </row>
    <row r="2917" spans="1:13" x14ac:dyDescent="0.25">
      <c r="A2917" t="str">
        <f t="shared" si="321"/>
        <v>CP953-NEW DONOR -5th</v>
      </c>
      <c r="B2917" t="s">
        <v>313</v>
      </c>
      <c r="C2917" t="str">
        <f t="shared" si="315"/>
        <v>Slidell</v>
      </c>
      <c r="D2917" t="str">
        <f t="shared" si="316"/>
        <v>Y</v>
      </c>
      <c r="E2917" t="s">
        <v>668</v>
      </c>
      <c r="F2917" t="str">
        <f t="shared" si="317"/>
        <v>NEW DONOR -5th</v>
      </c>
      <c r="G2917" t="str">
        <f t="shared" si="318"/>
        <v>Marketing</v>
      </c>
      <c r="H2917" t="s">
        <v>559</v>
      </c>
      <c r="I2917">
        <f t="shared" si="319"/>
        <v>5</v>
      </c>
      <c r="J2917" t="s">
        <v>546</v>
      </c>
      <c r="K2917" s="5">
        <v>45</v>
      </c>
      <c r="L2917" t="str">
        <f>Table_DataFromNL[[#This Row],[PROFILECODE]]&amp;"-"&amp;Table_DataFromNL[[#This Row],[RULENAME]]</f>
        <v>CP953-New Donor 5th Visit-Bonus</v>
      </c>
      <c r="M2917" t="str">
        <f t="shared" si="320"/>
        <v>CP953-NEW DONOR -5th</v>
      </c>
    </row>
    <row r="2918" spans="1:13" x14ac:dyDescent="0.25">
      <c r="A2918" t="str">
        <f t="shared" si="321"/>
        <v>CP953-NEW DONOR -6th</v>
      </c>
      <c r="B2918" t="s">
        <v>313</v>
      </c>
      <c r="C2918" t="str">
        <f t="shared" si="315"/>
        <v>Slidell</v>
      </c>
      <c r="D2918" t="str">
        <f t="shared" si="316"/>
        <v>Y</v>
      </c>
      <c r="E2918" t="s">
        <v>668</v>
      </c>
      <c r="F2918" t="str">
        <f t="shared" si="317"/>
        <v>NEW DONOR -6th</v>
      </c>
      <c r="G2918" t="str">
        <f t="shared" si="318"/>
        <v>Marketing</v>
      </c>
      <c r="H2918" t="s">
        <v>560</v>
      </c>
      <c r="I2918">
        <f t="shared" si="319"/>
        <v>6</v>
      </c>
      <c r="J2918" t="s">
        <v>546</v>
      </c>
      <c r="K2918" s="5">
        <v>45</v>
      </c>
      <c r="L2918" t="str">
        <f>Table_DataFromNL[[#This Row],[PROFILECODE]]&amp;"-"&amp;Table_DataFromNL[[#This Row],[RULENAME]]</f>
        <v>CP953-New Donor 6th Visit-Bonus</v>
      </c>
      <c r="M2918" t="str">
        <f t="shared" si="320"/>
        <v>CP953-NEW DONOR -6th</v>
      </c>
    </row>
    <row r="2919" spans="1:13" x14ac:dyDescent="0.25">
      <c r="A2919" t="str">
        <f t="shared" si="321"/>
        <v>CP953-NEW DONOR -7th</v>
      </c>
      <c r="B2919" t="s">
        <v>313</v>
      </c>
      <c r="C2919" t="str">
        <f t="shared" si="315"/>
        <v>Slidell</v>
      </c>
      <c r="D2919" t="str">
        <f t="shared" si="316"/>
        <v>Y</v>
      </c>
      <c r="E2919" t="s">
        <v>668</v>
      </c>
      <c r="F2919" t="str">
        <f t="shared" si="317"/>
        <v>NEW DONOR -7th</v>
      </c>
      <c r="G2919" t="str">
        <f t="shared" si="318"/>
        <v>Marketing</v>
      </c>
      <c r="H2919" t="s">
        <v>561</v>
      </c>
      <c r="I2919">
        <f t="shared" si="319"/>
        <v>7</v>
      </c>
      <c r="J2919" t="s">
        <v>546</v>
      </c>
      <c r="K2919" s="5">
        <v>45</v>
      </c>
      <c r="L2919" t="str">
        <f>Table_DataFromNL[[#This Row],[PROFILECODE]]&amp;"-"&amp;Table_DataFromNL[[#This Row],[RULENAME]]</f>
        <v>CP953-New Donor 7th Visit-Bonus</v>
      </c>
      <c r="M2919" t="str">
        <f t="shared" si="320"/>
        <v>CP953-NEW DONOR -7th</v>
      </c>
    </row>
    <row r="2920" spans="1:13" x14ac:dyDescent="0.25">
      <c r="A2920" t="str">
        <f t="shared" si="321"/>
        <v>CP953-NEW DONOR -8th</v>
      </c>
      <c r="B2920" t="s">
        <v>313</v>
      </c>
      <c r="C2920" t="str">
        <f t="shared" si="315"/>
        <v>Slidell</v>
      </c>
      <c r="D2920" t="str">
        <f t="shared" si="316"/>
        <v>Y</v>
      </c>
      <c r="E2920" t="s">
        <v>668</v>
      </c>
      <c r="F2920" t="str">
        <f t="shared" si="317"/>
        <v>NEW DONOR -8th</v>
      </c>
      <c r="G2920" t="str">
        <f t="shared" si="318"/>
        <v>Marketing</v>
      </c>
      <c r="H2920" t="s">
        <v>562</v>
      </c>
      <c r="I2920">
        <f t="shared" si="319"/>
        <v>8</v>
      </c>
      <c r="J2920" t="s">
        <v>546</v>
      </c>
      <c r="K2920" s="5">
        <v>45</v>
      </c>
      <c r="L2920" t="str">
        <f>Table_DataFromNL[[#This Row],[PROFILECODE]]&amp;"-"&amp;Table_DataFromNL[[#This Row],[RULENAME]]</f>
        <v>CP953-New Donor 8th Visit-Bonus</v>
      </c>
      <c r="M2920" t="str">
        <f t="shared" si="320"/>
        <v>CP953-NEW DONOR -8th</v>
      </c>
    </row>
    <row r="2921" spans="1:13" x14ac:dyDescent="0.25">
      <c r="A2921" t="str">
        <f t="shared" si="321"/>
        <v>CP953-Community</v>
      </c>
      <c r="B2921" t="s">
        <v>313</v>
      </c>
      <c r="C2921" t="str">
        <f t="shared" si="315"/>
        <v>Slidell</v>
      </c>
      <c r="D2921" t="str">
        <f t="shared" si="316"/>
        <v>Y</v>
      </c>
      <c r="E2921" t="s">
        <v>668</v>
      </c>
      <c r="F2921" t="str">
        <f t="shared" si="317"/>
        <v>Community</v>
      </c>
      <c r="G2921">
        <f t="shared" si="318"/>
        <v>0</v>
      </c>
      <c r="H2921" t="s">
        <v>563</v>
      </c>
      <c r="I2921">
        <f t="shared" si="319"/>
        <v>0</v>
      </c>
      <c r="J2921" t="s">
        <v>564</v>
      </c>
      <c r="K2921" s="5">
        <v>5</v>
      </c>
      <c r="L2921" t="str">
        <f>Table_DataFromNL[[#This Row],[PROFILECODE]]&amp;"-"&amp;Table_DataFromNL[[#This Row],[RULENAME]]</f>
        <v>CP953-Community</v>
      </c>
      <c r="M2921" t="e">
        <f t="shared" si="320"/>
        <v>#N/A</v>
      </c>
    </row>
    <row r="2922" spans="1:13" x14ac:dyDescent="0.25">
      <c r="A2922" t="str">
        <f t="shared" si="321"/>
        <v>CP953-HANGER_RECRUIT_5USD_once</v>
      </c>
      <c r="B2922" t="s">
        <v>313</v>
      </c>
      <c r="C2922" t="str">
        <f t="shared" si="315"/>
        <v>Slidell</v>
      </c>
      <c r="D2922" t="str">
        <f t="shared" si="316"/>
        <v>Y</v>
      </c>
      <c r="E2922" t="s">
        <v>668</v>
      </c>
      <c r="F2922" t="str">
        <f t="shared" si="317"/>
        <v>HANGER_RECRUIT_5USD_once</v>
      </c>
      <c r="G2922">
        <f t="shared" si="318"/>
        <v>0</v>
      </c>
      <c r="H2922" t="s">
        <v>565</v>
      </c>
      <c r="I2922">
        <f t="shared" si="319"/>
        <v>0</v>
      </c>
      <c r="J2922" t="s">
        <v>564</v>
      </c>
      <c r="K2922" s="5">
        <v>5</v>
      </c>
      <c r="L2922" t="str">
        <f>Table_DataFromNL[[#This Row],[PROFILECODE]]&amp;"-"&amp;Table_DataFromNL[[#This Row],[RULENAME]]</f>
        <v>CP953-HANGER_RECRUIT_5USD_once</v>
      </c>
      <c r="M2922" t="e">
        <f t="shared" si="320"/>
        <v>#N/A</v>
      </c>
    </row>
    <row r="2923" spans="1:13" x14ac:dyDescent="0.25">
      <c r="A2923" t="str">
        <f t="shared" si="321"/>
        <v>CP953-Inconv Fee $20-$50-Comment Req'd</v>
      </c>
      <c r="B2923" t="s">
        <v>313</v>
      </c>
      <c r="C2923" t="str">
        <f t="shared" si="315"/>
        <v>Slidell</v>
      </c>
      <c r="D2923" t="str">
        <f t="shared" si="316"/>
        <v>Y</v>
      </c>
      <c r="E2923" t="s">
        <v>668</v>
      </c>
      <c r="F2923" t="str">
        <f t="shared" si="317"/>
        <v>Inconv Fee $20-$50-Comment Req'd</v>
      </c>
      <c r="G2923">
        <f t="shared" si="318"/>
        <v>0</v>
      </c>
      <c r="H2923" t="s">
        <v>566</v>
      </c>
      <c r="I2923">
        <f t="shared" si="319"/>
        <v>0</v>
      </c>
      <c r="J2923" t="s">
        <v>564</v>
      </c>
      <c r="K2923" s="5">
        <v>50</v>
      </c>
      <c r="L2923" t="str">
        <f>Table_DataFromNL[[#This Row],[PROFILECODE]]&amp;"-"&amp;Table_DataFromNL[[#This Row],[RULENAME]]</f>
        <v>CP953-Inconv Fee $20-$50-Comment Req'd</v>
      </c>
      <c r="M2923" t="e">
        <f t="shared" si="320"/>
        <v>#N/A</v>
      </c>
    </row>
    <row r="2924" spans="1:13" x14ac:dyDescent="0.25">
      <c r="A2924" t="str">
        <f t="shared" si="321"/>
        <v>CP953-Inconv Fee $5-$20-Comment Req'd</v>
      </c>
      <c r="B2924" t="s">
        <v>313</v>
      </c>
      <c r="C2924" t="str">
        <f t="shared" si="315"/>
        <v>Slidell</v>
      </c>
      <c r="D2924" t="str">
        <f t="shared" si="316"/>
        <v>Y</v>
      </c>
      <c r="E2924" t="s">
        <v>668</v>
      </c>
      <c r="F2924" t="str">
        <f t="shared" si="317"/>
        <v>Inconv Fee $5-$20-Comment Req'd</v>
      </c>
      <c r="G2924">
        <f t="shared" si="318"/>
        <v>0</v>
      </c>
      <c r="H2924" t="s">
        <v>567</v>
      </c>
      <c r="I2924">
        <f t="shared" si="319"/>
        <v>0</v>
      </c>
      <c r="J2924" t="s">
        <v>564</v>
      </c>
      <c r="K2924" s="5">
        <v>20</v>
      </c>
      <c r="L2924" t="str">
        <f>Table_DataFromNL[[#This Row],[PROFILECODE]]&amp;"-"&amp;Table_DataFromNL[[#This Row],[RULENAME]]</f>
        <v>CP953-Inconv Fee $5-$20-Comment Req'd</v>
      </c>
      <c r="M2924" t="e">
        <f t="shared" si="320"/>
        <v>#N/A</v>
      </c>
    </row>
    <row r="2925" spans="1:13" x14ac:dyDescent="0.25">
      <c r="A2925" t="str">
        <f t="shared" si="321"/>
        <v>CP953-Inconv Fee$50-$100-Comment Req'd</v>
      </c>
      <c r="B2925" t="s">
        <v>313</v>
      </c>
      <c r="C2925" t="str">
        <f t="shared" si="315"/>
        <v>Slidell</v>
      </c>
      <c r="D2925" t="str">
        <f t="shared" si="316"/>
        <v>Y</v>
      </c>
      <c r="E2925" t="s">
        <v>668</v>
      </c>
      <c r="F2925" t="str">
        <f t="shared" si="317"/>
        <v>Inconv Fee$50-$100-Comment Req'd</v>
      </c>
      <c r="G2925">
        <f t="shared" si="318"/>
        <v>0</v>
      </c>
      <c r="H2925" t="s">
        <v>568</v>
      </c>
      <c r="I2925">
        <f t="shared" si="319"/>
        <v>0</v>
      </c>
      <c r="J2925" t="s">
        <v>564</v>
      </c>
      <c r="K2925" s="5">
        <v>100</v>
      </c>
      <c r="L2925" t="str">
        <f>Table_DataFromNL[[#This Row],[PROFILECODE]]&amp;"-"&amp;Table_DataFromNL[[#This Row],[RULENAME]]</f>
        <v>CP953-Inconv Fee$50-$100-Comment Req'd</v>
      </c>
      <c r="M2925" t="e">
        <f t="shared" si="320"/>
        <v>#N/A</v>
      </c>
    </row>
    <row r="2926" spans="1:13" x14ac:dyDescent="0.25">
      <c r="A2926" t="str">
        <f t="shared" si="321"/>
        <v>CP953-NSP_ LAPSEDONOR_50_Twice</v>
      </c>
      <c r="B2926" t="s">
        <v>313</v>
      </c>
      <c r="C2926" t="str">
        <f t="shared" si="315"/>
        <v>Slidell</v>
      </c>
      <c r="D2926" t="str">
        <f t="shared" si="316"/>
        <v>Y</v>
      </c>
      <c r="E2926" t="s">
        <v>668</v>
      </c>
      <c r="F2926" t="str">
        <f t="shared" si="317"/>
        <v>NSP_ LAPSEDONOR_50_Twice</v>
      </c>
      <c r="G2926">
        <f t="shared" si="318"/>
        <v>0</v>
      </c>
      <c r="H2926" t="s">
        <v>569</v>
      </c>
      <c r="I2926">
        <f t="shared" si="319"/>
        <v>0</v>
      </c>
      <c r="J2926" t="s">
        <v>564</v>
      </c>
      <c r="K2926" s="5">
        <v>50</v>
      </c>
      <c r="L2926" t="str">
        <f>Table_DataFromNL[[#This Row],[PROFILECODE]]&amp;"-"&amp;Table_DataFromNL[[#This Row],[RULENAME]]</f>
        <v>CP953-NSP_ LAPSEDONOR_50_Twice</v>
      </c>
      <c r="M2926" t="e">
        <f t="shared" si="320"/>
        <v>#N/A</v>
      </c>
    </row>
    <row r="2927" spans="1:13" x14ac:dyDescent="0.25">
      <c r="A2927" t="str">
        <f t="shared" si="321"/>
        <v>CP953-NSP_LD_25_2X</v>
      </c>
      <c r="B2927" t="s">
        <v>313</v>
      </c>
      <c r="C2927" t="str">
        <f t="shared" si="315"/>
        <v>Slidell</v>
      </c>
      <c r="D2927" t="str">
        <f t="shared" si="316"/>
        <v>Y</v>
      </c>
      <c r="E2927" t="s">
        <v>668</v>
      </c>
      <c r="F2927" t="str">
        <f t="shared" si="317"/>
        <v>NSP_LD_25_2X</v>
      </c>
      <c r="G2927">
        <f t="shared" si="318"/>
        <v>0</v>
      </c>
      <c r="H2927" t="s">
        <v>570</v>
      </c>
      <c r="I2927">
        <f t="shared" si="319"/>
        <v>0</v>
      </c>
      <c r="J2927" t="s">
        <v>564</v>
      </c>
      <c r="K2927" s="5">
        <v>25</v>
      </c>
      <c r="L2927" t="str">
        <f>Table_DataFromNL[[#This Row],[PROFILECODE]]&amp;"-"&amp;Table_DataFromNL[[#This Row],[RULENAME]]</f>
        <v>CP953-NSP_LD_25_2X</v>
      </c>
      <c r="M2927" t="e">
        <f t="shared" si="320"/>
        <v>#N/A</v>
      </c>
    </row>
    <row r="2928" spans="1:13" x14ac:dyDescent="0.25">
      <c r="A2928" t="str">
        <f t="shared" si="321"/>
        <v>CP953-NSP_LD_50_1X</v>
      </c>
      <c r="B2928" t="s">
        <v>313</v>
      </c>
      <c r="C2928" t="str">
        <f t="shared" si="315"/>
        <v>Slidell</v>
      </c>
      <c r="D2928" t="str">
        <f t="shared" si="316"/>
        <v>Y</v>
      </c>
      <c r="E2928" t="s">
        <v>668</v>
      </c>
      <c r="F2928" t="str">
        <f t="shared" si="317"/>
        <v>NSP_LD_50_1X</v>
      </c>
      <c r="G2928">
        <f t="shared" si="318"/>
        <v>0</v>
      </c>
      <c r="H2928" t="s">
        <v>571</v>
      </c>
      <c r="I2928">
        <f t="shared" si="319"/>
        <v>0</v>
      </c>
      <c r="J2928" t="s">
        <v>564</v>
      </c>
      <c r="K2928" s="5">
        <v>50</v>
      </c>
      <c r="L2928" t="str">
        <f>Table_DataFromNL[[#This Row],[PROFILECODE]]&amp;"-"&amp;Table_DataFromNL[[#This Row],[RULENAME]]</f>
        <v>CP953-NSP_LD_50_1X</v>
      </c>
      <c r="M2928" t="e">
        <f t="shared" si="320"/>
        <v>#N/A</v>
      </c>
    </row>
    <row r="2929" spans="1:13" x14ac:dyDescent="0.25">
      <c r="A2929" t="str">
        <f t="shared" si="321"/>
        <v>CP953-NSP_ORPHAN_100_once</v>
      </c>
      <c r="B2929" t="s">
        <v>313</v>
      </c>
      <c r="C2929" t="str">
        <f t="shared" si="315"/>
        <v>Slidell</v>
      </c>
      <c r="D2929" t="str">
        <f t="shared" si="316"/>
        <v>Y</v>
      </c>
      <c r="E2929" t="s">
        <v>668</v>
      </c>
      <c r="F2929" t="str">
        <f t="shared" si="317"/>
        <v>NSP_ORPHAN_100_once</v>
      </c>
      <c r="G2929">
        <f t="shared" si="318"/>
        <v>0</v>
      </c>
      <c r="H2929" t="s">
        <v>572</v>
      </c>
      <c r="I2929">
        <f t="shared" si="319"/>
        <v>0</v>
      </c>
      <c r="J2929" t="s">
        <v>564</v>
      </c>
      <c r="K2929" s="5">
        <v>100</v>
      </c>
      <c r="L2929" t="str">
        <f>Table_DataFromNL[[#This Row],[PROFILECODE]]&amp;"-"&amp;Table_DataFromNL[[#This Row],[RULENAME]]</f>
        <v>CP953-NSP_ORPHAN_100_once</v>
      </c>
      <c r="M2929" t="e">
        <f t="shared" si="320"/>
        <v>#N/A</v>
      </c>
    </row>
    <row r="2930" spans="1:13" x14ac:dyDescent="0.25">
      <c r="A2930" t="str">
        <f t="shared" si="321"/>
        <v>CP953-Restick</v>
      </c>
      <c r="B2930" t="s">
        <v>313</v>
      </c>
      <c r="C2930" t="str">
        <f t="shared" si="315"/>
        <v>Slidell</v>
      </c>
      <c r="D2930" t="str">
        <f t="shared" si="316"/>
        <v>Y</v>
      </c>
      <c r="E2930" t="s">
        <v>668</v>
      </c>
      <c r="F2930" t="str">
        <f t="shared" si="317"/>
        <v>Restick</v>
      </c>
      <c r="G2930">
        <f t="shared" si="318"/>
        <v>0</v>
      </c>
      <c r="H2930" t="s">
        <v>573</v>
      </c>
      <c r="I2930">
        <f t="shared" si="319"/>
        <v>0</v>
      </c>
      <c r="J2930" t="s">
        <v>564</v>
      </c>
      <c r="K2930" s="5">
        <v>5</v>
      </c>
      <c r="L2930" t="str">
        <f>Table_DataFromNL[[#This Row],[PROFILECODE]]&amp;"-"&amp;Table_DataFromNL[[#This Row],[RULENAME]]</f>
        <v>CP953-Restick</v>
      </c>
      <c r="M2930" t="e">
        <f t="shared" si="320"/>
        <v>#N/A</v>
      </c>
    </row>
    <row r="2931" spans="1:13" x14ac:dyDescent="0.25">
      <c r="A2931" t="str">
        <f t="shared" si="321"/>
        <v>CP953-SCRATCH_100_USD</v>
      </c>
      <c r="B2931" t="s">
        <v>313</v>
      </c>
      <c r="C2931" t="str">
        <f t="shared" si="315"/>
        <v>Slidell</v>
      </c>
      <c r="D2931" t="str">
        <f t="shared" si="316"/>
        <v>Y</v>
      </c>
      <c r="E2931" t="s">
        <v>668</v>
      </c>
      <c r="F2931" t="str">
        <f t="shared" si="317"/>
        <v>SCRATCH_100_USD</v>
      </c>
      <c r="G2931">
        <f t="shared" si="318"/>
        <v>0</v>
      </c>
      <c r="H2931" t="s">
        <v>586</v>
      </c>
      <c r="I2931">
        <f t="shared" si="319"/>
        <v>0</v>
      </c>
      <c r="J2931" t="s">
        <v>564</v>
      </c>
      <c r="K2931" s="5">
        <v>100</v>
      </c>
      <c r="L2931" t="str">
        <f>Table_DataFromNL[[#This Row],[PROFILECODE]]&amp;"-"&amp;Table_DataFromNL[[#This Row],[RULENAME]]</f>
        <v>CP953-SCRATCH_100_USD</v>
      </c>
      <c r="M2931" t="e">
        <f t="shared" si="320"/>
        <v>#N/A</v>
      </c>
    </row>
    <row r="2932" spans="1:13" x14ac:dyDescent="0.25">
      <c r="A2932" t="str">
        <f t="shared" si="321"/>
        <v>CP953-SCRATCH_10_USD</v>
      </c>
      <c r="B2932" t="s">
        <v>313</v>
      </c>
      <c r="C2932" t="str">
        <f t="shared" si="315"/>
        <v>Slidell</v>
      </c>
      <c r="D2932" t="str">
        <f t="shared" si="316"/>
        <v>Y</v>
      </c>
      <c r="E2932" t="s">
        <v>668</v>
      </c>
      <c r="F2932" t="str">
        <f t="shared" si="317"/>
        <v>SCRATCH_10_USD</v>
      </c>
      <c r="G2932">
        <f t="shared" si="318"/>
        <v>0</v>
      </c>
      <c r="H2932" t="s">
        <v>587</v>
      </c>
      <c r="I2932">
        <f t="shared" si="319"/>
        <v>0</v>
      </c>
      <c r="J2932" t="s">
        <v>564</v>
      </c>
      <c r="K2932" s="5">
        <v>10</v>
      </c>
      <c r="L2932" t="str">
        <f>Table_DataFromNL[[#This Row],[PROFILECODE]]&amp;"-"&amp;Table_DataFromNL[[#This Row],[RULENAME]]</f>
        <v>CP953-SCRATCH_10_USD</v>
      </c>
      <c r="M2932" t="e">
        <f t="shared" si="320"/>
        <v>#N/A</v>
      </c>
    </row>
    <row r="2933" spans="1:13" x14ac:dyDescent="0.25">
      <c r="A2933" t="str">
        <f t="shared" si="321"/>
        <v>CP953-SCRATCH_20_USD</v>
      </c>
      <c r="B2933" t="s">
        <v>313</v>
      </c>
      <c r="C2933" t="str">
        <f t="shared" si="315"/>
        <v>Slidell</v>
      </c>
      <c r="D2933" t="str">
        <f t="shared" si="316"/>
        <v>Y</v>
      </c>
      <c r="E2933" t="s">
        <v>668</v>
      </c>
      <c r="F2933" t="str">
        <f t="shared" si="317"/>
        <v>SCRATCH_20_USD</v>
      </c>
      <c r="G2933">
        <f t="shared" si="318"/>
        <v>0</v>
      </c>
      <c r="H2933" t="s">
        <v>588</v>
      </c>
      <c r="I2933">
        <f t="shared" si="319"/>
        <v>0</v>
      </c>
      <c r="J2933" t="s">
        <v>564</v>
      </c>
      <c r="K2933" s="5">
        <v>20</v>
      </c>
      <c r="L2933" t="str">
        <f>Table_DataFromNL[[#This Row],[PROFILECODE]]&amp;"-"&amp;Table_DataFromNL[[#This Row],[RULENAME]]</f>
        <v>CP953-SCRATCH_20_USD</v>
      </c>
      <c r="M2933" t="e">
        <f t="shared" si="320"/>
        <v>#N/A</v>
      </c>
    </row>
    <row r="2934" spans="1:13" x14ac:dyDescent="0.25">
      <c r="A2934" t="str">
        <f t="shared" si="321"/>
        <v>CP953-SCRATCH_25_USD</v>
      </c>
      <c r="B2934" t="s">
        <v>313</v>
      </c>
      <c r="C2934" t="str">
        <f t="shared" si="315"/>
        <v>Slidell</v>
      </c>
      <c r="D2934" t="str">
        <f t="shared" si="316"/>
        <v>Y</v>
      </c>
      <c r="E2934" t="s">
        <v>668</v>
      </c>
      <c r="F2934" t="str">
        <f t="shared" si="317"/>
        <v>SCRATCH_25_USD</v>
      </c>
      <c r="G2934">
        <f t="shared" si="318"/>
        <v>0</v>
      </c>
      <c r="H2934" t="s">
        <v>589</v>
      </c>
      <c r="I2934">
        <f t="shared" si="319"/>
        <v>0</v>
      </c>
      <c r="J2934" t="s">
        <v>564</v>
      </c>
      <c r="K2934" s="5">
        <v>25</v>
      </c>
      <c r="L2934" t="str">
        <f>Table_DataFromNL[[#This Row],[PROFILECODE]]&amp;"-"&amp;Table_DataFromNL[[#This Row],[RULENAME]]</f>
        <v>CP953-SCRATCH_25_USD</v>
      </c>
      <c r="M2934" t="e">
        <f t="shared" si="320"/>
        <v>#N/A</v>
      </c>
    </row>
    <row r="2935" spans="1:13" x14ac:dyDescent="0.25">
      <c r="A2935" t="str">
        <f t="shared" si="321"/>
        <v>CP953-SCRATCH_50_USD</v>
      </c>
      <c r="B2935" t="s">
        <v>313</v>
      </c>
      <c r="C2935" t="str">
        <f t="shared" si="315"/>
        <v>Slidell</v>
      </c>
      <c r="D2935" t="str">
        <f t="shared" si="316"/>
        <v>Y</v>
      </c>
      <c r="E2935" t="s">
        <v>668</v>
      </c>
      <c r="F2935" t="str">
        <f t="shared" si="317"/>
        <v>SCRATCH_50_USD</v>
      </c>
      <c r="G2935">
        <f t="shared" si="318"/>
        <v>0</v>
      </c>
      <c r="H2935" t="s">
        <v>590</v>
      </c>
      <c r="I2935">
        <f t="shared" si="319"/>
        <v>0</v>
      </c>
      <c r="J2935" t="s">
        <v>564</v>
      </c>
      <c r="K2935" s="5">
        <v>50</v>
      </c>
      <c r="L2935" t="str">
        <f>Table_DataFromNL[[#This Row],[PROFILECODE]]&amp;"-"&amp;Table_DataFromNL[[#This Row],[RULENAME]]</f>
        <v>CP953-SCRATCH_50_USD</v>
      </c>
      <c r="M2935" t="e">
        <f t="shared" si="320"/>
        <v>#N/A</v>
      </c>
    </row>
    <row r="2936" spans="1:13" x14ac:dyDescent="0.25">
      <c r="A2936" t="str">
        <f t="shared" si="321"/>
        <v>CP953-SCRATCH_5_USD</v>
      </c>
      <c r="B2936" t="s">
        <v>313</v>
      </c>
      <c r="C2936" t="str">
        <f t="shared" si="315"/>
        <v>Slidell</v>
      </c>
      <c r="D2936" t="str">
        <f t="shared" si="316"/>
        <v>Y</v>
      </c>
      <c r="E2936" t="s">
        <v>668</v>
      </c>
      <c r="F2936" t="str">
        <f t="shared" si="317"/>
        <v>SCRATCH_5_USD</v>
      </c>
      <c r="G2936">
        <f t="shared" si="318"/>
        <v>0</v>
      </c>
      <c r="H2936" t="s">
        <v>591</v>
      </c>
      <c r="I2936">
        <f t="shared" si="319"/>
        <v>0</v>
      </c>
      <c r="J2936" t="s">
        <v>564</v>
      </c>
      <c r="K2936" s="5">
        <v>5</v>
      </c>
      <c r="L2936" t="str">
        <f>Table_DataFromNL[[#This Row],[PROFILECODE]]&amp;"-"&amp;Table_DataFromNL[[#This Row],[RULENAME]]</f>
        <v>CP953-SCRATCH_5_USD</v>
      </c>
      <c r="M2936" t="e">
        <f t="shared" si="320"/>
        <v>#N/A</v>
      </c>
    </row>
    <row r="2937" spans="1:13" x14ac:dyDescent="0.25">
      <c r="A2937" t="str">
        <f t="shared" si="321"/>
        <v>CP953-SLOW_TEXT_5</v>
      </c>
      <c r="B2937" t="s">
        <v>313</v>
      </c>
      <c r="C2937" t="str">
        <f t="shared" si="315"/>
        <v>Slidell</v>
      </c>
      <c r="D2937" t="str">
        <f t="shared" si="316"/>
        <v>Y</v>
      </c>
      <c r="E2937" t="s">
        <v>668</v>
      </c>
      <c r="F2937" t="str">
        <f t="shared" si="317"/>
        <v>SLOW_TEXT_5</v>
      </c>
      <c r="G2937">
        <f t="shared" si="318"/>
        <v>0</v>
      </c>
      <c r="H2937" t="s">
        <v>574</v>
      </c>
      <c r="I2937">
        <f t="shared" si="319"/>
        <v>0</v>
      </c>
      <c r="J2937" t="s">
        <v>564</v>
      </c>
      <c r="K2937" s="5">
        <v>5</v>
      </c>
      <c r="L2937" t="str">
        <f>Table_DataFromNL[[#This Row],[PROFILECODE]]&amp;"-"&amp;Table_DataFromNL[[#This Row],[RULENAME]]</f>
        <v>CP953-SLOW_TEXT_5</v>
      </c>
      <c r="M2937" t="e">
        <f t="shared" si="320"/>
        <v>#N/A</v>
      </c>
    </row>
    <row r="2938" spans="1:13" x14ac:dyDescent="0.25">
      <c r="A2938" t="str">
        <f t="shared" si="321"/>
        <v>CP953-Sample Only</v>
      </c>
      <c r="B2938" t="s">
        <v>313</v>
      </c>
      <c r="C2938" t="str">
        <f t="shared" si="315"/>
        <v>Slidell</v>
      </c>
      <c r="D2938" t="str">
        <f t="shared" si="316"/>
        <v>Y</v>
      </c>
      <c r="E2938" t="s">
        <v>668</v>
      </c>
      <c r="F2938" t="str">
        <f t="shared" si="317"/>
        <v>Sample Only</v>
      </c>
      <c r="G2938">
        <f t="shared" si="318"/>
        <v>0</v>
      </c>
      <c r="H2938" t="s">
        <v>575</v>
      </c>
      <c r="I2938">
        <f t="shared" si="319"/>
        <v>0</v>
      </c>
      <c r="J2938" t="s">
        <v>564</v>
      </c>
      <c r="K2938" s="5">
        <v>5</v>
      </c>
      <c r="L2938" t="str">
        <f>Table_DataFromNL[[#This Row],[PROFILECODE]]&amp;"-"&amp;Table_DataFromNL[[#This Row],[RULENAME]]</f>
        <v>CP953-Sample Only</v>
      </c>
      <c r="M2938" t="e">
        <f t="shared" si="320"/>
        <v>#N/A</v>
      </c>
    </row>
    <row r="2939" spans="1:13" x14ac:dyDescent="0.25">
      <c r="A2939" t="str">
        <f t="shared" si="321"/>
        <v>CP953-Unit Below 250 mL</v>
      </c>
      <c r="B2939" t="s">
        <v>313</v>
      </c>
      <c r="C2939" t="str">
        <f t="shared" si="315"/>
        <v>Slidell</v>
      </c>
      <c r="D2939" t="str">
        <f t="shared" si="316"/>
        <v>Y</v>
      </c>
      <c r="E2939" t="s">
        <v>668</v>
      </c>
      <c r="F2939" t="str">
        <f t="shared" si="317"/>
        <v>Unit Below 250 mL</v>
      </c>
      <c r="G2939">
        <f t="shared" si="318"/>
        <v>0</v>
      </c>
      <c r="H2939" t="s">
        <v>576</v>
      </c>
      <c r="I2939">
        <f t="shared" si="319"/>
        <v>0</v>
      </c>
      <c r="J2939" t="s">
        <v>564</v>
      </c>
      <c r="K2939" s="5">
        <v>5</v>
      </c>
      <c r="L2939" t="str">
        <f>Table_DataFromNL[[#This Row],[PROFILECODE]]&amp;"-"&amp;Table_DataFromNL[[#This Row],[RULENAME]]</f>
        <v>CP953-Unit Below 250 mL</v>
      </c>
      <c r="M2939" t="e">
        <f t="shared" si="320"/>
        <v>#N/A</v>
      </c>
    </row>
    <row r="2940" spans="1:13" x14ac:dyDescent="0.25">
      <c r="A2940" t="str">
        <f t="shared" si="321"/>
        <v>CP953-Unit above 250 mL/underdraw</v>
      </c>
      <c r="B2940" t="s">
        <v>313</v>
      </c>
      <c r="C2940" t="str">
        <f t="shared" si="315"/>
        <v>Slidell</v>
      </c>
      <c r="D2940" t="str">
        <f t="shared" si="316"/>
        <v>Y</v>
      </c>
      <c r="E2940" t="s">
        <v>668</v>
      </c>
      <c r="F2940" t="str">
        <f t="shared" si="317"/>
        <v>Unit above 250 mL/underdraw</v>
      </c>
      <c r="G2940">
        <f t="shared" si="318"/>
        <v>0</v>
      </c>
      <c r="H2940" t="s">
        <v>577</v>
      </c>
      <c r="I2940">
        <f t="shared" si="319"/>
        <v>0</v>
      </c>
      <c r="J2940" t="s">
        <v>564</v>
      </c>
      <c r="K2940" s="5">
        <v>10</v>
      </c>
      <c r="L2940" t="str">
        <f>Table_DataFromNL[[#This Row],[PROFILECODE]]&amp;"-"&amp;Table_DataFromNL[[#This Row],[RULENAME]]</f>
        <v>CP953-Unit above 250 mL/underdraw</v>
      </c>
      <c r="M2940" t="e">
        <f t="shared" si="320"/>
        <v>#N/A</v>
      </c>
    </row>
    <row r="2941" spans="1:13" x14ac:dyDescent="0.25">
      <c r="A2941" t="str">
        <f t="shared" si="321"/>
        <v>CP953-RETURN - Buddy referral  -BONUS</v>
      </c>
      <c r="B2941" t="s">
        <v>313</v>
      </c>
      <c r="C2941" t="str">
        <f t="shared" si="315"/>
        <v>Slidell</v>
      </c>
      <c r="D2941" t="str">
        <f t="shared" si="316"/>
        <v>Y</v>
      </c>
      <c r="E2941" t="s">
        <v>668</v>
      </c>
      <c r="F2941" t="str">
        <f t="shared" si="317"/>
        <v>RETURN - Buddy referral  -BONUS</v>
      </c>
      <c r="G2941" t="str">
        <f t="shared" si="318"/>
        <v>Marketing</v>
      </c>
      <c r="H2941" t="s">
        <v>34</v>
      </c>
      <c r="I2941">
        <f t="shared" si="319"/>
        <v>50</v>
      </c>
      <c r="J2941" t="s">
        <v>578</v>
      </c>
      <c r="K2941" s="5">
        <v>50</v>
      </c>
      <c r="L2941" t="str">
        <f>Table_DataFromNL[[#This Row],[PROFILECODE]]&amp;"-"&amp;Table_DataFromNL[[#This Row],[RULENAME]]</f>
        <v>CP953-Referral</v>
      </c>
      <c r="M2941" t="str">
        <f t="shared" si="320"/>
        <v>CP953-RETURN - Buddy referral  -BONUS</v>
      </c>
    </row>
    <row r="2942" spans="1:13" x14ac:dyDescent="0.25">
      <c r="A2942" t="str">
        <f t="shared" si="321"/>
        <v>CP953-P Anti-D Pre-Existing Standard</v>
      </c>
      <c r="B2942" t="s">
        <v>313</v>
      </c>
      <c r="C2942" t="str">
        <f t="shared" si="315"/>
        <v>Slidell</v>
      </c>
      <c r="D2942" t="str">
        <f t="shared" si="316"/>
        <v>Y</v>
      </c>
      <c r="E2942" t="s">
        <v>668</v>
      </c>
      <c r="F2942" t="str">
        <f t="shared" si="317"/>
        <v>P Anti-D Pre-Existing Standard</v>
      </c>
      <c r="G2942" t="str">
        <f t="shared" si="318"/>
        <v>Specialty</v>
      </c>
      <c r="H2942" t="s">
        <v>469</v>
      </c>
      <c r="I2942" t="str">
        <f t="shared" si="319"/>
        <v>RETURN - 1st don of the week -STD</v>
      </c>
      <c r="J2942" t="s">
        <v>579</v>
      </c>
      <c r="K2942" s="5">
        <v>50</v>
      </c>
      <c r="L2942" t="str">
        <f>Table_DataFromNL[[#This Row],[PROFILECODE]]&amp;"-"&amp;Table_DataFromNL[[#This Row],[RULENAME]]</f>
        <v>CP953-P Anti-D Pre-Existing Standard</v>
      </c>
      <c r="M2942" t="str">
        <f t="shared" si="320"/>
        <v>CP953-P Anti-D Pre-Existing Standard</v>
      </c>
    </row>
    <row r="2943" spans="1:13" x14ac:dyDescent="0.25">
      <c r="A2943" t="str">
        <f t="shared" si="321"/>
        <v>CP953-RETURN - 1st don of the week -STD</v>
      </c>
      <c r="B2943" t="s">
        <v>313</v>
      </c>
      <c r="C2943" t="str">
        <f t="shared" si="315"/>
        <v>Slidell</v>
      </c>
      <c r="D2943" t="str">
        <f t="shared" si="316"/>
        <v>Y</v>
      </c>
      <c r="E2943" t="s">
        <v>668</v>
      </c>
      <c r="F2943" t="str">
        <f t="shared" si="317"/>
        <v>RETURN - 1st don of the week -STD</v>
      </c>
      <c r="G2943" t="str">
        <f t="shared" si="318"/>
        <v>Marketing</v>
      </c>
      <c r="H2943" t="s">
        <v>583</v>
      </c>
      <c r="I2943">
        <f t="shared" si="319"/>
        <v>22</v>
      </c>
      <c r="J2943" t="s">
        <v>579</v>
      </c>
      <c r="K2943" s="5">
        <v>45</v>
      </c>
      <c r="L2943" t="str">
        <f>Table_DataFromNL[[#This Row],[PROFILECODE]]&amp;"-"&amp;Table_DataFromNL[[#This Row],[RULENAME]]</f>
        <v>CP953-P NSP NS AP Standard</v>
      </c>
      <c r="M2943" t="str">
        <f t="shared" si="320"/>
        <v>CP953-RETURN - 1st don of the week -STD</v>
      </c>
    </row>
    <row r="2944" spans="1:13" x14ac:dyDescent="0.25">
      <c r="A2944" t="str">
        <f t="shared" si="321"/>
        <v>CP953-RETURN - 1st don of the week -STD</v>
      </c>
      <c r="B2944" t="s">
        <v>313</v>
      </c>
      <c r="C2944" t="str">
        <f t="shared" si="315"/>
        <v>Slidell</v>
      </c>
      <c r="D2944" t="str">
        <f t="shared" si="316"/>
        <v>Y</v>
      </c>
      <c r="E2944" t="s">
        <v>668</v>
      </c>
      <c r="F2944" t="str">
        <f t="shared" si="317"/>
        <v>RETURN - 1st don of the week -STD</v>
      </c>
      <c r="G2944" t="str">
        <f t="shared" si="318"/>
        <v>Marketing</v>
      </c>
      <c r="H2944" t="s">
        <v>584</v>
      </c>
      <c r="I2944">
        <f t="shared" si="319"/>
        <v>23</v>
      </c>
      <c r="J2944" t="s">
        <v>579</v>
      </c>
      <c r="K2944" s="5">
        <v>45</v>
      </c>
      <c r="L2944" t="str">
        <f>Table_DataFromNL[[#This Row],[PROFILECODE]]&amp;"-"&amp;Table_DataFromNL[[#This Row],[RULENAME]]</f>
        <v>CP953-P NSP NS Standard</v>
      </c>
      <c r="M2944" t="str">
        <f t="shared" si="320"/>
        <v>CP953-RETURN - 1st don of the week -STD</v>
      </c>
    </row>
    <row r="2945" spans="1:13" x14ac:dyDescent="0.25">
      <c r="A2945" t="str">
        <f t="shared" si="321"/>
        <v>CP125-1st Responder-Medical</v>
      </c>
      <c r="B2945" t="s">
        <v>376</v>
      </c>
      <c r="C2945" t="str">
        <f t="shared" si="315"/>
        <v>Somerset</v>
      </c>
      <c r="D2945" t="str">
        <f t="shared" si="316"/>
        <v>Y</v>
      </c>
      <c r="E2945" t="s">
        <v>669</v>
      </c>
      <c r="F2945" t="str">
        <f t="shared" si="317"/>
        <v>1st Responder-Medical</v>
      </c>
      <c r="G2945">
        <f t="shared" si="318"/>
        <v>0</v>
      </c>
      <c r="H2945" t="s">
        <v>545</v>
      </c>
      <c r="I2945">
        <f t="shared" si="319"/>
        <v>0</v>
      </c>
      <c r="J2945" t="s">
        <v>546</v>
      </c>
      <c r="K2945" s="5">
        <v>5</v>
      </c>
      <c r="L2945" t="str">
        <f>Table_DataFromNL[[#This Row],[PROFILECODE]]&amp;"-"&amp;Table_DataFromNL[[#This Row],[RULENAME]]</f>
        <v>CP125-1st Responder-Medical</v>
      </c>
      <c r="M2945" t="e">
        <f t="shared" si="320"/>
        <v>#N/A</v>
      </c>
    </row>
    <row r="2946" spans="1:13" x14ac:dyDescent="0.25">
      <c r="A2946" t="str">
        <f t="shared" si="321"/>
        <v>CP125-RETURN - 8th don of the month -BONUS</v>
      </c>
      <c r="B2946" t="s">
        <v>376</v>
      </c>
      <c r="C2946" t="str">
        <f t="shared" ref="C2946:C3009" si="322">VLOOKUP(B2946,CenterLU,2,FALSE)</f>
        <v>Somerset</v>
      </c>
      <c r="D2946" t="str">
        <f t="shared" ref="D2946:D3009" si="323">VLOOKUP(B2946,CenterLU,3,FALSE)</f>
        <v>Y</v>
      </c>
      <c r="E2946" t="s">
        <v>669</v>
      </c>
      <c r="F2946" t="str">
        <f t="shared" ref="F2946:F3009" si="324">IF(VLOOKUP(H2946,RULENAMELU,3,FALSE)=0,H2946,VLOOKUP(H2946,RULENAMELU,3,FALSE))</f>
        <v>RETURN - 8th don of the month -BONUS</v>
      </c>
      <c r="G2946" t="str">
        <f t="shared" ref="G2946:G3009" si="325">VLOOKUP(H2946,RULENAMELU,4,FALSE)</f>
        <v>Marketing</v>
      </c>
      <c r="H2946" t="s">
        <v>641</v>
      </c>
      <c r="I2946">
        <f t="shared" ref="I2946:I3009" si="326">VLOOKUP(H2946,RULENAMELU,5,FALSE)</f>
        <v>30</v>
      </c>
      <c r="J2946" t="s">
        <v>546</v>
      </c>
      <c r="K2946" s="5">
        <v>100</v>
      </c>
      <c r="L2946" t="str">
        <f>Table_DataFromNL[[#This Row],[PROFILECODE]]&amp;"-"&amp;Table_DataFromNL[[#This Row],[RULENAME]]</f>
        <v>CP125-8X Month</v>
      </c>
      <c r="M2946" t="str">
        <f t="shared" ref="M2946:M3009" si="327">IFERROR(VLOOKUP(A2946,PaychangesLU,1,FALSE),VLOOKUP(A2946,SpecialtyCheckLU,1,FALSE))</f>
        <v>CP125-RETURN - 8th don of the month -BONUS</v>
      </c>
    </row>
    <row r="2947" spans="1:13" x14ac:dyDescent="0.25">
      <c r="A2947" t="str">
        <f t="shared" ref="A2947:A3010" si="328">B2947&amp;"-"&amp;F2947</f>
        <v>CP125-College ID Standard Bonus</v>
      </c>
      <c r="B2947" t="s">
        <v>376</v>
      </c>
      <c r="C2947" t="str">
        <f t="shared" si="322"/>
        <v>Somerset</v>
      </c>
      <c r="D2947" t="str">
        <f t="shared" si="323"/>
        <v>Y</v>
      </c>
      <c r="E2947" t="s">
        <v>669</v>
      </c>
      <c r="F2947" t="str">
        <f t="shared" si="324"/>
        <v>College ID Standard Bonus</v>
      </c>
      <c r="G2947">
        <f t="shared" si="325"/>
        <v>0</v>
      </c>
      <c r="H2947" t="s">
        <v>553</v>
      </c>
      <c r="I2947">
        <f t="shared" si="326"/>
        <v>0</v>
      </c>
      <c r="J2947" t="s">
        <v>546</v>
      </c>
      <c r="K2947" s="5">
        <v>5</v>
      </c>
      <c r="L2947" t="str">
        <f>Table_DataFromNL[[#This Row],[PROFILECODE]]&amp;"-"&amp;Table_DataFromNL[[#This Row],[RULENAME]]</f>
        <v>CP125-College ID Standard Bonus</v>
      </c>
      <c r="M2947" t="e">
        <f t="shared" si="327"/>
        <v>#N/A</v>
      </c>
    </row>
    <row r="2948" spans="1:13" x14ac:dyDescent="0.25">
      <c r="A2948" t="str">
        <f t="shared" si="328"/>
        <v>CP125-Military ID</v>
      </c>
      <c r="B2948" t="s">
        <v>376</v>
      </c>
      <c r="C2948" t="str">
        <f t="shared" si="322"/>
        <v>Somerset</v>
      </c>
      <c r="D2948" t="str">
        <f t="shared" si="323"/>
        <v>Y</v>
      </c>
      <c r="E2948" t="s">
        <v>669</v>
      </c>
      <c r="F2948" t="str">
        <f t="shared" si="324"/>
        <v>Military ID</v>
      </c>
      <c r="G2948">
        <f t="shared" si="325"/>
        <v>0</v>
      </c>
      <c r="H2948" t="s">
        <v>554</v>
      </c>
      <c r="I2948">
        <f t="shared" si="326"/>
        <v>0</v>
      </c>
      <c r="J2948" t="s">
        <v>546</v>
      </c>
      <c r="K2948" s="5">
        <v>5</v>
      </c>
      <c r="L2948" t="str">
        <f>Table_DataFromNL[[#This Row],[PROFILECODE]]&amp;"-"&amp;Table_DataFromNL[[#This Row],[RULENAME]]</f>
        <v>CP125-Military ID</v>
      </c>
      <c r="M2948" t="e">
        <f t="shared" si="327"/>
        <v>#N/A</v>
      </c>
    </row>
    <row r="2949" spans="1:13" x14ac:dyDescent="0.25">
      <c r="A2949" t="str">
        <f t="shared" si="328"/>
        <v>CP125-NEW DONOR -1st</v>
      </c>
      <c r="B2949" t="s">
        <v>376</v>
      </c>
      <c r="C2949" t="str">
        <f t="shared" si="322"/>
        <v>Somerset</v>
      </c>
      <c r="D2949" t="str">
        <f t="shared" si="323"/>
        <v>Y</v>
      </c>
      <c r="E2949" t="s">
        <v>669</v>
      </c>
      <c r="F2949" t="str">
        <f t="shared" si="324"/>
        <v>NEW DONOR -1st</v>
      </c>
      <c r="G2949" t="str">
        <f t="shared" si="325"/>
        <v>Marketing</v>
      </c>
      <c r="H2949" t="s">
        <v>555</v>
      </c>
      <c r="I2949">
        <f t="shared" si="326"/>
        <v>1</v>
      </c>
      <c r="J2949" t="s">
        <v>546</v>
      </c>
      <c r="K2949" s="5">
        <v>100</v>
      </c>
      <c r="L2949" t="str">
        <f>Table_DataFromNL[[#This Row],[PROFILECODE]]&amp;"-"&amp;Table_DataFromNL[[#This Row],[RULENAME]]</f>
        <v>CP125-New Donor 1st Visit-Bonus</v>
      </c>
      <c r="M2949" t="str">
        <f t="shared" si="327"/>
        <v>CP125-NEW DONOR -1st</v>
      </c>
    </row>
    <row r="2950" spans="1:13" x14ac:dyDescent="0.25">
      <c r="A2950" t="str">
        <f t="shared" si="328"/>
        <v>CP125-NEW DONOR -2nd</v>
      </c>
      <c r="B2950" t="s">
        <v>376</v>
      </c>
      <c r="C2950" t="str">
        <f t="shared" si="322"/>
        <v>Somerset</v>
      </c>
      <c r="D2950" t="str">
        <f t="shared" si="323"/>
        <v>Y</v>
      </c>
      <c r="E2950" t="s">
        <v>669</v>
      </c>
      <c r="F2950" t="str">
        <f t="shared" si="324"/>
        <v>NEW DONOR -2nd</v>
      </c>
      <c r="G2950" t="str">
        <f t="shared" si="325"/>
        <v>Marketing</v>
      </c>
      <c r="H2950" t="s">
        <v>556</v>
      </c>
      <c r="I2950">
        <f t="shared" si="326"/>
        <v>2</v>
      </c>
      <c r="J2950" t="s">
        <v>546</v>
      </c>
      <c r="K2950" s="5">
        <v>100</v>
      </c>
      <c r="L2950" t="str">
        <f>Table_DataFromNL[[#This Row],[PROFILECODE]]&amp;"-"&amp;Table_DataFromNL[[#This Row],[RULENAME]]</f>
        <v>CP125-New Donor 2nd Visit-Bonus</v>
      </c>
      <c r="M2950" t="str">
        <f t="shared" si="327"/>
        <v>CP125-NEW DONOR -2nd</v>
      </c>
    </row>
    <row r="2951" spans="1:13" x14ac:dyDescent="0.25">
      <c r="A2951" t="str">
        <f t="shared" si="328"/>
        <v>CP125-NEW DONOR -3rd</v>
      </c>
      <c r="B2951" t="s">
        <v>376</v>
      </c>
      <c r="C2951" t="str">
        <f t="shared" si="322"/>
        <v>Somerset</v>
      </c>
      <c r="D2951" t="str">
        <f t="shared" si="323"/>
        <v>Y</v>
      </c>
      <c r="E2951" t="s">
        <v>669</v>
      </c>
      <c r="F2951" t="str">
        <f t="shared" si="324"/>
        <v>NEW DONOR -3rd</v>
      </c>
      <c r="G2951" t="str">
        <f t="shared" si="325"/>
        <v>Marketing</v>
      </c>
      <c r="H2951" t="s">
        <v>557</v>
      </c>
      <c r="I2951">
        <f t="shared" si="326"/>
        <v>3</v>
      </c>
      <c r="J2951" t="s">
        <v>546</v>
      </c>
      <c r="K2951" s="5">
        <v>100</v>
      </c>
      <c r="L2951" t="str">
        <f>Table_DataFromNL[[#This Row],[PROFILECODE]]&amp;"-"&amp;Table_DataFromNL[[#This Row],[RULENAME]]</f>
        <v>CP125-New Donor 3rd Visit-Bonus</v>
      </c>
      <c r="M2951" t="str">
        <f t="shared" si="327"/>
        <v>CP125-NEW DONOR -3rd</v>
      </c>
    </row>
    <row r="2952" spans="1:13" x14ac:dyDescent="0.25">
      <c r="A2952" t="str">
        <f t="shared" si="328"/>
        <v>CP125-NEW DONOR -4th</v>
      </c>
      <c r="B2952" t="s">
        <v>376</v>
      </c>
      <c r="C2952" t="str">
        <f t="shared" si="322"/>
        <v>Somerset</v>
      </c>
      <c r="D2952" t="str">
        <f t="shared" si="323"/>
        <v>Y</v>
      </c>
      <c r="E2952" t="s">
        <v>669</v>
      </c>
      <c r="F2952" t="str">
        <f t="shared" si="324"/>
        <v>NEW DONOR -4th</v>
      </c>
      <c r="G2952" t="str">
        <f t="shared" si="325"/>
        <v>Marketing</v>
      </c>
      <c r="H2952" t="s">
        <v>558</v>
      </c>
      <c r="I2952">
        <f t="shared" si="326"/>
        <v>4</v>
      </c>
      <c r="J2952" t="s">
        <v>546</v>
      </c>
      <c r="K2952" s="5">
        <v>100</v>
      </c>
      <c r="L2952" t="str">
        <f>Table_DataFromNL[[#This Row],[PROFILECODE]]&amp;"-"&amp;Table_DataFromNL[[#This Row],[RULENAME]]</f>
        <v>CP125-New Donor 4th Visit-Bonus</v>
      </c>
      <c r="M2952" t="str">
        <f t="shared" si="327"/>
        <v>CP125-NEW DONOR -4th</v>
      </c>
    </row>
    <row r="2953" spans="1:13" x14ac:dyDescent="0.25">
      <c r="A2953" t="str">
        <f t="shared" si="328"/>
        <v>CP125-NEW DONOR -5th</v>
      </c>
      <c r="B2953" t="s">
        <v>376</v>
      </c>
      <c r="C2953" t="str">
        <f t="shared" si="322"/>
        <v>Somerset</v>
      </c>
      <c r="D2953" t="str">
        <f t="shared" si="323"/>
        <v>Y</v>
      </c>
      <c r="E2953" t="s">
        <v>669</v>
      </c>
      <c r="F2953" t="str">
        <f t="shared" si="324"/>
        <v>NEW DONOR -5th</v>
      </c>
      <c r="G2953" t="str">
        <f t="shared" si="325"/>
        <v>Marketing</v>
      </c>
      <c r="H2953" t="s">
        <v>559</v>
      </c>
      <c r="I2953">
        <f t="shared" si="326"/>
        <v>5</v>
      </c>
      <c r="J2953" t="s">
        <v>546</v>
      </c>
      <c r="K2953" s="5">
        <v>100</v>
      </c>
      <c r="L2953" t="str">
        <f>Table_DataFromNL[[#This Row],[PROFILECODE]]&amp;"-"&amp;Table_DataFromNL[[#This Row],[RULENAME]]</f>
        <v>CP125-New Donor 5th Visit-Bonus</v>
      </c>
      <c r="M2953" t="str">
        <f t="shared" si="327"/>
        <v>CP125-NEW DONOR -5th</v>
      </c>
    </row>
    <row r="2954" spans="1:13" x14ac:dyDescent="0.25">
      <c r="A2954" t="str">
        <f t="shared" si="328"/>
        <v>CP125-NEW DONOR -6th</v>
      </c>
      <c r="B2954" t="s">
        <v>376</v>
      </c>
      <c r="C2954" t="str">
        <f t="shared" si="322"/>
        <v>Somerset</v>
      </c>
      <c r="D2954" t="str">
        <f t="shared" si="323"/>
        <v>Y</v>
      </c>
      <c r="E2954" t="s">
        <v>669</v>
      </c>
      <c r="F2954" t="str">
        <f t="shared" si="324"/>
        <v>NEW DONOR -6th</v>
      </c>
      <c r="G2954" t="str">
        <f t="shared" si="325"/>
        <v>Marketing</v>
      </c>
      <c r="H2954" t="s">
        <v>560</v>
      </c>
      <c r="I2954">
        <f t="shared" si="326"/>
        <v>6</v>
      </c>
      <c r="J2954" t="s">
        <v>546</v>
      </c>
      <c r="K2954" s="5">
        <v>100</v>
      </c>
      <c r="L2954" t="str">
        <f>Table_DataFromNL[[#This Row],[PROFILECODE]]&amp;"-"&amp;Table_DataFromNL[[#This Row],[RULENAME]]</f>
        <v>CP125-New Donor 6th Visit-Bonus</v>
      </c>
      <c r="M2954" t="str">
        <f t="shared" si="327"/>
        <v>CP125-NEW DONOR -6th</v>
      </c>
    </row>
    <row r="2955" spans="1:13" x14ac:dyDescent="0.25">
      <c r="A2955" t="str">
        <f t="shared" si="328"/>
        <v>CP125-NEW DONOR -7th</v>
      </c>
      <c r="B2955" t="s">
        <v>376</v>
      </c>
      <c r="C2955" t="str">
        <f t="shared" si="322"/>
        <v>Somerset</v>
      </c>
      <c r="D2955" t="str">
        <f t="shared" si="323"/>
        <v>Y</v>
      </c>
      <c r="E2955" t="s">
        <v>669</v>
      </c>
      <c r="F2955" t="str">
        <f t="shared" si="324"/>
        <v>NEW DONOR -7th</v>
      </c>
      <c r="G2955" t="str">
        <f t="shared" si="325"/>
        <v>Marketing</v>
      </c>
      <c r="H2955" t="s">
        <v>561</v>
      </c>
      <c r="I2955">
        <f t="shared" si="326"/>
        <v>7</v>
      </c>
      <c r="J2955" t="s">
        <v>546</v>
      </c>
      <c r="K2955" s="5">
        <v>100</v>
      </c>
      <c r="L2955" t="str">
        <f>Table_DataFromNL[[#This Row],[PROFILECODE]]&amp;"-"&amp;Table_DataFromNL[[#This Row],[RULENAME]]</f>
        <v>CP125-New Donor 7th Visit-Bonus</v>
      </c>
      <c r="M2955" t="str">
        <f t="shared" si="327"/>
        <v>CP125-NEW DONOR -7th</v>
      </c>
    </row>
    <row r="2956" spans="1:13" x14ac:dyDescent="0.25">
      <c r="A2956" t="str">
        <f t="shared" si="328"/>
        <v>CP125-NEW DONOR -8th</v>
      </c>
      <c r="B2956" t="s">
        <v>376</v>
      </c>
      <c r="C2956" t="str">
        <f t="shared" si="322"/>
        <v>Somerset</v>
      </c>
      <c r="D2956" t="str">
        <f t="shared" si="323"/>
        <v>Y</v>
      </c>
      <c r="E2956" t="s">
        <v>669</v>
      </c>
      <c r="F2956" t="str">
        <f t="shared" si="324"/>
        <v>NEW DONOR -8th</v>
      </c>
      <c r="G2956" t="str">
        <f t="shared" si="325"/>
        <v>Marketing</v>
      </c>
      <c r="H2956" t="s">
        <v>562</v>
      </c>
      <c r="I2956">
        <f t="shared" si="326"/>
        <v>8</v>
      </c>
      <c r="J2956" t="s">
        <v>546</v>
      </c>
      <c r="K2956" s="5">
        <v>100</v>
      </c>
      <c r="L2956" t="str">
        <f>Table_DataFromNL[[#This Row],[PROFILECODE]]&amp;"-"&amp;Table_DataFromNL[[#This Row],[RULENAME]]</f>
        <v>CP125-New Donor 8th Visit-Bonus</v>
      </c>
      <c r="M2956" t="str">
        <f t="shared" si="327"/>
        <v>CP125-NEW DONOR -8th</v>
      </c>
    </row>
    <row r="2957" spans="1:13" x14ac:dyDescent="0.25">
      <c r="A2957" t="str">
        <f t="shared" si="328"/>
        <v>CP125-Travel Miles 20-29</v>
      </c>
      <c r="B2957" t="s">
        <v>376</v>
      </c>
      <c r="C2957" t="str">
        <f t="shared" si="322"/>
        <v>Somerset</v>
      </c>
      <c r="D2957" t="str">
        <f t="shared" si="323"/>
        <v>Y</v>
      </c>
      <c r="E2957" t="s">
        <v>669</v>
      </c>
      <c r="F2957" t="str">
        <f t="shared" si="324"/>
        <v>Travel Miles 20-29</v>
      </c>
      <c r="G2957">
        <f t="shared" si="325"/>
        <v>0</v>
      </c>
      <c r="H2957" t="s">
        <v>670</v>
      </c>
      <c r="I2957">
        <f t="shared" si="326"/>
        <v>0</v>
      </c>
      <c r="J2957" t="s">
        <v>546</v>
      </c>
      <c r="K2957" s="5">
        <v>5</v>
      </c>
      <c r="L2957" t="str">
        <f>Table_DataFromNL[[#This Row],[PROFILECODE]]&amp;"-"&amp;Table_DataFromNL[[#This Row],[RULENAME]]</f>
        <v>CP125-Travel Miles 20-29</v>
      </c>
      <c r="M2957" t="e">
        <f t="shared" si="327"/>
        <v>#N/A</v>
      </c>
    </row>
    <row r="2958" spans="1:13" x14ac:dyDescent="0.25">
      <c r="A2958" t="str">
        <f t="shared" si="328"/>
        <v>CP125-Travel Miles 30-34</v>
      </c>
      <c r="B2958" t="s">
        <v>376</v>
      </c>
      <c r="C2958" t="str">
        <f t="shared" si="322"/>
        <v>Somerset</v>
      </c>
      <c r="D2958" t="str">
        <f t="shared" si="323"/>
        <v>Y</v>
      </c>
      <c r="E2958" t="s">
        <v>669</v>
      </c>
      <c r="F2958" t="str">
        <f t="shared" si="324"/>
        <v>Travel Miles 30-34</v>
      </c>
      <c r="G2958">
        <f t="shared" si="325"/>
        <v>0</v>
      </c>
      <c r="H2958" t="s">
        <v>671</v>
      </c>
      <c r="I2958">
        <f t="shared" si="326"/>
        <v>0</v>
      </c>
      <c r="J2958" t="s">
        <v>546</v>
      </c>
      <c r="K2958" s="5">
        <v>10</v>
      </c>
      <c r="L2958" t="str">
        <f>Table_DataFromNL[[#This Row],[PROFILECODE]]&amp;"-"&amp;Table_DataFromNL[[#This Row],[RULENAME]]</f>
        <v>CP125-Travel Miles 30-34</v>
      </c>
      <c r="M2958" t="e">
        <f t="shared" si="327"/>
        <v>#N/A</v>
      </c>
    </row>
    <row r="2959" spans="1:13" x14ac:dyDescent="0.25">
      <c r="A2959" t="str">
        <f t="shared" si="328"/>
        <v>CP125-Travel Miles 35-39</v>
      </c>
      <c r="B2959" t="s">
        <v>376</v>
      </c>
      <c r="C2959" t="str">
        <f t="shared" si="322"/>
        <v>Somerset</v>
      </c>
      <c r="D2959" t="str">
        <f t="shared" si="323"/>
        <v>Y</v>
      </c>
      <c r="E2959" t="s">
        <v>669</v>
      </c>
      <c r="F2959" t="str">
        <f t="shared" si="324"/>
        <v>Travel Miles 35-39</v>
      </c>
      <c r="G2959">
        <f t="shared" si="325"/>
        <v>0</v>
      </c>
      <c r="H2959" t="s">
        <v>672</v>
      </c>
      <c r="I2959">
        <f t="shared" si="326"/>
        <v>0</v>
      </c>
      <c r="J2959" t="s">
        <v>546</v>
      </c>
      <c r="K2959" s="5">
        <v>15</v>
      </c>
      <c r="L2959" t="str">
        <f>Table_DataFromNL[[#This Row],[PROFILECODE]]&amp;"-"&amp;Table_DataFromNL[[#This Row],[RULENAME]]</f>
        <v>CP125-Travel Miles 35-39</v>
      </c>
      <c r="M2959" t="e">
        <f t="shared" si="327"/>
        <v>#N/A</v>
      </c>
    </row>
    <row r="2960" spans="1:13" x14ac:dyDescent="0.25">
      <c r="A2960" t="str">
        <f t="shared" si="328"/>
        <v>CP125-Travel Miles 40-44</v>
      </c>
      <c r="B2960" t="s">
        <v>376</v>
      </c>
      <c r="C2960" t="str">
        <f t="shared" si="322"/>
        <v>Somerset</v>
      </c>
      <c r="D2960" t="str">
        <f t="shared" si="323"/>
        <v>Y</v>
      </c>
      <c r="E2960" t="s">
        <v>669</v>
      </c>
      <c r="F2960" t="str">
        <f t="shared" si="324"/>
        <v>Travel Miles 40-44</v>
      </c>
      <c r="G2960">
        <f t="shared" si="325"/>
        <v>0</v>
      </c>
      <c r="H2960" t="s">
        <v>673</v>
      </c>
      <c r="I2960">
        <f t="shared" si="326"/>
        <v>0</v>
      </c>
      <c r="J2960" t="s">
        <v>546</v>
      </c>
      <c r="K2960" s="5">
        <v>20</v>
      </c>
      <c r="L2960" t="str">
        <f>Table_DataFromNL[[#This Row],[PROFILECODE]]&amp;"-"&amp;Table_DataFromNL[[#This Row],[RULENAME]]</f>
        <v>CP125-Travel Miles 40-44</v>
      </c>
      <c r="M2960" t="e">
        <f t="shared" si="327"/>
        <v>#N/A</v>
      </c>
    </row>
    <row r="2961" spans="1:13" x14ac:dyDescent="0.25">
      <c r="A2961" t="str">
        <f t="shared" si="328"/>
        <v>CP125-Travel Miles 45-90</v>
      </c>
      <c r="B2961" t="s">
        <v>376</v>
      </c>
      <c r="C2961" t="str">
        <f t="shared" si="322"/>
        <v>Somerset</v>
      </c>
      <c r="D2961" t="str">
        <f t="shared" si="323"/>
        <v>Y</v>
      </c>
      <c r="E2961" t="s">
        <v>669</v>
      </c>
      <c r="F2961" t="str">
        <f t="shared" si="324"/>
        <v>Travel Miles 45-90</v>
      </c>
      <c r="G2961">
        <f t="shared" si="325"/>
        <v>0</v>
      </c>
      <c r="H2961" t="s">
        <v>674</v>
      </c>
      <c r="I2961">
        <f t="shared" si="326"/>
        <v>0</v>
      </c>
      <c r="J2961" t="s">
        <v>546</v>
      </c>
      <c r="K2961" s="5">
        <v>25</v>
      </c>
      <c r="L2961" t="str">
        <f>Table_DataFromNL[[#This Row],[PROFILECODE]]&amp;"-"&amp;Table_DataFromNL[[#This Row],[RULENAME]]</f>
        <v>CP125-Travel Miles 45-90</v>
      </c>
      <c r="M2961" t="e">
        <f t="shared" si="327"/>
        <v>#N/A</v>
      </c>
    </row>
    <row r="2962" spans="1:13" x14ac:dyDescent="0.25">
      <c r="A2962" t="str">
        <f t="shared" si="328"/>
        <v>CP125-Community</v>
      </c>
      <c r="B2962" t="s">
        <v>376</v>
      </c>
      <c r="C2962" t="str">
        <f t="shared" si="322"/>
        <v>Somerset</v>
      </c>
      <c r="D2962" t="str">
        <f t="shared" si="323"/>
        <v>Y</v>
      </c>
      <c r="E2962" t="s">
        <v>669</v>
      </c>
      <c r="F2962" t="str">
        <f t="shared" si="324"/>
        <v>Community</v>
      </c>
      <c r="G2962">
        <f t="shared" si="325"/>
        <v>0</v>
      </c>
      <c r="H2962" t="s">
        <v>563</v>
      </c>
      <c r="I2962">
        <f t="shared" si="326"/>
        <v>0</v>
      </c>
      <c r="J2962" t="s">
        <v>564</v>
      </c>
      <c r="K2962" s="5">
        <v>5</v>
      </c>
      <c r="L2962" t="str">
        <f>Table_DataFromNL[[#This Row],[PROFILECODE]]&amp;"-"&amp;Table_DataFromNL[[#This Row],[RULENAME]]</f>
        <v>CP125-Community</v>
      </c>
      <c r="M2962" t="e">
        <f t="shared" si="327"/>
        <v>#N/A</v>
      </c>
    </row>
    <row r="2963" spans="1:13" x14ac:dyDescent="0.25">
      <c r="A2963" t="str">
        <f t="shared" si="328"/>
        <v>CP125-DENOVO  - Antibody Screen</v>
      </c>
      <c r="B2963" t="s">
        <v>376</v>
      </c>
      <c r="C2963" t="str">
        <f t="shared" si="322"/>
        <v>Somerset</v>
      </c>
      <c r="D2963" t="str">
        <f t="shared" si="323"/>
        <v>Y</v>
      </c>
      <c r="E2963" t="s">
        <v>669</v>
      </c>
      <c r="F2963" t="str">
        <f t="shared" si="324"/>
        <v>DENOVO  - Antibody Screen</v>
      </c>
      <c r="G2963">
        <f t="shared" si="325"/>
        <v>0</v>
      </c>
      <c r="H2963" t="s">
        <v>651</v>
      </c>
      <c r="I2963">
        <f t="shared" si="326"/>
        <v>0</v>
      </c>
      <c r="J2963" t="s">
        <v>564</v>
      </c>
      <c r="K2963" s="5">
        <v>300</v>
      </c>
      <c r="L2963" t="str">
        <f>Table_DataFromNL[[#This Row],[PROFILECODE]]&amp;"-"&amp;Table_DataFromNL[[#This Row],[RULENAME]]</f>
        <v>CP125-DENOVO  - Antibody Screen</v>
      </c>
      <c r="M2963" t="e">
        <f t="shared" si="327"/>
        <v>#N/A</v>
      </c>
    </row>
    <row r="2964" spans="1:13" x14ac:dyDescent="0.25">
      <c r="A2964" t="str">
        <f t="shared" si="328"/>
        <v>CP125-Denovo - Attendance Bonus</v>
      </c>
      <c r="B2964" t="s">
        <v>376</v>
      </c>
      <c r="C2964" t="str">
        <f t="shared" si="322"/>
        <v>Somerset</v>
      </c>
      <c r="D2964" t="str">
        <f t="shared" si="323"/>
        <v>Y</v>
      </c>
      <c r="E2964" t="s">
        <v>669</v>
      </c>
      <c r="F2964" t="str">
        <f t="shared" si="324"/>
        <v>Denovo - Attendance Bonus</v>
      </c>
      <c r="G2964">
        <f t="shared" si="325"/>
        <v>0</v>
      </c>
      <c r="H2964" t="s">
        <v>652</v>
      </c>
      <c r="I2964">
        <f t="shared" si="326"/>
        <v>0</v>
      </c>
      <c r="J2964" t="s">
        <v>564</v>
      </c>
      <c r="K2964" s="5">
        <v>100</v>
      </c>
      <c r="L2964" t="str">
        <f>Table_DataFromNL[[#This Row],[PROFILECODE]]&amp;"-"&amp;Table_DataFromNL[[#This Row],[RULENAME]]</f>
        <v>CP125-Denovo - Attendance Bonus</v>
      </c>
      <c r="M2964" t="e">
        <f t="shared" si="327"/>
        <v>#N/A</v>
      </c>
    </row>
    <row r="2965" spans="1:13" x14ac:dyDescent="0.25">
      <c r="A2965" t="str">
        <f t="shared" si="328"/>
        <v>CP125-Denovo - Immunization</v>
      </c>
      <c r="B2965" t="s">
        <v>376</v>
      </c>
      <c r="C2965" t="str">
        <f t="shared" si="322"/>
        <v>Somerset</v>
      </c>
      <c r="D2965" t="str">
        <f t="shared" si="323"/>
        <v>Y</v>
      </c>
      <c r="E2965" t="s">
        <v>669</v>
      </c>
      <c r="F2965" t="str">
        <f t="shared" si="324"/>
        <v>Denovo - Immunization</v>
      </c>
      <c r="G2965">
        <f t="shared" si="325"/>
        <v>0</v>
      </c>
      <c r="H2965" t="s">
        <v>653</v>
      </c>
      <c r="I2965">
        <f t="shared" si="326"/>
        <v>0</v>
      </c>
      <c r="J2965" t="s">
        <v>564</v>
      </c>
      <c r="K2965" s="5">
        <v>300</v>
      </c>
      <c r="L2965" t="str">
        <f>Table_DataFromNL[[#This Row],[PROFILECODE]]&amp;"-"&amp;Table_DataFromNL[[#This Row],[RULENAME]]</f>
        <v>CP125-Denovo - Immunization</v>
      </c>
      <c r="M2965" t="e">
        <f t="shared" si="327"/>
        <v>#N/A</v>
      </c>
    </row>
    <row r="2966" spans="1:13" x14ac:dyDescent="0.25">
      <c r="A2966" t="str">
        <f t="shared" si="328"/>
        <v>CP125-HANGER_RECRUIT_5USD_once</v>
      </c>
      <c r="B2966" t="s">
        <v>376</v>
      </c>
      <c r="C2966" t="str">
        <f t="shared" si="322"/>
        <v>Somerset</v>
      </c>
      <c r="D2966" t="str">
        <f t="shared" si="323"/>
        <v>Y</v>
      </c>
      <c r="E2966" t="s">
        <v>669</v>
      </c>
      <c r="F2966" t="str">
        <f t="shared" si="324"/>
        <v>HANGER_RECRUIT_5USD_once</v>
      </c>
      <c r="G2966">
        <f t="shared" si="325"/>
        <v>0</v>
      </c>
      <c r="H2966" t="s">
        <v>565</v>
      </c>
      <c r="I2966">
        <f t="shared" si="326"/>
        <v>0</v>
      </c>
      <c r="J2966" t="s">
        <v>564</v>
      </c>
      <c r="K2966" s="5">
        <v>5</v>
      </c>
      <c r="L2966" t="str">
        <f>Table_DataFromNL[[#This Row],[PROFILECODE]]&amp;"-"&amp;Table_DataFromNL[[#This Row],[RULENAME]]</f>
        <v>CP125-HANGER_RECRUIT_5USD_once</v>
      </c>
      <c r="M2966" t="e">
        <f t="shared" si="327"/>
        <v>#N/A</v>
      </c>
    </row>
    <row r="2967" spans="1:13" x14ac:dyDescent="0.25">
      <c r="A2967" t="str">
        <f t="shared" si="328"/>
        <v>CP125-Immunization Boost Payment</v>
      </c>
      <c r="B2967" t="s">
        <v>376</v>
      </c>
      <c r="C2967" t="str">
        <f t="shared" si="322"/>
        <v>Somerset</v>
      </c>
      <c r="D2967" t="str">
        <f t="shared" si="323"/>
        <v>Y</v>
      </c>
      <c r="E2967" t="s">
        <v>669</v>
      </c>
      <c r="F2967" t="str">
        <f t="shared" si="324"/>
        <v>Immunization Boost Payment</v>
      </c>
      <c r="G2967">
        <f t="shared" si="325"/>
        <v>0</v>
      </c>
      <c r="H2967" t="s">
        <v>598</v>
      </c>
      <c r="I2967">
        <f t="shared" si="326"/>
        <v>0</v>
      </c>
      <c r="J2967" t="s">
        <v>564</v>
      </c>
      <c r="K2967" s="5">
        <v>50</v>
      </c>
      <c r="L2967" t="str">
        <f>Table_DataFromNL[[#This Row],[PROFILECODE]]&amp;"-"&amp;Table_DataFromNL[[#This Row],[RULENAME]]</f>
        <v>CP125-Immunization Boost Payment</v>
      </c>
      <c r="M2967" t="e">
        <f t="shared" si="327"/>
        <v>#N/A</v>
      </c>
    </row>
    <row r="2968" spans="1:13" x14ac:dyDescent="0.25">
      <c r="A2968" t="str">
        <f t="shared" si="328"/>
        <v>CP125-Immunization Series Payment</v>
      </c>
      <c r="B2968" t="s">
        <v>376</v>
      </c>
      <c r="C2968" t="str">
        <f t="shared" si="322"/>
        <v>Somerset</v>
      </c>
      <c r="D2968" t="str">
        <f t="shared" si="323"/>
        <v>Y</v>
      </c>
      <c r="E2968" t="s">
        <v>669</v>
      </c>
      <c r="F2968" t="str">
        <f t="shared" si="324"/>
        <v>Immunization Series Payment</v>
      </c>
      <c r="G2968">
        <f t="shared" si="325"/>
        <v>0</v>
      </c>
      <c r="H2968" t="s">
        <v>599</v>
      </c>
      <c r="I2968">
        <f t="shared" si="326"/>
        <v>0</v>
      </c>
      <c r="J2968" t="s">
        <v>564</v>
      </c>
      <c r="K2968" s="5">
        <v>100</v>
      </c>
      <c r="L2968" t="str">
        <f>Table_DataFromNL[[#This Row],[PROFILECODE]]&amp;"-"&amp;Table_DataFromNL[[#This Row],[RULENAME]]</f>
        <v>CP125-Immunization Series Payment</v>
      </c>
      <c r="M2968" t="e">
        <f t="shared" si="327"/>
        <v>#N/A</v>
      </c>
    </row>
    <row r="2969" spans="1:13" x14ac:dyDescent="0.25">
      <c r="A2969" t="str">
        <f t="shared" si="328"/>
        <v>CP125-Inconv Fee $20-$50-Comment Req'd</v>
      </c>
      <c r="B2969" t="s">
        <v>376</v>
      </c>
      <c r="C2969" t="str">
        <f t="shared" si="322"/>
        <v>Somerset</v>
      </c>
      <c r="D2969" t="str">
        <f t="shared" si="323"/>
        <v>Y</v>
      </c>
      <c r="E2969" t="s">
        <v>669</v>
      </c>
      <c r="F2969" t="str">
        <f t="shared" si="324"/>
        <v>Inconv Fee $20-$50-Comment Req'd</v>
      </c>
      <c r="G2969">
        <f t="shared" si="325"/>
        <v>0</v>
      </c>
      <c r="H2969" t="s">
        <v>566</v>
      </c>
      <c r="I2969">
        <f t="shared" si="326"/>
        <v>0</v>
      </c>
      <c r="J2969" t="s">
        <v>564</v>
      </c>
      <c r="K2969" s="5">
        <v>50</v>
      </c>
      <c r="L2969" t="str">
        <f>Table_DataFromNL[[#This Row],[PROFILECODE]]&amp;"-"&amp;Table_DataFromNL[[#This Row],[RULENAME]]</f>
        <v>CP125-Inconv Fee $20-$50-Comment Req'd</v>
      </c>
      <c r="M2969" t="e">
        <f t="shared" si="327"/>
        <v>#N/A</v>
      </c>
    </row>
    <row r="2970" spans="1:13" x14ac:dyDescent="0.25">
      <c r="A2970" t="str">
        <f t="shared" si="328"/>
        <v>CP125-Inconv Fee $5-$20-Comment Req'd</v>
      </c>
      <c r="B2970" t="s">
        <v>376</v>
      </c>
      <c r="C2970" t="str">
        <f t="shared" si="322"/>
        <v>Somerset</v>
      </c>
      <c r="D2970" t="str">
        <f t="shared" si="323"/>
        <v>Y</v>
      </c>
      <c r="E2970" t="s">
        <v>669</v>
      </c>
      <c r="F2970" t="str">
        <f t="shared" si="324"/>
        <v>Inconv Fee $5-$20-Comment Req'd</v>
      </c>
      <c r="G2970">
        <f t="shared" si="325"/>
        <v>0</v>
      </c>
      <c r="H2970" t="s">
        <v>567</v>
      </c>
      <c r="I2970">
        <f t="shared" si="326"/>
        <v>0</v>
      </c>
      <c r="J2970" t="s">
        <v>564</v>
      </c>
      <c r="K2970" s="5">
        <v>20</v>
      </c>
      <c r="L2970" t="str">
        <f>Table_DataFromNL[[#This Row],[PROFILECODE]]&amp;"-"&amp;Table_DataFromNL[[#This Row],[RULENAME]]</f>
        <v>CP125-Inconv Fee $5-$20-Comment Req'd</v>
      </c>
      <c r="M2970" t="e">
        <f t="shared" si="327"/>
        <v>#N/A</v>
      </c>
    </row>
    <row r="2971" spans="1:13" x14ac:dyDescent="0.25">
      <c r="A2971" t="str">
        <f t="shared" si="328"/>
        <v>CP125-Inconv Fee$50-$100-Comment Req'd</v>
      </c>
      <c r="B2971" t="s">
        <v>376</v>
      </c>
      <c r="C2971" t="str">
        <f t="shared" si="322"/>
        <v>Somerset</v>
      </c>
      <c r="D2971" t="str">
        <f t="shared" si="323"/>
        <v>Y</v>
      </c>
      <c r="E2971" t="s">
        <v>669</v>
      </c>
      <c r="F2971" t="str">
        <f t="shared" si="324"/>
        <v>Inconv Fee$50-$100-Comment Req'd</v>
      </c>
      <c r="G2971">
        <f t="shared" si="325"/>
        <v>0</v>
      </c>
      <c r="H2971" t="s">
        <v>568</v>
      </c>
      <c r="I2971">
        <f t="shared" si="326"/>
        <v>0</v>
      </c>
      <c r="J2971" t="s">
        <v>564</v>
      </c>
      <c r="K2971" s="5">
        <v>100</v>
      </c>
      <c r="L2971" t="str">
        <f>Table_DataFromNL[[#This Row],[PROFILECODE]]&amp;"-"&amp;Table_DataFromNL[[#This Row],[RULENAME]]</f>
        <v>CP125-Inconv Fee$50-$100-Comment Req'd</v>
      </c>
      <c r="M2971" t="e">
        <f t="shared" si="327"/>
        <v>#N/A</v>
      </c>
    </row>
    <row r="2972" spans="1:13" x14ac:dyDescent="0.25">
      <c r="A2972" t="str">
        <f t="shared" si="328"/>
        <v>CP125-NSP_ LAPSEDONOR_50_Twice</v>
      </c>
      <c r="B2972" t="s">
        <v>376</v>
      </c>
      <c r="C2972" t="str">
        <f t="shared" si="322"/>
        <v>Somerset</v>
      </c>
      <c r="D2972" t="str">
        <f t="shared" si="323"/>
        <v>Y</v>
      </c>
      <c r="E2972" t="s">
        <v>669</v>
      </c>
      <c r="F2972" t="str">
        <f t="shared" si="324"/>
        <v>NSP_ LAPSEDONOR_50_Twice</v>
      </c>
      <c r="G2972">
        <f t="shared" si="325"/>
        <v>0</v>
      </c>
      <c r="H2972" t="s">
        <v>569</v>
      </c>
      <c r="I2972">
        <f t="shared" si="326"/>
        <v>0</v>
      </c>
      <c r="J2972" t="s">
        <v>564</v>
      </c>
      <c r="K2972" s="5">
        <v>50</v>
      </c>
      <c r="L2972" t="str">
        <f>Table_DataFromNL[[#This Row],[PROFILECODE]]&amp;"-"&amp;Table_DataFromNL[[#This Row],[RULENAME]]</f>
        <v>CP125-NSP_ LAPSEDONOR_50_Twice</v>
      </c>
      <c r="M2972" t="e">
        <f t="shared" si="327"/>
        <v>#N/A</v>
      </c>
    </row>
    <row r="2973" spans="1:13" x14ac:dyDescent="0.25">
      <c r="A2973" t="str">
        <f t="shared" si="328"/>
        <v>CP125-NSP_LD_25_2X</v>
      </c>
      <c r="B2973" t="s">
        <v>376</v>
      </c>
      <c r="C2973" t="str">
        <f t="shared" si="322"/>
        <v>Somerset</v>
      </c>
      <c r="D2973" t="str">
        <f t="shared" si="323"/>
        <v>Y</v>
      </c>
      <c r="E2973" t="s">
        <v>669</v>
      </c>
      <c r="F2973" t="str">
        <f t="shared" si="324"/>
        <v>NSP_LD_25_2X</v>
      </c>
      <c r="G2973">
        <f t="shared" si="325"/>
        <v>0</v>
      </c>
      <c r="H2973" t="s">
        <v>570</v>
      </c>
      <c r="I2973">
        <f t="shared" si="326"/>
        <v>0</v>
      </c>
      <c r="J2973" t="s">
        <v>564</v>
      </c>
      <c r="K2973" s="5">
        <v>25</v>
      </c>
      <c r="L2973" t="str">
        <f>Table_DataFromNL[[#This Row],[PROFILECODE]]&amp;"-"&amp;Table_DataFromNL[[#This Row],[RULENAME]]</f>
        <v>CP125-NSP_LD_25_2X</v>
      </c>
      <c r="M2973" t="e">
        <f t="shared" si="327"/>
        <v>#N/A</v>
      </c>
    </row>
    <row r="2974" spans="1:13" x14ac:dyDescent="0.25">
      <c r="A2974" t="str">
        <f t="shared" si="328"/>
        <v>CP125-NSP_LD_50_1X</v>
      </c>
      <c r="B2974" t="s">
        <v>376</v>
      </c>
      <c r="C2974" t="str">
        <f t="shared" si="322"/>
        <v>Somerset</v>
      </c>
      <c r="D2974" t="str">
        <f t="shared" si="323"/>
        <v>Y</v>
      </c>
      <c r="E2974" t="s">
        <v>669</v>
      </c>
      <c r="F2974" t="str">
        <f t="shared" si="324"/>
        <v>NSP_LD_50_1X</v>
      </c>
      <c r="G2974">
        <f t="shared" si="325"/>
        <v>0</v>
      </c>
      <c r="H2974" t="s">
        <v>571</v>
      </c>
      <c r="I2974">
        <f t="shared" si="326"/>
        <v>0</v>
      </c>
      <c r="J2974" t="s">
        <v>564</v>
      </c>
      <c r="K2974" s="5">
        <v>50</v>
      </c>
      <c r="L2974" t="str">
        <f>Table_DataFromNL[[#This Row],[PROFILECODE]]&amp;"-"&amp;Table_DataFromNL[[#This Row],[RULENAME]]</f>
        <v>CP125-NSP_LD_50_1X</v>
      </c>
      <c r="M2974" t="e">
        <f t="shared" si="327"/>
        <v>#N/A</v>
      </c>
    </row>
    <row r="2975" spans="1:13" x14ac:dyDescent="0.25">
      <c r="A2975" t="str">
        <f t="shared" si="328"/>
        <v>CP125-NSP_ORPHAN_100_once</v>
      </c>
      <c r="B2975" t="s">
        <v>376</v>
      </c>
      <c r="C2975" t="str">
        <f t="shared" si="322"/>
        <v>Somerset</v>
      </c>
      <c r="D2975" t="str">
        <f t="shared" si="323"/>
        <v>Y</v>
      </c>
      <c r="E2975" t="s">
        <v>669</v>
      </c>
      <c r="F2975" t="str">
        <f t="shared" si="324"/>
        <v>NSP_ORPHAN_100_once</v>
      </c>
      <c r="G2975">
        <f t="shared" si="325"/>
        <v>0</v>
      </c>
      <c r="H2975" t="s">
        <v>572</v>
      </c>
      <c r="I2975">
        <f t="shared" si="326"/>
        <v>0</v>
      </c>
      <c r="J2975" t="s">
        <v>564</v>
      </c>
      <c r="K2975" s="5">
        <v>100</v>
      </c>
      <c r="L2975" t="str">
        <f>Table_DataFromNL[[#This Row],[PROFILECODE]]&amp;"-"&amp;Table_DataFromNL[[#This Row],[RULENAME]]</f>
        <v>CP125-NSP_ORPHAN_100_once</v>
      </c>
      <c r="M2975" t="e">
        <f t="shared" si="327"/>
        <v>#N/A</v>
      </c>
    </row>
    <row r="2976" spans="1:13" x14ac:dyDescent="0.25">
      <c r="A2976" t="str">
        <f t="shared" si="328"/>
        <v>CP125-Restick</v>
      </c>
      <c r="B2976" t="s">
        <v>376</v>
      </c>
      <c r="C2976" t="str">
        <f t="shared" si="322"/>
        <v>Somerset</v>
      </c>
      <c r="D2976" t="str">
        <f t="shared" si="323"/>
        <v>Y</v>
      </c>
      <c r="E2976" t="s">
        <v>669</v>
      </c>
      <c r="F2976" t="str">
        <f t="shared" si="324"/>
        <v>Restick</v>
      </c>
      <c r="G2976">
        <f t="shared" si="325"/>
        <v>0</v>
      </c>
      <c r="H2976" t="s">
        <v>573</v>
      </c>
      <c r="I2976">
        <f t="shared" si="326"/>
        <v>0</v>
      </c>
      <c r="J2976" t="s">
        <v>564</v>
      </c>
      <c r="K2976" s="5">
        <v>5</v>
      </c>
      <c r="L2976" t="str">
        <f>Table_DataFromNL[[#This Row],[PROFILECODE]]&amp;"-"&amp;Table_DataFromNL[[#This Row],[RULENAME]]</f>
        <v>CP125-Restick</v>
      </c>
      <c r="M2976" t="e">
        <f t="shared" si="327"/>
        <v>#N/A</v>
      </c>
    </row>
    <row r="2977" spans="1:13" x14ac:dyDescent="0.25">
      <c r="A2977" t="str">
        <f t="shared" si="328"/>
        <v>CP125-SLOW_TEXT_5</v>
      </c>
      <c r="B2977" t="s">
        <v>376</v>
      </c>
      <c r="C2977" t="str">
        <f t="shared" si="322"/>
        <v>Somerset</v>
      </c>
      <c r="D2977" t="str">
        <f t="shared" si="323"/>
        <v>Y</v>
      </c>
      <c r="E2977" t="s">
        <v>669</v>
      </c>
      <c r="F2977" t="str">
        <f t="shared" si="324"/>
        <v>SLOW_TEXT_5</v>
      </c>
      <c r="G2977">
        <f t="shared" si="325"/>
        <v>0</v>
      </c>
      <c r="H2977" t="s">
        <v>574</v>
      </c>
      <c r="I2977">
        <f t="shared" si="326"/>
        <v>0</v>
      </c>
      <c r="J2977" t="s">
        <v>564</v>
      </c>
      <c r="K2977" s="5">
        <v>5</v>
      </c>
      <c r="L2977" t="str">
        <f>Table_DataFromNL[[#This Row],[PROFILECODE]]&amp;"-"&amp;Table_DataFromNL[[#This Row],[RULENAME]]</f>
        <v>CP125-SLOW_TEXT_5</v>
      </c>
      <c r="M2977" t="e">
        <f t="shared" si="327"/>
        <v>#N/A</v>
      </c>
    </row>
    <row r="2978" spans="1:13" x14ac:dyDescent="0.25">
      <c r="A2978" t="str">
        <f t="shared" si="328"/>
        <v>CP125-Sample Only</v>
      </c>
      <c r="B2978" t="s">
        <v>376</v>
      </c>
      <c r="C2978" t="str">
        <f t="shared" si="322"/>
        <v>Somerset</v>
      </c>
      <c r="D2978" t="str">
        <f t="shared" si="323"/>
        <v>Y</v>
      </c>
      <c r="E2978" t="s">
        <v>669</v>
      </c>
      <c r="F2978" t="str">
        <f t="shared" si="324"/>
        <v>Sample Only</v>
      </c>
      <c r="G2978">
        <f t="shared" si="325"/>
        <v>0</v>
      </c>
      <c r="H2978" t="s">
        <v>575</v>
      </c>
      <c r="I2978">
        <f t="shared" si="326"/>
        <v>0</v>
      </c>
      <c r="J2978" t="s">
        <v>564</v>
      </c>
      <c r="K2978" s="5">
        <v>5</v>
      </c>
      <c r="L2978" t="str">
        <f>Table_DataFromNL[[#This Row],[PROFILECODE]]&amp;"-"&amp;Table_DataFromNL[[#This Row],[RULENAME]]</f>
        <v>CP125-Sample Only</v>
      </c>
      <c r="M2978" t="e">
        <f t="shared" si="327"/>
        <v>#N/A</v>
      </c>
    </row>
    <row r="2979" spans="1:13" x14ac:dyDescent="0.25">
      <c r="A2979" t="str">
        <f t="shared" si="328"/>
        <v>CP125-Unit Below 250 mL</v>
      </c>
      <c r="B2979" t="s">
        <v>376</v>
      </c>
      <c r="C2979" t="str">
        <f t="shared" si="322"/>
        <v>Somerset</v>
      </c>
      <c r="D2979" t="str">
        <f t="shared" si="323"/>
        <v>Y</v>
      </c>
      <c r="E2979" t="s">
        <v>669</v>
      </c>
      <c r="F2979" t="str">
        <f t="shared" si="324"/>
        <v>Unit Below 250 mL</v>
      </c>
      <c r="G2979">
        <f t="shared" si="325"/>
        <v>0</v>
      </c>
      <c r="H2979" t="s">
        <v>576</v>
      </c>
      <c r="I2979">
        <f t="shared" si="326"/>
        <v>0</v>
      </c>
      <c r="J2979" t="s">
        <v>564</v>
      </c>
      <c r="K2979" s="5">
        <v>5</v>
      </c>
      <c r="L2979" t="str">
        <f>Table_DataFromNL[[#This Row],[PROFILECODE]]&amp;"-"&amp;Table_DataFromNL[[#This Row],[RULENAME]]</f>
        <v>CP125-Unit Below 250 mL</v>
      </c>
      <c r="M2979" t="e">
        <f t="shared" si="327"/>
        <v>#N/A</v>
      </c>
    </row>
    <row r="2980" spans="1:13" x14ac:dyDescent="0.25">
      <c r="A2980" t="str">
        <f t="shared" si="328"/>
        <v>CP125-Unit above 250 mL/underdraw</v>
      </c>
      <c r="B2980" t="s">
        <v>376</v>
      </c>
      <c r="C2980" t="str">
        <f t="shared" si="322"/>
        <v>Somerset</v>
      </c>
      <c r="D2980" t="str">
        <f t="shared" si="323"/>
        <v>Y</v>
      </c>
      <c r="E2980" t="s">
        <v>669</v>
      </c>
      <c r="F2980" t="str">
        <f t="shared" si="324"/>
        <v>Unit above 250 mL/underdraw</v>
      </c>
      <c r="G2980">
        <f t="shared" si="325"/>
        <v>0</v>
      </c>
      <c r="H2980" t="s">
        <v>577</v>
      </c>
      <c r="I2980">
        <f t="shared" si="326"/>
        <v>0</v>
      </c>
      <c r="J2980" t="s">
        <v>564</v>
      </c>
      <c r="K2980" s="5">
        <v>10</v>
      </c>
      <c r="L2980" t="str">
        <f>Table_DataFromNL[[#This Row],[PROFILECODE]]&amp;"-"&amp;Table_DataFromNL[[#This Row],[RULENAME]]</f>
        <v>CP125-Unit above 250 mL/underdraw</v>
      </c>
      <c r="M2980" t="e">
        <f t="shared" si="327"/>
        <v>#N/A</v>
      </c>
    </row>
    <row r="2981" spans="1:13" x14ac:dyDescent="0.25">
      <c r="A2981" t="str">
        <f t="shared" si="328"/>
        <v>CP125-RETURN - Buddy referral  -BONUS</v>
      </c>
      <c r="B2981" t="s">
        <v>376</v>
      </c>
      <c r="C2981" t="str">
        <f t="shared" si="322"/>
        <v>Somerset</v>
      </c>
      <c r="D2981" t="str">
        <f t="shared" si="323"/>
        <v>Y</v>
      </c>
      <c r="E2981" t="s">
        <v>669</v>
      </c>
      <c r="F2981" t="str">
        <f t="shared" si="324"/>
        <v>RETURN - Buddy referral  -BONUS</v>
      </c>
      <c r="G2981" t="str">
        <f t="shared" si="325"/>
        <v>Marketing</v>
      </c>
      <c r="H2981" t="s">
        <v>34</v>
      </c>
      <c r="I2981">
        <f t="shared" si="326"/>
        <v>50</v>
      </c>
      <c r="J2981" t="s">
        <v>578</v>
      </c>
      <c r="K2981" s="5">
        <v>75</v>
      </c>
      <c r="L2981" t="str">
        <f>Table_DataFromNL[[#This Row],[PROFILECODE]]&amp;"-"&amp;Table_DataFromNL[[#This Row],[RULENAME]]</f>
        <v>CP125-Referral</v>
      </c>
      <c r="M2981" t="str">
        <f t="shared" si="327"/>
        <v>CP125-RETURN - Buddy referral  -BONUS</v>
      </c>
    </row>
    <row r="2982" spans="1:13" x14ac:dyDescent="0.25">
      <c r="A2982" t="str">
        <f t="shared" si="328"/>
        <v>CP125-125 Anti - D PreExisting</v>
      </c>
      <c r="B2982" t="s">
        <v>376</v>
      </c>
      <c r="C2982" t="str">
        <f t="shared" si="322"/>
        <v>Somerset</v>
      </c>
      <c r="D2982" t="str">
        <f t="shared" si="323"/>
        <v>Y</v>
      </c>
      <c r="E2982" t="s">
        <v>669</v>
      </c>
      <c r="F2982" t="str">
        <f t="shared" si="324"/>
        <v>125 Anti - D PreExisting</v>
      </c>
      <c r="G2982" t="str">
        <f t="shared" si="325"/>
        <v>Specialty</v>
      </c>
      <c r="H2982" t="s">
        <v>528</v>
      </c>
      <c r="I2982">
        <f t="shared" si="326"/>
        <v>0</v>
      </c>
      <c r="J2982" t="s">
        <v>579</v>
      </c>
      <c r="K2982" s="5">
        <v>100</v>
      </c>
      <c r="L2982" t="str">
        <f>Table_DataFromNL[[#This Row],[PROFILECODE]]&amp;"-"&amp;Table_DataFromNL[[#This Row],[RULENAME]]</f>
        <v>CP125-125 Anti - D PreExisting</v>
      </c>
      <c r="M2982" t="str">
        <f t="shared" si="327"/>
        <v>CP125-125 Anti - D PreExisting</v>
      </c>
    </row>
    <row r="2983" spans="1:13" x14ac:dyDescent="0.25">
      <c r="A2983" t="str">
        <f t="shared" si="328"/>
        <v>CP125-125 Anti-D Somerset AP</v>
      </c>
      <c r="B2983" t="s">
        <v>376</v>
      </c>
      <c r="C2983" t="str">
        <f t="shared" si="322"/>
        <v>Somerset</v>
      </c>
      <c r="D2983" t="str">
        <f t="shared" si="323"/>
        <v>Y</v>
      </c>
      <c r="E2983" t="s">
        <v>669</v>
      </c>
      <c r="F2983" t="str">
        <f t="shared" si="324"/>
        <v>125 Anti-D Somerset AP</v>
      </c>
      <c r="G2983" t="str">
        <f t="shared" si="325"/>
        <v>Specialty</v>
      </c>
      <c r="H2983" t="s">
        <v>529</v>
      </c>
      <c r="I2983">
        <f t="shared" si="326"/>
        <v>0</v>
      </c>
      <c r="J2983" t="s">
        <v>579</v>
      </c>
      <c r="K2983" s="5">
        <v>100</v>
      </c>
      <c r="L2983" t="str">
        <f>Table_DataFromNL[[#This Row],[PROFILECODE]]&amp;"-"&amp;Table_DataFromNL[[#This Row],[RULENAME]]</f>
        <v>CP125-125 Anti-D Somerset AP</v>
      </c>
      <c r="M2983" t="str">
        <f t="shared" si="327"/>
        <v>CP125-125 Anti-D Somerset AP</v>
      </c>
    </row>
    <row r="2984" spans="1:13" x14ac:dyDescent="0.25">
      <c r="A2984" t="str">
        <f t="shared" si="328"/>
        <v>CP125-125 D Non EU Standard</v>
      </c>
      <c r="B2984" t="s">
        <v>376</v>
      </c>
      <c r="C2984" t="str">
        <f t="shared" si="322"/>
        <v>Somerset</v>
      </c>
      <c r="D2984" t="str">
        <f t="shared" si="323"/>
        <v>Y</v>
      </c>
      <c r="E2984" t="s">
        <v>669</v>
      </c>
      <c r="F2984" t="str">
        <f t="shared" si="324"/>
        <v>125 D Non EU Standard</v>
      </c>
      <c r="G2984" t="str">
        <f t="shared" si="325"/>
        <v>Specialty</v>
      </c>
      <c r="H2984" t="s">
        <v>530</v>
      </c>
      <c r="I2984">
        <f t="shared" si="326"/>
        <v>0</v>
      </c>
      <c r="J2984" t="s">
        <v>579</v>
      </c>
      <c r="K2984" s="5">
        <v>100</v>
      </c>
      <c r="L2984" t="str">
        <f>Table_DataFromNL[[#This Row],[PROFILECODE]]&amp;"-"&amp;Table_DataFromNL[[#This Row],[RULENAME]]</f>
        <v>CP125-125 D Non EU Standard</v>
      </c>
      <c r="M2984" t="str">
        <f t="shared" si="327"/>
        <v>CP125-125 D Non EU Standard</v>
      </c>
    </row>
    <row r="2985" spans="1:13" x14ac:dyDescent="0.25">
      <c r="A2985" t="str">
        <f t="shared" si="328"/>
        <v>CP125-125 D Standard</v>
      </c>
      <c r="B2985" t="s">
        <v>376</v>
      </c>
      <c r="C2985" t="str">
        <f t="shared" si="322"/>
        <v>Somerset</v>
      </c>
      <c r="D2985" t="str">
        <f t="shared" si="323"/>
        <v>Y</v>
      </c>
      <c r="E2985" t="s">
        <v>669</v>
      </c>
      <c r="F2985" t="str">
        <f t="shared" si="324"/>
        <v>125 D Standard</v>
      </c>
      <c r="G2985" t="str">
        <f t="shared" si="325"/>
        <v>Specialty</v>
      </c>
      <c r="H2985" t="s">
        <v>531</v>
      </c>
      <c r="I2985">
        <f t="shared" si="326"/>
        <v>0</v>
      </c>
      <c r="J2985" t="s">
        <v>579</v>
      </c>
      <c r="K2985" s="5">
        <v>100</v>
      </c>
      <c r="L2985" t="str">
        <f>Table_DataFromNL[[#This Row],[PROFILECODE]]&amp;"-"&amp;Table_DataFromNL[[#This Row],[RULENAME]]</f>
        <v>CP125-125 D Standard</v>
      </c>
      <c r="M2985" t="str">
        <f t="shared" si="327"/>
        <v>CP125-125 D Standard</v>
      </c>
    </row>
    <row r="2986" spans="1:13" x14ac:dyDescent="0.25">
      <c r="A2986" t="str">
        <f t="shared" si="328"/>
        <v>CP125-125 Normal Source Standard</v>
      </c>
      <c r="B2986" t="s">
        <v>376</v>
      </c>
      <c r="C2986" t="str">
        <f t="shared" si="322"/>
        <v>Somerset</v>
      </c>
      <c r="D2986" t="str">
        <f t="shared" si="323"/>
        <v>Y</v>
      </c>
      <c r="E2986" t="s">
        <v>669</v>
      </c>
      <c r="F2986" t="str">
        <f t="shared" si="324"/>
        <v>125 Normal Source Standard</v>
      </c>
      <c r="G2986" t="str">
        <f t="shared" si="325"/>
        <v>Specialty</v>
      </c>
      <c r="H2986" t="s">
        <v>532</v>
      </c>
      <c r="I2986">
        <f t="shared" si="326"/>
        <v>0</v>
      </c>
      <c r="J2986" t="s">
        <v>579</v>
      </c>
      <c r="K2986" s="5">
        <v>100</v>
      </c>
      <c r="L2986" t="str">
        <f>Table_DataFromNL[[#This Row],[PROFILECODE]]&amp;"-"&amp;Table_DataFromNL[[#This Row],[RULENAME]]</f>
        <v>CP125-125 Normal Source Standard</v>
      </c>
      <c r="M2986" t="str">
        <f t="shared" si="327"/>
        <v>CP125-125 Normal Source Standard</v>
      </c>
    </row>
    <row r="2987" spans="1:13" x14ac:dyDescent="0.25">
      <c r="A2987" t="str">
        <f t="shared" si="328"/>
        <v>CP125-Anti - D NEU AP SS Standard</v>
      </c>
      <c r="B2987" t="s">
        <v>376</v>
      </c>
      <c r="C2987" t="str">
        <f t="shared" si="322"/>
        <v>Somerset</v>
      </c>
      <c r="D2987" t="str">
        <f t="shared" si="323"/>
        <v>Y</v>
      </c>
      <c r="E2987" t="s">
        <v>669</v>
      </c>
      <c r="F2987" t="str">
        <f t="shared" si="324"/>
        <v>Anti - D NEU AP SS Standard</v>
      </c>
      <c r="G2987" t="str">
        <f t="shared" si="325"/>
        <v>Specialty</v>
      </c>
      <c r="H2987" t="s">
        <v>533</v>
      </c>
      <c r="I2987">
        <f t="shared" si="326"/>
        <v>0</v>
      </c>
      <c r="J2987" t="s">
        <v>579</v>
      </c>
      <c r="K2987" s="5">
        <v>100</v>
      </c>
      <c r="L2987" t="str">
        <f>Table_DataFromNL[[#This Row],[PROFILECODE]]&amp;"-"&amp;Table_DataFromNL[[#This Row],[RULENAME]]</f>
        <v>CP125-Anti - D NEU AP SS Standard</v>
      </c>
      <c r="M2987" t="str">
        <f t="shared" si="327"/>
        <v>CP125-Anti - D NEU AP SS Standard</v>
      </c>
    </row>
    <row r="2988" spans="1:13" x14ac:dyDescent="0.25">
      <c r="A2988" t="str">
        <f t="shared" si="328"/>
        <v>CP125-Test Cells</v>
      </c>
      <c r="B2988" t="s">
        <v>376</v>
      </c>
      <c r="C2988" t="str">
        <f t="shared" si="322"/>
        <v>Somerset</v>
      </c>
      <c r="D2988" t="str">
        <f t="shared" si="323"/>
        <v>Y</v>
      </c>
      <c r="E2988" t="s">
        <v>669</v>
      </c>
      <c r="F2988" t="str">
        <f t="shared" si="324"/>
        <v>Test Cells</v>
      </c>
      <c r="G2988" t="str">
        <f t="shared" si="325"/>
        <v>Specialty</v>
      </c>
      <c r="H2988" t="s">
        <v>534</v>
      </c>
      <c r="I2988">
        <f t="shared" si="326"/>
        <v>0</v>
      </c>
      <c r="J2988" t="s">
        <v>579</v>
      </c>
      <c r="K2988" s="5">
        <v>35</v>
      </c>
      <c r="L2988" t="str">
        <f>Table_DataFromNL[[#This Row],[PROFILECODE]]&amp;"-"&amp;Table_DataFromNL[[#This Row],[RULENAME]]</f>
        <v>CP125-Test Cells</v>
      </c>
      <c r="M2988" t="str">
        <f t="shared" si="327"/>
        <v>CP125-Test Cells</v>
      </c>
    </row>
    <row r="2989" spans="1:13" x14ac:dyDescent="0.25">
      <c r="A2989" t="str">
        <f t="shared" si="328"/>
        <v>CP125-Whole Blood INJ</v>
      </c>
      <c r="B2989" t="s">
        <v>376</v>
      </c>
      <c r="C2989" t="str">
        <f t="shared" si="322"/>
        <v>Somerset</v>
      </c>
      <c r="D2989" t="str">
        <f t="shared" si="323"/>
        <v>Y</v>
      </c>
      <c r="E2989" t="s">
        <v>669</v>
      </c>
      <c r="F2989" t="str">
        <f t="shared" si="324"/>
        <v>Whole Blood INJ</v>
      </c>
      <c r="G2989" t="str">
        <f t="shared" si="325"/>
        <v>Specialty</v>
      </c>
      <c r="H2989" t="s">
        <v>526</v>
      </c>
      <c r="I2989">
        <f t="shared" si="326"/>
        <v>0</v>
      </c>
      <c r="J2989" t="s">
        <v>579</v>
      </c>
      <c r="K2989" s="5">
        <v>375</v>
      </c>
      <c r="L2989" t="str">
        <f>Table_DataFromNL[[#This Row],[PROFILECODE]]&amp;"-"&amp;Table_DataFromNL[[#This Row],[RULENAME]]</f>
        <v>CP125-Whole Blood INJ</v>
      </c>
      <c r="M2989" t="str">
        <f t="shared" si="327"/>
        <v>CP125-Whole Blood INJ</v>
      </c>
    </row>
    <row r="2990" spans="1:13" x14ac:dyDescent="0.25">
      <c r="A2990" t="str">
        <f t="shared" si="328"/>
        <v>CP135-1st Responder-Medical</v>
      </c>
      <c r="B2990" t="s">
        <v>351</v>
      </c>
      <c r="C2990" t="str">
        <f t="shared" si="322"/>
        <v>Springfield</v>
      </c>
      <c r="D2990" t="str">
        <f t="shared" si="323"/>
        <v>Y</v>
      </c>
      <c r="E2990" t="s">
        <v>675</v>
      </c>
      <c r="F2990" t="str">
        <f t="shared" si="324"/>
        <v>1st Responder-Medical</v>
      </c>
      <c r="G2990">
        <f t="shared" si="325"/>
        <v>0</v>
      </c>
      <c r="H2990" t="s">
        <v>545</v>
      </c>
      <c r="I2990">
        <f t="shared" si="326"/>
        <v>0</v>
      </c>
      <c r="J2990" t="s">
        <v>546</v>
      </c>
      <c r="K2990" s="5">
        <v>5</v>
      </c>
      <c r="L2990" t="str">
        <f>Table_DataFromNL[[#This Row],[PROFILECODE]]&amp;"-"&amp;Table_DataFromNL[[#This Row],[RULENAME]]</f>
        <v>CP135-1st Responder-Medical</v>
      </c>
      <c r="M2990" t="e">
        <f t="shared" si="327"/>
        <v>#N/A</v>
      </c>
    </row>
    <row r="2991" spans="1:13" x14ac:dyDescent="0.25">
      <c r="A2991" t="str">
        <f t="shared" si="328"/>
        <v>CP135-RETURN - 2nd don of the week -BONUS</v>
      </c>
      <c r="B2991" t="s">
        <v>351</v>
      </c>
      <c r="C2991" t="str">
        <f t="shared" si="322"/>
        <v>Springfield</v>
      </c>
      <c r="D2991" t="str">
        <f t="shared" si="323"/>
        <v>Y</v>
      </c>
      <c r="E2991" t="s">
        <v>675</v>
      </c>
      <c r="F2991" t="str">
        <f t="shared" si="324"/>
        <v>RETURN - 2nd don of the week -BONUS</v>
      </c>
      <c r="G2991" t="str">
        <f t="shared" si="325"/>
        <v>Marketing</v>
      </c>
      <c r="H2991" t="s">
        <v>550</v>
      </c>
      <c r="I2991">
        <f t="shared" si="326"/>
        <v>26</v>
      </c>
      <c r="J2991" t="s">
        <v>546</v>
      </c>
      <c r="K2991" s="5">
        <v>30</v>
      </c>
      <c r="L2991" t="str">
        <f>Table_DataFromNL[[#This Row],[PROFILECODE]]&amp;"-"&amp;Table_DataFromNL[[#This Row],[RULENAME]]</f>
        <v>CP135-2X Week P NSP NS</v>
      </c>
      <c r="M2991" t="str">
        <f t="shared" si="327"/>
        <v>CP135-RETURN - 2nd don of the week -BONUS</v>
      </c>
    </row>
    <row r="2992" spans="1:13" x14ac:dyDescent="0.25">
      <c r="A2992" t="str">
        <f t="shared" si="328"/>
        <v>CP135-RETURN - 2nd don of the week -BONUS</v>
      </c>
      <c r="B2992" t="s">
        <v>351</v>
      </c>
      <c r="C2992" t="str">
        <f t="shared" si="322"/>
        <v>Springfield</v>
      </c>
      <c r="D2992" t="str">
        <f t="shared" si="323"/>
        <v>Y</v>
      </c>
      <c r="E2992" t="s">
        <v>675</v>
      </c>
      <c r="F2992" t="str">
        <f t="shared" si="324"/>
        <v>RETURN - 2nd don of the week -BONUS</v>
      </c>
      <c r="G2992" t="str">
        <f t="shared" si="325"/>
        <v>Marketing</v>
      </c>
      <c r="H2992" t="s">
        <v>551</v>
      </c>
      <c r="I2992" t="str">
        <f t="shared" si="326"/>
        <v>RETURN - 2nd don of the week -BONUS</v>
      </c>
      <c r="J2992" t="s">
        <v>546</v>
      </c>
      <c r="K2992" s="5">
        <v>30</v>
      </c>
      <c r="L2992" t="str">
        <f>Table_DataFromNL[[#This Row],[PROFILECODE]]&amp;"-"&amp;Table_DataFromNL[[#This Row],[RULENAME]]</f>
        <v>CP135-2X Week P NSP NS AP</v>
      </c>
      <c r="M2992" t="str">
        <f t="shared" si="327"/>
        <v>CP135-RETURN - 2nd don of the week -BONUS</v>
      </c>
    </row>
    <row r="2993" spans="1:13" x14ac:dyDescent="0.25">
      <c r="A2993" t="str">
        <f t="shared" si="328"/>
        <v>CP135-RETURN - 6th don of the month -BONUS</v>
      </c>
      <c r="B2993" t="s">
        <v>351</v>
      </c>
      <c r="C2993" t="str">
        <f t="shared" si="322"/>
        <v>Springfield</v>
      </c>
      <c r="D2993" t="str">
        <f t="shared" si="323"/>
        <v>Y</v>
      </c>
      <c r="E2993" t="s">
        <v>675</v>
      </c>
      <c r="F2993" t="str">
        <f t="shared" si="324"/>
        <v>RETURN - 6th don of the month -BONUS</v>
      </c>
      <c r="G2993" t="str">
        <f t="shared" si="325"/>
        <v>Marketing</v>
      </c>
      <c r="H2993" t="s">
        <v>552</v>
      </c>
      <c r="I2993">
        <f t="shared" si="326"/>
        <v>28</v>
      </c>
      <c r="J2993" t="s">
        <v>546</v>
      </c>
      <c r="K2993" s="5">
        <v>30</v>
      </c>
      <c r="L2993" t="str">
        <f>Table_DataFromNL[[#This Row],[PROFILECODE]]&amp;"-"&amp;Table_DataFromNL[[#This Row],[RULENAME]]</f>
        <v>CP135-6X Month</v>
      </c>
      <c r="M2993" t="str">
        <f t="shared" si="327"/>
        <v>CP135-RETURN - 6th don of the month -BONUS</v>
      </c>
    </row>
    <row r="2994" spans="1:13" x14ac:dyDescent="0.25">
      <c r="A2994" t="str">
        <f t="shared" si="328"/>
        <v>CP135-College ID Standard Bonus</v>
      </c>
      <c r="B2994" t="s">
        <v>351</v>
      </c>
      <c r="C2994" t="str">
        <f t="shared" si="322"/>
        <v>Springfield</v>
      </c>
      <c r="D2994" t="str">
        <f t="shared" si="323"/>
        <v>Y</v>
      </c>
      <c r="E2994" t="s">
        <v>675</v>
      </c>
      <c r="F2994" t="str">
        <f t="shared" si="324"/>
        <v>College ID Standard Bonus</v>
      </c>
      <c r="G2994">
        <f t="shared" si="325"/>
        <v>0</v>
      </c>
      <c r="H2994" t="s">
        <v>553</v>
      </c>
      <c r="I2994">
        <f t="shared" si="326"/>
        <v>0</v>
      </c>
      <c r="J2994" t="s">
        <v>546</v>
      </c>
      <c r="K2994" s="5">
        <v>5</v>
      </c>
      <c r="L2994" t="str">
        <f>Table_DataFromNL[[#This Row],[PROFILECODE]]&amp;"-"&amp;Table_DataFromNL[[#This Row],[RULENAME]]</f>
        <v>CP135-College ID Standard Bonus</v>
      </c>
      <c r="M2994" t="e">
        <f t="shared" si="327"/>
        <v>#N/A</v>
      </c>
    </row>
    <row r="2995" spans="1:13" x14ac:dyDescent="0.25">
      <c r="A2995" t="str">
        <f t="shared" si="328"/>
        <v>CP135-Military ID</v>
      </c>
      <c r="B2995" t="s">
        <v>351</v>
      </c>
      <c r="C2995" t="str">
        <f t="shared" si="322"/>
        <v>Springfield</v>
      </c>
      <c r="D2995" t="str">
        <f t="shared" si="323"/>
        <v>Y</v>
      </c>
      <c r="E2995" t="s">
        <v>675</v>
      </c>
      <c r="F2995" t="str">
        <f t="shared" si="324"/>
        <v>Military ID</v>
      </c>
      <c r="G2995">
        <f t="shared" si="325"/>
        <v>0</v>
      </c>
      <c r="H2995" t="s">
        <v>554</v>
      </c>
      <c r="I2995">
        <f t="shared" si="326"/>
        <v>0</v>
      </c>
      <c r="J2995" t="s">
        <v>546</v>
      </c>
      <c r="K2995" s="5">
        <v>5</v>
      </c>
      <c r="L2995" t="str">
        <f>Table_DataFromNL[[#This Row],[PROFILECODE]]&amp;"-"&amp;Table_DataFromNL[[#This Row],[RULENAME]]</f>
        <v>CP135-Military ID</v>
      </c>
      <c r="M2995" t="e">
        <f t="shared" si="327"/>
        <v>#N/A</v>
      </c>
    </row>
    <row r="2996" spans="1:13" x14ac:dyDescent="0.25">
      <c r="A2996" t="str">
        <f t="shared" si="328"/>
        <v>CP135-NEW DONOR -1st</v>
      </c>
      <c r="B2996" t="s">
        <v>351</v>
      </c>
      <c r="C2996" t="str">
        <f t="shared" si="322"/>
        <v>Springfield</v>
      </c>
      <c r="D2996" t="str">
        <f t="shared" si="323"/>
        <v>Y</v>
      </c>
      <c r="E2996" t="s">
        <v>675</v>
      </c>
      <c r="F2996" t="str">
        <f t="shared" si="324"/>
        <v>NEW DONOR -1st</v>
      </c>
      <c r="G2996" t="str">
        <f t="shared" si="325"/>
        <v>Marketing</v>
      </c>
      <c r="H2996" t="s">
        <v>555</v>
      </c>
      <c r="I2996">
        <f t="shared" si="326"/>
        <v>1</v>
      </c>
      <c r="J2996" t="s">
        <v>546</v>
      </c>
      <c r="K2996" s="5">
        <v>100</v>
      </c>
      <c r="L2996" t="str">
        <f>Table_DataFromNL[[#This Row],[PROFILECODE]]&amp;"-"&amp;Table_DataFromNL[[#This Row],[RULENAME]]</f>
        <v>CP135-New Donor 1st Visit-Bonus</v>
      </c>
      <c r="M2996" t="str">
        <f t="shared" si="327"/>
        <v>CP135-NEW DONOR -1st</v>
      </c>
    </row>
    <row r="2997" spans="1:13" x14ac:dyDescent="0.25">
      <c r="A2997" t="str">
        <f t="shared" si="328"/>
        <v>CP135-NEW DONOR -2nd</v>
      </c>
      <c r="B2997" t="s">
        <v>351</v>
      </c>
      <c r="C2997" t="str">
        <f t="shared" si="322"/>
        <v>Springfield</v>
      </c>
      <c r="D2997" t="str">
        <f t="shared" si="323"/>
        <v>Y</v>
      </c>
      <c r="E2997" t="s">
        <v>675</v>
      </c>
      <c r="F2997" t="str">
        <f t="shared" si="324"/>
        <v>NEW DONOR -2nd</v>
      </c>
      <c r="G2997" t="str">
        <f t="shared" si="325"/>
        <v>Marketing</v>
      </c>
      <c r="H2997" t="s">
        <v>556</v>
      </c>
      <c r="I2997">
        <f t="shared" si="326"/>
        <v>2</v>
      </c>
      <c r="J2997" t="s">
        <v>546</v>
      </c>
      <c r="K2997" s="5">
        <v>100</v>
      </c>
      <c r="L2997" t="str">
        <f>Table_DataFromNL[[#This Row],[PROFILECODE]]&amp;"-"&amp;Table_DataFromNL[[#This Row],[RULENAME]]</f>
        <v>CP135-New Donor 2nd Visit-Bonus</v>
      </c>
      <c r="M2997" t="str">
        <f t="shared" si="327"/>
        <v>CP135-NEW DONOR -2nd</v>
      </c>
    </row>
    <row r="2998" spans="1:13" x14ac:dyDescent="0.25">
      <c r="A2998" t="str">
        <f t="shared" si="328"/>
        <v>CP135-NEW DONOR -3rd</v>
      </c>
      <c r="B2998" t="s">
        <v>351</v>
      </c>
      <c r="C2998" t="str">
        <f t="shared" si="322"/>
        <v>Springfield</v>
      </c>
      <c r="D2998" t="str">
        <f t="shared" si="323"/>
        <v>Y</v>
      </c>
      <c r="E2998" t="s">
        <v>675</v>
      </c>
      <c r="F2998" t="str">
        <f t="shared" si="324"/>
        <v>NEW DONOR -3rd</v>
      </c>
      <c r="G2998" t="str">
        <f t="shared" si="325"/>
        <v>Marketing</v>
      </c>
      <c r="H2998" t="s">
        <v>557</v>
      </c>
      <c r="I2998">
        <f t="shared" si="326"/>
        <v>3</v>
      </c>
      <c r="J2998" t="s">
        <v>546</v>
      </c>
      <c r="K2998" s="5">
        <v>100</v>
      </c>
      <c r="L2998" t="str">
        <f>Table_DataFromNL[[#This Row],[PROFILECODE]]&amp;"-"&amp;Table_DataFromNL[[#This Row],[RULENAME]]</f>
        <v>CP135-New Donor 3rd Visit-Bonus</v>
      </c>
      <c r="M2998" t="str">
        <f t="shared" si="327"/>
        <v>CP135-NEW DONOR -3rd</v>
      </c>
    </row>
    <row r="2999" spans="1:13" x14ac:dyDescent="0.25">
      <c r="A2999" t="str">
        <f t="shared" si="328"/>
        <v>CP135-NEW DONOR -4th</v>
      </c>
      <c r="B2999" t="s">
        <v>351</v>
      </c>
      <c r="C2999" t="str">
        <f t="shared" si="322"/>
        <v>Springfield</v>
      </c>
      <c r="D2999" t="str">
        <f t="shared" si="323"/>
        <v>Y</v>
      </c>
      <c r="E2999" t="s">
        <v>675</v>
      </c>
      <c r="F2999" t="str">
        <f t="shared" si="324"/>
        <v>NEW DONOR -4th</v>
      </c>
      <c r="G2999" t="str">
        <f t="shared" si="325"/>
        <v>Marketing</v>
      </c>
      <c r="H2999" t="s">
        <v>558</v>
      </c>
      <c r="I2999">
        <f t="shared" si="326"/>
        <v>4</v>
      </c>
      <c r="J2999" t="s">
        <v>546</v>
      </c>
      <c r="K2999" s="5">
        <v>100</v>
      </c>
      <c r="L2999" t="str">
        <f>Table_DataFromNL[[#This Row],[PROFILECODE]]&amp;"-"&amp;Table_DataFromNL[[#This Row],[RULENAME]]</f>
        <v>CP135-New Donor 4th Visit-Bonus</v>
      </c>
      <c r="M2999" t="str">
        <f t="shared" si="327"/>
        <v>CP135-NEW DONOR -4th</v>
      </c>
    </row>
    <row r="3000" spans="1:13" x14ac:dyDescent="0.25">
      <c r="A3000" t="str">
        <f t="shared" si="328"/>
        <v>CP135-NEW DONOR -5th</v>
      </c>
      <c r="B3000" t="s">
        <v>351</v>
      </c>
      <c r="C3000" t="str">
        <f t="shared" si="322"/>
        <v>Springfield</v>
      </c>
      <c r="D3000" t="str">
        <f t="shared" si="323"/>
        <v>Y</v>
      </c>
      <c r="E3000" t="s">
        <v>675</v>
      </c>
      <c r="F3000" t="str">
        <f t="shared" si="324"/>
        <v>NEW DONOR -5th</v>
      </c>
      <c r="G3000" t="str">
        <f t="shared" si="325"/>
        <v>Marketing</v>
      </c>
      <c r="H3000" t="s">
        <v>559</v>
      </c>
      <c r="I3000">
        <f t="shared" si="326"/>
        <v>5</v>
      </c>
      <c r="J3000" t="s">
        <v>546</v>
      </c>
      <c r="K3000" s="5">
        <v>100</v>
      </c>
      <c r="L3000" t="str">
        <f>Table_DataFromNL[[#This Row],[PROFILECODE]]&amp;"-"&amp;Table_DataFromNL[[#This Row],[RULENAME]]</f>
        <v>CP135-New Donor 5th Visit-Bonus</v>
      </c>
      <c r="M3000" t="str">
        <f t="shared" si="327"/>
        <v>CP135-NEW DONOR -5th</v>
      </c>
    </row>
    <row r="3001" spans="1:13" x14ac:dyDescent="0.25">
      <c r="A3001" t="str">
        <f t="shared" si="328"/>
        <v>CP135-NEW DONOR -6th</v>
      </c>
      <c r="B3001" t="s">
        <v>351</v>
      </c>
      <c r="C3001" t="str">
        <f t="shared" si="322"/>
        <v>Springfield</v>
      </c>
      <c r="D3001" t="str">
        <f t="shared" si="323"/>
        <v>Y</v>
      </c>
      <c r="E3001" t="s">
        <v>675</v>
      </c>
      <c r="F3001" t="str">
        <f t="shared" si="324"/>
        <v>NEW DONOR -6th</v>
      </c>
      <c r="G3001" t="str">
        <f t="shared" si="325"/>
        <v>Marketing</v>
      </c>
      <c r="H3001" t="s">
        <v>560</v>
      </c>
      <c r="I3001">
        <f t="shared" si="326"/>
        <v>6</v>
      </c>
      <c r="J3001" t="s">
        <v>546</v>
      </c>
      <c r="K3001" s="5">
        <v>40</v>
      </c>
      <c r="L3001" t="str">
        <f>Table_DataFromNL[[#This Row],[PROFILECODE]]&amp;"-"&amp;Table_DataFromNL[[#This Row],[RULENAME]]</f>
        <v>CP135-New Donor 6th Visit-Bonus</v>
      </c>
      <c r="M3001" t="str">
        <f t="shared" si="327"/>
        <v>CP135-NEW DONOR -6th</v>
      </c>
    </row>
    <row r="3002" spans="1:13" x14ac:dyDescent="0.25">
      <c r="A3002" t="str">
        <f t="shared" si="328"/>
        <v>CP135-NEW DONOR -7th</v>
      </c>
      <c r="B3002" t="s">
        <v>351</v>
      </c>
      <c r="C3002" t="str">
        <f t="shared" si="322"/>
        <v>Springfield</v>
      </c>
      <c r="D3002" t="str">
        <f t="shared" si="323"/>
        <v>Y</v>
      </c>
      <c r="E3002" t="s">
        <v>675</v>
      </c>
      <c r="F3002" t="str">
        <f t="shared" si="324"/>
        <v>NEW DONOR -7th</v>
      </c>
      <c r="G3002" t="str">
        <f t="shared" si="325"/>
        <v>Marketing</v>
      </c>
      <c r="H3002" t="s">
        <v>561</v>
      </c>
      <c r="I3002">
        <f t="shared" si="326"/>
        <v>7</v>
      </c>
      <c r="J3002" t="s">
        <v>546</v>
      </c>
      <c r="K3002" s="5">
        <v>40</v>
      </c>
      <c r="L3002" t="str">
        <f>Table_DataFromNL[[#This Row],[PROFILECODE]]&amp;"-"&amp;Table_DataFromNL[[#This Row],[RULENAME]]</f>
        <v>CP135-New Donor 7th Visit-Bonus</v>
      </c>
      <c r="M3002" t="str">
        <f t="shared" si="327"/>
        <v>CP135-NEW DONOR -7th</v>
      </c>
    </row>
    <row r="3003" spans="1:13" x14ac:dyDescent="0.25">
      <c r="A3003" t="str">
        <f t="shared" si="328"/>
        <v>CP135-NEW DONOR -8th</v>
      </c>
      <c r="B3003" t="s">
        <v>351</v>
      </c>
      <c r="C3003" t="str">
        <f t="shared" si="322"/>
        <v>Springfield</v>
      </c>
      <c r="D3003" t="str">
        <f t="shared" si="323"/>
        <v>Y</v>
      </c>
      <c r="E3003" t="s">
        <v>675</v>
      </c>
      <c r="F3003" t="str">
        <f t="shared" si="324"/>
        <v>NEW DONOR -8th</v>
      </c>
      <c r="G3003" t="str">
        <f t="shared" si="325"/>
        <v>Marketing</v>
      </c>
      <c r="H3003" t="s">
        <v>562</v>
      </c>
      <c r="I3003">
        <f t="shared" si="326"/>
        <v>8</v>
      </c>
      <c r="J3003" t="s">
        <v>546</v>
      </c>
      <c r="K3003" s="5">
        <v>40</v>
      </c>
      <c r="L3003" t="str">
        <f>Table_DataFromNL[[#This Row],[PROFILECODE]]&amp;"-"&amp;Table_DataFromNL[[#This Row],[RULENAME]]</f>
        <v>CP135-New Donor 8th Visit-Bonus</v>
      </c>
      <c r="M3003" t="str">
        <f t="shared" si="327"/>
        <v>CP135-NEW DONOR -8th</v>
      </c>
    </row>
    <row r="3004" spans="1:13" x14ac:dyDescent="0.25">
      <c r="A3004" t="str">
        <f t="shared" si="328"/>
        <v>CP135-Vaccinia - 1st Donation</v>
      </c>
      <c r="B3004" t="s">
        <v>351</v>
      </c>
      <c r="C3004" t="str">
        <f t="shared" si="322"/>
        <v>Springfield</v>
      </c>
      <c r="D3004" t="str">
        <f t="shared" si="323"/>
        <v>Y</v>
      </c>
      <c r="E3004" t="s">
        <v>675</v>
      </c>
      <c r="F3004" t="str">
        <f t="shared" si="324"/>
        <v>Vaccinia - 1st Donation</v>
      </c>
      <c r="G3004" t="str">
        <f t="shared" si="325"/>
        <v>Specialty</v>
      </c>
      <c r="H3004" t="s">
        <v>477</v>
      </c>
      <c r="I3004">
        <f t="shared" si="326"/>
        <v>0</v>
      </c>
      <c r="J3004" t="s">
        <v>546</v>
      </c>
      <c r="K3004" s="5">
        <v>150</v>
      </c>
      <c r="L3004" t="str">
        <f>Table_DataFromNL[[#This Row],[PROFILECODE]]&amp;"-"&amp;Table_DataFromNL[[#This Row],[RULENAME]]</f>
        <v>CP135-Vaccinia - 1st Donation</v>
      </c>
      <c r="M3004" t="str">
        <f t="shared" si="327"/>
        <v>CP135-Vaccinia - 1st Donation</v>
      </c>
    </row>
    <row r="3005" spans="1:13" x14ac:dyDescent="0.25">
      <c r="A3005" t="str">
        <f t="shared" si="328"/>
        <v>CP135-Vaccinia - 2nd Donation</v>
      </c>
      <c r="B3005" t="s">
        <v>351</v>
      </c>
      <c r="C3005" t="str">
        <f t="shared" si="322"/>
        <v>Springfield</v>
      </c>
      <c r="D3005" t="str">
        <f t="shared" si="323"/>
        <v>Y</v>
      </c>
      <c r="E3005" t="s">
        <v>675</v>
      </c>
      <c r="F3005" t="str">
        <f t="shared" si="324"/>
        <v>Vaccinia - 2nd Donation</v>
      </c>
      <c r="G3005" t="str">
        <f t="shared" si="325"/>
        <v>Specialty</v>
      </c>
      <c r="H3005" t="s">
        <v>478</v>
      </c>
      <c r="I3005">
        <f t="shared" si="326"/>
        <v>0</v>
      </c>
      <c r="J3005" t="s">
        <v>546</v>
      </c>
      <c r="K3005" s="5">
        <v>250</v>
      </c>
      <c r="L3005" t="str">
        <f>Table_DataFromNL[[#This Row],[PROFILECODE]]&amp;"-"&amp;Table_DataFromNL[[#This Row],[RULENAME]]</f>
        <v>CP135-Vaccinia - 2nd Donation</v>
      </c>
      <c r="M3005" t="str">
        <f t="shared" si="327"/>
        <v>CP135-Vaccinia - 2nd Donation</v>
      </c>
    </row>
    <row r="3006" spans="1:13" x14ac:dyDescent="0.25">
      <c r="A3006" t="str">
        <f t="shared" si="328"/>
        <v>CP135-Vaccinia - 3rd Donation</v>
      </c>
      <c r="B3006" t="s">
        <v>351</v>
      </c>
      <c r="C3006" t="str">
        <f t="shared" si="322"/>
        <v>Springfield</v>
      </c>
      <c r="D3006" t="str">
        <f t="shared" si="323"/>
        <v>Y</v>
      </c>
      <c r="E3006" t="s">
        <v>675</v>
      </c>
      <c r="F3006" t="str">
        <f t="shared" si="324"/>
        <v>Vaccinia - 3rd Donation</v>
      </c>
      <c r="G3006" t="str">
        <f t="shared" si="325"/>
        <v>Specialty</v>
      </c>
      <c r="H3006" t="s">
        <v>479</v>
      </c>
      <c r="I3006">
        <f t="shared" si="326"/>
        <v>0</v>
      </c>
      <c r="J3006" t="s">
        <v>546</v>
      </c>
      <c r="K3006" s="5">
        <v>300</v>
      </c>
      <c r="L3006" t="str">
        <f>Table_DataFromNL[[#This Row],[PROFILECODE]]&amp;"-"&amp;Table_DataFromNL[[#This Row],[RULENAME]]</f>
        <v>CP135-Vaccinia - 3rd Donation</v>
      </c>
      <c r="M3006" t="str">
        <f t="shared" si="327"/>
        <v>CP135-Vaccinia - 3rd Donation</v>
      </c>
    </row>
    <row r="3007" spans="1:13" x14ac:dyDescent="0.25">
      <c r="A3007" t="str">
        <f t="shared" si="328"/>
        <v>CP135-Vaccinia - 4th Donation</v>
      </c>
      <c r="B3007" t="s">
        <v>351</v>
      </c>
      <c r="C3007" t="str">
        <f t="shared" si="322"/>
        <v>Springfield</v>
      </c>
      <c r="D3007" t="str">
        <f t="shared" si="323"/>
        <v>Y</v>
      </c>
      <c r="E3007" t="s">
        <v>675</v>
      </c>
      <c r="F3007" t="str">
        <f t="shared" si="324"/>
        <v>Vaccinia - 4th Donation</v>
      </c>
      <c r="G3007" t="str">
        <f t="shared" si="325"/>
        <v>Specialty</v>
      </c>
      <c r="H3007" t="s">
        <v>480</v>
      </c>
      <c r="I3007">
        <f t="shared" si="326"/>
        <v>0</v>
      </c>
      <c r="J3007" t="s">
        <v>546</v>
      </c>
      <c r="K3007" s="5">
        <v>300</v>
      </c>
      <c r="L3007" t="str">
        <f>Table_DataFromNL[[#This Row],[PROFILECODE]]&amp;"-"&amp;Table_DataFromNL[[#This Row],[RULENAME]]</f>
        <v>CP135-Vaccinia - 4th Donation</v>
      </c>
      <c r="M3007" t="str">
        <f t="shared" si="327"/>
        <v>CP135-Vaccinia - 4th Donation</v>
      </c>
    </row>
    <row r="3008" spans="1:13" x14ac:dyDescent="0.25">
      <c r="A3008" t="str">
        <f t="shared" si="328"/>
        <v>CP135-Vaccinia AP - 1st Donation</v>
      </c>
      <c r="B3008" t="s">
        <v>351</v>
      </c>
      <c r="C3008" t="str">
        <f t="shared" si="322"/>
        <v>Springfield</v>
      </c>
      <c r="D3008" t="str">
        <f t="shared" si="323"/>
        <v>Y</v>
      </c>
      <c r="E3008" t="s">
        <v>675</v>
      </c>
      <c r="F3008" t="str">
        <f t="shared" si="324"/>
        <v>Vaccinia AP - 1st Donation</v>
      </c>
      <c r="G3008" t="str">
        <f t="shared" si="325"/>
        <v>Specialty</v>
      </c>
      <c r="H3008" t="s">
        <v>481</v>
      </c>
      <c r="I3008">
        <f t="shared" si="326"/>
        <v>0</v>
      </c>
      <c r="J3008" t="s">
        <v>546</v>
      </c>
      <c r="K3008" s="5">
        <v>150</v>
      </c>
      <c r="L3008" t="str">
        <f>Table_DataFromNL[[#This Row],[PROFILECODE]]&amp;"-"&amp;Table_DataFromNL[[#This Row],[RULENAME]]</f>
        <v>CP135-Vaccinia AP - 1st Donation</v>
      </c>
      <c r="M3008" t="str">
        <f t="shared" si="327"/>
        <v>CP135-Vaccinia AP - 1st Donation</v>
      </c>
    </row>
    <row r="3009" spans="1:13" x14ac:dyDescent="0.25">
      <c r="A3009" t="str">
        <f t="shared" si="328"/>
        <v>CP135-Vaccinia AP - 2nd Donation</v>
      </c>
      <c r="B3009" t="s">
        <v>351</v>
      </c>
      <c r="C3009" t="str">
        <f t="shared" si="322"/>
        <v>Springfield</v>
      </c>
      <c r="D3009" t="str">
        <f t="shared" si="323"/>
        <v>Y</v>
      </c>
      <c r="E3009" t="s">
        <v>675</v>
      </c>
      <c r="F3009" t="str">
        <f t="shared" si="324"/>
        <v>Vaccinia AP - 2nd Donation</v>
      </c>
      <c r="G3009" t="str">
        <f t="shared" si="325"/>
        <v>Specialty</v>
      </c>
      <c r="H3009" t="s">
        <v>482</v>
      </c>
      <c r="I3009">
        <f t="shared" si="326"/>
        <v>0</v>
      </c>
      <c r="J3009" t="s">
        <v>546</v>
      </c>
      <c r="K3009" s="5">
        <v>250</v>
      </c>
      <c r="L3009" t="str">
        <f>Table_DataFromNL[[#This Row],[PROFILECODE]]&amp;"-"&amp;Table_DataFromNL[[#This Row],[RULENAME]]</f>
        <v>CP135-Vaccinia AP - 2nd Donation</v>
      </c>
      <c r="M3009" t="str">
        <f t="shared" si="327"/>
        <v>CP135-Vaccinia AP - 2nd Donation</v>
      </c>
    </row>
    <row r="3010" spans="1:13" x14ac:dyDescent="0.25">
      <c r="A3010" t="str">
        <f t="shared" si="328"/>
        <v>CP135-Vaccinia AP - 3rd Donation</v>
      </c>
      <c r="B3010" t="s">
        <v>351</v>
      </c>
      <c r="C3010" t="str">
        <f t="shared" ref="C3010:C3073" si="329">VLOOKUP(B3010,CenterLU,2,FALSE)</f>
        <v>Springfield</v>
      </c>
      <c r="D3010" t="str">
        <f t="shared" ref="D3010:D3073" si="330">VLOOKUP(B3010,CenterLU,3,FALSE)</f>
        <v>Y</v>
      </c>
      <c r="E3010" t="s">
        <v>675</v>
      </c>
      <c r="F3010" t="str">
        <f t="shared" ref="F3010:F3073" si="331">IF(VLOOKUP(H3010,RULENAMELU,3,FALSE)=0,H3010,VLOOKUP(H3010,RULENAMELU,3,FALSE))</f>
        <v>Vaccinia AP - 3rd Donation</v>
      </c>
      <c r="G3010" t="str">
        <f t="shared" ref="G3010:G3073" si="332">VLOOKUP(H3010,RULENAMELU,4,FALSE)</f>
        <v>Specialty</v>
      </c>
      <c r="H3010" t="s">
        <v>483</v>
      </c>
      <c r="I3010">
        <f t="shared" ref="I3010:I3073" si="333">VLOOKUP(H3010,RULENAMELU,5,FALSE)</f>
        <v>0</v>
      </c>
      <c r="J3010" t="s">
        <v>546</v>
      </c>
      <c r="K3010" s="5">
        <v>300</v>
      </c>
      <c r="L3010" t="str">
        <f>Table_DataFromNL[[#This Row],[PROFILECODE]]&amp;"-"&amp;Table_DataFromNL[[#This Row],[RULENAME]]</f>
        <v>CP135-Vaccinia AP - 3rd Donation</v>
      </c>
      <c r="M3010" t="str">
        <f t="shared" ref="M3010:M3073" si="334">IFERROR(VLOOKUP(A3010,PaychangesLU,1,FALSE),VLOOKUP(A3010,SpecialtyCheckLU,1,FALSE))</f>
        <v>CP135-Vaccinia AP - 3rd Donation</v>
      </c>
    </row>
    <row r="3011" spans="1:13" x14ac:dyDescent="0.25">
      <c r="A3011" t="str">
        <f t="shared" ref="A3011:A3074" si="335">B3011&amp;"-"&amp;F3011</f>
        <v>CP135-Vaccinia AP - 4th Donation</v>
      </c>
      <c r="B3011" t="s">
        <v>351</v>
      </c>
      <c r="C3011" t="str">
        <f t="shared" si="329"/>
        <v>Springfield</v>
      </c>
      <c r="D3011" t="str">
        <f t="shared" si="330"/>
        <v>Y</v>
      </c>
      <c r="E3011" t="s">
        <v>675</v>
      </c>
      <c r="F3011" t="str">
        <f t="shared" si="331"/>
        <v>Vaccinia AP - 4th Donation</v>
      </c>
      <c r="G3011" t="str">
        <f t="shared" si="332"/>
        <v>Specialty</v>
      </c>
      <c r="H3011" t="s">
        <v>484</v>
      </c>
      <c r="I3011">
        <f t="shared" si="333"/>
        <v>0</v>
      </c>
      <c r="J3011" t="s">
        <v>546</v>
      </c>
      <c r="K3011" s="5">
        <v>300</v>
      </c>
      <c r="L3011" t="str">
        <f>Table_DataFromNL[[#This Row],[PROFILECODE]]&amp;"-"&amp;Table_DataFromNL[[#This Row],[RULENAME]]</f>
        <v>CP135-Vaccinia AP - 4th Donation</v>
      </c>
      <c r="M3011" t="str">
        <f t="shared" si="334"/>
        <v>CP135-Vaccinia AP - 4th Donation</v>
      </c>
    </row>
    <row r="3012" spans="1:13" x14ac:dyDescent="0.25">
      <c r="A3012" t="str">
        <f t="shared" si="335"/>
        <v>CP135-Community</v>
      </c>
      <c r="B3012" t="s">
        <v>351</v>
      </c>
      <c r="C3012" t="str">
        <f t="shared" si="329"/>
        <v>Springfield</v>
      </c>
      <c r="D3012" t="str">
        <f t="shared" si="330"/>
        <v>Y</v>
      </c>
      <c r="E3012" t="s">
        <v>675</v>
      </c>
      <c r="F3012" t="str">
        <f t="shared" si="331"/>
        <v>Community</v>
      </c>
      <c r="G3012">
        <f t="shared" si="332"/>
        <v>0</v>
      </c>
      <c r="H3012" t="s">
        <v>563</v>
      </c>
      <c r="I3012">
        <f t="shared" si="333"/>
        <v>0</v>
      </c>
      <c r="J3012" t="s">
        <v>564</v>
      </c>
      <c r="K3012" s="5">
        <v>5</v>
      </c>
      <c r="L3012" t="str">
        <f>Table_DataFromNL[[#This Row],[PROFILECODE]]&amp;"-"&amp;Table_DataFromNL[[#This Row],[RULENAME]]</f>
        <v>CP135-Community</v>
      </c>
      <c r="M3012" t="e">
        <f t="shared" si="334"/>
        <v>#N/A</v>
      </c>
    </row>
    <row r="3013" spans="1:13" x14ac:dyDescent="0.25">
      <c r="A3013" t="str">
        <f t="shared" si="335"/>
        <v>CP135-HANGER_RECRUIT_5USD_once</v>
      </c>
      <c r="B3013" t="s">
        <v>351</v>
      </c>
      <c r="C3013" t="str">
        <f t="shared" si="329"/>
        <v>Springfield</v>
      </c>
      <c r="D3013" t="str">
        <f t="shared" si="330"/>
        <v>Y</v>
      </c>
      <c r="E3013" t="s">
        <v>675</v>
      </c>
      <c r="F3013" t="str">
        <f t="shared" si="331"/>
        <v>HANGER_RECRUIT_5USD_once</v>
      </c>
      <c r="G3013">
        <f t="shared" si="332"/>
        <v>0</v>
      </c>
      <c r="H3013" t="s">
        <v>565</v>
      </c>
      <c r="I3013">
        <f t="shared" si="333"/>
        <v>0</v>
      </c>
      <c r="J3013" t="s">
        <v>564</v>
      </c>
      <c r="K3013" s="5">
        <v>5</v>
      </c>
      <c r="L3013" t="str">
        <f>Table_DataFromNL[[#This Row],[PROFILECODE]]&amp;"-"&amp;Table_DataFromNL[[#This Row],[RULENAME]]</f>
        <v>CP135-HANGER_RECRUIT_5USD_once</v>
      </c>
      <c r="M3013" t="e">
        <f t="shared" si="334"/>
        <v>#N/A</v>
      </c>
    </row>
    <row r="3014" spans="1:13" x14ac:dyDescent="0.25">
      <c r="A3014" t="str">
        <f t="shared" si="335"/>
        <v>CP135-Inconv Fee $20-$50-Comment Req'd</v>
      </c>
      <c r="B3014" t="s">
        <v>351</v>
      </c>
      <c r="C3014" t="str">
        <f t="shared" si="329"/>
        <v>Springfield</v>
      </c>
      <c r="D3014" t="str">
        <f t="shared" si="330"/>
        <v>Y</v>
      </c>
      <c r="E3014" t="s">
        <v>675</v>
      </c>
      <c r="F3014" t="str">
        <f t="shared" si="331"/>
        <v>Inconv Fee $20-$50-Comment Req'd</v>
      </c>
      <c r="G3014">
        <f t="shared" si="332"/>
        <v>0</v>
      </c>
      <c r="H3014" t="s">
        <v>566</v>
      </c>
      <c r="I3014">
        <f t="shared" si="333"/>
        <v>0</v>
      </c>
      <c r="J3014" t="s">
        <v>564</v>
      </c>
      <c r="K3014" s="5">
        <v>50</v>
      </c>
      <c r="L3014" t="str">
        <f>Table_DataFromNL[[#This Row],[PROFILECODE]]&amp;"-"&amp;Table_DataFromNL[[#This Row],[RULENAME]]</f>
        <v>CP135-Inconv Fee $20-$50-Comment Req'd</v>
      </c>
      <c r="M3014" t="e">
        <f t="shared" si="334"/>
        <v>#N/A</v>
      </c>
    </row>
    <row r="3015" spans="1:13" x14ac:dyDescent="0.25">
      <c r="A3015" t="str">
        <f t="shared" si="335"/>
        <v>CP135-Inconv Fee $5-$20-Comment Req'd</v>
      </c>
      <c r="B3015" t="s">
        <v>351</v>
      </c>
      <c r="C3015" t="str">
        <f t="shared" si="329"/>
        <v>Springfield</v>
      </c>
      <c r="D3015" t="str">
        <f t="shared" si="330"/>
        <v>Y</v>
      </c>
      <c r="E3015" t="s">
        <v>675</v>
      </c>
      <c r="F3015" t="str">
        <f t="shared" si="331"/>
        <v>Inconv Fee $5-$20-Comment Req'd</v>
      </c>
      <c r="G3015">
        <f t="shared" si="332"/>
        <v>0</v>
      </c>
      <c r="H3015" t="s">
        <v>567</v>
      </c>
      <c r="I3015">
        <f t="shared" si="333"/>
        <v>0</v>
      </c>
      <c r="J3015" t="s">
        <v>564</v>
      </c>
      <c r="K3015" s="5">
        <v>20</v>
      </c>
      <c r="L3015" t="str">
        <f>Table_DataFromNL[[#This Row],[PROFILECODE]]&amp;"-"&amp;Table_DataFromNL[[#This Row],[RULENAME]]</f>
        <v>CP135-Inconv Fee $5-$20-Comment Req'd</v>
      </c>
      <c r="M3015" t="e">
        <f t="shared" si="334"/>
        <v>#N/A</v>
      </c>
    </row>
    <row r="3016" spans="1:13" x14ac:dyDescent="0.25">
      <c r="A3016" t="str">
        <f t="shared" si="335"/>
        <v>CP135-Inconv Fee$50-$100-Comment Req'd</v>
      </c>
      <c r="B3016" t="s">
        <v>351</v>
      </c>
      <c r="C3016" t="str">
        <f t="shared" si="329"/>
        <v>Springfield</v>
      </c>
      <c r="D3016" t="str">
        <f t="shared" si="330"/>
        <v>Y</v>
      </c>
      <c r="E3016" t="s">
        <v>675</v>
      </c>
      <c r="F3016" t="str">
        <f t="shared" si="331"/>
        <v>Inconv Fee$50-$100-Comment Req'd</v>
      </c>
      <c r="G3016">
        <f t="shared" si="332"/>
        <v>0</v>
      </c>
      <c r="H3016" t="s">
        <v>568</v>
      </c>
      <c r="I3016">
        <f t="shared" si="333"/>
        <v>0</v>
      </c>
      <c r="J3016" t="s">
        <v>564</v>
      </c>
      <c r="K3016" s="5">
        <v>100</v>
      </c>
      <c r="L3016" t="str">
        <f>Table_DataFromNL[[#This Row],[PROFILECODE]]&amp;"-"&amp;Table_DataFromNL[[#This Row],[RULENAME]]</f>
        <v>CP135-Inconv Fee$50-$100-Comment Req'd</v>
      </c>
      <c r="M3016" t="e">
        <f t="shared" si="334"/>
        <v>#N/A</v>
      </c>
    </row>
    <row r="3017" spans="1:13" x14ac:dyDescent="0.25">
      <c r="A3017" t="str">
        <f t="shared" si="335"/>
        <v>CP135-NSP_ LAPSEDONOR_50_Twice</v>
      </c>
      <c r="B3017" t="s">
        <v>351</v>
      </c>
      <c r="C3017" t="str">
        <f t="shared" si="329"/>
        <v>Springfield</v>
      </c>
      <c r="D3017" t="str">
        <f t="shared" si="330"/>
        <v>Y</v>
      </c>
      <c r="E3017" t="s">
        <v>675</v>
      </c>
      <c r="F3017" t="str">
        <f t="shared" si="331"/>
        <v>NSP_ LAPSEDONOR_50_Twice</v>
      </c>
      <c r="G3017">
        <f t="shared" si="332"/>
        <v>0</v>
      </c>
      <c r="H3017" t="s">
        <v>569</v>
      </c>
      <c r="I3017">
        <f t="shared" si="333"/>
        <v>0</v>
      </c>
      <c r="J3017" t="s">
        <v>564</v>
      </c>
      <c r="K3017" s="5">
        <v>50</v>
      </c>
      <c r="L3017" t="str">
        <f>Table_DataFromNL[[#This Row],[PROFILECODE]]&amp;"-"&amp;Table_DataFromNL[[#This Row],[RULENAME]]</f>
        <v>CP135-NSP_ LAPSEDONOR_50_Twice</v>
      </c>
      <c r="M3017" t="e">
        <f t="shared" si="334"/>
        <v>#N/A</v>
      </c>
    </row>
    <row r="3018" spans="1:13" x14ac:dyDescent="0.25">
      <c r="A3018" t="str">
        <f t="shared" si="335"/>
        <v>CP135-NSP_LD_25_2X</v>
      </c>
      <c r="B3018" t="s">
        <v>351</v>
      </c>
      <c r="C3018" t="str">
        <f t="shared" si="329"/>
        <v>Springfield</v>
      </c>
      <c r="D3018" t="str">
        <f t="shared" si="330"/>
        <v>Y</v>
      </c>
      <c r="E3018" t="s">
        <v>675</v>
      </c>
      <c r="F3018" t="str">
        <f t="shared" si="331"/>
        <v>NSP_LD_25_2X</v>
      </c>
      <c r="G3018">
        <f t="shared" si="332"/>
        <v>0</v>
      </c>
      <c r="H3018" t="s">
        <v>570</v>
      </c>
      <c r="I3018">
        <f t="shared" si="333"/>
        <v>0</v>
      </c>
      <c r="J3018" t="s">
        <v>564</v>
      </c>
      <c r="K3018" s="5">
        <v>25</v>
      </c>
      <c r="L3018" t="str">
        <f>Table_DataFromNL[[#This Row],[PROFILECODE]]&amp;"-"&amp;Table_DataFromNL[[#This Row],[RULENAME]]</f>
        <v>CP135-NSP_LD_25_2X</v>
      </c>
      <c r="M3018" t="e">
        <f t="shared" si="334"/>
        <v>#N/A</v>
      </c>
    </row>
    <row r="3019" spans="1:13" x14ac:dyDescent="0.25">
      <c r="A3019" t="str">
        <f t="shared" si="335"/>
        <v>CP135-NSP_LD_50_1X</v>
      </c>
      <c r="B3019" t="s">
        <v>351</v>
      </c>
      <c r="C3019" t="str">
        <f t="shared" si="329"/>
        <v>Springfield</v>
      </c>
      <c r="D3019" t="str">
        <f t="shared" si="330"/>
        <v>Y</v>
      </c>
      <c r="E3019" t="s">
        <v>675</v>
      </c>
      <c r="F3019" t="str">
        <f t="shared" si="331"/>
        <v>NSP_LD_50_1X</v>
      </c>
      <c r="G3019">
        <f t="shared" si="332"/>
        <v>0</v>
      </c>
      <c r="H3019" t="s">
        <v>571</v>
      </c>
      <c r="I3019">
        <f t="shared" si="333"/>
        <v>0</v>
      </c>
      <c r="J3019" t="s">
        <v>564</v>
      </c>
      <c r="K3019" s="5">
        <v>50</v>
      </c>
      <c r="L3019" t="str">
        <f>Table_DataFromNL[[#This Row],[PROFILECODE]]&amp;"-"&amp;Table_DataFromNL[[#This Row],[RULENAME]]</f>
        <v>CP135-NSP_LD_50_1X</v>
      </c>
      <c r="M3019" t="e">
        <f t="shared" si="334"/>
        <v>#N/A</v>
      </c>
    </row>
    <row r="3020" spans="1:13" x14ac:dyDescent="0.25">
      <c r="A3020" t="str">
        <f t="shared" si="335"/>
        <v>CP135-NSP_ORPHAN_100_once</v>
      </c>
      <c r="B3020" t="s">
        <v>351</v>
      </c>
      <c r="C3020" t="str">
        <f t="shared" si="329"/>
        <v>Springfield</v>
      </c>
      <c r="D3020" t="str">
        <f t="shared" si="330"/>
        <v>Y</v>
      </c>
      <c r="E3020" t="s">
        <v>675</v>
      </c>
      <c r="F3020" t="str">
        <f t="shared" si="331"/>
        <v>NSP_ORPHAN_100_once</v>
      </c>
      <c r="G3020">
        <f t="shared" si="332"/>
        <v>0</v>
      </c>
      <c r="H3020" t="s">
        <v>572</v>
      </c>
      <c r="I3020">
        <f t="shared" si="333"/>
        <v>0</v>
      </c>
      <c r="J3020" t="s">
        <v>564</v>
      </c>
      <c r="K3020" s="5">
        <v>100</v>
      </c>
      <c r="L3020" t="str">
        <f>Table_DataFromNL[[#This Row],[PROFILECODE]]&amp;"-"&amp;Table_DataFromNL[[#This Row],[RULENAME]]</f>
        <v>CP135-NSP_ORPHAN_100_once</v>
      </c>
      <c r="M3020" t="e">
        <f t="shared" si="334"/>
        <v>#N/A</v>
      </c>
    </row>
    <row r="3021" spans="1:13" x14ac:dyDescent="0.25">
      <c r="A3021" t="str">
        <f t="shared" si="335"/>
        <v>CP135-Referral - Vaccinia</v>
      </c>
      <c r="B3021" t="s">
        <v>351</v>
      </c>
      <c r="C3021" t="str">
        <f t="shared" si="329"/>
        <v>Springfield</v>
      </c>
      <c r="D3021" t="str">
        <f t="shared" si="330"/>
        <v>Y</v>
      </c>
      <c r="E3021" t="s">
        <v>675</v>
      </c>
      <c r="F3021" t="str">
        <f t="shared" si="331"/>
        <v>Referral - Vaccinia</v>
      </c>
      <c r="G3021">
        <f t="shared" si="332"/>
        <v>0</v>
      </c>
      <c r="H3021" t="s">
        <v>595</v>
      </c>
      <c r="I3021">
        <f t="shared" si="333"/>
        <v>0</v>
      </c>
      <c r="J3021" t="s">
        <v>564</v>
      </c>
      <c r="K3021" s="5">
        <v>200</v>
      </c>
      <c r="L3021" t="str">
        <f>Table_DataFromNL[[#This Row],[PROFILECODE]]&amp;"-"&amp;Table_DataFromNL[[#This Row],[RULENAME]]</f>
        <v>CP135-Referral - Vaccinia</v>
      </c>
      <c r="M3021" t="e">
        <f t="shared" si="334"/>
        <v>#N/A</v>
      </c>
    </row>
    <row r="3022" spans="1:13" x14ac:dyDescent="0.25">
      <c r="A3022" t="str">
        <f t="shared" si="335"/>
        <v>CP135-Restick</v>
      </c>
      <c r="B3022" t="s">
        <v>351</v>
      </c>
      <c r="C3022" t="str">
        <f t="shared" si="329"/>
        <v>Springfield</v>
      </c>
      <c r="D3022" t="str">
        <f t="shared" si="330"/>
        <v>Y</v>
      </c>
      <c r="E3022" t="s">
        <v>675</v>
      </c>
      <c r="F3022" t="str">
        <f t="shared" si="331"/>
        <v>Restick</v>
      </c>
      <c r="G3022">
        <f t="shared" si="332"/>
        <v>0</v>
      </c>
      <c r="H3022" t="s">
        <v>573</v>
      </c>
      <c r="I3022">
        <f t="shared" si="333"/>
        <v>0</v>
      </c>
      <c r="J3022" t="s">
        <v>564</v>
      </c>
      <c r="K3022" s="5">
        <v>5</v>
      </c>
      <c r="L3022" t="str">
        <f>Table_DataFromNL[[#This Row],[PROFILECODE]]&amp;"-"&amp;Table_DataFromNL[[#This Row],[RULENAME]]</f>
        <v>CP135-Restick</v>
      </c>
      <c r="M3022" t="e">
        <f t="shared" si="334"/>
        <v>#N/A</v>
      </c>
    </row>
    <row r="3023" spans="1:13" x14ac:dyDescent="0.25">
      <c r="A3023" t="str">
        <f t="shared" si="335"/>
        <v>CP135-SCRATCH_100_USD</v>
      </c>
      <c r="B3023" t="s">
        <v>351</v>
      </c>
      <c r="C3023" t="str">
        <f t="shared" si="329"/>
        <v>Springfield</v>
      </c>
      <c r="D3023" t="str">
        <f t="shared" si="330"/>
        <v>Y</v>
      </c>
      <c r="E3023" t="s">
        <v>675</v>
      </c>
      <c r="F3023" t="str">
        <f t="shared" si="331"/>
        <v>SCRATCH_100_USD</v>
      </c>
      <c r="G3023">
        <f t="shared" si="332"/>
        <v>0</v>
      </c>
      <c r="H3023" t="s">
        <v>586</v>
      </c>
      <c r="I3023">
        <f t="shared" si="333"/>
        <v>0</v>
      </c>
      <c r="J3023" t="s">
        <v>564</v>
      </c>
      <c r="K3023" s="5">
        <v>100</v>
      </c>
      <c r="L3023" t="str">
        <f>Table_DataFromNL[[#This Row],[PROFILECODE]]&amp;"-"&amp;Table_DataFromNL[[#This Row],[RULENAME]]</f>
        <v>CP135-SCRATCH_100_USD</v>
      </c>
      <c r="M3023" t="e">
        <f t="shared" si="334"/>
        <v>#N/A</v>
      </c>
    </row>
    <row r="3024" spans="1:13" x14ac:dyDescent="0.25">
      <c r="A3024" t="str">
        <f t="shared" si="335"/>
        <v>CP135-SCRATCH_10_USD</v>
      </c>
      <c r="B3024" t="s">
        <v>351</v>
      </c>
      <c r="C3024" t="str">
        <f t="shared" si="329"/>
        <v>Springfield</v>
      </c>
      <c r="D3024" t="str">
        <f t="shared" si="330"/>
        <v>Y</v>
      </c>
      <c r="E3024" t="s">
        <v>675</v>
      </c>
      <c r="F3024" t="str">
        <f t="shared" si="331"/>
        <v>SCRATCH_10_USD</v>
      </c>
      <c r="G3024">
        <f t="shared" si="332"/>
        <v>0</v>
      </c>
      <c r="H3024" t="s">
        <v>587</v>
      </c>
      <c r="I3024">
        <f t="shared" si="333"/>
        <v>0</v>
      </c>
      <c r="J3024" t="s">
        <v>564</v>
      </c>
      <c r="K3024" s="5">
        <v>10</v>
      </c>
      <c r="L3024" t="str">
        <f>Table_DataFromNL[[#This Row],[PROFILECODE]]&amp;"-"&amp;Table_DataFromNL[[#This Row],[RULENAME]]</f>
        <v>CP135-SCRATCH_10_USD</v>
      </c>
      <c r="M3024" t="e">
        <f t="shared" si="334"/>
        <v>#N/A</v>
      </c>
    </row>
    <row r="3025" spans="1:13" x14ac:dyDescent="0.25">
      <c r="A3025" t="str">
        <f t="shared" si="335"/>
        <v>CP135-SCRATCH_20_USD</v>
      </c>
      <c r="B3025" t="s">
        <v>351</v>
      </c>
      <c r="C3025" t="str">
        <f t="shared" si="329"/>
        <v>Springfield</v>
      </c>
      <c r="D3025" t="str">
        <f t="shared" si="330"/>
        <v>Y</v>
      </c>
      <c r="E3025" t="s">
        <v>675</v>
      </c>
      <c r="F3025" t="str">
        <f t="shared" si="331"/>
        <v>SCRATCH_20_USD</v>
      </c>
      <c r="G3025">
        <f t="shared" si="332"/>
        <v>0</v>
      </c>
      <c r="H3025" t="s">
        <v>588</v>
      </c>
      <c r="I3025">
        <f t="shared" si="333"/>
        <v>0</v>
      </c>
      <c r="J3025" t="s">
        <v>564</v>
      </c>
      <c r="K3025" s="5">
        <v>20</v>
      </c>
      <c r="L3025" t="str">
        <f>Table_DataFromNL[[#This Row],[PROFILECODE]]&amp;"-"&amp;Table_DataFromNL[[#This Row],[RULENAME]]</f>
        <v>CP135-SCRATCH_20_USD</v>
      </c>
      <c r="M3025" t="e">
        <f t="shared" si="334"/>
        <v>#N/A</v>
      </c>
    </row>
    <row r="3026" spans="1:13" x14ac:dyDescent="0.25">
      <c r="A3026" t="str">
        <f t="shared" si="335"/>
        <v>CP135-SCRATCH_25_USD</v>
      </c>
      <c r="B3026" t="s">
        <v>351</v>
      </c>
      <c r="C3026" t="str">
        <f t="shared" si="329"/>
        <v>Springfield</v>
      </c>
      <c r="D3026" t="str">
        <f t="shared" si="330"/>
        <v>Y</v>
      </c>
      <c r="E3026" t="s">
        <v>675</v>
      </c>
      <c r="F3026" t="str">
        <f t="shared" si="331"/>
        <v>SCRATCH_25_USD</v>
      </c>
      <c r="G3026">
        <f t="shared" si="332"/>
        <v>0</v>
      </c>
      <c r="H3026" t="s">
        <v>589</v>
      </c>
      <c r="I3026">
        <f t="shared" si="333"/>
        <v>0</v>
      </c>
      <c r="J3026" t="s">
        <v>564</v>
      </c>
      <c r="K3026" s="5">
        <v>25</v>
      </c>
      <c r="L3026" t="str">
        <f>Table_DataFromNL[[#This Row],[PROFILECODE]]&amp;"-"&amp;Table_DataFromNL[[#This Row],[RULENAME]]</f>
        <v>CP135-SCRATCH_25_USD</v>
      </c>
      <c r="M3026" t="e">
        <f t="shared" si="334"/>
        <v>#N/A</v>
      </c>
    </row>
    <row r="3027" spans="1:13" x14ac:dyDescent="0.25">
      <c r="A3027" t="str">
        <f t="shared" si="335"/>
        <v>CP135-SCRATCH_50_USD</v>
      </c>
      <c r="B3027" t="s">
        <v>351</v>
      </c>
      <c r="C3027" t="str">
        <f t="shared" si="329"/>
        <v>Springfield</v>
      </c>
      <c r="D3027" t="str">
        <f t="shared" si="330"/>
        <v>Y</v>
      </c>
      <c r="E3027" t="s">
        <v>675</v>
      </c>
      <c r="F3027" t="str">
        <f t="shared" si="331"/>
        <v>SCRATCH_50_USD</v>
      </c>
      <c r="G3027">
        <f t="shared" si="332"/>
        <v>0</v>
      </c>
      <c r="H3027" t="s">
        <v>590</v>
      </c>
      <c r="I3027">
        <f t="shared" si="333"/>
        <v>0</v>
      </c>
      <c r="J3027" t="s">
        <v>564</v>
      </c>
      <c r="K3027" s="5">
        <v>50</v>
      </c>
      <c r="L3027" t="str">
        <f>Table_DataFromNL[[#This Row],[PROFILECODE]]&amp;"-"&amp;Table_DataFromNL[[#This Row],[RULENAME]]</f>
        <v>CP135-SCRATCH_50_USD</v>
      </c>
      <c r="M3027" t="e">
        <f t="shared" si="334"/>
        <v>#N/A</v>
      </c>
    </row>
    <row r="3028" spans="1:13" x14ac:dyDescent="0.25">
      <c r="A3028" t="str">
        <f t="shared" si="335"/>
        <v>CP135-SCRATCH_5_USD</v>
      </c>
      <c r="B3028" t="s">
        <v>351</v>
      </c>
      <c r="C3028" t="str">
        <f t="shared" si="329"/>
        <v>Springfield</v>
      </c>
      <c r="D3028" t="str">
        <f t="shared" si="330"/>
        <v>Y</v>
      </c>
      <c r="E3028" t="s">
        <v>675</v>
      </c>
      <c r="F3028" t="str">
        <f t="shared" si="331"/>
        <v>SCRATCH_5_USD</v>
      </c>
      <c r="G3028">
        <f t="shared" si="332"/>
        <v>0</v>
      </c>
      <c r="H3028" t="s">
        <v>591</v>
      </c>
      <c r="I3028">
        <f t="shared" si="333"/>
        <v>0</v>
      </c>
      <c r="J3028" t="s">
        <v>564</v>
      </c>
      <c r="K3028" s="5">
        <v>5</v>
      </c>
      <c r="L3028" t="str">
        <f>Table_DataFromNL[[#This Row],[PROFILECODE]]&amp;"-"&amp;Table_DataFromNL[[#This Row],[RULENAME]]</f>
        <v>CP135-SCRATCH_5_USD</v>
      </c>
      <c r="M3028" t="e">
        <f t="shared" si="334"/>
        <v>#N/A</v>
      </c>
    </row>
    <row r="3029" spans="1:13" x14ac:dyDescent="0.25">
      <c r="A3029" t="str">
        <f t="shared" si="335"/>
        <v>CP135-SLOW_TEXT_5</v>
      </c>
      <c r="B3029" t="s">
        <v>351</v>
      </c>
      <c r="C3029" t="str">
        <f t="shared" si="329"/>
        <v>Springfield</v>
      </c>
      <c r="D3029" t="str">
        <f t="shared" si="330"/>
        <v>Y</v>
      </c>
      <c r="E3029" t="s">
        <v>675</v>
      </c>
      <c r="F3029" t="str">
        <f t="shared" si="331"/>
        <v>SLOW_TEXT_5</v>
      </c>
      <c r="G3029">
        <f t="shared" si="332"/>
        <v>0</v>
      </c>
      <c r="H3029" t="s">
        <v>574</v>
      </c>
      <c r="I3029">
        <f t="shared" si="333"/>
        <v>0</v>
      </c>
      <c r="J3029" t="s">
        <v>564</v>
      </c>
      <c r="K3029" s="5">
        <v>5</v>
      </c>
      <c r="L3029" t="str">
        <f>Table_DataFromNL[[#This Row],[PROFILECODE]]&amp;"-"&amp;Table_DataFromNL[[#This Row],[RULENAME]]</f>
        <v>CP135-SLOW_TEXT_5</v>
      </c>
      <c r="M3029" t="e">
        <f t="shared" si="334"/>
        <v>#N/A</v>
      </c>
    </row>
    <row r="3030" spans="1:13" x14ac:dyDescent="0.25">
      <c r="A3030" t="str">
        <f t="shared" si="335"/>
        <v>CP135-Unit Below 250 mL</v>
      </c>
      <c r="B3030" t="s">
        <v>351</v>
      </c>
      <c r="C3030" t="str">
        <f t="shared" si="329"/>
        <v>Springfield</v>
      </c>
      <c r="D3030" t="str">
        <f t="shared" si="330"/>
        <v>Y</v>
      </c>
      <c r="E3030" t="s">
        <v>675</v>
      </c>
      <c r="F3030" t="str">
        <f t="shared" si="331"/>
        <v>Unit Below 250 mL</v>
      </c>
      <c r="G3030">
        <f t="shared" si="332"/>
        <v>0</v>
      </c>
      <c r="H3030" t="s">
        <v>576</v>
      </c>
      <c r="I3030">
        <f t="shared" si="333"/>
        <v>0</v>
      </c>
      <c r="J3030" t="s">
        <v>564</v>
      </c>
      <c r="K3030" s="5">
        <v>5</v>
      </c>
      <c r="L3030" t="str">
        <f>Table_DataFromNL[[#This Row],[PROFILECODE]]&amp;"-"&amp;Table_DataFromNL[[#This Row],[RULENAME]]</f>
        <v>CP135-Unit Below 250 mL</v>
      </c>
      <c r="M3030" t="e">
        <f t="shared" si="334"/>
        <v>#N/A</v>
      </c>
    </row>
    <row r="3031" spans="1:13" x14ac:dyDescent="0.25">
      <c r="A3031" t="str">
        <f t="shared" si="335"/>
        <v>CP135-Unit above 250 mL/underdraw</v>
      </c>
      <c r="B3031" t="s">
        <v>351</v>
      </c>
      <c r="C3031" t="str">
        <f t="shared" si="329"/>
        <v>Springfield</v>
      </c>
      <c r="D3031" t="str">
        <f t="shared" si="330"/>
        <v>Y</v>
      </c>
      <c r="E3031" t="s">
        <v>675</v>
      </c>
      <c r="F3031" t="str">
        <f t="shared" si="331"/>
        <v>Unit above 250 mL/underdraw</v>
      </c>
      <c r="G3031">
        <f t="shared" si="332"/>
        <v>0</v>
      </c>
      <c r="H3031" t="s">
        <v>577</v>
      </c>
      <c r="I3031">
        <f t="shared" si="333"/>
        <v>0</v>
      </c>
      <c r="J3031" t="s">
        <v>564</v>
      </c>
      <c r="K3031" s="5">
        <v>10</v>
      </c>
      <c r="L3031" t="str">
        <f>Table_DataFromNL[[#This Row],[PROFILECODE]]&amp;"-"&amp;Table_DataFromNL[[#This Row],[RULENAME]]</f>
        <v>CP135-Unit above 250 mL/underdraw</v>
      </c>
      <c r="M3031" t="e">
        <f t="shared" si="334"/>
        <v>#N/A</v>
      </c>
    </row>
    <row r="3032" spans="1:13" x14ac:dyDescent="0.25">
      <c r="A3032" t="str">
        <f t="shared" si="335"/>
        <v>CP135-Vaccinia Immunization</v>
      </c>
      <c r="B3032" t="s">
        <v>351</v>
      </c>
      <c r="C3032" t="str">
        <f t="shared" si="329"/>
        <v>Springfield</v>
      </c>
      <c r="D3032" t="str">
        <f t="shared" si="330"/>
        <v>Y</v>
      </c>
      <c r="E3032" t="s">
        <v>675</v>
      </c>
      <c r="F3032" t="str">
        <f t="shared" si="331"/>
        <v>Vaccinia Immunization</v>
      </c>
      <c r="G3032">
        <f t="shared" si="332"/>
        <v>0</v>
      </c>
      <c r="H3032" t="s">
        <v>596</v>
      </c>
      <c r="I3032">
        <f t="shared" si="333"/>
        <v>0</v>
      </c>
      <c r="J3032" t="s">
        <v>564</v>
      </c>
      <c r="K3032" s="5">
        <v>100</v>
      </c>
      <c r="L3032" t="str">
        <f>Table_DataFromNL[[#This Row],[PROFILECODE]]&amp;"-"&amp;Table_DataFromNL[[#This Row],[RULENAME]]</f>
        <v>CP135-Vaccinia Immunization</v>
      </c>
      <c r="M3032" t="e">
        <f t="shared" si="334"/>
        <v>#N/A</v>
      </c>
    </row>
    <row r="3033" spans="1:13" x14ac:dyDescent="0.25">
      <c r="A3033" t="str">
        <f t="shared" si="335"/>
        <v>CP135-RETURN - Buddy referral  -BONUS</v>
      </c>
      <c r="B3033" t="s">
        <v>351</v>
      </c>
      <c r="C3033" t="str">
        <f t="shared" si="329"/>
        <v>Springfield</v>
      </c>
      <c r="D3033" t="str">
        <f t="shared" si="330"/>
        <v>Y</v>
      </c>
      <c r="E3033" t="s">
        <v>675</v>
      </c>
      <c r="F3033" t="str">
        <f t="shared" si="331"/>
        <v>RETURN - Buddy referral  -BONUS</v>
      </c>
      <c r="G3033" t="str">
        <f t="shared" si="332"/>
        <v>Marketing</v>
      </c>
      <c r="H3033" t="s">
        <v>34</v>
      </c>
      <c r="I3033">
        <f t="shared" si="333"/>
        <v>50</v>
      </c>
      <c r="J3033" t="s">
        <v>578</v>
      </c>
      <c r="K3033" s="5">
        <v>50</v>
      </c>
      <c r="L3033" t="str">
        <f>Table_DataFromNL[[#This Row],[PROFILECODE]]&amp;"-"&amp;Table_DataFromNL[[#This Row],[RULENAME]]</f>
        <v>CP135-Referral</v>
      </c>
      <c r="M3033" t="str">
        <f t="shared" si="334"/>
        <v>CP135-RETURN - Buddy referral  -BONUS</v>
      </c>
    </row>
    <row r="3034" spans="1:13" x14ac:dyDescent="0.25">
      <c r="A3034" t="str">
        <f t="shared" si="335"/>
        <v>CP135-P Anti-D Pre-Existing Standard</v>
      </c>
      <c r="B3034" t="s">
        <v>351</v>
      </c>
      <c r="C3034" t="str">
        <f t="shared" si="329"/>
        <v>Springfield</v>
      </c>
      <c r="D3034" t="str">
        <f t="shared" si="330"/>
        <v>Y</v>
      </c>
      <c r="E3034" t="s">
        <v>675</v>
      </c>
      <c r="F3034" t="str">
        <f t="shared" si="331"/>
        <v>P Anti-D Pre-Existing Standard</v>
      </c>
      <c r="G3034" t="str">
        <f t="shared" si="332"/>
        <v>Specialty</v>
      </c>
      <c r="H3034" t="s">
        <v>469</v>
      </c>
      <c r="I3034" t="str">
        <f t="shared" si="333"/>
        <v>RETURN - 1st don of the week -STD</v>
      </c>
      <c r="J3034" t="s">
        <v>579</v>
      </c>
      <c r="K3034" s="5">
        <v>50</v>
      </c>
      <c r="L3034" t="str">
        <f>Table_DataFromNL[[#This Row],[PROFILECODE]]&amp;"-"&amp;Table_DataFromNL[[#This Row],[RULENAME]]</f>
        <v>CP135-P Anti-D Pre-Existing Standard</v>
      </c>
      <c r="M3034" t="str">
        <f t="shared" si="334"/>
        <v>CP135-P Anti-D Pre-Existing Standard</v>
      </c>
    </row>
    <row r="3035" spans="1:13" x14ac:dyDescent="0.25">
      <c r="A3035" t="str">
        <f t="shared" si="335"/>
        <v>CP135-RETURN - 1st don of the week -STD</v>
      </c>
      <c r="B3035" t="s">
        <v>351</v>
      </c>
      <c r="C3035" t="str">
        <f t="shared" si="329"/>
        <v>Springfield</v>
      </c>
      <c r="D3035" t="str">
        <f t="shared" si="330"/>
        <v>Y</v>
      </c>
      <c r="E3035" t="s">
        <v>675</v>
      </c>
      <c r="F3035" t="str">
        <f t="shared" si="331"/>
        <v>RETURN - 1st don of the week -STD</v>
      </c>
      <c r="G3035" t="str">
        <f t="shared" si="332"/>
        <v>Marketing</v>
      </c>
      <c r="H3035" t="s">
        <v>583</v>
      </c>
      <c r="I3035">
        <f t="shared" si="333"/>
        <v>22</v>
      </c>
      <c r="J3035" t="s">
        <v>579</v>
      </c>
      <c r="K3035" s="5">
        <v>40</v>
      </c>
      <c r="L3035" t="str">
        <f>Table_DataFromNL[[#This Row],[PROFILECODE]]&amp;"-"&amp;Table_DataFromNL[[#This Row],[RULENAME]]</f>
        <v>CP135-P NSP NS AP Standard</v>
      </c>
      <c r="M3035" t="str">
        <f t="shared" si="334"/>
        <v>CP135-RETURN - 1st don of the week -STD</v>
      </c>
    </row>
    <row r="3036" spans="1:13" x14ac:dyDescent="0.25">
      <c r="A3036" t="str">
        <f t="shared" si="335"/>
        <v>CP135-RETURN - 1st don of the week -STD</v>
      </c>
      <c r="B3036" t="s">
        <v>351</v>
      </c>
      <c r="C3036" t="str">
        <f t="shared" si="329"/>
        <v>Springfield</v>
      </c>
      <c r="D3036" t="str">
        <f t="shared" si="330"/>
        <v>Y</v>
      </c>
      <c r="E3036" t="s">
        <v>675</v>
      </c>
      <c r="F3036" t="str">
        <f t="shared" si="331"/>
        <v>RETURN - 1st don of the week -STD</v>
      </c>
      <c r="G3036" t="str">
        <f t="shared" si="332"/>
        <v>Marketing</v>
      </c>
      <c r="H3036" t="s">
        <v>584</v>
      </c>
      <c r="I3036">
        <f t="shared" si="333"/>
        <v>23</v>
      </c>
      <c r="J3036" t="s">
        <v>579</v>
      </c>
      <c r="K3036" s="5">
        <v>40</v>
      </c>
      <c r="L3036" t="str">
        <f>Table_DataFromNL[[#This Row],[PROFILECODE]]&amp;"-"&amp;Table_DataFromNL[[#This Row],[RULENAME]]</f>
        <v>CP135-P NSP NS Standard</v>
      </c>
      <c r="M3036" t="str">
        <f t="shared" si="334"/>
        <v>CP135-RETURN - 1st don of the week -STD</v>
      </c>
    </row>
    <row r="3037" spans="1:13" x14ac:dyDescent="0.25">
      <c r="A3037" t="str">
        <f t="shared" si="335"/>
        <v>CP135-P Vaccinia AP Standard</v>
      </c>
      <c r="B3037" t="s">
        <v>351</v>
      </c>
      <c r="C3037" t="str">
        <f t="shared" si="329"/>
        <v>Springfield</v>
      </c>
      <c r="D3037" t="str">
        <f t="shared" si="330"/>
        <v>Y</v>
      </c>
      <c r="E3037" t="s">
        <v>675</v>
      </c>
      <c r="F3037" t="str">
        <f t="shared" si="331"/>
        <v>P Vaccinia AP Standard</v>
      </c>
      <c r="G3037" t="str">
        <f t="shared" si="332"/>
        <v>Specialty</v>
      </c>
      <c r="H3037" t="s">
        <v>475</v>
      </c>
      <c r="I3037">
        <f t="shared" si="333"/>
        <v>0</v>
      </c>
      <c r="J3037" t="s">
        <v>579</v>
      </c>
      <c r="K3037" s="5">
        <v>100</v>
      </c>
      <c r="L3037" t="str">
        <f>Table_DataFromNL[[#This Row],[PROFILECODE]]&amp;"-"&amp;Table_DataFromNL[[#This Row],[RULENAME]]</f>
        <v>CP135-P Vaccinia AP Standard</v>
      </c>
      <c r="M3037" t="str">
        <f t="shared" si="334"/>
        <v>CP135-P Vaccinia AP Standard</v>
      </c>
    </row>
    <row r="3038" spans="1:13" x14ac:dyDescent="0.25">
      <c r="A3038" t="str">
        <f t="shared" si="335"/>
        <v>CP135-P Vaccinia Standard</v>
      </c>
      <c r="B3038" t="s">
        <v>351</v>
      </c>
      <c r="C3038" t="str">
        <f t="shared" si="329"/>
        <v>Springfield</v>
      </c>
      <c r="D3038" t="str">
        <f t="shared" si="330"/>
        <v>Y</v>
      </c>
      <c r="E3038" t="s">
        <v>675</v>
      </c>
      <c r="F3038" t="str">
        <f t="shared" si="331"/>
        <v>P Vaccinia Standard</v>
      </c>
      <c r="G3038" t="str">
        <f t="shared" si="332"/>
        <v>Specialty</v>
      </c>
      <c r="H3038" t="s">
        <v>476</v>
      </c>
      <c r="I3038">
        <f t="shared" si="333"/>
        <v>0</v>
      </c>
      <c r="J3038" t="s">
        <v>579</v>
      </c>
      <c r="K3038" s="5">
        <v>100</v>
      </c>
      <c r="L3038" t="str">
        <f>Table_DataFromNL[[#This Row],[PROFILECODE]]&amp;"-"&amp;Table_DataFromNL[[#This Row],[RULENAME]]</f>
        <v>CP135-P Vaccinia Standard</v>
      </c>
      <c r="M3038" t="str">
        <f t="shared" si="334"/>
        <v>CP135-P Vaccinia Standard</v>
      </c>
    </row>
    <row r="3039" spans="1:13" x14ac:dyDescent="0.25">
      <c r="A3039" t="str">
        <f t="shared" si="335"/>
        <v>CP526-1st Responder-Medical</v>
      </c>
      <c r="B3039" t="s">
        <v>139</v>
      </c>
      <c r="C3039" t="str">
        <f t="shared" si="329"/>
        <v>Temple Terrace</v>
      </c>
      <c r="D3039" t="str">
        <f t="shared" si="330"/>
        <v>Y</v>
      </c>
      <c r="E3039" t="s">
        <v>676</v>
      </c>
      <c r="F3039" t="str">
        <f t="shared" si="331"/>
        <v>1st Responder-Medical</v>
      </c>
      <c r="G3039">
        <f t="shared" si="332"/>
        <v>0</v>
      </c>
      <c r="H3039" t="s">
        <v>545</v>
      </c>
      <c r="I3039">
        <f t="shared" si="333"/>
        <v>0</v>
      </c>
      <c r="J3039" t="s">
        <v>546</v>
      </c>
      <c r="K3039" s="5">
        <v>5</v>
      </c>
      <c r="L3039" t="str">
        <f>Table_DataFromNL[[#This Row],[PROFILECODE]]&amp;"-"&amp;Table_DataFromNL[[#This Row],[RULENAME]]</f>
        <v>CP526-1st Responder-Medical</v>
      </c>
      <c r="M3039" t="e">
        <f t="shared" si="334"/>
        <v>#N/A</v>
      </c>
    </row>
    <row r="3040" spans="1:13" x14ac:dyDescent="0.25">
      <c r="A3040" t="str">
        <f t="shared" si="335"/>
        <v>CP526-RETURN - 2nd don of the week -BONUS</v>
      </c>
      <c r="B3040" t="s">
        <v>139</v>
      </c>
      <c r="C3040" t="str">
        <f t="shared" si="329"/>
        <v>Temple Terrace</v>
      </c>
      <c r="D3040" t="str">
        <f t="shared" si="330"/>
        <v>Y</v>
      </c>
      <c r="E3040" t="s">
        <v>676</v>
      </c>
      <c r="F3040" t="str">
        <f t="shared" si="331"/>
        <v>RETURN - 2nd don of the week -BONUS</v>
      </c>
      <c r="G3040" t="str">
        <f t="shared" si="332"/>
        <v>Marketing</v>
      </c>
      <c r="H3040" t="s">
        <v>550</v>
      </c>
      <c r="I3040">
        <f t="shared" si="333"/>
        <v>26</v>
      </c>
      <c r="J3040" t="s">
        <v>546</v>
      </c>
      <c r="K3040" s="5">
        <v>10</v>
      </c>
      <c r="L3040" t="str">
        <f>Table_DataFromNL[[#This Row],[PROFILECODE]]&amp;"-"&amp;Table_DataFromNL[[#This Row],[RULENAME]]</f>
        <v>CP526-2X Week P NSP NS</v>
      </c>
      <c r="M3040" t="str">
        <f t="shared" si="334"/>
        <v>CP526-RETURN - 2nd don of the week -BONUS</v>
      </c>
    </row>
    <row r="3041" spans="1:13" x14ac:dyDescent="0.25">
      <c r="A3041" t="str">
        <f t="shared" si="335"/>
        <v>CP526-RETURN - 2nd don of the week -BONUS</v>
      </c>
      <c r="B3041" t="s">
        <v>139</v>
      </c>
      <c r="C3041" t="str">
        <f t="shared" si="329"/>
        <v>Temple Terrace</v>
      </c>
      <c r="D3041" t="str">
        <f t="shared" si="330"/>
        <v>Y</v>
      </c>
      <c r="E3041" t="s">
        <v>676</v>
      </c>
      <c r="F3041" t="str">
        <f t="shared" si="331"/>
        <v>RETURN - 2nd don of the week -BONUS</v>
      </c>
      <c r="G3041" t="str">
        <f t="shared" si="332"/>
        <v>Marketing</v>
      </c>
      <c r="H3041" t="s">
        <v>551</v>
      </c>
      <c r="I3041" t="str">
        <f t="shared" si="333"/>
        <v>RETURN - 2nd don of the week -BONUS</v>
      </c>
      <c r="J3041" t="s">
        <v>546</v>
      </c>
      <c r="K3041" s="5">
        <v>10</v>
      </c>
      <c r="L3041" t="str">
        <f>Table_DataFromNL[[#This Row],[PROFILECODE]]&amp;"-"&amp;Table_DataFromNL[[#This Row],[RULENAME]]</f>
        <v>CP526-2X Week P NSP NS AP</v>
      </c>
      <c r="M3041" t="str">
        <f t="shared" si="334"/>
        <v>CP526-RETURN - 2nd don of the week -BONUS</v>
      </c>
    </row>
    <row r="3042" spans="1:13" x14ac:dyDescent="0.25">
      <c r="A3042" t="str">
        <f t="shared" si="335"/>
        <v>CP526-2X Week P VZV Pre-Existing</v>
      </c>
      <c r="B3042" t="s">
        <v>139</v>
      </c>
      <c r="C3042" t="str">
        <f t="shared" si="329"/>
        <v>Temple Terrace</v>
      </c>
      <c r="D3042" t="str">
        <f t="shared" si="330"/>
        <v>Y</v>
      </c>
      <c r="E3042" t="s">
        <v>676</v>
      </c>
      <c r="F3042" t="str">
        <f t="shared" si="331"/>
        <v>2X Week P VZV Pre-Existing</v>
      </c>
      <c r="G3042" t="str">
        <f t="shared" si="332"/>
        <v>Specialty</v>
      </c>
      <c r="H3042" t="s">
        <v>490</v>
      </c>
      <c r="I3042" t="str">
        <f t="shared" si="333"/>
        <v>RETURN - 2nd don of the week -BONUS</v>
      </c>
      <c r="J3042" t="s">
        <v>546</v>
      </c>
      <c r="K3042" s="5">
        <v>10</v>
      </c>
      <c r="L3042" t="str">
        <f>Table_DataFromNL[[#This Row],[PROFILECODE]]&amp;"-"&amp;Table_DataFromNL[[#This Row],[RULENAME]]</f>
        <v>CP526-2X Week P VZV Pre-Existing</v>
      </c>
      <c r="M3042" t="str">
        <f t="shared" si="334"/>
        <v>CP526-2X Week P VZV Pre-Existing</v>
      </c>
    </row>
    <row r="3043" spans="1:13" x14ac:dyDescent="0.25">
      <c r="A3043" t="str">
        <f t="shared" si="335"/>
        <v>CP526-2X Week P VZV Pre-Existing AP</v>
      </c>
      <c r="B3043" t="s">
        <v>139</v>
      </c>
      <c r="C3043" t="str">
        <f t="shared" si="329"/>
        <v>Temple Terrace</v>
      </c>
      <c r="D3043" t="str">
        <f t="shared" si="330"/>
        <v>Y</v>
      </c>
      <c r="E3043" t="s">
        <v>676</v>
      </c>
      <c r="F3043" t="str">
        <f t="shared" si="331"/>
        <v>2X Week P VZV Pre-Existing AP</v>
      </c>
      <c r="G3043" t="str">
        <f t="shared" si="332"/>
        <v>Specialty</v>
      </c>
      <c r="H3043" t="s">
        <v>491</v>
      </c>
      <c r="I3043" t="str">
        <f t="shared" si="333"/>
        <v>RETURN - 2nd don of the week -BONUS</v>
      </c>
      <c r="J3043" t="s">
        <v>546</v>
      </c>
      <c r="K3043" s="5">
        <v>10</v>
      </c>
      <c r="L3043" t="str">
        <f>Table_DataFromNL[[#This Row],[PROFILECODE]]&amp;"-"&amp;Table_DataFromNL[[#This Row],[RULENAME]]</f>
        <v>CP526-2X Week P VZV Pre-Existing AP</v>
      </c>
      <c r="M3043" t="str">
        <f t="shared" si="334"/>
        <v>CP526-2X Week P VZV Pre-Existing AP</v>
      </c>
    </row>
    <row r="3044" spans="1:13" x14ac:dyDescent="0.25">
      <c r="A3044" t="str">
        <f t="shared" si="335"/>
        <v>CP526-College ID Standard Bonus</v>
      </c>
      <c r="B3044" t="s">
        <v>139</v>
      </c>
      <c r="C3044" t="str">
        <f t="shared" si="329"/>
        <v>Temple Terrace</v>
      </c>
      <c r="D3044" t="str">
        <f t="shared" si="330"/>
        <v>Y</v>
      </c>
      <c r="E3044" t="s">
        <v>676</v>
      </c>
      <c r="F3044" t="str">
        <f t="shared" si="331"/>
        <v>College ID Standard Bonus</v>
      </c>
      <c r="G3044">
        <f t="shared" si="332"/>
        <v>0</v>
      </c>
      <c r="H3044" t="s">
        <v>553</v>
      </c>
      <c r="I3044">
        <f t="shared" si="333"/>
        <v>0</v>
      </c>
      <c r="J3044" t="s">
        <v>546</v>
      </c>
      <c r="K3044" s="5">
        <v>5</v>
      </c>
      <c r="L3044" t="str">
        <f>Table_DataFromNL[[#This Row],[PROFILECODE]]&amp;"-"&amp;Table_DataFromNL[[#This Row],[RULENAME]]</f>
        <v>CP526-College ID Standard Bonus</v>
      </c>
      <c r="M3044" t="e">
        <f t="shared" si="334"/>
        <v>#N/A</v>
      </c>
    </row>
    <row r="3045" spans="1:13" x14ac:dyDescent="0.25">
      <c r="A3045" t="str">
        <f t="shared" si="335"/>
        <v>CP526-Military ID</v>
      </c>
      <c r="B3045" t="s">
        <v>139</v>
      </c>
      <c r="C3045" t="str">
        <f t="shared" si="329"/>
        <v>Temple Terrace</v>
      </c>
      <c r="D3045" t="str">
        <f t="shared" si="330"/>
        <v>Y</v>
      </c>
      <c r="E3045" t="s">
        <v>676</v>
      </c>
      <c r="F3045" t="str">
        <f t="shared" si="331"/>
        <v>Military ID</v>
      </c>
      <c r="G3045">
        <f t="shared" si="332"/>
        <v>0</v>
      </c>
      <c r="H3045" t="s">
        <v>554</v>
      </c>
      <c r="I3045">
        <f t="shared" si="333"/>
        <v>0</v>
      </c>
      <c r="J3045" t="s">
        <v>546</v>
      </c>
      <c r="K3045" s="5">
        <v>5</v>
      </c>
      <c r="L3045" t="str">
        <f>Table_DataFromNL[[#This Row],[PROFILECODE]]&amp;"-"&amp;Table_DataFromNL[[#This Row],[RULENAME]]</f>
        <v>CP526-Military ID</v>
      </c>
      <c r="M3045" t="e">
        <f t="shared" si="334"/>
        <v>#N/A</v>
      </c>
    </row>
    <row r="3046" spans="1:13" x14ac:dyDescent="0.25">
      <c r="A3046" t="str">
        <f t="shared" si="335"/>
        <v>CP526-NEW DONOR -1st</v>
      </c>
      <c r="B3046" t="s">
        <v>139</v>
      </c>
      <c r="C3046" t="str">
        <f t="shared" si="329"/>
        <v>Temple Terrace</v>
      </c>
      <c r="D3046" t="str">
        <f t="shared" si="330"/>
        <v>Y</v>
      </c>
      <c r="E3046" t="s">
        <v>676</v>
      </c>
      <c r="F3046" t="str">
        <f t="shared" si="331"/>
        <v>NEW DONOR -1st</v>
      </c>
      <c r="G3046" t="str">
        <f t="shared" si="332"/>
        <v>Marketing</v>
      </c>
      <c r="H3046" t="s">
        <v>555</v>
      </c>
      <c r="I3046">
        <f t="shared" si="333"/>
        <v>1</v>
      </c>
      <c r="J3046" t="s">
        <v>546</v>
      </c>
      <c r="K3046" s="5">
        <v>60</v>
      </c>
      <c r="L3046" t="str">
        <f>Table_DataFromNL[[#This Row],[PROFILECODE]]&amp;"-"&amp;Table_DataFromNL[[#This Row],[RULENAME]]</f>
        <v>CP526-New Donor 1st Visit-Bonus</v>
      </c>
      <c r="M3046" t="str">
        <f t="shared" si="334"/>
        <v>CP526-NEW DONOR -1st</v>
      </c>
    </row>
    <row r="3047" spans="1:13" x14ac:dyDescent="0.25">
      <c r="A3047" t="str">
        <f t="shared" si="335"/>
        <v>CP526-NEW DONOR -2nd</v>
      </c>
      <c r="B3047" t="s">
        <v>139</v>
      </c>
      <c r="C3047" t="str">
        <f t="shared" si="329"/>
        <v>Temple Terrace</v>
      </c>
      <c r="D3047" t="str">
        <f t="shared" si="330"/>
        <v>Y</v>
      </c>
      <c r="E3047" t="s">
        <v>676</v>
      </c>
      <c r="F3047" t="str">
        <f t="shared" si="331"/>
        <v>NEW DONOR -2nd</v>
      </c>
      <c r="G3047" t="str">
        <f t="shared" si="332"/>
        <v>Marketing</v>
      </c>
      <c r="H3047" t="s">
        <v>556</v>
      </c>
      <c r="I3047">
        <f t="shared" si="333"/>
        <v>2</v>
      </c>
      <c r="J3047" t="s">
        <v>546</v>
      </c>
      <c r="K3047" s="5">
        <v>60</v>
      </c>
      <c r="L3047" t="str">
        <f>Table_DataFromNL[[#This Row],[PROFILECODE]]&amp;"-"&amp;Table_DataFromNL[[#This Row],[RULENAME]]</f>
        <v>CP526-New Donor 2nd Visit-Bonus</v>
      </c>
      <c r="M3047" t="str">
        <f t="shared" si="334"/>
        <v>CP526-NEW DONOR -2nd</v>
      </c>
    </row>
    <row r="3048" spans="1:13" x14ac:dyDescent="0.25">
      <c r="A3048" t="str">
        <f t="shared" si="335"/>
        <v>CP526-NEW DONOR -3rd</v>
      </c>
      <c r="B3048" t="s">
        <v>139</v>
      </c>
      <c r="C3048" t="str">
        <f t="shared" si="329"/>
        <v>Temple Terrace</v>
      </c>
      <c r="D3048" t="str">
        <f t="shared" si="330"/>
        <v>Y</v>
      </c>
      <c r="E3048" t="s">
        <v>676</v>
      </c>
      <c r="F3048" t="str">
        <f t="shared" si="331"/>
        <v>NEW DONOR -3rd</v>
      </c>
      <c r="G3048" t="str">
        <f t="shared" si="332"/>
        <v>Marketing</v>
      </c>
      <c r="H3048" t="s">
        <v>557</v>
      </c>
      <c r="I3048">
        <f t="shared" si="333"/>
        <v>3</v>
      </c>
      <c r="J3048" t="s">
        <v>546</v>
      </c>
      <c r="K3048" s="5">
        <v>60</v>
      </c>
      <c r="L3048" t="str">
        <f>Table_DataFromNL[[#This Row],[PROFILECODE]]&amp;"-"&amp;Table_DataFromNL[[#This Row],[RULENAME]]</f>
        <v>CP526-New Donor 3rd Visit-Bonus</v>
      </c>
      <c r="M3048" t="str">
        <f t="shared" si="334"/>
        <v>CP526-NEW DONOR -3rd</v>
      </c>
    </row>
    <row r="3049" spans="1:13" x14ac:dyDescent="0.25">
      <c r="A3049" t="str">
        <f t="shared" si="335"/>
        <v>CP526-NEW DONOR -4th</v>
      </c>
      <c r="B3049" t="s">
        <v>139</v>
      </c>
      <c r="C3049" t="str">
        <f t="shared" si="329"/>
        <v>Temple Terrace</v>
      </c>
      <c r="D3049" t="str">
        <f t="shared" si="330"/>
        <v>Y</v>
      </c>
      <c r="E3049" t="s">
        <v>676</v>
      </c>
      <c r="F3049" t="str">
        <f t="shared" si="331"/>
        <v>NEW DONOR -4th</v>
      </c>
      <c r="G3049" t="str">
        <f t="shared" si="332"/>
        <v>Marketing</v>
      </c>
      <c r="H3049" t="s">
        <v>558</v>
      </c>
      <c r="I3049">
        <f t="shared" si="333"/>
        <v>4</v>
      </c>
      <c r="J3049" t="s">
        <v>546</v>
      </c>
      <c r="K3049" s="5">
        <v>60</v>
      </c>
      <c r="L3049" t="str">
        <f>Table_DataFromNL[[#This Row],[PROFILECODE]]&amp;"-"&amp;Table_DataFromNL[[#This Row],[RULENAME]]</f>
        <v>CP526-New Donor 4th Visit-Bonus</v>
      </c>
      <c r="M3049" t="str">
        <f t="shared" si="334"/>
        <v>CP526-NEW DONOR -4th</v>
      </c>
    </row>
    <row r="3050" spans="1:13" x14ac:dyDescent="0.25">
      <c r="A3050" t="str">
        <f t="shared" si="335"/>
        <v>CP526-NEW DONOR -5th</v>
      </c>
      <c r="B3050" t="s">
        <v>139</v>
      </c>
      <c r="C3050" t="str">
        <f t="shared" si="329"/>
        <v>Temple Terrace</v>
      </c>
      <c r="D3050" t="str">
        <f t="shared" si="330"/>
        <v>Y</v>
      </c>
      <c r="E3050" t="s">
        <v>676</v>
      </c>
      <c r="F3050" t="str">
        <f t="shared" si="331"/>
        <v>NEW DONOR -5th</v>
      </c>
      <c r="G3050" t="str">
        <f t="shared" si="332"/>
        <v>Marketing</v>
      </c>
      <c r="H3050" t="s">
        <v>559</v>
      </c>
      <c r="I3050">
        <f t="shared" si="333"/>
        <v>5</v>
      </c>
      <c r="J3050" t="s">
        <v>546</v>
      </c>
      <c r="K3050" s="5">
        <v>60</v>
      </c>
      <c r="L3050" t="str">
        <f>Table_DataFromNL[[#This Row],[PROFILECODE]]&amp;"-"&amp;Table_DataFromNL[[#This Row],[RULENAME]]</f>
        <v>CP526-New Donor 5th Visit-Bonus</v>
      </c>
      <c r="M3050" t="str">
        <f t="shared" si="334"/>
        <v>CP526-NEW DONOR -5th</v>
      </c>
    </row>
    <row r="3051" spans="1:13" x14ac:dyDescent="0.25">
      <c r="A3051" t="str">
        <f t="shared" si="335"/>
        <v>CP526-NEW DONOR -6th</v>
      </c>
      <c r="B3051" t="s">
        <v>139</v>
      </c>
      <c r="C3051" t="str">
        <f t="shared" si="329"/>
        <v>Temple Terrace</v>
      </c>
      <c r="D3051" t="str">
        <f t="shared" si="330"/>
        <v>Y</v>
      </c>
      <c r="E3051" t="s">
        <v>676</v>
      </c>
      <c r="F3051" t="str">
        <f t="shared" si="331"/>
        <v>NEW DONOR -6th</v>
      </c>
      <c r="G3051" t="str">
        <f t="shared" si="332"/>
        <v>Marketing</v>
      </c>
      <c r="H3051" t="s">
        <v>560</v>
      </c>
      <c r="I3051">
        <f t="shared" si="333"/>
        <v>6</v>
      </c>
      <c r="J3051" t="s">
        <v>546</v>
      </c>
      <c r="K3051" s="5">
        <v>60</v>
      </c>
      <c r="L3051" t="str">
        <f>Table_DataFromNL[[#This Row],[PROFILECODE]]&amp;"-"&amp;Table_DataFromNL[[#This Row],[RULENAME]]</f>
        <v>CP526-New Donor 6th Visit-Bonus</v>
      </c>
      <c r="M3051" t="str">
        <f t="shared" si="334"/>
        <v>CP526-NEW DONOR -6th</v>
      </c>
    </row>
    <row r="3052" spans="1:13" x14ac:dyDescent="0.25">
      <c r="A3052" t="str">
        <f t="shared" si="335"/>
        <v>CP526-NEW DONOR -7th</v>
      </c>
      <c r="B3052" t="s">
        <v>139</v>
      </c>
      <c r="C3052" t="str">
        <f t="shared" si="329"/>
        <v>Temple Terrace</v>
      </c>
      <c r="D3052" t="str">
        <f t="shared" si="330"/>
        <v>Y</v>
      </c>
      <c r="E3052" t="s">
        <v>676</v>
      </c>
      <c r="F3052" t="str">
        <f t="shared" si="331"/>
        <v>NEW DONOR -7th</v>
      </c>
      <c r="G3052" t="str">
        <f t="shared" si="332"/>
        <v>Marketing</v>
      </c>
      <c r="H3052" t="s">
        <v>561</v>
      </c>
      <c r="I3052">
        <f t="shared" si="333"/>
        <v>7</v>
      </c>
      <c r="J3052" t="s">
        <v>546</v>
      </c>
      <c r="K3052" s="5">
        <v>60</v>
      </c>
      <c r="L3052" t="str">
        <f>Table_DataFromNL[[#This Row],[PROFILECODE]]&amp;"-"&amp;Table_DataFromNL[[#This Row],[RULENAME]]</f>
        <v>CP526-New Donor 7th Visit-Bonus</v>
      </c>
      <c r="M3052" t="str">
        <f t="shared" si="334"/>
        <v>CP526-NEW DONOR -7th</v>
      </c>
    </row>
    <row r="3053" spans="1:13" x14ac:dyDescent="0.25">
      <c r="A3053" t="str">
        <f t="shared" si="335"/>
        <v>CP526-NEW DONOR -8th</v>
      </c>
      <c r="B3053" t="s">
        <v>139</v>
      </c>
      <c r="C3053" t="str">
        <f t="shared" si="329"/>
        <v>Temple Terrace</v>
      </c>
      <c r="D3053" t="str">
        <f t="shared" si="330"/>
        <v>Y</v>
      </c>
      <c r="E3053" t="s">
        <v>676</v>
      </c>
      <c r="F3053" t="str">
        <f t="shared" si="331"/>
        <v>NEW DONOR -8th</v>
      </c>
      <c r="G3053" t="str">
        <f t="shared" si="332"/>
        <v>Marketing</v>
      </c>
      <c r="H3053" t="s">
        <v>562</v>
      </c>
      <c r="I3053">
        <f t="shared" si="333"/>
        <v>8</v>
      </c>
      <c r="J3053" t="s">
        <v>546</v>
      </c>
      <c r="K3053" s="5">
        <v>60</v>
      </c>
      <c r="L3053" t="str">
        <f>Table_DataFromNL[[#This Row],[PROFILECODE]]&amp;"-"&amp;Table_DataFromNL[[#This Row],[RULENAME]]</f>
        <v>CP526-New Donor 8th Visit-Bonus</v>
      </c>
      <c r="M3053" t="str">
        <f t="shared" si="334"/>
        <v>CP526-NEW DONOR -8th</v>
      </c>
    </row>
    <row r="3054" spans="1:13" x14ac:dyDescent="0.25">
      <c r="A3054" t="str">
        <f t="shared" si="335"/>
        <v>CP526-Vaccinia - 1st Donation</v>
      </c>
      <c r="B3054" t="s">
        <v>139</v>
      </c>
      <c r="C3054" t="str">
        <f t="shared" si="329"/>
        <v>Temple Terrace</v>
      </c>
      <c r="D3054" t="str">
        <f t="shared" si="330"/>
        <v>Y</v>
      </c>
      <c r="E3054" t="s">
        <v>676</v>
      </c>
      <c r="F3054" t="str">
        <f t="shared" si="331"/>
        <v>Vaccinia - 1st Donation</v>
      </c>
      <c r="G3054" t="str">
        <f t="shared" si="332"/>
        <v>Specialty</v>
      </c>
      <c r="H3054" t="s">
        <v>477</v>
      </c>
      <c r="I3054">
        <f t="shared" si="333"/>
        <v>0</v>
      </c>
      <c r="J3054" t="s">
        <v>546</v>
      </c>
      <c r="K3054" s="5">
        <v>150</v>
      </c>
      <c r="L3054" t="str">
        <f>Table_DataFromNL[[#This Row],[PROFILECODE]]&amp;"-"&amp;Table_DataFromNL[[#This Row],[RULENAME]]</f>
        <v>CP526-Vaccinia - 1st Donation</v>
      </c>
      <c r="M3054" t="str">
        <f t="shared" si="334"/>
        <v>CP526-Vaccinia - 1st Donation</v>
      </c>
    </row>
    <row r="3055" spans="1:13" x14ac:dyDescent="0.25">
      <c r="A3055" t="str">
        <f t="shared" si="335"/>
        <v>CP526-Vaccinia - 2nd Donation</v>
      </c>
      <c r="B3055" t="s">
        <v>139</v>
      </c>
      <c r="C3055" t="str">
        <f t="shared" si="329"/>
        <v>Temple Terrace</v>
      </c>
      <c r="D3055" t="str">
        <f t="shared" si="330"/>
        <v>Y</v>
      </c>
      <c r="E3055" t="s">
        <v>676</v>
      </c>
      <c r="F3055" t="str">
        <f t="shared" si="331"/>
        <v>Vaccinia - 2nd Donation</v>
      </c>
      <c r="G3055" t="str">
        <f t="shared" si="332"/>
        <v>Specialty</v>
      </c>
      <c r="H3055" t="s">
        <v>478</v>
      </c>
      <c r="I3055">
        <f t="shared" si="333"/>
        <v>0</v>
      </c>
      <c r="J3055" t="s">
        <v>546</v>
      </c>
      <c r="K3055" s="5">
        <v>250</v>
      </c>
      <c r="L3055" t="str">
        <f>Table_DataFromNL[[#This Row],[PROFILECODE]]&amp;"-"&amp;Table_DataFromNL[[#This Row],[RULENAME]]</f>
        <v>CP526-Vaccinia - 2nd Donation</v>
      </c>
      <c r="M3055" t="str">
        <f t="shared" si="334"/>
        <v>CP526-Vaccinia - 2nd Donation</v>
      </c>
    </row>
    <row r="3056" spans="1:13" x14ac:dyDescent="0.25">
      <c r="A3056" t="str">
        <f t="shared" si="335"/>
        <v>CP526-Vaccinia - 3rd Donation</v>
      </c>
      <c r="B3056" t="s">
        <v>139</v>
      </c>
      <c r="C3056" t="str">
        <f t="shared" si="329"/>
        <v>Temple Terrace</v>
      </c>
      <c r="D3056" t="str">
        <f t="shared" si="330"/>
        <v>Y</v>
      </c>
      <c r="E3056" t="s">
        <v>676</v>
      </c>
      <c r="F3056" t="str">
        <f t="shared" si="331"/>
        <v>Vaccinia - 3rd Donation</v>
      </c>
      <c r="G3056" t="str">
        <f t="shared" si="332"/>
        <v>Specialty</v>
      </c>
      <c r="H3056" t="s">
        <v>479</v>
      </c>
      <c r="I3056">
        <f t="shared" si="333"/>
        <v>0</v>
      </c>
      <c r="J3056" t="s">
        <v>546</v>
      </c>
      <c r="K3056" s="5">
        <v>300</v>
      </c>
      <c r="L3056" t="str">
        <f>Table_DataFromNL[[#This Row],[PROFILECODE]]&amp;"-"&amp;Table_DataFromNL[[#This Row],[RULENAME]]</f>
        <v>CP526-Vaccinia - 3rd Donation</v>
      </c>
      <c r="M3056" t="str">
        <f t="shared" si="334"/>
        <v>CP526-Vaccinia - 3rd Donation</v>
      </c>
    </row>
    <row r="3057" spans="1:13" x14ac:dyDescent="0.25">
      <c r="A3057" t="str">
        <f t="shared" si="335"/>
        <v>CP526-Vaccinia - 4th Donation</v>
      </c>
      <c r="B3057" t="s">
        <v>139</v>
      </c>
      <c r="C3057" t="str">
        <f t="shared" si="329"/>
        <v>Temple Terrace</v>
      </c>
      <c r="D3057" t="str">
        <f t="shared" si="330"/>
        <v>Y</v>
      </c>
      <c r="E3057" t="s">
        <v>676</v>
      </c>
      <c r="F3057" t="str">
        <f t="shared" si="331"/>
        <v>Vaccinia - 4th Donation</v>
      </c>
      <c r="G3057" t="str">
        <f t="shared" si="332"/>
        <v>Specialty</v>
      </c>
      <c r="H3057" t="s">
        <v>480</v>
      </c>
      <c r="I3057">
        <f t="shared" si="333"/>
        <v>0</v>
      </c>
      <c r="J3057" t="s">
        <v>546</v>
      </c>
      <c r="K3057" s="5">
        <v>300</v>
      </c>
      <c r="L3057" t="str">
        <f>Table_DataFromNL[[#This Row],[PROFILECODE]]&amp;"-"&amp;Table_DataFromNL[[#This Row],[RULENAME]]</f>
        <v>CP526-Vaccinia - 4th Donation</v>
      </c>
      <c r="M3057" t="str">
        <f t="shared" si="334"/>
        <v>CP526-Vaccinia - 4th Donation</v>
      </c>
    </row>
    <row r="3058" spans="1:13" x14ac:dyDescent="0.25">
      <c r="A3058" t="str">
        <f t="shared" si="335"/>
        <v>CP526-Vaccinia AP - 1st Donation</v>
      </c>
      <c r="B3058" t="s">
        <v>139</v>
      </c>
      <c r="C3058" t="str">
        <f t="shared" si="329"/>
        <v>Temple Terrace</v>
      </c>
      <c r="D3058" t="str">
        <f t="shared" si="330"/>
        <v>Y</v>
      </c>
      <c r="E3058" t="s">
        <v>676</v>
      </c>
      <c r="F3058" t="str">
        <f t="shared" si="331"/>
        <v>Vaccinia AP - 1st Donation</v>
      </c>
      <c r="G3058" t="str">
        <f t="shared" si="332"/>
        <v>Specialty</v>
      </c>
      <c r="H3058" t="s">
        <v>481</v>
      </c>
      <c r="I3058">
        <f t="shared" si="333"/>
        <v>0</v>
      </c>
      <c r="J3058" t="s">
        <v>546</v>
      </c>
      <c r="K3058" s="5">
        <v>150</v>
      </c>
      <c r="L3058" t="str">
        <f>Table_DataFromNL[[#This Row],[PROFILECODE]]&amp;"-"&amp;Table_DataFromNL[[#This Row],[RULENAME]]</f>
        <v>CP526-Vaccinia AP - 1st Donation</v>
      </c>
      <c r="M3058" t="str">
        <f t="shared" si="334"/>
        <v>CP526-Vaccinia AP - 1st Donation</v>
      </c>
    </row>
    <row r="3059" spans="1:13" x14ac:dyDescent="0.25">
      <c r="A3059" t="str">
        <f t="shared" si="335"/>
        <v>CP526-Vaccinia AP - 2nd Donation</v>
      </c>
      <c r="B3059" t="s">
        <v>139</v>
      </c>
      <c r="C3059" t="str">
        <f t="shared" si="329"/>
        <v>Temple Terrace</v>
      </c>
      <c r="D3059" t="str">
        <f t="shared" si="330"/>
        <v>Y</v>
      </c>
      <c r="E3059" t="s">
        <v>676</v>
      </c>
      <c r="F3059" t="str">
        <f t="shared" si="331"/>
        <v>Vaccinia AP - 2nd Donation</v>
      </c>
      <c r="G3059" t="str">
        <f t="shared" si="332"/>
        <v>Specialty</v>
      </c>
      <c r="H3059" t="s">
        <v>482</v>
      </c>
      <c r="I3059">
        <f t="shared" si="333"/>
        <v>0</v>
      </c>
      <c r="J3059" t="s">
        <v>546</v>
      </c>
      <c r="K3059" s="5">
        <v>250</v>
      </c>
      <c r="L3059" t="str">
        <f>Table_DataFromNL[[#This Row],[PROFILECODE]]&amp;"-"&amp;Table_DataFromNL[[#This Row],[RULENAME]]</f>
        <v>CP526-Vaccinia AP - 2nd Donation</v>
      </c>
      <c r="M3059" t="str">
        <f t="shared" si="334"/>
        <v>CP526-Vaccinia AP - 2nd Donation</v>
      </c>
    </row>
    <row r="3060" spans="1:13" x14ac:dyDescent="0.25">
      <c r="A3060" t="str">
        <f t="shared" si="335"/>
        <v>CP526-Vaccinia AP - 3rd Donation</v>
      </c>
      <c r="B3060" t="s">
        <v>139</v>
      </c>
      <c r="C3060" t="str">
        <f t="shared" si="329"/>
        <v>Temple Terrace</v>
      </c>
      <c r="D3060" t="str">
        <f t="shared" si="330"/>
        <v>Y</v>
      </c>
      <c r="E3060" t="s">
        <v>676</v>
      </c>
      <c r="F3060" t="str">
        <f t="shared" si="331"/>
        <v>Vaccinia AP - 3rd Donation</v>
      </c>
      <c r="G3060" t="str">
        <f t="shared" si="332"/>
        <v>Specialty</v>
      </c>
      <c r="H3060" t="s">
        <v>483</v>
      </c>
      <c r="I3060">
        <f t="shared" si="333"/>
        <v>0</v>
      </c>
      <c r="J3060" t="s">
        <v>546</v>
      </c>
      <c r="K3060" s="5">
        <v>300</v>
      </c>
      <c r="L3060" t="str">
        <f>Table_DataFromNL[[#This Row],[PROFILECODE]]&amp;"-"&amp;Table_DataFromNL[[#This Row],[RULENAME]]</f>
        <v>CP526-Vaccinia AP - 3rd Donation</v>
      </c>
      <c r="M3060" t="str">
        <f t="shared" si="334"/>
        <v>CP526-Vaccinia AP - 3rd Donation</v>
      </c>
    </row>
    <row r="3061" spans="1:13" x14ac:dyDescent="0.25">
      <c r="A3061" t="str">
        <f t="shared" si="335"/>
        <v>CP526-Vaccinia AP - 4th Donation</v>
      </c>
      <c r="B3061" t="s">
        <v>139</v>
      </c>
      <c r="C3061" t="str">
        <f t="shared" si="329"/>
        <v>Temple Terrace</v>
      </c>
      <c r="D3061" t="str">
        <f t="shared" si="330"/>
        <v>Y</v>
      </c>
      <c r="E3061" t="s">
        <v>676</v>
      </c>
      <c r="F3061" t="str">
        <f t="shared" si="331"/>
        <v>Vaccinia AP - 4th Donation</v>
      </c>
      <c r="G3061" t="str">
        <f t="shared" si="332"/>
        <v>Specialty</v>
      </c>
      <c r="H3061" t="s">
        <v>484</v>
      </c>
      <c r="I3061">
        <f t="shared" si="333"/>
        <v>0</v>
      </c>
      <c r="J3061" t="s">
        <v>546</v>
      </c>
      <c r="K3061" s="5">
        <v>300</v>
      </c>
      <c r="L3061" t="str">
        <f>Table_DataFromNL[[#This Row],[PROFILECODE]]&amp;"-"&amp;Table_DataFromNL[[#This Row],[RULENAME]]</f>
        <v>CP526-Vaccinia AP - 4th Donation</v>
      </c>
      <c r="M3061" t="str">
        <f t="shared" si="334"/>
        <v>CP526-Vaccinia AP - 4th Donation</v>
      </c>
    </row>
    <row r="3062" spans="1:13" x14ac:dyDescent="0.25">
      <c r="A3062" t="str">
        <f t="shared" si="335"/>
        <v>CP526-Community</v>
      </c>
      <c r="B3062" t="s">
        <v>139</v>
      </c>
      <c r="C3062" t="str">
        <f t="shared" si="329"/>
        <v>Temple Terrace</v>
      </c>
      <c r="D3062" t="str">
        <f t="shared" si="330"/>
        <v>Y</v>
      </c>
      <c r="E3062" t="s">
        <v>676</v>
      </c>
      <c r="F3062" t="str">
        <f t="shared" si="331"/>
        <v>Community</v>
      </c>
      <c r="G3062">
        <f t="shared" si="332"/>
        <v>0</v>
      </c>
      <c r="H3062" t="s">
        <v>563</v>
      </c>
      <c r="I3062">
        <f t="shared" si="333"/>
        <v>0</v>
      </c>
      <c r="J3062" t="s">
        <v>564</v>
      </c>
      <c r="K3062" s="5">
        <v>5</v>
      </c>
      <c r="L3062" t="str">
        <f>Table_DataFromNL[[#This Row],[PROFILECODE]]&amp;"-"&amp;Table_DataFromNL[[#This Row],[RULENAME]]</f>
        <v>CP526-Community</v>
      </c>
      <c r="M3062" t="e">
        <f t="shared" si="334"/>
        <v>#N/A</v>
      </c>
    </row>
    <row r="3063" spans="1:13" x14ac:dyDescent="0.25">
      <c r="A3063" t="str">
        <f t="shared" si="335"/>
        <v>CP526-HANGER_RECRUIT_5USD_once</v>
      </c>
      <c r="B3063" t="s">
        <v>139</v>
      </c>
      <c r="C3063" t="str">
        <f t="shared" si="329"/>
        <v>Temple Terrace</v>
      </c>
      <c r="D3063" t="str">
        <f t="shared" si="330"/>
        <v>Y</v>
      </c>
      <c r="E3063" t="s">
        <v>676</v>
      </c>
      <c r="F3063" t="str">
        <f t="shared" si="331"/>
        <v>HANGER_RECRUIT_5USD_once</v>
      </c>
      <c r="G3063">
        <f t="shared" si="332"/>
        <v>0</v>
      </c>
      <c r="H3063" t="s">
        <v>565</v>
      </c>
      <c r="I3063">
        <f t="shared" si="333"/>
        <v>0</v>
      </c>
      <c r="J3063" t="s">
        <v>564</v>
      </c>
      <c r="K3063" s="5">
        <v>5</v>
      </c>
      <c r="L3063" t="str">
        <f>Table_DataFromNL[[#This Row],[PROFILECODE]]&amp;"-"&amp;Table_DataFromNL[[#This Row],[RULENAME]]</f>
        <v>CP526-HANGER_RECRUIT_5USD_once</v>
      </c>
      <c r="M3063" t="e">
        <f t="shared" si="334"/>
        <v>#N/A</v>
      </c>
    </row>
    <row r="3064" spans="1:13" x14ac:dyDescent="0.25">
      <c r="A3064" t="str">
        <f t="shared" si="335"/>
        <v>CP526-Immunization Boost Payment</v>
      </c>
      <c r="B3064" t="s">
        <v>139</v>
      </c>
      <c r="C3064" t="str">
        <f t="shared" si="329"/>
        <v>Temple Terrace</v>
      </c>
      <c r="D3064" t="str">
        <f t="shared" si="330"/>
        <v>Y</v>
      </c>
      <c r="E3064" t="s">
        <v>676</v>
      </c>
      <c r="F3064" t="str">
        <f t="shared" si="331"/>
        <v>Immunization Boost Payment</v>
      </c>
      <c r="G3064">
        <f t="shared" si="332"/>
        <v>0</v>
      </c>
      <c r="H3064" t="s">
        <v>598</v>
      </c>
      <c r="I3064">
        <f t="shared" si="333"/>
        <v>0</v>
      </c>
      <c r="J3064" t="s">
        <v>564</v>
      </c>
      <c r="K3064" s="5">
        <v>50</v>
      </c>
      <c r="L3064" t="str">
        <f>Table_DataFromNL[[#This Row],[PROFILECODE]]&amp;"-"&amp;Table_DataFromNL[[#This Row],[RULENAME]]</f>
        <v>CP526-Immunization Boost Payment</v>
      </c>
      <c r="M3064" t="e">
        <f t="shared" si="334"/>
        <v>#N/A</v>
      </c>
    </row>
    <row r="3065" spans="1:13" x14ac:dyDescent="0.25">
      <c r="A3065" t="str">
        <f t="shared" si="335"/>
        <v>CP526-Immunization Series Payment</v>
      </c>
      <c r="B3065" t="s">
        <v>139</v>
      </c>
      <c r="C3065" t="str">
        <f t="shared" si="329"/>
        <v>Temple Terrace</v>
      </c>
      <c r="D3065" t="str">
        <f t="shared" si="330"/>
        <v>Y</v>
      </c>
      <c r="E3065" t="s">
        <v>676</v>
      </c>
      <c r="F3065" t="str">
        <f t="shared" si="331"/>
        <v>Immunization Series Payment</v>
      </c>
      <c r="G3065">
        <f t="shared" si="332"/>
        <v>0</v>
      </c>
      <c r="H3065" t="s">
        <v>599</v>
      </c>
      <c r="I3065">
        <f t="shared" si="333"/>
        <v>0</v>
      </c>
      <c r="J3065" t="s">
        <v>564</v>
      </c>
      <c r="K3065" s="5">
        <v>100</v>
      </c>
      <c r="L3065" t="str">
        <f>Table_DataFromNL[[#This Row],[PROFILECODE]]&amp;"-"&amp;Table_DataFromNL[[#This Row],[RULENAME]]</f>
        <v>CP526-Immunization Series Payment</v>
      </c>
      <c r="M3065" t="e">
        <f t="shared" si="334"/>
        <v>#N/A</v>
      </c>
    </row>
    <row r="3066" spans="1:13" x14ac:dyDescent="0.25">
      <c r="A3066" t="str">
        <f t="shared" si="335"/>
        <v>CP526-Inconv Fee $20-$50-Comment Req'd</v>
      </c>
      <c r="B3066" t="s">
        <v>139</v>
      </c>
      <c r="C3066" t="str">
        <f t="shared" si="329"/>
        <v>Temple Terrace</v>
      </c>
      <c r="D3066" t="str">
        <f t="shared" si="330"/>
        <v>Y</v>
      </c>
      <c r="E3066" t="s">
        <v>676</v>
      </c>
      <c r="F3066" t="str">
        <f t="shared" si="331"/>
        <v>Inconv Fee $20-$50-Comment Req'd</v>
      </c>
      <c r="G3066">
        <f t="shared" si="332"/>
        <v>0</v>
      </c>
      <c r="H3066" t="s">
        <v>566</v>
      </c>
      <c r="I3066">
        <f t="shared" si="333"/>
        <v>0</v>
      </c>
      <c r="J3066" t="s">
        <v>564</v>
      </c>
      <c r="K3066" s="5">
        <v>50</v>
      </c>
      <c r="L3066" t="str">
        <f>Table_DataFromNL[[#This Row],[PROFILECODE]]&amp;"-"&amp;Table_DataFromNL[[#This Row],[RULENAME]]</f>
        <v>CP526-Inconv Fee $20-$50-Comment Req'd</v>
      </c>
      <c r="M3066" t="e">
        <f t="shared" si="334"/>
        <v>#N/A</v>
      </c>
    </row>
    <row r="3067" spans="1:13" x14ac:dyDescent="0.25">
      <c r="A3067" t="str">
        <f t="shared" si="335"/>
        <v>CP526-Inconv Fee $5-$20-Comment Req'd</v>
      </c>
      <c r="B3067" t="s">
        <v>139</v>
      </c>
      <c r="C3067" t="str">
        <f t="shared" si="329"/>
        <v>Temple Terrace</v>
      </c>
      <c r="D3067" t="str">
        <f t="shared" si="330"/>
        <v>Y</v>
      </c>
      <c r="E3067" t="s">
        <v>676</v>
      </c>
      <c r="F3067" t="str">
        <f t="shared" si="331"/>
        <v>Inconv Fee $5-$20-Comment Req'd</v>
      </c>
      <c r="G3067">
        <f t="shared" si="332"/>
        <v>0</v>
      </c>
      <c r="H3067" t="s">
        <v>567</v>
      </c>
      <c r="I3067">
        <f t="shared" si="333"/>
        <v>0</v>
      </c>
      <c r="J3067" t="s">
        <v>564</v>
      </c>
      <c r="K3067" s="5">
        <v>20</v>
      </c>
      <c r="L3067" t="str">
        <f>Table_DataFromNL[[#This Row],[PROFILECODE]]&amp;"-"&amp;Table_DataFromNL[[#This Row],[RULENAME]]</f>
        <v>CP526-Inconv Fee $5-$20-Comment Req'd</v>
      </c>
      <c r="M3067" t="e">
        <f t="shared" si="334"/>
        <v>#N/A</v>
      </c>
    </row>
    <row r="3068" spans="1:13" x14ac:dyDescent="0.25">
      <c r="A3068" t="str">
        <f t="shared" si="335"/>
        <v>CP526-Inconv Fee$50-$100-Comment Req'd</v>
      </c>
      <c r="B3068" t="s">
        <v>139</v>
      </c>
      <c r="C3068" t="str">
        <f t="shared" si="329"/>
        <v>Temple Terrace</v>
      </c>
      <c r="D3068" t="str">
        <f t="shared" si="330"/>
        <v>Y</v>
      </c>
      <c r="E3068" t="s">
        <v>676</v>
      </c>
      <c r="F3068" t="str">
        <f t="shared" si="331"/>
        <v>Inconv Fee$50-$100-Comment Req'd</v>
      </c>
      <c r="G3068">
        <f t="shared" si="332"/>
        <v>0</v>
      </c>
      <c r="H3068" t="s">
        <v>568</v>
      </c>
      <c r="I3068">
        <f t="shared" si="333"/>
        <v>0</v>
      </c>
      <c r="J3068" t="s">
        <v>564</v>
      </c>
      <c r="K3068" s="5">
        <v>100</v>
      </c>
      <c r="L3068" t="str">
        <f>Table_DataFromNL[[#This Row],[PROFILECODE]]&amp;"-"&amp;Table_DataFromNL[[#This Row],[RULENAME]]</f>
        <v>CP526-Inconv Fee$50-$100-Comment Req'd</v>
      </c>
      <c r="M3068" t="e">
        <f t="shared" si="334"/>
        <v>#N/A</v>
      </c>
    </row>
    <row r="3069" spans="1:13" x14ac:dyDescent="0.25">
      <c r="A3069" t="str">
        <f t="shared" si="335"/>
        <v>CP526-NSP_ LAPSEDONOR_50_Twice</v>
      </c>
      <c r="B3069" t="s">
        <v>139</v>
      </c>
      <c r="C3069" t="str">
        <f t="shared" si="329"/>
        <v>Temple Terrace</v>
      </c>
      <c r="D3069" t="str">
        <f t="shared" si="330"/>
        <v>Y</v>
      </c>
      <c r="E3069" t="s">
        <v>676</v>
      </c>
      <c r="F3069" t="str">
        <f t="shared" si="331"/>
        <v>NSP_ LAPSEDONOR_50_Twice</v>
      </c>
      <c r="G3069">
        <f t="shared" si="332"/>
        <v>0</v>
      </c>
      <c r="H3069" t="s">
        <v>569</v>
      </c>
      <c r="I3069">
        <f t="shared" si="333"/>
        <v>0</v>
      </c>
      <c r="J3069" t="s">
        <v>564</v>
      </c>
      <c r="K3069" s="5">
        <v>50</v>
      </c>
      <c r="L3069" t="str">
        <f>Table_DataFromNL[[#This Row],[PROFILECODE]]&amp;"-"&amp;Table_DataFromNL[[#This Row],[RULENAME]]</f>
        <v>CP526-NSP_ LAPSEDONOR_50_Twice</v>
      </c>
      <c r="M3069" t="e">
        <f t="shared" si="334"/>
        <v>#N/A</v>
      </c>
    </row>
    <row r="3070" spans="1:13" x14ac:dyDescent="0.25">
      <c r="A3070" t="str">
        <f t="shared" si="335"/>
        <v>CP526-NSP_LD_25_2X</v>
      </c>
      <c r="B3070" t="s">
        <v>139</v>
      </c>
      <c r="C3070" t="str">
        <f t="shared" si="329"/>
        <v>Temple Terrace</v>
      </c>
      <c r="D3070" t="str">
        <f t="shared" si="330"/>
        <v>Y</v>
      </c>
      <c r="E3070" t="s">
        <v>676</v>
      </c>
      <c r="F3070" t="str">
        <f t="shared" si="331"/>
        <v>NSP_LD_25_2X</v>
      </c>
      <c r="G3070">
        <f t="shared" si="332"/>
        <v>0</v>
      </c>
      <c r="H3070" t="s">
        <v>570</v>
      </c>
      <c r="I3070">
        <f t="shared" si="333"/>
        <v>0</v>
      </c>
      <c r="J3070" t="s">
        <v>564</v>
      </c>
      <c r="K3070" s="5">
        <v>25</v>
      </c>
      <c r="L3070" t="str">
        <f>Table_DataFromNL[[#This Row],[PROFILECODE]]&amp;"-"&amp;Table_DataFromNL[[#This Row],[RULENAME]]</f>
        <v>CP526-NSP_LD_25_2X</v>
      </c>
      <c r="M3070" t="e">
        <f t="shared" si="334"/>
        <v>#N/A</v>
      </c>
    </row>
    <row r="3071" spans="1:13" x14ac:dyDescent="0.25">
      <c r="A3071" t="str">
        <f t="shared" si="335"/>
        <v>CP526-NSP_LD_50_1X</v>
      </c>
      <c r="B3071" t="s">
        <v>139</v>
      </c>
      <c r="C3071" t="str">
        <f t="shared" si="329"/>
        <v>Temple Terrace</v>
      </c>
      <c r="D3071" t="str">
        <f t="shared" si="330"/>
        <v>Y</v>
      </c>
      <c r="E3071" t="s">
        <v>676</v>
      </c>
      <c r="F3071" t="str">
        <f t="shared" si="331"/>
        <v>NSP_LD_50_1X</v>
      </c>
      <c r="G3071">
        <f t="shared" si="332"/>
        <v>0</v>
      </c>
      <c r="H3071" t="s">
        <v>571</v>
      </c>
      <c r="I3071">
        <f t="shared" si="333"/>
        <v>0</v>
      </c>
      <c r="J3071" t="s">
        <v>564</v>
      </c>
      <c r="K3071" s="5">
        <v>50</v>
      </c>
      <c r="L3071" t="str">
        <f>Table_DataFromNL[[#This Row],[PROFILECODE]]&amp;"-"&amp;Table_DataFromNL[[#This Row],[RULENAME]]</f>
        <v>CP526-NSP_LD_50_1X</v>
      </c>
      <c r="M3071" t="e">
        <f t="shared" si="334"/>
        <v>#N/A</v>
      </c>
    </row>
    <row r="3072" spans="1:13" x14ac:dyDescent="0.25">
      <c r="A3072" t="str">
        <f t="shared" si="335"/>
        <v>CP526-NSP_ORPHAN_100_once</v>
      </c>
      <c r="B3072" t="s">
        <v>139</v>
      </c>
      <c r="C3072" t="str">
        <f t="shared" si="329"/>
        <v>Temple Terrace</v>
      </c>
      <c r="D3072" t="str">
        <f t="shared" si="330"/>
        <v>Y</v>
      </c>
      <c r="E3072" t="s">
        <v>676</v>
      </c>
      <c r="F3072" t="str">
        <f t="shared" si="331"/>
        <v>NSP_ORPHAN_100_once</v>
      </c>
      <c r="G3072">
        <f t="shared" si="332"/>
        <v>0</v>
      </c>
      <c r="H3072" t="s">
        <v>572</v>
      </c>
      <c r="I3072">
        <f t="shared" si="333"/>
        <v>0</v>
      </c>
      <c r="J3072" t="s">
        <v>564</v>
      </c>
      <c r="K3072" s="5">
        <v>100</v>
      </c>
      <c r="L3072" t="str">
        <f>Table_DataFromNL[[#This Row],[PROFILECODE]]&amp;"-"&amp;Table_DataFromNL[[#This Row],[RULENAME]]</f>
        <v>CP526-NSP_ORPHAN_100_once</v>
      </c>
      <c r="M3072" t="e">
        <f t="shared" si="334"/>
        <v>#N/A</v>
      </c>
    </row>
    <row r="3073" spans="1:13" x14ac:dyDescent="0.25">
      <c r="A3073" t="str">
        <f t="shared" si="335"/>
        <v>CP526-Referral - Vaccinia</v>
      </c>
      <c r="B3073" t="s">
        <v>139</v>
      </c>
      <c r="C3073" t="str">
        <f t="shared" si="329"/>
        <v>Temple Terrace</v>
      </c>
      <c r="D3073" t="str">
        <f t="shared" si="330"/>
        <v>Y</v>
      </c>
      <c r="E3073" t="s">
        <v>676</v>
      </c>
      <c r="F3073" t="str">
        <f t="shared" si="331"/>
        <v>Referral - Vaccinia</v>
      </c>
      <c r="G3073">
        <f t="shared" si="332"/>
        <v>0</v>
      </c>
      <c r="H3073" t="s">
        <v>595</v>
      </c>
      <c r="I3073">
        <f t="shared" si="333"/>
        <v>0</v>
      </c>
      <c r="J3073" t="s">
        <v>564</v>
      </c>
      <c r="K3073" s="5">
        <v>250</v>
      </c>
      <c r="L3073" t="str">
        <f>Table_DataFromNL[[#This Row],[PROFILECODE]]&amp;"-"&amp;Table_DataFromNL[[#This Row],[RULENAME]]</f>
        <v>CP526-Referral - Vaccinia</v>
      </c>
      <c r="M3073" t="e">
        <f t="shared" si="334"/>
        <v>#N/A</v>
      </c>
    </row>
    <row r="3074" spans="1:13" x14ac:dyDescent="0.25">
      <c r="A3074" t="str">
        <f t="shared" si="335"/>
        <v>CP526-Restick</v>
      </c>
      <c r="B3074" t="s">
        <v>139</v>
      </c>
      <c r="C3074" t="str">
        <f t="shared" ref="C3074:C3137" si="336">VLOOKUP(B3074,CenterLU,2,FALSE)</f>
        <v>Temple Terrace</v>
      </c>
      <c r="D3074" t="str">
        <f t="shared" ref="D3074:D3137" si="337">VLOOKUP(B3074,CenterLU,3,FALSE)</f>
        <v>Y</v>
      </c>
      <c r="E3074" t="s">
        <v>676</v>
      </c>
      <c r="F3074" t="str">
        <f t="shared" ref="F3074:F3137" si="338">IF(VLOOKUP(H3074,RULENAMELU,3,FALSE)=0,H3074,VLOOKUP(H3074,RULENAMELU,3,FALSE))</f>
        <v>Restick</v>
      </c>
      <c r="G3074">
        <f t="shared" ref="G3074:G3137" si="339">VLOOKUP(H3074,RULENAMELU,4,FALSE)</f>
        <v>0</v>
      </c>
      <c r="H3074" t="s">
        <v>573</v>
      </c>
      <c r="I3074">
        <f t="shared" ref="I3074:I3137" si="340">VLOOKUP(H3074,RULENAMELU,5,FALSE)</f>
        <v>0</v>
      </c>
      <c r="J3074" t="s">
        <v>564</v>
      </c>
      <c r="K3074" s="5">
        <v>5</v>
      </c>
      <c r="L3074" t="str">
        <f>Table_DataFromNL[[#This Row],[PROFILECODE]]&amp;"-"&amp;Table_DataFromNL[[#This Row],[RULENAME]]</f>
        <v>CP526-Restick</v>
      </c>
      <c r="M3074" t="e">
        <f t="shared" ref="M3074:M3137" si="341">IFERROR(VLOOKUP(A3074,PaychangesLU,1,FALSE),VLOOKUP(A3074,SpecialtyCheckLU,1,FALSE))</f>
        <v>#N/A</v>
      </c>
    </row>
    <row r="3075" spans="1:13" x14ac:dyDescent="0.25">
      <c r="A3075" t="str">
        <f t="shared" ref="A3075:A3138" si="342">B3075&amp;"-"&amp;F3075</f>
        <v>CP526-SCRATCH_100_USD</v>
      </c>
      <c r="B3075" t="s">
        <v>139</v>
      </c>
      <c r="C3075" t="str">
        <f t="shared" si="336"/>
        <v>Temple Terrace</v>
      </c>
      <c r="D3075" t="str">
        <f t="shared" si="337"/>
        <v>Y</v>
      </c>
      <c r="E3075" t="s">
        <v>676</v>
      </c>
      <c r="F3075" t="str">
        <f t="shared" si="338"/>
        <v>SCRATCH_100_USD</v>
      </c>
      <c r="G3075">
        <f t="shared" si="339"/>
        <v>0</v>
      </c>
      <c r="H3075" t="s">
        <v>586</v>
      </c>
      <c r="I3075">
        <f t="shared" si="340"/>
        <v>0</v>
      </c>
      <c r="J3075" t="s">
        <v>564</v>
      </c>
      <c r="K3075" s="5">
        <v>100</v>
      </c>
      <c r="L3075" t="str">
        <f>Table_DataFromNL[[#This Row],[PROFILECODE]]&amp;"-"&amp;Table_DataFromNL[[#This Row],[RULENAME]]</f>
        <v>CP526-SCRATCH_100_USD</v>
      </c>
      <c r="M3075" t="e">
        <f t="shared" si="341"/>
        <v>#N/A</v>
      </c>
    </row>
    <row r="3076" spans="1:13" x14ac:dyDescent="0.25">
      <c r="A3076" t="str">
        <f t="shared" si="342"/>
        <v>CP526-SCRATCH_10_USD</v>
      </c>
      <c r="B3076" t="s">
        <v>139</v>
      </c>
      <c r="C3076" t="str">
        <f t="shared" si="336"/>
        <v>Temple Terrace</v>
      </c>
      <c r="D3076" t="str">
        <f t="shared" si="337"/>
        <v>Y</v>
      </c>
      <c r="E3076" t="s">
        <v>676</v>
      </c>
      <c r="F3076" t="str">
        <f t="shared" si="338"/>
        <v>SCRATCH_10_USD</v>
      </c>
      <c r="G3076">
        <f t="shared" si="339"/>
        <v>0</v>
      </c>
      <c r="H3076" t="s">
        <v>587</v>
      </c>
      <c r="I3076">
        <f t="shared" si="340"/>
        <v>0</v>
      </c>
      <c r="J3076" t="s">
        <v>564</v>
      </c>
      <c r="K3076" s="5">
        <v>10</v>
      </c>
      <c r="L3076" t="str">
        <f>Table_DataFromNL[[#This Row],[PROFILECODE]]&amp;"-"&amp;Table_DataFromNL[[#This Row],[RULENAME]]</f>
        <v>CP526-SCRATCH_10_USD</v>
      </c>
      <c r="M3076" t="e">
        <f t="shared" si="341"/>
        <v>#N/A</v>
      </c>
    </row>
    <row r="3077" spans="1:13" x14ac:dyDescent="0.25">
      <c r="A3077" t="str">
        <f t="shared" si="342"/>
        <v>CP526-SCRATCH_20_USD</v>
      </c>
      <c r="B3077" t="s">
        <v>139</v>
      </c>
      <c r="C3077" t="str">
        <f t="shared" si="336"/>
        <v>Temple Terrace</v>
      </c>
      <c r="D3077" t="str">
        <f t="shared" si="337"/>
        <v>Y</v>
      </c>
      <c r="E3077" t="s">
        <v>676</v>
      </c>
      <c r="F3077" t="str">
        <f t="shared" si="338"/>
        <v>SCRATCH_20_USD</v>
      </c>
      <c r="G3077">
        <f t="shared" si="339"/>
        <v>0</v>
      </c>
      <c r="H3077" t="s">
        <v>588</v>
      </c>
      <c r="I3077">
        <f t="shared" si="340"/>
        <v>0</v>
      </c>
      <c r="J3077" t="s">
        <v>564</v>
      </c>
      <c r="K3077" s="5">
        <v>20</v>
      </c>
      <c r="L3077" t="str">
        <f>Table_DataFromNL[[#This Row],[PROFILECODE]]&amp;"-"&amp;Table_DataFromNL[[#This Row],[RULENAME]]</f>
        <v>CP526-SCRATCH_20_USD</v>
      </c>
      <c r="M3077" t="e">
        <f t="shared" si="341"/>
        <v>#N/A</v>
      </c>
    </row>
    <row r="3078" spans="1:13" x14ac:dyDescent="0.25">
      <c r="A3078" t="str">
        <f t="shared" si="342"/>
        <v>CP526-SCRATCH_25_USD</v>
      </c>
      <c r="B3078" t="s">
        <v>139</v>
      </c>
      <c r="C3078" t="str">
        <f t="shared" si="336"/>
        <v>Temple Terrace</v>
      </c>
      <c r="D3078" t="str">
        <f t="shared" si="337"/>
        <v>Y</v>
      </c>
      <c r="E3078" t="s">
        <v>676</v>
      </c>
      <c r="F3078" t="str">
        <f t="shared" si="338"/>
        <v>SCRATCH_25_USD</v>
      </c>
      <c r="G3078">
        <f t="shared" si="339"/>
        <v>0</v>
      </c>
      <c r="H3078" t="s">
        <v>589</v>
      </c>
      <c r="I3078">
        <f t="shared" si="340"/>
        <v>0</v>
      </c>
      <c r="J3078" t="s">
        <v>564</v>
      </c>
      <c r="K3078" s="5">
        <v>25</v>
      </c>
      <c r="L3078" t="str">
        <f>Table_DataFromNL[[#This Row],[PROFILECODE]]&amp;"-"&amp;Table_DataFromNL[[#This Row],[RULENAME]]</f>
        <v>CP526-SCRATCH_25_USD</v>
      </c>
      <c r="M3078" t="e">
        <f t="shared" si="341"/>
        <v>#N/A</v>
      </c>
    </row>
    <row r="3079" spans="1:13" x14ac:dyDescent="0.25">
      <c r="A3079" t="str">
        <f t="shared" si="342"/>
        <v>CP526-SCRATCH_50_USD</v>
      </c>
      <c r="B3079" t="s">
        <v>139</v>
      </c>
      <c r="C3079" t="str">
        <f t="shared" si="336"/>
        <v>Temple Terrace</v>
      </c>
      <c r="D3079" t="str">
        <f t="shared" si="337"/>
        <v>Y</v>
      </c>
      <c r="E3079" t="s">
        <v>676</v>
      </c>
      <c r="F3079" t="str">
        <f t="shared" si="338"/>
        <v>SCRATCH_50_USD</v>
      </c>
      <c r="G3079">
        <f t="shared" si="339"/>
        <v>0</v>
      </c>
      <c r="H3079" t="s">
        <v>590</v>
      </c>
      <c r="I3079">
        <f t="shared" si="340"/>
        <v>0</v>
      </c>
      <c r="J3079" t="s">
        <v>564</v>
      </c>
      <c r="K3079" s="5">
        <v>50</v>
      </c>
      <c r="L3079" t="str">
        <f>Table_DataFromNL[[#This Row],[PROFILECODE]]&amp;"-"&amp;Table_DataFromNL[[#This Row],[RULENAME]]</f>
        <v>CP526-SCRATCH_50_USD</v>
      </c>
      <c r="M3079" t="e">
        <f t="shared" si="341"/>
        <v>#N/A</v>
      </c>
    </row>
    <row r="3080" spans="1:13" x14ac:dyDescent="0.25">
      <c r="A3080" t="str">
        <f t="shared" si="342"/>
        <v>CP526-SCRATCH_5_USD</v>
      </c>
      <c r="B3080" t="s">
        <v>139</v>
      </c>
      <c r="C3080" t="str">
        <f t="shared" si="336"/>
        <v>Temple Terrace</v>
      </c>
      <c r="D3080" t="str">
        <f t="shared" si="337"/>
        <v>Y</v>
      </c>
      <c r="E3080" t="s">
        <v>676</v>
      </c>
      <c r="F3080" t="str">
        <f t="shared" si="338"/>
        <v>SCRATCH_5_USD</v>
      </c>
      <c r="G3080">
        <f t="shared" si="339"/>
        <v>0</v>
      </c>
      <c r="H3080" t="s">
        <v>591</v>
      </c>
      <c r="I3080">
        <f t="shared" si="340"/>
        <v>0</v>
      </c>
      <c r="J3080" t="s">
        <v>564</v>
      </c>
      <c r="K3080" s="5">
        <v>5</v>
      </c>
      <c r="L3080" t="str">
        <f>Table_DataFromNL[[#This Row],[PROFILECODE]]&amp;"-"&amp;Table_DataFromNL[[#This Row],[RULENAME]]</f>
        <v>CP526-SCRATCH_5_USD</v>
      </c>
      <c r="M3080" t="e">
        <f t="shared" si="341"/>
        <v>#N/A</v>
      </c>
    </row>
    <row r="3081" spans="1:13" x14ac:dyDescent="0.25">
      <c r="A3081" t="str">
        <f t="shared" si="342"/>
        <v>CP526-SLOW_TEXT_5</v>
      </c>
      <c r="B3081" t="s">
        <v>139</v>
      </c>
      <c r="C3081" t="str">
        <f t="shared" si="336"/>
        <v>Temple Terrace</v>
      </c>
      <c r="D3081" t="str">
        <f t="shared" si="337"/>
        <v>Y</v>
      </c>
      <c r="E3081" t="s">
        <v>676</v>
      </c>
      <c r="F3081" t="str">
        <f t="shared" si="338"/>
        <v>SLOW_TEXT_5</v>
      </c>
      <c r="G3081">
        <f t="shared" si="339"/>
        <v>0</v>
      </c>
      <c r="H3081" t="s">
        <v>574</v>
      </c>
      <c r="I3081">
        <f t="shared" si="340"/>
        <v>0</v>
      </c>
      <c r="J3081" t="s">
        <v>564</v>
      </c>
      <c r="K3081" s="5">
        <v>5</v>
      </c>
      <c r="L3081" t="str">
        <f>Table_DataFromNL[[#This Row],[PROFILECODE]]&amp;"-"&amp;Table_DataFromNL[[#This Row],[RULENAME]]</f>
        <v>CP526-SLOW_TEXT_5</v>
      </c>
      <c r="M3081" t="e">
        <f t="shared" si="341"/>
        <v>#N/A</v>
      </c>
    </row>
    <row r="3082" spans="1:13" x14ac:dyDescent="0.25">
      <c r="A3082" t="str">
        <f t="shared" si="342"/>
        <v>CP526-Sample Only</v>
      </c>
      <c r="B3082" t="s">
        <v>139</v>
      </c>
      <c r="C3082" t="str">
        <f t="shared" si="336"/>
        <v>Temple Terrace</v>
      </c>
      <c r="D3082" t="str">
        <f t="shared" si="337"/>
        <v>Y</v>
      </c>
      <c r="E3082" t="s">
        <v>676</v>
      </c>
      <c r="F3082" t="str">
        <f t="shared" si="338"/>
        <v>Sample Only</v>
      </c>
      <c r="G3082">
        <f t="shared" si="339"/>
        <v>0</v>
      </c>
      <c r="H3082" t="s">
        <v>575</v>
      </c>
      <c r="I3082">
        <f t="shared" si="340"/>
        <v>0</v>
      </c>
      <c r="J3082" t="s">
        <v>564</v>
      </c>
      <c r="K3082" s="5">
        <v>5</v>
      </c>
      <c r="L3082" t="str">
        <f>Table_DataFromNL[[#This Row],[PROFILECODE]]&amp;"-"&amp;Table_DataFromNL[[#This Row],[RULENAME]]</f>
        <v>CP526-Sample Only</v>
      </c>
      <c r="M3082" t="e">
        <f t="shared" si="341"/>
        <v>#N/A</v>
      </c>
    </row>
    <row r="3083" spans="1:13" x14ac:dyDescent="0.25">
      <c r="A3083" t="str">
        <f t="shared" si="342"/>
        <v>CP526-Unit Below 250 mL</v>
      </c>
      <c r="B3083" t="s">
        <v>139</v>
      </c>
      <c r="C3083" t="str">
        <f t="shared" si="336"/>
        <v>Temple Terrace</v>
      </c>
      <c r="D3083" t="str">
        <f t="shared" si="337"/>
        <v>Y</v>
      </c>
      <c r="E3083" t="s">
        <v>676</v>
      </c>
      <c r="F3083" t="str">
        <f t="shared" si="338"/>
        <v>Unit Below 250 mL</v>
      </c>
      <c r="G3083">
        <f t="shared" si="339"/>
        <v>0</v>
      </c>
      <c r="H3083" t="s">
        <v>576</v>
      </c>
      <c r="I3083">
        <f t="shared" si="340"/>
        <v>0</v>
      </c>
      <c r="J3083" t="s">
        <v>564</v>
      </c>
      <c r="K3083" s="5">
        <v>5</v>
      </c>
      <c r="L3083" t="str">
        <f>Table_DataFromNL[[#This Row],[PROFILECODE]]&amp;"-"&amp;Table_DataFromNL[[#This Row],[RULENAME]]</f>
        <v>CP526-Unit Below 250 mL</v>
      </c>
      <c r="M3083" t="e">
        <f t="shared" si="341"/>
        <v>#N/A</v>
      </c>
    </row>
    <row r="3084" spans="1:13" x14ac:dyDescent="0.25">
      <c r="A3084" t="str">
        <f t="shared" si="342"/>
        <v>CP526-Unit above 250 mL/underdraw</v>
      </c>
      <c r="B3084" t="s">
        <v>139</v>
      </c>
      <c r="C3084" t="str">
        <f t="shared" si="336"/>
        <v>Temple Terrace</v>
      </c>
      <c r="D3084" t="str">
        <f t="shared" si="337"/>
        <v>Y</v>
      </c>
      <c r="E3084" t="s">
        <v>676</v>
      </c>
      <c r="F3084" t="str">
        <f t="shared" si="338"/>
        <v>Unit above 250 mL/underdraw</v>
      </c>
      <c r="G3084">
        <f t="shared" si="339"/>
        <v>0</v>
      </c>
      <c r="H3084" t="s">
        <v>577</v>
      </c>
      <c r="I3084">
        <f t="shared" si="340"/>
        <v>0</v>
      </c>
      <c r="J3084" t="s">
        <v>564</v>
      </c>
      <c r="K3084" s="5">
        <v>10</v>
      </c>
      <c r="L3084" t="str">
        <f>Table_DataFromNL[[#This Row],[PROFILECODE]]&amp;"-"&amp;Table_DataFromNL[[#This Row],[RULENAME]]</f>
        <v>CP526-Unit above 250 mL/underdraw</v>
      </c>
      <c r="M3084" t="e">
        <f t="shared" si="341"/>
        <v>#N/A</v>
      </c>
    </row>
    <row r="3085" spans="1:13" x14ac:dyDescent="0.25">
      <c r="A3085" t="str">
        <f t="shared" si="342"/>
        <v>CP526-Vaccinia Immunization</v>
      </c>
      <c r="B3085" t="s">
        <v>139</v>
      </c>
      <c r="C3085" t="str">
        <f t="shared" si="336"/>
        <v>Temple Terrace</v>
      </c>
      <c r="D3085" t="str">
        <f t="shared" si="337"/>
        <v>Y</v>
      </c>
      <c r="E3085" t="s">
        <v>676</v>
      </c>
      <c r="F3085" t="str">
        <f t="shared" si="338"/>
        <v>Vaccinia Immunization</v>
      </c>
      <c r="G3085">
        <f t="shared" si="339"/>
        <v>0</v>
      </c>
      <c r="H3085" t="s">
        <v>596</v>
      </c>
      <c r="I3085">
        <f t="shared" si="340"/>
        <v>0</v>
      </c>
      <c r="J3085" t="s">
        <v>564</v>
      </c>
      <c r="K3085" s="5">
        <v>100</v>
      </c>
      <c r="L3085" t="str">
        <f>Table_DataFromNL[[#This Row],[PROFILECODE]]&amp;"-"&amp;Table_DataFromNL[[#This Row],[RULENAME]]</f>
        <v>CP526-Vaccinia Immunization</v>
      </c>
      <c r="M3085" t="e">
        <f t="shared" si="341"/>
        <v>#N/A</v>
      </c>
    </row>
    <row r="3086" spans="1:13" x14ac:dyDescent="0.25">
      <c r="A3086" t="str">
        <f t="shared" si="342"/>
        <v>CP526-RETURN - Buddy referral  -BONUS</v>
      </c>
      <c r="B3086" t="s">
        <v>139</v>
      </c>
      <c r="C3086" t="str">
        <f t="shared" si="336"/>
        <v>Temple Terrace</v>
      </c>
      <c r="D3086" t="str">
        <f t="shared" si="337"/>
        <v>Y</v>
      </c>
      <c r="E3086" t="s">
        <v>676</v>
      </c>
      <c r="F3086" t="str">
        <f t="shared" si="338"/>
        <v>RETURN - Buddy referral  -BONUS</v>
      </c>
      <c r="G3086" t="str">
        <f t="shared" si="339"/>
        <v>Marketing</v>
      </c>
      <c r="H3086" t="s">
        <v>34</v>
      </c>
      <c r="I3086">
        <f t="shared" si="340"/>
        <v>50</v>
      </c>
      <c r="J3086" t="s">
        <v>578</v>
      </c>
      <c r="K3086" s="5">
        <v>50</v>
      </c>
      <c r="L3086" t="str">
        <f>Table_DataFromNL[[#This Row],[PROFILECODE]]&amp;"-"&amp;Table_DataFromNL[[#This Row],[RULENAME]]</f>
        <v>CP526-Referral</v>
      </c>
      <c r="M3086" t="str">
        <f t="shared" si="341"/>
        <v>CP526-RETURN - Buddy referral  -BONUS</v>
      </c>
    </row>
    <row r="3087" spans="1:13" x14ac:dyDescent="0.25">
      <c r="A3087" t="str">
        <f t="shared" si="342"/>
        <v>CP526-P Anti-D Pre-Existing Standard</v>
      </c>
      <c r="B3087" t="s">
        <v>139</v>
      </c>
      <c r="C3087" t="str">
        <f t="shared" si="336"/>
        <v>Temple Terrace</v>
      </c>
      <c r="D3087" t="str">
        <f t="shared" si="337"/>
        <v>Y</v>
      </c>
      <c r="E3087" t="s">
        <v>676</v>
      </c>
      <c r="F3087" t="str">
        <f t="shared" si="338"/>
        <v>P Anti-D Pre-Existing Standard</v>
      </c>
      <c r="G3087" t="str">
        <f t="shared" si="339"/>
        <v>Specialty</v>
      </c>
      <c r="H3087" t="s">
        <v>469</v>
      </c>
      <c r="I3087" t="str">
        <f t="shared" si="340"/>
        <v>RETURN - 1st don of the week -STD</v>
      </c>
      <c r="J3087" t="s">
        <v>579</v>
      </c>
      <c r="K3087" s="5">
        <v>50</v>
      </c>
      <c r="L3087" t="str">
        <f>Table_DataFromNL[[#This Row],[PROFILECODE]]&amp;"-"&amp;Table_DataFromNL[[#This Row],[RULENAME]]</f>
        <v>CP526-P Anti-D Pre-Existing Standard</v>
      </c>
      <c r="M3087" t="str">
        <f t="shared" si="341"/>
        <v>CP526-P Anti-D Pre-Existing Standard</v>
      </c>
    </row>
    <row r="3088" spans="1:13" x14ac:dyDescent="0.25">
      <c r="A3088" t="str">
        <f t="shared" si="342"/>
        <v>CP526-RETURN - 1st don of the week -STD</v>
      </c>
      <c r="B3088" t="s">
        <v>139</v>
      </c>
      <c r="C3088" t="str">
        <f t="shared" si="336"/>
        <v>Temple Terrace</v>
      </c>
      <c r="D3088" t="str">
        <f t="shared" si="337"/>
        <v>Y</v>
      </c>
      <c r="E3088" t="s">
        <v>676</v>
      </c>
      <c r="F3088" t="str">
        <f t="shared" si="338"/>
        <v>RETURN - 1st don of the week -STD</v>
      </c>
      <c r="G3088" t="str">
        <f t="shared" si="339"/>
        <v>Marketing</v>
      </c>
      <c r="H3088" t="s">
        <v>583</v>
      </c>
      <c r="I3088">
        <f t="shared" si="340"/>
        <v>22</v>
      </c>
      <c r="J3088" t="s">
        <v>579</v>
      </c>
      <c r="K3088" s="5">
        <v>60</v>
      </c>
      <c r="L3088" t="str">
        <f>Table_DataFromNL[[#This Row],[PROFILECODE]]&amp;"-"&amp;Table_DataFromNL[[#This Row],[RULENAME]]</f>
        <v>CP526-P NSP NS AP Standard</v>
      </c>
      <c r="M3088" t="str">
        <f t="shared" si="341"/>
        <v>CP526-RETURN - 1st don of the week -STD</v>
      </c>
    </row>
    <row r="3089" spans="1:13" x14ac:dyDescent="0.25">
      <c r="A3089" t="str">
        <f t="shared" si="342"/>
        <v>CP526-RETURN - 1st don of the week -STD</v>
      </c>
      <c r="B3089" t="s">
        <v>139</v>
      </c>
      <c r="C3089" t="str">
        <f t="shared" si="336"/>
        <v>Temple Terrace</v>
      </c>
      <c r="D3089" t="str">
        <f t="shared" si="337"/>
        <v>Y</v>
      </c>
      <c r="E3089" t="s">
        <v>676</v>
      </c>
      <c r="F3089" t="str">
        <f t="shared" si="338"/>
        <v>RETURN - 1st don of the week -STD</v>
      </c>
      <c r="G3089" t="str">
        <f t="shared" si="339"/>
        <v>Marketing</v>
      </c>
      <c r="H3089" t="s">
        <v>584</v>
      </c>
      <c r="I3089">
        <f t="shared" si="340"/>
        <v>23</v>
      </c>
      <c r="J3089" t="s">
        <v>579</v>
      </c>
      <c r="K3089" s="5">
        <v>60</v>
      </c>
      <c r="L3089" t="str">
        <f>Table_DataFromNL[[#This Row],[PROFILECODE]]&amp;"-"&amp;Table_DataFromNL[[#This Row],[RULENAME]]</f>
        <v>CP526-P NSP NS Standard</v>
      </c>
      <c r="M3089" t="str">
        <f t="shared" si="341"/>
        <v>CP526-RETURN - 1st don of the week -STD</v>
      </c>
    </row>
    <row r="3090" spans="1:13" x14ac:dyDescent="0.25">
      <c r="A3090" t="str">
        <f t="shared" si="342"/>
        <v>CP526-P VZV Pre-Existing AP</v>
      </c>
      <c r="B3090" t="s">
        <v>139</v>
      </c>
      <c r="C3090" t="str">
        <f t="shared" si="336"/>
        <v>Temple Terrace</v>
      </c>
      <c r="D3090" t="str">
        <f t="shared" si="337"/>
        <v>Y</v>
      </c>
      <c r="E3090" t="s">
        <v>676</v>
      </c>
      <c r="F3090" t="str">
        <f t="shared" si="338"/>
        <v>P VZV Pre-Existing AP</v>
      </c>
      <c r="G3090" t="str">
        <f t="shared" si="339"/>
        <v>Specialty</v>
      </c>
      <c r="H3090" t="s">
        <v>495</v>
      </c>
      <c r="I3090" t="str">
        <f t="shared" si="340"/>
        <v>RETURN - 1st don of the week -STD</v>
      </c>
      <c r="J3090" t="s">
        <v>579</v>
      </c>
      <c r="K3090" s="5">
        <v>70</v>
      </c>
      <c r="L3090" t="str">
        <f>Table_DataFromNL[[#This Row],[PROFILECODE]]&amp;"-"&amp;Table_DataFromNL[[#This Row],[RULENAME]]</f>
        <v>CP526-P VZV Pre-Existing AP</v>
      </c>
      <c r="M3090" t="str">
        <f t="shared" si="341"/>
        <v>CP526-P VZV Pre-Existing AP</v>
      </c>
    </row>
    <row r="3091" spans="1:13" x14ac:dyDescent="0.25">
      <c r="A3091" t="str">
        <f t="shared" si="342"/>
        <v>CP526-P Vaccinia AP Standard</v>
      </c>
      <c r="B3091" t="s">
        <v>139</v>
      </c>
      <c r="C3091" t="str">
        <f t="shared" si="336"/>
        <v>Temple Terrace</v>
      </c>
      <c r="D3091" t="str">
        <f t="shared" si="337"/>
        <v>Y</v>
      </c>
      <c r="E3091" t="s">
        <v>676</v>
      </c>
      <c r="F3091" t="str">
        <f t="shared" si="338"/>
        <v>P Vaccinia AP Standard</v>
      </c>
      <c r="G3091" t="str">
        <f t="shared" si="339"/>
        <v>Specialty</v>
      </c>
      <c r="H3091" t="s">
        <v>475</v>
      </c>
      <c r="I3091">
        <f t="shared" si="340"/>
        <v>0</v>
      </c>
      <c r="J3091" t="s">
        <v>579</v>
      </c>
      <c r="K3091" s="5">
        <v>100</v>
      </c>
      <c r="L3091" t="str">
        <f>Table_DataFromNL[[#This Row],[PROFILECODE]]&amp;"-"&amp;Table_DataFromNL[[#This Row],[RULENAME]]</f>
        <v>CP526-P Vaccinia AP Standard</v>
      </c>
      <c r="M3091" t="str">
        <f t="shared" si="341"/>
        <v>CP526-P Vaccinia AP Standard</v>
      </c>
    </row>
    <row r="3092" spans="1:13" x14ac:dyDescent="0.25">
      <c r="A3092" t="str">
        <f t="shared" si="342"/>
        <v>CP526-P Vaccinia Standard</v>
      </c>
      <c r="B3092" t="s">
        <v>139</v>
      </c>
      <c r="C3092" t="str">
        <f t="shared" si="336"/>
        <v>Temple Terrace</v>
      </c>
      <c r="D3092" t="str">
        <f t="shared" si="337"/>
        <v>Y</v>
      </c>
      <c r="E3092" t="s">
        <v>676</v>
      </c>
      <c r="F3092" t="str">
        <f t="shared" si="338"/>
        <v>P Vaccinia Standard</v>
      </c>
      <c r="G3092" t="str">
        <f t="shared" si="339"/>
        <v>Specialty</v>
      </c>
      <c r="H3092" t="s">
        <v>476</v>
      </c>
      <c r="I3092">
        <f t="shared" si="340"/>
        <v>0</v>
      </c>
      <c r="J3092" t="s">
        <v>579</v>
      </c>
      <c r="K3092" s="5">
        <v>100</v>
      </c>
      <c r="L3092" t="str">
        <f>Table_DataFromNL[[#This Row],[PROFILECODE]]&amp;"-"&amp;Table_DataFromNL[[#This Row],[RULENAME]]</f>
        <v>CP526-P Vaccinia Standard</v>
      </c>
      <c r="M3092" t="str">
        <f t="shared" si="341"/>
        <v>CP526-P Vaccinia Standard</v>
      </c>
    </row>
    <row r="3093" spans="1:13" x14ac:dyDescent="0.25">
      <c r="A3093" t="str">
        <f t="shared" si="342"/>
        <v>CP526-PVZV Pre-Existing Standard</v>
      </c>
      <c r="B3093" t="s">
        <v>139</v>
      </c>
      <c r="C3093" t="str">
        <f t="shared" si="336"/>
        <v>Temple Terrace</v>
      </c>
      <c r="D3093" t="str">
        <f t="shared" si="337"/>
        <v>Y</v>
      </c>
      <c r="E3093" t="s">
        <v>676</v>
      </c>
      <c r="F3093" t="str">
        <f t="shared" si="338"/>
        <v>PVZV Pre-Existing Standard</v>
      </c>
      <c r="G3093" t="str">
        <f t="shared" si="339"/>
        <v>Specialty</v>
      </c>
      <c r="H3093" t="s">
        <v>497</v>
      </c>
      <c r="I3093" t="str">
        <f t="shared" si="340"/>
        <v>RETURN - 1st don of the week -STD</v>
      </c>
      <c r="J3093" t="s">
        <v>579</v>
      </c>
      <c r="K3093" s="5">
        <v>70</v>
      </c>
      <c r="L3093" t="str">
        <f>Table_DataFromNL[[#This Row],[PROFILECODE]]&amp;"-"&amp;Table_DataFromNL[[#This Row],[RULENAME]]</f>
        <v>CP526-PVZV Pre-Existing Standard</v>
      </c>
      <c r="M3093" t="str">
        <f t="shared" si="341"/>
        <v>CP526-PVZV Pre-Existing Standard</v>
      </c>
    </row>
    <row r="3094" spans="1:13" x14ac:dyDescent="0.25">
      <c r="A3094" t="str">
        <f t="shared" si="342"/>
        <v>CP128-1st Responder-Medical</v>
      </c>
      <c r="B3094" t="s">
        <v>171</v>
      </c>
      <c r="C3094" t="str">
        <f t="shared" si="336"/>
        <v>Tucker</v>
      </c>
      <c r="D3094" t="str">
        <f t="shared" si="337"/>
        <v>Y</v>
      </c>
      <c r="E3094" t="s">
        <v>677</v>
      </c>
      <c r="F3094" t="str">
        <f t="shared" si="338"/>
        <v>1st Responder-Medical</v>
      </c>
      <c r="G3094">
        <f t="shared" si="339"/>
        <v>0</v>
      </c>
      <c r="H3094" t="s">
        <v>545</v>
      </c>
      <c r="I3094">
        <f t="shared" si="340"/>
        <v>0</v>
      </c>
      <c r="J3094" t="s">
        <v>546</v>
      </c>
      <c r="K3094" s="5">
        <v>5</v>
      </c>
      <c r="L3094" t="str">
        <f>Table_DataFromNL[[#This Row],[PROFILECODE]]&amp;"-"&amp;Table_DataFromNL[[#This Row],[RULENAME]]</f>
        <v>CP128-1st Responder-Medical</v>
      </c>
      <c r="M3094" t="e">
        <f t="shared" si="341"/>
        <v>#N/A</v>
      </c>
    </row>
    <row r="3095" spans="1:13" x14ac:dyDescent="0.25">
      <c r="A3095" t="str">
        <f t="shared" si="342"/>
        <v>CP128-2X Week P CMV</v>
      </c>
      <c r="B3095" t="s">
        <v>171</v>
      </c>
      <c r="C3095" t="str">
        <f t="shared" si="336"/>
        <v>Tucker</v>
      </c>
      <c r="D3095" t="str">
        <f t="shared" si="337"/>
        <v>Y</v>
      </c>
      <c r="E3095" t="s">
        <v>677</v>
      </c>
      <c r="F3095" t="str">
        <f t="shared" si="338"/>
        <v>2X Week P CMV</v>
      </c>
      <c r="G3095" t="str">
        <f t="shared" si="339"/>
        <v>Specialty</v>
      </c>
      <c r="H3095" t="s">
        <v>498</v>
      </c>
      <c r="I3095" t="str">
        <f t="shared" si="340"/>
        <v>RETURN - 2nd don of the week -BONUS</v>
      </c>
      <c r="J3095" t="s">
        <v>546</v>
      </c>
      <c r="K3095" s="5">
        <v>35</v>
      </c>
      <c r="L3095" t="str">
        <f>Table_DataFromNL[[#This Row],[PROFILECODE]]&amp;"-"&amp;Table_DataFromNL[[#This Row],[RULENAME]]</f>
        <v>CP128-2X Week P CMV</v>
      </c>
      <c r="M3095" t="str">
        <f t="shared" si="341"/>
        <v>CP128-2X Week P CMV</v>
      </c>
    </row>
    <row r="3096" spans="1:13" x14ac:dyDescent="0.25">
      <c r="A3096" t="str">
        <f t="shared" si="342"/>
        <v>CP128-RETURN - 2nd don of the week -BONUS</v>
      </c>
      <c r="B3096" t="s">
        <v>171</v>
      </c>
      <c r="C3096" t="str">
        <f t="shared" si="336"/>
        <v>Tucker</v>
      </c>
      <c r="D3096" t="str">
        <f t="shared" si="337"/>
        <v>Y</v>
      </c>
      <c r="E3096" t="s">
        <v>677</v>
      </c>
      <c r="F3096" t="str">
        <f t="shared" si="338"/>
        <v>RETURN - 2nd don of the week -BONUS</v>
      </c>
      <c r="G3096" t="str">
        <f t="shared" si="339"/>
        <v>Marketing</v>
      </c>
      <c r="H3096" t="s">
        <v>550</v>
      </c>
      <c r="I3096">
        <f t="shared" si="340"/>
        <v>26</v>
      </c>
      <c r="J3096" t="s">
        <v>546</v>
      </c>
      <c r="K3096" s="5">
        <v>35</v>
      </c>
      <c r="L3096" t="str">
        <f>Table_DataFromNL[[#This Row],[PROFILECODE]]&amp;"-"&amp;Table_DataFromNL[[#This Row],[RULENAME]]</f>
        <v>CP128-2X Week P NSP NS</v>
      </c>
      <c r="M3096" t="str">
        <f t="shared" si="341"/>
        <v>CP128-RETURN - 2nd don of the week -BONUS</v>
      </c>
    </row>
    <row r="3097" spans="1:13" x14ac:dyDescent="0.25">
      <c r="A3097" t="str">
        <f t="shared" si="342"/>
        <v>CP128-RETURN - 2nd don of the week -BONUS</v>
      </c>
      <c r="B3097" t="s">
        <v>171</v>
      </c>
      <c r="C3097" t="str">
        <f t="shared" si="336"/>
        <v>Tucker</v>
      </c>
      <c r="D3097" t="str">
        <f t="shared" si="337"/>
        <v>Y</v>
      </c>
      <c r="E3097" t="s">
        <v>677</v>
      </c>
      <c r="F3097" t="str">
        <f t="shared" si="338"/>
        <v>RETURN - 2nd don of the week -BONUS</v>
      </c>
      <c r="G3097" t="str">
        <f t="shared" si="339"/>
        <v>Marketing</v>
      </c>
      <c r="H3097" t="s">
        <v>551</v>
      </c>
      <c r="I3097" t="str">
        <f t="shared" si="340"/>
        <v>RETURN - 2nd don of the week -BONUS</v>
      </c>
      <c r="J3097" t="s">
        <v>546</v>
      </c>
      <c r="K3097" s="5">
        <v>35</v>
      </c>
      <c r="L3097" t="str">
        <f>Table_DataFromNL[[#This Row],[PROFILECODE]]&amp;"-"&amp;Table_DataFromNL[[#This Row],[RULENAME]]</f>
        <v>CP128-2X Week P NSP NS AP</v>
      </c>
      <c r="M3097" t="str">
        <f t="shared" si="341"/>
        <v>CP128-RETURN - 2nd don of the week -BONUS</v>
      </c>
    </row>
    <row r="3098" spans="1:13" x14ac:dyDescent="0.25">
      <c r="A3098" t="str">
        <f t="shared" si="342"/>
        <v>CP128-2X Week P VIP A</v>
      </c>
      <c r="B3098" t="s">
        <v>171</v>
      </c>
      <c r="C3098" t="str">
        <f t="shared" si="336"/>
        <v>Tucker</v>
      </c>
      <c r="D3098" t="str">
        <f t="shared" si="337"/>
        <v>Y</v>
      </c>
      <c r="E3098" t="s">
        <v>677</v>
      </c>
      <c r="F3098" t="str">
        <f t="shared" si="338"/>
        <v>2X Week P VIP A</v>
      </c>
      <c r="G3098" t="str">
        <f t="shared" si="339"/>
        <v>Specialty</v>
      </c>
      <c r="H3098" t="s">
        <v>510</v>
      </c>
      <c r="I3098" t="str">
        <f t="shared" si="340"/>
        <v>RETURN - 2nd don of the week -BONUS</v>
      </c>
      <c r="J3098" t="s">
        <v>546</v>
      </c>
      <c r="K3098" s="5">
        <v>35</v>
      </c>
      <c r="L3098" t="str">
        <f>Table_DataFromNL[[#This Row],[PROFILECODE]]&amp;"-"&amp;Table_DataFromNL[[#This Row],[RULENAME]]</f>
        <v>CP128-2X Week P VIP A</v>
      </c>
      <c r="M3098" t="str">
        <f t="shared" si="341"/>
        <v>CP128-2X Week P VIP A</v>
      </c>
    </row>
    <row r="3099" spans="1:13" x14ac:dyDescent="0.25">
      <c r="A3099" t="str">
        <f t="shared" si="342"/>
        <v>CP128-2X Week P VIP AB</v>
      </c>
      <c r="B3099" t="s">
        <v>171</v>
      </c>
      <c r="C3099" t="str">
        <f t="shared" si="336"/>
        <v>Tucker</v>
      </c>
      <c r="D3099" t="str">
        <f t="shared" si="337"/>
        <v>Y</v>
      </c>
      <c r="E3099" t="s">
        <v>677</v>
      </c>
      <c r="F3099" t="str">
        <f t="shared" si="338"/>
        <v>2X Week P VIP AB</v>
      </c>
      <c r="G3099" t="str">
        <f t="shared" si="339"/>
        <v>Specialty</v>
      </c>
      <c r="H3099" t="s">
        <v>511</v>
      </c>
      <c r="I3099" t="str">
        <f t="shared" si="340"/>
        <v>RETURN - 2nd don of the week -BONUS</v>
      </c>
      <c r="J3099" t="s">
        <v>546</v>
      </c>
      <c r="K3099" s="5">
        <v>35</v>
      </c>
      <c r="L3099" t="str">
        <f>Table_DataFromNL[[#This Row],[PROFILECODE]]&amp;"-"&amp;Table_DataFromNL[[#This Row],[RULENAME]]</f>
        <v>CP128-2X Week P VIP AB</v>
      </c>
      <c r="M3099" t="str">
        <f t="shared" si="341"/>
        <v>CP128-2X Week P VIP AB</v>
      </c>
    </row>
    <row r="3100" spans="1:13" x14ac:dyDescent="0.25">
      <c r="A3100" t="str">
        <f t="shared" si="342"/>
        <v>CP128-2X Week P VZV</v>
      </c>
      <c r="B3100" t="s">
        <v>171</v>
      </c>
      <c r="C3100" t="str">
        <f t="shared" si="336"/>
        <v>Tucker</v>
      </c>
      <c r="D3100" t="str">
        <f t="shared" si="337"/>
        <v>Y</v>
      </c>
      <c r="E3100" t="s">
        <v>677</v>
      </c>
      <c r="F3100" t="str">
        <f t="shared" si="338"/>
        <v>2X Week P VZV</v>
      </c>
      <c r="G3100" t="str">
        <f t="shared" si="339"/>
        <v>Specialty</v>
      </c>
      <c r="H3100" t="s">
        <v>488</v>
      </c>
      <c r="I3100" t="str">
        <f t="shared" si="340"/>
        <v>RETURN - 2nd don of the week -BONUS</v>
      </c>
      <c r="J3100" t="s">
        <v>546</v>
      </c>
      <c r="K3100" s="5">
        <v>35</v>
      </c>
      <c r="L3100" t="str">
        <f>Table_DataFromNL[[#This Row],[PROFILECODE]]&amp;"-"&amp;Table_DataFromNL[[#This Row],[RULENAME]]</f>
        <v>CP128-2X Week P VZV</v>
      </c>
      <c r="M3100" t="str">
        <f t="shared" si="341"/>
        <v>CP128-2X Week P VZV</v>
      </c>
    </row>
    <row r="3101" spans="1:13" x14ac:dyDescent="0.25">
      <c r="A3101" t="str">
        <f t="shared" si="342"/>
        <v>CP128-2X Week P VZV AP</v>
      </c>
      <c r="B3101" t="s">
        <v>171</v>
      </c>
      <c r="C3101" t="str">
        <f t="shared" si="336"/>
        <v>Tucker</v>
      </c>
      <c r="D3101" t="str">
        <f t="shared" si="337"/>
        <v>Y</v>
      </c>
      <c r="E3101" t="s">
        <v>677</v>
      </c>
      <c r="F3101" t="str">
        <f t="shared" si="338"/>
        <v>2X Week P VZV AP</v>
      </c>
      <c r="G3101" t="str">
        <f t="shared" si="339"/>
        <v>Specialty</v>
      </c>
      <c r="H3101" t="s">
        <v>489</v>
      </c>
      <c r="I3101" t="str">
        <f t="shared" si="340"/>
        <v>RETURN - 2nd don of the week -BONUS</v>
      </c>
      <c r="J3101" t="s">
        <v>546</v>
      </c>
      <c r="K3101" s="5">
        <v>35</v>
      </c>
      <c r="L3101" t="str">
        <f>Table_DataFromNL[[#This Row],[PROFILECODE]]&amp;"-"&amp;Table_DataFromNL[[#This Row],[RULENAME]]</f>
        <v>CP128-2X Week P VZV AP</v>
      </c>
      <c r="M3101" t="str">
        <f t="shared" si="341"/>
        <v>CP128-2X Week P VZV AP</v>
      </c>
    </row>
    <row r="3102" spans="1:13" x14ac:dyDescent="0.25">
      <c r="A3102" t="str">
        <f t="shared" si="342"/>
        <v>CP128-2X Week P VZV Pre-Existing</v>
      </c>
      <c r="B3102" t="s">
        <v>171</v>
      </c>
      <c r="C3102" t="str">
        <f t="shared" si="336"/>
        <v>Tucker</v>
      </c>
      <c r="D3102" t="str">
        <f t="shared" si="337"/>
        <v>Y</v>
      </c>
      <c r="E3102" t="s">
        <v>677</v>
      </c>
      <c r="F3102" t="str">
        <f t="shared" si="338"/>
        <v>2X Week P VZV Pre-Existing</v>
      </c>
      <c r="G3102" t="str">
        <f t="shared" si="339"/>
        <v>Specialty</v>
      </c>
      <c r="H3102" t="s">
        <v>490</v>
      </c>
      <c r="I3102" t="str">
        <f t="shared" si="340"/>
        <v>RETURN - 2nd don of the week -BONUS</v>
      </c>
      <c r="J3102" t="s">
        <v>546</v>
      </c>
      <c r="K3102" s="5">
        <v>35</v>
      </c>
      <c r="L3102" t="str">
        <f>Table_DataFromNL[[#This Row],[PROFILECODE]]&amp;"-"&amp;Table_DataFromNL[[#This Row],[RULENAME]]</f>
        <v>CP128-2X Week P VZV Pre-Existing</v>
      </c>
      <c r="M3102" t="str">
        <f t="shared" si="341"/>
        <v>CP128-2X Week P VZV Pre-Existing</v>
      </c>
    </row>
    <row r="3103" spans="1:13" x14ac:dyDescent="0.25">
      <c r="A3103" t="str">
        <f t="shared" si="342"/>
        <v>CP128-2X Week P VZV Pre-Existing AP</v>
      </c>
      <c r="B3103" t="s">
        <v>171</v>
      </c>
      <c r="C3103" t="str">
        <f t="shared" si="336"/>
        <v>Tucker</v>
      </c>
      <c r="D3103" t="str">
        <f t="shared" si="337"/>
        <v>Y</v>
      </c>
      <c r="E3103" t="s">
        <v>677</v>
      </c>
      <c r="F3103" t="str">
        <f t="shared" si="338"/>
        <v>2X Week P VZV Pre-Existing AP</v>
      </c>
      <c r="G3103" t="str">
        <f t="shared" si="339"/>
        <v>Specialty</v>
      </c>
      <c r="H3103" t="s">
        <v>491</v>
      </c>
      <c r="I3103" t="str">
        <f t="shared" si="340"/>
        <v>RETURN - 2nd don of the week -BONUS</v>
      </c>
      <c r="J3103" t="s">
        <v>546</v>
      </c>
      <c r="K3103" s="5">
        <v>35</v>
      </c>
      <c r="L3103" t="str">
        <f>Table_DataFromNL[[#This Row],[PROFILECODE]]&amp;"-"&amp;Table_DataFromNL[[#This Row],[RULENAME]]</f>
        <v>CP128-2X Week P VZV Pre-Existing AP</v>
      </c>
      <c r="M3103" t="str">
        <f t="shared" si="341"/>
        <v>CP128-2X Week P VZV Pre-Existing AP</v>
      </c>
    </row>
    <row r="3104" spans="1:13" x14ac:dyDescent="0.25">
      <c r="A3104" t="str">
        <f t="shared" si="342"/>
        <v>CP128-RETURN - 6th don of the month -BONUS</v>
      </c>
      <c r="B3104" t="s">
        <v>171</v>
      </c>
      <c r="C3104" t="str">
        <f t="shared" si="336"/>
        <v>Tucker</v>
      </c>
      <c r="D3104" t="str">
        <f t="shared" si="337"/>
        <v>Y</v>
      </c>
      <c r="E3104" t="s">
        <v>677</v>
      </c>
      <c r="F3104" t="str">
        <f t="shared" si="338"/>
        <v>RETURN - 6th don of the month -BONUS</v>
      </c>
      <c r="G3104" t="str">
        <f t="shared" si="339"/>
        <v>Marketing</v>
      </c>
      <c r="H3104" t="s">
        <v>552</v>
      </c>
      <c r="I3104">
        <f t="shared" si="340"/>
        <v>28</v>
      </c>
      <c r="J3104" t="s">
        <v>546</v>
      </c>
      <c r="K3104" s="5">
        <v>30</v>
      </c>
      <c r="L3104" t="str">
        <f>Table_DataFromNL[[#This Row],[PROFILECODE]]&amp;"-"&amp;Table_DataFromNL[[#This Row],[RULENAME]]</f>
        <v>CP128-6X Month</v>
      </c>
      <c r="M3104" t="str">
        <f t="shared" si="341"/>
        <v>CP128-RETURN - 6th don of the month -BONUS</v>
      </c>
    </row>
    <row r="3105" spans="1:13" x14ac:dyDescent="0.25">
      <c r="A3105" t="str">
        <f t="shared" si="342"/>
        <v>CP128-College ID Standard Bonus</v>
      </c>
      <c r="B3105" t="s">
        <v>171</v>
      </c>
      <c r="C3105" t="str">
        <f t="shared" si="336"/>
        <v>Tucker</v>
      </c>
      <c r="D3105" t="str">
        <f t="shared" si="337"/>
        <v>Y</v>
      </c>
      <c r="E3105" t="s">
        <v>677</v>
      </c>
      <c r="F3105" t="str">
        <f t="shared" si="338"/>
        <v>College ID Standard Bonus</v>
      </c>
      <c r="G3105">
        <f t="shared" si="339"/>
        <v>0</v>
      </c>
      <c r="H3105" t="s">
        <v>553</v>
      </c>
      <c r="I3105">
        <f t="shared" si="340"/>
        <v>0</v>
      </c>
      <c r="J3105" t="s">
        <v>546</v>
      </c>
      <c r="K3105" s="5">
        <v>5</v>
      </c>
      <c r="L3105" t="str">
        <f>Table_DataFromNL[[#This Row],[PROFILECODE]]&amp;"-"&amp;Table_DataFromNL[[#This Row],[RULENAME]]</f>
        <v>CP128-College ID Standard Bonus</v>
      </c>
      <c r="M3105" t="e">
        <f t="shared" si="341"/>
        <v>#N/A</v>
      </c>
    </row>
    <row r="3106" spans="1:13" x14ac:dyDescent="0.25">
      <c r="A3106" t="str">
        <f t="shared" si="342"/>
        <v>CP128-Military ID</v>
      </c>
      <c r="B3106" t="s">
        <v>171</v>
      </c>
      <c r="C3106" t="str">
        <f t="shared" si="336"/>
        <v>Tucker</v>
      </c>
      <c r="D3106" t="str">
        <f t="shared" si="337"/>
        <v>Y</v>
      </c>
      <c r="E3106" t="s">
        <v>677</v>
      </c>
      <c r="F3106" t="str">
        <f t="shared" si="338"/>
        <v>Military ID</v>
      </c>
      <c r="G3106">
        <f t="shared" si="339"/>
        <v>0</v>
      </c>
      <c r="H3106" t="s">
        <v>554</v>
      </c>
      <c r="I3106">
        <f t="shared" si="340"/>
        <v>0</v>
      </c>
      <c r="J3106" t="s">
        <v>546</v>
      </c>
      <c r="K3106" s="5">
        <v>5</v>
      </c>
      <c r="L3106" t="str">
        <f>Table_DataFromNL[[#This Row],[PROFILECODE]]&amp;"-"&amp;Table_DataFromNL[[#This Row],[RULENAME]]</f>
        <v>CP128-Military ID</v>
      </c>
      <c r="M3106" t="e">
        <f t="shared" si="341"/>
        <v>#N/A</v>
      </c>
    </row>
    <row r="3107" spans="1:13" x14ac:dyDescent="0.25">
      <c r="A3107" t="str">
        <f t="shared" si="342"/>
        <v>CP128-NEW DONOR -1st</v>
      </c>
      <c r="B3107" t="s">
        <v>171</v>
      </c>
      <c r="C3107" t="str">
        <f t="shared" si="336"/>
        <v>Tucker</v>
      </c>
      <c r="D3107" t="str">
        <f t="shared" si="337"/>
        <v>Y</v>
      </c>
      <c r="E3107" t="s">
        <v>677</v>
      </c>
      <c r="F3107" t="str">
        <f t="shared" si="338"/>
        <v>NEW DONOR -1st</v>
      </c>
      <c r="G3107" t="str">
        <f t="shared" si="339"/>
        <v>Marketing</v>
      </c>
      <c r="H3107" t="s">
        <v>555</v>
      </c>
      <c r="I3107">
        <f t="shared" si="340"/>
        <v>1</v>
      </c>
      <c r="J3107" t="s">
        <v>546</v>
      </c>
      <c r="K3107" s="5">
        <v>100</v>
      </c>
      <c r="L3107" t="str">
        <f>Table_DataFromNL[[#This Row],[PROFILECODE]]&amp;"-"&amp;Table_DataFromNL[[#This Row],[RULENAME]]</f>
        <v>CP128-New Donor 1st Visit-Bonus</v>
      </c>
      <c r="M3107" t="str">
        <f t="shared" si="341"/>
        <v>CP128-NEW DONOR -1st</v>
      </c>
    </row>
    <row r="3108" spans="1:13" x14ac:dyDescent="0.25">
      <c r="A3108" t="str">
        <f t="shared" si="342"/>
        <v>CP128-NEW DONOR -2nd</v>
      </c>
      <c r="B3108" t="s">
        <v>171</v>
      </c>
      <c r="C3108" t="str">
        <f t="shared" si="336"/>
        <v>Tucker</v>
      </c>
      <c r="D3108" t="str">
        <f t="shared" si="337"/>
        <v>Y</v>
      </c>
      <c r="E3108" t="s">
        <v>677</v>
      </c>
      <c r="F3108" t="str">
        <f t="shared" si="338"/>
        <v>NEW DONOR -2nd</v>
      </c>
      <c r="G3108" t="str">
        <f t="shared" si="339"/>
        <v>Marketing</v>
      </c>
      <c r="H3108" t="s">
        <v>556</v>
      </c>
      <c r="I3108">
        <f t="shared" si="340"/>
        <v>2</v>
      </c>
      <c r="J3108" t="s">
        <v>546</v>
      </c>
      <c r="K3108" s="5">
        <v>100</v>
      </c>
      <c r="L3108" t="str">
        <f>Table_DataFromNL[[#This Row],[PROFILECODE]]&amp;"-"&amp;Table_DataFromNL[[#This Row],[RULENAME]]</f>
        <v>CP128-New Donor 2nd Visit-Bonus</v>
      </c>
      <c r="M3108" t="str">
        <f t="shared" si="341"/>
        <v>CP128-NEW DONOR -2nd</v>
      </c>
    </row>
    <row r="3109" spans="1:13" x14ac:dyDescent="0.25">
      <c r="A3109" t="str">
        <f t="shared" si="342"/>
        <v>CP128-NEW DONOR -3rd</v>
      </c>
      <c r="B3109" t="s">
        <v>171</v>
      </c>
      <c r="C3109" t="str">
        <f t="shared" si="336"/>
        <v>Tucker</v>
      </c>
      <c r="D3109" t="str">
        <f t="shared" si="337"/>
        <v>Y</v>
      </c>
      <c r="E3109" t="s">
        <v>677</v>
      </c>
      <c r="F3109" t="str">
        <f t="shared" si="338"/>
        <v>NEW DONOR -3rd</v>
      </c>
      <c r="G3109" t="str">
        <f t="shared" si="339"/>
        <v>Marketing</v>
      </c>
      <c r="H3109" t="s">
        <v>557</v>
      </c>
      <c r="I3109">
        <f t="shared" si="340"/>
        <v>3</v>
      </c>
      <c r="J3109" t="s">
        <v>546</v>
      </c>
      <c r="K3109" s="5">
        <v>100</v>
      </c>
      <c r="L3109" t="str">
        <f>Table_DataFromNL[[#This Row],[PROFILECODE]]&amp;"-"&amp;Table_DataFromNL[[#This Row],[RULENAME]]</f>
        <v>CP128-New Donor 3rd Visit-Bonus</v>
      </c>
      <c r="M3109" t="str">
        <f t="shared" si="341"/>
        <v>CP128-NEW DONOR -3rd</v>
      </c>
    </row>
    <row r="3110" spans="1:13" x14ac:dyDescent="0.25">
      <c r="A3110" t="str">
        <f t="shared" si="342"/>
        <v>CP128-NEW DONOR -4th</v>
      </c>
      <c r="B3110" t="s">
        <v>171</v>
      </c>
      <c r="C3110" t="str">
        <f t="shared" si="336"/>
        <v>Tucker</v>
      </c>
      <c r="D3110" t="str">
        <f t="shared" si="337"/>
        <v>Y</v>
      </c>
      <c r="E3110" t="s">
        <v>677</v>
      </c>
      <c r="F3110" t="str">
        <f t="shared" si="338"/>
        <v>NEW DONOR -4th</v>
      </c>
      <c r="G3110" t="str">
        <f t="shared" si="339"/>
        <v>Marketing</v>
      </c>
      <c r="H3110" t="s">
        <v>558</v>
      </c>
      <c r="I3110">
        <f t="shared" si="340"/>
        <v>4</v>
      </c>
      <c r="J3110" t="s">
        <v>546</v>
      </c>
      <c r="K3110" s="5">
        <v>100</v>
      </c>
      <c r="L3110" t="str">
        <f>Table_DataFromNL[[#This Row],[PROFILECODE]]&amp;"-"&amp;Table_DataFromNL[[#This Row],[RULENAME]]</f>
        <v>CP128-New Donor 4th Visit-Bonus</v>
      </c>
      <c r="M3110" t="str">
        <f t="shared" si="341"/>
        <v>CP128-NEW DONOR -4th</v>
      </c>
    </row>
    <row r="3111" spans="1:13" x14ac:dyDescent="0.25">
      <c r="A3111" t="str">
        <f t="shared" si="342"/>
        <v>CP128-NEW DONOR -5th</v>
      </c>
      <c r="B3111" t="s">
        <v>171</v>
      </c>
      <c r="C3111" t="str">
        <f t="shared" si="336"/>
        <v>Tucker</v>
      </c>
      <c r="D3111" t="str">
        <f t="shared" si="337"/>
        <v>Y</v>
      </c>
      <c r="E3111" t="s">
        <v>677</v>
      </c>
      <c r="F3111" t="str">
        <f t="shared" si="338"/>
        <v>NEW DONOR -5th</v>
      </c>
      <c r="G3111" t="str">
        <f t="shared" si="339"/>
        <v>Marketing</v>
      </c>
      <c r="H3111" t="s">
        <v>559</v>
      </c>
      <c r="I3111">
        <f t="shared" si="340"/>
        <v>5</v>
      </c>
      <c r="J3111" t="s">
        <v>546</v>
      </c>
      <c r="K3111" s="5">
        <v>100</v>
      </c>
      <c r="L3111" t="str">
        <f>Table_DataFromNL[[#This Row],[PROFILECODE]]&amp;"-"&amp;Table_DataFromNL[[#This Row],[RULENAME]]</f>
        <v>CP128-New Donor 5th Visit-Bonus</v>
      </c>
      <c r="M3111" t="str">
        <f t="shared" si="341"/>
        <v>CP128-NEW DONOR -5th</v>
      </c>
    </row>
    <row r="3112" spans="1:13" x14ac:dyDescent="0.25">
      <c r="A3112" t="str">
        <f t="shared" si="342"/>
        <v>CP128-NEW DONOR -6th</v>
      </c>
      <c r="B3112" t="s">
        <v>171</v>
      </c>
      <c r="C3112" t="str">
        <f t="shared" si="336"/>
        <v>Tucker</v>
      </c>
      <c r="D3112" t="str">
        <f t="shared" si="337"/>
        <v>Y</v>
      </c>
      <c r="E3112" t="s">
        <v>677</v>
      </c>
      <c r="F3112" t="str">
        <f t="shared" si="338"/>
        <v>NEW DONOR -6th</v>
      </c>
      <c r="G3112" t="str">
        <f t="shared" si="339"/>
        <v>Marketing</v>
      </c>
      <c r="H3112" t="s">
        <v>560</v>
      </c>
      <c r="I3112">
        <f t="shared" si="340"/>
        <v>6</v>
      </c>
      <c r="J3112" t="s">
        <v>546</v>
      </c>
      <c r="K3112" s="5">
        <v>100</v>
      </c>
      <c r="L3112" t="str">
        <f>Table_DataFromNL[[#This Row],[PROFILECODE]]&amp;"-"&amp;Table_DataFromNL[[#This Row],[RULENAME]]</f>
        <v>CP128-New Donor 6th Visit-Bonus</v>
      </c>
      <c r="M3112" t="str">
        <f t="shared" si="341"/>
        <v>CP128-NEW DONOR -6th</v>
      </c>
    </row>
    <row r="3113" spans="1:13" x14ac:dyDescent="0.25">
      <c r="A3113" t="str">
        <f t="shared" si="342"/>
        <v>CP128-NEW DONOR -7th</v>
      </c>
      <c r="B3113" t="s">
        <v>171</v>
      </c>
      <c r="C3113" t="str">
        <f t="shared" si="336"/>
        <v>Tucker</v>
      </c>
      <c r="D3113" t="str">
        <f t="shared" si="337"/>
        <v>Y</v>
      </c>
      <c r="E3113" t="s">
        <v>677</v>
      </c>
      <c r="F3113" t="str">
        <f t="shared" si="338"/>
        <v>NEW DONOR -7th</v>
      </c>
      <c r="G3113" t="str">
        <f t="shared" si="339"/>
        <v>Marketing</v>
      </c>
      <c r="H3113" t="s">
        <v>561</v>
      </c>
      <c r="I3113">
        <f t="shared" si="340"/>
        <v>7</v>
      </c>
      <c r="J3113" t="s">
        <v>546</v>
      </c>
      <c r="K3113" s="5">
        <v>40</v>
      </c>
      <c r="L3113" t="str">
        <f>Table_DataFromNL[[#This Row],[PROFILECODE]]&amp;"-"&amp;Table_DataFromNL[[#This Row],[RULENAME]]</f>
        <v>CP128-New Donor 7th Visit-Bonus</v>
      </c>
      <c r="M3113" t="str">
        <f t="shared" si="341"/>
        <v>CP128-NEW DONOR -7th</v>
      </c>
    </row>
    <row r="3114" spans="1:13" x14ac:dyDescent="0.25">
      <c r="A3114" t="str">
        <f t="shared" si="342"/>
        <v>CP128-NEW DONOR -8th</v>
      </c>
      <c r="B3114" t="s">
        <v>171</v>
      </c>
      <c r="C3114" t="str">
        <f t="shared" si="336"/>
        <v>Tucker</v>
      </c>
      <c r="D3114" t="str">
        <f t="shared" si="337"/>
        <v>Y</v>
      </c>
      <c r="E3114" t="s">
        <v>677</v>
      </c>
      <c r="F3114" t="str">
        <f t="shared" si="338"/>
        <v>NEW DONOR -8th</v>
      </c>
      <c r="G3114" t="str">
        <f t="shared" si="339"/>
        <v>Marketing</v>
      </c>
      <c r="H3114" t="s">
        <v>562</v>
      </c>
      <c r="I3114">
        <f t="shared" si="340"/>
        <v>8</v>
      </c>
      <c r="J3114" t="s">
        <v>546</v>
      </c>
      <c r="K3114" s="5">
        <v>40</v>
      </c>
      <c r="L3114" t="str">
        <f>Table_DataFromNL[[#This Row],[PROFILECODE]]&amp;"-"&amp;Table_DataFromNL[[#This Row],[RULENAME]]</f>
        <v>CP128-New Donor 8th Visit-Bonus</v>
      </c>
      <c r="M3114" t="str">
        <f t="shared" si="341"/>
        <v>CP128-NEW DONOR -8th</v>
      </c>
    </row>
    <row r="3115" spans="1:13" x14ac:dyDescent="0.25">
      <c r="A3115" t="str">
        <f t="shared" si="342"/>
        <v>CP128-Community</v>
      </c>
      <c r="B3115" t="s">
        <v>171</v>
      </c>
      <c r="C3115" t="str">
        <f t="shared" si="336"/>
        <v>Tucker</v>
      </c>
      <c r="D3115" t="str">
        <f t="shared" si="337"/>
        <v>Y</v>
      </c>
      <c r="E3115" t="s">
        <v>677</v>
      </c>
      <c r="F3115" t="str">
        <f t="shared" si="338"/>
        <v>Community</v>
      </c>
      <c r="G3115">
        <f t="shared" si="339"/>
        <v>0</v>
      </c>
      <c r="H3115" t="s">
        <v>563</v>
      </c>
      <c r="I3115">
        <f t="shared" si="340"/>
        <v>0</v>
      </c>
      <c r="J3115" t="s">
        <v>564</v>
      </c>
      <c r="K3115" s="5">
        <v>5</v>
      </c>
      <c r="L3115" t="str">
        <f>Table_DataFromNL[[#This Row],[PROFILECODE]]&amp;"-"&amp;Table_DataFromNL[[#This Row],[RULENAME]]</f>
        <v>CP128-Community</v>
      </c>
      <c r="M3115" t="e">
        <f t="shared" si="341"/>
        <v>#N/A</v>
      </c>
    </row>
    <row r="3116" spans="1:13" x14ac:dyDescent="0.25">
      <c r="A3116" t="str">
        <f t="shared" si="342"/>
        <v>CP128-HANGER_RECRUIT_5USD_once</v>
      </c>
      <c r="B3116" t="s">
        <v>171</v>
      </c>
      <c r="C3116" t="str">
        <f t="shared" si="336"/>
        <v>Tucker</v>
      </c>
      <c r="D3116" t="str">
        <f t="shared" si="337"/>
        <v>Y</v>
      </c>
      <c r="E3116" t="s">
        <v>677</v>
      </c>
      <c r="F3116" t="str">
        <f t="shared" si="338"/>
        <v>HANGER_RECRUIT_5USD_once</v>
      </c>
      <c r="G3116">
        <f t="shared" si="339"/>
        <v>0</v>
      </c>
      <c r="H3116" t="s">
        <v>565</v>
      </c>
      <c r="I3116">
        <f t="shared" si="340"/>
        <v>0</v>
      </c>
      <c r="J3116" t="s">
        <v>564</v>
      </c>
      <c r="K3116" s="5">
        <v>5</v>
      </c>
      <c r="L3116" t="str">
        <f>Table_DataFromNL[[#This Row],[PROFILECODE]]&amp;"-"&amp;Table_DataFromNL[[#This Row],[RULENAME]]</f>
        <v>CP128-HANGER_RECRUIT_5USD_once</v>
      </c>
      <c r="M3116" t="e">
        <f t="shared" si="341"/>
        <v>#N/A</v>
      </c>
    </row>
    <row r="3117" spans="1:13" x14ac:dyDescent="0.25">
      <c r="A3117" t="str">
        <f t="shared" si="342"/>
        <v>CP128-Immunization Boost Payment</v>
      </c>
      <c r="B3117" t="s">
        <v>171</v>
      </c>
      <c r="C3117" t="str">
        <f t="shared" si="336"/>
        <v>Tucker</v>
      </c>
      <c r="D3117" t="str">
        <f t="shared" si="337"/>
        <v>Y</v>
      </c>
      <c r="E3117" t="s">
        <v>677</v>
      </c>
      <c r="F3117" t="str">
        <f t="shared" si="338"/>
        <v>Immunization Boost Payment</v>
      </c>
      <c r="G3117">
        <f t="shared" si="339"/>
        <v>0</v>
      </c>
      <c r="H3117" t="s">
        <v>598</v>
      </c>
      <c r="I3117">
        <f t="shared" si="340"/>
        <v>0</v>
      </c>
      <c r="J3117" t="s">
        <v>564</v>
      </c>
      <c r="K3117" s="5">
        <v>50</v>
      </c>
      <c r="L3117" t="str">
        <f>Table_DataFromNL[[#This Row],[PROFILECODE]]&amp;"-"&amp;Table_DataFromNL[[#This Row],[RULENAME]]</f>
        <v>CP128-Immunization Boost Payment</v>
      </c>
      <c r="M3117" t="e">
        <f t="shared" si="341"/>
        <v>#N/A</v>
      </c>
    </row>
    <row r="3118" spans="1:13" x14ac:dyDescent="0.25">
      <c r="A3118" t="str">
        <f t="shared" si="342"/>
        <v>CP128-Immunization Series Payment</v>
      </c>
      <c r="B3118" t="s">
        <v>171</v>
      </c>
      <c r="C3118" t="str">
        <f t="shared" si="336"/>
        <v>Tucker</v>
      </c>
      <c r="D3118" t="str">
        <f t="shared" si="337"/>
        <v>Y</v>
      </c>
      <c r="E3118" t="s">
        <v>677</v>
      </c>
      <c r="F3118" t="str">
        <f t="shared" si="338"/>
        <v>Immunization Series Payment</v>
      </c>
      <c r="G3118">
        <f t="shared" si="339"/>
        <v>0</v>
      </c>
      <c r="H3118" t="s">
        <v>599</v>
      </c>
      <c r="I3118">
        <f t="shared" si="340"/>
        <v>0</v>
      </c>
      <c r="J3118" t="s">
        <v>564</v>
      </c>
      <c r="K3118" s="5">
        <v>100</v>
      </c>
      <c r="L3118" t="str">
        <f>Table_DataFromNL[[#This Row],[PROFILECODE]]&amp;"-"&amp;Table_DataFromNL[[#This Row],[RULENAME]]</f>
        <v>CP128-Immunization Series Payment</v>
      </c>
      <c r="M3118" t="e">
        <f t="shared" si="341"/>
        <v>#N/A</v>
      </c>
    </row>
    <row r="3119" spans="1:13" x14ac:dyDescent="0.25">
      <c r="A3119" t="str">
        <f t="shared" si="342"/>
        <v>CP128-Inconv Fee $20-$50-Comment Req'd</v>
      </c>
      <c r="B3119" t="s">
        <v>171</v>
      </c>
      <c r="C3119" t="str">
        <f t="shared" si="336"/>
        <v>Tucker</v>
      </c>
      <c r="D3119" t="str">
        <f t="shared" si="337"/>
        <v>Y</v>
      </c>
      <c r="E3119" t="s">
        <v>677</v>
      </c>
      <c r="F3119" t="str">
        <f t="shared" si="338"/>
        <v>Inconv Fee $20-$50-Comment Req'd</v>
      </c>
      <c r="G3119">
        <f t="shared" si="339"/>
        <v>0</v>
      </c>
      <c r="H3119" t="s">
        <v>566</v>
      </c>
      <c r="I3119">
        <f t="shared" si="340"/>
        <v>0</v>
      </c>
      <c r="J3119" t="s">
        <v>564</v>
      </c>
      <c r="K3119" s="5">
        <v>50</v>
      </c>
      <c r="L3119" t="str">
        <f>Table_DataFromNL[[#This Row],[PROFILECODE]]&amp;"-"&amp;Table_DataFromNL[[#This Row],[RULENAME]]</f>
        <v>CP128-Inconv Fee $20-$50-Comment Req'd</v>
      </c>
      <c r="M3119" t="e">
        <f t="shared" si="341"/>
        <v>#N/A</v>
      </c>
    </row>
    <row r="3120" spans="1:13" x14ac:dyDescent="0.25">
      <c r="A3120" t="str">
        <f t="shared" si="342"/>
        <v>CP128-Inconv Fee $5-$20-Comment Req'd</v>
      </c>
      <c r="B3120" t="s">
        <v>171</v>
      </c>
      <c r="C3120" t="str">
        <f t="shared" si="336"/>
        <v>Tucker</v>
      </c>
      <c r="D3120" t="str">
        <f t="shared" si="337"/>
        <v>Y</v>
      </c>
      <c r="E3120" t="s">
        <v>677</v>
      </c>
      <c r="F3120" t="str">
        <f t="shared" si="338"/>
        <v>Inconv Fee $5-$20-Comment Req'd</v>
      </c>
      <c r="G3120">
        <f t="shared" si="339"/>
        <v>0</v>
      </c>
      <c r="H3120" t="s">
        <v>567</v>
      </c>
      <c r="I3120">
        <f t="shared" si="340"/>
        <v>0</v>
      </c>
      <c r="J3120" t="s">
        <v>564</v>
      </c>
      <c r="K3120" s="5">
        <v>20</v>
      </c>
      <c r="L3120" t="str">
        <f>Table_DataFromNL[[#This Row],[PROFILECODE]]&amp;"-"&amp;Table_DataFromNL[[#This Row],[RULENAME]]</f>
        <v>CP128-Inconv Fee $5-$20-Comment Req'd</v>
      </c>
      <c r="M3120" t="e">
        <f t="shared" si="341"/>
        <v>#N/A</v>
      </c>
    </row>
    <row r="3121" spans="1:13" x14ac:dyDescent="0.25">
      <c r="A3121" t="str">
        <f t="shared" si="342"/>
        <v>CP128-Inconv Fee$50-$100-Comment Req'd</v>
      </c>
      <c r="B3121" t="s">
        <v>171</v>
      </c>
      <c r="C3121" t="str">
        <f t="shared" si="336"/>
        <v>Tucker</v>
      </c>
      <c r="D3121" t="str">
        <f t="shared" si="337"/>
        <v>Y</v>
      </c>
      <c r="E3121" t="s">
        <v>677</v>
      </c>
      <c r="F3121" t="str">
        <f t="shared" si="338"/>
        <v>Inconv Fee$50-$100-Comment Req'd</v>
      </c>
      <c r="G3121">
        <f t="shared" si="339"/>
        <v>0</v>
      </c>
      <c r="H3121" t="s">
        <v>568</v>
      </c>
      <c r="I3121">
        <f t="shared" si="340"/>
        <v>0</v>
      </c>
      <c r="J3121" t="s">
        <v>564</v>
      </c>
      <c r="K3121" s="5">
        <v>100</v>
      </c>
      <c r="L3121" t="str">
        <f>Table_DataFromNL[[#This Row],[PROFILECODE]]&amp;"-"&amp;Table_DataFromNL[[#This Row],[RULENAME]]</f>
        <v>CP128-Inconv Fee$50-$100-Comment Req'd</v>
      </c>
      <c r="M3121" t="e">
        <f t="shared" si="341"/>
        <v>#N/A</v>
      </c>
    </row>
    <row r="3122" spans="1:13" x14ac:dyDescent="0.25">
      <c r="A3122" t="str">
        <f t="shared" si="342"/>
        <v>CP128-NSP_ LAPSEDONOR_50_Twice</v>
      </c>
      <c r="B3122" t="s">
        <v>171</v>
      </c>
      <c r="C3122" t="str">
        <f t="shared" si="336"/>
        <v>Tucker</v>
      </c>
      <c r="D3122" t="str">
        <f t="shared" si="337"/>
        <v>Y</v>
      </c>
      <c r="E3122" t="s">
        <v>677</v>
      </c>
      <c r="F3122" t="str">
        <f t="shared" si="338"/>
        <v>NSP_ LAPSEDONOR_50_Twice</v>
      </c>
      <c r="G3122">
        <f t="shared" si="339"/>
        <v>0</v>
      </c>
      <c r="H3122" t="s">
        <v>569</v>
      </c>
      <c r="I3122">
        <f t="shared" si="340"/>
        <v>0</v>
      </c>
      <c r="J3122" t="s">
        <v>564</v>
      </c>
      <c r="K3122" s="5">
        <v>50</v>
      </c>
      <c r="L3122" t="str">
        <f>Table_DataFromNL[[#This Row],[PROFILECODE]]&amp;"-"&amp;Table_DataFromNL[[#This Row],[RULENAME]]</f>
        <v>CP128-NSP_ LAPSEDONOR_50_Twice</v>
      </c>
      <c r="M3122" t="e">
        <f t="shared" si="341"/>
        <v>#N/A</v>
      </c>
    </row>
    <row r="3123" spans="1:13" x14ac:dyDescent="0.25">
      <c r="A3123" t="str">
        <f t="shared" si="342"/>
        <v>CP128-NSP_LD_25_2X</v>
      </c>
      <c r="B3123" t="s">
        <v>171</v>
      </c>
      <c r="C3123" t="str">
        <f t="shared" si="336"/>
        <v>Tucker</v>
      </c>
      <c r="D3123" t="str">
        <f t="shared" si="337"/>
        <v>Y</v>
      </c>
      <c r="E3123" t="s">
        <v>677</v>
      </c>
      <c r="F3123" t="str">
        <f t="shared" si="338"/>
        <v>NSP_LD_25_2X</v>
      </c>
      <c r="G3123">
        <f t="shared" si="339"/>
        <v>0</v>
      </c>
      <c r="H3123" t="s">
        <v>570</v>
      </c>
      <c r="I3123">
        <f t="shared" si="340"/>
        <v>0</v>
      </c>
      <c r="J3123" t="s">
        <v>564</v>
      </c>
      <c r="K3123" s="5">
        <v>25</v>
      </c>
      <c r="L3123" t="str">
        <f>Table_DataFromNL[[#This Row],[PROFILECODE]]&amp;"-"&amp;Table_DataFromNL[[#This Row],[RULENAME]]</f>
        <v>CP128-NSP_LD_25_2X</v>
      </c>
      <c r="M3123" t="e">
        <f t="shared" si="341"/>
        <v>#N/A</v>
      </c>
    </row>
    <row r="3124" spans="1:13" x14ac:dyDescent="0.25">
      <c r="A3124" t="str">
        <f t="shared" si="342"/>
        <v>CP128-NSP_LD_50_1X</v>
      </c>
      <c r="B3124" t="s">
        <v>171</v>
      </c>
      <c r="C3124" t="str">
        <f t="shared" si="336"/>
        <v>Tucker</v>
      </c>
      <c r="D3124" t="str">
        <f t="shared" si="337"/>
        <v>Y</v>
      </c>
      <c r="E3124" t="s">
        <v>677</v>
      </c>
      <c r="F3124" t="str">
        <f t="shared" si="338"/>
        <v>NSP_LD_50_1X</v>
      </c>
      <c r="G3124">
        <f t="shared" si="339"/>
        <v>0</v>
      </c>
      <c r="H3124" t="s">
        <v>571</v>
      </c>
      <c r="I3124">
        <f t="shared" si="340"/>
        <v>0</v>
      </c>
      <c r="J3124" t="s">
        <v>564</v>
      </c>
      <c r="K3124" s="5">
        <v>50</v>
      </c>
      <c r="L3124" t="str">
        <f>Table_DataFromNL[[#This Row],[PROFILECODE]]&amp;"-"&amp;Table_DataFromNL[[#This Row],[RULENAME]]</f>
        <v>CP128-NSP_LD_50_1X</v>
      </c>
      <c r="M3124" t="e">
        <f t="shared" si="341"/>
        <v>#N/A</v>
      </c>
    </row>
    <row r="3125" spans="1:13" x14ac:dyDescent="0.25">
      <c r="A3125" t="str">
        <f t="shared" si="342"/>
        <v>CP128-NSP_ORPHAN_100_once</v>
      </c>
      <c r="B3125" t="s">
        <v>171</v>
      </c>
      <c r="C3125" t="str">
        <f t="shared" si="336"/>
        <v>Tucker</v>
      </c>
      <c r="D3125" t="str">
        <f t="shared" si="337"/>
        <v>Y</v>
      </c>
      <c r="E3125" t="s">
        <v>677</v>
      </c>
      <c r="F3125" t="str">
        <f t="shared" si="338"/>
        <v>NSP_ORPHAN_100_once</v>
      </c>
      <c r="G3125">
        <f t="shared" si="339"/>
        <v>0</v>
      </c>
      <c r="H3125" t="s">
        <v>572</v>
      </c>
      <c r="I3125">
        <f t="shared" si="340"/>
        <v>0</v>
      </c>
      <c r="J3125" t="s">
        <v>564</v>
      </c>
      <c r="K3125" s="5">
        <v>100</v>
      </c>
      <c r="L3125" t="str">
        <f>Table_DataFromNL[[#This Row],[PROFILECODE]]&amp;"-"&amp;Table_DataFromNL[[#This Row],[RULENAME]]</f>
        <v>CP128-NSP_ORPHAN_100_once</v>
      </c>
      <c r="M3125" t="e">
        <f t="shared" si="341"/>
        <v>#N/A</v>
      </c>
    </row>
    <row r="3126" spans="1:13" x14ac:dyDescent="0.25">
      <c r="A3126" t="str">
        <f t="shared" si="342"/>
        <v>CP128-Restick</v>
      </c>
      <c r="B3126" t="s">
        <v>171</v>
      </c>
      <c r="C3126" t="str">
        <f t="shared" si="336"/>
        <v>Tucker</v>
      </c>
      <c r="D3126" t="str">
        <f t="shared" si="337"/>
        <v>Y</v>
      </c>
      <c r="E3126" t="s">
        <v>677</v>
      </c>
      <c r="F3126" t="str">
        <f t="shared" si="338"/>
        <v>Restick</v>
      </c>
      <c r="G3126">
        <f t="shared" si="339"/>
        <v>0</v>
      </c>
      <c r="H3126" t="s">
        <v>573</v>
      </c>
      <c r="I3126">
        <f t="shared" si="340"/>
        <v>0</v>
      </c>
      <c r="J3126" t="s">
        <v>564</v>
      </c>
      <c r="K3126" s="5">
        <v>5</v>
      </c>
      <c r="L3126" t="str">
        <f>Table_DataFromNL[[#This Row],[PROFILECODE]]&amp;"-"&amp;Table_DataFromNL[[#This Row],[RULENAME]]</f>
        <v>CP128-Restick</v>
      </c>
      <c r="M3126" t="e">
        <f t="shared" si="341"/>
        <v>#N/A</v>
      </c>
    </row>
    <row r="3127" spans="1:13" x14ac:dyDescent="0.25">
      <c r="A3127" t="str">
        <f t="shared" si="342"/>
        <v>CP128-SLOW_TEXT_5</v>
      </c>
      <c r="B3127" t="s">
        <v>171</v>
      </c>
      <c r="C3127" t="str">
        <f t="shared" si="336"/>
        <v>Tucker</v>
      </c>
      <c r="D3127" t="str">
        <f t="shared" si="337"/>
        <v>Y</v>
      </c>
      <c r="E3127" t="s">
        <v>677</v>
      </c>
      <c r="F3127" t="str">
        <f t="shared" si="338"/>
        <v>SLOW_TEXT_5</v>
      </c>
      <c r="G3127">
        <f t="shared" si="339"/>
        <v>0</v>
      </c>
      <c r="H3127" t="s">
        <v>574</v>
      </c>
      <c r="I3127">
        <f t="shared" si="340"/>
        <v>0</v>
      </c>
      <c r="J3127" t="s">
        <v>564</v>
      </c>
      <c r="K3127" s="5">
        <v>5</v>
      </c>
      <c r="L3127" t="str">
        <f>Table_DataFromNL[[#This Row],[PROFILECODE]]&amp;"-"&amp;Table_DataFromNL[[#This Row],[RULENAME]]</f>
        <v>CP128-SLOW_TEXT_5</v>
      </c>
      <c r="M3127" t="e">
        <f t="shared" si="341"/>
        <v>#N/A</v>
      </c>
    </row>
    <row r="3128" spans="1:13" x14ac:dyDescent="0.25">
      <c r="A3128" t="str">
        <f t="shared" si="342"/>
        <v>CP128-Sample Only</v>
      </c>
      <c r="B3128" t="s">
        <v>171</v>
      </c>
      <c r="C3128" t="str">
        <f t="shared" si="336"/>
        <v>Tucker</v>
      </c>
      <c r="D3128" t="str">
        <f t="shared" si="337"/>
        <v>Y</v>
      </c>
      <c r="E3128" t="s">
        <v>677</v>
      </c>
      <c r="F3128" t="str">
        <f t="shared" si="338"/>
        <v>Sample Only</v>
      </c>
      <c r="G3128">
        <f t="shared" si="339"/>
        <v>0</v>
      </c>
      <c r="H3128" t="s">
        <v>575</v>
      </c>
      <c r="I3128">
        <f t="shared" si="340"/>
        <v>0</v>
      </c>
      <c r="J3128" t="s">
        <v>564</v>
      </c>
      <c r="K3128" s="5">
        <v>5</v>
      </c>
      <c r="L3128" t="str">
        <f>Table_DataFromNL[[#This Row],[PROFILECODE]]&amp;"-"&amp;Table_DataFromNL[[#This Row],[RULENAME]]</f>
        <v>CP128-Sample Only</v>
      </c>
      <c r="M3128" t="e">
        <f t="shared" si="341"/>
        <v>#N/A</v>
      </c>
    </row>
    <row r="3129" spans="1:13" x14ac:dyDescent="0.25">
      <c r="A3129" t="str">
        <f t="shared" si="342"/>
        <v>CP128-Unit Below 250 mL</v>
      </c>
      <c r="B3129" t="s">
        <v>171</v>
      </c>
      <c r="C3129" t="str">
        <f t="shared" si="336"/>
        <v>Tucker</v>
      </c>
      <c r="D3129" t="str">
        <f t="shared" si="337"/>
        <v>Y</v>
      </c>
      <c r="E3129" t="s">
        <v>677</v>
      </c>
      <c r="F3129" t="str">
        <f t="shared" si="338"/>
        <v>Unit Below 250 mL</v>
      </c>
      <c r="G3129">
        <f t="shared" si="339"/>
        <v>0</v>
      </c>
      <c r="H3129" t="s">
        <v>576</v>
      </c>
      <c r="I3129">
        <f t="shared" si="340"/>
        <v>0</v>
      </c>
      <c r="J3129" t="s">
        <v>564</v>
      </c>
      <c r="K3129" s="5">
        <v>5</v>
      </c>
      <c r="L3129" t="str">
        <f>Table_DataFromNL[[#This Row],[PROFILECODE]]&amp;"-"&amp;Table_DataFromNL[[#This Row],[RULENAME]]</f>
        <v>CP128-Unit Below 250 mL</v>
      </c>
      <c r="M3129" t="e">
        <f t="shared" si="341"/>
        <v>#N/A</v>
      </c>
    </row>
    <row r="3130" spans="1:13" x14ac:dyDescent="0.25">
      <c r="A3130" t="str">
        <f t="shared" si="342"/>
        <v>CP128-Unit above 250 mL/underdraw</v>
      </c>
      <c r="B3130" t="s">
        <v>171</v>
      </c>
      <c r="C3130" t="str">
        <f t="shared" si="336"/>
        <v>Tucker</v>
      </c>
      <c r="D3130" t="str">
        <f t="shared" si="337"/>
        <v>Y</v>
      </c>
      <c r="E3130" t="s">
        <v>677</v>
      </c>
      <c r="F3130" t="str">
        <f t="shared" si="338"/>
        <v>Unit above 250 mL/underdraw</v>
      </c>
      <c r="G3130">
        <f t="shared" si="339"/>
        <v>0</v>
      </c>
      <c r="H3130" t="s">
        <v>577</v>
      </c>
      <c r="I3130">
        <f t="shared" si="340"/>
        <v>0</v>
      </c>
      <c r="J3130" t="s">
        <v>564</v>
      </c>
      <c r="K3130" s="5">
        <v>10</v>
      </c>
      <c r="L3130" t="str">
        <f>Table_DataFromNL[[#This Row],[PROFILECODE]]&amp;"-"&amp;Table_DataFromNL[[#This Row],[RULENAME]]</f>
        <v>CP128-Unit above 250 mL/underdraw</v>
      </c>
      <c r="M3130" t="e">
        <f t="shared" si="341"/>
        <v>#N/A</v>
      </c>
    </row>
    <row r="3131" spans="1:13" x14ac:dyDescent="0.25">
      <c r="A3131" t="str">
        <f t="shared" si="342"/>
        <v>CP128-RETURN - Buddy referral  -BONUS</v>
      </c>
      <c r="B3131" t="s">
        <v>171</v>
      </c>
      <c r="C3131" t="str">
        <f t="shared" si="336"/>
        <v>Tucker</v>
      </c>
      <c r="D3131" t="str">
        <f t="shared" si="337"/>
        <v>Y</v>
      </c>
      <c r="E3131" t="s">
        <v>677</v>
      </c>
      <c r="F3131" t="str">
        <f t="shared" si="338"/>
        <v>RETURN - Buddy referral  -BONUS</v>
      </c>
      <c r="G3131" t="str">
        <f t="shared" si="339"/>
        <v>Marketing</v>
      </c>
      <c r="H3131" t="s">
        <v>34</v>
      </c>
      <c r="I3131">
        <f t="shared" si="340"/>
        <v>50</v>
      </c>
      <c r="J3131" t="s">
        <v>578</v>
      </c>
      <c r="K3131" s="5">
        <v>50</v>
      </c>
      <c r="L3131" t="str">
        <f>Table_DataFromNL[[#This Row],[PROFILECODE]]&amp;"-"&amp;Table_DataFromNL[[#This Row],[RULENAME]]</f>
        <v>CP128-Referral</v>
      </c>
      <c r="M3131" t="str">
        <f t="shared" si="341"/>
        <v>CP128-RETURN - Buddy referral  -BONUS</v>
      </c>
    </row>
    <row r="3132" spans="1:13" x14ac:dyDescent="0.25">
      <c r="A3132" t="str">
        <f t="shared" si="342"/>
        <v>CP128-P Anti-D Pre-Existing Standard</v>
      </c>
      <c r="B3132" t="s">
        <v>171</v>
      </c>
      <c r="C3132" t="str">
        <f t="shared" si="336"/>
        <v>Tucker</v>
      </c>
      <c r="D3132" t="str">
        <f t="shared" si="337"/>
        <v>Y</v>
      </c>
      <c r="E3132" t="s">
        <v>677</v>
      </c>
      <c r="F3132" t="str">
        <f t="shared" si="338"/>
        <v>P Anti-D Pre-Existing Standard</v>
      </c>
      <c r="G3132" t="str">
        <f t="shared" si="339"/>
        <v>Specialty</v>
      </c>
      <c r="H3132" t="s">
        <v>469</v>
      </c>
      <c r="I3132" t="str">
        <f t="shared" si="340"/>
        <v>RETURN - 1st don of the week -STD</v>
      </c>
      <c r="J3132" t="s">
        <v>579</v>
      </c>
      <c r="K3132" s="5">
        <v>50</v>
      </c>
      <c r="L3132" t="str">
        <f>Table_DataFromNL[[#This Row],[PROFILECODE]]&amp;"-"&amp;Table_DataFromNL[[#This Row],[RULENAME]]</f>
        <v>CP128-P Anti-D Pre-Existing Standard</v>
      </c>
      <c r="M3132" t="str">
        <f t="shared" si="341"/>
        <v>CP128-P Anti-D Pre-Existing Standard</v>
      </c>
    </row>
    <row r="3133" spans="1:13" x14ac:dyDescent="0.25">
      <c r="A3133" t="str">
        <f t="shared" si="342"/>
        <v>CP128-P CMV Standard</v>
      </c>
      <c r="B3133" t="s">
        <v>171</v>
      </c>
      <c r="C3133" t="str">
        <f t="shared" si="336"/>
        <v>Tucker</v>
      </c>
      <c r="D3133" t="str">
        <f t="shared" si="337"/>
        <v>Y</v>
      </c>
      <c r="E3133" t="s">
        <v>677</v>
      </c>
      <c r="F3133" t="str">
        <f t="shared" si="338"/>
        <v>P CMV Standard</v>
      </c>
      <c r="G3133" t="str">
        <f t="shared" si="339"/>
        <v>Specialty</v>
      </c>
      <c r="H3133" t="s">
        <v>501</v>
      </c>
      <c r="I3133" t="str">
        <f t="shared" si="340"/>
        <v>RETURN - 1st don of the week -STD</v>
      </c>
      <c r="J3133" t="s">
        <v>579</v>
      </c>
      <c r="K3133" s="5">
        <v>40</v>
      </c>
      <c r="L3133" t="str">
        <f>Table_DataFromNL[[#This Row],[PROFILECODE]]&amp;"-"&amp;Table_DataFromNL[[#This Row],[RULENAME]]</f>
        <v>CP128-P CMV Standard</v>
      </c>
      <c r="M3133" t="str">
        <f t="shared" si="341"/>
        <v>CP128-P CMV Standard</v>
      </c>
    </row>
    <row r="3134" spans="1:13" x14ac:dyDescent="0.25">
      <c r="A3134" t="str">
        <f t="shared" si="342"/>
        <v>CP128-RETURN - 1st don of the week -STD</v>
      </c>
      <c r="B3134" t="s">
        <v>171</v>
      </c>
      <c r="C3134" t="str">
        <f t="shared" si="336"/>
        <v>Tucker</v>
      </c>
      <c r="D3134" t="str">
        <f t="shared" si="337"/>
        <v>Y</v>
      </c>
      <c r="E3134" t="s">
        <v>677</v>
      </c>
      <c r="F3134" t="str">
        <f t="shared" si="338"/>
        <v>RETURN - 1st don of the week -STD</v>
      </c>
      <c r="G3134" t="str">
        <f t="shared" si="339"/>
        <v>Marketing</v>
      </c>
      <c r="H3134" t="s">
        <v>583</v>
      </c>
      <c r="I3134">
        <f t="shared" si="340"/>
        <v>22</v>
      </c>
      <c r="J3134" t="s">
        <v>579</v>
      </c>
      <c r="K3134" s="5">
        <v>40</v>
      </c>
      <c r="L3134" t="str">
        <f>Table_DataFromNL[[#This Row],[PROFILECODE]]&amp;"-"&amp;Table_DataFromNL[[#This Row],[RULENAME]]</f>
        <v>CP128-P NSP NS AP Standard</v>
      </c>
      <c r="M3134" t="str">
        <f t="shared" si="341"/>
        <v>CP128-RETURN - 1st don of the week -STD</v>
      </c>
    </row>
    <row r="3135" spans="1:13" x14ac:dyDescent="0.25">
      <c r="A3135" t="str">
        <f t="shared" si="342"/>
        <v>CP128-RETURN - 1st don of the week -STD</v>
      </c>
      <c r="B3135" t="s">
        <v>171</v>
      </c>
      <c r="C3135" t="str">
        <f t="shared" si="336"/>
        <v>Tucker</v>
      </c>
      <c r="D3135" t="str">
        <f t="shared" si="337"/>
        <v>Y</v>
      </c>
      <c r="E3135" t="s">
        <v>677</v>
      </c>
      <c r="F3135" t="str">
        <f t="shared" si="338"/>
        <v>RETURN - 1st don of the week -STD</v>
      </c>
      <c r="G3135" t="str">
        <f t="shared" si="339"/>
        <v>Marketing</v>
      </c>
      <c r="H3135" t="s">
        <v>584</v>
      </c>
      <c r="I3135">
        <f t="shared" si="340"/>
        <v>23</v>
      </c>
      <c r="J3135" t="s">
        <v>579</v>
      </c>
      <c r="K3135" s="5">
        <v>40</v>
      </c>
      <c r="L3135" t="str">
        <f>Table_DataFromNL[[#This Row],[PROFILECODE]]&amp;"-"&amp;Table_DataFromNL[[#This Row],[RULENAME]]</f>
        <v>CP128-P NSP NS Standard</v>
      </c>
      <c r="M3135" t="str">
        <f t="shared" si="341"/>
        <v>CP128-RETURN - 1st don of the week -STD</v>
      </c>
    </row>
    <row r="3136" spans="1:13" x14ac:dyDescent="0.25">
      <c r="A3136" t="str">
        <f t="shared" si="342"/>
        <v>CP128-P VIP A Standard</v>
      </c>
      <c r="B3136" t="s">
        <v>171</v>
      </c>
      <c r="C3136" t="str">
        <f t="shared" si="336"/>
        <v>Tucker</v>
      </c>
      <c r="D3136" t="str">
        <f t="shared" si="337"/>
        <v>Y</v>
      </c>
      <c r="E3136" t="s">
        <v>677</v>
      </c>
      <c r="F3136" t="str">
        <f t="shared" si="338"/>
        <v>P VIP A Standard</v>
      </c>
      <c r="G3136" t="str">
        <f t="shared" si="339"/>
        <v>Specialty</v>
      </c>
      <c r="H3136" t="s">
        <v>512</v>
      </c>
      <c r="I3136" t="str">
        <f t="shared" si="340"/>
        <v>RETURN - 1st don of the week -STD</v>
      </c>
      <c r="J3136" t="s">
        <v>579</v>
      </c>
      <c r="K3136" s="5">
        <v>45</v>
      </c>
      <c r="L3136" t="str">
        <f>Table_DataFromNL[[#This Row],[PROFILECODE]]&amp;"-"&amp;Table_DataFromNL[[#This Row],[RULENAME]]</f>
        <v>CP128-P VIP A Standard</v>
      </c>
      <c r="M3136" t="str">
        <f t="shared" si="341"/>
        <v>CP128-P VIP A Standard</v>
      </c>
    </row>
    <row r="3137" spans="1:13" x14ac:dyDescent="0.25">
      <c r="A3137" t="str">
        <f t="shared" si="342"/>
        <v>CP128-P VIP AB Standard</v>
      </c>
      <c r="B3137" t="s">
        <v>171</v>
      </c>
      <c r="C3137" t="str">
        <f t="shared" si="336"/>
        <v>Tucker</v>
      </c>
      <c r="D3137" t="str">
        <f t="shared" si="337"/>
        <v>Y</v>
      </c>
      <c r="E3137" t="s">
        <v>677</v>
      </c>
      <c r="F3137" t="str">
        <f t="shared" si="338"/>
        <v>P VIP AB Standard</v>
      </c>
      <c r="G3137" t="str">
        <f t="shared" si="339"/>
        <v>Specialty</v>
      </c>
      <c r="H3137" t="s">
        <v>513</v>
      </c>
      <c r="I3137" t="str">
        <f t="shared" si="340"/>
        <v>RETURN - 1st don of the week -STD</v>
      </c>
      <c r="J3137" t="s">
        <v>579</v>
      </c>
      <c r="K3137" s="5">
        <v>45</v>
      </c>
      <c r="L3137" t="str">
        <f>Table_DataFromNL[[#This Row],[PROFILECODE]]&amp;"-"&amp;Table_DataFromNL[[#This Row],[RULENAME]]</f>
        <v>CP128-P VIP AB Standard</v>
      </c>
      <c r="M3137" t="str">
        <f t="shared" si="341"/>
        <v>CP128-P VIP AB Standard</v>
      </c>
    </row>
    <row r="3138" spans="1:13" x14ac:dyDescent="0.25">
      <c r="A3138" t="str">
        <f t="shared" si="342"/>
        <v>CP128-P VZV Pre-Existing AP</v>
      </c>
      <c r="B3138" t="s">
        <v>171</v>
      </c>
      <c r="C3138" t="str">
        <f t="shared" ref="C3138:C3201" si="343">VLOOKUP(B3138,CenterLU,2,FALSE)</f>
        <v>Tucker</v>
      </c>
      <c r="D3138" t="str">
        <f t="shared" ref="D3138:D3201" si="344">VLOOKUP(B3138,CenterLU,3,FALSE)</f>
        <v>Y</v>
      </c>
      <c r="E3138" t="s">
        <v>677</v>
      </c>
      <c r="F3138" t="str">
        <f t="shared" ref="F3138:F3201" si="345">IF(VLOOKUP(H3138,RULENAMELU,3,FALSE)=0,H3138,VLOOKUP(H3138,RULENAMELU,3,FALSE))</f>
        <v>P VZV Pre-Existing AP</v>
      </c>
      <c r="G3138" t="str">
        <f t="shared" ref="G3138:G3201" si="346">VLOOKUP(H3138,RULENAMELU,4,FALSE)</f>
        <v>Specialty</v>
      </c>
      <c r="H3138" t="s">
        <v>495</v>
      </c>
      <c r="I3138" t="str">
        <f t="shared" ref="I3138:I3201" si="347">VLOOKUP(H3138,RULENAMELU,5,FALSE)</f>
        <v>RETURN - 1st don of the week -STD</v>
      </c>
      <c r="J3138" t="s">
        <v>579</v>
      </c>
      <c r="K3138" s="5">
        <v>50</v>
      </c>
      <c r="L3138" t="str">
        <f>Table_DataFromNL[[#This Row],[PROFILECODE]]&amp;"-"&amp;Table_DataFromNL[[#This Row],[RULENAME]]</f>
        <v>CP128-P VZV Pre-Existing AP</v>
      </c>
      <c r="M3138" t="str">
        <f t="shared" ref="M3138:M3201" si="348">IFERROR(VLOOKUP(A3138,PaychangesLU,1,FALSE),VLOOKUP(A3138,SpecialtyCheckLU,1,FALSE))</f>
        <v>CP128-P VZV Pre-Existing AP</v>
      </c>
    </row>
    <row r="3139" spans="1:13" x14ac:dyDescent="0.25">
      <c r="A3139" t="str">
        <f t="shared" ref="A3139:A3202" si="349">B3139&amp;"-"&amp;F3139</f>
        <v>CP128-P VZV Standard</v>
      </c>
      <c r="B3139" t="s">
        <v>171</v>
      </c>
      <c r="C3139" t="str">
        <f t="shared" si="343"/>
        <v>Tucker</v>
      </c>
      <c r="D3139" t="str">
        <f t="shared" si="344"/>
        <v>Y</v>
      </c>
      <c r="E3139" t="s">
        <v>677</v>
      </c>
      <c r="F3139" t="str">
        <f t="shared" si="345"/>
        <v>P VZV Standard</v>
      </c>
      <c r="G3139" t="str">
        <f t="shared" si="346"/>
        <v>Specialty</v>
      </c>
      <c r="H3139" t="s">
        <v>496</v>
      </c>
      <c r="I3139" t="str">
        <f t="shared" si="347"/>
        <v>RETURN - 1st don of the week -STD</v>
      </c>
      <c r="J3139" t="s">
        <v>579</v>
      </c>
      <c r="K3139" s="5">
        <v>50</v>
      </c>
      <c r="L3139" t="str">
        <f>Table_DataFromNL[[#This Row],[PROFILECODE]]&amp;"-"&amp;Table_DataFromNL[[#This Row],[RULENAME]]</f>
        <v>CP128-P VZV Standard</v>
      </c>
      <c r="M3139" t="str">
        <f t="shared" si="348"/>
        <v>CP128-P VZV Standard</v>
      </c>
    </row>
    <row r="3140" spans="1:13" x14ac:dyDescent="0.25">
      <c r="A3140" t="str">
        <f t="shared" si="349"/>
        <v>CP128-PVZV Pre-Existing Standard</v>
      </c>
      <c r="B3140" t="s">
        <v>171</v>
      </c>
      <c r="C3140" t="str">
        <f t="shared" si="343"/>
        <v>Tucker</v>
      </c>
      <c r="D3140" t="str">
        <f t="shared" si="344"/>
        <v>Y</v>
      </c>
      <c r="E3140" t="s">
        <v>677</v>
      </c>
      <c r="F3140" t="str">
        <f t="shared" si="345"/>
        <v>PVZV Pre-Existing Standard</v>
      </c>
      <c r="G3140" t="str">
        <f t="shared" si="346"/>
        <v>Specialty</v>
      </c>
      <c r="H3140" t="s">
        <v>497</v>
      </c>
      <c r="I3140" t="str">
        <f t="shared" si="347"/>
        <v>RETURN - 1st don of the week -STD</v>
      </c>
      <c r="J3140" t="s">
        <v>579</v>
      </c>
      <c r="K3140" s="5">
        <v>50</v>
      </c>
      <c r="L3140" t="str">
        <f>Table_DataFromNL[[#This Row],[PROFILECODE]]&amp;"-"&amp;Table_DataFromNL[[#This Row],[RULENAME]]</f>
        <v>CP128-PVZV Pre-Existing Standard</v>
      </c>
      <c r="M3140" t="str">
        <f t="shared" si="348"/>
        <v>CP128-PVZV Pre-Existing Standard</v>
      </c>
    </row>
    <row r="3141" spans="1:13" x14ac:dyDescent="0.25">
      <c r="A3141" t="str">
        <f t="shared" si="349"/>
        <v>CP577-1st Responder-Medical</v>
      </c>
      <c r="B3141" t="s">
        <v>441</v>
      </c>
      <c r="C3141" t="str">
        <f t="shared" si="343"/>
        <v>Tuscaloosa</v>
      </c>
      <c r="D3141" t="str">
        <f t="shared" si="344"/>
        <v>Y</v>
      </c>
      <c r="E3141" t="s">
        <v>678</v>
      </c>
      <c r="F3141" t="str">
        <f t="shared" si="345"/>
        <v>1st Responder-Medical</v>
      </c>
      <c r="G3141">
        <f t="shared" si="346"/>
        <v>0</v>
      </c>
      <c r="H3141" t="s">
        <v>545</v>
      </c>
      <c r="I3141">
        <f t="shared" si="347"/>
        <v>0</v>
      </c>
      <c r="J3141" t="s">
        <v>546</v>
      </c>
      <c r="K3141" s="5">
        <v>5</v>
      </c>
      <c r="L3141" t="str">
        <f>Table_DataFromNL[[#This Row],[PROFILECODE]]&amp;"-"&amp;Table_DataFromNL[[#This Row],[RULENAME]]</f>
        <v>CP577-1st Responder-Medical</v>
      </c>
      <c r="M3141" t="e">
        <f t="shared" si="348"/>
        <v>#N/A</v>
      </c>
    </row>
    <row r="3142" spans="1:13" x14ac:dyDescent="0.25">
      <c r="A3142" t="str">
        <f t="shared" si="349"/>
        <v>CP577-RETURN - 2nd don of the week -BONUS</v>
      </c>
      <c r="B3142" t="s">
        <v>441</v>
      </c>
      <c r="C3142" t="str">
        <f t="shared" si="343"/>
        <v>Tuscaloosa</v>
      </c>
      <c r="D3142" t="str">
        <f t="shared" si="344"/>
        <v>Y</v>
      </c>
      <c r="E3142" t="s">
        <v>678</v>
      </c>
      <c r="F3142" t="str">
        <f t="shared" si="345"/>
        <v>RETURN - 2nd don of the week -BONUS</v>
      </c>
      <c r="G3142" t="str">
        <f t="shared" si="346"/>
        <v>Specialty</v>
      </c>
      <c r="H3142" t="s">
        <v>606</v>
      </c>
      <c r="I3142" t="str">
        <f t="shared" si="347"/>
        <v>RETURN - 2nd don of the week -BONUS</v>
      </c>
      <c r="J3142" t="s">
        <v>546</v>
      </c>
      <c r="K3142" s="5">
        <v>45</v>
      </c>
      <c r="L3142" t="str">
        <f>Table_DataFromNL[[#This Row],[PROFILECODE]]&amp;"-"&amp;Table_DataFromNL[[#This Row],[RULENAME]]</f>
        <v>CP577-2X Week P Normal Source PL</v>
      </c>
      <c r="M3142" t="str">
        <f t="shared" si="348"/>
        <v>CP577-RETURN - 2nd don of the week -BONUS</v>
      </c>
    </row>
    <row r="3143" spans="1:13" x14ac:dyDescent="0.25">
      <c r="A3143" t="str">
        <f t="shared" si="349"/>
        <v>CP577-College ID Standard Bonus</v>
      </c>
      <c r="B3143" t="s">
        <v>441</v>
      </c>
      <c r="C3143" t="str">
        <f t="shared" si="343"/>
        <v>Tuscaloosa</v>
      </c>
      <c r="D3143" t="str">
        <f t="shared" si="344"/>
        <v>Y</v>
      </c>
      <c r="E3143" t="s">
        <v>678</v>
      </c>
      <c r="F3143" t="str">
        <f t="shared" si="345"/>
        <v>College ID Standard Bonus</v>
      </c>
      <c r="G3143">
        <f t="shared" si="346"/>
        <v>0</v>
      </c>
      <c r="H3143" t="s">
        <v>553</v>
      </c>
      <c r="I3143">
        <f t="shared" si="347"/>
        <v>0</v>
      </c>
      <c r="J3143" t="s">
        <v>546</v>
      </c>
      <c r="K3143" s="5">
        <v>5</v>
      </c>
      <c r="L3143" t="str">
        <f>Table_DataFromNL[[#This Row],[PROFILECODE]]&amp;"-"&amp;Table_DataFromNL[[#This Row],[RULENAME]]</f>
        <v>CP577-College ID Standard Bonus</v>
      </c>
      <c r="M3143" t="e">
        <f t="shared" si="348"/>
        <v>#N/A</v>
      </c>
    </row>
    <row r="3144" spans="1:13" x14ac:dyDescent="0.25">
      <c r="A3144" t="str">
        <f t="shared" si="349"/>
        <v>CP577-Military ID</v>
      </c>
      <c r="B3144" t="s">
        <v>441</v>
      </c>
      <c r="C3144" t="str">
        <f t="shared" si="343"/>
        <v>Tuscaloosa</v>
      </c>
      <c r="D3144" t="str">
        <f t="shared" si="344"/>
        <v>Y</v>
      </c>
      <c r="E3144" t="s">
        <v>678</v>
      </c>
      <c r="F3144" t="str">
        <f t="shared" si="345"/>
        <v>Military ID</v>
      </c>
      <c r="G3144">
        <f t="shared" si="346"/>
        <v>0</v>
      </c>
      <c r="H3144" t="s">
        <v>554</v>
      </c>
      <c r="I3144">
        <f t="shared" si="347"/>
        <v>0</v>
      </c>
      <c r="J3144" t="s">
        <v>546</v>
      </c>
      <c r="K3144" s="5">
        <v>5</v>
      </c>
      <c r="L3144" t="str">
        <f>Table_DataFromNL[[#This Row],[PROFILECODE]]&amp;"-"&amp;Table_DataFromNL[[#This Row],[RULENAME]]</f>
        <v>CP577-Military ID</v>
      </c>
      <c r="M3144" t="e">
        <f t="shared" si="348"/>
        <v>#N/A</v>
      </c>
    </row>
    <row r="3145" spans="1:13" x14ac:dyDescent="0.25">
      <c r="A3145" t="str">
        <f t="shared" si="349"/>
        <v>CP577-NEW DONOR -1st</v>
      </c>
      <c r="B3145" t="s">
        <v>441</v>
      </c>
      <c r="C3145" t="str">
        <f t="shared" si="343"/>
        <v>Tuscaloosa</v>
      </c>
      <c r="D3145" t="str">
        <f t="shared" si="344"/>
        <v>Y</v>
      </c>
      <c r="E3145" t="s">
        <v>678</v>
      </c>
      <c r="F3145" t="str">
        <f t="shared" si="345"/>
        <v>NEW DONOR -1st</v>
      </c>
      <c r="G3145" t="str">
        <f t="shared" si="346"/>
        <v>Marketing</v>
      </c>
      <c r="H3145" t="s">
        <v>555</v>
      </c>
      <c r="I3145">
        <f t="shared" si="347"/>
        <v>1</v>
      </c>
      <c r="J3145" t="s">
        <v>546</v>
      </c>
      <c r="K3145" s="5">
        <v>100</v>
      </c>
      <c r="L3145" t="str">
        <f>Table_DataFromNL[[#This Row],[PROFILECODE]]&amp;"-"&amp;Table_DataFromNL[[#This Row],[RULENAME]]</f>
        <v>CP577-New Donor 1st Visit-Bonus</v>
      </c>
      <c r="M3145" t="str">
        <f t="shared" si="348"/>
        <v>CP577-NEW DONOR -1st</v>
      </c>
    </row>
    <row r="3146" spans="1:13" x14ac:dyDescent="0.25">
      <c r="A3146" t="str">
        <f t="shared" si="349"/>
        <v>CP577-NEW DONOR -2nd</v>
      </c>
      <c r="B3146" t="s">
        <v>441</v>
      </c>
      <c r="C3146" t="str">
        <f t="shared" si="343"/>
        <v>Tuscaloosa</v>
      </c>
      <c r="D3146" t="str">
        <f t="shared" si="344"/>
        <v>Y</v>
      </c>
      <c r="E3146" t="s">
        <v>678</v>
      </c>
      <c r="F3146" t="str">
        <f t="shared" si="345"/>
        <v>NEW DONOR -2nd</v>
      </c>
      <c r="G3146" t="str">
        <f t="shared" si="346"/>
        <v>Marketing</v>
      </c>
      <c r="H3146" t="s">
        <v>556</v>
      </c>
      <c r="I3146">
        <f t="shared" si="347"/>
        <v>2</v>
      </c>
      <c r="J3146" t="s">
        <v>546</v>
      </c>
      <c r="K3146" s="5">
        <v>100</v>
      </c>
      <c r="L3146" t="str">
        <f>Table_DataFromNL[[#This Row],[PROFILECODE]]&amp;"-"&amp;Table_DataFromNL[[#This Row],[RULENAME]]</f>
        <v>CP577-New Donor 2nd Visit-Bonus</v>
      </c>
      <c r="M3146" t="str">
        <f t="shared" si="348"/>
        <v>CP577-NEW DONOR -2nd</v>
      </c>
    </row>
    <row r="3147" spans="1:13" x14ac:dyDescent="0.25">
      <c r="A3147" t="str">
        <f t="shared" si="349"/>
        <v>CP577-NEW DONOR -3rd</v>
      </c>
      <c r="B3147" t="s">
        <v>441</v>
      </c>
      <c r="C3147" t="str">
        <f t="shared" si="343"/>
        <v>Tuscaloosa</v>
      </c>
      <c r="D3147" t="str">
        <f t="shared" si="344"/>
        <v>Y</v>
      </c>
      <c r="E3147" t="s">
        <v>678</v>
      </c>
      <c r="F3147" t="str">
        <f t="shared" si="345"/>
        <v>NEW DONOR -3rd</v>
      </c>
      <c r="G3147" t="str">
        <f t="shared" si="346"/>
        <v>Marketing</v>
      </c>
      <c r="H3147" t="s">
        <v>557</v>
      </c>
      <c r="I3147">
        <f t="shared" si="347"/>
        <v>3</v>
      </c>
      <c r="J3147" t="s">
        <v>546</v>
      </c>
      <c r="K3147" s="5">
        <v>30</v>
      </c>
      <c r="L3147" t="str">
        <f>Table_DataFromNL[[#This Row],[PROFILECODE]]&amp;"-"&amp;Table_DataFromNL[[#This Row],[RULENAME]]</f>
        <v>CP577-New Donor 3rd Visit-Bonus</v>
      </c>
      <c r="M3147" t="str">
        <f t="shared" si="348"/>
        <v>CP577-NEW DONOR -3rd</v>
      </c>
    </row>
    <row r="3148" spans="1:13" x14ac:dyDescent="0.25">
      <c r="A3148" t="str">
        <f t="shared" si="349"/>
        <v>CP577-NEW DONOR -4th</v>
      </c>
      <c r="B3148" t="s">
        <v>441</v>
      </c>
      <c r="C3148" t="str">
        <f t="shared" si="343"/>
        <v>Tuscaloosa</v>
      </c>
      <c r="D3148" t="str">
        <f t="shared" si="344"/>
        <v>Y</v>
      </c>
      <c r="E3148" t="s">
        <v>678</v>
      </c>
      <c r="F3148" t="str">
        <f t="shared" si="345"/>
        <v>NEW DONOR -4th</v>
      </c>
      <c r="G3148" t="str">
        <f t="shared" si="346"/>
        <v>Marketing</v>
      </c>
      <c r="H3148" t="s">
        <v>558</v>
      </c>
      <c r="I3148">
        <f t="shared" si="347"/>
        <v>4</v>
      </c>
      <c r="J3148" t="s">
        <v>546</v>
      </c>
      <c r="K3148" s="5">
        <v>30</v>
      </c>
      <c r="L3148" t="str">
        <f>Table_DataFromNL[[#This Row],[PROFILECODE]]&amp;"-"&amp;Table_DataFromNL[[#This Row],[RULENAME]]</f>
        <v>CP577-New Donor 4th Visit-Bonus</v>
      </c>
      <c r="M3148" t="str">
        <f t="shared" si="348"/>
        <v>CP577-NEW DONOR -4th</v>
      </c>
    </row>
    <row r="3149" spans="1:13" x14ac:dyDescent="0.25">
      <c r="A3149" t="str">
        <f t="shared" si="349"/>
        <v>CP577-NEW DONOR -5th</v>
      </c>
      <c r="B3149" t="s">
        <v>441</v>
      </c>
      <c r="C3149" t="str">
        <f t="shared" si="343"/>
        <v>Tuscaloosa</v>
      </c>
      <c r="D3149" t="str">
        <f t="shared" si="344"/>
        <v>Y</v>
      </c>
      <c r="E3149" t="s">
        <v>678</v>
      </c>
      <c r="F3149" t="str">
        <f t="shared" si="345"/>
        <v>NEW DONOR -5th</v>
      </c>
      <c r="G3149" t="str">
        <f t="shared" si="346"/>
        <v>Marketing</v>
      </c>
      <c r="H3149" t="s">
        <v>559</v>
      </c>
      <c r="I3149">
        <f t="shared" si="347"/>
        <v>5</v>
      </c>
      <c r="J3149" t="s">
        <v>546</v>
      </c>
      <c r="K3149" s="5">
        <v>30</v>
      </c>
      <c r="L3149" t="str">
        <f>Table_DataFromNL[[#This Row],[PROFILECODE]]&amp;"-"&amp;Table_DataFromNL[[#This Row],[RULENAME]]</f>
        <v>CP577-New Donor 5th Visit-Bonus</v>
      </c>
      <c r="M3149" t="str">
        <f t="shared" si="348"/>
        <v>CP577-NEW DONOR -5th</v>
      </c>
    </row>
    <row r="3150" spans="1:13" x14ac:dyDescent="0.25">
      <c r="A3150" t="str">
        <f t="shared" si="349"/>
        <v>CP577-NEW DONOR -6th</v>
      </c>
      <c r="B3150" t="s">
        <v>441</v>
      </c>
      <c r="C3150" t="str">
        <f t="shared" si="343"/>
        <v>Tuscaloosa</v>
      </c>
      <c r="D3150" t="str">
        <f t="shared" si="344"/>
        <v>Y</v>
      </c>
      <c r="E3150" t="s">
        <v>678</v>
      </c>
      <c r="F3150" t="str">
        <f t="shared" si="345"/>
        <v>NEW DONOR -6th</v>
      </c>
      <c r="G3150" t="str">
        <f t="shared" si="346"/>
        <v>Marketing</v>
      </c>
      <c r="H3150" t="s">
        <v>560</v>
      </c>
      <c r="I3150">
        <f t="shared" si="347"/>
        <v>6</v>
      </c>
      <c r="J3150" t="s">
        <v>546</v>
      </c>
      <c r="K3150" s="5">
        <v>30</v>
      </c>
      <c r="L3150" t="str">
        <f>Table_DataFromNL[[#This Row],[PROFILECODE]]&amp;"-"&amp;Table_DataFromNL[[#This Row],[RULENAME]]</f>
        <v>CP577-New Donor 6th Visit-Bonus</v>
      </c>
      <c r="M3150" t="str">
        <f t="shared" si="348"/>
        <v>CP577-NEW DONOR -6th</v>
      </c>
    </row>
    <row r="3151" spans="1:13" x14ac:dyDescent="0.25">
      <c r="A3151" t="str">
        <f t="shared" si="349"/>
        <v>CP577-NEW DONOR -7th</v>
      </c>
      <c r="B3151" t="s">
        <v>441</v>
      </c>
      <c r="C3151" t="str">
        <f t="shared" si="343"/>
        <v>Tuscaloosa</v>
      </c>
      <c r="D3151" t="str">
        <f t="shared" si="344"/>
        <v>Y</v>
      </c>
      <c r="E3151" t="s">
        <v>678</v>
      </c>
      <c r="F3151" t="str">
        <f t="shared" si="345"/>
        <v>NEW DONOR -7th</v>
      </c>
      <c r="G3151" t="str">
        <f t="shared" si="346"/>
        <v>Marketing</v>
      </c>
      <c r="H3151" t="s">
        <v>561</v>
      </c>
      <c r="I3151">
        <f t="shared" si="347"/>
        <v>7</v>
      </c>
      <c r="J3151" t="s">
        <v>546</v>
      </c>
      <c r="K3151" s="5">
        <v>30</v>
      </c>
      <c r="L3151" t="str">
        <f>Table_DataFromNL[[#This Row],[PROFILECODE]]&amp;"-"&amp;Table_DataFromNL[[#This Row],[RULENAME]]</f>
        <v>CP577-New Donor 7th Visit-Bonus</v>
      </c>
      <c r="M3151" t="str">
        <f t="shared" si="348"/>
        <v>CP577-NEW DONOR -7th</v>
      </c>
    </row>
    <row r="3152" spans="1:13" x14ac:dyDescent="0.25">
      <c r="A3152" t="str">
        <f t="shared" si="349"/>
        <v>CP577-NEW DONOR -8th</v>
      </c>
      <c r="B3152" t="s">
        <v>441</v>
      </c>
      <c r="C3152" t="str">
        <f t="shared" si="343"/>
        <v>Tuscaloosa</v>
      </c>
      <c r="D3152" t="str">
        <f t="shared" si="344"/>
        <v>Y</v>
      </c>
      <c r="E3152" t="s">
        <v>678</v>
      </c>
      <c r="F3152" t="str">
        <f t="shared" si="345"/>
        <v>NEW DONOR -8th</v>
      </c>
      <c r="G3152" t="str">
        <f t="shared" si="346"/>
        <v>Marketing</v>
      </c>
      <c r="H3152" t="s">
        <v>562</v>
      </c>
      <c r="I3152">
        <f t="shared" si="347"/>
        <v>8</v>
      </c>
      <c r="J3152" t="s">
        <v>546</v>
      </c>
      <c r="K3152" s="5">
        <v>30</v>
      </c>
      <c r="L3152" t="str">
        <f>Table_DataFromNL[[#This Row],[PROFILECODE]]&amp;"-"&amp;Table_DataFromNL[[#This Row],[RULENAME]]</f>
        <v>CP577-New Donor 8th Visit-Bonus</v>
      </c>
      <c r="M3152" t="str">
        <f t="shared" si="348"/>
        <v>CP577-NEW DONOR -8th</v>
      </c>
    </row>
    <row r="3153" spans="1:13" x14ac:dyDescent="0.25">
      <c r="A3153" t="str">
        <f t="shared" si="349"/>
        <v>CP577-Community</v>
      </c>
      <c r="B3153" t="s">
        <v>441</v>
      </c>
      <c r="C3153" t="str">
        <f t="shared" si="343"/>
        <v>Tuscaloosa</v>
      </c>
      <c r="D3153" t="str">
        <f t="shared" si="344"/>
        <v>Y</v>
      </c>
      <c r="E3153" t="s">
        <v>678</v>
      </c>
      <c r="F3153" t="str">
        <f t="shared" si="345"/>
        <v>Community</v>
      </c>
      <c r="G3153">
        <f t="shared" si="346"/>
        <v>0</v>
      </c>
      <c r="H3153" t="s">
        <v>563</v>
      </c>
      <c r="I3153">
        <f t="shared" si="347"/>
        <v>0</v>
      </c>
      <c r="J3153" t="s">
        <v>564</v>
      </c>
      <c r="K3153" s="5">
        <v>5</v>
      </c>
      <c r="L3153" t="str">
        <f>Table_DataFromNL[[#This Row],[PROFILECODE]]&amp;"-"&amp;Table_DataFromNL[[#This Row],[RULENAME]]</f>
        <v>CP577-Community</v>
      </c>
      <c r="M3153" t="e">
        <f t="shared" si="348"/>
        <v>#N/A</v>
      </c>
    </row>
    <row r="3154" spans="1:13" x14ac:dyDescent="0.25">
      <c r="A3154" t="str">
        <f t="shared" si="349"/>
        <v>CP577-HANGER_RECRUIT_5USD_once</v>
      </c>
      <c r="B3154" t="s">
        <v>441</v>
      </c>
      <c r="C3154" t="str">
        <f t="shared" si="343"/>
        <v>Tuscaloosa</v>
      </c>
      <c r="D3154" t="str">
        <f t="shared" si="344"/>
        <v>Y</v>
      </c>
      <c r="E3154" t="s">
        <v>678</v>
      </c>
      <c r="F3154" t="str">
        <f t="shared" si="345"/>
        <v>HANGER_RECRUIT_5USD_once</v>
      </c>
      <c r="G3154">
        <f t="shared" si="346"/>
        <v>0</v>
      </c>
      <c r="H3154" t="s">
        <v>565</v>
      </c>
      <c r="I3154">
        <f t="shared" si="347"/>
        <v>0</v>
      </c>
      <c r="J3154" t="s">
        <v>564</v>
      </c>
      <c r="K3154" s="5">
        <v>5</v>
      </c>
      <c r="L3154" t="str">
        <f>Table_DataFromNL[[#This Row],[PROFILECODE]]&amp;"-"&amp;Table_DataFromNL[[#This Row],[RULENAME]]</f>
        <v>CP577-HANGER_RECRUIT_5USD_once</v>
      </c>
      <c r="M3154" t="e">
        <f t="shared" si="348"/>
        <v>#N/A</v>
      </c>
    </row>
    <row r="3155" spans="1:13" x14ac:dyDescent="0.25">
      <c r="A3155" t="str">
        <f t="shared" si="349"/>
        <v>CP577-Inconv Fee $20-$50-Comment Req'd</v>
      </c>
      <c r="B3155" t="s">
        <v>441</v>
      </c>
      <c r="C3155" t="str">
        <f t="shared" si="343"/>
        <v>Tuscaloosa</v>
      </c>
      <c r="D3155" t="str">
        <f t="shared" si="344"/>
        <v>Y</v>
      </c>
      <c r="E3155" t="s">
        <v>678</v>
      </c>
      <c r="F3155" t="str">
        <f t="shared" si="345"/>
        <v>Inconv Fee $20-$50-Comment Req'd</v>
      </c>
      <c r="G3155">
        <f t="shared" si="346"/>
        <v>0</v>
      </c>
      <c r="H3155" t="s">
        <v>566</v>
      </c>
      <c r="I3155">
        <f t="shared" si="347"/>
        <v>0</v>
      </c>
      <c r="J3155" t="s">
        <v>564</v>
      </c>
      <c r="K3155" s="5">
        <v>50</v>
      </c>
      <c r="L3155" t="str">
        <f>Table_DataFromNL[[#This Row],[PROFILECODE]]&amp;"-"&amp;Table_DataFromNL[[#This Row],[RULENAME]]</f>
        <v>CP577-Inconv Fee $20-$50-Comment Req'd</v>
      </c>
      <c r="M3155" t="e">
        <f t="shared" si="348"/>
        <v>#N/A</v>
      </c>
    </row>
    <row r="3156" spans="1:13" x14ac:dyDescent="0.25">
      <c r="A3156" t="str">
        <f t="shared" si="349"/>
        <v>CP577-Inconv Fee $5-$20-Comment Req'd</v>
      </c>
      <c r="B3156" t="s">
        <v>441</v>
      </c>
      <c r="C3156" t="str">
        <f t="shared" si="343"/>
        <v>Tuscaloosa</v>
      </c>
      <c r="D3156" t="str">
        <f t="shared" si="344"/>
        <v>Y</v>
      </c>
      <c r="E3156" t="s">
        <v>678</v>
      </c>
      <c r="F3156" t="str">
        <f t="shared" si="345"/>
        <v>Inconv Fee $5-$20-Comment Req'd</v>
      </c>
      <c r="G3156">
        <f t="shared" si="346"/>
        <v>0</v>
      </c>
      <c r="H3156" t="s">
        <v>567</v>
      </c>
      <c r="I3156">
        <f t="shared" si="347"/>
        <v>0</v>
      </c>
      <c r="J3156" t="s">
        <v>564</v>
      </c>
      <c r="K3156" s="5">
        <v>20</v>
      </c>
      <c r="L3156" t="str">
        <f>Table_DataFromNL[[#This Row],[PROFILECODE]]&amp;"-"&amp;Table_DataFromNL[[#This Row],[RULENAME]]</f>
        <v>CP577-Inconv Fee $5-$20-Comment Req'd</v>
      </c>
      <c r="M3156" t="e">
        <f t="shared" si="348"/>
        <v>#N/A</v>
      </c>
    </row>
    <row r="3157" spans="1:13" x14ac:dyDescent="0.25">
      <c r="A3157" t="str">
        <f t="shared" si="349"/>
        <v>CP577-Inconv Fee$50-$100-Comment Req'd</v>
      </c>
      <c r="B3157" t="s">
        <v>441</v>
      </c>
      <c r="C3157" t="str">
        <f t="shared" si="343"/>
        <v>Tuscaloosa</v>
      </c>
      <c r="D3157" t="str">
        <f t="shared" si="344"/>
        <v>Y</v>
      </c>
      <c r="E3157" t="s">
        <v>678</v>
      </c>
      <c r="F3157" t="str">
        <f t="shared" si="345"/>
        <v>Inconv Fee$50-$100-Comment Req'd</v>
      </c>
      <c r="G3157">
        <f t="shared" si="346"/>
        <v>0</v>
      </c>
      <c r="H3157" t="s">
        <v>568</v>
      </c>
      <c r="I3157">
        <f t="shared" si="347"/>
        <v>0</v>
      </c>
      <c r="J3157" t="s">
        <v>564</v>
      </c>
      <c r="K3157" s="5">
        <v>100</v>
      </c>
      <c r="L3157" t="str">
        <f>Table_DataFromNL[[#This Row],[PROFILECODE]]&amp;"-"&amp;Table_DataFromNL[[#This Row],[RULENAME]]</f>
        <v>CP577-Inconv Fee$50-$100-Comment Req'd</v>
      </c>
      <c r="M3157" t="e">
        <f t="shared" si="348"/>
        <v>#N/A</v>
      </c>
    </row>
    <row r="3158" spans="1:13" x14ac:dyDescent="0.25">
      <c r="A3158" t="str">
        <f t="shared" si="349"/>
        <v>CP577-NSP_ LAPSEDONOR_50_Twice</v>
      </c>
      <c r="B3158" t="s">
        <v>441</v>
      </c>
      <c r="C3158" t="str">
        <f t="shared" si="343"/>
        <v>Tuscaloosa</v>
      </c>
      <c r="D3158" t="str">
        <f t="shared" si="344"/>
        <v>Y</v>
      </c>
      <c r="E3158" t="s">
        <v>678</v>
      </c>
      <c r="F3158" t="str">
        <f t="shared" si="345"/>
        <v>NSP_ LAPSEDONOR_50_Twice</v>
      </c>
      <c r="G3158">
        <f t="shared" si="346"/>
        <v>0</v>
      </c>
      <c r="H3158" t="s">
        <v>569</v>
      </c>
      <c r="I3158">
        <f t="shared" si="347"/>
        <v>0</v>
      </c>
      <c r="J3158" t="s">
        <v>564</v>
      </c>
      <c r="K3158" s="5">
        <v>50</v>
      </c>
      <c r="L3158" t="str">
        <f>Table_DataFromNL[[#This Row],[PROFILECODE]]&amp;"-"&amp;Table_DataFromNL[[#This Row],[RULENAME]]</f>
        <v>CP577-NSP_ LAPSEDONOR_50_Twice</v>
      </c>
      <c r="M3158" t="e">
        <f t="shared" si="348"/>
        <v>#N/A</v>
      </c>
    </row>
    <row r="3159" spans="1:13" x14ac:dyDescent="0.25">
      <c r="A3159" t="str">
        <f t="shared" si="349"/>
        <v>CP577-NSP_LD_25_2X</v>
      </c>
      <c r="B3159" t="s">
        <v>441</v>
      </c>
      <c r="C3159" t="str">
        <f t="shared" si="343"/>
        <v>Tuscaloosa</v>
      </c>
      <c r="D3159" t="str">
        <f t="shared" si="344"/>
        <v>Y</v>
      </c>
      <c r="E3159" t="s">
        <v>678</v>
      </c>
      <c r="F3159" t="str">
        <f t="shared" si="345"/>
        <v>NSP_LD_25_2X</v>
      </c>
      <c r="G3159">
        <f t="shared" si="346"/>
        <v>0</v>
      </c>
      <c r="H3159" t="s">
        <v>570</v>
      </c>
      <c r="I3159">
        <f t="shared" si="347"/>
        <v>0</v>
      </c>
      <c r="J3159" t="s">
        <v>564</v>
      </c>
      <c r="K3159" s="5">
        <v>25</v>
      </c>
      <c r="L3159" t="str">
        <f>Table_DataFromNL[[#This Row],[PROFILECODE]]&amp;"-"&amp;Table_DataFromNL[[#This Row],[RULENAME]]</f>
        <v>CP577-NSP_LD_25_2X</v>
      </c>
      <c r="M3159" t="e">
        <f t="shared" si="348"/>
        <v>#N/A</v>
      </c>
    </row>
    <row r="3160" spans="1:13" x14ac:dyDescent="0.25">
      <c r="A3160" t="str">
        <f t="shared" si="349"/>
        <v>CP577-NSP_LD_50_1X</v>
      </c>
      <c r="B3160" t="s">
        <v>441</v>
      </c>
      <c r="C3160" t="str">
        <f t="shared" si="343"/>
        <v>Tuscaloosa</v>
      </c>
      <c r="D3160" t="str">
        <f t="shared" si="344"/>
        <v>Y</v>
      </c>
      <c r="E3160" t="s">
        <v>678</v>
      </c>
      <c r="F3160" t="str">
        <f t="shared" si="345"/>
        <v>NSP_LD_50_1X</v>
      </c>
      <c r="G3160">
        <f t="shared" si="346"/>
        <v>0</v>
      </c>
      <c r="H3160" t="s">
        <v>571</v>
      </c>
      <c r="I3160">
        <f t="shared" si="347"/>
        <v>0</v>
      </c>
      <c r="J3160" t="s">
        <v>564</v>
      </c>
      <c r="K3160" s="5">
        <v>50</v>
      </c>
      <c r="L3160" t="str">
        <f>Table_DataFromNL[[#This Row],[PROFILECODE]]&amp;"-"&amp;Table_DataFromNL[[#This Row],[RULENAME]]</f>
        <v>CP577-NSP_LD_50_1X</v>
      </c>
      <c r="M3160" t="e">
        <f t="shared" si="348"/>
        <v>#N/A</v>
      </c>
    </row>
    <row r="3161" spans="1:13" x14ac:dyDescent="0.25">
      <c r="A3161" t="str">
        <f t="shared" si="349"/>
        <v>CP577-NSP_ORPHAN_100_once</v>
      </c>
      <c r="B3161" t="s">
        <v>441</v>
      </c>
      <c r="C3161" t="str">
        <f t="shared" si="343"/>
        <v>Tuscaloosa</v>
      </c>
      <c r="D3161" t="str">
        <f t="shared" si="344"/>
        <v>Y</v>
      </c>
      <c r="E3161" t="s">
        <v>678</v>
      </c>
      <c r="F3161" t="str">
        <f t="shared" si="345"/>
        <v>NSP_ORPHAN_100_once</v>
      </c>
      <c r="G3161">
        <f t="shared" si="346"/>
        <v>0</v>
      </c>
      <c r="H3161" t="s">
        <v>572</v>
      </c>
      <c r="I3161">
        <f t="shared" si="347"/>
        <v>0</v>
      </c>
      <c r="J3161" t="s">
        <v>564</v>
      </c>
      <c r="K3161" s="5">
        <v>100</v>
      </c>
      <c r="L3161" t="str">
        <f>Table_DataFromNL[[#This Row],[PROFILECODE]]&amp;"-"&amp;Table_DataFromNL[[#This Row],[RULENAME]]</f>
        <v>CP577-NSP_ORPHAN_100_once</v>
      </c>
      <c r="M3161" t="e">
        <f t="shared" si="348"/>
        <v>#N/A</v>
      </c>
    </row>
    <row r="3162" spans="1:13" x14ac:dyDescent="0.25">
      <c r="A3162" t="str">
        <f t="shared" si="349"/>
        <v>CP577-Restick</v>
      </c>
      <c r="B3162" t="s">
        <v>441</v>
      </c>
      <c r="C3162" t="str">
        <f t="shared" si="343"/>
        <v>Tuscaloosa</v>
      </c>
      <c r="D3162" t="str">
        <f t="shared" si="344"/>
        <v>Y</v>
      </c>
      <c r="E3162" t="s">
        <v>678</v>
      </c>
      <c r="F3162" t="str">
        <f t="shared" si="345"/>
        <v>Restick</v>
      </c>
      <c r="G3162">
        <f t="shared" si="346"/>
        <v>0</v>
      </c>
      <c r="H3162" t="s">
        <v>573</v>
      </c>
      <c r="I3162">
        <f t="shared" si="347"/>
        <v>0</v>
      </c>
      <c r="J3162" t="s">
        <v>564</v>
      </c>
      <c r="K3162" s="5">
        <v>5</v>
      </c>
      <c r="L3162" t="str">
        <f>Table_DataFromNL[[#This Row],[PROFILECODE]]&amp;"-"&amp;Table_DataFromNL[[#This Row],[RULENAME]]</f>
        <v>CP577-Restick</v>
      </c>
      <c r="M3162" t="e">
        <f t="shared" si="348"/>
        <v>#N/A</v>
      </c>
    </row>
    <row r="3163" spans="1:13" x14ac:dyDescent="0.25">
      <c r="A3163" t="str">
        <f t="shared" si="349"/>
        <v>CP577-SLOW_TEXT_5</v>
      </c>
      <c r="B3163" t="s">
        <v>441</v>
      </c>
      <c r="C3163" t="str">
        <f t="shared" si="343"/>
        <v>Tuscaloosa</v>
      </c>
      <c r="D3163" t="str">
        <f t="shared" si="344"/>
        <v>Y</v>
      </c>
      <c r="E3163" t="s">
        <v>678</v>
      </c>
      <c r="F3163" t="str">
        <f t="shared" si="345"/>
        <v>SLOW_TEXT_5</v>
      </c>
      <c r="G3163">
        <f t="shared" si="346"/>
        <v>0</v>
      </c>
      <c r="H3163" t="s">
        <v>574</v>
      </c>
      <c r="I3163">
        <f t="shared" si="347"/>
        <v>0</v>
      </c>
      <c r="J3163" t="s">
        <v>564</v>
      </c>
      <c r="K3163" s="5">
        <v>5</v>
      </c>
      <c r="L3163" t="str">
        <f>Table_DataFromNL[[#This Row],[PROFILECODE]]&amp;"-"&amp;Table_DataFromNL[[#This Row],[RULENAME]]</f>
        <v>CP577-SLOW_TEXT_5</v>
      </c>
      <c r="M3163" t="e">
        <f t="shared" si="348"/>
        <v>#N/A</v>
      </c>
    </row>
    <row r="3164" spans="1:13" x14ac:dyDescent="0.25">
      <c r="A3164" t="str">
        <f t="shared" si="349"/>
        <v>CP577-Sample Only</v>
      </c>
      <c r="B3164" t="s">
        <v>441</v>
      </c>
      <c r="C3164" t="str">
        <f t="shared" si="343"/>
        <v>Tuscaloosa</v>
      </c>
      <c r="D3164" t="str">
        <f t="shared" si="344"/>
        <v>Y</v>
      </c>
      <c r="E3164" t="s">
        <v>678</v>
      </c>
      <c r="F3164" t="str">
        <f t="shared" si="345"/>
        <v>Sample Only</v>
      </c>
      <c r="G3164">
        <f t="shared" si="346"/>
        <v>0</v>
      </c>
      <c r="H3164" t="s">
        <v>575</v>
      </c>
      <c r="I3164">
        <f t="shared" si="347"/>
        <v>0</v>
      </c>
      <c r="J3164" t="s">
        <v>564</v>
      </c>
      <c r="K3164" s="5">
        <v>5</v>
      </c>
      <c r="L3164" t="str">
        <f>Table_DataFromNL[[#This Row],[PROFILECODE]]&amp;"-"&amp;Table_DataFromNL[[#This Row],[RULENAME]]</f>
        <v>CP577-Sample Only</v>
      </c>
      <c r="M3164" t="e">
        <f t="shared" si="348"/>
        <v>#N/A</v>
      </c>
    </row>
    <row r="3165" spans="1:13" x14ac:dyDescent="0.25">
      <c r="A3165" t="str">
        <f t="shared" si="349"/>
        <v>CP577-Unit Below 250 mL</v>
      </c>
      <c r="B3165" t="s">
        <v>441</v>
      </c>
      <c r="C3165" t="str">
        <f t="shared" si="343"/>
        <v>Tuscaloosa</v>
      </c>
      <c r="D3165" t="str">
        <f t="shared" si="344"/>
        <v>Y</v>
      </c>
      <c r="E3165" t="s">
        <v>678</v>
      </c>
      <c r="F3165" t="str">
        <f t="shared" si="345"/>
        <v>Unit Below 250 mL</v>
      </c>
      <c r="G3165">
        <f t="shared" si="346"/>
        <v>0</v>
      </c>
      <c r="H3165" t="s">
        <v>576</v>
      </c>
      <c r="I3165">
        <f t="shared" si="347"/>
        <v>0</v>
      </c>
      <c r="J3165" t="s">
        <v>564</v>
      </c>
      <c r="K3165" s="5">
        <v>5</v>
      </c>
      <c r="L3165" t="str">
        <f>Table_DataFromNL[[#This Row],[PROFILECODE]]&amp;"-"&amp;Table_DataFromNL[[#This Row],[RULENAME]]</f>
        <v>CP577-Unit Below 250 mL</v>
      </c>
      <c r="M3165" t="e">
        <f t="shared" si="348"/>
        <v>#N/A</v>
      </c>
    </row>
    <row r="3166" spans="1:13" x14ac:dyDescent="0.25">
      <c r="A3166" t="str">
        <f t="shared" si="349"/>
        <v>CP577-Unit above 250 mL/underdraw</v>
      </c>
      <c r="B3166" t="s">
        <v>441</v>
      </c>
      <c r="C3166" t="str">
        <f t="shared" si="343"/>
        <v>Tuscaloosa</v>
      </c>
      <c r="D3166" t="str">
        <f t="shared" si="344"/>
        <v>Y</v>
      </c>
      <c r="E3166" t="s">
        <v>678</v>
      </c>
      <c r="F3166" t="str">
        <f t="shared" si="345"/>
        <v>Unit above 250 mL/underdraw</v>
      </c>
      <c r="G3166">
        <f t="shared" si="346"/>
        <v>0</v>
      </c>
      <c r="H3166" t="s">
        <v>577</v>
      </c>
      <c r="I3166">
        <f t="shared" si="347"/>
        <v>0</v>
      </c>
      <c r="J3166" t="s">
        <v>564</v>
      </c>
      <c r="K3166" s="5">
        <v>10</v>
      </c>
      <c r="L3166" t="str">
        <f>Table_DataFromNL[[#This Row],[PROFILECODE]]&amp;"-"&amp;Table_DataFromNL[[#This Row],[RULENAME]]</f>
        <v>CP577-Unit above 250 mL/underdraw</v>
      </c>
      <c r="M3166" t="e">
        <f t="shared" si="348"/>
        <v>#N/A</v>
      </c>
    </row>
    <row r="3167" spans="1:13" x14ac:dyDescent="0.25">
      <c r="A3167" t="str">
        <f t="shared" si="349"/>
        <v>CP577-RETURN - Buddy referral  -BONUS</v>
      </c>
      <c r="B3167" t="s">
        <v>441</v>
      </c>
      <c r="C3167" t="str">
        <f t="shared" si="343"/>
        <v>Tuscaloosa</v>
      </c>
      <c r="D3167" t="str">
        <f t="shared" si="344"/>
        <v>Y</v>
      </c>
      <c r="E3167" t="s">
        <v>678</v>
      </c>
      <c r="F3167" t="str">
        <f t="shared" si="345"/>
        <v>RETURN - Buddy referral  -BONUS</v>
      </c>
      <c r="G3167" t="str">
        <f t="shared" si="346"/>
        <v>Marketing</v>
      </c>
      <c r="H3167" t="s">
        <v>34</v>
      </c>
      <c r="I3167">
        <f t="shared" si="347"/>
        <v>50</v>
      </c>
      <c r="J3167" t="s">
        <v>578</v>
      </c>
      <c r="K3167" s="5">
        <v>50</v>
      </c>
      <c r="L3167" t="str">
        <f>Table_DataFromNL[[#This Row],[PROFILECODE]]&amp;"-"&amp;Table_DataFromNL[[#This Row],[RULENAME]]</f>
        <v>CP577-Referral</v>
      </c>
      <c r="M3167" t="str">
        <f t="shared" si="348"/>
        <v>CP577-RETURN - Buddy referral  -BONUS</v>
      </c>
    </row>
    <row r="3168" spans="1:13" x14ac:dyDescent="0.25">
      <c r="A3168" t="str">
        <f t="shared" si="349"/>
        <v>CP577-P Anti-D Pre-Existing Standard</v>
      </c>
      <c r="B3168" t="s">
        <v>441</v>
      </c>
      <c r="C3168" t="str">
        <f t="shared" si="343"/>
        <v>Tuscaloosa</v>
      </c>
      <c r="D3168" t="str">
        <f t="shared" si="344"/>
        <v>Y</v>
      </c>
      <c r="E3168" t="s">
        <v>678</v>
      </c>
      <c r="F3168" t="str">
        <f t="shared" si="345"/>
        <v>P Anti-D Pre-Existing Standard</v>
      </c>
      <c r="G3168" t="str">
        <f t="shared" si="346"/>
        <v>Specialty</v>
      </c>
      <c r="H3168" t="s">
        <v>469</v>
      </c>
      <c r="I3168" t="str">
        <f t="shared" si="347"/>
        <v>RETURN - 1st don of the week -STD</v>
      </c>
      <c r="J3168" t="s">
        <v>579</v>
      </c>
      <c r="K3168" s="5">
        <v>50</v>
      </c>
      <c r="L3168" t="str">
        <f>Table_DataFromNL[[#This Row],[PROFILECODE]]&amp;"-"&amp;Table_DataFromNL[[#This Row],[RULENAME]]</f>
        <v>CP577-P Anti-D Pre-Existing Standard</v>
      </c>
      <c r="M3168" t="str">
        <f t="shared" si="348"/>
        <v>CP577-P Anti-D Pre-Existing Standard</v>
      </c>
    </row>
    <row r="3169" spans="1:13" x14ac:dyDescent="0.25">
      <c r="A3169" t="str">
        <f t="shared" si="349"/>
        <v>CP577-RETURN - 1st don of the week -STD</v>
      </c>
      <c r="B3169" t="s">
        <v>441</v>
      </c>
      <c r="C3169" t="str">
        <f t="shared" si="343"/>
        <v>Tuscaloosa</v>
      </c>
      <c r="D3169" t="str">
        <f t="shared" si="344"/>
        <v>Y</v>
      </c>
      <c r="E3169" t="s">
        <v>678</v>
      </c>
      <c r="F3169" t="str">
        <f t="shared" si="345"/>
        <v>RETURN - 1st don of the week -STD</v>
      </c>
      <c r="G3169" t="str">
        <f t="shared" si="346"/>
        <v>Marketing</v>
      </c>
      <c r="H3169" t="s">
        <v>607</v>
      </c>
      <c r="I3169">
        <f t="shared" si="347"/>
        <v>21</v>
      </c>
      <c r="J3169" t="s">
        <v>579</v>
      </c>
      <c r="K3169" s="5">
        <v>30</v>
      </c>
      <c r="L3169" t="str">
        <f>Table_DataFromNL[[#This Row],[PROFILECODE]]&amp;"-"&amp;Table_DataFromNL[[#This Row],[RULENAME]]</f>
        <v>CP577-P Normal Source PL Standard</v>
      </c>
      <c r="M3169" t="str">
        <f t="shared" si="348"/>
        <v>CP577-RETURN - 1st don of the week -STD</v>
      </c>
    </row>
    <row r="3170" spans="1:13" x14ac:dyDescent="0.25">
      <c r="A3170" t="str">
        <f t="shared" si="349"/>
        <v>CP136-1st Responder-Medical</v>
      </c>
      <c r="B3170" t="s">
        <v>361</v>
      </c>
      <c r="C3170" t="str">
        <f t="shared" si="343"/>
        <v>Urbana</v>
      </c>
      <c r="D3170" t="str">
        <f t="shared" si="344"/>
        <v>Y</v>
      </c>
      <c r="E3170" t="s">
        <v>679</v>
      </c>
      <c r="F3170" t="str">
        <f t="shared" si="345"/>
        <v>1st Responder-Medical</v>
      </c>
      <c r="G3170">
        <f t="shared" si="346"/>
        <v>0</v>
      </c>
      <c r="H3170" t="s">
        <v>545</v>
      </c>
      <c r="I3170">
        <f t="shared" si="347"/>
        <v>0</v>
      </c>
      <c r="J3170" t="s">
        <v>546</v>
      </c>
      <c r="K3170" s="5">
        <v>5</v>
      </c>
      <c r="L3170" t="str">
        <f>Table_DataFromNL[[#This Row],[PROFILECODE]]&amp;"-"&amp;Table_DataFromNL[[#This Row],[RULENAME]]</f>
        <v>CP136-1st Responder-Medical</v>
      </c>
      <c r="M3170" t="e">
        <f t="shared" si="348"/>
        <v>#N/A</v>
      </c>
    </row>
    <row r="3171" spans="1:13" x14ac:dyDescent="0.25">
      <c r="A3171" t="str">
        <f t="shared" si="349"/>
        <v>CP136-RETURN - 2nd don of the week -BONUS</v>
      </c>
      <c r="B3171" t="s">
        <v>361</v>
      </c>
      <c r="C3171" t="str">
        <f t="shared" si="343"/>
        <v>Urbana</v>
      </c>
      <c r="D3171" t="str">
        <f t="shared" si="344"/>
        <v>Y</v>
      </c>
      <c r="E3171" t="s">
        <v>679</v>
      </c>
      <c r="F3171" t="str">
        <f t="shared" si="345"/>
        <v>RETURN - 2nd don of the week -BONUS</v>
      </c>
      <c r="G3171" t="str">
        <f t="shared" si="346"/>
        <v>Marketing</v>
      </c>
      <c r="H3171" t="s">
        <v>550</v>
      </c>
      <c r="I3171">
        <f t="shared" si="347"/>
        <v>26</v>
      </c>
      <c r="J3171" t="s">
        <v>546</v>
      </c>
      <c r="K3171" s="5">
        <v>40</v>
      </c>
      <c r="L3171" t="str">
        <f>Table_DataFromNL[[#This Row],[PROFILECODE]]&amp;"-"&amp;Table_DataFromNL[[#This Row],[RULENAME]]</f>
        <v>CP136-2X Week P NSP NS</v>
      </c>
      <c r="M3171" t="str">
        <f t="shared" si="348"/>
        <v>CP136-RETURN - 2nd don of the week -BONUS</v>
      </c>
    </row>
    <row r="3172" spans="1:13" x14ac:dyDescent="0.25">
      <c r="A3172" t="str">
        <f t="shared" si="349"/>
        <v>CP136-RETURN - 2nd don of the week -BONUS</v>
      </c>
      <c r="B3172" t="s">
        <v>361</v>
      </c>
      <c r="C3172" t="str">
        <f t="shared" si="343"/>
        <v>Urbana</v>
      </c>
      <c r="D3172" t="str">
        <f t="shared" si="344"/>
        <v>Y</v>
      </c>
      <c r="E3172" t="s">
        <v>679</v>
      </c>
      <c r="F3172" t="str">
        <f t="shared" si="345"/>
        <v>RETURN - 2nd don of the week -BONUS</v>
      </c>
      <c r="G3172" t="str">
        <f t="shared" si="346"/>
        <v>Marketing</v>
      </c>
      <c r="H3172" t="s">
        <v>551</v>
      </c>
      <c r="I3172" t="str">
        <f t="shared" si="347"/>
        <v>RETURN - 2nd don of the week -BONUS</v>
      </c>
      <c r="J3172" t="s">
        <v>546</v>
      </c>
      <c r="K3172" s="5">
        <v>40</v>
      </c>
      <c r="L3172" t="str">
        <f>Table_DataFromNL[[#This Row],[PROFILECODE]]&amp;"-"&amp;Table_DataFromNL[[#This Row],[RULENAME]]</f>
        <v>CP136-2X Week P NSP NS AP</v>
      </c>
      <c r="M3172" t="str">
        <f t="shared" si="348"/>
        <v>CP136-RETURN - 2nd don of the week -BONUS</v>
      </c>
    </row>
    <row r="3173" spans="1:13" x14ac:dyDescent="0.25">
      <c r="A3173" t="str">
        <f t="shared" si="349"/>
        <v>CP136-RETURN - 6th don of the month -BONUS</v>
      </c>
      <c r="B3173" t="s">
        <v>361</v>
      </c>
      <c r="C3173" t="str">
        <f t="shared" si="343"/>
        <v>Urbana</v>
      </c>
      <c r="D3173" t="str">
        <f t="shared" si="344"/>
        <v>Y</v>
      </c>
      <c r="E3173" t="s">
        <v>679</v>
      </c>
      <c r="F3173" t="str">
        <f t="shared" si="345"/>
        <v>RETURN - 6th don of the month -BONUS</v>
      </c>
      <c r="G3173" t="str">
        <f t="shared" si="346"/>
        <v>Marketing</v>
      </c>
      <c r="H3173" t="s">
        <v>552</v>
      </c>
      <c r="I3173">
        <f t="shared" si="347"/>
        <v>28</v>
      </c>
      <c r="J3173" t="s">
        <v>546</v>
      </c>
      <c r="K3173" s="5">
        <v>30</v>
      </c>
      <c r="L3173" t="str">
        <f>Table_DataFromNL[[#This Row],[PROFILECODE]]&amp;"-"&amp;Table_DataFromNL[[#This Row],[RULENAME]]</f>
        <v>CP136-6X Month</v>
      </c>
      <c r="M3173" t="str">
        <f t="shared" si="348"/>
        <v>CP136-RETURN - 6th don of the month -BONUS</v>
      </c>
    </row>
    <row r="3174" spans="1:13" x14ac:dyDescent="0.25">
      <c r="A3174" t="str">
        <f t="shared" si="349"/>
        <v>CP136-College ID Standard Bonus</v>
      </c>
      <c r="B3174" t="s">
        <v>361</v>
      </c>
      <c r="C3174" t="str">
        <f t="shared" si="343"/>
        <v>Urbana</v>
      </c>
      <c r="D3174" t="str">
        <f t="shared" si="344"/>
        <v>Y</v>
      </c>
      <c r="E3174" t="s">
        <v>679</v>
      </c>
      <c r="F3174" t="str">
        <f t="shared" si="345"/>
        <v>College ID Standard Bonus</v>
      </c>
      <c r="G3174">
        <f t="shared" si="346"/>
        <v>0</v>
      </c>
      <c r="H3174" t="s">
        <v>553</v>
      </c>
      <c r="I3174">
        <f t="shared" si="347"/>
        <v>0</v>
      </c>
      <c r="J3174" t="s">
        <v>546</v>
      </c>
      <c r="K3174" s="5">
        <v>5</v>
      </c>
      <c r="L3174" t="str">
        <f>Table_DataFromNL[[#This Row],[PROFILECODE]]&amp;"-"&amp;Table_DataFromNL[[#This Row],[RULENAME]]</f>
        <v>CP136-College ID Standard Bonus</v>
      </c>
      <c r="M3174" t="e">
        <f t="shared" si="348"/>
        <v>#N/A</v>
      </c>
    </row>
    <row r="3175" spans="1:13" x14ac:dyDescent="0.25">
      <c r="A3175" t="str">
        <f t="shared" si="349"/>
        <v>CP136-Military ID</v>
      </c>
      <c r="B3175" t="s">
        <v>361</v>
      </c>
      <c r="C3175" t="str">
        <f t="shared" si="343"/>
        <v>Urbana</v>
      </c>
      <c r="D3175" t="str">
        <f t="shared" si="344"/>
        <v>Y</v>
      </c>
      <c r="E3175" t="s">
        <v>679</v>
      </c>
      <c r="F3175" t="str">
        <f t="shared" si="345"/>
        <v>Military ID</v>
      </c>
      <c r="G3175">
        <f t="shared" si="346"/>
        <v>0</v>
      </c>
      <c r="H3175" t="s">
        <v>554</v>
      </c>
      <c r="I3175">
        <f t="shared" si="347"/>
        <v>0</v>
      </c>
      <c r="J3175" t="s">
        <v>546</v>
      </c>
      <c r="K3175" s="5">
        <v>5</v>
      </c>
      <c r="L3175" t="str">
        <f>Table_DataFromNL[[#This Row],[PROFILECODE]]&amp;"-"&amp;Table_DataFromNL[[#This Row],[RULENAME]]</f>
        <v>CP136-Military ID</v>
      </c>
      <c r="M3175" t="e">
        <f t="shared" si="348"/>
        <v>#N/A</v>
      </c>
    </row>
    <row r="3176" spans="1:13" x14ac:dyDescent="0.25">
      <c r="A3176" t="str">
        <f t="shared" si="349"/>
        <v>CP136-NEW DONOR -1st</v>
      </c>
      <c r="B3176" t="s">
        <v>361</v>
      </c>
      <c r="C3176" t="str">
        <f t="shared" si="343"/>
        <v>Urbana</v>
      </c>
      <c r="D3176" t="str">
        <f t="shared" si="344"/>
        <v>Y</v>
      </c>
      <c r="E3176" t="s">
        <v>679</v>
      </c>
      <c r="F3176" t="str">
        <f t="shared" si="345"/>
        <v>NEW DONOR -1st</v>
      </c>
      <c r="G3176" t="str">
        <f t="shared" si="346"/>
        <v>Marketing</v>
      </c>
      <c r="H3176" t="s">
        <v>555</v>
      </c>
      <c r="I3176">
        <f t="shared" si="347"/>
        <v>1</v>
      </c>
      <c r="J3176" t="s">
        <v>546</v>
      </c>
      <c r="K3176" s="5">
        <v>125</v>
      </c>
      <c r="L3176" t="str">
        <f>Table_DataFromNL[[#This Row],[PROFILECODE]]&amp;"-"&amp;Table_DataFromNL[[#This Row],[RULENAME]]</f>
        <v>CP136-New Donor 1st Visit-Bonus</v>
      </c>
      <c r="M3176" t="str">
        <f t="shared" si="348"/>
        <v>CP136-NEW DONOR -1st</v>
      </c>
    </row>
    <row r="3177" spans="1:13" x14ac:dyDescent="0.25">
      <c r="A3177" t="str">
        <f t="shared" si="349"/>
        <v>CP136-NEW DONOR -2nd</v>
      </c>
      <c r="B3177" t="s">
        <v>361</v>
      </c>
      <c r="C3177" t="str">
        <f t="shared" si="343"/>
        <v>Urbana</v>
      </c>
      <c r="D3177" t="str">
        <f t="shared" si="344"/>
        <v>Y</v>
      </c>
      <c r="E3177" t="s">
        <v>679</v>
      </c>
      <c r="F3177" t="str">
        <f t="shared" si="345"/>
        <v>NEW DONOR -2nd</v>
      </c>
      <c r="G3177" t="str">
        <f t="shared" si="346"/>
        <v>Marketing</v>
      </c>
      <c r="H3177" t="s">
        <v>556</v>
      </c>
      <c r="I3177">
        <f t="shared" si="347"/>
        <v>2</v>
      </c>
      <c r="J3177" t="s">
        <v>546</v>
      </c>
      <c r="K3177" s="5">
        <v>125</v>
      </c>
      <c r="L3177" t="str">
        <f>Table_DataFromNL[[#This Row],[PROFILECODE]]&amp;"-"&amp;Table_DataFromNL[[#This Row],[RULENAME]]</f>
        <v>CP136-New Donor 2nd Visit-Bonus</v>
      </c>
      <c r="M3177" t="str">
        <f t="shared" si="348"/>
        <v>CP136-NEW DONOR -2nd</v>
      </c>
    </row>
    <row r="3178" spans="1:13" x14ac:dyDescent="0.25">
      <c r="A3178" t="str">
        <f t="shared" si="349"/>
        <v>CP136-NEW DONOR -3rd</v>
      </c>
      <c r="B3178" t="s">
        <v>361</v>
      </c>
      <c r="C3178" t="str">
        <f t="shared" si="343"/>
        <v>Urbana</v>
      </c>
      <c r="D3178" t="str">
        <f t="shared" si="344"/>
        <v>Y</v>
      </c>
      <c r="E3178" t="s">
        <v>679</v>
      </c>
      <c r="F3178" t="str">
        <f t="shared" si="345"/>
        <v>NEW DONOR -3rd</v>
      </c>
      <c r="G3178" t="str">
        <f t="shared" si="346"/>
        <v>Marketing</v>
      </c>
      <c r="H3178" t="s">
        <v>557</v>
      </c>
      <c r="I3178">
        <f t="shared" si="347"/>
        <v>3</v>
      </c>
      <c r="J3178" t="s">
        <v>546</v>
      </c>
      <c r="K3178" s="5">
        <v>125</v>
      </c>
      <c r="L3178" t="str">
        <f>Table_DataFromNL[[#This Row],[PROFILECODE]]&amp;"-"&amp;Table_DataFromNL[[#This Row],[RULENAME]]</f>
        <v>CP136-New Donor 3rd Visit-Bonus</v>
      </c>
      <c r="M3178" t="str">
        <f t="shared" si="348"/>
        <v>CP136-NEW DONOR -3rd</v>
      </c>
    </row>
    <row r="3179" spans="1:13" x14ac:dyDescent="0.25">
      <c r="A3179" t="str">
        <f t="shared" si="349"/>
        <v>CP136-NEW DONOR -4th</v>
      </c>
      <c r="B3179" t="s">
        <v>361</v>
      </c>
      <c r="C3179" t="str">
        <f t="shared" si="343"/>
        <v>Urbana</v>
      </c>
      <c r="D3179" t="str">
        <f t="shared" si="344"/>
        <v>Y</v>
      </c>
      <c r="E3179" t="s">
        <v>679</v>
      </c>
      <c r="F3179" t="str">
        <f t="shared" si="345"/>
        <v>NEW DONOR -4th</v>
      </c>
      <c r="G3179" t="str">
        <f t="shared" si="346"/>
        <v>Marketing</v>
      </c>
      <c r="H3179" t="s">
        <v>558</v>
      </c>
      <c r="I3179">
        <f t="shared" si="347"/>
        <v>4</v>
      </c>
      <c r="J3179" t="s">
        <v>546</v>
      </c>
      <c r="K3179" s="5">
        <v>125</v>
      </c>
      <c r="L3179" t="str">
        <f>Table_DataFromNL[[#This Row],[PROFILECODE]]&amp;"-"&amp;Table_DataFromNL[[#This Row],[RULENAME]]</f>
        <v>CP136-New Donor 4th Visit-Bonus</v>
      </c>
      <c r="M3179" t="str">
        <f t="shared" si="348"/>
        <v>CP136-NEW DONOR -4th</v>
      </c>
    </row>
    <row r="3180" spans="1:13" x14ac:dyDescent="0.25">
      <c r="A3180" t="str">
        <f t="shared" si="349"/>
        <v>CP136-NEW DONOR -5th</v>
      </c>
      <c r="B3180" t="s">
        <v>361</v>
      </c>
      <c r="C3180" t="str">
        <f t="shared" si="343"/>
        <v>Urbana</v>
      </c>
      <c r="D3180" t="str">
        <f t="shared" si="344"/>
        <v>Y</v>
      </c>
      <c r="E3180" t="s">
        <v>679</v>
      </c>
      <c r="F3180" t="str">
        <f t="shared" si="345"/>
        <v>NEW DONOR -5th</v>
      </c>
      <c r="G3180" t="str">
        <f t="shared" si="346"/>
        <v>Marketing</v>
      </c>
      <c r="H3180" t="s">
        <v>559</v>
      </c>
      <c r="I3180">
        <f t="shared" si="347"/>
        <v>5</v>
      </c>
      <c r="J3180" t="s">
        <v>546</v>
      </c>
      <c r="K3180" s="5">
        <v>125</v>
      </c>
      <c r="L3180" t="str">
        <f>Table_DataFromNL[[#This Row],[PROFILECODE]]&amp;"-"&amp;Table_DataFromNL[[#This Row],[RULENAME]]</f>
        <v>CP136-New Donor 5th Visit-Bonus</v>
      </c>
      <c r="M3180" t="str">
        <f t="shared" si="348"/>
        <v>CP136-NEW DONOR -5th</v>
      </c>
    </row>
    <row r="3181" spans="1:13" x14ac:dyDescent="0.25">
      <c r="A3181" t="str">
        <f t="shared" si="349"/>
        <v>CP136-NEW DONOR -6th</v>
      </c>
      <c r="B3181" t="s">
        <v>361</v>
      </c>
      <c r="C3181" t="str">
        <f t="shared" si="343"/>
        <v>Urbana</v>
      </c>
      <c r="D3181" t="str">
        <f t="shared" si="344"/>
        <v>Y</v>
      </c>
      <c r="E3181" t="s">
        <v>679</v>
      </c>
      <c r="F3181" t="str">
        <f t="shared" si="345"/>
        <v>NEW DONOR -6th</v>
      </c>
      <c r="G3181" t="str">
        <f t="shared" si="346"/>
        <v>Marketing</v>
      </c>
      <c r="H3181" t="s">
        <v>560</v>
      </c>
      <c r="I3181">
        <f t="shared" si="347"/>
        <v>6</v>
      </c>
      <c r="J3181" t="s">
        <v>546</v>
      </c>
      <c r="K3181" s="5">
        <v>125</v>
      </c>
      <c r="L3181" t="str">
        <f>Table_DataFromNL[[#This Row],[PROFILECODE]]&amp;"-"&amp;Table_DataFromNL[[#This Row],[RULENAME]]</f>
        <v>CP136-New Donor 6th Visit-Bonus</v>
      </c>
      <c r="M3181" t="str">
        <f t="shared" si="348"/>
        <v>CP136-NEW DONOR -6th</v>
      </c>
    </row>
    <row r="3182" spans="1:13" x14ac:dyDescent="0.25">
      <c r="A3182" t="str">
        <f t="shared" si="349"/>
        <v>CP136-NEW DONOR -7th</v>
      </c>
      <c r="B3182" t="s">
        <v>361</v>
      </c>
      <c r="C3182" t="str">
        <f t="shared" si="343"/>
        <v>Urbana</v>
      </c>
      <c r="D3182" t="str">
        <f t="shared" si="344"/>
        <v>Y</v>
      </c>
      <c r="E3182" t="s">
        <v>679</v>
      </c>
      <c r="F3182" t="str">
        <f t="shared" si="345"/>
        <v>NEW DONOR -7th</v>
      </c>
      <c r="G3182" t="str">
        <f t="shared" si="346"/>
        <v>Marketing</v>
      </c>
      <c r="H3182" t="s">
        <v>561</v>
      </c>
      <c r="I3182">
        <f t="shared" si="347"/>
        <v>7</v>
      </c>
      <c r="J3182" t="s">
        <v>546</v>
      </c>
      <c r="K3182" s="5">
        <v>45</v>
      </c>
      <c r="L3182" t="str">
        <f>Table_DataFromNL[[#This Row],[PROFILECODE]]&amp;"-"&amp;Table_DataFromNL[[#This Row],[RULENAME]]</f>
        <v>CP136-New Donor 7th Visit-Bonus</v>
      </c>
      <c r="M3182" t="str">
        <f t="shared" si="348"/>
        <v>CP136-NEW DONOR -7th</v>
      </c>
    </row>
    <row r="3183" spans="1:13" x14ac:dyDescent="0.25">
      <c r="A3183" t="str">
        <f t="shared" si="349"/>
        <v>CP136-NEW DONOR -8th</v>
      </c>
      <c r="B3183" t="s">
        <v>361</v>
      </c>
      <c r="C3183" t="str">
        <f t="shared" si="343"/>
        <v>Urbana</v>
      </c>
      <c r="D3183" t="str">
        <f t="shared" si="344"/>
        <v>Y</v>
      </c>
      <c r="E3183" t="s">
        <v>679</v>
      </c>
      <c r="F3183" t="str">
        <f t="shared" si="345"/>
        <v>NEW DONOR -8th</v>
      </c>
      <c r="G3183" t="str">
        <f t="shared" si="346"/>
        <v>Marketing</v>
      </c>
      <c r="H3183" t="s">
        <v>562</v>
      </c>
      <c r="I3183">
        <f t="shared" si="347"/>
        <v>8</v>
      </c>
      <c r="J3183" t="s">
        <v>546</v>
      </c>
      <c r="K3183" s="5">
        <v>45</v>
      </c>
      <c r="L3183" t="str">
        <f>Table_DataFromNL[[#This Row],[PROFILECODE]]&amp;"-"&amp;Table_DataFromNL[[#This Row],[RULENAME]]</f>
        <v>CP136-New Donor 8th Visit-Bonus</v>
      </c>
      <c r="M3183" t="str">
        <f t="shared" si="348"/>
        <v>CP136-NEW DONOR -8th</v>
      </c>
    </row>
    <row r="3184" spans="1:13" x14ac:dyDescent="0.25">
      <c r="A3184" t="str">
        <f t="shared" si="349"/>
        <v>CP136-Community</v>
      </c>
      <c r="B3184" t="s">
        <v>361</v>
      </c>
      <c r="C3184" t="str">
        <f t="shared" si="343"/>
        <v>Urbana</v>
      </c>
      <c r="D3184" t="str">
        <f t="shared" si="344"/>
        <v>Y</v>
      </c>
      <c r="E3184" t="s">
        <v>679</v>
      </c>
      <c r="F3184" t="str">
        <f t="shared" si="345"/>
        <v>Community</v>
      </c>
      <c r="G3184">
        <f t="shared" si="346"/>
        <v>0</v>
      </c>
      <c r="H3184" t="s">
        <v>563</v>
      </c>
      <c r="I3184">
        <f t="shared" si="347"/>
        <v>0</v>
      </c>
      <c r="J3184" t="s">
        <v>564</v>
      </c>
      <c r="K3184" s="5">
        <v>5</v>
      </c>
      <c r="L3184" t="str">
        <f>Table_DataFromNL[[#This Row],[PROFILECODE]]&amp;"-"&amp;Table_DataFromNL[[#This Row],[RULENAME]]</f>
        <v>CP136-Community</v>
      </c>
      <c r="M3184" t="e">
        <f t="shared" si="348"/>
        <v>#N/A</v>
      </c>
    </row>
    <row r="3185" spans="1:13" x14ac:dyDescent="0.25">
      <c r="A3185" t="str">
        <f t="shared" si="349"/>
        <v>CP136-HANGER_RECRUIT_5USD_once</v>
      </c>
      <c r="B3185" t="s">
        <v>361</v>
      </c>
      <c r="C3185" t="str">
        <f t="shared" si="343"/>
        <v>Urbana</v>
      </c>
      <c r="D3185" t="str">
        <f t="shared" si="344"/>
        <v>Y</v>
      </c>
      <c r="E3185" t="s">
        <v>679</v>
      </c>
      <c r="F3185" t="str">
        <f t="shared" si="345"/>
        <v>HANGER_RECRUIT_5USD_once</v>
      </c>
      <c r="G3185">
        <f t="shared" si="346"/>
        <v>0</v>
      </c>
      <c r="H3185" t="s">
        <v>565</v>
      </c>
      <c r="I3185">
        <f t="shared" si="347"/>
        <v>0</v>
      </c>
      <c r="J3185" t="s">
        <v>564</v>
      </c>
      <c r="K3185" s="5">
        <v>5</v>
      </c>
      <c r="L3185" t="str">
        <f>Table_DataFromNL[[#This Row],[PROFILECODE]]&amp;"-"&amp;Table_DataFromNL[[#This Row],[RULENAME]]</f>
        <v>CP136-HANGER_RECRUIT_5USD_once</v>
      </c>
      <c r="M3185" t="e">
        <f t="shared" si="348"/>
        <v>#N/A</v>
      </c>
    </row>
    <row r="3186" spans="1:13" x14ac:dyDescent="0.25">
      <c r="A3186" t="str">
        <f t="shared" si="349"/>
        <v>CP136-Inconv Fee $20-$50-Comment Req'd</v>
      </c>
      <c r="B3186" t="s">
        <v>361</v>
      </c>
      <c r="C3186" t="str">
        <f t="shared" si="343"/>
        <v>Urbana</v>
      </c>
      <c r="D3186" t="str">
        <f t="shared" si="344"/>
        <v>Y</v>
      </c>
      <c r="E3186" t="s">
        <v>679</v>
      </c>
      <c r="F3186" t="str">
        <f t="shared" si="345"/>
        <v>Inconv Fee $20-$50-Comment Req'd</v>
      </c>
      <c r="G3186">
        <f t="shared" si="346"/>
        <v>0</v>
      </c>
      <c r="H3186" t="s">
        <v>566</v>
      </c>
      <c r="I3186">
        <f t="shared" si="347"/>
        <v>0</v>
      </c>
      <c r="J3186" t="s">
        <v>564</v>
      </c>
      <c r="K3186" s="5">
        <v>50</v>
      </c>
      <c r="L3186" t="str">
        <f>Table_DataFromNL[[#This Row],[PROFILECODE]]&amp;"-"&amp;Table_DataFromNL[[#This Row],[RULENAME]]</f>
        <v>CP136-Inconv Fee $20-$50-Comment Req'd</v>
      </c>
      <c r="M3186" t="e">
        <f t="shared" si="348"/>
        <v>#N/A</v>
      </c>
    </row>
    <row r="3187" spans="1:13" x14ac:dyDescent="0.25">
      <c r="A3187" t="str">
        <f t="shared" si="349"/>
        <v>CP136-Inconv Fee $5-$20-Comment Req'd</v>
      </c>
      <c r="B3187" t="s">
        <v>361</v>
      </c>
      <c r="C3187" t="str">
        <f t="shared" si="343"/>
        <v>Urbana</v>
      </c>
      <c r="D3187" t="str">
        <f t="shared" si="344"/>
        <v>Y</v>
      </c>
      <c r="E3187" t="s">
        <v>679</v>
      </c>
      <c r="F3187" t="str">
        <f t="shared" si="345"/>
        <v>Inconv Fee $5-$20-Comment Req'd</v>
      </c>
      <c r="G3187">
        <f t="shared" si="346"/>
        <v>0</v>
      </c>
      <c r="H3187" t="s">
        <v>567</v>
      </c>
      <c r="I3187">
        <f t="shared" si="347"/>
        <v>0</v>
      </c>
      <c r="J3187" t="s">
        <v>564</v>
      </c>
      <c r="K3187" s="5">
        <v>20</v>
      </c>
      <c r="L3187" t="str">
        <f>Table_DataFromNL[[#This Row],[PROFILECODE]]&amp;"-"&amp;Table_DataFromNL[[#This Row],[RULENAME]]</f>
        <v>CP136-Inconv Fee $5-$20-Comment Req'd</v>
      </c>
      <c r="M3187" t="e">
        <f t="shared" si="348"/>
        <v>#N/A</v>
      </c>
    </row>
    <row r="3188" spans="1:13" x14ac:dyDescent="0.25">
      <c r="A3188" t="str">
        <f t="shared" si="349"/>
        <v>CP136-Inconv Fee$50-$100-Comment Req'd</v>
      </c>
      <c r="B3188" t="s">
        <v>361</v>
      </c>
      <c r="C3188" t="str">
        <f t="shared" si="343"/>
        <v>Urbana</v>
      </c>
      <c r="D3188" t="str">
        <f t="shared" si="344"/>
        <v>Y</v>
      </c>
      <c r="E3188" t="s">
        <v>679</v>
      </c>
      <c r="F3188" t="str">
        <f t="shared" si="345"/>
        <v>Inconv Fee$50-$100-Comment Req'd</v>
      </c>
      <c r="G3188">
        <f t="shared" si="346"/>
        <v>0</v>
      </c>
      <c r="H3188" t="s">
        <v>568</v>
      </c>
      <c r="I3188">
        <f t="shared" si="347"/>
        <v>0</v>
      </c>
      <c r="J3188" t="s">
        <v>564</v>
      </c>
      <c r="K3188" s="5">
        <v>100</v>
      </c>
      <c r="L3188" t="str">
        <f>Table_DataFromNL[[#This Row],[PROFILECODE]]&amp;"-"&amp;Table_DataFromNL[[#This Row],[RULENAME]]</f>
        <v>CP136-Inconv Fee$50-$100-Comment Req'd</v>
      </c>
      <c r="M3188" t="e">
        <f t="shared" si="348"/>
        <v>#N/A</v>
      </c>
    </row>
    <row r="3189" spans="1:13" x14ac:dyDescent="0.25">
      <c r="A3189" t="str">
        <f t="shared" si="349"/>
        <v>CP136-MONDAY_COUPON_RETENTION_10_once</v>
      </c>
      <c r="B3189" t="s">
        <v>361</v>
      </c>
      <c r="C3189" t="str">
        <f t="shared" si="343"/>
        <v>Urbana</v>
      </c>
      <c r="D3189" t="str">
        <f t="shared" si="344"/>
        <v>Y</v>
      </c>
      <c r="E3189" t="s">
        <v>679</v>
      </c>
      <c r="F3189" t="str">
        <f t="shared" si="345"/>
        <v>MONDAY_COUPON_RETENTION_10_once</v>
      </c>
      <c r="G3189">
        <f t="shared" si="346"/>
        <v>0</v>
      </c>
      <c r="H3189" t="s">
        <v>594</v>
      </c>
      <c r="I3189">
        <f t="shared" si="347"/>
        <v>0</v>
      </c>
      <c r="J3189" t="s">
        <v>564</v>
      </c>
      <c r="K3189" s="5">
        <v>10</v>
      </c>
      <c r="L3189" t="str">
        <f>Table_DataFromNL[[#This Row],[PROFILECODE]]&amp;"-"&amp;Table_DataFromNL[[#This Row],[RULENAME]]</f>
        <v>CP136-MONDAY_COUPON_RETENTION_10_once</v>
      </c>
      <c r="M3189" t="e">
        <f t="shared" si="348"/>
        <v>#N/A</v>
      </c>
    </row>
    <row r="3190" spans="1:13" x14ac:dyDescent="0.25">
      <c r="A3190" t="str">
        <f t="shared" si="349"/>
        <v>CP136-NSP_ LAPSEDONOR_50_Twice</v>
      </c>
      <c r="B3190" t="s">
        <v>361</v>
      </c>
      <c r="C3190" t="str">
        <f t="shared" si="343"/>
        <v>Urbana</v>
      </c>
      <c r="D3190" t="str">
        <f t="shared" si="344"/>
        <v>Y</v>
      </c>
      <c r="E3190" t="s">
        <v>679</v>
      </c>
      <c r="F3190" t="str">
        <f t="shared" si="345"/>
        <v>NSP_ LAPSEDONOR_50_Twice</v>
      </c>
      <c r="G3190">
        <f t="shared" si="346"/>
        <v>0</v>
      </c>
      <c r="H3190" t="s">
        <v>569</v>
      </c>
      <c r="I3190">
        <f t="shared" si="347"/>
        <v>0</v>
      </c>
      <c r="J3190" t="s">
        <v>564</v>
      </c>
      <c r="K3190" s="5">
        <v>50</v>
      </c>
      <c r="L3190" t="str">
        <f>Table_DataFromNL[[#This Row],[PROFILECODE]]&amp;"-"&amp;Table_DataFromNL[[#This Row],[RULENAME]]</f>
        <v>CP136-NSP_ LAPSEDONOR_50_Twice</v>
      </c>
      <c r="M3190" t="e">
        <f t="shared" si="348"/>
        <v>#N/A</v>
      </c>
    </row>
    <row r="3191" spans="1:13" x14ac:dyDescent="0.25">
      <c r="A3191" t="str">
        <f t="shared" si="349"/>
        <v>CP136-NSP_LD_25_2X</v>
      </c>
      <c r="B3191" t="s">
        <v>361</v>
      </c>
      <c r="C3191" t="str">
        <f t="shared" si="343"/>
        <v>Urbana</v>
      </c>
      <c r="D3191" t="str">
        <f t="shared" si="344"/>
        <v>Y</v>
      </c>
      <c r="E3191" t="s">
        <v>679</v>
      </c>
      <c r="F3191" t="str">
        <f t="shared" si="345"/>
        <v>NSP_LD_25_2X</v>
      </c>
      <c r="G3191">
        <f t="shared" si="346"/>
        <v>0</v>
      </c>
      <c r="H3191" t="s">
        <v>570</v>
      </c>
      <c r="I3191">
        <f t="shared" si="347"/>
        <v>0</v>
      </c>
      <c r="J3191" t="s">
        <v>564</v>
      </c>
      <c r="K3191" s="5">
        <v>25</v>
      </c>
      <c r="L3191" t="str">
        <f>Table_DataFromNL[[#This Row],[PROFILECODE]]&amp;"-"&amp;Table_DataFromNL[[#This Row],[RULENAME]]</f>
        <v>CP136-NSP_LD_25_2X</v>
      </c>
      <c r="M3191" t="e">
        <f t="shared" si="348"/>
        <v>#N/A</v>
      </c>
    </row>
    <row r="3192" spans="1:13" x14ac:dyDescent="0.25">
      <c r="A3192" t="str">
        <f t="shared" si="349"/>
        <v>CP136-NSP_LD_50_1X</v>
      </c>
      <c r="B3192" t="s">
        <v>361</v>
      </c>
      <c r="C3192" t="str">
        <f t="shared" si="343"/>
        <v>Urbana</v>
      </c>
      <c r="D3192" t="str">
        <f t="shared" si="344"/>
        <v>Y</v>
      </c>
      <c r="E3192" t="s">
        <v>679</v>
      </c>
      <c r="F3192" t="str">
        <f t="shared" si="345"/>
        <v>NSP_LD_50_1X</v>
      </c>
      <c r="G3192">
        <f t="shared" si="346"/>
        <v>0</v>
      </c>
      <c r="H3192" t="s">
        <v>571</v>
      </c>
      <c r="I3192">
        <f t="shared" si="347"/>
        <v>0</v>
      </c>
      <c r="J3192" t="s">
        <v>564</v>
      </c>
      <c r="K3192" s="5">
        <v>50</v>
      </c>
      <c r="L3192" t="str">
        <f>Table_DataFromNL[[#This Row],[PROFILECODE]]&amp;"-"&amp;Table_DataFromNL[[#This Row],[RULENAME]]</f>
        <v>CP136-NSP_LD_50_1X</v>
      </c>
      <c r="M3192" t="e">
        <f t="shared" si="348"/>
        <v>#N/A</v>
      </c>
    </row>
    <row r="3193" spans="1:13" x14ac:dyDescent="0.25">
      <c r="A3193" t="str">
        <f t="shared" si="349"/>
        <v>CP136-NSP_ORPHAN_100_once</v>
      </c>
      <c r="B3193" t="s">
        <v>361</v>
      </c>
      <c r="C3193" t="str">
        <f t="shared" si="343"/>
        <v>Urbana</v>
      </c>
      <c r="D3193" t="str">
        <f t="shared" si="344"/>
        <v>Y</v>
      </c>
      <c r="E3193" t="s">
        <v>679</v>
      </c>
      <c r="F3193" t="str">
        <f t="shared" si="345"/>
        <v>NSP_ORPHAN_100_once</v>
      </c>
      <c r="G3193">
        <f t="shared" si="346"/>
        <v>0</v>
      </c>
      <c r="H3193" t="s">
        <v>572</v>
      </c>
      <c r="I3193">
        <f t="shared" si="347"/>
        <v>0</v>
      </c>
      <c r="J3193" t="s">
        <v>564</v>
      </c>
      <c r="K3193" s="5">
        <v>100</v>
      </c>
      <c r="L3193" t="str">
        <f>Table_DataFromNL[[#This Row],[PROFILECODE]]&amp;"-"&amp;Table_DataFromNL[[#This Row],[RULENAME]]</f>
        <v>CP136-NSP_ORPHAN_100_once</v>
      </c>
      <c r="M3193" t="e">
        <f t="shared" si="348"/>
        <v>#N/A</v>
      </c>
    </row>
    <row r="3194" spans="1:13" x14ac:dyDescent="0.25">
      <c r="A3194" t="str">
        <f t="shared" si="349"/>
        <v>CP136-Restick</v>
      </c>
      <c r="B3194" t="s">
        <v>361</v>
      </c>
      <c r="C3194" t="str">
        <f t="shared" si="343"/>
        <v>Urbana</v>
      </c>
      <c r="D3194" t="str">
        <f t="shared" si="344"/>
        <v>Y</v>
      </c>
      <c r="E3194" t="s">
        <v>679</v>
      </c>
      <c r="F3194" t="str">
        <f t="shared" si="345"/>
        <v>Restick</v>
      </c>
      <c r="G3194">
        <f t="shared" si="346"/>
        <v>0</v>
      </c>
      <c r="H3194" t="s">
        <v>573</v>
      </c>
      <c r="I3194">
        <f t="shared" si="347"/>
        <v>0</v>
      </c>
      <c r="J3194" t="s">
        <v>564</v>
      </c>
      <c r="K3194" s="5">
        <v>5</v>
      </c>
      <c r="L3194" t="str">
        <f>Table_DataFromNL[[#This Row],[PROFILECODE]]&amp;"-"&amp;Table_DataFromNL[[#This Row],[RULENAME]]</f>
        <v>CP136-Restick</v>
      </c>
      <c r="M3194" t="e">
        <f t="shared" si="348"/>
        <v>#N/A</v>
      </c>
    </row>
    <row r="3195" spans="1:13" x14ac:dyDescent="0.25">
      <c r="A3195" t="str">
        <f t="shared" si="349"/>
        <v>CP136-SLOW_TEXT_5</v>
      </c>
      <c r="B3195" t="s">
        <v>361</v>
      </c>
      <c r="C3195" t="str">
        <f t="shared" si="343"/>
        <v>Urbana</v>
      </c>
      <c r="D3195" t="str">
        <f t="shared" si="344"/>
        <v>Y</v>
      </c>
      <c r="E3195" t="s">
        <v>679</v>
      </c>
      <c r="F3195" t="str">
        <f t="shared" si="345"/>
        <v>SLOW_TEXT_5</v>
      </c>
      <c r="G3195">
        <f t="shared" si="346"/>
        <v>0</v>
      </c>
      <c r="H3195" t="s">
        <v>574</v>
      </c>
      <c r="I3195">
        <f t="shared" si="347"/>
        <v>0</v>
      </c>
      <c r="J3195" t="s">
        <v>564</v>
      </c>
      <c r="K3195" s="5">
        <v>5</v>
      </c>
      <c r="L3195" t="str">
        <f>Table_DataFromNL[[#This Row],[PROFILECODE]]&amp;"-"&amp;Table_DataFromNL[[#This Row],[RULENAME]]</f>
        <v>CP136-SLOW_TEXT_5</v>
      </c>
      <c r="M3195" t="e">
        <f t="shared" si="348"/>
        <v>#N/A</v>
      </c>
    </row>
    <row r="3196" spans="1:13" x14ac:dyDescent="0.25">
      <c r="A3196" t="str">
        <f t="shared" si="349"/>
        <v>CP136-Unit Below 250 mL</v>
      </c>
      <c r="B3196" t="s">
        <v>361</v>
      </c>
      <c r="C3196" t="str">
        <f t="shared" si="343"/>
        <v>Urbana</v>
      </c>
      <c r="D3196" t="str">
        <f t="shared" si="344"/>
        <v>Y</v>
      </c>
      <c r="E3196" t="s">
        <v>679</v>
      </c>
      <c r="F3196" t="str">
        <f t="shared" si="345"/>
        <v>Unit Below 250 mL</v>
      </c>
      <c r="G3196">
        <f t="shared" si="346"/>
        <v>0</v>
      </c>
      <c r="H3196" t="s">
        <v>576</v>
      </c>
      <c r="I3196">
        <f t="shared" si="347"/>
        <v>0</v>
      </c>
      <c r="J3196" t="s">
        <v>564</v>
      </c>
      <c r="K3196" s="5">
        <v>5</v>
      </c>
      <c r="L3196" t="str">
        <f>Table_DataFromNL[[#This Row],[PROFILECODE]]&amp;"-"&amp;Table_DataFromNL[[#This Row],[RULENAME]]</f>
        <v>CP136-Unit Below 250 mL</v>
      </c>
      <c r="M3196" t="e">
        <f t="shared" si="348"/>
        <v>#N/A</v>
      </c>
    </row>
    <row r="3197" spans="1:13" x14ac:dyDescent="0.25">
      <c r="A3197" t="str">
        <f t="shared" si="349"/>
        <v>CP136-Unit above 250 mL/underdraw</v>
      </c>
      <c r="B3197" t="s">
        <v>361</v>
      </c>
      <c r="C3197" t="str">
        <f t="shared" si="343"/>
        <v>Urbana</v>
      </c>
      <c r="D3197" t="str">
        <f t="shared" si="344"/>
        <v>Y</v>
      </c>
      <c r="E3197" t="s">
        <v>679</v>
      </c>
      <c r="F3197" t="str">
        <f t="shared" si="345"/>
        <v>Unit above 250 mL/underdraw</v>
      </c>
      <c r="G3197">
        <f t="shared" si="346"/>
        <v>0</v>
      </c>
      <c r="H3197" t="s">
        <v>577</v>
      </c>
      <c r="I3197">
        <f t="shared" si="347"/>
        <v>0</v>
      </c>
      <c r="J3197" t="s">
        <v>564</v>
      </c>
      <c r="K3197" s="5">
        <v>10</v>
      </c>
      <c r="L3197" t="str">
        <f>Table_DataFromNL[[#This Row],[PROFILECODE]]&amp;"-"&amp;Table_DataFromNL[[#This Row],[RULENAME]]</f>
        <v>CP136-Unit above 250 mL/underdraw</v>
      </c>
      <c r="M3197" t="e">
        <f t="shared" si="348"/>
        <v>#N/A</v>
      </c>
    </row>
    <row r="3198" spans="1:13" x14ac:dyDescent="0.25">
      <c r="A3198" t="str">
        <f t="shared" si="349"/>
        <v>CP136-RETURN - Buddy referral  -BONUS</v>
      </c>
      <c r="B3198" t="s">
        <v>361</v>
      </c>
      <c r="C3198" t="str">
        <f t="shared" si="343"/>
        <v>Urbana</v>
      </c>
      <c r="D3198" t="str">
        <f t="shared" si="344"/>
        <v>Y</v>
      </c>
      <c r="E3198" t="s">
        <v>679</v>
      </c>
      <c r="F3198" t="str">
        <f t="shared" si="345"/>
        <v>RETURN - Buddy referral  -BONUS</v>
      </c>
      <c r="G3198" t="str">
        <f t="shared" si="346"/>
        <v>Marketing</v>
      </c>
      <c r="H3198" t="s">
        <v>34</v>
      </c>
      <c r="I3198">
        <f t="shared" si="347"/>
        <v>50</v>
      </c>
      <c r="J3198" t="s">
        <v>578</v>
      </c>
      <c r="K3198" s="5">
        <v>50</v>
      </c>
      <c r="L3198" t="str">
        <f>Table_DataFromNL[[#This Row],[PROFILECODE]]&amp;"-"&amp;Table_DataFromNL[[#This Row],[RULENAME]]</f>
        <v>CP136-Referral</v>
      </c>
      <c r="M3198" t="str">
        <f t="shared" si="348"/>
        <v>CP136-RETURN - Buddy referral  -BONUS</v>
      </c>
    </row>
    <row r="3199" spans="1:13" x14ac:dyDescent="0.25">
      <c r="A3199" t="str">
        <f t="shared" si="349"/>
        <v>CP136-P Anti-D Pre-Existing Standard</v>
      </c>
      <c r="B3199" t="s">
        <v>361</v>
      </c>
      <c r="C3199" t="str">
        <f t="shared" si="343"/>
        <v>Urbana</v>
      </c>
      <c r="D3199" t="str">
        <f t="shared" si="344"/>
        <v>Y</v>
      </c>
      <c r="E3199" t="s">
        <v>679</v>
      </c>
      <c r="F3199" t="str">
        <f t="shared" si="345"/>
        <v>P Anti-D Pre-Existing Standard</v>
      </c>
      <c r="G3199" t="str">
        <f t="shared" si="346"/>
        <v>Specialty</v>
      </c>
      <c r="H3199" t="s">
        <v>469</v>
      </c>
      <c r="I3199" t="str">
        <f t="shared" si="347"/>
        <v>RETURN - 1st don of the week -STD</v>
      </c>
      <c r="J3199" t="s">
        <v>579</v>
      </c>
      <c r="K3199" s="5">
        <v>50</v>
      </c>
      <c r="L3199" t="str">
        <f>Table_DataFromNL[[#This Row],[PROFILECODE]]&amp;"-"&amp;Table_DataFromNL[[#This Row],[RULENAME]]</f>
        <v>CP136-P Anti-D Pre-Existing Standard</v>
      </c>
      <c r="M3199" t="str">
        <f t="shared" si="348"/>
        <v>CP136-P Anti-D Pre-Existing Standard</v>
      </c>
    </row>
    <row r="3200" spans="1:13" x14ac:dyDescent="0.25">
      <c r="A3200" t="str">
        <f t="shared" si="349"/>
        <v>CP136-RETURN - 1st don of the week -STD</v>
      </c>
      <c r="B3200" t="s">
        <v>361</v>
      </c>
      <c r="C3200" t="str">
        <f t="shared" si="343"/>
        <v>Urbana</v>
      </c>
      <c r="D3200" t="str">
        <f t="shared" si="344"/>
        <v>Y</v>
      </c>
      <c r="E3200" t="s">
        <v>679</v>
      </c>
      <c r="F3200" t="str">
        <f t="shared" si="345"/>
        <v>RETURN - 1st don of the week -STD</v>
      </c>
      <c r="G3200" t="str">
        <f t="shared" si="346"/>
        <v>Marketing</v>
      </c>
      <c r="H3200" t="s">
        <v>583</v>
      </c>
      <c r="I3200">
        <f t="shared" si="347"/>
        <v>22</v>
      </c>
      <c r="J3200" t="s">
        <v>579</v>
      </c>
      <c r="K3200" s="5">
        <v>45</v>
      </c>
      <c r="L3200" t="str">
        <f>Table_DataFromNL[[#This Row],[PROFILECODE]]&amp;"-"&amp;Table_DataFromNL[[#This Row],[RULENAME]]</f>
        <v>CP136-P NSP NS AP Standard</v>
      </c>
      <c r="M3200" t="str">
        <f t="shared" si="348"/>
        <v>CP136-RETURN - 1st don of the week -STD</v>
      </c>
    </row>
    <row r="3201" spans="1:13" x14ac:dyDescent="0.25">
      <c r="A3201" t="str">
        <f t="shared" si="349"/>
        <v>CP136-RETURN - 1st don of the week -STD</v>
      </c>
      <c r="B3201" t="s">
        <v>361</v>
      </c>
      <c r="C3201" t="str">
        <f t="shared" si="343"/>
        <v>Urbana</v>
      </c>
      <c r="D3201" t="str">
        <f t="shared" si="344"/>
        <v>Y</v>
      </c>
      <c r="E3201" t="s">
        <v>679</v>
      </c>
      <c r="F3201" t="str">
        <f t="shared" si="345"/>
        <v>RETURN - 1st don of the week -STD</v>
      </c>
      <c r="G3201" t="str">
        <f t="shared" si="346"/>
        <v>Marketing</v>
      </c>
      <c r="H3201" t="s">
        <v>584</v>
      </c>
      <c r="I3201">
        <f t="shared" si="347"/>
        <v>23</v>
      </c>
      <c r="J3201" t="s">
        <v>579</v>
      </c>
      <c r="K3201" s="5">
        <v>45</v>
      </c>
      <c r="L3201" t="str">
        <f>Table_DataFromNL[[#This Row],[PROFILECODE]]&amp;"-"&amp;Table_DataFromNL[[#This Row],[RULENAME]]</f>
        <v>CP136-P NSP NS Standard</v>
      </c>
      <c r="M3201" t="str">
        <f t="shared" si="348"/>
        <v>CP136-RETURN - 1st don of the week -STD</v>
      </c>
    </row>
    <row r="3202" spans="1:13" x14ac:dyDescent="0.25">
      <c r="A3202" t="str">
        <f t="shared" si="349"/>
        <v>CP082-1st Responder-Medical</v>
      </c>
      <c r="B3202" t="s">
        <v>264</v>
      </c>
      <c r="C3202" t="str">
        <f t="shared" ref="C3202:C3245" si="350">VLOOKUP(B3202,CenterLU,2,FALSE)</f>
        <v>Youngstown</v>
      </c>
      <c r="D3202" t="str">
        <f t="shared" ref="D3202:D3245" si="351">VLOOKUP(B3202,CenterLU,3,FALSE)</f>
        <v>Y</v>
      </c>
      <c r="E3202" t="s">
        <v>680</v>
      </c>
      <c r="F3202" t="str">
        <f t="shared" ref="F3202:F3245" si="352">IF(VLOOKUP(H3202,RULENAMELU,3,FALSE)=0,H3202,VLOOKUP(H3202,RULENAMELU,3,FALSE))</f>
        <v>1st Responder-Medical</v>
      </c>
      <c r="G3202">
        <f t="shared" ref="G3202:G3245" si="353">VLOOKUP(H3202,RULENAMELU,4,FALSE)</f>
        <v>0</v>
      </c>
      <c r="H3202" t="s">
        <v>545</v>
      </c>
      <c r="I3202">
        <f t="shared" ref="I3202:I3245" si="354">VLOOKUP(H3202,RULENAMELU,5,FALSE)</f>
        <v>0</v>
      </c>
      <c r="J3202" t="s">
        <v>546</v>
      </c>
      <c r="K3202" s="5">
        <v>5</v>
      </c>
      <c r="L3202" t="str">
        <f>Table_DataFromNL[[#This Row],[PROFILECODE]]&amp;"-"&amp;Table_DataFromNL[[#This Row],[RULENAME]]</f>
        <v>CP082-1st Responder-Medical</v>
      </c>
      <c r="M3202" t="e">
        <f t="shared" ref="M3202:M3245" si="355">IFERROR(VLOOKUP(A3202,PaychangesLU,1,FALSE),VLOOKUP(A3202,SpecialtyCheckLU,1,FALSE))</f>
        <v>#N/A</v>
      </c>
    </row>
    <row r="3203" spans="1:13" x14ac:dyDescent="0.25">
      <c r="A3203" t="str">
        <f t="shared" ref="A3203:A3245" si="356">B3203&amp;"-"&amp;F3203</f>
        <v>CP082-2X Week P CMV</v>
      </c>
      <c r="B3203" t="s">
        <v>264</v>
      </c>
      <c r="C3203" t="str">
        <f t="shared" si="350"/>
        <v>Youngstown</v>
      </c>
      <c r="D3203" t="str">
        <f t="shared" si="351"/>
        <v>Y</v>
      </c>
      <c r="E3203" t="s">
        <v>680</v>
      </c>
      <c r="F3203" t="str">
        <f t="shared" si="352"/>
        <v>2X Week P CMV</v>
      </c>
      <c r="G3203" t="str">
        <f t="shared" si="353"/>
        <v>Specialty</v>
      </c>
      <c r="H3203" t="s">
        <v>498</v>
      </c>
      <c r="I3203" t="str">
        <f t="shared" si="354"/>
        <v>RETURN - 2nd don of the week -BONUS</v>
      </c>
      <c r="J3203" t="s">
        <v>546</v>
      </c>
      <c r="K3203" s="5">
        <v>25</v>
      </c>
      <c r="L3203" t="str">
        <f>Table_DataFromNL[[#This Row],[PROFILECODE]]&amp;"-"&amp;Table_DataFromNL[[#This Row],[RULENAME]]</f>
        <v>CP082-2X Week P CMV</v>
      </c>
      <c r="M3203" t="str">
        <f t="shared" si="355"/>
        <v>CP082-2X Week P CMV</v>
      </c>
    </row>
    <row r="3204" spans="1:13" x14ac:dyDescent="0.25">
      <c r="A3204" t="str">
        <f t="shared" si="356"/>
        <v>CP082-RETURN - 2nd don of the week -BONUS</v>
      </c>
      <c r="B3204" t="s">
        <v>264</v>
      </c>
      <c r="C3204" t="str">
        <f t="shared" si="350"/>
        <v>Youngstown</v>
      </c>
      <c r="D3204" t="str">
        <f t="shared" si="351"/>
        <v>Y</v>
      </c>
      <c r="E3204" t="s">
        <v>680</v>
      </c>
      <c r="F3204" t="str">
        <f t="shared" si="352"/>
        <v>RETURN - 2nd don of the week -BONUS</v>
      </c>
      <c r="G3204" t="str">
        <f t="shared" si="353"/>
        <v>Marketing</v>
      </c>
      <c r="H3204" t="s">
        <v>550</v>
      </c>
      <c r="I3204">
        <f t="shared" si="354"/>
        <v>26</v>
      </c>
      <c r="J3204" t="s">
        <v>546</v>
      </c>
      <c r="K3204" s="5">
        <v>25</v>
      </c>
      <c r="L3204" t="str">
        <f>Table_DataFromNL[[#This Row],[PROFILECODE]]&amp;"-"&amp;Table_DataFromNL[[#This Row],[RULENAME]]</f>
        <v>CP082-2X Week P NSP NS</v>
      </c>
      <c r="M3204" t="str">
        <f t="shared" si="355"/>
        <v>CP082-RETURN - 2nd don of the week -BONUS</v>
      </c>
    </row>
    <row r="3205" spans="1:13" x14ac:dyDescent="0.25">
      <c r="A3205" t="str">
        <f t="shared" si="356"/>
        <v>CP082-RETURN - 2nd don of the week -BONUS</v>
      </c>
      <c r="B3205" t="s">
        <v>264</v>
      </c>
      <c r="C3205" t="str">
        <f t="shared" si="350"/>
        <v>Youngstown</v>
      </c>
      <c r="D3205" t="str">
        <f t="shared" si="351"/>
        <v>Y</v>
      </c>
      <c r="E3205" t="s">
        <v>680</v>
      </c>
      <c r="F3205" t="str">
        <f t="shared" si="352"/>
        <v>RETURN - 2nd don of the week -BONUS</v>
      </c>
      <c r="G3205" t="str">
        <f t="shared" si="353"/>
        <v>Marketing</v>
      </c>
      <c r="H3205" t="s">
        <v>551</v>
      </c>
      <c r="I3205" t="str">
        <f t="shared" si="354"/>
        <v>RETURN - 2nd don of the week -BONUS</v>
      </c>
      <c r="J3205" t="s">
        <v>546</v>
      </c>
      <c r="K3205" s="5">
        <v>25</v>
      </c>
      <c r="L3205" t="str">
        <f>Table_DataFromNL[[#This Row],[PROFILECODE]]&amp;"-"&amp;Table_DataFromNL[[#This Row],[RULENAME]]</f>
        <v>CP082-2X Week P NSP NS AP</v>
      </c>
      <c r="M3205" t="str">
        <f t="shared" si="355"/>
        <v>CP082-RETURN - 2nd don of the week -BONUS</v>
      </c>
    </row>
    <row r="3206" spans="1:13" x14ac:dyDescent="0.25">
      <c r="A3206" t="str">
        <f t="shared" si="356"/>
        <v>CP082-2X Week P Tetanus</v>
      </c>
      <c r="B3206" t="s">
        <v>264</v>
      </c>
      <c r="C3206" t="str">
        <f t="shared" si="350"/>
        <v>Youngstown</v>
      </c>
      <c r="D3206" t="str">
        <f t="shared" si="351"/>
        <v>Y</v>
      </c>
      <c r="E3206" t="s">
        <v>680</v>
      </c>
      <c r="F3206" t="str">
        <f t="shared" si="352"/>
        <v>2X Week P Tetanus</v>
      </c>
      <c r="G3206" t="str">
        <f t="shared" si="353"/>
        <v>Specialty</v>
      </c>
      <c r="H3206" t="s">
        <v>485</v>
      </c>
      <c r="I3206" t="str">
        <f t="shared" si="354"/>
        <v>RETURN - 2nd don of the week -BONUS</v>
      </c>
      <c r="J3206" t="s">
        <v>546</v>
      </c>
      <c r="K3206" s="5">
        <v>25</v>
      </c>
      <c r="L3206" t="str">
        <f>Table_DataFromNL[[#This Row],[PROFILECODE]]&amp;"-"&amp;Table_DataFromNL[[#This Row],[RULENAME]]</f>
        <v>CP082-2X Week P Tetanus</v>
      </c>
      <c r="M3206" t="str">
        <f t="shared" si="355"/>
        <v>CP082-2X Week P Tetanus</v>
      </c>
    </row>
    <row r="3207" spans="1:13" x14ac:dyDescent="0.25">
      <c r="A3207" t="str">
        <f t="shared" si="356"/>
        <v>CP082-2X Week P Tetanus AP</v>
      </c>
      <c r="B3207" t="s">
        <v>264</v>
      </c>
      <c r="C3207" t="str">
        <f t="shared" si="350"/>
        <v>Youngstown</v>
      </c>
      <c r="D3207" t="str">
        <f t="shared" si="351"/>
        <v>Y</v>
      </c>
      <c r="E3207" t="s">
        <v>680</v>
      </c>
      <c r="F3207" t="str">
        <f t="shared" si="352"/>
        <v>2X Week P Tetanus AP</v>
      </c>
      <c r="G3207" t="str">
        <f t="shared" si="353"/>
        <v>Specialty</v>
      </c>
      <c r="H3207" t="s">
        <v>486</v>
      </c>
      <c r="I3207" t="str">
        <f t="shared" si="354"/>
        <v>RETURN - 2nd don of the week -BONUS</v>
      </c>
      <c r="J3207" t="s">
        <v>546</v>
      </c>
      <c r="K3207" s="5">
        <v>25</v>
      </c>
      <c r="L3207" t="str">
        <f>Table_DataFromNL[[#This Row],[PROFILECODE]]&amp;"-"&amp;Table_DataFromNL[[#This Row],[RULENAME]]</f>
        <v>CP082-2X Week P Tetanus AP</v>
      </c>
      <c r="M3207" t="str">
        <f t="shared" si="355"/>
        <v>CP082-2X Week P Tetanus AP</v>
      </c>
    </row>
    <row r="3208" spans="1:13" x14ac:dyDescent="0.25">
      <c r="A3208" t="str">
        <f t="shared" si="356"/>
        <v>CP082-2X Week P Tetanus PE</v>
      </c>
      <c r="B3208" t="s">
        <v>264</v>
      </c>
      <c r="C3208" t="str">
        <f t="shared" si="350"/>
        <v>Youngstown</v>
      </c>
      <c r="D3208" t="str">
        <f t="shared" si="351"/>
        <v>Y</v>
      </c>
      <c r="E3208" t="s">
        <v>680</v>
      </c>
      <c r="F3208" t="str">
        <f t="shared" si="352"/>
        <v>2X Week P Tetanus PE</v>
      </c>
      <c r="G3208" t="str">
        <f t="shared" si="353"/>
        <v>Specialty</v>
      </c>
      <c r="H3208" t="s">
        <v>487</v>
      </c>
      <c r="I3208" t="str">
        <f t="shared" si="354"/>
        <v>RETURN - 2nd don of the week -BONUS</v>
      </c>
      <c r="J3208" t="s">
        <v>546</v>
      </c>
      <c r="K3208" s="5">
        <v>25</v>
      </c>
      <c r="L3208" t="str">
        <f>Table_DataFromNL[[#This Row],[PROFILECODE]]&amp;"-"&amp;Table_DataFromNL[[#This Row],[RULENAME]]</f>
        <v>CP082-2X Week P Tetanus PE</v>
      </c>
      <c r="M3208" t="str">
        <f t="shared" si="355"/>
        <v>CP082-2X Week P Tetanus PE</v>
      </c>
    </row>
    <row r="3209" spans="1:13" x14ac:dyDescent="0.25">
      <c r="A3209" t="str">
        <f t="shared" si="356"/>
        <v>CP082-RETURN - 6th don of the month -BONUS</v>
      </c>
      <c r="B3209" t="s">
        <v>264</v>
      </c>
      <c r="C3209" t="str">
        <f t="shared" si="350"/>
        <v>Youngstown</v>
      </c>
      <c r="D3209" t="str">
        <f t="shared" si="351"/>
        <v>Y</v>
      </c>
      <c r="E3209" t="s">
        <v>680</v>
      </c>
      <c r="F3209" t="str">
        <f t="shared" si="352"/>
        <v>RETURN - 6th don of the month -BONUS</v>
      </c>
      <c r="G3209" t="str">
        <f t="shared" si="353"/>
        <v>Marketing</v>
      </c>
      <c r="H3209" t="s">
        <v>552</v>
      </c>
      <c r="I3209">
        <f t="shared" si="354"/>
        <v>28</v>
      </c>
      <c r="J3209" t="s">
        <v>546</v>
      </c>
      <c r="K3209" s="5">
        <v>30</v>
      </c>
      <c r="L3209" t="str">
        <f>Table_DataFromNL[[#This Row],[PROFILECODE]]&amp;"-"&amp;Table_DataFromNL[[#This Row],[RULENAME]]</f>
        <v>CP082-6X Month</v>
      </c>
      <c r="M3209" t="str">
        <f t="shared" si="355"/>
        <v>CP082-RETURN - 6th don of the month -BONUS</v>
      </c>
    </row>
    <row r="3210" spans="1:13" x14ac:dyDescent="0.25">
      <c r="A3210" t="str">
        <f t="shared" si="356"/>
        <v>CP082-College ID Standard Bonus</v>
      </c>
      <c r="B3210" t="s">
        <v>264</v>
      </c>
      <c r="C3210" t="str">
        <f t="shared" si="350"/>
        <v>Youngstown</v>
      </c>
      <c r="D3210" t="str">
        <f t="shared" si="351"/>
        <v>Y</v>
      </c>
      <c r="E3210" t="s">
        <v>680</v>
      </c>
      <c r="F3210" t="str">
        <f t="shared" si="352"/>
        <v>College ID Standard Bonus</v>
      </c>
      <c r="G3210">
        <f t="shared" si="353"/>
        <v>0</v>
      </c>
      <c r="H3210" t="s">
        <v>553</v>
      </c>
      <c r="I3210">
        <f t="shared" si="354"/>
        <v>0</v>
      </c>
      <c r="J3210" t="s">
        <v>546</v>
      </c>
      <c r="K3210" s="5">
        <v>5</v>
      </c>
      <c r="L3210" t="str">
        <f>Table_DataFromNL[[#This Row],[PROFILECODE]]&amp;"-"&amp;Table_DataFromNL[[#This Row],[RULENAME]]</f>
        <v>CP082-College ID Standard Bonus</v>
      </c>
      <c r="M3210" t="e">
        <f t="shared" si="355"/>
        <v>#N/A</v>
      </c>
    </row>
    <row r="3211" spans="1:13" x14ac:dyDescent="0.25">
      <c r="A3211" t="str">
        <f t="shared" si="356"/>
        <v>CP082-Military ID</v>
      </c>
      <c r="B3211" t="s">
        <v>264</v>
      </c>
      <c r="C3211" t="str">
        <f t="shared" si="350"/>
        <v>Youngstown</v>
      </c>
      <c r="D3211" t="str">
        <f t="shared" si="351"/>
        <v>Y</v>
      </c>
      <c r="E3211" t="s">
        <v>680</v>
      </c>
      <c r="F3211" t="str">
        <f t="shared" si="352"/>
        <v>Military ID</v>
      </c>
      <c r="G3211">
        <f t="shared" si="353"/>
        <v>0</v>
      </c>
      <c r="H3211" t="s">
        <v>554</v>
      </c>
      <c r="I3211">
        <f t="shared" si="354"/>
        <v>0</v>
      </c>
      <c r="J3211" t="s">
        <v>546</v>
      </c>
      <c r="K3211" s="5">
        <v>5</v>
      </c>
      <c r="L3211" t="str">
        <f>Table_DataFromNL[[#This Row],[PROFILECODE]]&amp;"-"&amp;Table_DataFromNL[[#This Row],[RULENAME]]</f>
        <v>CP082-Military ID</v>
      </c>
      <c r="M3211" t="e">
        <f t="shared" si="355"/>
        <v>#N/A</v>
      </c>
    </row>
    <row r="3212" spans="1:13" x14ac:dyDescent="0.25">
      <c r="A3212" t="str">
        <f t="shared" si="356"/>
        <v>CP082-NEW DONOR -1st</v>
      </c>
      <c r="B3212" t="s">
        <v>264</v>
      </c>
      <c r="C3212" t="str">
        <f t="shared" si="350"/>
        <v>Youngstown</v>
      </c>
      <c r="D3212" t="str">
        <f t="shared" si="351"/>
        <v>Y</v>
      </c>
      <c r="E3212" t="s">
        <v>680</v>
      </c>
      <c r="F3212" t="str">
        <f t="shared" si="352"/>
        <v>NEW DONOR -1st</v>
      </c>
      <c r="G3212" t="str">
        <f t="shared" si="353"/>
        <v>Marketing</v>
      </c>
      <c r="H3212" t="s">
        <v>555</v>
      </c>
      <c r="I3212">
        <f t="shared" si="354"/>
        <v>1</v>
      </c>
      <c r="J3212" t="s">
        <v>546</v>
      </c>
      <c r="K3212" s="5">
        <v>100</v>
      </c>
      <c r="L3212" t="str">
        <f>Table_DataFromNL[[#This Row],[PROFILECODE]]&amp;"-"&amp;Table_DataFromNL[[#This Row],[RULENAME]]</f>
        <v>CP082-New Donor 1st Visit-Bonus</v>
      </c>
      <c r="M3212" t="str">
        <f t="shared" si="355"/>
        <v>CP082-NEW DONOR -1st</v>
      </c>
    </row>
    <row r="3213" spans="1:13" x14ac:dyDescent="0.25">
      <c r="A3213" t="str">
        <f t="shared" si="356"/>
        <v>CP082-NEW DONOR -2nd</v>
      </c>
      <c r="B3213" t="s">
        <v>264</v>
      </c>
      <c r="C3213" t="str">
        <f t="shared" si="350"/>
        <v>Youngstown</v>
      </c>
      <c r="D3213" t="str">
        <f t="shared" si="351"/>
        <v>Y</v>
      </c>
      <c r="E3213" t="s">
        <v>680</v>
      </c>
      <c r="F3213" t="str">
        <f t="shared" si="352"/>
        <v>NEW DONOR -2nd</v>
      </c>
      <c r="G3213" t="str">
        <f t="shared" si="353"/>
        <v>Marketing</v>
      </c>
      <c r="H3213" t="s">
        <v>556</v>
      </c>
      <c r="I3213">
        <f t="shared" si="354"/>
        <v>2</v>
      </c>
      <c r="J3213" t="s">
        <v>546</v>
      </c>
      <c r="K3213" s="5">
        <v>100</v>
      </c>
      <c r="L3213" t="str">
        <f>Table_DataFromNL[[#This Row],[PROFILECODE]]&amp;"-"&amp;Table_DataFromNL[[#This Row],[RULENAME]]</f>
        <v>CP082-New Donor 2nd Visit-Bonus</v>
      </c>
      <c r="M3213" t="str">
        <f t="shared" si="355"/>
        <v>CP082-NEW DONOR -2nd</v>
      </c>
    </row>
    <row r="3214" spans="1:13" x14ac:dyDescent="0.25">
      <c r="A3214" t="str">
        <f t="shared" si="356"/>
        <v>CP082-NEW DONOR -3rd</v>
      </c>
      <c r="B3214" t="s">
        <v>264</v>
      </c>
      <c r="C3214" t="str">
        <f t="shared" si="350"/>
        <v>Youngstown</v>
      </c>
      <c r="D3214" t="str">
        <f t="shared" si="351"/>
        <v>Y</v>
      </c>
      <c r="E3214" t="s">
        <v>680</v>
      </c>
      <c r="F3214" t="str">
        <f t="shared" si="352"/>
        <v>NEW DONOR -3rd</v>
      </c>
      <c r="G3214" t="str">
        <f t="shared" si="353"/>
        <v>Marketing</v>
      </c>
      <c r="H3214" t="s">
        <v>557</v>
      </c>
      <c r="I3214">
        <f t="shared" si="354"/>
        <v>3</v>
      </c>
      <c r="J3214" t="s">
        <v>546</v>
      </c>
      <c r="K3214" s="5">
        <v>100</v>
      </c>
      <c r="L3214" t="str">
        <f>Table_DataFromNL[[#This Row],[PROFILECODE]]&amp;"-"&amp;Table_DataFromNL[[#This Row],[RULENAME]]</f>
        <v>CP082-New Donor 3rd Visit-Bonus</v>
      </c>
      <c r="M3214" t="str">
        <f t="shared" si="355"/>
        <v>CP082-NEW DONOR -3rd</v>
      </c>
    </row>
    <row r="3215" spans="1:13" x14ac:dyDescent="0.25">
      <c r="A3215" t="str">
        <f t="shared" si="356"/>
        <v>CP082-NEW DONOR -4th</v>
      </c>
      <c r="B3215" t="s">
        <v>264</v>
      </c>
      <c r="C3215" t="str">
        <f t="shared" si="350"/>
        <v>Youngstown</v>
      </c>
      <c r="D3215" t="str">
        <f t="shared" si="351"/>
        <v>Y</v>
      </c>
      <c r="E3215" t="s">
        <v>680</v>
      </c>
      <c r="F3215" t="str">
        <f t="shared" si="352"/>
        <v>NEW DONOR -4th</v>
      </c>
      <c r="G3215" t="str">
        <f t="shared" si="353"/>
        <v>Marketing</v>
      </c>
      <c r="H3215" t="s">
        <v>558</v>
      </c>
      <c r="I3215">
        <f t="shared" si="354"/>
        <v>4</v>
      </c>
      <c r="J3215" t="s">
        <v>546</v>
      </c>
      <c r="K3215" s="5">
        <v>100</v>
      </c>
      <c r="L3215" t="str">
        <f>Table_DataFromNL[[#This Row],[PROFILECODE]]&amp;"-"&amp;Table_DataFromNL[[#This Row],[RULENAME]]</f>
        <v>CP082-New Donor 4th Visit-Bonus</v>
      </c>
      <c r="M3215" t="str">
        <f t="shared" si="355"/>
        <v>CP082-NEW DONOR -4th</v>
      </c>
    </row>
    <row r="3216" spans="1:13" x14ac:dyDescent="0.25">
      <c r="A3216" t="str">
        <f t="shared" si="356"/>
        <v>CP082-NEW DONOR -5th</v>
      </c>
      <c r="B3216" t="s">
        <v>264</v>
      </c>
      <c r="C3216" t="str">
        <f t="shared" si="350"/>
        <v>Youngstown</v>
      </c>
      <c r="D3216" t="str">
        <f t="shared" si="351"/>
        <v>Y</v>
      </c>
      <c r="E3216" t="s">
        <v>680</v>
      </c>
      <c r="F3216" t="str">
        <f t="shared" si="352"/>
        <v>NEW DONOR -5th</v>
      </c>
      <c r="G3216" t="str">
        <f t="shared" si="353"/>
        <v>Marketing</v>
      </c>
      <c r="H3216" t="s">
        <v>559</v>
      </c>
      <c r="I3216">
        <f t="shared" si="354"/>
        <v>5</v>
      </c>
      <c r="J3216" t="s">
        <v>546</v>
      </c>
      <c r="K3216" s="5">
        <v>100</v>
      </c>
      <c r="L3216" t="str">
        <f>Table_DataFromNL[[#This Row],[PROFILECODE]]&amp;"-"&amp;Table_DataFromNL[[#This Row],[RULENAME]]</f>
        <v>CP082-New Donor 5th Visit-Bonus</v>
      </c>
      <c r="M3216" t="str">
        <f t="shared" si="355"/>
        <v>CP082-NEW DONOR -5th</v>
      </c>
    </row>
    <row r="3217" spans="1:13" x14ac:dyDescent="0.25">
      <c r="A3217" t="str">
        <f t="shared" si="356"/>
        <v>CP082-NEW DONOR -6th</v>
      </c>
      <c r="B3217" t="s">
        <v>264</v>
      </c>
      <c r="C3217" t="str">
        <f t="shared" si="350"/>
        <v>Youngstown</v>
      </c>
      <c r="D3217" t="str">
        <f t="shared" si="351"/>
        <v>Y</v>
      </c>
      <c r="E3217" t="s">
        <v>680</v>
      </c>
      <c r="F3217" t="str">
        <f t="shared" si="352"/>
        <v>NEW DONOR -6th</v>
      </c>
      <c r="G3217" t="str">
        <f t="shared" si="353"/>
        <v>Marketing</v>
      </c>
      <c r="H3217" t="s">
        <v>560</v>
      </c>
      <c r="I3217">
        <f t="shared" si="354"/>
        <v>6</v>
      </c>
      <c r="J3217" t="s">
        <v>546</v>
      </c>
      <c r="K3217" s="5">
        <v>45</v>
      </c>
      <c r="L3217" t="str">
        <f>Table_DataFromNL[[#This Row],[PROFILECODE]]&amp;"-"&amp;Table_DataFromNL[[#This Row],[RULENAME]]</f>
        <v>CP082-New Donor 6th Visit-Bonus</v>
      </c>
      <c r="M3217" t="str">
        <f t="shared" si="355"/>
        <v>CP082-NEW DONOR -6th</v>
      </c>
    </row>
    <row r="3218" spans="1:13" x14ac:dyDescent="0.25">
      <c r="A3218" t="str">
        <f t="shared" si="356"/>
        <v>CP082-NEW DONOR -7th</v>
      </c>
      <c r="B3218" t="s">
        <v>264</v>
      </c>
      <c r="C3218" t="str">
        <f t="shared" si="350"/>
        <v>Youngstown</v>
      </c>
      <c r="D3218" t="str">
        <f t="shared" si="351"/>
        <v>Y</v>
      </c>
      <c r="E3218" t="s">
        <v>680</v>
      </c>
      <c r="F3218" t="str">
        <f t="shared" si="352"/>
        <v>NEW DONOR -7th</v>
      </c>
      <c r="G3218" t="str">
        <f t="shared" si="353"/>
        <v>Marketing</v>
      </c>
      <c r="H3218" t="s">
        <v>561</v>
      </c>
      <c r="I3218">
        <f t="shared" si="354"/>
        <v>7</v>
      </c>
      <c r="J3218" t="s">
        <v>546</v>
      </c>
      <c r="K3218" s="5">
        <v>45</v>
      </c>
      <c r="L3218" t="str">
        <f>Table_DataFromNL[[#This Row],[PROFILECODE]]&amp;"-"&amp;Table_DataFromNL[[#This Row],[RULENAME]]</f>
        <v>CP082-New Donor 7th Visit-Bonus</v>
      </c>
      <c r="M3218" t="str">
        <f t="shared" si="355"/>
        <v>CP082-NEW DONOR -7th</v>
      </c>
    </row>
    <row r="3219" spans="1:13" x14ac:dyDescent="0.25">
      <c r="A3219" t="str">
        <f t="shared" si="356"/>
        <v>CP082-NEW DONOR -8th</v>
      </c>
      <c r="B3219" t="s">
        <v>264</v>
      </c>
      <c r="C3219" t="str">
        <f t="shared" si="350"/>
        <v>Youngstown</v>
      </c>
      <c r="D3219" t="str">
        <f t="shared" si="351"/>
        <v>Y</v>
      </c>
      <c r="E3219" t="s">
        <v>680</v>
      </c>
      <c r="F3219" t="str">
        <f t="shared" si="352"/>
        <v>NEW DONOR -8th</v>
      </c>
      <c r="G3219" t="str">
        <f t="shared" si="353"/>
        <v>Marketing</v>
      </c>
      <c r="H3219" t="s">
        <v>562</v>
      </c>
      <c r="I3219">
        <f t="shared" si="354"/>
        <v>8</v>
      </c>
      <c r="J3219" t="s">
        <v>546</v>
      </c>
      <c r="K3219" s="5">
        <v>45</v>
      </c>
      <c r="L3219" t="str">
        <f>Table_DataFromNL[[#This Row],[PROFILECODE]]&amp;"-"&amp;Table_DataFromNL[[#This Row],[RULENAME]]</f>
        <v>CP082-New Donor 8th Visit-Bonus</v>
      </c>
      <c r="M3219" t="str">
        <f t="shared" si="355"/>
        <v>CP082-NEW DONOR -8th</v>
      </c>
    </row>
    <row r="3220" spans="1:13" x14ac:dyDescent="0.25">
      <c r="A3220" t="str">
        <f t="shared" si="356"/>
        <v>CP082-Community</v>
      </c>
      <c r="B3220" t="s">
        <v>264</v>
      </c>
      <c r="C3220" t="str">
        <f t="shared" si="350"/>
        <v>Youngstown</v>
      </c>
      <c r="D3220" t="str">
        <f t="shared" si="351"/>
        <v>Y</v>
      </c>
      <c r="E3220" t="s">
        <v>680</v>
      </c>
      <c r="F3220" t="str">
        <f t="shared" si="352"/>
        <v>Community</v>
      </c>
      <c r="G3220">
        <f t="shared" si="353"/>
        <v>0</v>
      </c>
      <c r="H3220" t="s">
        <v>563</v>
      </c>
      <c r="I3220">
        <f t="shared" si="354"/>
        <v>0</v>
      </c>
      <c r="J3220" t="s">
        <v>564</v>
      </c>
      <c r="K3220" s="5">
        <v>5</v>
      </c>
      <c r="L3220" t="str">
        <f>Table_DataFromNL[[#This Row],[PROFILECODE]]&amp;"-"&amp;Table_DataFromNL[[#This Row],[RULENAME]]</f>
        <v>CP082-Community</v>
      </c>
      <c r="M3220" t="e">
        <f t="shared" si="355"/>
        <v>#N/A</v>
      </c>
    </row>
    <row r="3221" spans="1:13" x14ac:dyDescent="0.25">
      <c r="A3221" t="str">
        <f t="shared" si="356"/>
        <v>CP082-HANGER_RECRUIT_5USD_once</v>
      </c>
      <c r="B3221" t="s">
        <v>264</v>
      </c>
      <c r="C3221" t="str">
        <f t="shared" si="350"/>
        <v>Youngstown</v>
      </c>
      <c r="D3221" t="str">
        <f t="shared" si="351"/>
        <v>Y</v>
      </c>
      <c r="E3221" t="s">
        <v>680</v>
      </c>
      <c r="F3221" t="str">
        <f t="shared" si="352"/>
        <v>HANGER_RECRUIT_5USD_once</v>
      </c>
      <c r="G3221">
        <f t="shared" si="353"/>
        <v>0</v>
      </c>
      <c r="H3221" t="s">
        <v>565</v>
      </c>
      <c r="I3221">
        <f t="shared" si="354"/>
        <v>0</v>
      </c>
      <c r="J3221" t="s">
        <v>564</v>
      </c>
      <c r="K3221" s="5">
        <v>5</v>
      </c>
      <c r="L3221" t="str">
        <f>Table_DataFromNL[[#This Row],[PROFILECODE]]&amp;"-"&amp;Table_DataFromNL[[#This Row],[RULENAME]]</f>
        <v>CP082-HANGER_RECRUIT_5USD_once</v>
      </c>
      <c r="M3221" t="e">
        <f t="shared" si="355"/>
        <v>#N/A</v>
      </c>
    </row>
    <row r="3222" spans="1:13" x14ac:dyDescent="0.25">
      <c r="A3222" t="str">
        <f t="shared" si="356"/>
        <v>CP082-Immunization Boost Payment</v>
      </c>
      <c r="B3222" t="s">
        <v>264</v>
      </c>
      <c r="C3222" t="str">
        <f t="shared" si="350"/>
        <v>Youngstown</v>
      </c>
      <c r="D3222" t="str">
        <f t="shared" si="351"/>
        <v>Y</v>
      </c>
      <c r="E3222" t="s">
        <v>680</v>
      </c>
      <c r="F3222" t="str">
        <f t="shared" si="352"/>
        <v>Immunization Boost Payment</v>
      </c>
      <c r="G3222">
        <f t="shared" si="353"/>
        <v>0</v>
      </c>
      <c r="H3222" t="s">
        <v>598</v>
      </c>
      <c r="I3222">
        <f t="shared" si="354"/>
        <v>0</v>
      </c>
      <c r="J3222" t="s">
        <v>564</v>
      </c>
      <c r="K3222" s="5">
        <v>50</v>
      </c>
      <c r="L3222" t="str">
        <f>Table_DataFromNL[[#This Row],[PROFILECODE]]&amp;"-"&amp;Table_DataFromNL[[#This Row],[RULENAME]]</f>
        <v>CP082-Immunization Boost Payment</v>
      </c>
      <c r="M3222" t="e">
        <f t="shared" si="355"/>
        <v>#N/A</v>
      </c>
    </row>
    <row r="3223" spans="1:13" x14ac:dyDescent="0.25">
      <c r="A3223" t="str">
        <f t="shared" si="356"/>
        <v>CP082-Immunization Series Payment</v>
      </c>
      <c r="B3223" t="s">
        <v>264</v>
      </c>
      <c r="C3223" t="str">
        <f t="shared" si="350"/>
        <v>Youngstown</v>
      </c>
      <c r="D3223" t="str">
        <f t="shared" si="351"/>
        <v>Y</v>
      </c>
      <c r="E3223" t="s">
        <v>680</v>
      </c>
      <c r="F3223" t="str">
        <f t="shared" si="352"/>
        <v>Immunization Series Payment</v>
      </c>
      <c r="G3223">
        <f t="shared" si="353"/>
        <v>0</v>
      </c>
      <c r="H3223" t="s">
        <v>599</v>
      </c>
      <c r="I3223">
        <f t="shared" si="354"/>
        <v>0</v>
      </c>
      <c r="J3223" t="s">
        <v>564</v>
      </c>
      <c r="K3223" s="5">
        <v>100</v>
      </c>
      <c r="L3223" t="str">
        <f>Table_DataFromNL[[#This Row],[PROFILECODE]]&amp;"-"&amp;Table_DataFromNL[[#This Row],[RULENAME]]</f>
        <v>CP082-Immunization Series Payment</v>
      </c>
      <c r="M3223" t="e">
        <f t="shared" si="355"/>
        <v>#N/A</v>
      </c>
    </row>
    <row r="3224" spans="1:13" x14ac:dyDescent="0.25">
      <c r="A3224" t="str">
        <f t="shared" si="356"/>
        <v>CP082-Inconv Fee $20-$50-Comment Req'd</v>
      </c>
      <c r="B3224" t="s">
        <v>264</v>
      </c>
      <c r="C3224" t="str">
        <f t="shared" si="350"/>
        <v>Youngstown</v>
      </c>
      <c r="D3224" t="str">
        <f t="shared" si="351"/>
        <v>Y</v>
      </c>
      <c r="E3224" t="s">
        <v>680</v>
      </c>
      <c r="F3224" t="str">
        <f t="shared" si="352"/>
        <v>Inconv Fee $20-$50-Comment Req'd</v>
      </c>
      <c r="G3224">
        <f t="shared" si="353"/>
        <v>0</v>
      </c>
      <c r="H3224" t="s">
        <v>566</v>
      </c>
      <c r="I3224">
        <f t="shared" si="354"/>
        <v>0</v>
      </c>
      <c r="J3224" t="s">
        <v>564</v>
      </c>
      <c r="K3224" s="5">
        <v>50</v>
      </c>
      <c r="L3224" t="str">
        <f>Table_DataFromNL[[#This Row],[PROFILECODE]]&amp;"-"&amp;Table_DataFromNL[[#This Row],[RULENAME]]</f>
        <v>CP082-Inconv Fee $20-$50-Comment Req'd</v>
      </c>
      <c r="M3224" t="e">
        <f t="shared" si="355"/>
        <v>#N/A</v>
      </c>
    </row>
    <row r="3225" spans="1:13" x14ac:dyDescent="0.25">
      <c r="A3225" t="str">
        <f t="shared" si="356"/>
        <v>CP082-Inconv Fee $5-$20-Comment Req'd</v>
      </c>
      <c r="B3225" t="s">
        <v>264</v>
      </c>
      <c r="C3225" t="str">
        <f t="shared" si="350"/>
        <v>Youngstown</v>
      </c>
      <c r="D3225" t="str">
        <f t="shared" si="351"/>
        <v>Y</v>
      </c>
      <c r="E3225" t="s">
        <v>680</v>
      </c>
      <c r="F3225" t="str">
        <f t="shared" si="352"/>
        <v>Inconv Fee $5-$20-Comment Req'd</v>
      </c>
      <c r="G3225">
        <f t="shared" si="353"/>
        <v>0</v>
      </c>
      <c r="H3225" t="s">
        <v>567</v>
      </c>
      <c r="I3225">
        <f t="shared" si="354"/>
        <v>0</v>
      </c>
      <c r="J3225" t="s">
        <v>564</v>
      </c>
      <c r="K3225" s="5">
        <v>20</v>
      </c>
      <c r="L3225" t="str">
        <f>Table_DataFromNL[[#This Row],[PROFILECODE]]&amp;"-"&amp;Table_DataFromNL[[#This Row],[RULENAME]]</f>
        <v>CP082-Inconv Fee $5-$20-Comment Req'd</v>
      </c>
      <c r="M3225" t="e">
        <f t="shared" si="355"/>
        <v>#N/A</v>
      </c>
    </row>
    <row r="3226" spans="1:13" x14ac:dyDescent="0.25">
      <c r="A3226" t="str">
        <f t="shared" si="356"/>
        <v>CP082-Inconv Fee$50-$100-Comment Req'd</v>
      </c>
      <c r="B3226" t="s">
        <v>264</v>
      </c>
      <c r="C3226" t="str">
        <f t="shared" si="350"/>
        <v>Youngstown</v>
      </c>
      <c r="D3226" t="str">
        <f t="shared" si="351"/>
        <v>Y</v>
      </c>
      <c r="E3226" t="s">
        <v>680</v>
      </c>
      <c r="F3226" t="str">
        <f t="shared" si="352"/>
        <v>Inconv Fee$50-$100-Comment Req'd</v>
      </c>
      <c r="G3226">
        <f t="shared" si="353"/>
        <v>0</v>
      </c>
      <c r="H3226" t="s">
        <v>568</v>
      </c>
      <c r="I3226">
        <f t="shared" si="354"/>
        <v>0</v>
      </c>
      <c r="J3226" t="s">
        <v>564</v>
      </c>
      <c r="K3226" s="5">
        <v>100</v>
      </c>
      <c r="L3226" t="str">
        <f>Table_DataFromNL[[#This Row],[PROFILECODE]]&amp;"-"&amp;Table_DataFromNL[[#This Row],[RULENAME]]</f>
        <v>CP082-Inconv Fee$50-$100-Comment Req'd</v>
      </c>
      <c r="M3226" t="e">
        <f t="shared" si="355"/>
        <v>#N/A</v>
      </c>
    </row>
    <row r="3227" spans="1:13" x14ac:dyDescent="0.25">
      <c r="A3227" t="str">
        <f t="shared" si="356"/>
        <v>CP082-NSP_ LAPSEDONOR_50_Twice</v>
      </c>
      <c r="B3227" t="s">
        <v>264</v>
      </c>
      <c r="C3227" t="str">
        <f t="shared" si="350"/>
        <v>Youngstown</v>
      </c>
      <c r="D3227" t="str">
        <f t="shared" si="351"/>
        <v>Y</v>
      </c>
      <c r="E3227" t="s">
        <v>680</v>
      </c>
      <c r="F3227" t="str">
        <f t="shared" si="352"/>
        <v>NSP_ LAPSEDONOR_50_Twice</v>
      </c>
      <c r="G3227">
        <f t="shared" si="353"/>
        <v>0</v>
      </c>
      <c r="H3227" t="s">
        <v>569</v>
      </c>
      <c r="I3227">
        <f t="shared" si="354"/>
        <v>0</v>
      </c>
      <c r="J3227" t="s">
        <v>564</v>
      </c>
      <c r="K3227" s="5">
        <v>50</v>
      </c>
      <c r="L3227" t="str">
        <f>Table_DataFromNL[[#This Row],[PROFILECODE]]&amp;"-"&amp;Table_DataFromNL[[#This Row],[RULENAME]]</f>
        <v>CP082-NSP_ LAPSEDONOR_50_Twice</v>
      </c>
      <c r="M3227" t="e">
        <f t="shared" si="355"/>
        <v>#N/A</v>
      </c>
    </row>
    <row r="3228" spans="1:13" x14ac:dyDescent="0.25">
      <c r="A3228" t="str">
        <f t="shared" si="356"/>
        <v>CP082-NSP_LD_25_2X</v>
      </c>
      <c r="B3228" t="s">
        <v>264</v>
      </c>
      <c r="C3228" t="str">
        <f t="shared" si="350"/>
        <v>Youngstown</v>
      </c>
      <c r="D3228" t="str">
        <f t="shared" si="351"/>
        <v>Y</v>
      </c>
      <c r="E3228" t="s">
        <v>680</v>
      </c>
      <c r="F3228" t="str">
        <f t="shared" si="352"/>
        <v>NSP_LD_25_2X</v>
      </c>
      <c r="G3228">
        <f t="shared" si="353"/>
        <v>0</v>
      </c>
      <c r="H3228" t="s">
        <v>570</v>
      </c>
      <c r="I3228">
        <f t="shared" si="354"/>
        <v>0</v>
      </c>
      <c r="J3228" t="s">
        <v>564</v>
      </c>
      <c r="K3228" s="5">
        <v>25</v>
      </c>
      <c r="L3228" t="str">
        <f>Table_DataFromNL[[#This Row],[PROFILECODE]]&amp;"-"&amp;Table_DataFromNL[[#This Row],[RULENAME]]</f>
        <v>CP082-NSP_LD_25_2X</v>
      </c>
      <c r="M3228" t="e">
        <f t="shared" si="355"/>
        <v>#N/A</v>
      </c>
    </row>
    <row r="3229" spans="1:13" x14ac:dyDescent="0.25">
      <c r="A3229" t="str">
        <f t="shared" si="356"/>
        <v>CP082-NSP_LD_50_1X</v>
      </c>
      <c r="B3229" t="s">
        <v>264</v>
      </c>
      <c r="C3229" t="str">
        <f t="shared" si="350"/>
        <v>Youngstown</v>
      </c>
      <c r="D3229" t="str">
        <f t="shared" si="351"/>
        <v>Y</v>
      </c>
      <c r="E3229" t="s">
        <v>680</v>
      </c>
      <c r="F3229" t="str">
        <f t="shared" si="352"/>
        <v>NSP_LD_50_1X</v>
      </c>
      <c r="G3229">
        <f t="shared" si="353"/>
        <v>0</v>
      </c>
      <c r="H3229" t="s">
        <v>571</v>
      </c>
      <c r="I3229">
        <f t="shared" si="354"/>
        <v>0</v>
      </c>
      <c r="J3229" t="s">
        <v>564</v>
      </c>
      <c r="K3229" s="5">
        <v>50</v>
      </c>
      <c r="L3229" t="str">
        <f>Table_DataFromNL[[#This Row],[PROFILECODE]]&amp;"-"&amp;Table_DataFromNL[[#This Row],[RULENAME]]</f>
        <v>CP082-NSP_LD_50_1X</v>
      </c>
      <c r="M3229" t="e">
        <f t="shared" si="355"/>
        <v>#N/A</v>
      </c>
    </row>
    <row r="3230" spans="1:13" x14ac:dyDescent="0.25">
      <c r="A3230" t="str">
        <f t="shared" si="356"/>
        <v>CP082-NSP_ORPHAN_100_once</v>
      </c>
      <c r="B3230" t="s">
        <v>264</v>
      </c>
      <c r="C3230" t="str">
        <f t="shared" si="350"/>
        <v>Youngstown</v>
      </c>
      <c r="D3230" t="str">
        <f t="shared" si="351"/>
        <v>Y</v>
      </c>
      <c r="E3230" t="s">
        <v>680</v>
      </c>
      <c r="F3230" t="str">
        <f t="shared" si="352"/>
        <v>NSP_ORPHAN_100_once</v>
      </c>
      <c r="G3230">
        <f t="shared" si="353"/>
        <v>0</v>
      </c>
      <c r="H3230" t="s">
        <v>572</v>
      </c>
      <c r="I3230">
        <f t="shared" si="354"/>
        <v>0</v>
      </c>
      <c r="J3230" t="s">
        <v>564</v>
      </c>
      <c r="K3230" s="5">
        <v>100</v>
      </c>
      <c r="L3230" t="str">
        <f>Table_DataFromNL[[#This Row],[PROFILECODE]]&amp;"-"&amp;Table_DataFromNL[[#This Row],[RULENAME]]</f>
        <v>CP082-NSP_ORPHAN_100_once</v>
      </c>
      <c r="M3230" t="e">
        <f t="shared" si="355"/>
        <v>#N/A</v>
      </c>
    </row>
    <row r="3231" spans="1:13" x14ac:dyDescent="0.25">
      <c r="A3231" t="str">
        <f t="shared" si="356"/>
        <v>CP082-Restick</v>
      </c>
      <c r="B3231" t="s">
        <v>264</v>
      </c>
      <c r="C3231" t="str">
        <f t="shared" si="350"/>
        <v>Youngstown</v>
      </c>
      <c r="D3231" t="str">
        <f t="shared" si="351"/>
        <v>Y</v>
      </c>
      <c r="E3231" t="s">
        <v>680</v>
      </c>
      <c r="F3231" t="str">
        <f t="shared" si="352"/>
        <v>Restick</v>
      </c>
      <c r="G3231">
        <f t="shared" si="353"/>
        <v>0</v>
      </c>
      <c r="H3231" t="s">
        <v>573</v>
      </c>
      <c r="I3231">
        <f t="shared" si="354"/>
        <v>0</v>
      </c>
      <c r="J3231" t="s">
        <v>564</v>
      </c>
      <c r="K3231" s="5">
        <v>5</v>
      </c>
      <c r="L3231" t="str">
        <f>Table_DataFromNL[[#This Row],[PROFILECODE]]&amp;"-"&amp;Table_DataFromNL[[#This Row],[RULENAME]]</f>
        <v>CP082-Restick</v>
      </c>
      <c r="M3231" t="e">
        <f t="shared" si="355"/>
        <v>#N/A</v>
      </c>
    </row>
    <row r="3232" spans="1:13" x14ac:dyDescent="0.25">
      <c r="A3232" t="str">
        <f t="shared" si="356"/>
        <v>CP082-SLOW_TEXT_5</v>
      </c>
      <c r="B3232" t="s">
        <v>264</v>
      </c>
      <c r="C3232" t="str">
        <f t="shared" si="350"/>
        <v>Youngstown</v>
      </c>
      <c r="D3232" t="str">
        <f t="shared" si="351"/>
        <v>Y</v>
      </c>
      <c r="E3232" t="s">
        <v>680</v>
      </c>
      <c r="F3232" t="str">
        <f t="shared" si="352"/>
        <v>SLOW_TEXT_5</v>
      </c>
      <c r="G3232">
        <f t="shared" si="353"/>
        <v>0</v>
      </c>
      <c r="H3232" t="s">
        <v>574</v>
      </c>
      <c r="I3232">
        <f t="shared" si="354"/>
        <v>0</v>
      </c>
      <c r="J3232" t="s">
        <v>564</v>
      </c>
      <c r="K3232" s="5">
        <v>5</v>
      </c>
      <c r="L3232" t="str">
        <f>Table_DataFromNL[[#This Row],[PROFILECODE]]&amp;"-"&amp;Table_DataFromNL[[#This Row],[RULENAME]]</f>
        <v>CP082-SLOW_TEXT_5</v>
      </c>
      <c r="M3232" t="e">
        <f t="shared" si="355"/>
        <v>#N/A</v>
      </c>
    </row>
    <row r="3233" spans="1:13" x14ac:dyDescent="0.25">
      <c r="A3233" t="str">
        <f t="shared" si="356"/>
        <v>CP082-Sample Only</v>
      </c>
      <c r="B3233" t="s">
        <v>264</v>
      </c>
      <c r="C3233" t="str">
        <f t="shared" si="350"/>
        <v>Youngstown</v>
      </c>
      <c r="D3233" t="str">
        <f t="shared" si="351"/>
        <v>Y</v>
      </c>
      <c r="E3233" t="s">
        <v>680</v>
      </c>
      <c r="F3233" t="str">
        <f t="shared" si="352"/>
        <v>Sample Only</v>
      </c>
      <c r="G3233">
        <f t="shared" si="353"/>
        <v>0</v>
      </c>
      <c r="H3233" t="s">
        <v>575</v>
      </c>
      <c r="I3233">
        <f t="shared" si="354"/>
        <v>0</v>
      </c>
      <c r="J3233" t="s">
        <v>564</v>
      </c>
      <c r="K3233" s="5">
        <v>5</v>
      </c>
      <c r="L3233" t="str">
        <f>Table_DataFromNL[[#This Row],[PROFILECODE]]&amp;"-"&amp;Table_DataFromNL[[#This Row],[RULENAME]]</f>
        <v>CP082-Sample Only</v>
      </c>
      <c r="M3233" t="e">
        <f t="shared" si="355"/>
        <v>#N/A</v>
      </c>
    </row>
    <row r="3234" spans="1:13" x14ac:dyDescent="0.25">
      <c r="A3234" t="str">
        <f t="shared" si="356"/>
        <v>CP082-Unit Below 250 mL</v>
      </c>
      <c r="B3234" t="s">
        <v>264</v>
      </c>
      <c r="C3234" t="str">
        <f t="shared" si="350"/>
        <v>Youngstown</v>
      </c>
      <c r="D3234" t="str">
        <f t="shared" si="351"/>
        <v>Y</v>
      </c>
      <c r="E3234" t="s">
        <v>680</v>
      </c>
      <c r="F3234" t="str">
        <f t="shared" si="352"/>
        <v>Unit Below 250 mL</v>
      </c>
      <c r="G3234">
        <f t="shared" si="353"/>
        <v>0</v>
      </c>
      <c r="H3234" t="s">
        <v>576</v>
      </c>
      <c r="I3234">
        <f t="shared" si="354"/>
        <v>0</v>
      </c>
      <c r="J3234" t="s">
        <v>564</v>
      </c>
      <c r="K3234" s="5">
        <v>5</v>
      </c>
      <c r="L3234" t="str">
        <f>Table_DataFromNL[[#This Row],[PROFILECODE]]&amp;"-"&amp;Table_DataFromNL[[#This Row],[RULENAME]]</f>
        <v>CP082-Unit Below 250 mL</v>
      </c>
      <c r="M3234" t="e">
        <f t="shared" si="355"/>
        <v>#N/A</v>
      </c>
    </row>
    <row r="3235" spans="1:13" x14ac:dyDescent="0.25">
      <c r="A3235" t="str">
        <f t="shared" si="356"/>
        <v>CP082-Unit above 250 mL/underdraw</v>
      </c>
      <c r="B3235" t="s">
        <v>264</v>
      </c>
      <c r="C3235" t="str">
        <f t="shared" si="350"/>
        <v>Youngstown</v>
      </c>
      <c r="D3235" t="str">
        <f t="shared" si="351"/>
        <v>Y</v>
      </c>
      <c r="E3235" t="s">
        <v>680</v>
      </c>
      <c r="F3235" t="str">
        <f t="shared" si="352"/>
        <v>Unit above 250 mL/underdraw</v>
      </c>
      <c r="G3235">
        <f t="shared" si="353"/>
        <v>0</v>
      </c>
      <c r="H3235" t="s">
        <v>577</v>
      </c>
      <c r="I3235">
        <f t="shared" si="354"/>
        <v>0</v>
      </c>
      <c r="J3235" t="s">
        <v>564</v>
      </c>
      <c r="K3235" s="5">
        <v>10</v>
      </c>
      <c r="L3235" t="str">
        <f>Table_DataFromNL[[#This Row],[PROFILECODE]]&amp;"-"&amp;Table_DataFromNL[[#This Row],[RULENAME]]</f>
        <v>CP082-Unit above 250 mL/underdraw</v>
      </c>
      <c r="M3235" t="e">
        <f t="shared" si="355"/>
        <v>#N/A</v>
      </c>
    </row>
    <row r="3236" spans="1:13" x14ac:dyDescent="0.25">
      <c r="A3236" t="str">
        <f t="shared" si="356"/>
        <v>CP082-RETURN - Buddy referral  -BONUS</v>
      </c>
      <c r="B3236" t="s">
        <v>264</v>
      </c>
      <c r="C3236" t="str">
        <f t="shared" si="350"/>
        <v>Youngstown</v>
      </c>
      <c r="D3236" t="str">
        <f t="shared" si="351"/>
        <v>Y</v>
      </c>
      <c r="E3236" t="s">
        <v>680</v>
      </c>
      <c r="F3236" t="str">
        <f t="shared" si="352"/>
        <v>RETURN - Buddy referral  -BONUS</v>
      </c>
      <c r="G3236" t="str">
        <f t="shared" si="353"/>
        <v>Marketing</v>
      </c>
      <c r="H3236" t="s">
        <v>34</v>
      </c>
      <c r="I3236">
        <f t="shared" si="354"/>
        <v>50</v>
      </c>
      <c r="J3236" t="s">
        <v>578</v>
      </c>
      <c r="K3236" s="5">
        <v>50</v>
      </c>
      <c r="L3236" t="str">
        <f>Table_DataFromNL[[#This Row],[PROFILECODE]]&amp;"-"&amp;Table_DataFromNL[[#This Row],[RULENAME]]</f>
        <v>CP082-Referral</v>
      </c>
      <c r="M3236" t="str">
        <f t="shared" si="355"/>
        <v>CP082-RETURN - Buddy referral  -BONUS</v>
      </c>
    </row>
    <row r="3237" spans="1:13" x14ac:dyDescent="0.25">
      <c r="A3237" t="str">
        <f t="shared" si="356"/>
        <v>CP082-P Anti-D Pre-Existing Standard</v>
      </c>
      <c r="B3237" t="s">
        <v>264</v>
      </c>
      <c r="C3237" t="str">
        <f t="shared" si="350"/>
        <v>Youngstown</v>
      </c>
      <c r="D3237" t="str">
        <f t="shared" si="351"/>
        <v>Y</v>
      </c>
      <c r="E3237" t="s">
        <v>680</v>
      </c>
      <c r="F3237" t="str">
        <f t="shared" si="352"/>
        <v>P Anti-D Pre-Existing Standard</v>
      </c>
      <c r="G3237" t="str">
        <f t="shared" si="353"/>
        <v>Specialty</v>
      </c>
      <c r="H3237" t="s">
        <v>469</v>
      </c>
      <c r="I3237" t="str">
        <f t="shared" si="354"/>
        <v>RETURN - 1st don of the week -STD</v>
      </c>
      <c r="J3237" t="s">
        <v>579</v>
      </c>
      <c r="K3237" s="5">
        <v>50</v>
      </c>
      <c r="L3237" t="str">
        <f>Table_DataFromNL[[#This Row],[PROFILECODE]]&amp;"-"&amp;Table_DataFromNL[[#This Row],[RULENAME]]</f>
        <v>CP082-P Anti-D Pre-Existing Standard</v>
      </c>
      <c r="M3237" t="str">
        <f t="shared" si="355"/>
        <v>CP082-P Anti-D Pre-Existing Standard</v>
      </c>
    </row>
    <row r="3238" spans="1:13" x14ac:dyDescent="0.25">
      <c r="A3238" t="str">
        <f t="shared" si="356"/>
        <v>CP082-P Anti-D Standard</v>
      </c>
      <c r="B3238" t="s">
        <v>264</v>
      </c>
      <c r="C3238" t="str">
        <f t="shared" si="350"/>
        <v>Youngstown</v>
      </c>
      <c r="D3238" t="str">
        <f t="shared" si="351"/>
        <v>Y</v>
      </c>
      <c r="E3238" t="s">
        <v>680</v>
      </c>
      <c r="F3238" t="str">
        <f t="shared" si="352"/>
        <v>P Anti-D Standard</v>
      </c>
      <c r="G3238" t="str">
        <f t="shared" si="353"/>
        <v>Specialty</v>
      </c>
      <c r="H3238" t="s">
        <v>474</v>
      </c>
      <c r="I3238" t="str">
        <f t="shared" si="354"/>
        <v>RETURN - 1st don of the week -STD</v>
      </c>
      <c r="J3238" t="s">
        <v>579</v>
      </c>
      <c r="K3238" s="5">
        <v>75</v>
      </c>
      <c r="L3238" t="str">
        <f>Table_DataFromNL[[#This Row],[PROFILECODE]]&amp;"-"&amp;Table_DataFromNL[[#This Row],[RULENAME]]</f>
        <v>CP082-P Anti-D Standard</v>
      </c>
      <c r="M3238" t="str">
        <f t="shared" si="355"/>
        <v>CP082-P Anti-D Standard</v>
      </c>
    </row>
    <row r="3239" spans="1:13" x14ac:dyDescent="0.25">
      <c r="A3239" t="str">
        <f t="shared" si="356"/>
        <v>CP082-P CMV Standard</v>
      </c>
      <c r="B3239" t="s">
        <v>264</v>
      </c>
      <c r="C3239" t="str">
        <f t="shared" si="350"/>
        <v>Youngstown</v>
      </c>
      <c r="D3239" t="str">
        <f t="shared" si="351"/>
        <v>Y</v>
      </c>
      <c r="E3239" t="s">
        <v>680</v>
      </c>
      <c r="F3239" t="str">
        <f t="shared" si="352"/>
        <v>P CMV Standard</v>
      </c>
      <c r="G3239" t="str">
        <f t="shared" si="353"/>
        <v>Specialty</v>
      </c>
      <c r="H3239" t="s">
        <v>501</v>
      </c>
      <c r="I3239" t="str">
        <f t="shared" si="354"/>
        <v>RETURN - 1st don of the week -STD</v>
      </c>
      <c r="J3239" t="s">
        <v>579</v>
      </c>
      <c r="K3239" s="5">
        <v>50</v>
      </c>
      <c r="L3239" t="str">
        <f>Table_DataFromNL[[#This Row],[PROFILECODE]]&amp;"-"&amp;Table_DataFromNL[[#This Row],[RULENAME]]</f>
        <v>CP082-P CMV Standard</v>
      </c>
      <c r="M3239" t="str">
        <f t="shared" si="355"/>
        <v>CP082-P CMV Standard</v>
      </c>
    </row>
    <row r="3240" spans="1:13" x14ac:dyDescent="0.25">
      <c r="A3240" t="str">
        <f t="shared" si="356"/>
        <v>CP082-RETURN - 1st don of the week -STD</v>
      </c>
      <c r="B3240" t="s">
        <v>264</v>
      </c>
      <c r="C3240" t="str">
        <f t="shared" si="350"/>
        <v>Youngstown</v>
      </c>
      <c r="D3240" t="str">
        <f t="shared" si="351"/>
        <v>Y</v>
      </c>
      <c r="E3240" t="s">
        <v>680</v>
      </c>
      <c r="F3240" t="str">
        <f t="shared" si="352"/>
        <v>RETURN - 1st don of the week -STD</v>
      </c>
      <c r="G3240" t="str">
        <f t="shared" si="353"/>
        <v>Marketing</v>
      </c>
      <c r="H3240" t="s">
        <v>583</v>
      </c>
      <c r="I3240">
        <f t="shared" si="354"/>
        <v>22</v>
      </c>
      <c r="J3240" t="s">
        <v>579</v>
      </c>
      <c r="K3240" s="5">
        <v>45</v>
      </c>
      <c r="L3240" t="str">
        <f>Table_DataFromNL[[#This Row],[PROFILECODE]]&amp;"-"&amp;Table_DataFromNL[[#This Row],[RULENAME]]</f>
        <v>CP082-P NSP NS AP Standard</v>
      </c>
      <c r="M3240" t="str">
        <f t="shared" si="355"/>
        <v>CP082-RETURN - 1st don of the week -STD</v>
      </c>
    </row>
    <row r="3241" spans="1:13" x14ac:dyDescent="0.25">
      <c r="A3241" t="str">
        <f t="shared" si="356"/>
        <v>CP082-RETURN - 1st don of the week -STD</v>
      </c>
      <c r="B3241" t="s">
        <v>264</v>
      </c>
      <c r="C3241" t="str">
        <f t="shared" si="350"/>
        <v>Youngstown</v>
      </c>
      <c r="D3241" t="str">
        <f t="shared" si="351"/>
        <v>Y</v>
      </c>
      <c r="E3241" t="s">
        <v>680</v>
      </c>
      <c r="F3241" t="str">
        <f t="shared" si="352"/>
        <v>RETURN - 1st don of the week -STD</v>
      </c>
      <c r="G3241" t="str">
        <f t="shared" si="353"/>
        <v>Marketing</v>
      </c>
      <c r="H3241" t="s">
        <v>584</v>
      </c>
      <c r="I3241">
        <f t="shared" si="354"/>
        <v>23</v>
      </c>
      <c r="J3241" t="s">
        <v>579</v>
      </c>
      <c r="K3241" s="5">
        <v>45</v>
      </c>
      <c r="L3241" t="str">
        <f>Table_DataFromNL[[#This Row],[PROFILECODE]]&amp;"-"&amp;Table_DataFromNL[[#This Row],[RULENAME]]</f>
        <v>CP082-P NSP NS Standard</v>
      </c>
      <c r="M3241" t="str">
        <f t="shared" si="355"/>
        <v>CP082-RETURN - 1st don of the week -STD</v>
      </c>
    </row>
    <row r="3242" spans="1:13" x14ac:dyDescent="0.25">
      <c r="A3242" t="str">
        <f t="shared" si="356"/>
        <v>CP082-P Tetanus AP Standard</v>
      </c>
      <c r="B3242" t="s">
        <v>264</v>
      </c>
      <c r="C3242" t="str">
        <f t="shared" si="350"/>
        <v>Youngstown</v>
      </c>
      <c r="D3242" t="str">
        <f t="shared" si="351"/>
        <v>Y</v>
      </c>
      <c r="E3242" t="s">
        <v>680</v>
      </c>
      <c r="F3242" t="str">
        <f t="shared" si="352"/>
        <v>P Tetanus AP Standard</v>
      </c>
      <c r="G3242" t="str">
        <f t="shared" si="353"/>
        <v>Specialty</v>
      </c>
      <c r="H3242" t="s">
        <v>492</v>
      </c>
      <c r="I3242" t="str">
        <f t="shared" si="354"/>
        <v>RETURN - 1st don of the week -STD</v>
      </c>
      <c r="J3242" t="s">
        <v>579</v>
      </c>
      <c r="K3242" s="5">
        <v>50</v>
      </c>
      <c r="L3242" t="str">
        <f>Table_DataFromNL[[#This Row],[PROFILECODE]]&amp;"-"&amp;Table_DataFromNL[[#This Row],[RULENAME]]</f>
        <v>CP082-P Tetanus AP Standard</v>
      </c>
      <c r="M3242" t="str">
        <f t="shared" si="355"/>
        <v>CP082-P Tetanus AP Standard</v>
      </c>
    </row>
    <row r="3243" spans="1:13" x14ac:dyDescent="0.25">
      <c r="A3243" t="str">
        <f t="shared" si="356"/>
        <v>CP082-P Tetanus Pre-Existing Standard</v>
      </c>
      <c r="B3243" t="s">
        <v>264</v>
      </c>
      <c r="C3243" t="str">
        <f t="shared" si="350"/>
        <v>Youngstown</v>
      </c>
      <c r="D3243" t="str">
        <f t="shared" si="351"/>
        <v>Y</v>
      </c>
      <c r="E3243" t="s">
        <v>680</v>
      </c>
      <c r="F3243" t="str">
        <f t="shared" si="352"/>
        <v>P Tetanus Pre-Existing Standard</v>
      </c>
      <c r="G3243" t="str">
        <f t="shared" si="353"/>
        <v>Specialty</v>
      </c>
      <c r="H3243" t="s">
        <v>493</v>
      </c>
      <c r="I3243" t="str">
        <f t="shared" si="354"/>
        <v>RETURN - 1st don of the week -STD</v>
      </c>
      <c r="J3243" t="s">
        <v>579</v>
      </c>
      <c r="K3243" s="5">
        <v>50</v>
      </c>
      <c r="L3243" t="str">
        <f>Table_DataFromNL[[#This Row],[PROFILECODE]]&amp;"-"&amp;Table_DataFromNL[[#This Row],[RULENAME]]</f>
        <v>CP082-P Tetanus Pre-Existing Standard</v>
      </c>
      <c r="M3243" t="str">
        <f t="shared" si="355"/>
        <v>CP082-P Tetanus Pre-Existing Standard</v>
      </c>
    </row>
    <row r="3244" spans="1:13" x14ac:dyDescent="0.25">
      <c r="A3244" t="str">
        <f t="shared" si="356"/>
        <v>CP082-P Tetanus Standard</v>
      </c>
      <c r="B3244" t="s">
        <v>264</v>
      </c>
      <c r="C3244" t="str">
        <f t="shared" si="350"/>
        <v>Youngstown</v>
      </c>
      <c r="D3244" t="str">
        <f t="shared" si="351"/>
        <v>Y</v>
      </c>
      <c r="E3244" t="s">
        <v>680</v>
      </c>
      <c r="F3244" t="str">
        <f t="shared" si="352"/>
        <v>P Tetanus Standard</v>
      </c>
      <c r="G3244" t="str">
        <f t="shared" si="353"/>
        <v>Specialty</v>
      </c>
      <c r="H3244" t="s">
        <v>494</v>
      </c>
      <c r="I3244" t="str">
        <f t="shared" si="354"/>
        <v>RETURN - 1st don of the week -STD</v>
      </c>
      <c r="J3244" t="s">
        <v>579</v>
      </c>
      <c r="K3244" s="5">
        <v>50</v>
      </c>
      <c r="L3244" t="str">
        <f>Table_DataFromNL[[#This Row],[PROFILECODE]]&amp;"-"&amp;Table_DataFromNL[[#This Row],[RULENAME]]</f>
        <v>CP082-P Tetanus Standard</v>
      </c>
      <c r="M3244" t="str">
        <f t="shared" si="355"/>
        <v>CP082-P Tetanus Standard</v>
      </c>
    </row>
    <row r="3245" spans="1:13" x14ac:dyDescent="0.25">
      <c r="A3245" t="str">
        <f t="shared" si="356"/>
        <v>CP082-P Tetanus Tox Standard</v>
      </c>
      <c r="B3245" t="s">
        <v>264</v>
      </c>
      <c r="C3245" t="str">
        <f t="shared" si="350"/>
        <v>Youngstown</v>
      </c>
      <c r="D3245" t="str">
        <f t="shared" si="351"/>
        <v>Y</v>
      </c>
      <c r="E3245" t="s">
        <v>680</v>
      </c>
      <c r="F3245" t="str">
        <f t="shared" si="352"/>
        <v>P Tetanus Tox Standard</v>
      </c>
      <c r="G3245" t="str">
        <f t="shared" si="353"/>
        <v>Specialty</v>
      </c>
      <c r="H3245" t="s">
        <v>508</v>
      </c>
      <c r="I3245" t="str">
        <f t="shared" si="354"/>
        <v>RETURN - 1st don of the week -STD</v>
      </c>
      <c r="J3245" t="s">
        <v>579</v>
      </c>
      <c r="K3245" s="5">
        <v>50</v>
      </c>
      <c r="L3245" t="str">
        <f>Table_DataFromNL[[#This Row],[PROFILECODE]]&amp;"-"&amp;Table_DataFromNL[[#This Row],[RULENAME]]</f>
        <v>CP082-P Tetanus Tox Standard</v>
      </c>
      <c r="M3245" t="str">
        <f t="shared" si="355"/>
        <v>CP082-P Tetanus Tox Standard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5EB46-7F96-4DBF-BE86-ED872DC9E125}">
  <dimension ref="A1:I380"/>
  <sheetViews>
    <sheetView workbookViewId="0">
      <pane ySplit="1" topLeftCell="A23" activePane="bottomLeft" state="frozen"/>
      <selection pane="bottomLeft" activeCell="E235" sqref="E235"/>
    </sheetView>
  </sheetViews>
  <sheetFormatPr defaultRowHeight="15" x14ac:dyDescent="0.25"/>
  <cols>
    <col min="1" max="1" width="6.85546875" bestFit="1" customWidth="1"/>
    <col min="2" max="2" width="9.140625" bestFit="1" customWidth="1"/>
    <col min="3" max="3" width="27" bestFit="1" customWidth="1"/>
    <col min="4" max="4" width="22" bestFit="1" customWidth="1"/>
    <col min="5" max="5" width="29.42578125" bestFit="1" customWidth="1"/>
    <col min="6" max="6" width="35.7109375" bestFit="1" customWidth="1"/>
    <col min="7" max="7" width="28.85546875" bestFit="1" customWidth="1"/>
    <col min="8" max="8" width="35" bestFit="1" customWidth="1"/>
    <col min="9" max="9" width="8.5703125" bestFit="1" customWidth="1"/>
  </cols>
  <sheetData>
    <row r="1" spans="1:9" x14ac:dyDescent="0.25">
      <c r="A1" t="s">
        <v>681</v>
      </c>
      <c r="B1" t="s">
        <v>682</v>
      </c>
      <c r="C1" t="s">
        <v>683</v>
      </c>
      <c r="D1" t="s">
        <v>684</v>
      </c>
      <c r="E1" s="27" t="s">
        <v>685</v>
      </c>
      <c r="F1" s="27" t="s">
        <v>686</v>
      </c>
      <c r="G1" s="27" t="s">
        <v>687</v>
      </c>
      <c r="H1" s="27" t="s">
        <v>688</v>
      </c>
      <c r="I1" s="28" t="s">
        <v>689</v>
      </c>
    </row>
    <row r="2" spans="1:9" x14ac:dyDescent="0.25">
      <c r="A2" t="s">
        <v>690</v>
      </c>
      <c r="B2" t="s">
        <v>258</v>
      </c>
      <c r="C2" t="s">
        <v>691</v>
      </c>
      <c r="D2" t="s">
        <v>692</v>
      </c>
      <c r="E2" t="str">
        <f>VLOOKUP(DefaultCollections[[#This Row],[DEFAULT_COLL_TYPE]],CollectionLookups,2,FALSE)</f>
        <v>P CMV Standard</v>
      </c>
      <c r="F2" t="str">
        <f t="shared" ref="F2:F65" si="0">IFERROR(VLOOKUP(B2&amp;"-"&amp;E2,NLCollectionsLookup,1,FALSE),"NO")</f>
        <v>CP069-P CMV Standard</v>
      </c>
      <c r="G2" t="str">
        <f>VLOOKUP(DefaultCollections[[#This Row],[DEFAULT_COLL_TYPE]],CollectionLookups,3,FALSE)</f>
        <v>2X Week P CMV</v>
      </c>
      <c r="H2" t="str">
        <f t="shared" ref="H2:H65" si="1">IFERROR(VLOOKUP(B2&amp;"-"&amp;G2,NLCollectionsLookup,1,FALSE),"NO")</f>
        <v>CP069-2X Week P CMV</v>
      </c>
    </row>
    <row r="3" spans="1:9" x14ac:dyDescent="0.25">
      <c r="A3" t="s">
        <v>690</v>
      </c>
      <c r="B3" t="s">
        <v>258</v>
      </c>
      <c r="C3" t="s">
        <v>691</v>
      </c>
      <c r="D3" t="s">
        <v>693</v>
      </c>
      <c r="E3" t="str">
        <f>VLOOKUP(DefaultCollections[[#This Row],[DEFAULT_COLL_TYPE]],CollectionLookups,2,FALSE)</f>
        <v>P Anti-D Standard</v>
      </c>
      <c r="F3" t="str">
        <f t="shared" si="0"/>
        <v>CP069-P Anti-D Standard</v>
      </c>
      <c r="G3" t="str">
        <f>VLOOKUP(DefaultCollections[[#This Row],[DEFAULT_COLL_TYPE]],CollectionLookups,3,FALSE)</f>
        <v>2X Week P Anti-D</v>
      </c>
      <c r="H3" t="str">
        <f t="shared" si="1"/>
        <v>NO</v>
      </c>
    </row>
    <row r="4" spans="1:9" x14ac:dyDescent="0.25">
      <c r="A4" t="s">
        <v>690</v>
      </c>
      <c r="B4" t="s">
        <v>258</v>
      </c>
      <c r="C4" t="s">
        <v>691</v>
      </c>
      <c r="D4" t="s">
        <v>694</v>
      </c>
      <c r="E4" t="str">
        <f>VLOOKUP(DefaultCollections[[#This Row],[DEFAULT_COLL_TYPE]],CollectionLookups,2,FALSE)</f>
        <v>P Anti-D Pre-Existing Standard</v>
      </c>
      <c r="F4" t="str">
        <f t="shared" si="0"/>
        <v>CP069-P Anti-D Pre-Existing Standard</v>
      </c>
      <c r="G4">
        <f>VLOOKUP(DefaultCollections[[#This Row],[DEFAULT_COLL_TYPE]],CollectionLookups,3,FALSE)</f>
        <v>0</v>
      </c>
      <c r="H4" t="str">
        <f t="shared" si="1"/>
        <v>NO</v>
      </c>
    </row>
    <row r="5" spans="1:9" x14ac:dyDescent="0.25">
      <c r="A5" t="s">
        <v>690</v>
      </c>
      <c r="B5" t="s">
        <v>258</v>
      </c>
      <c r="C5" t="s">
        <v>691</v>
      </c>
      <c r="D5" t="s">
        <v>695</v>
      </c>
      <c r="E5" t="str">
        <f>VLOOKUP(DefaultCollections[[#This Row],[DEFAULT_COLL_TYPE]],CollectionLookups,2,FALSE)</f>
        <v>P HBS Pre-Existing Standard</v>
      </c>
      <c r="F5" t="str">
        <f t="shared" si="0"/>
        <v>CP069-P HBS Pre-Existing Standard</v>
      </c>
      <c r="G5" t="str">
        <f>VLOOKUP(DefaultCollections[[#This Row],[DEFAULT_COLL_TYPE]],CollectionLookups,3,FALSE)</f>
        <v>2X Week P HBS Pre-Existing</v>
      </c>
      <c r="H5" t="str">
        <f t="shared" si="1"/>
        <v>CP069-2X Week P HBS Pre-Existing</v>
      </c>
    </row>
    <row r="6" spans="1:9" x14ac:dyDescent="0.25">
      <c r="A6" t="s">
        <v>690</v>
      </c>
      <c r="B6" t="s">
        <v>258</v>
      </c>
      <c r="C6" t="s">
        <v>691</v>
      </c>
      <c r="D6" t="s">
        <v>696</v>
      </c>
      <c r="E6" t="str">
        <f>VLOOKUP(DefaultCollections[[#This Row],[DEFAULT_COLL_TYPE]],CollectionLookups,2,FALSE)</f>
        <v>P HBS TWINRIX Standard</v>
      </c>
      <c r="F6" t="str">
        <f t="shared" si="0"/>
        <v>CP069-P HBS TWINRIX Standard</v>
      </c>
      <c r="G6" t="str">
        <f>VLOOKUP(DefaultCollections[[#This Row],[DEFAULT_COLL_TYPE]],CollectionLookups,3,FALSE)</f>
        <v>2X Week P HBS TWINRX</v>
      </c>
      <c r="H6" t="str">
        <f t="shared" si="1"/>
        <v>CP069-2X Week P HBS TWINRX</v>
      </c>
    </row>
    <row r="7" spans="1:9" x14ac:dyDescent="0.25">
      <c r="A7" t="s">
        <v>690</v>
      </c>
      <c r="B7" t="s">
        <v>258</v>
      </c>
      <c r="C7" t="s">
        <v>691</v>
      </c>
      <c r="D7" t="s">
        <v>697</v>
      </c>
      <c r="E7" t="str">
        <f>VLOOKUP(DefaultCollections[[#This Row],[DEFAULT_COLL_TYPE]],CollectionLookups,2,FALSE)</f>
        <v>P HBS TWINRIX-AP Standard</v>
      </c>
      <c r="F7" t="str">
        <f t="shared" si="0"/>
        <v>CP069-P HBS TWINRIX-AP Standard</v>
      </c>
      <c r="G7" t="str">
        <f>VLOOKUP(DefaultCollections[[#This Row],[DEFAULT_COLL_TYPE]],CollectionLookups,3,FALSE)</f>
        <v>2X Week P HBS TWINRX-AP</v>
      </c>
      <c r="H7" t="str">
        <f t="shared" si="1"/>
        <v>CP069-2X Week P HBS TWINRX-AP</v>
      </c>
    </row>
    <row r="8" spans="1:9" x14ac:dyDescent="0.25">
      <c r="A8" t="s">
        <v>690</v>
      </c>
      <c r="B8" t="s">
        <v>258</v>
      </c>
      <c r="C8" t="s">
        <v>691</v>
      </c>
      <c r="D8" t="s">
        <v>698</v>
      </c>
      <c r="E8" t="str">
        <f>VLOOKUP(DefaultCollections[[#This Row],[DEFAULT_COLL_TYPE]],CollectionLookups,2,FALSE)</f>
        <v>P NSP NS Standard</v>
      </c>
      <c r="F8" t="str">
        <f t="shared" si="0"/>
        <v>CP069-P NSP NS Standard</v>
      </c>
      <c r="G8" t="str">
        <f>VLOOKUP(DefaultCollections[[#This Row],[DEFAULT_COLL_TYPE]],CollectionLookups,3,FALSE)</f>
        <v>2X Week P NSP NS</v>
      </c>
      <c r="H8" t="str">
        <f t="shared" si="1"/>
        <v>CP069-2X Week P NSP NS</v>
      </c>
    </row>
    <row r="9" spans="1:9" x14ac:dyDescent="0.25">
      <c r="A9" t="s">
        <v>690</v>
      </c>
      <c r="B9" t="s">
        <v>258</v>
      </c>
      <c r="C9" t="s">
        <v>691</v>
      </c>
      <c r="D9" t="s">
        <v>699</v>
      </c>
      <c r="E9" t="str">
        <f>VLOOKUP(DefaultCollections[[#This Row],[DEFAULT_COLL_TYPE]],CollectionLookups,2,FALSE)</f>
        <v>P Tetanus Standard</v>
      </c>
      <c r="F9" t="str">
        <f t="shared" si="0"/>
        <v>CP069-P Tetanus Standard</v>
      </c>
      <c r="G9" t="str">
        <f>VLOOKUP(DefaultCollections[[#This Row],[DEFAULT_COLL_TYPE]],CollectionLookups,3,FALSE)</f>
        <v>2X Week P Tetanus</v>
      </c>
      <c r="H9" t="str">
        <f t="shared" si="1"/>
        <v>NO</v>
      </c>
    </row>
    <row r="10" spans="1:9" x14ac:dyDescent="0.25">
      <c r="A10" t="s">
        <v>700</v>
      </c>
      <c r="B10" t="s">
        <v>240</v>
      </c>
      <c r="C10" t="s">
        <v>701</v>
      </c>
      <c r="D10" t="s">
        <v>692</v>
      </c>
      <c r="E10" t="str">
        <f>VLOOKUP(DefaultCollections[[#This Row],[DEFAULT_COLL_TYPE]],CollectionLookups,2,FALSE)</f>
        <v>P CMV Standard</v>
      </c>
      <c r="F10" t="str">
        <f t="shared" si="0"/>
        <v>CP078-P CMV Standard</v>
      </c>
      <c r="G10" t="str">
        <f>VLOOKUP(DefaultCollections[[#This Row],[DEFAULT_COLL_TYPE]],CollectionLookups,3,FALSE)</f>
        <v>2X Week P CMV</v>
      </c>
      <c r="H10" t="str">
        <f t="shared" si="1"/>
        <v>CP078-2X Week P CMV</v>
      </c>
    </row>
    <row r="11" spans="1:9" x14ac:dyDescent="0.25">
      <c r="A11" t="s">
        <v>700</v>
      </c>
      <c r="B11" t="s">
        <v>240</v>
      </c>
      <c r="C11" t="s">
        <v>701</v>
      </c>
      <c r="D11" t="s">
        <v>693</v>
      </c>
      <c r="E11" t="str">
        <f>VLOOKUP(DefaultCollections[[#This Row],[DEFAULT_COLL_TYPE]],CollectionLookups,2,FALSE)</f>
        <v>P Anti-D Standard</v>
      </c>
      <c r="F11" t="str">
        <f t="shared" si="0"/>
        <v>CP078-P Anti-D Standard</v>
      </c>
      <c r="G11" t="str">
        <f>VLOOKUP(DefaultCollections[[#This Row],[DEFAULT_COLL_TYPE]],CollectionLookups,3,FALSE)</f>
        <v>2X Week P Anti-D</v>
      </c>
      <c r="H11" t="str">
        <f t="shared" si="1"/>
        <v>NO</v>
      </c>
    </row>
    <row r="12" spans="1:9" x14ac:dyDescent="0.25">
      <c r="A12" t="s">
        <v>700</v>
      </c>
      <c r="B12" t="s">
        <v>240</v>
      </c>
      <c r="C12" t="s">
        <v>701</v>
      </c>
      <c r="D12" t="s">
        <v>694</v>
      </c>
      <c r="E12" t="str">
        <f>VLOOKUP(DefaultCollections[[#This Row],[DEFAULT_COLL_TYPE]],CollectionLookups,2,FALSE)</f>
        <v>P Anti-D Pre-Existing Standard</v>
      </c>
      <c r="F12" t="str">
        <f t="shared" si="0"/>
        <v>CP078-P Anti-D Pre-Existing Standard</v>
      </c>
      <c r="G12">
        <f>VLOOKUP(DefaultCollections[[#This Row],[DEFAULT_COLL_TYPE]],CollectionLookups,3,FALSE)</f>
        <v>0</v>
      </c>
      <c r="H12" t="str">
        <f t="shared" si="1"/>
        <v>NO</v>
      </c>
    </row>
    <row r="13" spans="1:9" x14ac:dyDescent="0.25">
      <c r="A13" t="s">
        <v>700</v>
      </c>
      <c r="B13" t="s">
        <v>240</v>
      </c>
      <c r="C13" t="s">
        <v>701</v>
      </c>
      <c r="D13" t="s">
        <v>698</v>
      </c>
      <c r="E13" t="str">
        <f>VLOOKUP(DefaultCollections[[#This Row],[DEFAULT_COLL_TYPE]],CollectionLookups,2,FALSE)</f>
        <v>P NSP NS Standard</v>
      </c>
      <c r="F13" t="str">
        <f t="shared" si="0"/>
        <v>CP078-P NSP NS Standard</v>
      </c>
      <c r="G13" t="str">
        <f>VLOOKUP(DefaultCollections[[#This Row],[DEFAULT_COLL_TYPE]],CollectionLookups,3,FALSE)</f>
        <v>2X Week P NSP NS</v>
      </c>
      <c r="H13" t="str">
        <f t="shared" si="1"/>
        <v>CP078-2X Week P NSP NS</v>
      </c>
    </row>
    <row r="14" spans="1:9" x14ac:dyDescent="0.25">
      <c r="A14" t="s">
        <v>700</v>
      </c>
      <c r="B14" t="s">
        <v>240</v>
      </c>
      <c r="C14" t="s">
        <v>701</v>
      </c>
      <c r="D14" t="s">
        <v>702</v>
      </c>
      <c r="E14" t="str">
        <f>VLOOKUP(DefaultCollections[[#This Row],[DEFAULT_COLL_TYPE]],CollectionLookups,2,FALSE)</f>
        <v>P Rabies Standard</v>
      </c>
      <c r="F14" t="str">
        <f t="shared" si="0"/>
        <v>CP078-P Rabies Standard</v>
      </c>
      <c r="G14" t="str">
        <f>VLOOKUP(DefaultCollections[[#This Row],[DEFAULT_COLL_TYPE]],CollectionLookups,3,FALSE)</f>
        <v>2X Week P Rabies</v>
      </c>
      <c r="H14" t="str">
        <f t="shared" si="1"/>
        <v>CP078-2X Week P Rabies</v>
      </c>
    </row>
    <row r="15" spans="1:9" x14ac:dyDescent="0.25">
      <c r="A15" t="s">
        <v>700</v>
      </c>
      <c r="B15" t="s">
        <v>240</v>
      </c>
      <c r="C15" t="s">
        <v>701</v>
      </c>
      <c r="D15" t="s">
        <v>699</v>
      </c>
      <c r="E15" t="str">
        <f>VLOOKUP(DefaultCollections[[#This Row],[DEFAULT_COLL_TYPE]],CollectionLookups,2,FALSE)</f>
        <v>P Tetanus Standard</v>
      </c>
      <c r="F15" t="str">
        <f t="shared" si="0"/>
        <v>CP078-P Tetanus Standard</v>
      </c>
      <c r="G15" t="str">
        <f>VLOOKUP(DefaultCollections[[#This Row],[DEFAULT_COLL_TYPE]],CollectionLookups,3,FALSE)</f>
        <v>2X Week P Tetanus</v>
      </c>
      <c r="H15" t="str">
        <f t="shared" si="1"/>
        <v>CP078-2X Week P Tetanus</v>
      </c>
    </row>
    <row r="16" spans="1:9" x14ac:dyDescent="0.25">
      <c r="A16" t="s">
        <v>700</v>
      </c>
      <c r="B16" t="s">
        <v>240</v>
      </c>
      <c r="C16" t="s">
        <v>701</v>
      </c>
      <c r="D16" t="s">
        <v>703</v>
      </c>
      <c r="E16" t="str">
        <f>VLOOKUP(DefaultCollections[[#This Row],[DEFAULT_COLL_TYPE]],CollectionLookups,2,FALSE)</f>
        <v>P Tetanus Pre-Existing Standard</v>
      </c>
      <c r="F16" t="str">
        <f t="shared" si="0"/>
        <v>CP078-P Tetanus Pre-Existing Standard</v>
      </c>
      <c r="G16" t="str">
        <f>VLOOKUP(DefaultCollections[[#This Row],[DEFAULT_COLL_TYPE]],CollectionLookups,3,FALSE)</f>
        <v>2X Week P Tetanus PE</v>
      </c>
      <c r="H16" t="str">
        <f t="shared" si="1"/>
        <v>CP078-2X Week P Tetanus PE</v>
      </c>
    </row>
    <row r="17" spans="1:8" x14ac:dyDescent="0.25">
      <c r="A17" t="s">
        <v>704</v>
      </c>
      <c r="B17" t="s">
        <v>264</v>
      </c>
      <c r="C17" t="s">
        <v>705</v>
      </c>
      <c r="D17" t="s">
        <v>692</v>
      </c>
      <c r="E17" t="str">
        <f>VLOOKUP(DefaultCollections[[#This Row],[DEFAULT_COLL_TYPE]],CollectionLookups,2,FALSE)</f>
        <v>P CMV Standard</v>
      </c>
      <c r="F17" t="str">
        <f t="shared" si="0"/>
        <v>CP082-P CMV Standard</v>
      </c>
      <c r="G17" t="str">
        <f>VLOOKUP(DefaultCollections[[#This Row],[DEFAULT_COLL_TYPE]],CollectionLookups,3,FALSE)</f>
        <v>2X Week P CMV</v>
      </c>
      <c r="H17" t="str">
        <f t="shared" si="1"/>
        <v>CP082-2X Week P CMV</v>
      </c>
    </row>
    <row r="18" spans="1:8" x14ac:dyDescent="0.25">
      <c r="A18" t="s">
        <v>704</v>
      </c>
      <c r="B18" t="s">
        <v>264</v>
      </c>
      <c r="C18" t="s">
        <v>705</v>
      </c>
      <c r="D18" t="s">
        <v>693</v>
      </c>
      <c r="E18" t="str">
        <f>VLOOKUP(DefaultCollections[[#This Row],[DEFAULT_COLL_TYPE]],CollectionLookups,2,FALSE)</f>
        <v>P Anti-D Standard</v>
      </c>
      <c r="F18" t="str">
        <f t="shared" si="0"/>
        <v>CP082-P Anti-D Standard</v>
      </c>
      <c r="G18" t="str">
        <f>VLOOKUP(DefaultCollections[[#This Row],[DEFAULT_COLL_TYPE]],CollectionLookups,3,FALSE)</f>
        <v>2X Week P Anti-D</v>
      </c>
      <c r="H18" t="str">
        <f t="shared" si="1"/>
        <v>NO</v>
      </c>
    </row>
    <row r="19" spans="1:8" x14ac:dyDescent="0.25">
      <c r="A19" t="s">
        <v>704</v>
      </c>
      <c r="B19" t="s">
        <v>264</v>
      </c>
      <c r="C19" t="s">
        <v>705</v>
      </c>
      <c r="D19" t="s">
        <v>694</v>
      </c>
      <c r="E19" t="str">
        <f>VLOOKUP(DefaultCollections[[#This Row],[DEFAULT_COLL_TYPE]],CollectionLookups,2,FALSE)</f>
        <v>P Anti-D Pre-Existing Standard</v>
      </c>
      <c r="F19" t="str">
        <f t="shared" si="0"/>
        <v>CP082-P Anti-D Pre-Existing Standard</v>
      </c>
      <c r="G19">
        <f>VLOOKUP(DefaultCollections[[#This Row],[DEFAULT_COLL_TYPE]],CollectionLookups,3,FALSE)</f>
        <v>0</v>
      </c>
      <c r="H19" t="str">
        <f t="shared" si="1"/>
        <v>NO</v>
      </c>
    </row>
    <row r="20" spans="1:8" x14ac:dyDescent="0.25">
      <c r="A20" t="s">
        <v>704</v>
      </c>
      <c r="B20" t="s">
        <v>264</v>
      </c>
      <c r="C20" t="s">
        <v>705</v>
      </c>
      <c r="D20" t="s">
        <v>698</v>
      </c>
      <c r="E20" t="str">
        <f>VLOOKUP(DefaultCollections[[#This Row],[DEFAULT_COLL_TYPE]],CollectionLookups,2,FALSE)</f>
        <v>P NSP NS Standard</v>
      </c>
      <c r="F20" t="str">
        <f t="shared" si="0"/>
        <v>CP082-P NSP NS Standard</v>
      </c>
      <c r="G20" t="str">
        <f>VLOOKUP(DefaultCollections[[#This Row],[DEFAULT_COLL_TYPE]],CollectionLookups,3,FALSE)</f>
        <v>2X Week P NSP NS</v>
      </c>
      <c r="H20" t="str">
        <f t="shared" si="1"/>
        <v>CP082-2X Week P NSP NS</v>
      </c>
    </row>
    <row r="21" spans="1:8" x14ac:dyDescent="0.25">
      <c r="A21" t="s">
        <v>704</v>
      </c>
      <c r="B21" t="s">
        <v>264</v>
      </c>
      <c r="C21" t="s">
        <v>705</v>
      </c>
      <c r="D21" t="s">
        <v>699</v>
      </c>
      <c r="E21" t="str">
        <f>VLOOKUP(DefaultCollections[[#This Row],[DEFAULT_COLL_TYPE]],CollectionLookups,2,FALSE)</f>
        <v>P Tetanus Standard</v>
      </c>
      <c r="F21" t="str">
        <f t="shared" si="0"/>
        <v>CP082-P Tetanus Standard</v>
      </c>
      <c r="G21" t="str">
        <f>VLOOKUP(DefaultCollections[[#This Row],[DEFAULT_COLL_TYPE]],CollectionLookups,3,FALSE)</f>
        <v>2X Week P Tetanus</v>
      </c>
      <c r="H21" t="str">
        <f t="shared" si="1"/>
        <v>CP082-2X Week P Tetanus</v>
      </c>
    </row>
    <row r="22" spans="1:8" x14ac:dyDescent="0.25">
      <c r="A22" t="s">
        <v>704</v>
      </c>
      <c r="B22" t="s">
        <v>264</v>
      </c>
      <c r="C22" t="s">
        <v>705</v>
      </c>
      <c r="D22" t="s">
        <v>703</v>
      </c>
      <c r="E22" t="str">
        <f>VLOOKUP(DefaultCollections[[#This Row],[DEFAULT_COLL_TYPE]],CollectionLookups,2,FALSE)</f>
        <v>P Tetanus Pre-Existing Standard</v>
      </c>
      <c r="F22" t="str">
        <f t="shared" si="0"/>
        <v>CP082-P Tetanus Pre-Existing Standard</v>
      </c>
      <c r="G22" t="str">
        <f>VLOOKUP(DefaultCollections[[#This Row],[DEFAULT_COLL_TYPE]],CollectionLookups,3,FALSE)</f>
        <v>2X Week P Tetanus PE</v>
      </c>
      <c r="H22" t="str">
        <f t="shared" si="1"/>
        <v>CP082-2X Week P Tetanus PE</v>
      </c>
    </row>
    <row r="23" spans="1:8" x14ac:dyDescent="0.25">
      <c r="A23" t="s">
        <v>706</v>
      </c>
      <c r="B23" t="s">
        <v>376</v>
      </c>
      <c r="C23" t="s">
        <v>707</v>
      </c>
      <c r="D23" t="s">
        <v>708</v>
      </c>
      <c r="E23">
        <f>VLOOKUP(DefaultCollections[[#This Row],[DEFAULT_COLL_TYPE]],CollectionLookups,2,FALSE)</f>
        <v>0</v>
      </c>
      <c r="F23" t="str">
        <f t="shared" si="0"/>
        <v>NO</v>
      </c>
      <c r="G23">
        <f>VLOOKUP(DefaultCollections[[#This Row],[DEFAULT_COLL_TYPE]],CollectionLookups,3,FALSE)</f>
        <v>0</v>
      </c>
      <c r="H23" t="str">
        <f t="shared" si="1"/>
        <v>NO</v>
      </c>
    </row>
    <row r="24" spans="1:8" x14ac:dyDescent="0.25">
      <c r="A24" t="s">
        <v>706</v>
      </c>
      <c r="B24" t="s">
        <v>376</v>
      </c>
      <c r="C24" t="s">
        <v>707</v>
      </c>
      <c r="D24" t="s">
        <v>709</v>
      </c>
      <c r="E24">
        <f>VLOOKUP(DefaultCollections[[#This Row],[DEFAULT_COLL_TYPE]],CollectionLookups,2,FALSE)</f>
        <v>0</v>
      </c>
      <c r="F24" t="str">
        <f t="shared" si="0"/>
        <v>NO</v>
      </c>
      <c r="G24">
        <f>VLOOKUP(DefaultCollections[[#This Row],[DEFAULT_COLL_TYPE]],CollectionLookups,3,FALSE)</f>
        <v>0</v>
      </c>
      <c r="H24" t="str">
        <f t="shared" si="1"/>
        <v>NO</v>
      </c>
    </row>
    <row r="25" spans="1:8" x14ac:dyDescent="0.25">
      <c r="A25" t="s">
        <v>706</v>
      </c>
      <c r="B25" t="s">
        <v>376</v>
      </c>
      <c r="C25" t="s">
        <v>707</v>
      </c>
      <c r="D25" t="s">
        <v>710</v>
      </c>
      <c r="E25">
        <f>VLOOKUP(DefaultCollections[[#This Row],[DEFAULT_COLL_TYPE]],CollectionLookups,2,FALSE)</f>
        <v>0</v>
      </c>
      <c r="F25" t="str">
        <f t="shared" si="0"/>
        <v>NO</v>
      </c>
      <c r="G25">
        <f>VLOOKUP(DefaultCollections[[#This Row],[DEFAULT_COLL_TYPE]],CollectionLookups,3,FALSE)</f>
        <v>0</v>
      </c>
      <c r="H25" t="str">
        <f t="shared" si="1"/>
        <v>NO</v>
      </c>
    </row>
    <row r="26" spans="1:8" x14ac:dyDescent="0.25">
      <c r="A26" t="s">
        <v>706</v>
      </c>
      <c r="B26" t="s">
        <v>376</v>
      </c>
      <c r="C26" t="s">
        <v>707</v>
      </c>
      <c r="D26" t="s">
        <v>711</v>
      </c>
      <c r="E26" t="str">
        <f>VLOOKUP(DefaultCollections[[#This Row],[DEFAULT_COLL_TYPE]],CollectionLookups,2,FALSE)</f>
        <v>Test Cells</v>
      </c>
      <c r="F26" t="str">
        <f t="shared" si="0"/>
        <v>CP125-Test Cells</v>
      </c>
      <c r="G26">
        <f>VLOOKUP(DefaultCollections[[#This Row],[DEFAULT_COLL_TYPE]],CollectionLookups,3,FALSE)</f>
        <v>0</v>
      </c>
      <c r="H26" t="str">
        <f t="shared" si="1"/>
        <v>NO</v>
      </c>
    </row>
    <row r="27" spans="1:8" x14ac:dyDescent="0.25">
      <c r="A27" t="s">
        <v>706</v>
      </c>
      <c r="B27" t="s">
        <v>376</v>
      </c>
      <c r="C27" t="s">
        <v>707</v>
      </c>
      <c r="D27" t="s">
        <v>712</v>
      </c>
      <c r="E27" t="str">
        <f>VLOOKUP(DefaultCollections[[#This Row],[DEFAULT_COLL_TYPE]],CollectionLookups,2,FALSE)</f>
        <v>Whole Blood INJ</v>
      </c>
      <c r="F27" t="str">
        <f t="shared" si="0"/>
        <v>CP125-Whole Blood INJ</v>
      </c>
      <c r="G27">
        <f>VLOOKUP(DefaultCollections[[#This Row],[DEFAULT_COLL_TYPE]],CollectionLookups,3,FALSE)</f>
        <v>0</v>
      </c>
      <c r="H27" t="str">
        <f t="shared" si="1"/>
        <v>NO</v>
      </c>
    </row>
    <row r="28" spans="1:8" x14ac:dyDescent="0.25">
      <c r="A28" t="s">
        <v>713</v>
      </c>
      <c r="B28" t="s">
        <v>171</v>
      </c>
      <c r="C28" t="s">
        <v>714</v>
      </c>
      <c r="D28" t="s">
        <v>692</v>
      </c>
      <c r="E28" t="str">
        <f>VLOOKUP(DefaultCollections[[#This Row],[DEFAULT_COLL_TYPE]],CollectionLookups,2,FALSE)</f>
        <v>P CMV Standard</v>
      </c>
      <c r="F28" t="str">
        <f t="shared" si="0"/>
        <v>CP128-P CMV Standard</v>
      </c>
      <c r="G28" t="str">
        <f>VLOOKUP(DefaultCollections[[#This Row],[DEFAULT_COLL_TYPE]],CollectionLookups,3,FALSE)</f>
        <v>2X Week P CMV</v>
      </c>
      <c r="H28" t="str">
        <f t="shared" si="1"/>
        <v>CP128-2X Week P CMV</v>
      </c>
    </row>
    <row r="29" spans="1:8" x14ac:dyDescent="0.25">
      <c r="A29" t="s">
        <v>713</v>
      </c>
      <c r="B29" t="s">
        <v>171</v>
      </c>
      <c r="C29" t="s">
        <v>714</v>
      </c>
      <c r="D29" t="s">
        <v>694</v>
      </c>
      <c r="E29" t="str">
        <f>VLOOKUP(DefaultCollections[[#This Row],[DEFAULT_COLL_TYPE]],CollectionLookups,2,FALSE)</f>
        <v>P Anti-D Pre-Existing Standard</v>
      </c>
      <c r="F29" t="str">
        <f t="shared" si="0"/>
        <v>CP128-P Anti-D Pre-Existing Standard</v>
      </c>
      <c r="G29">
        <f>VLOOKUP(DefaultCollections[[#This Row],[DEFAULT_COLL_TYPE]],CollectionLookups,3,FALSE)</f>
        <v>0</v>
      </c>
      <c r="H29" t="str">
        <f t="shared" si="1"/>
        <v>NO</v>
      </c>
    </row>
    <row r="30" spans="1:8" x14ac:dyDescent="0.25">
      <c r="A30" t="s">
        <v>713</v>
      </c>
      <c r="B30" t="s">
        <v>171</v>
      </c>
      <c r="C30" t="s">
        <v>714</v>
      </c>
      <c r="D30" t="s">
        <v>698</v>
      </c>
      <c r="E30" t="str">
        <f>VLOOKUP(DefaultCollections[[#This Row],[DEFAULT_COLL_TYPE]],CollectionLookups,2,FALSE)</f>
        <v>P NSP NS Standard</v>
      </c>
      <c r="F30" t="str">
        <f t="shared" si="0"/>
        <v>CP128-P NSP NS Standard</v>
      </c>
      <c r="G30" t="str">
        <f>VLOOKUP(DefaultCollections[[#This Row],[DEFAULT_COLL_TYPE]],CollectionLookups,3,FALSE)</f>
        <v>2X Week P NSP NS</v>
      </c>
      <c r="H30" t="str">
        <f t="shared" si="1"/>
        <v>CP128-2X Week P NSP NS</v>
      </c>
    </row>
    <row r="31" spans="1:8" x14ac:dyDescent="0.25">
      <c r="A31" t="s">
        <v>713</v>
      </c>
      <c r="B31" t="s">
        <v>171</v>
      </c>
      <c r="C31" t="s">
        <v>714</v>
      </c>
      <c r="D31" t="s">
        <v>715</v>
      </c>
      <c r="E31" t="str">
        <f>VLOOKUP(DefaultCollections[[#This Row],[DEFAULT_COLL_TYPE]],CollectionLookups,2,FALSE)</f>
        <v>P VIP A Standard</v>
      </c>
      <c r="F31" t="str">
        <f t="shared" si="0"/>
        <v>CP128-P VIP A Standard</v>
      </c>
      <c r="G31" t="str">
        <f>VLOOKUP(DefaultCollections[[#This Row],[DEFAULT_COLL_TYPE]],CollectionLookups,3,FALSE)</f>
        <v>2X Week P VIP A</v>
      </c>
      <c r="H31" t="str">
        <f t="shared" si="1"/>
        <v>CP128-2X Week P VIP A</v>
      </c>
    </row>
    <row r="32" spans="1:8" x14ac:dyDescent="0.25">
      <c r="A32" t="s">
        <v>713</v>
      </c>
      <c r="B32" t="s">
        <v>171</v>
      </c>
      <c r="C32" t="s">
        <v>714</v>
      </c>
      <c r="D32" t="s">
        <v>716</v>
      </c>
      <c r="E32" t="str">
        <f>VLOOKUP(DefaultCollections[[#This Row],[DEFAULT_COLL_TYPE]],CollectionLookups,2,FALSE)</f>
        <v>P VIP AB Standard</v>
      </c>
      <c r="F32" t="str">
        <f t="shared" si="0"/>
        <v>CP128-P VIP AB Standard</v>
      </c>
      <c r="G32" t="str">
        <f>VLOOKUP(DefaultCollections[[#This Row],[DEFAULT_COLL_TYPE]],CollectionLookups,3,FALSE)</f>
        <v>2X Week P VIP AB</v>
      </c>
      <c r="H32" t="str">
        <f t="shared" si="1"/>
        <v>CP128-2X Week P VIP AB</v>
      </c>
    </row>
    <row r="33" spans="1:8" x14ac:dyDescent="0.25">
      <c r="A33" t="s">
        <v>713</v>
      </c>
      <c r="B33" t="s">
        <v>171</v>
      </c>
      <c r="C33" t="s">
        <v>714</v>
      </c>
      <c r="D33" t="s">
        <v>717</v>
      </c>
      <c r="E33" t="str">
        <f>VLOOKUP(DefaultCollections[[#This Row],[DEFAULT_COLL_TYPE]],CollectionLookups,2,FALSE)</f>
        <v>P VZV Standard</v>
      </c>
      <c r="F33" t="str">
        <f t="shared" si="0"/>
        <v>CP128-P VZV Standard</v>
      </c>
      <c r="G33" t="str">
        <f>VLOOKUP(DefaultCollections[[#This Row],[DEFAULT_COLL_TYPE]],CollectionLookups,3,FALSE)</f>
        <v>2X Week P VZV</v>
      </c>
      <c r="H33" t="str">
        <f t="shared" si="1"/>
        <v>CP128-2X Week P VZV</v>
      </c>
    </row>
    <row r="34" spans="1:8" x14ac:dyDescent="0.25">
      <c r="A34" t="s">
        <v>713</v>
      </c>
      <c r="B34" t="s">
        <v>171</v>
      </c>
      <c r="C34" t="s">
        <v>714</v>
      </c>
      <c r="D34" t="s">
        <v>718</v>
      </c>
      <c r="E34">
        <f>VLOOKUP(DefaultCollections[[#This Row],[DEFAULT_COLL_TYPE]],CollectionLookups,2,FALSE)</f>
        <v>0</v>
      </c>
      <c r="F34" t="str">
        <f t="shared" si="0"/>
        <v>NO</v>
      </c>
      <c r="G34" t="str">
        <f>VLOOKUP(DefaultCollections[[#This Row],[DEFAULT_COLL_TYPE]],CollectionLookups,3,FALSE)</f>
        <v>2X Week P VZV AP</v>
      </c>
      <c r="H34" t="str">
        <f t="shared" si="1"/>
        <v>CP128-2X Week P VZV AP</v>
      </c>
    </row>
    <row r="35" spans="1:8" x14ac:dyDescent="0.25">
      <c r="A35" t="s">
        <v>713</v>
      </c>
      <c r="B35" t="s">
        <v>171</v>
      </c>
      <c r="C35" t="s">
        <v>714</v>
      </c>
      <c r="D35" t="s">
        <v>719</v>
      </c>
      <c r="E35" t="str">
        <f>VLOOKUP(DefaultCollections[[#This Row],[DEFAULT_COLL_TYPE]],CollectionLookups,2,FALSE)</f>
        <v>PVZV Pre-Existing Standard</v>
      </c>
      <c r="F35" t="str">
        <f t="shared" si="0"/>
        <v>CP128-PVZV Pre-Existing Standard</v>
      </c>
      <c r="G35" t="str">
        <f>VLOOKUP(DefaultCollections[[#This Row],[DEFAULT_COLL_TYPE]],CollectionLookups,3,FALSE)</f>
        <v>2X Week P VZV Pre-Existing</v>
      </c>
      <c r="H35" t="str">
        <f t="shared" si="1"/>
        <v>CP128-2X Week P VZV Pre-Existing</v>
      </c>
    </row>
    <row r="36" spans="1:8" x14ac:dyDescent="0.25">
      <c r="A36" t="s">
        <v>713</v>
      </c>
      <c r="B36" t="s">
        <v>171</v>
      </c>
      <c r="C36" t="s">
        <v>714</v>
      </c>
      <c r="D36" t="s">
        <v>720</v>
      </c>
      <c r="E36" t="str">
        <f>VLOOKUP(DefaultCollections[[#This Row],[DEFAULT_COLL_TYPE]],CollectionLookups,2,FALSE)</f>
        <v>P VZV Pre-Existing AP</v>
      </c>
      <c r="F36" t="str">
        <f t="shared" si="0"/>
        <v>CP128-P VZV Pre-Existing AP</v>
      </c>
      <c r="G36" t="str">
        <f>VLOOKUP(DefaultCollections[[#This Row],[DEFAULT_COLL_TYPE]],CollectionLookups,3,FALSE)</f>
        <v>2X Week P VZV Pre-Existing AP</v>
      </c>
      <c r="H36" t="str">
        <f t="shared" si="1"/>
        <v>CP128-2X Week P VZV Pre-Existing AP</v>
      </c>
    </row>
    <row r="37" spans="1:8" x14ac:dyDescent="0.25">
      <c r="A37" t="s">
        <v>721</v>
      </c>
      <c r="B37" t="s">
        <v>249</v>
      </c>
      <c r="C37" t="s">
        <v>722</v>
      </c>
      <c r="D37" t="s">
        <v>692</v>
      </c>
      <c r="E37" t="str">
        <f>VLOOKUP(DefaultCollections[[#This Row],[DEFAULT_COLL_TYPE]],CollectionLookups,2,FALSE)</f>
        <v>P CMV Standard</v>
      </c>
      <c r="F37" t="str">
        <f t="shared" si="0"/>
        <v>CP133-P CMV Standard</v>
      </c>
      <c r="G37" t="str">
        <f>VLOOKUP(DefaultCollections[[#This Row],[DEFAULT_COLL_TYPE]],CollectionLookups,3,FALSE)</f>
        <v>2X Week P CMV</v>
      </c>
      <c r="H37" t="str">
        <f t="shared" si="1"/>
        <v>CP133-2X Week P CMV</v>
      </c>
    </row>
    <row r="38" spans="1:8" x14ac:dyDescent="0.25">
      <c r="A38" t="s">
        <v>721</v>
      </c>
      <c r="B38" t="s">
        <v>249</v>
      </c>
      <c r="C38" t="s">
        <v>722</v>
      </c>
      <c r="D38" t="s">
        <v>693</v>
      </c>
      <c r="E38" t="str">
        <f>VLOOKUP(DefaultCollections[[#This Row],[DEFAULT_COLL_TYPE]],CollectionLookups,2,FALSE)</f>
        <v>P Anti-D Standard</v>
      </c>
      <c r="F38" t="str">
        <f t="shared" si="0"/>
        <v>CP133-P Anti-D Standard</v>
      </c>
      <c r="G38" t="str">
        <f>VLOOKUP(DefaultCollections[[#This Row],[DEFAULT_COLL_TYPE]],CollectionLookups,3,FALSE)</f>
        <v>2X Week P Anti-D</v>
      </c>
      <c r="H38" t="str">
        <f t="shared" si="1"/>
        <v>CP133-2X Week P Anti-D</v>
      </c>
    </row>
    <row r="39" spans="1:8" x14ac:dyDescent="0.25">
      <c r="A39" t="s">
        <v>721</v>
      </c>
      <c r="B39" t="s">
        <v>249</v>
      </c>
      <c r="C39" t="s">
        <v>722</v>
      </c>
      <c r="D39" t="s">
        <v>694</v>
      </c>
      <c r="E39" t="str">
        <f>VLOOKUP(DefaultCollections[[#This Row],[DEFAULT_COLL_TYPE]],CollectionLookups,2,FALSE)</f>
        <v>P Anti-D Pre-Existing Standard</v>
      </c>
      <c r="F39" t="str">
        <f t="shared" si="0"/>
        <v>CP133-P Anti-D Pre-Existing Standard</v>
      </c>
      <c r="G39">
        <f>VLOOKUP(DefaultCollections[[#This Row],[DEFAULT_COLL_TYPE]],CollectionLookups,3,FALSE)</f>
        <v>0</v>
      </c>
      <c r="H39" t="str">
        <f t="shared" si="1"/>
        <v>NO</v>
      </c>
    </row>
    <row r="40" spans="1:8" x14ac:dyDescent="0.25">
      <c r="A40" t="s">
        <v>721</v>
      </c>
      <c r="B40" t="s">
        <v>249</v>
      </c>
      <c r="C40" t="s">
        <v>722</v>
      </c>
      <c r="D40" t="s">
        <v>723</v>
      </c>
      <c r="E40" t="str">
        <f>VLOOKUP(DefaultCollections[[#This Row],[DEFAULT_COLL_TYPE]],CollectionLookups,2,FALSE)</f>
        <v>P HBS Standard</v>
      </c>
      <c r="F40" t="str">
        <f t="shared" si="0"/>
        <v>CP133-P HBS Standard</v>
      </c>
      <c r="G40" t="str">
        <f>VLOOKUP(DefaultCollections[[#This Row],[DEFAULT_COLL_TYPE]],CollectionLookups,3,FALSE)</f>
        <v>2X Week P HBS</v>
      </c>
      <c r="H40" t="str">
        <f t="shared" si="1"/>
        <v>CP133-2X Week P HBS</v>
      </c>
    </row>
    <row r="41" spans="1:8" x14ac:dyDescent="0.25">
      <c r="A41" t="s">
        <v>721</v>
      </c>
      <c r="B41" t="s">
        <v>249</v>
      </c>
      <c r="C41" t="s">
        <v>722</v>
      </c>
      <c r="D41" t="s">
        <v>695</v>
      </c>
      <c r="E41" t="str">
        <f>VLOOKUP(DefaultCollections[[#This Row],[DEFAULT_COLL_TYPE]],CollectionLookups,2,FALSE)</f>
        <v>P HBS Pre-Existing Standard</v>
      </c>
      <c r="F41" t="str">
        <f t="shared" si="0"/>
        <v>CP133-P HBS Pre-Existing Standard</v>
      </c>
      <c r="G41" t="str">
        <f>VLOOKUP(DefaultCollections[[#This Row],[DEFAULT_COLL_TYPE]],CollectionLookups,3,FALSE)</f>
        <v>2X Week P HBS Pre-Existing</v>
      </c>
      <c r="H41" t="str">
        <f t="shared" si="1"/>
        <v>CP133-2X Week P HBS Pre-Existing</v>
      </c>
    </row>
    <row r="42" spans="1:8" x14ac:dyDescent="0.25">
      <c r="A42" t="s">
        <v>721</v>
      </c>
      <c r="B42" t="s">
        <v>249</v>
      </c>
      <c r="C42" t="s">
        <v>722</v>
      </c>
      <c r="D42" t="s">
        <v>698</v>
      </c>
      <c r="E42" t="str">
        <f>VLOOKUP(DefaultCollections[[#This Row],[DEFAULT_COLL_TYPE]],CollectionLookups,2,FALSE)</f>
        <v>P NSP NS Standard</v>
      </c>
      <c r="F42" t="str">
        <f t="shared" si="0"/>
        <v>CP133-P NSP NS Standard</v>
      </c>
      <c r="G42" t="str">
        <f>VLOOKUP(DefaultCollections[[#This Row],[DEFAULT_COLL_TYPE]],CollectionLookups,3,FALSE)</f>
        <v>2X Week P NSP NS</v>
      </c>
      <c r="H42" t="str">
        <f t="shared" si="1"/>
        <v>CP133-2X Week P NSP NS</v>
      </c>
    </row>
    <row r="43" spans="1:8" x14ac:dyDescent="0.25">
      <c r="A43" t="s">
        <v>721</v>
      </c>
      <c r="B43" t="s">
        <v>249</v>
      </c>
      <c r="C43" t="s">
        <v>722</v>
      </c>
      <c r="D43" t="s">
        <v>702</v>
      </c>
      <c r="E43" t="str">
        <f>VLOOKUP(DefaultCollections[[#This Row],[DEFAULT_COLL_TYPE]],CollectionLookups,2,FALSE)</f>
        <v>P Rabies Standard</v>
      </c>
      <c r="F43" t="str">
        <f t="shared" si="0"/>
        <v>CP133-P Rabies Standard</v>
      </c>
      <c r="G43" t="str">
        <f>VLOOKUP(DefaultCollections[[#This Row],[DEFAULT_COLL_TYPE]],CollectionLookups,3,FALSE)</f>
        <v>2X Week P Rabies</v>
      </c>
      <c r="H43" t="str">
        <f t="shared" si="1"/>
        <v>CP133-2X Week P Rabies</v>
      </c>
    </row>
    <row r="44" spans="1:8" x14ac:dyDescent="0.25">
      <c r="A44" t="s">
        <v>721</v>
      </c>
      <c r="B44" t="s">
        <v>249</v>
      </c>
      <c r="C44" t="s">
        <v>722</v>
      </c>
      <c r="D44" t="s">
        <v>699</v>
      </c>
      <c r="E44" t="str">
        <f>VLOOKUP(DefaultCollections[[#This Row],[DEFAULT_COLL_TYPE]],CollectionLookups,2,FALSE)</f>
        <v>P Tetanus Standard</v>
      </c>
      <c r="F44" t="str">
        <f t="shared" si="0"/>
        <v>CP133-P Tetanus Standard</v>
      </c>
      <c r="G44" t="str">
        <f>VLOOKUP(DefaultCollections[[#This Row],[DEFAULT_COLL_TYPE]],CollectionLookups,3,FALSE)</f>
        <v>2X Week P Tetanus</v>
      </c>
      <c r="H44" t="str">
        <f t="shared" si="1"/>
        <v>CP133-2X Week P Tetanus</v>
      </c>
    </row>
    <row r="45" spans="1:8" x14ac:dyDescent="0.25">
      <c r="A45" t="s">
        <v>721</v>
      </c>
      <c r="B45" t="s">
        <v>249</v>
      </c>
      <c r="C45" t="s">
        <v>722</v>
      </c>
      <c r="D45" t="s">
        <v>703</v>
      </c>
      <c r="E45" t="str">
        <f>VLOOKUP(DefaultCollections[[#This Row],[DEFAULT_COLL_TYPE]],CollectionLookups,2,FALSE)</f>
        <v>P Tetanus Pre-Existing Standard</v>
      </c>
      <c r="F45" t="str">
        <f t="shared" si="0"/>
        <v>CP133-P Tetanus Pre-Existing Standard</v>
      </c>
      <c r="G45" t="str">
        <f>VLOOKUP(DefaultCollections[[#This Row],[DEFAULT_COLL_TYPE]],CollectionLookups,3,FALSE)</f>
        <v>2X Week P Tetanus PE</v>
      </c>
      <c r="H45" t="str">
        <f t="shared" si="1"/>
        <v>CP133-2X Week P Tetanus PE</v>
      </c>
    </row>
    <row r="46" spans="1:8" x14ac:dyDescent="0.25">
      <c r="A46" t="s">
        <v>721</v>
      </c>
      <c r="B46" t="s">
        <v>249</v>
      </c>
      <c r="C46" t="s">
        <v>722</v>
      </c>
      <c r="D46" t="s">
        <v>724</v>
      </c>
      <c r="E46" t="str">
        <f>VLOOKUP(DefaultCollections[[#This Row],[DEFAULT_COLL_TYPE]],CollectionLookups,2,FALSE)</f>
        <v>P Tetanus Tox Standard</v>
      </c>
      <c r="F46" t="str">
        <f t="shared" si="0"/>
        <v>CP133-P Tetanus Tox Standard</v>
      </c>
      <c r="G46">
        <f>VLOOKUP(DefaultCollections[[#This Row],[DEFAULT_COLL_TYPE]],CollectionLookups,3,FALSE)</f>
        <v>0</v>
      </c>
      <c r="H46" t="str">
        <f t="shared" si="1"/>
        <v>NO</v>
      </c>
    </row>
    <row r="47" spans="1:8" x14ac:dyDescent="0.25">
      <c r="A47" t="s">
        <v>721</v>
      </c>
      <c r="B47" t="s">
        <v>249</v>
      </c>
      <c r="C47" t="s">
        <v>722</v>
      </c>
      <c r="D47" t="s">
        <v>725</v>
      </c>
      <c r="E47" t="str">
        <f>VLOOKUP(DefaultCollections[[#This Row],[DEFAULT_COLL_TYPE]],CollectionLookups,2,FALSE)</f>
        <v>P Vaccinia Standard</v>
      </c>
      <c r="F47" t="str">
        <f t="shared" si="0"/>
        <v>CP133-P Vaccinia Standard</v>
      </c>
      <c r="G47">
        <f>VLOOKUP(DefaultCollections[[#This Row],[DEFAULT_COLL_TYPE]],CollectionLookups,3,FALSE)</f>
        <v>0</v>
      </c>
      <c r="H47" t="str">
        <f t="shared" si="1"/>
        <v>NO</v>
      </c>
    </row>
    <row r="48" spans="1:8" x14ac:dyDescent="0.25">
      <c r="A48" t="s">
        <v>721</v>
      </c>
      <c r="B48" t="s">
        <v>249</v>
      </c>
      <c r="C48" t="s">
        <v>722</v>
      </c>
      <c r="D48" t="s">
        <v>715</v>
      </c>
      <c r="E48" t="str">
        <f>VLOOKUP(DefaultCollections[[#This Row],[DEFAULT_COLL_TYPE]],CollectionLookups,2,FALSE)</f>
        <v>P VIP A Standard</v>
      </c>
      <c r="F48" t="str">
        <f t="shared" si="0"/>
        <v>CP133-P VIP A Standard</v>
      </c>
      <c r="G48" t="str">
        <f>VLOOKUP(DefaultCollections[[#This Row],[DEFAULT_COLL_TYPE]],CollectionLookups,3,FALSE)</f>
        <v>2X Week P VIP A</v>
      </c>
      <c r="H48" t="str">
        <f t="shared" si="1"/>
        <v>CP133-2X Week P VIP A</v>
      </c>
    </row>
    <row r="49" spans="1:9" x14ac:dyDescent="0.25">
      <c r="A49" t="s">
        <v>721</v>
      </c>
      <c r="B49" t="s">
        <v>249</v>
      </c>
      <c r="C49" t="s">
        <v>722</v>
      </c>
      <c r="D49" t="s">
        <v>716</v>
      </c>
      <c r="E49" t="str">
        <f>VLOOKUP(DefaultCollections[[#This Row],[DEFAULT_COLL_TYPE]],CollectionLookups,2,FALSE)</f>
        <v>P VIP AB Standard</v>
      </c>
      <c r="F49" t="str">
        <f t="shared" si="0"/>
        <v>CP133-P VIP AB Standard</v>
      </c>
      <c r="G49" t="str">
        <f>VLOOKUP(DefaultCollections[[#This Row],[DEFAULT_COLL_TYPE]],CollectionLookups,3,FALSE)</f>
        <v>2X Week P VIP AB</v>
      </c>
      <c r="H49" t="str">
        <f t="shared" si="1"/>
        <v>CP133-2X Week P VIP AB</v>
      </c>
    </row>
    <row r="50" spans="1:9" x14ac:dyDescent="0.25">
      <c r="A50" t="s">
        <v>721</v>
      </c>
      <c r="B50" t="s">
        <v>249</v>
      </c>
      <c r="C50" t="s">
        <v>722</v>
      </c>
      <c r="D50" t="s">
        <v>712</v>
      </c>
      <c r="E50" t="str">
        <f>VLOOKUP(DefaultCollections[[#This Row],[DEFAULT_COLL_TYPE]],CollectionLookups,2,FALSE)</f>
        <v>Whole Blood INJ</v>
      </c>
      <c r="F50" t="str">
        <f t="shared" si="0"/>
        <v>CP133-Whole Blood INJ</v>
      </c>
      <c r="G50">
        <f>VLOOKUP(DefaultCollections[[#This Row],[DEFAULT_COLL_TYPE]],CollectionLookups,3,FALSE)</f>
        <v>0</v>
      </c>
      <c r="H50" t="str">
        <f t="shared" si="1"/>
        <v>NO</v>
      </c>
    </row>
    <row r="51" spans="1:9" x14ac:dyDescent="0.25">
      <c r="A51" t="s">
        <v>726</v>
      </c>
      <c r="B51" t="s">
        <v>182</v>
      </c>
      <c r="C51" t="s">
        <v>727</v>
      </c>
      <c r="D51" t="s">
        <v>692</v>
      </c>
      <c r="E51" t="str">
        <f>VLOOKUP(DefaultCollections[[#This Row],[DEFAULT_COLL_TYPE]],CollectionLookups,2,FALSE)</f>
        <v>P CMV Standard</v>
      </c>
      <c r="F51" t="str">
        <f t="shared" si="0"/>
        <v>CP134-P CMV Standard</v>
      </c>
      <c r="G51" t="str">
        <f>VLOOKUP(DefaultCollections[[#This Row],[DEFAULT_COLL_TYPE]],CollectionLookups,3,FALSE)</f>
        <v>2X Week P CMV</v>
      </c>
      <c r="H51" t="str">
        <f t="shared" si="1"/>
        <v>CP134-2X Week P CMV</v>
      </c>
    </row>
    <row r="52" spans="1:9" x14ac:dyDescent="0.25">
      <c r="A52" t="s">
        <v>726</v>
      </c>
      <c r="B52" t="s">
        <v>182</v>
      </c>
      <c r="C52" t="s">
        <v>727</v>
      </c>
      <c r="D52" t="s">
        <v>694</v>
      </c>
      <c r="E52" t="str">
        <f>VLOOKUP(DefaultCollections[[#This Row],[DEFAULT_COLL_TYPE]],CollectionLookups,2,FALSE)</f>
        <v>P Anti-D Pre-Existing Standard</v>
      </c>
      <c r="F52" t="str">
        <f t="shared" si="0"/>
        <v>CP134-P Anti-D Pre-Existing Standard</v>
      </c>
      <c r="G52">
        <f>VLOOKUP(DefaultCollections[[#This Row],[DEFAULT_COLL_TYPE]],CollectionLookups,3,FALSE)</f>
        <v>0</v>
      </c>
      <c r="H52" t="str">
        <f t="shared" si="1"/>
        <v>NO</v>
      </c>
    </row>
    <row r="53" spans="1:9" x14ac:dyDescent="0.25">
      <c r="A53" t="s">
        <v>726</v>
      </c>
      <c r="B53" t="s">
        <v>182</v>
      </c>
      <c r="C53" t="s">
        <v>727</v>
      </c>
      <c r="D53" t="s">
        <v>695</v>
      </c>
      <c r="E53" t="str">
        <f>VLOOKUP(DefaultCollections[[#This Row],[DEFAULT_COLL_TYPE]],CollectionLookups,2,FALSE)</f>
        <v>P HBS Pre-Existing Standard</v>
      </c>
      <c r="F53" t="str">
        <f t="shared" si="0"/>
        <v>CP134-P HBS Pre-Existing Standard</v>
      </c>
      <c r="G53" t="str">
        <f>VLOOKUP(DefaultCollections[[#This Row],[DEFAULT_COLL_TYPE]],CollectionLookups,3,FALSE)</f>
        <v>2X Week P HBS Pre-Existing</v>
      </c>
      <c r="H53" t="str">
        <f t="shared" si="1"/>
        <v>CP134-2X Week P HBS Pre-Existing</v>
      </c>
      <c r="I53" s="147"/>
    </row>
    <row r="54" spans="1:9" x14ac:dyDescent="0.25">
      <c r="A54" t="s">
        <v>726</v>
      </c>
      <c r="B54" t="s">
        <v>182</v>
      </c>
      <c r="C54" t="s">
        <v>727</v>
      </c>
      <c r="D54" t="s">
        <v>696</v>
      </c>
      <c r="E54" t="str">
        <f>VLOOKUP(DefaultCollections[[#This Row],[DEFAULT_COLL_TYPE]],CollectionLookups,2,FALSE)</f>
        <v>P HBS TWINRIX Standard</v>
      </c>
      <c r="F54" t="str">
        <f t="shared" si="0"/>
        <v>CP134-P HBS TWINRIX Standard</v>
      </c>
      <c r="G54" t="str">
        <f>VLOOKUP(DefaultCollections[[#This Row],[DEFAULT_COLL_TYPE]],CollectionLookups,3,FALSE)</f>
        <v>2X Week P HBS TWINRX</v>
      </c>
      <c r="H54" t="str">
        <f t="shared" si="1"/>
        <v>CP134-2X Week P HBS TWINRX</v>
      </c>
      <c r="I54" s="147"/>
    </row>
    <row r="55" spans="1:9" x14ac:dyDescent="0.25">
      <c r="A55" t="s">
        <v>726</v>
      </c>
      <c r="B55" t="s">
        <v>182</v>
      </c>
      <c r="C55" t="s">
        <v>727</v>
      </c>
      <c r="D55" t="s">
        <v>697</v>
      </c>
      <c r="E55" t="str">
        <f>VLOOKUP(DefaultCollections[[#This Row],[DEFAULT_COLL_TYPE]],CollectionLookups,2,FALSE)</f>
        <v>P HBS TWINRIX-AP Standard</v>
      </c>
      <c r="F55" t="str">
        <f t="shared" si="0"/>
        <v>CP134-P HBS TWINRIX-AP Standard</v>
      </c>
      <c r="G55" t="str">
        <f>VLOOKUP(DefaultCollections[[#This Row],[DEFAULT_COLL_TYPE]],CollectionLookups,3,FALSE)</f>
        <v>2X Week P HBS TWINRX-AP</v>
      </c>
      <c r="H55" t="str">
        <f t="shared" si="1"/>
        <v>CP134-2X Week P HBS TWINRX-AP</v>
      </c>
    </row>
    <row r="56" spans="1:9" x14ac:dyDescent="0.25">
      <c r="A56" t="s">
        <v>726</v>
      </c>
      <c r="B56" t="s">
        <v>182</v>
      </c>
      <c r="C56" t="s">
        <v>727</v>
      </c>
      <c r="D56" t="s">
        <v>698</v>
      </c>
      <c r="E56" t="str">
        <f>VLOOKUP(DefaultCollections[[#This Row],[DEFAULT_COLL_TYPE]],CollectionLookups,2,FALSE)</f>
        <v>P NSP NS Standard</v>
      </c>
      <c r="F56" t="str">
        <f t="shared" si="0"/>
        <v>CP134-P NSP NS Standard</v>
      </c>
      <c r="G56" t="str">
        <f>VLOOKUP(DefaultCollections[[#This Row],[DEFAULT_COLL_TYPE]],CollectionLookups,3,FALSE)</f>
        <v>2X Week P NSP NS</v>
      </c>
      <c r="H56" t="str">
        <f t="shared" si="1"/>
        <v>CP134-2X Week P NSP NS</v>
      </c>
    </row>
    <row r="57" spans="1:9" x14ac:dyDescent="0.25">
      <c r="A57" t="s">
        <v>726</v>
      </c>
      <c r="B57" t="s">
        <v>182</v>
      </c>
      <c r="C57" t="s">
        <v>727</v>
      </c>
      <c r="D57" t="s">
        <v>715</v>
      </c>
      <c r="E57" t="str">
        <f>VLOOKUP(DefaultCollections[[#This Row],[DEFAULT_COLL_TYPE]],CollectionLookups,2,FALSE)</f>
        <v>P VIP A Standard</v>
      </c>
      <c r="F57" t="str">
        <f t="shared" si="0"/>
        <v>CP134-P VIP A Standard</v>
      </c>
      <c r="G57" t="str">
        <f>VLOOKUP(DefaultCollections[[#This Row],[DEFAULT_COLL_TYPE]],CollectionLookups,3,FALSE)</f>
        <v>2X Week P VIP A</v>
      </c>
      <c r="H57" t="str">
        <f t="shared" si="1"/>
        <v>CP134-2X Week P VIP A</v>
      </c>
    </row>
    <row r="58" spans="1:9" x14ac:dyDescent="0.25">
      <c r="A58" t="s">
        <v>726</v>
      </c>
      <c r="B58" t="s">
        <v>182</v>
      </c>
      <c r="C58" t="s">
        <v>727</v>
      </c>
      <c r="D58" t="s">
        <v>717</v>
      </c>
      <c r="E58" t="str">
        <f>VLOOKUP(DefaultCollections[[#This Row],[DEFAULT_COLL_TYPE]],CollectionLookups,2,FALSE)</f>
        <v>P VZV Standard</v>
      </c>
      <c r="F58" t="str">
        <f t="shared" si="0"/>
        <v>CP134-P VZV Standard</v>
      </c>
      <c r="G58" t="str">
        <f>VLOOKUP(DefaultCollections[[#This Row],[DEFAULT_COLL_TYPE]],CollectionLookups,3,FALSE)</f>
        <v>2X Week P VZV</v>
      </c>
      <c r="H58" t="str">
        <f t="shared" si="1"/>
        <v>CP134-2X Week P VZV</v>
      </c>
    </row>
    <row r="59" spans="1:9" x14ac:dyDescent="0.25">
      <c r="A59" t="s">
        <v>726</v>
      </c>
      <c r="B59" t="s">
        <v>182</v>
      </c>
      <c r="C59" t="s">
        <v>727</v>
      </c>
      <c r="D59" t="s">
        <v>718</v>
      </c>
      <c r="E59">
        <f>VLOOKUP(DefaultCollections[[#This Row],[DEFAULT_COLL_TYPE]],CollectionLookups,2,FALSE)</f>
        <v>0</v>
      </c>
      <c r="F59" t="str">
        <f t="shared" si="0"/>
        <v>NO</v>
      </c>
      <c r="G59" t="str">
        <f>VLOOKUP(DefaultCollections[[#This Row],[DEFAULT_COLL_TYPE]],CollectionLookups,3,FALSE)</f>
        <v>2X Week P VZV AP</v>
      </c>
      <c r="H59" t="str">
        <f t="shared" si="1"/>
        <v>CP134-2X Week P VZV AP</v>
      </c>
    </row>
    <row r="60" spans="1:9" x14ac:dyDescent="0.25">
      <c r="A60" t="s">
        <v>726</v>
      </c>
      <c r="B60" t="s">
        <v>182</v>
      </c>
      <c r="C60" t="s">
        <v>727</v>
      </c>
      <c r="D60" t="s">
        <v>719</v>
      </c>
      <c r="E60" t="str">
        <f>VLOOKUP(DefaultCollections[[#This Row],[DEFAULT_COLL_TYPE]],CollectionLookups,2,FALSE)</f>
        <v>PVZV Pre-Existing Standard</v>
      </c>
      <c r="F60" t="str">
        <f t="shared" si="0"/>
        <v>CP134-PVZV Pre-Existing Standard</v>
      </c>
      <c r="G60" t="str">
        <f>VLOOKUP(DefaultCollections[[#This Row],[DEFAULT_COLL_TYPE]],CollectionLookups,3,FALSE)</f>
        <v>2X Week P VZV Pre-Existing</v>
      </c>
      <c r="H60" t="str">
        <f t="shared" si="1"/>
        <v>CP134-2X Week P VZV Pre-Existing</v>
      </c>
    </row>
    <row r="61" spans="1:9" x14ac:dyDescent="0.25">
      <c r="A61" t="s">
        <v>726</v>
      </c>
      <c r="B61" t="s">
        <v>182</v>
      </c>
      <c r="C61" t="s">
        <v>727</v>
      </c>
      <c r="D61" t="s">
        <v>720</v>
      </c>
      <c r="E61" t="str">
        <f>VLOOKUP(DefaultCollections[[#This Row],[DEFAULT_COLL_TYPE]],CollectionLookups,2,FALSE)</f>
        <v>P VZV Pre-Existing AP</v>
      </c>
      <c r="F61" t="str">
        <f t="shared" si="0"/>
        <v>CP134-P VZV Pre-Existing AP</v>
      </c>
      <c r="G61" t="str">
        <f>VLOOKUP(DefaultCollections[[#This Row],[DEFAULT_COLL_TYPE]],CollectionLookups,3,FALSE)</f>
        <v>2X Week P VZV Pre-Existing AP</v>
      </c>
      <c r="H61" t="str">
        <f t="shared" si="1"/>
        <v>CP134-2X Week P VZV Pre-Existing AP</v>
      </c>
    </row>
    <row r="62" spans="1:9" x14ac:dyDescent="0.25">
      <c r="A62" t="s">
        <v>728</v>
      </c>
      <c r="B62" t="s">
        <v>351</v>
      </c>
      <c r="C62" t="s">
        <v>729</v>
      </c>
      <c r="D62" t="s">
        <v>694</v>
      </c>
      <c r="E62" t="str">
        <f>VLOOKUP(DefaultCollections[[#This Row],[DEFAULT_COLL_TYPE]],CollectionLookups,2,FALSE)</f>
        <v>P Anti-D Pre-Existing Standard</v>
      </c>
      <c r="F62" t="str">
        <f t="shared" si="0"/>
        <v>CP135-P Anti-D Pre-Existing Standard</v>
      </c>
      <c r="G62">
        <f>VLOOKUP(DefaultCollections[[#This Row],[DEFAULT_COLL_TYPE]],CollectionLookups,3,FALSE)</f>
        <v>0</v>
      </c>
      <c r="H62" t="str">
        <f t="shared" si="1"/>
        <v>NO</v>
      </c>
    </row>
    <row r="63" spans="1:9" x14ac:dyDescent="0.25">
      <c r="A63" t="s">
        <v>728</v>
      </c>
      <c r="B63" t="s">
        <v>351</v>
      </c>
      <c r="C63" t="s">
        <v>729</v>
      </c>
      <c r="D63" t="s">
        <v>698</v>
      </c>
      <c r="E63" t="str">
        <f>VLOOKUP(DefaultCollections[[#This Row],[DEFAULT_COLL_TYPE]],CollectionLookups,2,FALSE)</f>
        <v>P NSP NS Standard</v>
      </c>
      <c r="F63" t="str">
        <f t="shared" si="0"/>
        <v>CP135-P NSP NS Standard</v>
      </c>
      <c r="G63" t="str">
        <f>VLOOKUP(DefaultCollections[[#This Row],[DEFAULT_COLL_TYPE]],CollectionLookups,3,FALSE)</f>
        <v>2X Week P NSP NS</v>
      </c>
      <c r="H63" t="str">
        <f t="shared" si="1"/>
        <v>CP135-2X Week P NSP NS</v>
      </c>
    </row>
    <row r="64" spans="1:9" x14ac:dyDescent="0.25">
      <c r="A64" t="s">
        <v>728</v>
      </c>
      <c r="B64" t="s">
        <v>351</v>
      </c>
      <c r="C64" t="s">
        <v>729</v>
      </c>
      <c r="D64" t="s">
        <v>725</v>
      </c>
      <c r="E64" t="str">
        <f>VLOOKUP(DefaultCollections[[#This Row],[DEFAULT_COLL_TYPE]],CollectionLookups,2,FALSE)</f>
        <v>P Vaccinia Standard</v>
      </c>
      <c r="F64" t="str">
        <f t="shared" si="0"/>
        <v>CP135-P Vaccinia Standard</v>
      </c>
      <c r="G64">
        <f>VLOOKUP(DefaultCollections[[#This Row],[DEFAULT_COLL_TYPE]],CollectionLookups,3,FALSE)</f>
        <v>0</v>
      </c>
      <c r="H64" t="str">
        <f t="shared" si="1"/>
        <v>NO</v>
      </c>
    </row>
    <row r="65" spans="1:8" x14ac:dyDescent="0.25">
      <c r="A65" t="s">
        <v>730</v>
      </c>
      <c r="B65" t="s">
        <v>361</v>
      </c>
      <c r="C65" t="s">
        <v>731</v>
      </c>
      <c r="D65" t="s">
        <v>694</v>
      </c>
      <c r="E65" t="str">
        <f>VLOOKUP(DefaultCollections[[#This Row],[DEFAULT_COLL_TYPE]],CollectionLookups,2,FALSE)</f>
        <v>P Anti-D Pre-Existing Standard</v>
      </c>
      <c r="F65" t="str">
        <f t="shared" si="0"/>
        <v>CP136-P Anti-D Pre-Existing Standard</v>
      </c>
      <c r="G65">
        <f>VLOOKUP(DefaultCollections[[#This Row],[DEFAULT_COLL_TYPE]],CollectionLookups,3,FALSE)</f>
        <v>0</v>
      </c>
      <c r="H65" t="str">
        <f t="shared" si="1"/>
        <v>NO</v>
      </c>
    </row>
    <row r="66" spans="1:8" x14ac:dyDescent="0.25">
      <c r="A66" t="s">
        <v>730</v>
      </c>
      <c r="B66" t="s">
        <v>361</v>
      </c>
      <c r="C66" t="s">
        <v>731</v>
      </c>
      <c r="D66" t="s">
        <v>698</v>
      </c>
      <c r="E66" t="str">
        <f>VLOOKUP(DefaultCollections[[#This Row],[DEFAULT_COLL_TYPE]],CollectionLookups,2,FALSE)</f>
        <v>P NSP NS Standard</v>
      </c>
      <c r="F66" t="str">
        <f t="shared" ref="F66:F129" si="2">IFERROR(VLOOKUP(B66&amp;"-"&amp;E66,NLCollectionsLookup,1,FALSE),"NO")</f>
        <v>CP136-P NSP NS Standard</v>
      </c>
      <c r="G66" t="str">
        <f>VLOOKUP(DefaultCollections[[#This Row],[DEFAULT_COLL_TYPE]],CollectionLookups,3,FALSE)</f>
        <v>2X Week P NSP NS</v>
      </c>
      <c r="H66" t="str">
        <f t="shared" ref="H66:H129" si="3">IFERROR(VLOOKUP(B66&amp;"-"&amp;G66,NLCollectionsLookup,1,FALSE),"NO")</f>
        <v>CP136-2X Week P NSP NS</v>
      </c>
    </row>
    <row r="67" spans="1:8" x14ac:dyDescent="0.25">
      <c r="A67" t="s">
        <v>732</v>
      </c>
      <c r="B67" t="s">
        <v>274</v>
      </c>
      <c r="C67" t="s">
        <v>733</v>
      </c>
      <c r="D67" t="s">
        <v>694</v>
      </c>
      <c r="E67" t="str">
        <f>VLOOKUP(DefaultCollections[[#This Row],[DEFAULT_COLL_TYPE]],CollectionLookups,2,FALSE)</f>
        <v>P Anti-D Pre-Existing Standard</v>
      </c>
      <c r="F67" t="str">
        <f t="shared" si="2"/>
        <v>CP137-P Anti-D Pre-Existing Standard</v>
      </c>
      <c r="G67">
        <f>VLOOKUP(DefaultCollections[[#This Row],[DEFAULT_COLL_TYPE]],CollectionLookups,3,FALSE)</f>
        <v>0</v>
      </c>
      <c r="H67" t="str">
        <f t="shared" si="3"/>
        <v>NO</v>
      </c>
    </row>
    <row r="68" spans="1:8" x14ac:dyDescent="0.25">
      <c r="A68" t="s">
        <v>732</v>
      </c>
      <c r="B68" t="s">
        <v>274</v>
      </c>
      <c r="C68" t="s">
        <v>733</v>
      </c>
      <c r="D68" t="s">
        <v>698</v>
      </c>
      <c r="E68" t="str">
        <f>VLOOKUP(DefaultCollections[[#This Row],[DEFAULT_COLL_TYPE]],CollectionLookups,2,FALSE)</f>
        <v>P NSP NS Standard</v>
      </c>
      <c r="F68" t="str">
        <f t="shared" si="2"/>
        <v>CP137-P NSP NS Standard</v>
      </c>
      <c r="G68" t="str">
        <f>VLOOKUP(DefaultCollections[[#This Row],[DEFAULT_COLL_TYPE]],CollectionLookups,3,FALSE)</f>
        <v>2X Week P NSP NS</v>
      </c>
      <c r="H68" t="str">
        <f t="shared" si="3"/>
        <v>CP137-2X Week P NSP NS</v>
      </c>
    </row>
    <row r="69" spans="1:8" x14ac:dyDescent="0.25">
      <c r="A69" t="s">
        <v>734</v>
      </c>
      <c r="B69" t="s">
        <v>186</v>
      </c>
      <c r="C69" t="s">
        <v>735</v>
      </c>
      <c r="D69" t="s">
        <v>694</v>
      </c>
      <c r="E69" t="str">
        <f>VLOOKUP(DefaultCollections[[#This Row],[DEFAULT_COLL_TYPE]],CollectionLookups,2,FALSE)</f>
        <v>P Anti-D Pre-Existing Standard</v>
      </c>
      <c r="F69" t="str">
        <f t="shared" si="2"/>
        <v>CP138-P Anti-D Pre-Existing Standard</v>
      </c>
      <c r="G69">
        <f>VLOOKUP(DefaultCollections[[#This Row],[DEFAULT_COLL_TYPE]],CollectionLookups,3,FALSE)</f>
        <v>0</v>
      </c>
      <c r="H69" t="str">
        <f t="shared" si="3"/>
        <v>NO</v>
      </c>
    </row>
    <row r="70" spans="1:8" x14ac:dyDescent="0.25">
      <c r="A70" t="s">
        <v>734</v>
      </c>
      <c r="B70" t="s">
        <v>186</v>
      </c>
      <c r="C70" t="s">
        <v>735</v>
      </c>
      <c r="D70" t="s">
        <v>698</v>
      </c>
      <c r="E70" t="str">
        <f>VLOOKUP(DefaultCollections[[#This Row],[DEFAULT_COLL_TYPE]],CollectionLookups,2,FALSE)</f>
        <v>P NSP NS Standard</v>
      </c>
      <c r="F70" t="str">
        <f t="shared" si="2"/>
        <v>CP138-P NSP NS Standard</v>
      </c>
      <c r="G70" t="str">
        <f>VLOOKUP(DefaultCollections[[#This Row],[DEFAULT_COLL_TYPE]],CollectionLookups,3,FALSE)</f>
        <v>2X Week P NSP NS</v>
      </c>
      <c r="H70" t="str">
        <f t="shared" si="3"/>
        <v>CP138-2X Week P NSP NS</v>
      </c>
    </row>
    <row r="71" spans="1:8" x14ac:dyDescent="0.25">
      <c r="A71" t="s">
        <v>736</v>
      </c>
      <c r="B71" t="s">
        <v>199</v>
      </c>
      <c r="C71" t="s">
        <v>737</v>
      </c>
      <c r="D71" t="s">
        <v>693</v>
      </c>
      <c r="E71" t="str">
        <f>VLOOKUP(DefaultCollections[[#This Row],[DEFAULT_COLL_TYPE]],CollectionLookups,2,FALSE)</f>
        <v>P Anti-D Standard</v>
      </c>
      <c r="F71" t="str">
        <f t="shared" si="2"/>
        <v>CP139-P Anti-D Standard</v>
      </c>
      <c r="G71" t="str">
        <f>VLOOKUP(DefaultCollections[[#This Row],[DEFAULT_COLL_TYPE]],CollectionLookups,3,FALSE)</f>
        <v>2X Week P Anti-D</v>
      </c>
      <c r="H71" t="str">
        <f t="shared" si="3"/>
        <v>CP139-2X Week P Anti-D</v>
      </c>
    </row>
    <row r="72" spans="1:8" x14ac:dyDescent="0.25">
      <c r="A72" t="s">
        <v>736</v>
      </c>
      <c r="B72" t="s">
        <v>199</v>
      </c>
      <c r="C72" t="s">
        <v>737</v>
      </c>
      <c r="D72" t="s">
        <v>694</v>
      </c>
      <c r="E72" t="str">
        <f>VLOOKUP(DefaultCollections[[#This Row],[DEFAULT_COLL_TYPE]],CollectionLookups,2,FALSE)</f>
        <v>P Anti-D Pre-Existing Standard</v>
      </c>
      <c r="F72" t="str">
        <f t="shared" si="2"/>
        <v>CP139-P Anti-D Pre-Existing Standard</v>
      </c>
      <c r="G72">
        <f>VLOOKUP(DefaultCollections[[#This Row],[DEFAULT_COLL_TYPE]],CollectionLookups,3,FALSE)</f>
        <v>0</v>
      </c>
      <c r="H72" t="str">
        <f t="shared" si="3"/>
        <v>NO</v>
      </c>
    </row>
    <row r="73" spans="1:8" x14ac:dyDescent="0.25">
      <c r="A73" t="s">
        <v>736</v>
      </c>
      <c r="B73" t="s">
        <v>199</v>
      </c>
      <c r="C73" t="s">
        <v>737</v>
      </c>
      <c r="D73" t="s">
        <v>698</v>
      </c>
      <c r="E73" t="str">
        <f>VLOOKUP(DefaultCollections[[#This Row],[DEFAULT_COLL_TYPE]],CollectionLookups,2,FALSE)</f>
        <v>P NSP NS Standard</v>
      </c>
      <c r="F73" t="str">
        <f t="shared" si="2"/>
        <v>CP139-P NSP NS Standard</v>
      </c>
      <c r="G73" t="str">
        <f>VLOOKUP(DefaultCollections[[#This Row],[DEFAULT_COLL_TYPE]],CollectionLookups,3,FALSE)</f>
        <v>2X Week P NSP NS</v>
      </c>
      <c r="H73" t="str">
        <f t="shared" si="3"/>
        <v>CP139-2X Week P NSP NS</v>
      </c>
    </row>
    <row r="74" spans="1:8" x14ac:dyDescent="0.25">
      <c r="A74" t="s">
        <v>738</v>
      </c>
      <c r="B74" t="s">
        <v>382</v>
      </c>
      <c r="C74" t="s">
        <v>739</v>
      </c>
      <c r="D74" t="s">
        <v>692</v>
      </c>
      <c r="E74" t="str">
        <f>VLOOKUP(DefaultCollections[[#This Row],[DEFAULT_COLL_TYPE]],CollectionLookups,2,FALSE)</f>
        <v>P CMV Standard</v>
      </c>
      <c r="F74" t="str">
        <f t="shared" si="2"/>
        <v>CP147-P CMV Standard</v>
      </c>
      <c r="G74" t="str">
        <f>VLOOKUP(DefaultCollections[[#This Row],[DEFAULT_COLL_TYPE]],CollectionLookups,3,FALSE)</f>
        <v>2X Week P CMV</v>
      </c>
      <c r="H74" t="str">
        <f t="shared" si="3"/>
        <v>CP147-2X Week P CMV</v>
      </c>
    </row>
    <row r="75" spans="1:8" x14ac:dyDescent="0.25">
      <c r="A75" t="s">
        <v>738</v>
      </c>
      <c r="B75" t="s">
        <v>382</v>
      </c>
      <c r="C75" t="s">
        <v>739</v>
      </c>
      <c r="D75" t="s">
        <v>694</v>
      </c>
      <c r="E75" t="str">
        <f>VLOOKUP(DefaultCollections[[#This Row],[DEFAULT_COLL_TYPE]],CollectionLookups,2,FALSE)</f>
        <v>P Anti-D Pre-Existing Standard</v>
      </c>
      <c r="F75" t="str">
        <f t="shared" si="2"/>
        <v>CP147-P Anti-D Pre-Existing Standard</v>
      </c>
      <c r="G75">
        <f>VLOOKUP(DefaultCollections[[#This Row],[DEFAULT_COLL_TYPE]],CollectionLookups,3,FALSE)</f>
        <v>0</v>
      </c>
      <c r="H75" t="str">
        <f t="shared" si="3"/>
        <v>NO</v>
      </c>
    </row>
    <row r="76" spans="1:8" x14ac:dyDescent="0.25">
      <c r="A76" t="s">
        <v>738</v>
      </c>
      <c r="B76" t="s">
        <v>382</v>
      </c>
      <c r="C76" t="s">
        <v>739</v>
      </c>
      <c r="D76" t="s">
        <v>698</v>
      </c>
      <c r="E76" t="str">
        <f>VLOOKUP(DefaultCollections[[#This Row],[DEFAULT_COLL_TYPE]],CollectionLookups,2,FALSE)</f>
        <v>P NSP NS Standard</v>
      </c>
      <c r="F76" t="str">
        <f t="shared" si="2"/>
        <v>CP147-P NSP NS Standard</v>
      </c>
      <c r="G76" t="str">
        <f>VLOOKUP(DefaultCollections[[#This Row],[DEFAULT_COLL_TYPE]],CollectionLookups,3,FALSE)</f>
        <v>2X Week P NSP NS</v>
      </c>
      <c r="H76" t="str">
        <f t="shared" si="3"/>
        <v>CP147-2X Week P NSP NS</v>
      </c>
    </row>
    <row r="77" spans="1:8" x14ac:dyDescent="0.25">
      <c r="A77" t="s">
        <v>740</v>
      </c>
      <c r="B77" t="s">
        <v>396</v>
      </c>
      <c r="C77" t="s">
        <v>741</v>
      </c>
      <c r="D77" t="s">
        <v>692</v>
      </c>
      <c r="E77" t="str">
        <f>VLOOKUP(DefaultCollections[[#This Row],[DEFAULT_COLL_TYPE]],CollectionLookups,2,FALSE)</f>
        <v>P CMV Standard</v>
      </c>
      <c r="F77" t="str">
        <f t="shared" si="2"/>
        <v>CP149-P CMV Standard</v>
      </c>
      <c r="G77" t="str">
        <f>VLOOKUP(DefaultCollections[[#This Row],[DEFAULT_COLL_TYPE]],CollectionLookups,3,FALSE)</f>
        <v>2X Week P CMV</v>
      </c>
      <c r="H77" t="str">
        <f t="shared" si="3"/>
        <v>CP149-2X Week P CMV</v>
      </c>
    </row>
    <row r="78" spans="1:8" x14ac:dyDescent="0.25">
      <c r="A78" t="s">
        <v>740</v>
      </c>
      <c r="B78" t="s">
        <v>396</v>
      </c>
      <c r="C78" t="s">
        <v>741</v>
      </c>
      <c r="D78" t="s">
        <v>694</v>
      </c>
      <c r="E78" t="str">
        <f>VLOOKUP(DefaultCollections[[#This Row],[DEFAULT_COLL_TYPE]],CollectionLookups,2,FALSE)</f>
        <v>P Anti-D Pre-Existing Standard</v>
      </c>
      <c r="F78" t="str">
        <f t="shared" si="2"/>
        <v>CP149-P Anti-D Pre-Existing Standard</v>
      </c>
      <c r="G78">
        <f>VLOOKUP(DefaultCollections[[#This Row],[DEFAULT_COLL_TYPE]],CollectionLookups,3,FALSE)</f>
        <v>0</v>
      </c>
      <c r="H78" t="str">
        <f t="shared" si="3"/>
        <v>NO</v>
      </c>
    </row>
    <row r="79" spans="1:8" x14ac:dyDescent="0.25">
      <c r="A79" t="s">
        <v>740</v>
      </c>
      <c r="B79" t="s">
        <v>396</v>
      </c>
      <c r="C79" t="s">
        <v>741</v>
      </c>
      <c r="D79" t="s">
        <v>698</v>
      </c>
      <c r="E79" t="str">
        <f>VLOOKUP(DefaultCollections[[#This Row],[DEFAULT_COLL_TYPE]],CollectionLookups,2,FALSE)</f>
        <v>P NSP NS Standard</v>
      </c>
      <c r="F79" t="str">
        <f t="shared" si="2"/>
        <v>CP149-P NSP NS Standard</v>
      </c>
      <c r="G79" t="str">
        <f>VLOOKUP(DefaultCollections[[#This Row],[DEFAULT_COLL_TYPE]],CollectionLookups,3,FALSE)</f>
        <v>2X Week P NSP NS</v>
      </c>
      <c r="H79" t="str">
        <f t="shared" si="3"/>
        <v>CP149-2X Week P NSP NS</v>
      </c>
    </row>
    <row r="80" spans="1:8" x14ac:dyDescent="0.25">
      <c r="A80" t="s">
        <v>740</v>
      </c>
      <c r="B80" t="s">
        <v>396</v>
      </c>
      <c r="C80" t="s">
        <v>741</v>
      </c>
      <c r="D80" t="s">
        <v>699</v>
      </c>
      <c r="E80" t="str">
        <f>VLOOKUP(DefaultCollections[[#This Row],[DEFAULT_COLL_TYPE]],CollectionLookups,2,FALSE)</f>
        <v>P Tetanus Standard</v>
      </c>
      <c r="F80" t="str">
        <f t="shared" si="2"/>
        <v>CP149-P Tetanus Standard</v>
      </c>
      <c r="G80" t="str">
        <f>VLOOKUP(DefaultCollections[[#This Row],[DEFAULT_COLL_TYPE]],CollectionLookups,3,FALSE)</f>
        <v>2X Week P Tetanus</v>
      </c>
      <c r="H80" t="str">
        <f t="shared" si="3"/>
        <v>CP149-2X Week P Tetanus</v>
      </c>
    </row>
    <row r="81" spans="1:9" x14ac:dyDescent="0.25">
      <c r="A81" t="s">
        <v>740</v>
      </c>
      <c r="B81" t="s">
        <v>396</v>
      </c>
      <c r="C81" t="s">
        <v>741</v>
      </c>
      <c r="D81" t="s">
        <v>703</v>
      </c>
      <c r="E81" t="str">
        <f>VLOOKUP(DefaultCollections[[#This Row],[DEFAULT_COLL_TYPE]],CollectionLookups,2,FALSE)</f>
        <v>P Tetanus Pre-Existing Standard</v>
      </c>
      <c r="F81" t="str">
        <f t="shared" si="2"/>
        <v>CP149-P Tetanus Pre-Existing Standard</v>
      </c>
      <c r="G81" t="str">
        <f>VLOOKUP(DefaultCollections[[#This Row],[DEFAULT_COLL_TYPE]],CollectionLookups,3,FALSE)</f>
        <v>2X Week P Tetanus PE</v>
      </c>
      <c r="H81" t="str">
        <f t="shared" si="3"/>
        <v>CP149-2X Week P Tetanus PE</v>
      </c>
    </row>
    <row r="82" spans="1:9" x14ac:dyDescent="0.25">
      <c r="A82" t="s">
        <v>742</v>
      </c>
      <c r="B82" t="s">
        <v>389</v>
      </c>
      <c r="C82" t="s">
        <v>743</v>
      </c>
      <c r="D82" t="s">
        <v>744</v>
      </c>
      <c r="E82">
        <f>VLOOKUP(DefaultCollections[[#This Row],[DEFAULT_COLL_TYPE]],CollectionLookups,2,FALSE)</f>
        <v>0</v>
      </c>
      <c r="F82" t="str">
        <f t="shared" si="2"/>
        <v>NO</v>
      </c>
      <c r="G82">
        <f>VLOOKUP(DefaultCollections[[#This Row],[DEFAULT_COLL_TYPE]],CollectionLookups,3,FALSE)</f>
        <v>0</v>
      </c>
      <c r="H82" t="str">
        <f t="shared" si="3"/>
        <v>NO</v>
      </c>
    </row>
    <row r="83" spans="1:9" x14ac:dyDescent="0.25">
      <c r="A83" t="s">
        <v>742</v>
      </c>
      <c r="B83" t="s">
        <v>389</v>
      </c>
      <c r="C83" t="s">
        <v>743</v>
      </c>
      <c r="D83" t="s">
        <v>693</v>
      </c>
      <c r="E83" t="str">
        <f>VLOOKUP(DefaultCollections[[#This Row],[DEFAULT_COLL_TYPE]],CollectionLookups,2,FALSE)</f>
        <v>P Anti-D Standard</v>
      </c>
      <c r="F83" t="str">
        <f t="shared" si="2"/>
        <v>CP150-P Anti-D Standard</v>
      </c>
      <c r="G83" t="str">
        <f>VLOOKUP(DefaultCollections[[#This Row],[DEFAULT_COLL_TYPE]],CollectionLookups,3,FALSE)</f>
        <v>2X Week P Anti-D</v>
      </c>
      <c r="H83" t="str">
        <f t="shared" si="3"/>
        <v>CP150-2X Week P Anti-D</v>
      </c>
    </row>
    <row r="84" spans="1:9" x14ac:dyDescent="0.25">
      <c r="A84" t="s">
        <v>742</v>
      </c>
      <c r="B84" t="s">
        <v>389</v>
      </c>
      <c r="C84" t="s">
        <v>743</v>
      </c>
      <c r="D84" t="s">
        <v>694</v>
      </c>
      <c r="E84" t="str">
        <f>VLOOKUP(DefaultCollections[[#This Row],[DEFAULT_COLL_TYPE]],CollectionLookups,2,FALSE)</f>
        <v>P Anti-D Pre-Existing Standard</v>
      </c>
      <c r="F84" t="str">
        <f t="shared" si="2"/>
        <v>CP150-P Anti-D Pre-Existing Standard</v>
      </c>
      <c r="G84">
        <f>VLOOKUP(DefaultCollections[[#This Row],[DEFAULT_COLL_TYPE]],CollectionLookups,3,FALSE)</f>
        <v>0</v>
      </c>
      <c r="H84" t="str">
        <f t="shared" si="3"/>
        <v>NO</v>
      </c>
    </row>
    <row r="85" spans="1:9" x14ac:dyDescent="0.25">
      <c r="A85" t="s">
        <v>742</v>
      </c>
      <c r="B85" t="s">
        <v>389</v>
      </c>
      <c r="C85" t="s">
        <v>743</v>
      </c>
      <c r="D85" t="s">
        <v>723</v>
      </c>
      <c r="E85" t="str">
        <f>VLOOKUP(DefaultCollections[[#This Row],[DEFAULT_COLL_TYPE]],CollectionLookups,2,FALSE)</f>
        <v>P HBS Standard</v>
      </c>
      <c r="F85" t="str">
        <f t="shared" si="2"/>
        <v>CP150-P HBS Standard</v>
      </c>
      <c r="G85" t="str">
        <f>VLOOKUP(DefaultCollections[[#This Row],[DEFAULT_COLL_TYPE]],CollectionLookups,3,FALSE)</f>
        <v>2X Week P HBS</v>
      </c>
      <c r="H85" t="str">
        <f t="shared" si="3"/>
        <v>CP150-2X Week P HBS</v>
      </c>
    </row>
    <row r="86" spans="1:9" x14ac:dyDescent="0.25">
      <c r="A86" t="s">
        <v>742</v>
      </c>
      <c r="B86" t="s">
        <v>389</v>
      </c>
      <c r="C86" t="s">
        <v>743</v>
      </c>
      <c r="D86" t="s">
        <v>695</v>
      </c>
      <c r="E86" t="str">
        <f>VLOOKUP(DefaultCollections[[#This Row],[DEFAULT_COLL_TYPE]],CollectionLookups,2,FALSE)</f>
        <v>P HBS Pre-Existing Standard</v>
      </c>
      <c r="F86" t="str">
        <f t="shared" si="2"/>
        <v>CP150-P HBS Pre-Existing Standard</v>
      </c>
      <c r="G86" t="str">
        <f>VLOOKUP(DefaultCollections[[#This Row],[DEFAULT_COLL_TYPE]],CollectionLookups,3,FALSE)</f>
        <v>2X Week P HBS Pre-Existing</v>
      </c>
      <c r="H86" t="str">
        <f t="shared" si="3"/>
        <v>CP150-2X Week P HBS Pre-Existing</v>
      </c>
    </row>
    <row r="87" spans="1:9" x14ac:dyDescent="0.25">
      <c r="A87" t="s">
        <v>742</v>
      </c>
      <c r="B87" t="s">
        <v>389</v>
      </c>
      <c r="C87" t="s">
        <v>743</v>
      </c>
      <c r="D87" t="s">
        <v>698</v>
      </c>
      <c r="E87" t="str">
        <f>VLOOKUP(DefaultCollections[[#This Row],[DEFAULT_COLL_TYPE]],CollectionLookups,2,FALSE)</f>
        <v>P NSP NS Standard</v>
      </c>
      <c r="F87" t="str">
        <f t="shared" si="2"/>
        <v>CP150-P NSP NS Standard</v>
      </c>
      <c r="G87" t="str">
        <f>VLOOKUP(DefaultCollections[[#This Row],[DEFAULT_COLL_TYPE]],CollectionLookups,3,FALSE)</f>
        <v>2X Week P NSP NS</v>
      </c>
      <c r="H87" t="str">
        <f t="shared" si="3"/>
        <v>CP150-2X Week P NSP NS</v>
      </c>
    </row>
    <row r="88" spans="1:9" x14ac:dyDescent="0.25">
      <c r="A88" t="s">
        <v>742</v>
      </c>
      <c r="B88" t="s">
        <v>389</v>
      </c>
      <c r="C88" t="s">
        <v>743</v>
      </c>
      <c r="D88" t="s">
        <v>702</v>
      </c>
      <c r="E88" t="str">
        <f>VLOOKUP(DefaultCollections[[#This Row],[DEFAULT_COLL_TYPE]],CollectionLookups,2,FALSE)</f>
        <v>P Rabies Standard</v>
      </c>
      <c r="F88" t="str">
        <f t="shared" si="2"/>
        <v>CP150-P Rabies Standard</v>
      </c>
      <c r="G88" t="str">
        <f>VLOOKUP(DefaultCollections[[#This Row],[DEFAULT_COLL_TYPE]],CollectionLookups,3,FALSE)</f>
        <v>2X Week P Rabies</v>
      </c>
      <c r="H88" t="str">
        <f t="shared" si="3"/>
        <v>CP150-2X Week P Rabies</v>
      </c>
    </row>
    <row r="89" spans="1:9" x14ac:dyDescent="0.25">
      <c r="A89" t="s">
        <v>742</v>
      </c>
      <c r="B89" t="s">
        <v>389</v>
      </c>
      <c r="C89" t="s">
        <v>743</v>
      </c>
      <c r="D89" t="s">
        <v>699</v>
      </c>
      <c r="E89" t="str">
        <f>VLOOKUP(DefaultCollections[[#This Row],[DEFAULT_COLL_TYPE]],CollectionLookups,2,FALSE)</f>
        <v>P Tetanus Standard</v>
      </c>
      <c r="F89" t="str">
        <f t="shared" si="2"/>
        <v>CP150-P Tetanus Standard</v>
      </c>
      <c r="G89" t="str">
        <f>VLOOKUP(DefaultCollections[[#This Row],[DEFAULT_COLL_TYPE]],CollectionLookups,3,FALSE)</f>
        <v>2X Week P Tetanus</v>
      </c>
      <c r="H89" t="str">
        <f t="shared" si="3"/>
        <v>CP150-2X Week P Tetanus</v>
      </c>
    </row>
    <row r="90" spans="1:9" x14ac:dyDescent="0.25">
      <c r="A90" t="s">
        <v>742</v>
      </c>
      <c r="B90" t="s">
        <v>389</v>
      </c>
      <c r="C90" t="s">
        <v>743</v>
      </c>
      <c r="D90" t="s">
        <v>703</v>
      </c>
      <c r="E90" t="str">
        <f>VLOOKUP(DefaultCollections[[#This Row],[DEFAULT_COLL_TYPE]],CollectionLookups,2,FALSE)</f>
        <v>P Tetanus Pre-Existing Standard</v>
      </c>
      <c r="F90" t="str">
        <f t="shared" si="2"/>
        <v>CP150-P Tetanus Pre-Existing Standard</v>
      </c>
      <c r="G90" t="str">
        <f>VLOOKUP(DefaultCollections[[#This Row],[DEFAULT_COLL_TYPE]],CollectionLookups,3,FALSE)</f>
        <v>2X Week P Tetanus PE</v>
      </c>
      <c r="H90" t="str">
        <f t="shared" si="3"/>
        <v>CP150-2X Week P Tetanus PE</v>
      </c>
    </row>
    <row r="91" spans="1:9" x14ac:dyDescent="0.25">
      <c r="A91" t="s">
        <v>742</v>
      </c>
      <c r="B91" t="s">
        <v>389</v>
      </c>
      <c r="C91" t="s">
        <v>743</v>
      </c>
      <c r="D91" t="s">
        <v>724</v>
      </c>
      <c r="E91" t="str">
        <f>VLOOKUP(DefaultCollections[[#This Row],[DEFAULT_COLL_TYPE]],CollectionLookups,2,FALSE)</f>
        <v>P Tetanus Tox Standard</v>
      </c>
      <c r="F91" t="str">
        <f t="shared" si="2"/>
        <v>CP150-P Tetanus Tox Standard</v>
      </c>
      <c r="G91">
        <f>VLOOKUP(DefaultCollections[[#This Row],[DEFAULT_COLL_TYPE]],CollectionLookups,3,FALSE)</f>
        <v>0</v>
      </c>
      <c r="H91" t="str">
        <f t="shared" si="3"/>
        <v>NO</v>
      </c>
    </row>
    <row r="92" spans="1:9" x14ac:dyDescent="0.25">
      <c r="A92" t="s">
        <v>742</v>
      </c>
      <c r="B92" t="s">
        <v>389</v>
      </c>
      <c r="C92" t="s">
        <v>743</v>
      </c>
      <c r="D92" t="s">
        <v>725</v>
      </c>
      <c r="E92" t="str">
        <f>VLOOKUP(DefaultCollections[[#This Row],[DEFAULT_COLL_TYPE]],CollectionLookups,2,FALSE)</f>
        <v>P Vaccinia Standard</v>
      </c>
      <c r="F92" t="str">
        <f t="shared" si="2"/>
        <v>CP150-P Vaccinia Standard</v>
      </c>
      <c r="G92">
        <f>VLOOKUP(DefaultCollections[[#This Row],[DEFAULT_COLL_TYPE]],CollectionLookups,3,FALSE)</f>
        <v>0</v>
      </c>
      <c r="H92" t="str">
        <f t="shared" si="3"/>
        <v>NO</v>
      </c>
    </row>
    <row r="93" spans="1:9" x14ac:dyDescent="0.25">
      <c r="A93" t="s">
        <v>742</v>
      </c>
      <c r="B93" t="s">
        <v>389</v>
      </c>
      <c r="C93" t="s">
        <v>743</v>
      </c>
      <c r="D93" t="s">
        <v>712</v>
      </c>
      <c r="E93" t="str">
        <f>VLOOKUP(DefaultCollections[[#This Row],[DEFAULT_COLL_TYPE]],CollectionLookups,2,FALSE)</f>
        <v>Whole Blood INJ</v>
      </c>
      <c r="F93" t="str">
        <f t="shared" si="2"/>
        <v>CP150-Whole Blood INJ</v>
      </c>
      <c r="G93">
        <f>VLOOKUP(DefaultCollections[[#This Row],[DEFAULT_COLL_TYPE]],CollectionLookups,3,FALSE)</f>
        <v>0</v>
      </c>
      <c r="H93" t="str">
        <f t="shared" si="3"/>
        <v>NO</v>
      </c>
    </row>
    <row r="94" spans="1:9" x14ac:dyDescent="0.25">
      <c r="A94" t="s">
        <v>745</v>
      </c>
      <c r="B94" t="s">
        <v>401</v>
      </c>
      <c r="C94" t="s">
        <v>746</v>
      </c>
      <c r="D94" t="s">
        <v>692</v>
      </c>
      <c r="E94" t="str">
        <f>VLOOKUP(DefaultCollections[[#This Row],[DEFAULT_COLL_TYPE]],CollectionLookups,2,FALSE)</f>
        <v>P CMV Standard</v>
      </c>
      <c r="F94" t="str">
        <f t="shared" si="2"/>
        <v>CP154-P CMV Standard</v>
      </c>
      <c r="G94" t="str">
        <f>VLOOKUP(DefaultCollections[[#This Row],[DEFAULT_COLL_TYPE]],CollectionLookups,3,FALSE)</f>
        <v>2X Week P CMV</v>
      </c>
      <c r="H94" t="str">
        <f t="shared" si="3"/>
        <v>CP154-2X Week P CMV</v>
      </c>
    </row>
    <row r="95" spans="1:9" x14ac:dyDescent="0.25">
      <c r="A95" t="s">
        <v>745</v>
      </c>
      <c r="B95" t="s">
        <v>401</v>
      </c>
      <c r="C95" t="s">
        <v>746</v>
      </c>
      <c r="D95" t="s">
        <v>694</v>
      </c>
      <c r="E95" t="str">
        <f>VLOOKUP(DefaultCollections[[#This Row],[DEFAULT_COLL_TYPE]],CollectionLookups,2,FALSE)</f>
        <v>P Anti-D Pre-Existing Standard</v>
      </c>
      <c r="F95" t="str">
        <f t="shared" si="2"/>
        <v>CP154-P Anti-D Pre-Existing Standard</v>
      </c>
      <c r="G95">
        <f>VLOOKUP(DefaultCollections[[#This Row],[DEFAULT_COLL_TYPE]],CollectionLookups,3,FALSE)</f>
        <v>0</v>
      </c>
      <c r="H95" t="str">
        <f t="shared" si="3"/>
        <v>NO</v>
      </c>
    </row>
    <row r="96" spans="1:9" x14ac:dyDescent="0.25">
      <c r="A96" t="s">
        <v>745</v>
      </c>
      <c r="B96" t="s">
        <v>401</v>
      </c>
      <c r="C96" t="s">
        <v>746</v>
      </c>
      <c r="D96" t="s">
        <v>723</v>
      </c>
      <c r="E96" t="str">
        <f>VLOOKUP(DefaultCollections[[#This Row],[DEFAULT_COLL_TYPE]],CollectionLookups,2,FALSE)</f>
        <v>P HBS Standard</v>
      </c>
      <c r="F96" t="str">
        <f t="shared" si="2"/>
        <v>CP154-P HBS Standard</v>
      </c>
      <c r="G96" t="str">
        <f>VLOOKUP(DefaultCollections[[#This Row],[DEFAULT_COLL_TYPE]],CollectionLookups,3,FALSE)</f>
        <v>2X Week P HBS</v>
      </c>
      <c r="H96" t="str">
        <f t="shared" si="3"/>
        <v>CP154-2X Week P HBS</v>
      </c>
      <c r="I96" s="147"/>
    </row>
    <row r="97" spans="1:9" x14ac:dyDescent="0.25">
      <c r="A97" t="s">
        <v>745</v>
      </c>
      <c r="B97" t="s">
        <v>401</v>
      </c>
      <c r="C97" t="s">
        <v>746</v>
      </c>
      <c r="D97" t="s">
        <v>695</v>
      </c>
      <c r="E97" t="str">
        <f>VLOOKUP(DefaultCollections[[#This Row],[DEFAULT_COLL_TYPE]],CollectionLookups,2,FALSE)</f>
        <v>P HBS Pre-Existing Standard</v>
      </c>
      <c r="F97" t="str">
        <f t="shared" si="2"/>
        <v>CP154-P HBS Pre-Existing Standard</v>
      </c>
      <c r="G97" t="str">
        <f>VLOOKUP(DefaultCollections[[#This Row],[DEFAULT_COLL_TYPE]],CollectionLookups,3,FALSE)</f>
        <v>2X Week P HBS Pre-Existing</v>
      </c>
      <c r="H97" t="str">
        <f t="shared" si="3"/>
        <v>CP154-2X Week P HBS Pre-Existing</v>
      </c>
      <c r="I97" s="147"/>
    </row>
    <row r="98" spans="1:9" x14ac:dyDescent="0.25">
      <c r="A98" t="s">
        <v>745</v>
      </c>
      <c r="B98" t="s">
        <v>401</v>
      </c>
      <c r="C98" t="s">
        <v>746</v>
      </c>
      <c r="D98" t="s">
        <v>698</v>
      </c>
      <c r="E98" t="str">
        <f>VLOOKUP(DefaultCollections[[#This Row],[DEFAULT_COLL_TYPE]],CollectionLookups,2,FALSE)</f>
        <v>P NSP NS Standard</v>
      </c>
      <c r="F98" t="str">
        <f t="shared" si="2"/>
        <v>CP154-P NSP NS Standard</v>
      </c>
      <c r="G98" t="str">
        <f>VLOOKUP(DefaultCollections[[#This Row],[DEFAULT_COLL_TYPE]],CollectionLookups,3,FALSE)</f>
        <v>2X Week P NSP NS</v>
      </c>
      <c r="H98" t="str">
        <f t="shared" si="3"/>
        <v>CP154-2X Week P NSP NS</v>
      </c>
    </row>
    <row r="99" spans="1:9" x14ac:dyDescent="0.25">
      <c r="A99" t="s">
        <v>745</v>
      </c>
      <c r="B99" t="s">
        <v>401</v>
      </c>
      <c r="C99" t="s">
        <v>746</v>
      </c>
      <c r="D99" t="s">
        <v>725</v>
      </c>
      <c r="E99" t="str">
        <f>VLOOKUP(DefaultCollections[[#This Row],[DEFAULT_COLL_TYPE]],CollectionLookups,2,FALSE)</f>
        <v>P Vaccinia Standard</v>
      </c>
      <c r="F99" t="str">
        <f t="shared" si="2"/>
        <v>CP154-P Vaccinia Standard</v>
      </c>
      <c r="G99">
        <f>VLOOKUP(DefaultCollections[[#This Row],[DEFAULT_COLL_TYPE]],CollectionLookups,3,FALSE)</f>
        <v>0</v>
      </c>
      <c r="H99" t="str">
        <f t="shared" si="3"/>
        <v>NO</v>
      </c>
    </row>
    <row r="100" spans="1:9" x14ac:dyDescent="0.25">
      <c r="A100" t="s">
        <v>747</v>
      </c>
      <c r="B100" t="s">
        <v>299</v>
      </c>
      <c r="C100" t="s">
        <v>748</v>
      </c>
      <c r="D100" t="s">
        <v>694</v>
      </c>
      <c r="E100" t="str">
        <f>VLOOKUP(DefaultCollections[[#This Row],[DEFAULT_COLL_TYPE]],CollectionLookups,2,FALSE)</f>
        <v>P Anti-D Pre-Existing Standard</v>
      </c>
      <c r="F100" t="str">
        <f t="shared" si="2"/>
        <v>CP177-P Anti-D Pre-Existing Standard</v>
      </c>
      <c r="G100">
        <f>VLOOKUP(DefaultCollections[[#This Row],[DEFAULT_COLL_TYPE]],CollectionLookups,3,FALSE)</f>
        <v>0</v>
      </c>
      <c r="H100" t="str">
        <f t="shared" si="3"/>
        <v>NO</v>
      </c>
    </row>
    <row r="101" spans="1:9" x14ac:dyDescent="0.25">
      <c r="A101" t="s">
        <v>747</v>
      </c>
      <c r="B101" t="s">
        <v>299</v>
      </c>
      <c r="C101" t="s">
        <v>748</v>
      </c>
      <c r="D101" t="s">
        <v>695</v>
      </c>
      <c r="E101" t="str">
        <f>VLOOKUP(DefaultCollections[[#This Row],[DEFAULT_COLL_TYPE]],CollectionLookups,2,FALSE)</f>
        <v>P HBS Pre-Existing Standard</v>
      </c>
      <c r="F101" t="str">
        <f t="shared" si="2"/>
        <v>CP177-P HBS Pre-Existing Standard</v>
      </c>
      <c r="G101" t="str">
        <f>VLOOKUP(DefaultCollections[[#This Row],[DEFAULT_COLL_TYPE]],CollectionLookups,3,FALSE)</f>
        <v>2X Week P HBS Pre-Existing</v>
      </c>
      <c r="H101" t="str">
        <f t="shared" si="3"/>
        <v>CP177-2X Week P HBS Pre-Existing</v>
      </c>
    </row>
    <row r="102" spans="1:9" x14ac:dyDescent="0.25">
      <c r="A102" t="s">
        <v>747</v>
      </c>
      <c r="B102" t="s">
        <v>299</v>
      </c>
      <c r="C102" t="s">
        <v>748</v>
      </c>
      <c r="D102" t="s">
        <v>696</v>
      </c>
      <c r="E102" t="str">
        <f>VLOOKUP(DefaultCollections[[#This Row],[DEFAULT_COLL_TYPE]],CollectionLookups,2,FALSE)</f>
        <v>P HBS TWINRIX Standard</v>
      </c>
      <c r="F102" t="str">
        <f t="shared" si="2"/>
        <v>CP177-P HBS TWINRIX Standard</v>
      </c>
      <c r="G102" t="str">
        <f>VLOOKUP(DefaultCollections[[#This Row],[DEFAULT_COLL_TYPE]],CollectionLookups,3,FALSE)</f>
        <v>2X Week P HBS TWINRX</v>
      </c>
      <c r="H102" t="str">
        <f t="shared" si="3"/>
        <v>CP177-2X Week P HBS TWINRX</v>
      </c>
    </row>
    <row r="103" spans="1:9" x14ac:dyDescent="0.25">
      <c r="A103" t="s">
        <v>747</v>
      </c>
      <c r="B103" t="s">
        <v>299</v>
      </c>
      <c r="C103" t="s">
        <v>748</v>
      </c>
      <c r="D103" t="s">
        <v>697</v>
      </c>
      <c r="E103" t="str">
        <f>VLOOKUP(DefaultCollections[[#This Row],[DEFAULT_COLL_TYPE]],CollectionLookups,2,FALSE)</f>
        <v>P HBS TWINRIX-AP Standard</v>
      </c>
      <c r="F103" t="str">
        <f t="shared" si="2"/>
        <v>CP177-P HBS TWINRIX-AP Standard</v>
      </c>
      <c r="G103" t="str">
        <f>VLOOKUP(DefaultCollections[[#This Row],[DEFAULT_COLL_TYPE]],CollectionLookups,3,FALSE)</f>
        <v>2X Week P HBS TWINRX-AP</v>
      </c>
      <c r="H103" t="str">
        <f t="shared" si="3"/>
        <v>CP177-2X Week P HBS TWINRX-AP</v>
      </c>
    </row>
    <row r="104" spans="1:9" x14ac:dyDescent="0.25">
      <c r="A104" t="s">
        <v>747</v>
      </c>
      <c r="B104" t="s">
        <v>299</v>
      </c>
      <c r="C104" t="s">
        <v>748</v>
      </c>
      <c r="D104" t="s">
        <v>698</v>
      </c>
      <c r="E104" t="str">
        <f>VLOOKUP(DefaultCollections[[#This Row],[DEFAULT_COLL_TYPE]],CollectionLookups,2,FALSE)</f>
        <v>P NSP NS Standard</v>
      </c>
      <c r="F104" t="str">
        <f t="shared" si="2"/>
        <v>CP177-P NSP NS Standard</v>
      </c>
      <c r="G104" t="str">
        <f>VLOOKUP(DefaultCollections[[#This Row],[DEFAULT_COLL_TYPE]],CollectionLookups,3,FALSE)</f>
        <v>2X Week P NSP NS</v>
      </c>
      <c r="H104" t="str">
        <f t="shared" si="3"/>
        <v>CP177-2X Week P NSP NS</v>
      </c>
    </row>
    <row r="105" spans="1:9" x14ac:dyDescent="0.25">
      <c r="A105" t="s">
        <v>747</v>
      </c>
      <c r="B105" t="s">
        <v>299</v>
      </c>
      <c r="C105" t="s">
        <v>748</v>
      </c>
      <c r="D105" t="s">
        <v>719</v>
      </c>
      <c r="E105" t="str">
        <f>VLOOKUP(DefaultCollections[[#This Row],[DEFAULT_COLL_TYPE]],CollectionLookups,2,FALSE)</f>
        <v>PVZV Pre-Existing Standard</v>
      </c>
      <c r="F105" t="str">
        <f t="shared" si="2"/>
        <v>CP177-PVZV Pre-Existing Standard</v>
      </c>
      <c r="G105" t="str">
        <f>VLOOKUP(DefaultCollections[[#This Row],[DEFAULT_COLL_TYPE]],CollectionLookups,3,FALSE)</f>
        <v>2X Week P VZV Pre-Existing</v>
      </c>
      <c r="H105" t="str">
        <f t="shared" si="3"/>
        <v>CP177-2X Week P VZV Pre-Existing</v>
      </c>
    </row>
    <row r="106" spans="1:9" x14ac:dyDescent="0.25">
      <c r="A106" t="s">
        <v>747</v>
      </c>
      <c r="B106" t="s">
        <v>299</v>
      </c>
      <c r="C106" t="s">
        <v>748</v>
      </c>
      <c r="D106" t="s">
        <v>720</v>
      </c>
      <c r="E106" t="str">
        <f>VLOOKUP(DefaultCollections[[#This Row],[DEFAULT_COLL_TYPE]],CollectionLookups,2,FALSE)</f>
        <v>P VZV Pre-Existing AP</v>
      </c>
      <c r="F106" t="str">
        <f t="shared" si="2"/>
        <v>CP177-P VZV Pre-Existing AP</v>
      </c>
      <c r="G106" t="str">
        <f>VLOOKUP(DefaultCollections[[#This Row],[DEFAULT_COLL_TYPE]],CollectionLookups,3,FALSE)</f>
        <v>2X Week P VZV Pre-Existing AP</v>
      </c>
      <c r="H106" t="str">
        <f t="shared" si="3"/>
        <v>CP177-2X Week P VZV Pre-Existing AP</v>
      </c>
    </row>
    <row r="107" spans="1:9" x14ac:dyDescent="0.25">
      <c r="A107" t="s">
        <v>749</v>
      </c>
      <c r="B107" t="s">
        <v>91</v>
      </c>
      <c r="C107" t="s">
        <v>750</v>
      </c>
      <c r="D107" t="s">
        <v>694</v>
      </c>
      <c r="E107" t="str">
        <f>VLOOKUP(DefaultCollections[[#This Row],[DEFAULT_COLL_TYPE]],CollectionLookups,2,FALSE)</f>
        <v>P Anti-D Pre-Existing Standard</v>
      </c>
      <c r="F107" t="str">
        <f t="shared" si="2"/>
        <v>CP178-P Anti-D Pre-Existing Standard</v>
      </c>
      <c r="G107">
        <f>VLOOKUP(DefaultCollections[[#This Row],[DEFAULT_COLL_TYPE]],CollectionLookups,3,FALSE)</f>
        <v>0</v>
      </c>
      <c r="H107" t="str">
        <f t="shared" si="3"/>
        <v>NO</v>
      </c>
    </row>
    <row r="108" spans="1:9" x14ac:dyDescent="0.25">
      <c r="A108" t="s">
        <v>749</v>
      </c>
      <c r="B108" t="s">
        <v>91</v>
      </c>
      <c r="C108" t="s">
        <v>750</v>
      </c>
      <c r="D108" t="s">
        <v>698</v>
      </c>
      <c r="E108" t="str">
        <f>VLOOKUP(DefaultCollections[[#This Row],[DEFAULT_COLL_TYPE]],CollectionLookups,2,FALSE)</f>
        <v>P NSP NS Standard</v>
      </c>
      <c r="F108" t="str">
        <f t="shared" si="2"/>
        <v>CP178-P NSP NS Standard</v>
      </c>
      <c r="G108" t="str">
        <f>VLOOKUP(DefaultCollections[[#This Row],[DEFAULT_COLL_TYPE]],CollectionLookups,3,FALSE)</f>
        <v>2X Week P NSP NS</v>
      </c>
      <c r="H108" t="str">
        <f t="shared" si="3"/>
        <v>CP178-2X Week P NSP NS</v>
      </c>
    </row>
    <row r="109" spans="1:9" x14ac:dyDescent="0.25">
      <c r="A109" t="s">
        <v>749</v>
      </c>
      <c r="B109" t="s">
        <v>91</v>
      </c>
      <c r="C109" t="s">
        <v>750</v>
      </c>
      <c r="D109" t="s">
        <v>725</v>
      </c>
      <c r="E109" t="str">
        <f>VLOOKUP(DefaultCollections[[#This Row],[DEFAULT_COLL_TYPE]],CollectionLookups,2,FALSE)</f>
        <v>P Vaccinia Standard</v>
      </c>
      <c r="F109" t="str">
        <f t="shared" si="2"/>
        <v>CP178-P Vaccinia Standard</v>
      </c>
      <c r="G109">
        <f>VLOOKUP(DefaultCollections[[#This Row],[DEFAULT_COLL_TYPE]],CollectionLookups,3,FALSE)</f>
        <v>0</v>
      </c>
      <c r="H109" t="str">
        <f t="shared" si="3"/>
        <v>NO</v>
      </c>
    </row>
    <row r="110" spans="1:9" x14ac:dyDescent="0.25">
      <c r="A110" t="s">
        <v>749</v>
      </c>
      <c r="B110" t="s">
        <v>91</v>
      </c>
      <c r="C110" t="s">
        <v>750</v>
      </c>
      <c r="D110" t="s">
        <v>719</v>
      </c>
      <c r="E110" t="str">
        <f>VLOOKUP(DefaultCollections[[#This Row],[DEFAULT_COLL_TYPE]],CollectionLookups,2,FALSE)</f>
        <v>PVZV Pre-Existing Standard</v>
      </c>
      <c r="F110" t="str">
        <f t="shared" si="2"/>
        <v>CP178-PVZV Pre-Existing Standard</v>
      </c>
      <c r="G110" t="str">
        <f>VLOOKUP(DefaultCollections[[#This Row],[DEFAULT_COLL_TYPE]],CollectionLookups,3,FALSE)</f>
        <v>2X Week P VZV Pre-Existing</v>
      </c>
      <c r="H110" t="str">
        <f t="shared" si="3"/>
        <v>CP178-2X Week P VZV Pre-Existing</v>
      </c>
    </row>
    <row r="111" spans="1:9" x14ac:dyDescent="0.25">
      <c r="A111" t="s">
        <v>749</v>
      </c>
      <c r="B111" t="s">
        <v>91</v>
      </c>
      <c r="C111" t="s">
        <v>750</v>
      </c>
      <c r="D111" t="s">
        <v>720</v>
      </c>
      <c r="E111" t="str">
        <f>VLOOKUP(DefaultCollections[[#This Row],[DEFAULT_COLL_TYPE]],CollectionLookups,2,FALSE)</f>
        <v>P VZV Pre-Existing AP</v>
      </c>
      <c r="F111" t="str">
        <f t="shared" si="2"/>
        <v>CP178-P VZV Pre-Existing AP</v>
      </c>
      <c r="G111" t="str">
        <f>VLOOKUP(DefaultCollections[[#This Row],[DEFAULT_COLL_TYPE]],CollectionLookups,3,FALSE)</f>
        <v>2X Week P VZV Pre-Existing AP</v>
      </c>
      <c r="H111" t="str">
        <f t="shared" si="3"/>
        <v>CP178-2X Week P VZV Pre-Existing AP</v>
      </c>
    </row>
    <row r="112" spans="1:9" x14ac:dyDescent="0.25">
      <c r="A112" t="s">
        <v>751</v>
      </c>
      <c r="B112" t="s">
        <v>86</v>
      </c>
      <c r="C112" t="s">
        <v>752</v>
      </c>
      <c r="D112" t="s">
        <v>694</v>
      </c>
      <c r="E112" t="str">
        <f>VLOOKUP(DefaultCollections[[#This Row],[DEFAULT_COLL_TYPE]],CollectionLookups,2,FALSE)</f>
        <v>P Anti-D Pre-Existing Standard</v>
      </c>
      <c r="F112" t="str">
        <f t="shared" si="2"/>
        <v>CP179-P Anti-D Pre-Existing Standard</v>
      </c>
      <c r="G112">
        <f>VLOOKUP(DefaultCollections[[#This Row],[DEFAULT_COLL_TYPE]],CollectionLookups,3,FALSE)</f>
        <v>0</v>
      </c>
      <c r="H112" t="str">
        <f t="shared" si="3"/>
        <v>NO</v>
      </c>
    </row>
    <row r="113" spans="1:9" x14ac:dyDescent="0.25">
      <c r="A113" t="s">
        <v>751</v>
      </c>
      <c r="B113" t="s">
        <v>86</v>
      </c>
      <c r="C113" t="s">
        <v>752</v>
      </c>
      <c r="D113" t="s">
        <v>698</v>
      </c>
      <c r="E113" t="str">
        <f>VLOOKUP(DefaultCollections[[#This Row],[DEFAULT_COLL_TYPE]],CollectionLookups,2,FALSE)</f>
        <v>P NSP NS Standard</v>
      </c>
      <c r="F113" t="str">
        <f t="shared" si="2"/>
        <v>CP179-P NSP NS Standard</v>
      </c>
      <c r="G113" t="str">
        <f>VLOOKUP(DefaultCollections[[#This Row],[DEFAULT_COLL_TYPE]],CollectionLookups,3,FALSE)</f>
        <v>2X Week P NSP NS</v>
      </c>
      <c r="H113" t="str">
        <f t="shared" si="3"/>
        <v>CP179-2X Week P NSP NS</v>
      </c>
    </row>
    <row r="114" spans="1:9" x14ac:dyDescent="0.25">
      <c r="A114" t="s">
        <v>751</v>
      </c>
      <c r="B114" t="s">
        <v>86</v>
      </c>
      <c r="C114" t="s">
        <v>752</v>
      </c>
      <c r="D114" t="s">
        <v>699</v>
      </c>
      <c r="E114" t="str">
        <f>VLOOKUP(DefaultCollections[[#This Row],[DEFAULT_COLL_TYPE]],CollectionLookups,2,FALSE)</f>
        <v>P Tetanus Standard</v>
      </c>
      <c r="F114" t="str">
        <f t="shared" si="2"/>
        <v>NO</v>
      </c>
      <c r="G114" t="str">
        <f>VLOOKUP(DefaultCollections[[#This Row],[DEFAULT_COLL_TYPE]],CollectionLookups,3,FALSE)</f>
        <v>2X Week P Tetanus</v>
      </c>
      <c r="H114" t="str">
        <f t="shared" si="3"/>
        <v>NO</v>
      </c>
    </row>
    <row r="115" spans="1:9" x14ac:dyDescent="0.25">
      <c r="A115" t="s">
        <v>751</v>
      </c>
      <c r="B115" t="s">
        <v>86</v>
      </c>
      <c r="C115" t="s">
        <v>752</v>
      </c>
      <c r="D115" t="s">
        <v>703</v>
      </c>
      <c r="E115" t="str">
        <f>VLOOKUP(DefaultCollections[[#This Row],[DEFAULT_COLL_TYPE]],CollectionLookups,2,FALSE)</f>
        <v>P Tetanus Pre-Existing Standard</v>
      </c>
      <c r="F115" t="str">
        <f t="shared" si="2"/>
        <v>NO</v>
      </c>
      <c r="G115" t="str">
        <f>VLOOKUP(DefaultCollections[[#This Row],[DEFAULT_COLL_TYPE]],CollectionLookups,3,FALSE)</f>
        <v>2X Week P Tetanus PE</v>
      </c>
      <c r="H115" t="str">
        <f t="shared" si="3"/>
        <v>NO</v>
      </c>
    </row>
    <row r="116" spans="1:9" x14ac:dyDescent="0.25">
      <c r="A116" t="s">
        <v>751</v>
      </c>
      <c r="B116" t="s">
        <v>86</v>
      </c>
      <c r="C116" t="s">
        <v>752</v>
      </c>
      <c r="D116" t="s">
        <v>719</v>
      </c>
      <c r="E116" t="str">
        <f>VLOOKUP(DefaultCollections[[#This Row],[DEFAULT_COLL_TYPE]],CollectionLookups,2,FALSE)</f>
        <v>PVZV Pre-Existing Standard</v>
      </c>
      <c r="F116" t="str">
        <f t="shared" si="2"/>
        <v>CP179-PVZV Pre-Existing Standard</v>
      </c>
      <c r="G116" t="str">
        <f>VLOOKUP(DefaultCollections[[#This Row],[DEFAULT_COLL_TYPE]],CollectionLookups,3,FALSE)</f>
        <v>2X Week P VZV Pre-Existing</v>
      </c>
      <c r="H116" t="str">
        <f t="shared" si="3"/>
        <v>CP179-2X Week P VZV Pre-Existing</v>
      </c>
    </row>
    <row r="117" spans="1:9" x14ac:dyDescent="0.25">
      <c r="A117" t="s">
        <v>751</v>
      </c>
      <c r="B117" t="s">
        <v>86</v>
      </c>
      <c r="C117" t="s">
        <v>752</v>
      </c>
      <c r="D117" t="s">
        <v>720</v>
      </c>
      <c r="E117" t="str">
        <f>VLOOKUP(DefaultCollections[[#This Row],[DEFAULT_COLL_TYPE]],CollectionLookups,2,FALSE)</f>
        <v>P VZV Pre-Existing AP</v>
      </c>
      <c r="F117" t="str">
        <f t="shared" si="2"/>
        <v>CP179-P VZV Pre-Existing AP</v>
      </c>
      <c r="G117" t="str">
        <f>VLOOKUP(DefaultCollections[[#This Row],[DEFAULT_COLL_TYPE]],CollectionLookups,3,FALSE)</f>
        <v>2X Week P VZV Pre-Existing AP</v>
      </c>
      <c r="H117" t="str">
        <f t="shared" si="3"/>
        <v>CP179-2X Week P VZV Pre-Existing AP</v>
      </c>
    </row>
    <row r="118" spans="1:9" x14ac:dyDescent="0.25">
      <c r="A118" t="s">
        <v>753</v>
      </c>
      <c r="B118" t="s">
        <v>136</v>
      </c>
      <c r="C118" t="s">
        <v>754</v>
      </c>
      <c r="D118" t="s">
        <v>694</v>
      </c>
      <c r="E118" t="str">
        <f>VLOOKUP(DefaultCollections[[#This Row],[DEFAULT_COLL_TYPE]],CollectionLookups,2,FALSE)</f>
        <v>P Anti-D Pre-Existing Standard</v>
      </c>
      <c r="F118" t="str">
        <f t="shared" si="2"/>
        <v>CP184-P Anti-D Pre-Existing Standard</v>
      </c>
      <c r="G118">
        <f>VLOOKUP(DefaultCollections[[#This Row],[DEFAULT_COLL_TYPE]],CollectionLookups,3,FALSE)</f>
        <v>0</v>
      </c>
      <c r="H118" t="str">
        <f t="shared" si="3"/>
        <v>NO</v>
      </c>
      <c r="I118" s="147"/>
    </row>
    <row r="119" spans="1:9" x14ac:dyDescent="0.25">
      <c r="A119" t="s">
        <v>753</v>
      </c>
      <c r="B119" t="s">
        <v>136</v>
      </c>
      <c r="C119" t="s">
        <v>754</v>
      </c>
      <c r="D119" t="s">
        <v>698</v>
      </c>
      <c r="E119" t="str">
        <f>VLOOKUP(DefaultCollections[[#This Row],[DEFAULT_COLL_TYPE]],CollectionLookups,2,FALSE)</f>
        <v>P NSP NS Standard</v>
      </c>
      <c r="F119" t="str">
        <f t="shared" si="2"/>
        <v>CP184-P NSP NS Standard</v>
      </c>
      <c r="G119" t="str">
        <f>VLOOKUP(DefaultCollections[[#This Row],[DEFAULT_COLL_TYPE]],CollectionLookups,3,FALSE)</f>
        <v>2X Week P NSP NS</v>
      </c>
      <c r="H119" t="str">
        <f t="shared" si="3"/>
        <v>CP184-2X Week P NSP NS</v>
      </c>
    </row>
    <row r="120" spans="1:9" x14ac:dyDescent="0.25">
      <c r="A120" t="s">
        <v>753</v>
      </c>
      <c r="B120" t="s">
        <v>136</v>
      </c>
      <c r="C120" t="s">
        <v>754</v>
      </c>
      <c r="D120" t="s">
        <v>725</v>
      </c>
      <c r="E120" t="str">
        <f>VLOOKUP(DefaultCollections[[#This Row],[DEFAULT_COLL_TYPE]],CollectionLookups,2,FALSE)</f>
        <v>P Vaccinia Standard</v>
      </c>
      <c r="F120" t="str">
        <f t="shared" si="2"/>
        <v>CP184-P Vaccinia Standard</v>
      </c>
      <c r="G120">
        <f>VLOOKUP(DefaultCollections[[#This Row],[DEFAULT_COLL_TYPE]],CollectionLookups,3,FALSE)</f>
        <v>0</v>
      </c>
      <c r="H120" t="str">
        <f t="shared" si="3"/>
        <v>NO</v>
      </c>
    </row>
    <row r="121" spans="1:9" x14ac:dyDescent="0.25">
      <c r="A121" t="s">
        <v>753</v>
      </c>
      <c r="B121" t="s">
        <v>136</v>
      </c>
      <c r="C121" t="s">
        <v>754</v>
      </c>
      <c r="D121" t="s">
        <v>719</v>
      </c>
      <c r="E121" t="str">
        <f>VLOOKUP(DefaultCollections[[#This Row],[DEFAULT_COLL_TYPE]],CollectionLookups,2,FALSE)</f>
        <v>PVZV Pre-Existing Standard</v>
      </c>
      <c r="F121" t="str">
        <f t="shared" si="2"/>
        <v>CP184-PVZV Pre-Existing Standard</v>
      </c>
      <c r="G121" t="str">
        <f>VLOOKUP(DefaultCollections[[#This Row],[DEFAULT_COLL_TYPE]],CollectionLookups,3,FALSE)</f>
        <v>2X Week P VZV Pre-Existing</v>
      </c>
      <c r="H121" t="str">
        <f t="shared" si="3"/>
        <v>CP184-2X Week P VZV Pre-Existing</v>
      </c>
    </row>
    <row r="122" spans="1:9" x14ac:dyDescent="0.25">
      <c r="A122" t="s">
        <v>753</v>
      </c>
      <c r="B122" t="s">
        <v>136</v>
      </c>
      <c r="C122" t="s">
        <v>754</v>
      </c>
      <c r="D122" t="s">
        <v>720</v>
      </c>
      <c r="E122" t="str">
        <f>VLOOKUP(DefaultCollections[[#This Row],[DEFAULT_COLL_TYPE]],CollectionLookups,2,FALSE)</f>
        <v>P VZV Pre-Existing AP</v>
      </c>
      <c r="F122" t="str">
        <f t="shared" si="2"/>
        <v>CP184-P VZV Pre-Existing AP</v>
      </c>
      <c r="G122" t="str">
        <f>VLOOKUP(DefaultCollections[[#This Row],[DEFAULT_COLL_TYPE]],CollectionLookups,3,FALSE)</f>
        <v>2X Week P VZV Pre-Existing AP</v>
      </c>
      <c r="H122" t="str">
        <f t="shared" si="3"/>
        <v>CP184-2X Week P VZV Pre-Existing AP</v>
      </c>
    </row>
    <row r="123" spans="1:9" x14ac:dyDescent="0.25">
      <c r="A123" t="s">
        <v>755</v>
      </c>
      <c r="B123" t="s">
        <v>96</v>
      </c>
      <c r="C123" t="s">
        <v>756</v>
      </c>
      <c r="D123" t="s">
        <v>757</v>
      </c>
      <c r="E123">
        <f>VLOOKUP(DefaultCollections[[#This Row],[DEFAULT_COLL_TYPE]],CollectionLookups,2,FALSE)</f>
        <v>0</v>
      </c>
      <c r="F123" t="str">
        <f t="shared" si="2"/>
        <v>NO</v>
      </c>
      <c r="G123">
        <f>VLOOKUP(DefaultCollections[[#This Row],[DEFAULT_COLL_TYPE]],CollectionLookups,3,FALSE)</f>
        <v>0</v>
      </c>
      <c r="H123" t="str">
        <f t="shared" si="3"/>
        <v>NO</v>
      </c>
    </row>
    <row r="124" spans="1:9" x14ac:dyDescent="0.25">
      <c r="A124" t="s">
        <v>755</v>
      </c>
      <c r="B124" t="s">
        <v>96</v>
      </c>
      <c r="C124" t="s">
        <v>756</v>
      </c>
      <c r="D124" t="s">
        <v>694</v>
      </c>
      <c r="E124" t="str">
        <f>VLOOKUP(DefaultCollections[[#This Row],[DEFAULT_COLL_TYPE]],CollectionLookups,2,FALSE)</f>
        <v>P Anti-D Pre-Existing Standard</v>
      </c>
      <c r="F124" t="str">
        <f t="shared" si="2"/>
        <v>CP185-P Anti-D Pre-Existing Standard</v>
      </c>
      <c r="G124">
        <f>VLOOKUP(DefaultCollections[[#This Row],[DEFAULT_COLL_TYPE]],CollectionLookups,3,FALSE)</f>
        <v>0</v>
      </c>
      <c r="H124" t="str">
        <f t="shared" si="3"/>
        <v>NO</v>
      </c>
    </row>
    <row r="125" spans="1:9" x14ac:dyDescent="0.25">
      <c r="A125" t="s">
        <v>755</v>
      </c>
      <c r="B125" t="s">
        <v>96</v>
      </c>
      <c r="C125" t="s">
        <v>756</v>
      </c>
      <c r="D125" t="s">
        <v>698</v>
      </c>
      <c r="E125" t="str">
        <f>VLOOKUP(DefaultCollections[[#This Row],[DEFAULT_COLL_TYPE]],CollectionLookups,2,FALSE)</f>
        <v>P NSP NS Standard</v>
      </c>
      <c r="F125" t="str">
        <f t="shared" si="2"/>
        <v>CP185-P NSP NS Standard</v>
      </c>
      <c r="G125" t="str">
        <f>VLOOKUP(DefaultCollections[[#This Row],[DEFAULT_COLL_TYPE]],CollectionLookups,3,FALSE)</f>
        <v>2X Week P NSP NS</v>
      </c>
      <c r="H125" t="str">
        <f t="shared" si="3"/>
        <v>CP185-2X Week P NSP NS</v>
      </c>
    </row>
    <row r="126" spans="1:9" x14ac:dyDescent="0.25">
      <c r="A126" t="s">
        <v>755</v>
      </c>
      <c r="B126" t="s">
        <v>96</v>
      </c>
      <c r="C126" t="s">
        <v>756</v>
      </c>
      <c r="D126" t="s">
        <v>725</v>
      </c>
      <c r="E126" t="str">
        <f>VLOOKUP(DefaultCollections[[#This Row],[DEFAULT_COLL_TYPE]],CollectionLookups,2,FALSE)</f>
        <v>P Vaccinia Standard</v>
      </c>
      <c r="F126" t="str">
        <f t="shared" si="2"/>
        <v>CP185-P Vaccinia Standard</v>
      </c>
      <c r="G126">
        <f>VLOOKUP(DefaultCollections[[#This Row],[DEFAULT_COLL_TYPE]],CollectionLookups,3,FALSE)</f>
        <v>0</v>
      </c>
      <c r="H126" t="str">
        <f t="shared" si="3"/>
        <v>NO</v>
      </c>
    </row>
    <row r="127" spans="1:9" x14ac:dyDescent="0.25">
      <c r="A127" t="s">
        <v>755</v>
      </c>
      <c r="B127" t="s">
        <v>96</v>
      </c>
      <c r="C127" t="s">
        <v>756</v>
      </c>
      <c r="D127" t="s">
        <v>719</v>
      </c>
      <c r="E127" t="str">
        <f>VLOOKUP(DefaultCollections[[#This Row],[DEFAULT_COLL_TYPE]],CollectionLookups,2,FALSE)</f>
        <v>PVZV Pre-Existing Standard</v>
      </c>
      <c r="F127" t="str">
        <f t="shared" si="2"/>
        <v>CP185-PVZV Pre-Existing Standard</v>
      </c>
      <c r="G127" t="str">
        <f>VLOOKUP(DefaultCollections[[#This Row],[DEFAULT_COLL_TYPE]],CollectionLookups,3,FALSE)</f>
        <v>2X Week P VZV Pre-Existing</v>
      </c>
      <c r="H127" t="str">
        <f t="shared" si="3"/>
        <v>CP185-2X Week P VZV Pre-Existing</v>
      </c>
    </row>
    <row r="128" spans="1:9" x14ac:dyDescent="0.25">
      <c r="A128" t="s">
        <v>755</v>
      </c>
      <c r="B128" t="s">
        <v>96</v>
      </c>
      <c r="C128" t="s">
        <v>756</v>
      </c>
      <c r="D128" t="s">
        <v>720</v>
      </c>
      <c r="E128" t="str">
        <f>VLOOKUP(DefaultCollections[[#This Row],[DEFAULT_COLL_TYPE]],CollectionLookups,2,FALSE)</f>
        <v>P VZV Pre-Existing AP</v>
      </c>
      <c r="F128" t="str">
        <f t="shared" si="2"/>
        <v>CP185-P VZV Pre-Existing AP</v>
      </c>
      <c r="G128" t="str">
        <f>VLOOKUP(DefaultCollections[[#This Row],[DEFAULT_COLL_TYPE]],CollectionLookups,3,FALSE)</f>
        <v>2X Week P VZV Pre-Existing AP</v>
      </c>
      <c r="H128" t="str">
        <f t="shared" si="3"/>
        <v>CP185-2X Week P VZV Pre-Existing AP</v>
      </c>
    </row>
    <row r="129" spans="1:9" x14ac:dyDescent="0.25">
      <c r="A129" t="s">
        <v>758</v>
      </c>
      <c r="B129" t="s">
        <v>114</v>
      </c>
      <c r="C129" t="s">
        <v>759</v>
      </c>
      <c r="D129" t="s">
        <v>694</v>
      </c>
      <c r="E129" t="str">
        <f>VLOOKUP(DefaultCollections[[#This Row],[DEFAULT_COLL_TYPE]],CollectionLookups,2,FALSE)</f>
        <v>P Anti-D Pre-Existing Standard</v>
      </c>
      <c r="F129" t="str">
        <f t="shared" si="2"/>
        <v>CP206-P Anti-D Pre-Existing Standard</v>
      </c>
      <c r="G129">
        <f>VLOOKUP(DefaultCollections[[#This Row],[DEFAULT_COLL_TYPE]],CollectionLookups,3,FALSE)</f>
        <v>0</v>
      </c>
      <c r="H129" t="str">
        <f t="shared" si="3"/>
        <v>NO</v>
      </c>
    </row>
    <row r="130" spans="1:9" x14ac:dyDescent="0.25">
      <c r="A130" t="s">
        <v>758</v>
      </c>
      <c r="B130" t="s">
        <v>114</v>
      </c>
      <c r="C130" t="s">
        <v>759</v>
      </c>
      <c r="D130" t="s">
        <v>695</v>
      </c>
      <c r="E130" t="str">
        <f>VLOOKUP(DefaultCollections[[#This Row],[DEFAULT_COLL_TYPE]],CollectionLookups,2,FALSE)</f>
        <v>P HBS Pre-Existing Standard</v>
      </c>
      <c r="F130" t="str">
        <f t="shared" ref="F130:F193" si="4">IFERROR(VLOOKUP(B130&amp;"-"&amp;E130,NLCollectionsLookup,1,FALSE),"NO")</f>
        <v>CP206-P HBS Pre-Existing Standard</v>
      </c>
      <c r="G130" t="str">
        <f>VLOOKUP(DefaultCollections[[#This Row],[DEFAULT_COLL_TYPE]],CollectionLookups,3,FALSE)</f>
        <v>2X Week P HBS Pre-Existing</v>
      </c>
      <c r="H130" t="str">
        <f t="shared" ref="H130:H193" si="5">IFERROR(VLOOKUP(B130&amp;"-"&amp;G130,NLCollectionsLookup,1,FALSE),"NO")</f>
        <v>CP206-2X Week P HBS Pre-Existing</v>
      </c>
    </row>
    <row r="131" spans="1:9" x14ac:dyDescent="0.25">
      <c r="A131" t="s">
        <v>758</v>
      </c>
      <c r="B131" t="s">
        <v>114</v>
      </c>
      <c r="C131" t="s">
        <v>759</v>
      </c>
      <c r="D131" t="s">
        <v>696</v>
      </c>
      <c r="E131" t="str">
        <f>VLOOKUP(DefaultCollections[[#This Row],[DEFAULT_COLL_TYPE]],CollectionLookups,2,FALSE)</f>
        <v>P HBS TWINRIX Standard</v>
      </c>
      <c r="F131" t="str">
        <f t="shared" si="4"/>
        <v>CP206-P HBS TWINRIX Standard</v>
      </c>
      <c r="G131" t="str">
        <f>VLOOKUP(DefaultCollections[[#This Row],[DEFAULT_COLL_TYPE]],CollectionLookups,3,FALSE)</f>
        <v>2X Week P HBS TWINRX</v>
      </c>
      <c r="H131" t="str">
        <f t="shared" si="5"/>
        <v>CP206-2X Week P HBS TWINRX</v>
      </c>
    </row>
    <row r="132" spans="1:9" x14ac:dyDescent="0.25">
      <c r="A132" t="s">
        <v>758</v>
      </c>
      <c r="B132" t="s">
        <v>114</v>
      </c>
      <c r="C132" t="s">
        <v>759</v>
      </c>
      <c r="D132" t="s">
        <v>697</v>
      </c>
      <c r="E132" t="str">
        <f>VLOOKUP(DefaultCollections[[#This Row],[DEFAULT_COLL_TYPE]],CollectionLookups,2,FALSE)</f>
        <v>P HBS TWINRIX-AP Standard</v>
      </c>
      <c r="F132" t="str">
        <f t="shared" si="4"/>
        <v>CP206-P HBS TWINRIX-AP Standard</v>
      </c>
      <c r="G132" t="str">
        <f>VLOOKUP(DefaultCollections[[#This Row],[DEFAULT_COLL_TYPE]],CollectionLookups,3,FALSE)</f>
        <v>2X Week P HBS TWINRX-AP</v>
      </c>
      <c r="H132" t="str">
        <f t="shared" si="5"/>
        <v>CP206-2X Week P HBS TWINRX-AP</v>
      </c>
      <c r="I132" s="147"/>
    </row>
    <row r="133" spans="1:9" x14ac:dyDescent="0.25">
      <c r="A133" t="s">
        <v>758</v>
      </c>
      <c r="B133" t="s">
        <v>114</v>
      </c>
      <c r="C133" t="s">
        <v>759</v>
      </c>
      <c r="D133" t="s">
        <v>698</v>
      </c>
      <c r="E133" t="str">
        <f>VLOOKUP(DefaultCollections[[#This Row],[DEFAULT_COLL_TYPE]],CollectionLookups,2,FALSE)</f>
        <v>P NSP NS Standard</v>
      </c>
      <c r="F133" t="str">
        <f t="shared" si="4"/>
        <v>CP206-P NSP NS Standard</v>
      </c>
      <c r="G133" t="str">
        <f>VLOOKUP(DefaultCollections[[#This Row],[DEFAULT_COLL_TYPE]],CollectionLookups,3,FALSE)</f>
        <v>2X Week P NSP NS</v>
      </c>
      <c r="H133" t="str">
        <f t="shared" si="5"/>
        <v>CP206-2X Week P NSP NS</v>
      </c>
    </row>
    <row r="134" spans="1:9" x14ac:dyDescent="0.25">
      <c r="A134" t="s">
        <v>758</v>
      </c>
      <c r="B134" t="s">
        <v>114</v>
      </c>
      <c r="C134" t="s">
        <v>759</v>
      </c>
      <c r="D134" t="s">
        <v>719</v>
      </c>
      <c r="E134" t="str">
        <f>VLOOKUP(DefaultCollections[[#This Row],[DEFAULT_COLL_TYPE]],CollectionLookups,2,FALSE)</f>
        <v>PVZV Pre-Existing Standard</v>
      </c>
      <c r="F134" t="str">
        <f t="shared" si="4"/>
        <v>CP206-PVZV Pre-Existing Standard</v>
      </c>
      <c r="G134" t="str">
        <f>VLOOKUP(DefaultCollections[[#This Row],[DEFAULT_COLL_TYPE]],CollectionLookups,3,FALSE)</f>
        <v>2X Week P VZV Pre-Existing</v>
      </c>
      <c r="H134" t="str">
        <f t="shared" si="5"/>
        <v>CP206-2X Week P VZV Pre-Existing</v>
      </c>
    </row>
    <row r="135" spans="1:9" x14ac:dyDescent="0.25">
      <c r="A135" t="s">
        <v>758</v>
      </c>
      <c r="B135" t="s">
        <v>114</v>
      </c>
      <c r="C135" t="s">
        <v>759</v>
      </c>
      <c r="D135" t="s">
        <v>720</v>
      </c>
      <c r="E135" t="str">
        <f>VLOOKUP(DefaultCollections[[#This Row],[DEFAULT_COLL_TYPE]],CollectionLookups,2,FALSE)</f>
        <v>P VZV Pre-Existing AP</v>
      </c>
      <c r="F135" t="str">
        <f t="shared" si="4"/>
        <v>CP206-P VZV Pre-Existing AP</v>
      </c>
      <c r="G135" t="str">
        <f>VLOOKUP(DefaultCollections[[#This Row],[DEFAULT_COLL_TYPE]],CollectionLookups,3,FALSE)</f>
        <v>2X Week P VZV Pre-Existing AP</v>
      </c>
      <c r="H135" t="str">
        <f t="shared" si="5"/>
        <v>CP206-2X Week P VZV Pre-Existing AP</v>
      </c>
    </row>
    <row r="136" spans="1:9" x14ac:dyDescent="0.25">
      <c r="A136" t="s">
        <v>760</v>
      </c>
      <c r="B136" t="s">
        <v>146</v>
      </c>
      <c r="C136" t="s">
        <v>761</v>
      </c>
      <c r="D136" t="s">
        <v>694</v>
      </c>
      <c r="E136" t="str">
        <f>VLOOKUP(DefaultCollections[[#This Row],[DEFAULT_COLL_TYPE]],CollectionLookups,2,FALSE)</f>
        <v>P Anti-D Pre-Existing Standard</v>
      </c>
      <c r="F136" t="str">
        <f t="shared" si="4"/>
        <v>CP207-P Anti-D Pre-Existing Standard</v>
      </c>
      <c r="G136">
        <f>VLOOKUP(DefaultCollections[[#This Row],[DEFAULT_COLL_TYPE]],CollectionLookups,3,FALSE)</f>
        <v>0</v>
      </c>
      <c r="H136" t="str">
        <f t="shared" si="5"/>
        <v>NO</v>
      </c>
    </row>
    <row r="137" spans="1:9" x14ac:dyDescent="0.25">
      <c r="A137" t="s">
        <v>760</v>
      </c>
      <c r="B137" t="s">
        <v>146</v>
      </c>
      <c r="C137" t="s">
        <v>761</v>
      </c>
      <c r="D137" t="s">
        <v>695</v>
      </c>
      <c r="E137" t="str">
        <f>VLOOKUP(DefaultCollections[[#This Row],[DEFAULT_COLL_TYPE]],CollectionLookups,2,FALSE)</f>
        <v>P HBS Pre-Existing Standard</v>
      </c>
      <c r="F137" t="str">
        <f t="shared" si="4"/>
        <v>CP207-P HBS Pre-Existing Standard</v>
      </c>
      <c r="G137" t="str">
        <f>VLOOKUP(DefaultCollections[[#This Row],[DEFAULT_COLL_TYPE]],CollectionLookups,3,FALSE)</f>
        <v>2X Week P HBS Pre-Existing</v>
      </c>
      <c r="H137" t="str">
        <f t="shared" si="5"/>
        <v>NO</v>
      </c>
    </row>
    <row r="138" spans="1:9" x14ac:dyDescent="0.25">
      <c r="A138" t="s">
        <v>760</v>
      </c>
      <c r="B138" t="s">
        <v>146</v>
      </c>
      <c r="C138" t="s">
        <v>761</v>
      </c>
      <c r="D138" t="s">
        <v>696</v>
      </c>
      <c r="E138" t="str">
        <f>VLOOKUP(DefaultCollections[[#This Row],[DEFAULT_COLL_TYPE]],CollectionLookups,2,FALSE)</f>
        <v>P HBS TWINRIX Standard</v>
      </c>
      <c r="F138" t="str">
        <f t="shared" si="4"/>
        <v>CP207-P HBS TWINRIX Standard</v>
      </c>
      <c r="G138" t="str">
        <f>VLOOKUP(DefaultCollections[[#This Row],[DEFAULT_COLL_TYPE]],CollectionLookups,3,FALSE)</f>
        <v>2X Week P HBS TWINRX</v>
      </c>
      <c r="H138" t="str">
        <f t="shared" si="5"/>
        <v>NO</v>
      </c>
    </row>
    <row r="139" spans="1:9" x14ac:dyDescent="0.25">
      <c r="A139" t="s">
        <v>760</v>
      </c>
      <c r="B139" t="s">
        <v>146</v>
      </c>
      <c r="C139" t="s">
        <v>761</v>
      </c>
      <c r="D139" t="s">
        <v>697</v>
      </c>
      <c r="E139" t="str">
        <f>VLOOKUP(DefaultCollections[[#This Row],[DEFAULT_COLL_TYPE]],CollectionLookups,2,FALSE)</f>
        <v>P HBS TWINRIX-AP Standard</v>
      </c>
      <c r="F139" t="str">
        <f t="shared" si="4"/>
        <v>CP207-P HBS TWINRIX-AP Standard</v>
      </c>
      <c r="G139" t="str">
        <f>VLOOKUP(DefaultCollections[[#This Row],[DEFAULT_COLL_TYPE]],CollectionLookups,3,FALSE)</f>
        <v>2X Week P HBS TWINRX-AP</v>
      </c>
      <c r="H139" t="str">
        <f t="shared" si="5"/>
        <v>NO</v>
      </c>
      <c r="I139" s="147"/>
    </row>
    <row r="140" spans="1:9" x14ac:dyDescent="0.25">
      <c r="A140" t="s">
        <v>760</v>
      </c>
      <c r="B140" t="s">
        <v>146</v>
      </c>
      <c r="C140" t="s">
        <v>761</v>
      </c>
      <c r="D140" t="s">
        <v>698</v>
      </c>
      <c r="E140" t="str">
        <f>VLOOKUP(DefaultCollections[[#This Row],[DEFAULT_COLL_TYPE]],CollectionLookups,2,FALSE)</f>
        <v>P NSP NS Standard</v>
      </c>
      <c r="F140" t="str">
        <f t="shared" si="4"/>
        <v>CP207-P NSP NS Standard</v>
      </c>
      <c r="G140" t="str">
        <f>VLOOKUP(DefaultCollections[[#This Row],[DEFAULT_COLL_TYPE]],CollectionLookups,3,FALSE)</f>
        <v>2X Week P NSP NS</v>
      </c>
      <c r="H140" t="str">
        <f t="shared" si="5"/>
        <v>NO</v>
      </c>
      <c r="I140" s="147"/>
    </row>
    <row r="141" spans="1:9" x14ac:dyDescent="0.25">
      <c r="A141" t="s">
        <v>760</v>
      </c>
      <c r="B141" t="s">
        <v>146</v>
      </c>
      <c r="C141" t="s">
        <v>761</v>
      </c>
      <c r="D141" t="s">
        <v>719</v>
      </c>
      <c r="E141" t="str">
        <f>VLOOKUP(DefaultCollections[[#This Row],[DEFAULT_COLL_TYPE]],CollectionLookups,2,FALSE)</f>
        <v>PVZV Pre-Existing Standard</v>
      </c>
      <c r="F141" t="str">
        <f t="shared" si="4"/>
        <v>CP207-PVZV Pre-Existing Standard</v>
      </c>
      <c r="G141" t="str">
        <f>VLOOKUP(DefaultCollections[[#This Row],[DEFAULT_COLL_TYPE]],CollectionLookups,3,FALSE)</f>
        <v>2X Week P VZV Pre-Existing</v>
      </c>
      <c r="H141" t="str">
        <f t="shared" si="5"/>
        <v>NO</v>
      </c>
    </row>
    <row r="142" spans="1:9" x14ac:dyDescent="0.25">
      <c r="A142" t="s">
        <v>760</v>
      </c>
      <c r="B142" t="s">
        <v>146</v>
      </c>
      <c r="C142" t="s">
        <v>761</v>
      </c>
      <c r="D142" t="s">
        <v>720</v>
      </c>
      <c r="E142" t="str">
        <f>VLOOKUP(DefaultCollections[[#This Row],[DEFAULT_COLL_TYPE]],CollectionLookups,2,FALSE)</f>
        <v>P VZV Pre-Existing AP</v>
      </c>
      <c r="F142" t="str">
        <f t="shared" si="4"/>
        <v>CP207-P VZV Pre-Existing AP</v>
      </c>
      <c r="G142" t="str">
        <f>VLOOKUP(DefaultCollections[[#This Row],[DEFAULT_COLL_TYPE]],CollectionLookups,3,FALSE)</f>
        <v>2X Week P VZV Pre-Existing AP</v>
      </c>
      <c r="H142" t="str">
        <f t="shared" si="5"/>
        <v>NO</v>
      </c>
    </row>
    <row r="143" spans="1:9" x14ac:dyDescent="0.25">
      <c r="A143" t="s">
        <v>762</v>
      </c>
      <c r="B143" t="s">
        <v>304</v>
      </c>
      <c r="C143" t="s">
        <v>763</v>
      </c>
      <c r="D143" t="s">
        <v>694</v>
      </c>
      <c r="E143" t="str">
        <f>VLOOKUP(DefaultCollections[[#This Row],[DEFAULT_COLL_TYPE]],CollectionLookups,2,FALSE)</f>
        <v>P Anti-D Pre-Existing Standard</v>
      </c>
      <c r="F143" t="str">
        <f t="shared" si="4"/>
        <v>CP208-P Anti-D Pre-Existing Standard</v>
      </c>
      <c r="G143">
        <f>VLOOKUP(DefaultCollections[[#This Row],[DEFAULT_COLL_TYPE]],CollectionLookups,3,FALSE)</f>
        <v>0</v>
      </c>
      <c r="H143" t="str">
        <f t="shared" si="5"/>
        <v>NO</v>
      </c>
    </row>
    <row r="144" spans="1:9" x14ac:dyDescent="0.25">
      <c r="A144" t="s">
        <v>762</v>
      </c>
      <c r="B144" t="s">
        <v>304</v>
      </c>
      <c r="C144" t="s">
        <v>763</v>
      </c>
      <c r="D144" t="s">
        <v>698</v>
      </c>
      <c r="E144" t="str">
        <f>VLOOKUP(DefaultCollections[[#This Row],[DEFAULT_COLL_TYPE]],CollectionLookups,2,FALSE)</f>
        <v>P NSP NS Standard</v>
      </c>
      <c r="F144" t="str">
        <f t="shared" si="4"/>
        <v>CP208-P NSP NS Standard</v>
      </c>
      <c r="G144" t="str">
        <f>VLOOKUP(DefaultCollections[[#This Row],[DEFAULT_COLL_TYPE]],CollectionLookups,3,FALSE)</f>
        <v>2X Week P NSP NS</v>
      </c>
      <c r="H144" t="str">
        <f t="shared" si="5"/>
        <v>NO</v>
      </c>
    </row>
    <row r="145" spans="1:8" x14ac:dyDescent="0.25">
      <c r="A145" t="s">
        <v>762</v>
      </c>
      <c r="B145" t="s">
        <v>304</v>
      </c>
      <c r="C145" t="s">
        <v>763</v>
      </c>
      <c r="D145" t="s">
        <v>725</v>
      </c>
      <c r="E145" t="str">
        <f>VLOOKUP(DefaultCollections[[#This Row],[DEFAULT_COLL_TYPE]],CollectionLookups,2,FALSE)</f>
        <v>P Vaccinia Standard</v>
      </c>
      <c r="F145" t="str">
        <f t="shared" si="4"/>
        <v>CP208-P Vaccinia Standard</v>
      </c>
      <c r="G145">
        <f>VLOOKUP(DefaultCollections[[#This Row],[DEFAULT_COLL_TYPE]],CollectionLookups,3,FALSE)</f>
        <v>0</v>
      </c>
      <c r="H145" t="str">
        <f t="shared" si="5"/>
        <v>NO</v>
      </c>
    </row>
    <row r="146" spans="1:8" x14ac:dyDescent="0.25">
      <c r="A146" t="s">
        <v>762</v>
      </c>
      <c r="B146" t="s">
        <v>304</v>
      </c>
      <c r="C146" t="s">
        <v>763</v>
      </c>
      <c r="D146" t="s">
        <v>719</v>
      </c>
      <c r="E146" t="str">
        <f>VLOOKUP(DefaultCollections[[#This Row],[DEFAULT_COLL_TYPE]],CollectionLookups,2,FALSE)</f>
        <v>PVZV Pre-Existing Standard</v>
      </c>
      <c r="F146" t="str">
        <f t="shared" si="4"/>
        <v>CP208-PVZV Pre-Existing Standard</v>
      </c>
      <c r="G146" t="str">
        <f>VLOOKUP(DefaultCollections[[#This Row],[DEFAULT_COLL_TYPE]],CollectionLookups,3,FALSE)</f>
        <v>2X Week P VZV Pre-Existing</v>
      </c>
      <c r="H146" t="str">
        <f t="shared" si="5"/>
        <v>NO</v>
      </c>
    </row>
    <row r="147" spans="1:8" x14ac:dyDescent="0.25">
      <c r="A147" t="s">
        <v>762</v>
      </c>
      <c r="B147" t="s">
        <v>304</v>
      </c>
      <c r="C147" t="s">
        <v>763</v>
      </c>
      <c r="D147" t="s">
        <v>720</v>
      </c>
      <c r="E147" t="str">
        <f>VLOOKUP(DefaultCollections[[#This Row],[DEFAULT_COLL_TYPE]],CollectionLookups,2,FALSE)</f>
        <v>P VZV Pre-Existing AP</v>
      </c>
      <c r="F147" t="str">
        <f t="shared" si="4"/>
        <v>CP208-P VZV Pre-Existing AP</v>
      </c>
      <c r="G147" t="str">
        <f>VLOOKUP(DefaultCollections[[#This Row],[DEFAULT_COLL_TYPE]],CollectionLookups,3,FALSE)</f>
        <v>2X Week P VZV Pre-Existing AP</v>
      </c>
      <c r="H147" t="str">
        <f t="shared" si="5"/>
        <v>NO</v>
      </c>
    </row>
    <row r="148" spans="1:8" x14ac:dyDescent="0.25">
      <c r="A148" t="s">
        <v>764</v>
      </c>
      <c r="B148" t="s">
        <v>118</v>
      </c>
      <c r="C148" t="s">
        <v>765</v>
      </c>
      <c r="D148" t="s">
        <v>757</v>
      </c>
      <c r="E148">
        <f>VLOOKUP(DefaultCollections[[#This Row],[DEFAULT_COLL_TYPE]],CollectionLookups,2,FALSE)</f>
        <v>0</v>
      </c>
      <c r="F148" t="str">
        <f t="shared" si="4"/>
        <v>NO</v>
      </c>
      <c r="G148">
        <f>VLOOKUP(DefaultCollections[[#This Row],[DEFAULT_COLL_TYPE]],CollectionLookups,3,FALSE)</f>
        <v>0</v>
      </c>
      <c r="H148" t="str">
        <f t="shared" si="5"/>
        <v>NO</v>
      </c>
    </row>
    <row r="149" spans="1:8" x14ac:dyDescent="0.25">
      <c r="A149" t="s">
        <v>764</v>
      </c>
      <c r="B149" t="s">
        <v>118</v>
      </c>
      <c r="C149" t="s">
        <v>765</v>
      </c>
      <c r="D149" t="s">
        <v>694</v>
      </c>
      <c r="E149" t="str">
        <f>VLOOKUP(DefaultCollections[[#This Row],[DEFAULT_COLL_TYPE]],CollectionLookups,2,FALSE)</f>
        <v>P Anti-D Pre-Existing Standard</v>
      </c>
      <c r="F149" t="str">
        <f t="shared" si="4"/>
        <v>CP214-P Anti-D Pre-Existing Standard</v>
      </c>
      <c r="G149">
        <f>VLOOKUP(DefaultCollections[[#This Row],[DEFAULT_COLL_TYPE]],CollectionLookups,3,FALSE)</f>
        <v>0</v>
      </c>
      <c r="H149" t="str">
        <f t="shared" si="5"/>
        <v>NO</v>
      </c>
    </row>
    <row r="150" spans="1:8" x14ac:dyDescent="0.25">
      <c r="A150" t="s">
        <v>764</v>
      </c>
      <c r="B150" t="s">
        <v>118</v>
      </c>
      <c r="C150" t="s">
        <v>765</v>
      </c>
      <c r="D150" t="s">
        <v>695</v>
      </c>
      <c r="E150" t="str">
        <f>VLOOKUP(DefaultCollections[[#This Row],[DEFAULT_COLL_TYPE]],CollectionLookups,2,FALSE)</f>
        <v>P HBS Pre-Existing Standard</v>
      </c>
      <c r="F150" t="str">
        <f t="shared" si="4"/>
        <v>CP214-P HBS Pre-Existing Standard</v>
      </c>
      <c r="G150" t="str">
        <f>VLOOKUP(DefaultCollections[[#This Row],[DEFAULT_COLL_TYPE]],CollectionLookups,3,FALSE)</f>
        <v>2X Week P HBS Pre-Existing</v>
      </c>
      <c r="H150" t="str">
        <f t="shared" si="5"/>
        <v>CP214-2X Week P HBS Pre-Existing</v>
      </c>
    </row>
    <row r="151" spans="1:8" x14ac:dyDescent="0.25">
      <c r="A151" t="s">
        <v>764</v>
      </c>
      <c r="B151" t="s">
        <v>118</v>
      </c>
      <c r="C151" t="s">
        <v>765</v>
      </c>
      <c r="D151" t="s">
        <v>696</v>
      </c>
      <c r="E151" t="str">
        <f>VLOOKUP(DefaultCollections[[#This Row],[DEFAULT_COLL_TYPE]],CollectionLookups,2,FALSE)</f>
        <v>P HBS TWINRIX Standard</v>
      </c>
      <c r="F151" t="str">
        <f t="shared" si="4"/>
        <v>CP214-P HBS TWINRIX Standard</v>
      </c>
      <c r="G151" t="str">
        <f>VLOOKUP(DefaultCollections[[#This Row],[DEFAULT_COLL_TYPE]],CollectionLookups,3,FALSE)</f>
        <v>2X Week P HBS TWINRX</v>
      </c>
      <c r="H151" t="str">
        <f t="shared" si="5"/>
        <v>CP214-2X Week P HBS TWINRX</v>
      </c>
    </row>
    <row r="152" spans="1:8" x14ac:dyDescent="0.25">
      <c r="A152" t="s">
        <v>764</v>
      </c>
      <c r="B152" t="s">
        <v>118</v>
      </c>
      <c r="C152" t="s">
        <v>765</v>
      </c>
      <c r="D152" t="s">
        <v>697</v>
      </c>
      <c r="E152" t="str">
        <f>VLOOKUP(DefaultCollections[[#This Row],[DEFAULT_COLL_TYPE]],CollectionLookups,2,FALSE)</f>
        <v>P HBS TWINRIX-AP Standard</v>
      </c>
      <c r="F152" t="str">
        <f t="shared" si="4"/>
        <v>CP214-P HBS TWINRIX-AP Standard</v>
      </c>
      <c r="G152" t="str">
        <f>VLOOKUP(DefaultCollections[[#This Row],[DEFAULT_COLL_TYPE]],CollectionLookups,3,FALSE)</f>
        <v>2X Week P HBS TWINRX-AP</v>
      </c>
      <c r="H152" t="str">
        <f t="shared" si="5"/>
        <v>CP214-2X Week P HBS TWINRX-AP</v>
      </c>
    </row>
    <row r="153" spans="1:8" x14ac:dyDescent="0.25">
      <c r="A153" t="s">
        <v>764</v>
      </c>
      <c r="B153" t="s">
        <v>118</v>
      </c>
      <c r="C153" t="s">
        <v>765</v>
      </c>
      <c r="D153" t="s">
        <v>698</v>
      </c>
      <c r="E153" t="str">
        <f>VLOOKUP(DefaultCollections[[#This Row],[DEFAULT_COLL_TYPE]],CollectionLookups,2,FALSE)</f>
        <v>P NSP NS Standard</v>
      </c>
      <c r="F153" t="str">
        <f t="shared" si="4"/>
        <v>CP214-P NSP NS Standard</v>
      </c>
      <c r="G153" t="str">
        <f>VLOOKUP(DefaultCollections[[#This Row],[DEFAULT_COLL_TYPE]],CollectionLookups,3,FALSE)</f>
        <v>2X Week P NSP NS</v>
      </c>
      <c r="H153" t="str">
        <f t="shared" si="5"/>
        <v>CP214-2X Week P NSP NS</v>
      </c>
    </row>
    <row r="154" spans="1:8" x14ac:dyDescent="0.25">
      <c r="A154" t="s">
        <v>764</v>
      </c>
      <c r="B154" t="s">
        <v>118</v>
      </c>
      <c r="C154" t="s">
        <v>765</v>
      </c>
      <c r="D154" t="s">
        <v>725</v>
      </c>
      <c r="E154" t="str">
        <f>VLOOKUP(DefaultCollections[[#This Row],[DEFAULT_COLL_TYPE]],CollectionLookups,2,FALSE)</f>
        <v>P Vaccinia Standard</v>
      </c>
      <c r="F154" t="str">
        <f t="shared" si="4"/>
        <v>CP214-P Vaccinia Standard</v>
      </c>
      <c r="G154">
        <f>VLOOKUP(DefaultCollections[[#This Row],[DEFAULT_COLL_TYPE]],CollectionLookups,3,FALSE)</f>
        <v>0</v>
      </c>
      <c r="H154" t="str">
        <f t="shared" si="5"/>
        <v>NO</v>
      </c>
    </row>
    <row r="155" spans="1:8" x14ac:dyDescent="0.25">
      <c r="A155" t="s">
        <v>764</v>
      </c>
      <c r="B155" t="s">
        <v>118</v>
      </c>
      <c r="C155" t="s">
        <v>765</v>
      </c>
      <c r="D155" t="s">
        <v>719</v>
      </c>
      <c r="E155" t="str">
        <f>VLOOKUP(DefaultCollections[[#This Row],[DEFAULT_COLL_TYPE]],CollectionLookups,2,FALSE)</f>
        <v>PVZV Pre-Existing Standard</v>
      </c>
      <c r="F155" t="str">
        <f t="shared" si="4"/>
        <v>CP214-PVZV Pre-Existing Standard</v>
      </c>
      <c r="G155" t="str">
        <f>VLOOKUP(DefaultCollections[[#This Row],[DEFAULT_COLL_TYPE]],CollectionLookups,3,FALSE)</f>
        <v>2X Week P VZV Pre-Existing</v>
      </c>
      <c r="H155" t="str">
        <f t="shared" si="5"/>
        <v>CP214-2X Week P VZV Pre-Existing</v>
      </c>
    </row>
    <row r="156" spans="1:8" x14ac:dyDescent="0.25">
      <c r="A156" t="s">
        <v>764</v>
      </c>
      <c r="B156" t="s">
        <v>118</v>
      </c>
      <c r="C156" t="s">
        <v>765</v>
      </c>
      <c r="D156" t="s">
        <v>720</v>
      </c>
      <c r="E156" t="str">
        <f>VLOOKUP(DefaultCollections[[#This Row],[DEFAULT_COLL_TYPE]],CollectionLookups,2,FALSE)</f>
        <v>P VZV Pre-Existing AP</v>
      </c>
      <c r="F156" t="str">
        <f t="shared" si="4"/>
        <v>CP214-P VZV Pre-Existing AP</v>
      </c>
      <c r="G156" t="str">
        <f>VLOOKUP(DefaultCollections[[#This Row],[DEFAULT_COLL_TYPE]],CollectionLookups,3,FALSE)</f>
        <v>2X Week P VZV Pre-Existing AP</v>
      </c>
      <c r="H156" t="str">
        <f t="shared" si="5"/>
        <v>CP214-2X Week P VZV Pre-Existing AP</v>
      </c>
    </row>
    <row r="157" spans="1:8" x14ac:dyDescent="0.25">
      <c r="A157" t="s">
        <v>766</v>
      </c>
      <c r="B157" t="s">
        <v>153</v>
      </c>
      <c r="C157" t="s">
        <v>767</v>
      </c>
      <c r="D157" t="s">
        <v>694</v>
      </c>
      <c r="E157" t="str">
        <f>VLOOKUP(DefaultCollections[[#This Row],[DEFAULT_COLL_TYPE]],CollectionLookups,2,FALSE)</f>
        <v>P Anti-D Pre-Existing Standard</v>
      </c>
      <c r="F157" t="str">
        <f t="shared" si="4"/>
        <v>CP215-P Anti-D Pre-Existing Standard</v>
      </c>
      <c r="G157">
        <f>VLOOKUP(DefaultCollections[[#This Row],[DEFAULT_COLL_TYPE]],CollectionLookups,3,FALSE)</f>
        <v>0</v>
      </c>
      <c r="H157" t="str">
        <f t="shared" si="5"/>
        <v>NO</v>
      </c>
    </row>
    <row r="158" spans="1:8" x14ac:dyDescent="0.25">
      <c r="A158" t="s">
        <v>766</v>
      </c>
      <c r="B158" t="s">
        <v>153</v>
      </c>
      <c r="C158" t="s">
        <v>767</v>
      </c>
      <c r="D158" t="s">
        <v>698</v>
      </c>
      <c r="E158" t="str">
        <f>VLOOKUP(DefaultCollections[[#This Row],[DEFAULT_COLL_TYPE]],CollectionLookups,2,FALSE)</f>
        <v>P NSP NS Standard</v>
      </c>
      <c r="F158" t="str">
        <f t="shared" si="4"/>
        <v>CP215-P NSP NS Standard</v>
      </c>
      <c r="G158" t="str">
        <f>VLOOKUP(DefaultCollections[[#This Row],[DEFAULT_COLL_TYPE]],CollectionLookups,3,FALSE)</f>
        <v>2X Week P NSP NS</v>
      </c>
      <c r="H158" t="str">
        <f t="shared" si="5"/>
        <v>NO</v>
      </c>
    </row>
    <row r="159" spans="1:8" x14ac:dyDescent="0.25">
      <c r="A159" t="s">
        <v>766</v>
      </c>
      <c r="B159" t="s">
        <v>153</v>
      </c>
      <c r="C159" t="s">
        <v>767</v>
      </c>
      <c r="D159" t="s">
        <v>725</v>
      </c>
      <c r="E159" t="str">
        <f>VLOOKUP(DefaultCollections[[#This Row],[DEFAULT_COLL_TYPE]],CollectionLookups,2,FALSE)</f>
        <v>P Vaccinia Standard</v>
      </c>
      <c r="F159" t="str">
        <f t="shared" si="4"/>
        <v>CP215-P Vaccinia Standard</v>
      </c>
      <c r="G159">
        <f>VLOOKUP(DefaultCollections[[#This Row],[DEFAULT_COLL_TYPE]],CollectionLookups,3,FALSE)</f>
        <v>0</v>
      </c>
      <c r="H159" t="str">
        <f t="shared" si="5"/>
        <v>NO</v>
      </c>
    </row>
    <row r="160" spans="1:8" x14ac:dyDescent="0.25">
      <c r="A160" t="s">
        <v>766</v>
      </c>
      <c r="B160" t="s">
        <v>153</v>
      </c>
      <c r="C160" t="s">
        <v>767</v>
      </c>
      <c r="D160" t="s">
        <v>719</v>
      </c>
      <c r="E160" t="str">
        <f>VLOOKUP(DefaultCollections[[#This Row],[DEFAULT_COLL_TYPE]],CollectionLookups,2,FALSE)</f>
        <v>PVZV Pre-Existing Standard</v>
      </c>
      <c r="F160" t="str">
        <f t="shared" si="4"/>
        <v>CP215-PVZV Pre-Existing Standard</v>
      </c>
      <c r="G160" t="str">
        <f>VLOOKUP(DefaultCollections[[#This Row],[DEFAULT_COLL_TYPE]],CollectionLookups,3,FALSE)</f>
        <v>2X Week P VZV Pre-Existing</v>
      </c>
      <c r="H160" t="str">
        <f t="shared" si="5"/>
        <v>NO</v>
      </c>
    </row>
    <row r="161" spans="1:8" x14ac:dyDescent="0.25">
      <c r="A161" t="s">
        <v>766</v>
      </c>
      <c r="B161" t="s">
        <v>153</v>
      </c>
      <c r="C161" t="s">
        <v>767</v>
      </c>
      <c r="D161" t="s">
        <v>720</v>
      </c>
      <c r="E161" t="str">
        <f>VLOOKUP(DefaultCollections[[#This Row],[DEFAULT_COLL_TYPE]],CollectionLookups,2,FALSE)</f>
        <v>P VZV Pre-Existing AP</v>
      </c>
      <c r="F161" t="str">
        <f t="shared" si="4"/>
        <v>CP215-P VZV Pre-Existing AP</v>
      </c>
      <c r="G161" t="str">
        <f>VLOOKUP(DefaultCollections[[#This Row],[DEFAULT_COLL_TYPE]],CollectionLookups,3,FALSE)</f>
        <v>2X Week P VZV Pre-Existing AP</v>
      </c>
      <c r="H161" t="str">
        <f t="shared" si="5"/>
        <v>NO</v>
      </c>
    </row>
    <row r="162" spans="1:8" x14ac:dyDescent="0.25">
      <c r="A162" t="s">
        <v>768</v>
      </c>
      <c r="B162" t="s">
        <v>74</v>
      </c>
      <c r="C162" t="s">
        <v>769</v>
      </c>
      <c r="D162" t="s">
        <v>694</v>
      </c>
      <c r="E162" t="str">
        <f>VLOOKUP(DefaultCollections[[#This Row],[DEFAULT_COLL_TYPE]],CollectionLookups,2,FALSE)</f>
        <v>P Anti-D Pre-Existing Standard</v>
      </c>
      <c r="F162" t="str">
        <f t="shared" si="4"/>
        <v>CP221-P Anti-D Pre-Existing Standard</v>
      </c>
      <c r="G162">
        <f>VLOOKUP(DefaultCollections[[#This Row],[DEFAULT_COLL_TYPE]],CollectionLookups,3,FALSE)</f>
        <v>0</v>
      </c>
      <c r="H162" t="str">
        <f t="shared" si="5"/>
        <v>NO</v>
      </c>
    </row>
    <row r="163" spans="1:8" x14ac:dyDescent="0.25">
      <c r="A163" t="s">
        <v>768</v>
      </c>
      <c r="B163" t="s">
        <v>74</v>
      </c>
      <c r="C163" t="s">
        <v>769</v>
      </c>
      <c r="D163" t="s">
        <v>698</v>
      </c>
      <c r="E163" t="str">
        <f>VLOOKUP(DefaultCollections[[#This Row],[DEFAULT_COLL_TYPE]],CollectionLookups,2,FALSE)</f>
        <v>P NSP NS Standard</v>
      </c>
      <c r="F163" t="str">
        <f t="shared" si="4"/>
        <v>CP221-P NSP NS Standard</v>
      </c>
      <c r="G163" t="str">
        <f>VLOOKUP(DefaultCollections[[#This Row],[DEFAULT_COLL_TYPE]],CollectionLookups,3,FALSE)</f>
        <v>2X Week P NSP NS</v>
      </c>
      <c r="H163" t="str">
        <f t="shared" si="5"/>
        <v>CP221-2X Week P NSP NS</v>
      </c>
    </row>
    <row r="164" spans="1:8" x14ac:dyDescent="0.25">
      <c r="A164" t="s">
        <v>768</v>
      </c>
      <c r="B164" t="s">
        <v>74</v>
      </c>
      <c r="C164" t="s">
        <v>769</v>
      </c>
      <c r="D164" t="s">
        <v>725</v>
      </c>
      <c r="E164" t="str">
        <f>VLOOKUP(DefaultCollections[[#This Row],[DEFAULT_COLL_TYPE]],CollectionLookups,2,FALSE)</f>
        <v>P Vaccinia Standard</v>
      </c>
      <c r="F164" t="str">
        <f t="shared" si="4"/>
        <v>CP221-P Vaccinia Standard</v>
      </c>
      <c r="G164">
        <f>VLOOKUP(DefaultCollections[[#This Row],[DEFAULT_COLL_TYPE]],CollectionLookups,3,FALSE)</f>
        <v>0</v>
      </c>
      <c r="H164" t="str">
        <f t="shared" si="5"/>
        <v>NO</v>
      </c>
    </row>
    <row r="165" spans="1:8" x14ac:dyDescent="0.25">
      <c r="A165" t="s">
        <v>768</v>
      </c>
      <c r="B165" t="s">
        <v>74</v>
      </c>
      <c r="C165" t="s">
        <v>769</v>
      </c>
      <c r="D165" t="s">
        <v>719</v>
      </c>
      <c r="E165" t="str">
        <f>VLOOKUP(DefaultCollections[[#This Row],[DEFAULT_COLL_TYPE]],CollectionLookups,2,FALSE)</f>
        <v>PVZV Pre-Existing Standard</v>
      </c>
      <c r="F165" t="str">
        <f t="shared" si="4"/>
        <v>CP221-PVZV Pre-Existing Standard</v>
      </c>
      <c r="G165" t="str">
        <f>VLOOKUP(DefaultCollections[[#This Row],[DEFAULT_COLL_TYPE]],CollectionLookups,3,FALSE)</f>
        <v>2X Week P VZV Pre-Existing</v>
      </c>
      <c r="H165" t="str">
        <f t="shared" si="5"/>
        <v>CP221-2X Week P VZV Pre-Existing</v>
      </c>
    </row>
    <row r="166" spans="1:8" x14ac:dyDescent="0.25">
      <c r="A166" t="s">
        <v>768</v>
      </c>
      <c r="B166" t="s">
        <v>74</v>
      </c>
      <c r="C166" t="s">
        <v>769</v>
      </c>
      <c r="D166" t="s">
        <v>720</v>
      </c>
      <c r="E166" t="str">
        <f>VLOOKUP(DefaultCollections[[#This Row],[DEFAULT_COLL_TYPE]],CollectionLookups,2,FALSE)</f>
        <v>P VZV Pre-Existing AP</v>
      </c>
      <c r="F166" t="str">
        <f t="shared" si="4"/>
        <v>CP221-P VZV Pre-Existing AP</v>
      </c>
      <c r="G166" t="str">
        <f>VLOOKUP(DefaultCollections[[#This Row],[DEFAULT_COLL_TYPE]],CollectionLookups,3,FALSE)</f>
        <v>2X Week P VZV Pre-Existing AP</v>
      </c>
      <c r="H166" t="str">
        <f t="shared" si="5"/>
        <v>CP221-2X Week P VZV Pre-Existing AP</v>
      </c>
    </row>
    <row r="167" spans="1:8" x14ac:dyDescent="0.25">
      <c r="A167" t="s">
        <v>770</v>
      </c>
      <c r="B167" t="s">
        <v>142</v>
      </c>
      <c r="C167" t="s">
        <v>771</v>
      </c>
      <c r="D167" t="s">
        <v>694</v>
      </c>
      <c r="E167" t="str">
        <f>VLOOKUP(DefaultCollections[[#This Row],[DEFAULT_COLL_TYPE]],CollectionLookups,2,FALSE)</f>
        <v>P Anti-D Pre-Existing Standard</v>
      </c>
      <c r="F167" t="str">
        <f t="shared" si="4"/>
        <v>CP222-P Anti-D Pre-Existing Standard</v>
      </c>
      <c r="G167">
        <f>VLOOKUP(DefaultCollections[[#This Row],[DEFAULT_COLL_TYPE]],CollectionLookups,3,FALSE)</f>
        <v>0</v>
      </c>
      <c r="H167" t="str">
        <f t="shared" si="5"/>
        <v>NO</v>
      </c>
    </row>
    <row r="168" spans="1:8" x14ac:dyDescent="0.25">
      <c r="A168" t="s">
        <v>770</v>
      </c>
      <c r="B168" t="s">
        <v>142</v>
      </c>
      <c r="C168" t="s">
        <v>771</v>
      </c>
      <c r="D168" t="s">
        <v>695</v>
      </c>
      <c r="E168" t="str">
        <f>VLOOKUP(DefaultCollections[[#This Row],[DEFAULT_COLL_TYPE]],CollectionLookups,2,FALSE)</f>
        <v>P HBS Pre-Existing Standard</v>
      </c>
      <c r="F168" t="str">
        <f t="shared" si="4"/>
        <v>CP222-P HBS Pre-Existing Standard</v>
      </c>
      <c r="G168" t="str">
        <f>VLOOKUP(DefaultCollections[[#This Row],[DEFAULT_COLL_TYPE]],CollectionLookups,3,FALSE)</f>
        <v>2X Week P HBS Pre-Existing</v>
      </c>
      <c r="H168" t="str">
        <f t="shared" si="5"/>
        <v>CP222-2X Week P HBS Pre-Existing</v>
      </c>
    </row>
    <row r="169" spans="1:8" x14ac:dyDescent="0.25">
      <c r="A169" t="s">
        <v>770</v>
      </c>
      <c r="B169" t="s">
        <v>142</v>
      </c>
      <c r="C169" t="s">
        <v>771</v>
      </c>
      <c r="D169" t="s">
        <v>696</v>
      </c>
      <c r="E169" t="str">
        <f>VLOOKUP(DefaultCollections[[#This Row],[DEFAULT_COLL_TYPE]],CollectionLookups,2,FALSE)</f>
        <v>P HBS TWINRIX Standard</v>
      </c>
      <c r="F169" t="str">
        <f t="shared" si="4"/>
        <v>CP222-P HBS TWINRIX Standard</v>
      </c>
      <c r="G169" t="str">
        <f>VLOOKUP(DefaultCollections[[#This Row],[DEFAULT_COLL_TYPE]],CollectionLookups,3,FALSE)</f>
        <v>2X Week P HBS TWINRX</v>
      </c>
      <c r="H169" t="str">
        <f t="shared" si="5"/>
        <v>CP222-2X Week P HBS TWINRX</v>
      </c>
    </row>
    <row r="170" spans="1:8" x14ac:dyDescent="0.25">
      <c r="A170" t="s">
        <v>770</v>
      </c>
      <c r="B170" t="s">
        <v>142</v>
      </c>
      <c r="C170" t="s">
        <v>771</v>
      </c>
      <c r="D170" t="s">
        <v>697</v>
      </c>
      <c r="E170" t="str">
        <f>VLOOKUP(DefaultCollections[[#This Row],[DEFAULT_COLL_TYPE]],CollectionLookups,2,FALSE)</f>
        <v>P HBS TWINRIX-AP Standard</v>
      </c>
      <c r="F170" t="str">
        <f t="shared" si="4"/>
        <v>CP222-P HBS TWINRIX-AP Standard</v>
      </c>
      <c r="G170" t="str">
        <f>VLOOKUP(DefaultCollections[[#This Row],[DEFAULT_COLL_TYPE]],CollectionLookups,3,FALSE)</f>
        <v>2X Week P HBS TWINRX-AP</v>
      </c>
      <c r="H170" t="str">
        <f t="shared" si="5"/>
        <v>CP222-2X Week P HBS TWINRX-AP</v>
      </c>
    </row>
    <row r="171" spans="1:8" x14ac:dyDescent="0.25">
      <c r="A171" t="s">
        <v>770</v>
      </c>
      <c r="B171" t="s">
        <v>142</v>
      </c>
      <c r="C171" t="s">
        <v>771</v>
      </c>
      <c r="D171" t="s">
        <v>698</v>
      </c>
      <c r="E171" t="str">
        <f>VLOOKUP(DefaultCollections[[#This Row],[DEFAULT_COLL_TYPE]],CollectionLookups,2,FALSE)</f>
        <v>P NSP NS Standard</v>
      </c>
      <c r="F171" t="str">
        <f t="shared" si="4"/>
        <v>CP222-P NSP NS Standard</v>
      </c>
      <c r="G171" t="str">
        <f>VLOOKUP(DefaultCollections[[#This Row],[DEFAULT_COLL_TYPE]],CollectionLookups,3,FALSE)</f>
        <v>2X Week P NSP NS</v>
      </c>
      <c r="H171" t="str">
        <f t="shared" si="5"/>
        <v>CP222-2X Week P NSP NS</v>
      </c>
    </row>
    <row r="172" spans="1:8" x14ac:dyDescent="0.25">
      <c r="A172" t="s">
        <v>770</v>
      </c>
      <c r="B172" t="s">
        <v>142</v>
      </c>
      <c r="C172" t="s">
        <v>771</v>
      </c>
      <c r="D172" t="s">
        <v>725</v>
      </c>
      <c r="E172" t="str">
        <f>VLOOKUP(DefaultCollections[[#This Row],[DEFAULT_COLL_TYPE]],CollectionLookups,2,FALSE)</f>
        <v>P Vaccinia Standard</v>
      </c>
      <c r="F172" t="str">
        <f t="shared" si="4"/>
        <v>CP222-P Vaccinia Standard</v>
      </c>
      <c r="G172">
        <f>VLOOKUP(DefaultCollections[[#This Row],[DEFAULT_COLL_TYPE]],CollectionLookups,3,FALSE)</f>
        <v>0</v>
      </c>
      <c r="H172" t="str">
        <f t="shared" si="5"/>
        <v>NO</v>
      </c>
    </row>
    <row r="173" spans="1:8" x14ac:dyDescent="0.25">
      <c r="A173" t="s">
        <v>770</v>
      </c>
      <c r="B173" t="s">
        <v>142</v>
      </c>
      <c r="C173" t="s">
        <v>771</v>
      </c>
      <c r="D173" t="s">
        <v>719</v>
      </c>
      <c r="E173" t="str">
        <f>VLOOKUP(DefaultCollections[[#This Row],[DEFAULT_COLL_TYPE]],CollectionLookups,2,FALSE)</f>
        <v>PVZV Pre-Existing Standard</v>
      </c>
      <c r="F173" t="str">
        <f t="shared" si="4"/>
        <v>CP222-PVZV Pre-Existing Standard</v>
      </c>
      <c r="G173" t="str">
        <f>VLOOKUP(DefaultCollections[[#This Row],[DEFAULT_COLL_TYPE]],CollectionLookups,3,FALSE)</f>
        <v>2X Week P VZV Pre-Existing</v>
      </c>
      <c r="H173" t="str">
        <f t="shared" si="5"/>
        <v>CP222-2X Week P VZV Pre-Existing</v>
      </c>
    </row>
    <row r="174" spans="1:8" x14ac:dyDescent="0.25">
      <c r="A174" t="s">
        <v>770</v>
      </c>
      <c r="B174" t="s">
        <v>142</v>
      </c>
      <c r="C174" t="s">
        <v>771</v>
      </c>
      <c r="D174" t="s">
        <v>720</v>
      </c>
      <c r="E174" t="str">
        <f>VLOOKUP(DefaultCollections[[#This Row],[DEFAULT_COLL_TYPE]],CollectionLookups,2,FALSE)</f>
        <v>P VZV Pre-Existing AP</v>
      </c>
      <c r="F174" t="str">
        <f t="shared" si="4"/>
        <v>CP222-P VZV Pre-Existing AP</v>
      </c>
      <c r="G174" t="str">
        <f>VLOOKUP(DefaultCollections[[#This Row],[DEFAULT_COLL_TYPE]],CollectionLookups,3,FALSE)</f>
        <v>2X Week P VZV Pre-Existing AP</v>
      </c>
      <c r="H174" t="str">
        <f t="shared" si="5"/>
        <v>CP222-2X Week P VZV Pre-Existing AP</v>
      </c>
    </row>
    <row r="175" spans="1:8" x14ac:dyDescent="0.25">
      <c r="A175" t="s">
        <v>772</v>
      </c>
      <c r="B175" t="s">
        <v>291</v>
      </c>
      <c r="C175" t="s">
        <v>773</v>
      </c>
      <c r="D175" t="s">
        <v>757</v>
      </c>
      <c r="E175">
        <f>VLOOKUP(DefaultCollections[[#This Row],[DEFAULT_COLL_TYPE]],CollectionLookups,2,FALSE)</f>
        <v>0</v>
      </c>
      <c r="F175" t="str">
        <f t="shared" si="4"/>
        <v>NO</v>
      </c>
      <c r="G175">
        <f>VLOOKUP(DefaultCollections[[#This Row],[DEFAULT_COLL_TYPE]],CollectionLookups,3,FALSE)</f>
        <v>0</v>
      </c>
      <c r="H175" t="str">
        <f t="shared" si="5"/>
        <v>NO</v>
      </c>
    </row>
    <row r="176" spans="1:8" x14ac:dyDescent="0.25">
      <c r="A176" t="s">
        <v>772</v>
      </c>
      <c r="B176" t="s">
        <v>291</v>
      </c>
      <c r="C176" t="s">
        <v>773</v>
      </c>
      <c r="D176" t="s">
        <v>693</v>
      </c>
      <c r="E176" t="str">
        <f>VLOOKUP(DefaultCollections[[#This Row],[DEFAULT_COLL_TYPE]],CollectionLookups,2,FALSE)</f>
        <v>P Anti-D Standard</v>
      </c>
      <c r="F176" t="str">
        <f t="shared" si="4"/>
        <v>CP224-P Anti-D Standard</v>
      </c>
      <c r="G176" t="str">
        <f>VLOOKUP(DefaultCollections[[#This Row],[DEFAULT_COLL_TYPE]],CollectionLookups,3,FALSE)</f>
        <v>2X Week P Anti-D</v>
      </c>
      <c r="H176" t="str">
        <f t="shared" si="5"/>
        <v>NO</v>
      </c>
    </row>
    <row r="177" spans="1:8" x14ac:dyDescent="0.25">
      <c r="A177" t="s">
        <v>772</v>
      </c>
      <c r="B177" t="s">
        <v>291</v>
      </c>
      <c r="C177" t="s">
        <v>773</v>
      </c>
      <c r="D177" t="s">
        <v>694</v>
      </c>
      <c r="E177" t="str">
        <f>VLOOKUP(DefaultCollections[[#This Row],[DEFAULT_COLL_TYPE]],CollectionLookups,2,FALSE)</f>
        <v>P Anti-D Pre-Existing Standard</v>
      </c>
      <c r="F177" t="str">
        <f t="shared" si="4"/>
        <v>CP224-P Anti-D Pre-Existing Standard</v>
      </c>
      <c r="G177">
        <f>VLOOKUP(DefaultCollections[[#This Row],[DEFAULT_COLL_TYPE]],CollectionLookups,3,FALSE)</f>
        <v>0</v>
      </c>
      <c r="H177" t="str">
        <f t="shared" si="5"/>
        <v>NO</v>
      </c>
    </row>
    <row r="178" spans="1:8" x14ac:dyDescent="0.25">
      <c r="A178" t="s">
        <v>772</v>
      </c>
      <c r="B178" t="s">
        <v>291</v>
      </c>
      <c r="C178" t="s">
        <v>773</v>
      </c>
      <c r="D178" t="s">
        <v>698</v>
      </c>
      <c r="E178" t="str">
        <f>VLOOKUP(DefaultCollections[[#This Row],[DEFAULT_COLL_TYPE]],CollectionLookups,2,FALSE)</f>
        <v>P NSP NS Standard</v>
      </c>
      <c r="F178" t="str">
        <f t="shared" si="4"/>
        <v>CP224-P NSP NS Standard</v>
      </c>
      <c r="G178" t="str">
        <f>VLOOKUP(DefaultCollections[[#This Row],[DEFAULT_COLL_TYPE]],CollectionLookups,3,FALSE)</f>
        <v>2X Week P NSP NS</v>
      </c>
      <c r="H178" t="str">
        <f t="shared" si="5"/>
        <v>NO</v>
      </c>
    </row>
    <row r="179" spans="1:8" x14ac:dyDescent="0.25">
      <c r="A179" t="s">
        <v>772</v>
      </c>
      <c r="B179" t="s">
        <v>291</v>
      </c>
      <c r="C179" t="s">
        <v>773</v>
      </c>
      <c r="D179" t="s">
        <v>725</v>
      </c>
      <c r="E179" t="str">
        <f>VLOOKUP(DefaultCollections[[#This Row],[DEFAULT_COLL_TYPE]],CollectionLookups,2,FALSE)</f>
        <v>P Vaccinia Standard</v>
      </c>
      <c r="F179" t="str">
        <f t="shared" si="4"/>
        <v>CP224-P Vaccinia Standard</v>
      </c>
      <c r="G179">
        <f>VLOOKUP(DefaultCollections[[#This Row],[DEFAULT_COLL_TYPE]],CollectionLookups,3,FALSE)</f>
        <v>0</v>
      </c>
      <c r="H179" t="str">
        <f t="shared" si="5"/>
        <v>NO</v>
      </c>
    </row>
    <row r="180" spans="1:8" x14ac:dyDescent="0.25">
      <c r="A180" t="s">
        <v>772</v>
      </c>
      <c r="B180" t="s">
        <v>291</v>
      </c>
      <c r="C180" t="s">
        <v>773</v>
      </c>
      <c r="D180" t="s">
        <v>719</v>
      </c>
      <c r="E180" t="str">
        <f>VLOOKUP(DefaultCollections[[#This Row],[DEFAULT_COLL_TYPE]],CollectionLookups,2,FALSE)</f>
        <v>PVZV Pre-Existing Standard</v>
      </c>
      <c r="F180" t="str">
        <f t="shared" si="4"/>
        <v>CP224-PVZV Pre-Existing Standard</v>
      </c>
      <c r="G180" t="str">
        <f>VLOOKUP(DefaultCollections[[#This Row],[DEFAULT_COLL_TYPE]],CollectionLookups,3,FALSE)</f>
        <v>2X Week P VZV Pre-Existing</v>
      </c>
      <c r="H180" t="str">
        <f t="shared" si="5"/>
        <v>NO</v>
      </c>
    </row>
    <row r="181" spans="1:8" x14ac:dyDescent="0.25">
      <c r="A181" t="s">
        <v>772</v>
      </c>
      <c r="B181" t="s">
        <v>291</v>
      </c>
      <c r="C181" t="s">
        <v>773</v>
      </c>
      <c r="D181" t="s">
        <v>720</v>
      </c>
      <c r="E181" t="str">
        <f>VLOOKUP(DefaultCollections[[#This Row],[DEFAULT_COLL_TYPE]],CollectionLookups,2,FALSE)</f>
        <v>P VZV Pre-Existing AP</v>
      </c>
      <c r="F181" t="str">
        <f t="shared" si="4"/>
        <v>CP224-P VZV Pre-Existing AP</v>
      </c>
      <c r="G181" t="str">
        <f>VLOOKUP(DefaultCollections[[#This Row],[DEFAULT_COLL_TYPE]],CollectionLookups,3,FALSE)</f>
        <v>2X Week P VZV Pre-Existing AP</v>
      </c>
      <c r="H181" t="str">
        <f t="shared" si="5"/>
        <v>NO</v>
      </c>
    </row>
    <row r="182" spans="1:8" x14ac:dyDescent="0.25">
      <c r="A182" t="s">
        <v>774</v>
      </c>
      <c r="B182" t="s">
        <v>89</v>
      </c>
      <c r="C182" t="s">
        <v>775</v>
      </c>
      <c r="D182" t="s">
        <v>757</v>
      </c>
      <c r="E182">
        <f>VLOOKUP(DefaultCollections[[#This Row],[DEFAULT_COLL_TYPE]],CollectionLookups,2,FALSE)</f>
        <v>0</v>
      </c>
      <c r="F182" t="str">
        <f t="shared" si="4"/>
        <v>NO</v>
      </c>
      <c r="G182">
        <f>VLOOKUP(DefaultCollections[[#This Row],[DEFAULT_COLL_TYPE]],CollectionLookups,3,FALSE)</f>
        <v>0</v>
      </c>
      <c r="H182" t="str">
        <f t="shared" si="5"/>
        <v>NO</v>
      </c>
    </row>
    <row r="183" spans="1:8" x14ac:dyDescent="0.25">
      <c r="A183" t="s">
        <v>774</v>
      </c>
      <c r="B183" t="s">
        <v>89</v>
      </c>
      <c r="C183" t="s">
        <v>775</v>
      </c>
      <c r="D183" t="s">
        <v>694</v>
      </c>
      <c r="E183" t="str">
        <f>VLOOKUP(DefaultCollections[[#This Row],[DEFAULT_COLL_TYPE]],CollectionLookups,2,FALSE)</f>
        <v>P Anti-D Pre-Existing Standard</v>
      </c>
      <c r="F183" t="str">
        <f t="shared" si="4"/>
        <v>CP225-P Anti-D Pre-Existing Standard</v>
      </c>
      <c r="G183">
        <f>VLOOKUP(DefaultCollections[[#This Row],[DEFAULT_COLL_TYPE]],CollectionLookups,3,FALSE)</f>
        <v>0</v>
      </c>
      <c r="H183" t="str">
        <f t="shared" si="5"/>
        <v>NO</v>
      </c>
    </row>
    <row r="184" spans="1:8" x14ac:dyDescent="0.25">
      <c r="A184" t="s">
        <v>774</v>
      </c>
      <c r="B184" t="s">
        <v>89</v>
      </c>
      <c r="C184" t="s">
        <v>775</v>
      </c>
      <c r="D184" t="s">
        <v>698</v>
      </c>
      <c r="E184" t="str">
        <f>VLOOKUP(DefaultCollections[[#This Row],[DEFAULT_COLL_TYPE]],CollectionLookups,2,FALSE)</f>
        <v>P NSP NS Standard</v>
      </c>
      <c r="F184" t="str">
        <f t="shared" si="4"/>
        <v>CP225-P NSP NS Standard</v>
      </c>
      <c r="G184" t="str">
        <f>VLOOKUP(DefaultCollections[[#This Row],[DEFAULT_COLL_TYPE]],CollectionLookups,3,FALSE)</f>
        <v>2X Week P NSP NS</v>
      </c>
      <c r="H184" t="str">
        <f t="shared" si="5"/>
        <v>CP225-2X Week P NSP NS</v>
      </c>
    </row>
    <row r="185" spans="1:8" x14ac:dyDescent="0.25">
      <c r="A185" t="s">
        <v>774</v>
      </c>
      <c r="B185" t="s">
        <v>89</v>
      </c>
      <c r="C185" t="s">
        <v>775</v>
      </c>
      <c r="D185" t="s">
        <v>725</v>
      </c>
      <c r="E185" t="str">
        <f>VLOOKUP(DefaultCollections[[#This Row],[DEFAULT_COLL_TYPE]],CollectionLookups,2,FALSE)</f>
        <v>P Vaccinia Standard</v>
      </c>
      <c r="F185" t="str">
        <f t="shared" si="4"/>
        <v>CP225-P Vaccinia Standard</v>
      </c>
      <c r="G185">
        <f>VLOOKUP(DefaultCollections[[#This Row],[DEFAULT_COLL_TYPE]],CollectionLookups,3,FALSE)</f>
        <v>0</v>
      </c>
      <c r="H185" t="str">
        <f t="shared" si="5"/>
        <v>NO</v>
      </c>
    </row>
    <row r="186" spans="1:8" x14ac:dyDescent="0.25">
      <c r="A186" t="s">
        <v>774</v>
      </c>
      <c r="B186" t="s">
        <v>89</v>
      </c>
      <c r="C186" t="s">
        <v>775</v>
      </c>
      <c r="D186" t="s">
        <v>719</v>
      </c>
      <c r="E186" t="str">
        <f>VLOOKUP(DefaultCollections[[#This Row],[DEFAULT_COLL_TYPE]],CollectionLookups,2,FALSE)</f>
        <v>PVZV Pre-Existing Standard</v>
      </c>
      <c r="F186" t="str">
        <f t="shared" si="4"/>
        <v>CP225-PVZV Pre-Existing Standard</v>
      </c>
      <c r="G186" t="str">
        <f>VLOOKUP(DefaultCollections[[#This Row],[DEFAULT_COLL_TYPE]],CollectionLookups,3,FALSE)</f>
        <v>2X Week P VZV Pre-Existing</v>
      </c>
      <c r="H186" t="str">
        <f t="shared" si="5"/>
        <v>CP225-2X Week P VZV Pre-Existing</v>
      </c>
    </row>
    <row r="187" spans="1:8" x14ac:dyDescent="0.25">
      <c r="A187" t="s">
        <v>774</v>
      </c>
      <c r="B187" t="s">
        <v>89</v>
      </c>
      <c r="C187" t="s">
        <v>775</v>
      </c>
      <c r="D187" t="s">
        <v>720</v>
      </c>
      <c r="E187" t="str">
        <f>VLOOKUP(DefaultCollections[[#This Row],[DEFAULT_COLL_TYPE]],CollectionLookups,2,FALSE)</f>
        <v>P VZV Pre-Existing AP</v>
      </c>
      <c r="F187" t="str">
        <f t="shared" si="4"/>
        <v>CP225-P VZV Pre-Existing AP</v>
      </c>
      <c r="G187" t="str">
        <f>VLOOKUP(DefaultCollections[[#This Row],[DEFAULT_COLL_TYPE]],CollectionLookups,3,FALSE)</f>
        <v>2X Week P VZV Pre-Existing AP</v>
      </c>
      <c r="H187" t="str">
        <f t="shared" si="5"/>
        <v>CP225-2X Week P VZV Pre-Existing AP</v>
      </c>
    </row>
    <row r="188" spans="1:8" x14ac:dyDescent="0.25">
      <c r="A188" t="s">
        <v>776</v>
      </c>
      <c r="B188" t="s">
        <v>296</v>
      </c>
      <c r="C188" t="s">
        <v>777</v>
      </c>
      <c r="D188" t="s">
        <v>693</v>
      </c>
      <c r="E188" t="str">
        <f>VLOOKUP(DefaultCollections[[#This Row],[DEFAULT_COLL_TYPE]],CollectionLookups,2,FALSE)</f>
        <v>P Anti-D Standard</v>
      </c>
      <c r="F188" t="str">
        <f t="shared" si="4"/>
        <v>CP226-P Anti-D Standard</v>
      </c>
      <c r="G188" t="str">
        <f>VLOOKUP(DefaultCollections[[#This Row],[DEFAULT_COLL_TYPE]],CollectionLookups,3,FALSE)</f>
        <v>2X Week P Anti-D</v>
      </c>
      <c r="H188" t="str">
        <f t="shared" si="5"/>
        <v>NO</v>
      </c>
    </row>
    <row r="189" spans="1:8" x14ac:dyDescent="0.25">
      <c r="A189" t="s">
        <v>776</v>
      </c>
      <c r="B189" t="s">
        <v>296</v>
      </c>
      <c r="C189" t="s">
        <v>777</v>
      </c>
      <c r="D189" t="s">
        <v>694</v>
      </c>
      <c r="E189" t="str">
        <f>VLOOKUP(DefaultCollections[[#This Row],[DEFAULT_COLL_TYPE]],CollectionLookups,2,FALSE)</f>
        <v>P Anti-D Pre-Existing Standard</v>
      </c>
      <c r="F189" t="str">
        <f t="shared" si="4"/>
        <v>CP226-P Anti-D Pre-Existing Standard</v>
      </c>
      <c r="G189">
        <f>VLOOKUP(DefaultCollections[[#This Row],[DEFAULT_COLL_TYPE]],CollectionLookups,3,FALSE)</f>
        <v>0</v>
      </c>
      <c r="H189" t="str">
        <f t="shared" si="5"/>
        <v>NO</v>
      </c>
    </row>
    <row r="190" spans="1:8" x14ac:dyDescent="0.25">
      <c r="A190" t="s">
        <v>776</v>
      </c>
      <c r="B190" t="s">
        <v>296</v>
      </c>
      <c r="C190" t="s">
        <v>777</v>
      </c>
      <c r="D190" t="s">
        <v>695</v>
      </c>
      <c r="E190" t="str">
        <f>VLOOKUP(DefaultCollections[[#This Row],[DEFAULT_COLL_TYPE]],CollectionLookups,2,FALSE)</f>
        <v>P HBS Pre-Existing Standard</v>
      </c>
      <c r="F190" t="str">
        <f t="shared" si="4"/>
        <v>CP226-P HBS Pre-Existing Standard</v>
      </c>
      <c r="G190" t="str">
        <f>VLOOKUP(DefaultCollections[[#This Row],[DEFAULT_COLL_TYPE]],CollectionLookups,3,FALSE)</f>
        <v>2X Week P HBS Pre-Existing</v>
      </c>
      <c r="H190" t="str">
        <f t="shared" si="5"/>
        <v>NO</v>
      </c>
    </row>
    <row r="191" spans="1:8" x14ac:dyDescent="0.25">
      <c r="A191" t="s">
        <v>776</v>
      </c>
      <c r="B191" t="s">
        <v>296</v>
      </c>
      <c r="C191" t="s">
        <v>777</v>
      </c>
      <c r="D191" t="s">
        <v>696</v>
      </c>
      <c r="E191" t="str">
        <f>VLOOKUP(DefaultCollections[[#This Row],[DEFAULT_COLL_TYPE]],CollectionLookups,2,FALSE)</f>
        <v>P HBS TWINRIX Standard</v>
      </c>
      <c r="F191" t="str">
        <f t="shared" si="4"/>
        <v>CP226-P HBS TWINRIX Standard</v>
      </c>
      <c r="G191" t="str">
        <f>VLOOKUP(DefaultCollections[[#This Row],[DEFAULT_COLL_TYPE]],CollectionLookups,3,FALSE)</f>
        <v>2X Week P HBS TWINRX</v>
      </c>
      <c r="H191" t="str">
        <f t="shared" si="5"/>
        <v>NO</v>
      </c>
    </row>
    <row r="192" spans="1:8" x14ac:dyDescent="0.25">
      <c r="A192" t="s">
        <v>776</v>
      </c>
      <c r="B192" t="s">
        <v>296</v>
      </c>
      <c r="C192" t="s">
        <v>777</v>
      </c>
      <c r="D192" t="s">
        <v>697</v>
      </c>
      <c r="E192" t="str">
        <f>VLOOKUP(DefaultCollections[[#This Row],[DEFAULT_COLL_TYPE]],CollectionLookups,2,FALSE)</f>
        <v>P HBS TWINRIX-AP Standard</v>
      </c>
      <c r="F192" t="str">
        <f t="shared" si="4"/>
        <v>CP226-P HBS TWINRIX-AP Standard</v>
      </c>
      <c r="G192" t="str">
        <f>VLOOKUP(DefaultCollections[[#This Row],[DEFAULT_COLL_TYPE]],CollectionLookups,3,FALSE)</f>
        <v>2X Week P HBS TWINRX-AP</v>
      </c>
      <c r="H192" t="str">
        <f t="shared" si="5"/>
        <v>NO</v>
      </c>
    </row>
    <row r="193" spans="1:9" x14ac:dyDescent="0.25">
      <c r="A193" t="s">
        <v>776</v>
      </c>
      <c r="B193" t="s">
        <v>296</v>
      </c>
      <c r="C193" t="s">
        <v>777</v>
      </c>
      <c r="D193" t="s">
        <v>698</v>
      </c>
      <c r="E193" t="str">
        <f>VLOOKUP(DefaultCollections[[#This Row],[DEFAULT_COLL_TYPE]],CollectionLookups,2,FALSE)</f>
        <v>P NSP NS Standard</v>
      </c>
      <c r="F193" t="str">
        <f t="shared" si="4"/>
        <v>CP226-P NSP NS Standard</v>
      </c>
      <c r="G193" t="str">
        <f>VLOOKUP(DefaultCollections[[#This Row],[DEFAULT_COLL_TYPE]],CollectionLookups,3,FALSE)</f>
        <v>2X Week P NSP NS</v>
      </c>
      <c r="H193" t="str">
        <f t="shared" si="5"/>
        <v>NO</v>
      </c>
    </row>
    <row r="194" spans="1:9" x14ac:dyDescent="0.25">
      <c r="A194" t="s">
        <v>776</v>
      </c>
      <c r="B194" t="s">
        <v>296</v>
      </c>
      <c r="C194" t="s">
        <v>777</v>
      </c>
      <c r="D194" t="s">
        <v>725</v>
      </c>
      <c r="E194" t="str">
        <f>VLOOKUP(DefaultCollections[[#This Row],[DEFAULT_COLL_TYPE]],CollectionLookups,2,FALSE)</f>
        <v>P Vaccinia Standard</v>
      </c>
      <c r="F194" t="str">
        <f t="shared" ref="F194:F257" si="6">IFERROR(VLOOKUP(B194&amp;"-"&amp;E194,NLCollectionsLookup,1,FALSE),"NO")</f>
        <v>CP226-P Vaccinia Standard</v>
      </c>
      <c r="G194">
        <f>VLOOKUP(DefaultCollections[[#This Row],[DEFAULT_COLL_TYPE]],CollectionLookups,3,FALSE)</f>
        <v>0</v>
      </c>
      <c r="H194" t="str">
        <f t="shared" ref="H194:H257" si="7">IFERROR(VLOOKUP(B194&amp;"-"&amp;G194,NLCollectionsLookup,1,FALSE),"NO")</f>
        <v>NO</v>
      </c>
    </row>
    <row r="195" spans="1:9" x14ac:dyDescent="0.25">
      <c r="A195" t="s">
        <v>776</v>
      </c>
      <c r="B195" t="s">
        <v>296</v>
      </c>
      <c r="C195" t="s">
        <v>777</v>
      </c>
      <c r="D195" t="s">
        <v>719</v>
      </c>
      <c r="E195" t="str">
        <f>VLOOKUP(DefaultCollections[[#This Row],[DEFAULT_COLL_TYPE]],CollectionLookups,2,FALSE)</f>
        <v>PVZV Pre-Existing Standard</v>
      </c>
      <c r="F195" t="str">
        <f t="shared" si="6"/>
        <v>CP226-PVZV Pre-Existing Standard</v>
      </c>
      <c r="G195" t="str">
        <f>VLOOKUP(DefaultCollections[[#This Row],[DEFAULT_COLL_TYPE]],CollectionLookups,3,FALSE)</f>
        <v>2X Week P VZV Pre-Existing</v>
      </c>
      <c r="H195" t="str">
        <f t="shared" si="7"/>
        <v>NO</v>
      </c>
    </row>
    <row r="196" spans="1:9" x14ac:dyDescent="0.25">
      <c r="A196" t="s">
        <v>776</v>
      </c>
      <c r="B196" t="s">
        <v>296</v>
      </c>
      <c r="C196" t="s">
        <v>777</v>
      </c>
      <c r="D196" t="s">
        <v>720</v>
      </c>
      <c r="E196" t="str">
        <f>VLOOKUP(DefaultCollections[[#This Row],[DEFAULT_COLL_TYPE]],CollectionLookups,2,FALSE)</f>
        <v>P VZV Pre-Existing AP</v>
      </c>
      <c r="F196" t="str">
        <f t="shared" si="6"/>
        <v>CP226-P VZV Pre-Existing AP</v>
      </c>
      <c r="G196" t="str">
        <f>VLOOKUP(DefaultCollections[[#This Row],[DEFAULT_COLL_TYPE]],CollectionLookups,3,FALSE)</f>
        <v>2X Week P VZV Pre-Existing AP</v>
      </c>
      <c r="H196" t="str">
        <f t="shared" si="7"/>
        <v>NO</v>
      </c>
    </row>
    <row r="197" spans="1:9" x14ac:dyDescent="0.25">
      <c r="A197" t="s">
        <v>778</v>
      </c>
      <c r="B197" t="s">
        <v>104</v>
      </c>
      <c r="C197" t="s">
        <v>779</v>
      </c>
      <c r="D197" t="s">
        <v>694</v>
      </c>
      <c r="E197" t="str">
        <f>VLOOKUP(DefaultCollections[[#This Row],[DEFAULT_COLL_TYPE]],CollectionLookups,2,FALSE)</f>
        <v>P Anti-D Pre-Existing Standard</v>
      </c>
      <c r="F197" t="str">
        <f t="shared" si="6"/>
        <v>CP227-P Anti-D Pre-Existing Standard</v>
      </c>
      <c r="G197">
        <f>VLOOKUP(DefaultCollections[[#This Row],[DEFAULT_COLL_TYPE]],CollectionLookups,3,FALSE)</f>
        <v>0</v>
      </c>
      <c r="H197" t="str">
        <f t="shared" si="7"/>
        <v>NO</v>
      </c>
    </row>
    <row r="198" spans="1:9" x14ac:dyDescent="0.25">
      <c r="A198" t="s">
        <v>778</v>
      </c>
      <c r="B198" t="s">
        <v>104</v>
      </c>
      <c r="C198" t="s">
        <v>779</v>
      </c>
      <c r="D198" t="s">
        <v>698</v>
      </c>
      <c r="E198" t="str">
        <f>VLOOKUP(DefaultCollections[[#This Row],[DEFAULT_COLL_TYPE]],CollectionLookups,2,FALSE)</f>
        <v>P NSP NS Standard</v>
      </c>
      <c r="F198" t="str">
        <f t="shared" si="6"/>
        <v>CP227-P NSP NS Standard</v>
      </c>
      <c r="G198" t="str">
        <f>VLOOKUP(DefaultCollections[[#This Row],[DEFAULT_COLL_TYPE]],CollectionLookups,3,FALSE)</f>
        <v>2X Week P NSP NS</v>
      </c>
      <c r="H198" t="str">
        <f t="shared" si="7"/>
        <v>CP227-2X Week P NSP NS</v>
      </c>
    </row>
    <row r="199" spans="1:9" x14ac:dyDescent="0.25">
      <c r="A199" t="s">
        <v>778</v>
      </c>
      <c r="B199" t="s">
        <v>104</v>
      </c>
      <c r="C199" t="s">
        <v>779</v>
      </c>
      <c r="D199" t="s">
        <v>725</v>
      </c>
      <c r="E199" t="str">
        <f>VLOOKUP(DefaultCollections[[#This Row],[DEFAULT_COLL_TYPE]],CollectionLookups,2,FALSE)</f>
        <v>P Vaccinia Standard</v>
      </c>
      <c r="F199" t="str">
        <f t="shared" si="6"/>
        <v>CP227-P Vaccinia Standard</v>
      </c>
      <c r="G199">
        <f>VLOOKUP(DefaultCollections[[#This Row],[DEFAULT_COLL_TYPE]],CollectionLookups,3,FALSE)</f>
        <v>0</v>
      </c>
      <c r="H199" t="str">
        <f t="shared" si="7"/>
        <v>NO</v>
      </c>
    </row>
    <row r="200" spans="1:9" x14ac:dyDescent="0.25">
      <c r="A200" t="s">
        <v>778</v>
      </c>
      <c r="B200" t="s">
        <v>104</v>
      </c>
      <c r="C200" t="s">
        <v>779</v>
      </c>
      <c r="D200" t="s">
        <v>719</v>
      </c>
      <c r="E200" t="str">
        <f>VLOOKUP(DefaultCollections[[#This Row],[DEFAULT_COLL_TYPE]],CollectionLookups,2,FALSE)</f>
        <v>PVZV Pre-Existing Standard</v>
      </c>
      <c r="F200" t="str">
        <f t="shared" si="6"/>
        <v>CP227-PVZV Pre-Existing Standard</v>
      </c>
      <c r="G200" t="str">
        <f>VLOOKUP(DefaultCollections[[#This Row],[DEFAULT_COLL_TYPE]],CollectionLookups,3,FALSE)</f>
        <v>2X Week P VZV Pre-Existing</v>
      </c>
      <c r="H200" t="str">
        <f t="shared" si="7"/>
        <v>CP227-2X Week P VZV Pre-Existing</v>
      </c>
    </row>
    <row r="201" spans="1:9" x14ac:dyDescent="0.25">
      <c r="A201" t="s">
        <v>778</v>
      </c>
      <c r="B201" t="s">
        <v>104</v>
      </c>
      <c r="C201" t="s">
        <v>779</v>
      </c>
      <c r="D201" t="s">
        <v>720</v>
      </c>
      <c r="E201" t="str">
        <f>VLOOKUP(DefaultCollections[[#This Row],[DEFAULT_COLL_TYPE]],CollectionLookups,2,FALSE)</f>
        <v>P VZV Pre-Existing AP</v>
      </c>
      <c r="F201" t="str">
        <f t="shared" si="6"/>
        <v>CP227-P VZV Pre-Existing AP</v>
      </c>
      <c r="G201" t="str">
        <f>VLOOKUP(DefaultCollections[[#This Row],[DEFAULT_COLL_TYPE]],CollectionLookups,3,FALSE)</f>
        <v>2X Week P VZV Pre-Existing AP</v>
      </c>
      <c r="H201" t="str">
        <f t="shared" si="7"/>
        <v>CP227-2X Week P VZV Pre-Existing AP</v>
      </c>
      <c r="I201" s="147"/>
    </row>
    <row r="202" spans="1:9" x14ac:dyDescent="0.25">
      <c r="A202" t="s">
        <v>780</v>
      </c>
      <c r="B202" t="s">
        <v>58</v>
      </c>
      <c r="C202" t="s">
        <v>781</v>
      </c>
      <c r="D202" t="s">
        <v>694</v>
      </c>
      <c r="E202" t="str">
        <f>VLOOKUP(DefaultCollections[[#This Row],[DEFAULT_COLL_TYPE]],CollectionLookups,2,FALSE)</f>
        <v>P Anti-D Pre-Existing Standard</v>
      </c>
      <c r="F202" t="str">
        <f t="shared" si="6"/>
        <v>CP228-P Anti-D Pre-Existing Standard</v>
      </c>
      <c r="G202">
        <f>VLOOKUP(DefaultCollections[[#This Row],[DEFAULT_COLL_TYPE]],CollectionLookups,3,FALSE)</f>
        <v>0</v>
      </c>
      <c r="H202" t="str">
        <f t="shared" si="7"/>
        <v>NO</v>
      </c>
    </row>
    <row r="203" spans="1:9" x14ac:dyDescent="0.25">
      <c r="A203" t="s">
        <v>780</v>
      </c>
      <c r="B203" t="s">
        <v>58</v>
      </c>
      <c r="C203" t="s">
        <v>781</v>
      </c>
      <c r="D203" t="s">
        <v>698</v>
      </c>
      <c r="E203" t="str">
        <f>VLOOKUP(DefaultCollections[[#This Row],[DEFAULT_COLL_TYPE]],CollectionLookups,2,FALSE)</f>
        <v>P NSP NS Standard</v>
      </c>
      <c r="F203" t="str">
        <f t="shared" si="6"/>
        <v>CP228-P NSP NS Standard</v>
      </c>
      <c r="G203" t="str">
        <f>VLOOKUP(DefaultCollections[[#This Row],[DEFAULT_COLL_TYPE]],CollectionLookups,3,FALSE)</f>
        <v>2X Week P NSP NS</v>
      </c>
      <c r="H203" t="str">
        <f t="shared" si="7"/>
        <v>CP228-2X Week P NSP NS</v>
      </c>
    </row>
    <row r="204" spans="1:9" x14ac:dyDescent="0.25">
      <c r="A204" t="s">
        <v>780</v>
      </c>
      <c r="B204" t="s">
        <v>58</v>
      </c>
      <c r="C204" t="s">
        <v>781</v>
      </c>
      <c r="D204" t="s">
        <v>725</v>
      </c>
      <c r="E204" t="str">
        <f>VLOOKUP(DefaultCollections[[#This Row],[DEFAULT_COLL_TYPE]],CollectionLookups,2,FALSE)</f>
        <v>P Vaccinia Standard</v>
      </c>
      <c r="F204" t="str">
        <f t="shared" si="6"/>
        <v>CP228-P Vaccinia Standard</v>
      </c>
      <c r="G204">
        <f>VLOOKUP(DefaultCollections[[#This Row],[DEFAULT_COLL_TYPE]],CollectionLookups,3,FALSE)</f>
        <v>0</v>
      </c>
      <c r="H204" t="str">
        <f t="shared" si="7"/>
        <v>NO</v>
      </c>
    </row>
    <row r="205" spans="1:9" x14ac:dyDescent="0.25">
      <c r="A205" t="s">
        <v>780</v>
      </c>
      <c r="B205" t="s">
        <v>58</v>
      </c>
      <c r="C205" t="s">
        <v>781</v>
      </c>
      <c r="D205" t="s">
        <v>719</v>
      </c>
      <c r="E205" t="str">
        <f>VLOOKUP(DefaultCollections[[#This Row],[DEFAULT_COLL_TYPE]],CollectionLookups,2,FALSE)</f>
        <v>PVZV Pre-Existing Standard</v>
      </c>
      <c r="F205" t="str">
        <f t="shared" si="6"/>
        <v>CP228-PVZV Pre-Existing Standard</v>
      </c>
      <c r="G205" t="str">
        <f>VLOOKUP(DefaultCollections[[#This Row],[DEFAULT_COLL_TYPE]],CollectionLookups,3,FALSE)</f>
        <v>2X Week P VZV Pre-Existing</v>
      </c>
      <c r="H205" t="str">
        <f t="shared" si="7"/>
        <v>CP228-2X Week P VZV Pre-Existing</v>
      </c>
    </row>
    <row r="206" spans="1:9" x14ac:dyDescent="0.25">
      <c r="A206" t="s">
        <v>780</v>
      </c>
      <c r="B206" t="s">
        <v>58</v>
      </c>
      <c r="C206" t="s">
        <v>781</v>
      </c>
      <c r="D206" t="s">
        <v>720</v>
      </c>
      <c r="E206" t="str">
        <f>VLOOKUP(DefaultCollections[[#This Row],[DEFAULT_COLL_TYPE]],CollectionLookups,2,FALSE)</f>
        <v>P VZV Pre-Existing AP</v>
      </c>
      <c r="F206" t="str">
        <f t="shared" si="6"/>
        <v>CP228-P VZV Pre-Existing AP</v>
      </c>
      <c r="G206" t="str">
        <f>VLOOKUP(DefaultCollections[[#This Row],[DEFAULT_COLL_TYPE]],CollectionLookups,3,FALSE)</f>
        <v>2X Week P VZV Pre-Existing AP</v>
      </c>
      <c r="H206" t="str">
        <f t="shared" si="7"/>
        <v>CP228-2X Week P VZV Pre-Existing AP</v>
      </c>
    </row>
    <row r="207" spans="1:9" x14ac:dyDescent="0.25">
      <c r="A207" t="s">
        <v>782</v>
      </c>
      <c r="B207" t="s">
        <v>123</v>
      </c>
      <c r="C207" t="s">
        <v>783</v>
      </c>
      <c r="D207" t="s">
        <v>694</v>
      </c>
      <c r="E207" t="str">
        <f>VLOOKUP(DefaultCollections[[#This Row],[DEFAULT_COLL_TYPE]],CollectionLookups,2,FALSE)</f>
        <v>P Anti-D Pre-Existing Standard</v>
      </c>
      <c r="F207" t="str">
        <f t="shared" si="6"/>
        <v>CP283-P Anti-D Pre-Existing Standard</v>
      </c>
      <c r="G207">
        <f>VLOOKUP(DefaultCollections[[#This Row],[DEFAULT_COLL_TYPE]],CollectionLookups,3,FALSE)</f>
        <v>0</v>
      </c>
      <c r="H207" t="str">
        <f t="shared" si="7"/>
        <v>NO</v>
      </c>
      <c r="I207" s="147"/>
    </row>
    <row r="208" spans="1:9" x14ac:dyDescent="0.25">
      <c r="A208" t="s">
        <v>782</v>
      </c>
      <c r="B208" t="s">
        <v>123</v>
      </c>
      <c r="C208" t="s">
        <v>783</v>
      </c>
      <c r="D208" t="s">
        <v>698</v>
      </c>
      <c r="E208" t="str">
        <f>VLOOKUP(DefaultCollections[[#This Row],[DEFAULT_COLL_TYPE]],CollectionLookups,2,FALSE)</f>
        <v>P NSP NS Standard</v>
      </c>
      <c r="F208" t="str">
        <f t="shared" si="6"/>
        <v>CP283-P NSP NS Standard</v>
      </c>
      <c r="G208" t="str">
        <f>VLOOKUP(DefaultCollections[[#This Row],[DEFAULT_COLL_TYPE]],CollectionLookups,3,FALSE)</f>
        <v>2X Week P NSP NS</v>
      </c>
      <c r="H208" t="str">
        <f t="shared" si="7"/>
        <v>CP283-2X Week P NSP NS</v>
      </c>
    </row>
    <row r="209" spans="1:9" x14ac:dyDescent="0.25">
      <c r="A209" t="s">
        <v>782</v>
      </c>
      <c r="B209" t="s">
        <v>123</v>
      </c>
      <c r="C209" t="s">
        <v>783</v>
      </c>
      <c r="D209" t="s">
        <v>725</v>
      </c>
      <c r="E209" t="str">
        <f>VLOOKUP(DefaultCollections[[#This Row],[DEFAULT_COLL_TYPE]],CollectionLookups,2,FALSE)</f>
        <v>P Vaccinia Standard</v>
      </c>
      <c r="F209" t="str">
        <f t="shared" si="6"/>
        <v>CP283-P Vaccinia Standard</v>
      </c>
      <c r="G209">
        <f>VLOOKUP(DefaultCollections[[#This Row],[DEFAULT_COLL_TYPE]],CollectionLookups,3,FALSE)</f>
        <v>0</v>
      </c>
      <c r="H209" t="str">
        <f t="shared" si="7"/>
        <v>NO</v>
      </c>
    </row>
    <row r="210" spans="1:9" x14ac:dyDescent="0.25">
      <c r="A210" t="s">
        <v>782</v>
      </c>
      <c r="B210" t="s">
        <v>123</v>
      </c>
      <c r="C210" t="s">
        <v>783</v>
      </c>
      <c r="D210" t="s">
        <v>719</v>
      </c>
      <c r="E210" t="str">
        <f>VLOOKUP(DefaultCollections[[#This Row],[DEFAULT_COLL_TYPE]],CollectionLookups,2,FALSE)</f>
        <v>PVZV Pre-Existing Standard</v>
      </c>
      <c r="F210" t="str">
        <f t="shared" si="6"/>
        <v>CP283-PVZV Pre-Existing Standard</v>
      </c>
      <c r="G210" t="str">
        <f>VLOOKUP(DefaultCollections[[#This Row],[DEFAULT_COLL_TYPE]],CollectionLookups,3,FALSE)</f>
        <v>2X Week P VZV Pre-Existing</v>
      </c>
      <c r="H210" t="str">
        <f t="shared" si="7"/>
        <v>CP283-2X Week P VZV Pre-Existing</v>
      </c>
    </row>
    <row r="211" spans="1:9" x14ac:dyDescent="0.25">
      <c r="A211" t="s">
        <v>782</v>
      </c>
      <c r="B211" t="s">
        <v>123</v>
      </c>
      <c r="C211" t="s">
        <v>783</v>
      </c>
      <c r="D211" t="s">
        <v>720</v>
      </c>
      <c r="E211" t="str">
        <f>VLOOKUP(DefaultCollections[[#This Row],[DEFAULT_COLL_TYPE]],CollectionLookups,2,FALSE)</f>
        <v>P VZV Pre-Existing AP</v>
      </c>
      <c r="F211" t="str">
        <f t="shared" si="6"/>
        <v>CP283-P VZV Pre-Existing AP</v>
      </c>
      <c r="G211" t="str">
        <f>VLOOKUP(DefaultCollections[[#This Row],[DEFAULT_COLL_TYPE]],CollectionLookups,3,FALSE)</f>
        <v>2X Week P VZV Pre-Existing AP</v>
      </c>
      <c r="H211" t="str">
        <f t="shared" si="7"/>
        <v>CP283-2X Week P VZV Pre-Existing AP</v>
      </c>
    </row>
    <row r="212" spans="1:9" x14ac:dyDescent="0.25">
      <c r="A212" t="s">
        <v>784</v>
      </c>
      <c r="B212" t="s">
        <v>133</v>
      </c>
      <c r="C212" t="s">
        <v>785</v>
      </c>
      <c r="D212" t="s">
        <v>694</v>
      </c>
      <c r="E212" t="str">
        <f>VLOOKUP(DefaultCollections[[#This Row],[DEFAULT_COLL_TYPE]],CollectionLookups,2,FALSE)</f>
        <v>P Anti-D Pre-Existing Standard</v>
      </c>
      <c r="F212" t="str">
        <f t="shared" si="6"/>
        <v>CP284-P Anti-D Pre-Existing Standard</v>
      </c>
      <c r="G212">
        <f>VLOOKUP(DefaultCollections[[#This Row],[DEFAULT_COLL_TYPE]],CollectionLookups,3,FALSE)</f>
        <v>0</v>
      </c>
      <c r="H212" t="str">
        <f t="shared" si="7"/>
        <v>NO</v>
      </c>
    </row>
    <row r="213" spans="1:9" x14ac:dyDescent="0.25">
      <c r="A213" t="s">
        <v>784</v>
      </c>
      <c r="B213" t="s">
        <v>133</v>
      </c>
      <c r="C213" t="s">
        <v>785</v>
      </c>
      <c r="D213" t="s">
        <v>698</v>
      </c>
      <c r="E213" t="str">
        <f>VLOOKUP(DefaultCollections[[#This Row],[DEFAULT_COLL_TYPE]],CollectionLookups,2,FALSE)</f>
        <v>P NSP NS Standard</v>
      </c>
      <c r="F213" t="str">
        <f t="shared" si="6"/>
        <v>CP284-P NSP NS Standard</v>
      </c>
      <c r="G213" t="str">
        <f>VLOOKUP(DefaultCollections[[#This Row],[DEFAULT_COLL_TYPE]],CollectionLookups,3,FALSE)</f>
        <v>2X Week P NSP NS</v>
      </c>
      <c r="H213" t="str">
        <f t="shared" si="7"/>
        <v>CP284-2X Week P NSP NS</v>
      </c>
    </row>
    <row r="214" spans="1:9" x14ac:dyDescent="0.25">
      <c r="A214" t="s">
        <v>784</v>
      </c>
      <c r="B214" t="s">
        <v>133</v>
      </c>
      <c r="C214" t="s">
        <v>785</v>
      </c>
      <c r="D214" t="s">
        <v>725</v>
      </c>
      <c r="E214" t="str">
        <f>VLOOKUP(DefaultCollections[[#This Row],[DEFAULT_COLL_TYPE]],CollectionLookups,2,FALSE)</f>
        <v>P Vaccinia Standard</v>
      </c>
      <c r="F214" t="str">
        <f t="shared" si="6"/>
        <v>CP284-P Vaccinia Standard</v>
      </c>
      <c r="G214">
        <f>VLOOKUP(DefaultCollections[[#This Row],[DEFAULT_COLL_TYPE]],CollectionLookups,3,FALSE)</f>
        <v>0</v>
      </c>
      <c r="H214" t="str">
        <f t="shared" si="7"/>
        <v>NO</v>
      </c>
      <c r="I214" s="147"/>
    </row>
    <row r="215" spans="1:9" x14ac:dyDescent="0.25">
      <c r="A215" t="s">
        <v>784</v>
      </c>
      <c r="B215" t="s">
        <v>133</v>
      </c>
      <c r="C215" t="s">
        <v>785</v>
      </c>
      <c r="D215" t="s">
        <v>719</v>
      </c>
      <c r="E215" t="str">
        <f>VLOOKUP(DefaultCollections[[#This Row],[DEFAULT_COLL_TYPE]],CollectionLookups,2,FALSE)</f>
        <v>PVZV Pre-Existing Standard</v>
      </c>
      <c r="F215" t="str">
        <f t="shared" si="6"/>
        <v>CP284-PVZV Pre-Existing Standard</v>
      </c>
      <c r="G215" t="str">
        <f>VLOOKUP(DefaultCollections[[#This Row],[DEFAULT_COLL_TYPE]],CollectionLookups,3,FALSE)</f>
        <v>2X Week P VZV Pre-Existing</v>
      </c>
      <c r="H215" t="str">
        <f t="shared" si="7"/>
        <v>CP284-2X Week P VZV Pre-Existing</v>
      </c>
    </row>
    <row r="216" spans="1:9" x14ac:dyDescent="0.25">
      <c r="A216" t="s">
        <v>784</v>
      </c>
      <c r="B216" t="s">
        <v>133</v>
      </c>
      <c r="C216" t="s">
        <v>785</v>
      </c>
      <c r="D216" t="s">
        <v>720</v>
      </c>
      <c r="E216" t="str">
        <f>VLOOKUP(DefaultCollections[[#This Row],[DEFAULT_COLL_TYPE]],CollectionLookups,2,FALSE)</f>
        <v>P VZV Pre-Existing AP</v>
      </c>
      <c r="F216" t="str">
        <f t="shared" si="6"/>
        <v>CP284-P VZV Pre-Existing AP</v>
      </c>
      <c r="G216" t="str">
        <f>VLOOKUP(DefaultCollections[[#This Row],[DEFAULT_COLL_TYPE]],CollectionLookups,3,FALSE)</f>
        <v>2X Week P VZV Pre-Existing AP</v>
      </c>
      <c r="H216" t="str">
        <f t="shared" si="7"/>
        <v>CP284-2X Week P VZV Pre-Existing AP</v>
      </c>
    </row>
    <row r="217" spans="1:9" x14ac:dyDescent="0.25">
      <c r="A217" t="s">
        <v>786</v>
      </c>
      <c r="B217" t="s">
        <v>129</v>
      </c>
      <c r="C217" t="s">
        <v>787</v>
      </c>
      <c r="D217" t="s">
        <v>694</v>
      </c>
      <c r="E217" t="str">
        <f>VLOOKUP(DefaultCollections[[#This Row],[DEFAULT_COLL_TYPE]],CollectionLookups,2,FALSE)</f>
        <v>P Anti-D Pre-Existing Standard</v>
      </c>
      <c r="F217" t="str">
        <f t="shared" si="6"/>
        <v>CP285-P Anti-D Pre-Existing Standard</v>
      </c>
      <c r="G217">
        <f>VLOOKUP(DefaultCollections[[#This Row],[DEFAULT_COLL_TYPE]],CollectionLookups,3,FALSE)</f>
        <v>0</v>
      </c>
      <c r="H217" t="str">
        <f t="shared" si="7"/>
        <v>NO</v>
      </c>
    </row>
    <row r="218" spans="1:9" x14ac:dyDescent="0.25">
      <c r="A218" t="s">
        <v>786</v>
      </c>
      <c r="B218" t="s">
        <v>129</v>
      </c>
      <c r="C218" t="s">
        <v>787</v>
      </c>
      <c r="D218" t="s">
        <v>695</v>
      </c>
      <c r="E218" t="str">
        <f>VLOOKUP(DefaultCollections[[#This Row],[DEFAULT_COLL_TYPE]],CollectionLookups,2,FALSE)</f>
        <v>P HBS Pre-Existing Standard</v>
      </c>
      <c r="F218" t="str">
        <f t="shared" si="6"/>
        <v>CP285-P HBS Pre-Existing Standard</v>
      </c>
      <c r="G218" t="str">
        <f>VLOOKUP(DefaultCollections[[#This Row],[DEFAULT_COLL_TYPE]],CollectionLookups,3,FALSE)</f>
        <v>2X Week P HBS Pre-Existing</v>
      </c>
      <c r="H218" t="str">
        <f t="shared" si="7"/>
        <v>CP285-2X Week P HBS Pre-Existing</v>
      </c>
    </row>
    <row r="219" spans="1:9" x14ac:dyDescent="0.25">
      <c r="A219" t="s">
        <v>786</v>
      </c>
      <c r="B219" t="s">
        <v>129</v>
      </c>
      <c r="C219" t="s">
        <v>787</v>
      </c>
      <c r="D219" t="s">
        <v>696</v>
      </c>
      <c r="E219" t="str">
        <f>VLOOKUP(DefaultCollections[[#This Row],[DEFAULT_COLL_TYPE]],CollectionLookups,2,FALSE)</f>
        <v>P HBS TWINRIX Standard</v>
      </c>
      <c r="F219" t="str">
        <f t="shared" si="6"/>
        <v>CP285-P HBS TWINRIX Standard</v>
      </c>
      <c r="G219" t="str">
        <f>VLOOKUP(DefaultCollections[[#This Row],[DEFAULT_COLL_TYPE]],CollectionLookups,3,FALSE)</f>
        <v>2X Week P HBS TWINRX</v>
      </c>
      <c r="H219" t="str">
        <f t="shared" si="7"/>
        <v>CP285-2X Week P HBS TWINRX</v>
      </c>
    </row>
    <row r="220" spans="1:9" x14ac:dyDescent="0.25">
      <c r="A220" t="s">
        <v>786</v>
      </c>
      <c r="B220" t="s">
        <v>129</v>
      </c>
      <c r="C220" t="s">
        <v>787</v>
      </c>
      <c r="D220" t="s">
        <v>697</v>
      </c>
      <c r="E220" t="str">
        <f>VLOOKUP(DefaultCollections[[#This Row],[DEFAULT_COLL_TYPE]],CollectionLookups,2,FALSE)</f>
        <v>P HBS TWINRIX-AP Standard</v>
      </c>
      <c r="F220" t="str">
        <f t="shared" si="6"/>
        <v>CP285-P HBS TWINRIX-AP Standard</v>
      </c>
      <c r="G220" t="str">
        <f>VLOOKUP(DefaultCollections[[#This Row],[DEFAULT_COLL_TYPE]],CollectionLookups,3,FALSE)</f>
        <v>2X Week P HBS TWINRX-AP</v>
      </c>
      <c r="H220" t="str">
        <f t="shared" si="7"/>
        <v>CP285-2X Week P HBS TWINRX-AP</v>
      </c>
    </row>
    <row r="221" spans="1:9" x14ac:dyDescent="0.25">
      <c r="A221" t="s">
        <v>786</v>
      </c>
      <c r="B221" t="s">
        <v>129</v>
      </c>
      <c r="C221" t="s">
        <v>787</v>
      </c>
      <c r="D221" t="s">
        <v>698</v>
      </c>
      <c r="E221" t="str">
        <f>VLOOKUP(DefaultCollections[[#This Row],[DEFAULT_COLL_TYPE]],CollectionLookups,2,FALSE)</f>
        <v>P NSP NS Standard</v>
      </c>
      <c r="F221" t="str">
        <f t="shared" si="6"/>
        <v>CP285-P NSP NS Standard</v>
      </c>
      <c r="G221" t="str">
        <f>VLOOKUP(DefaultCollections[[#This Row],[DEFAULT_COLL_TYPE]],CollectionLookups,3,FALSE)</f>
        <v>2X Week P NSP NS</v>
      </c>
      <c r="H221" t="str">
        <f t="shared" si="7"/>
        <v>CP285-2X Week P NSP NS</v>
      </c>
    </row>
    <row r="222" spans="1:9" x14ac:dyDescent="0.25">
      <c r="A222" t="s">
        <v>786</v>
      </c>
      <c r="B222" t="s">
        <v>129</v>
      </c>
      <c r="C222" t="s">
        <v>787</v>
      </c>
      <c r="D222" t="s">
        <v>719</v>
      </c>
      <c r="E222" t="str">
        <f>VLOOKUP(DefaultCollections[[#This Row],[DEFAULT_COLL_TYPE]],CollectionLookups,2,FALSE)</f>
        <v>PVZV Pre-Existing Standard</v>
      </c>
      <c r="F222" t="str">
        <f t="shared" si="6"/>
        <v>CP285-PVZV Pre-Existing Standard</v>
      </c>
      <c r="G222" t="str">
        <f>VLOOKUP(DefaultCollections[[#This Row],[DEFAULT_COLL_TYPE]],CollectionLookups,3,FALSE)</f>
        <v>2X Week P VZV Pre-Existing</v>
      </c>
      <c r="H222" t="str">
        <f t="shared" si="7"/>
        <v>CP285-2X Week P VZV Pre-Existing</v>
      </c>
    </row>
    <row r="223" spans="1:9" x14ac:dyDescent="0.25">
      <c r="A223" t="s">
        <v>786</v>
      </c>
      <c r="B223" t="s">
        <v>129</v>
      </c>
      <c r="C223" t="s">
        <v>787</v>
      </c>
      <c r="D223" t="s">
        <v>720</v>
      </c>
      <c r="E223" t="str">
        <f>VLOOKUP(DefaultCollections[[#This Row],[DEFAULT_COLL_TYPE]],CollectionLookups,2,FALSE)</f>
        <v>P VZV Pre-Existing AP</v>
      </c>
      <c r="F223" t="str">
        <f t="shared" si="6"/>
        <v>CP285-P VZV Pre-Existing AP</v>
      </c>
      <c r="G223" t="str">
        <f>VLOOKUP(DefaultCollections[[#This Row],[DEFAULT_COLL_TYPE]],CollectionLookups,3,FALSE)</f>
        <v>2X Week P VZV Pre-Existing AP</v>
      </c>
      <c r="H223" t="str">
        <f t="shared" si="7"/>
        <v>CP285-2X Week P VZV Pre-Existing AP</v>
      </c>
    </row>
    <row r="224" spans="1:9" x14ac:dyDescent="0.25">
      <c r="A224" t="s">
        <v>788</v>
      </c>
      <c r="B224" t="s">
        <v>255</v>
      </c>
      <c r="C224" t="s">
        <v>789</v>
      </c>
      <c r="D224" t="s">
        <v>692</v>
      </c>
      <c r="E224" t="str">
        <f>VLOOKUP(DefaultCollections[[#This Row],[DEFAULT_COLL_TYPE]],CollectionLookups,2,FALSE)</f>
        <v>P CMV Standard</v>
      </c>
      <c r="F224" t="str">
        <f t="shared" si="6"/>
        <v>CP328-P CMV Standard</v>
      </c>
      <c r="G224" t="str">
        <f>VLOOKUP(DefaultCollections[[#This Row],[DEFAULT_COLL_TYPE]],CollectionLookups,3,FALSE)</f>
        <v>2X Week P CMV</v>
      </c>
      <c r="H224" t="str">
        <f t="shared" si="7"/>
        <v>CP328-2X Week P CMV</v>
      </c>
    </row>
    <row r="225" spans="1:9" x14ac:dyDescent="0.25">
      <c r="A225" t="s">
        <v>788</v>
      </c>
      <c r="B225" t="s">
        <v>255</v>
      </c>
      <c r="C225" t="s">
        <v>789</v>
      </c>
      <c r="D225" t="s">
        <v>694</v>
      </c>
      <c r="E225" t="str">
        <f>VLOOKUP(DefaultCollections[[#This Row],[DEFAULT_COLL_TYPE]],CollectionLookups,2,FALSE)</f>
        <v>P Anti-D Pre-Existing Standard</v>
      </c>
      <c r="F225" t="str">
        <f t="shared" si="6"/>
        <v>CP328-P Anti-D Pre-Existing Standard</v>
      </c>
      <c r="G225">
        <f>VLOOKUP(DefaultCollections[[#This Row],[DEFAULT_COLL_TYPE]],CollectionLookups,3,FALSE)</f>
        <v>0</v>
      </c>
      <c r="H225" t="str">
        <f t="shared" si="7"/>
        <v>NO</v>
      </c>
    </row>
    <row r="226" spans="1:9" x14ac:dyDescent="0.25">
      <c r="A226" t="s">
        <v>788</v>
      </c>
      <c r="B226" t="s">
        <v>255</v>
      </c>
      <c r="C226" t="s">
        <v>789</v>
      </c>
      <c r="D226" t="s">
        <v>723</v>
      </c>
      <c r="E226" t="str">
        <f>VLOOKUP(DefaultCollections[[#This Row],[DEFAULT_COLL_TYPE]],CollectionLookups,2,FALSE)</f>
        <v>P HBS Standard</v>
      </c>
      <c r="F226" t="str">
        <f t="shared" si="6"/>
        <v>CP328-P HBS Standard</v>
      </c>
      <c r="G226" t="str">
        <f>VLOOKUP(DefaultCollections[[#This Row],[DEFAULT_COLL_TYPE]],CollectionLookups,3,FALSE)</f>
        <v>2X Week P HBS</v>
      </c>
      <c r="H226" t="str">
        <f t="shared" si="7"/>
        <v>CP328-2X Week P HBS</v>
      </c>
    </row>
    <row r="227" spans="1:9" x14ac:dyDescent="0.25">
      <c r="A227" t="s">
        <v>788</v>
      </c>
      <c r="B227" t="s">
        <v>255</v>
      </c>
      <c r="C227" t="s">
        <v>789</v>
      </c>
      <c r="D227" t="s">
        <v>695</v>
      </c>
      <c r="E227" t="str">
        <f>VLOOKUP(DefaultCollections[[#This Row],[DEFAULT_COLL_TYPE]],CollectionLookups,2,FALSE)</f>
        <v>P HBS Pre-Existing Standard</v>
      </c>
      <c r="F227" t="str">
        <f t="shared" si="6"/>
        <v>CP328-P HBS Pre-Existing Standard</v>
      </c>
      <c r="G227" t="str">
        <f>VLOOKUP(DefaultCollections[[#This Row],[DEFAULT_COLL_TYPE]],CollectionLookups,3,FALSE)</f>
        <v>2X Week P HBS Pre-Existing</v>
      </c>
      <c r="H227" t="str">
        <f t="shared" si="7"/>
        <v>CP328-2X Week P HBS Pre-Existing</v>
      </c>
    </row>
    <row r="228" spans="1:9" x14ac:dyDescent="0.25">
      <c r="A228" t="s">
        <v>788</v>
      </c>
      <c r="B228" t="s">
        <v>255</v>
      </c>
      <c r="C228" t="s">
        <v>789</v>
      </c>
      <c r="D228" t="s">
        <v>698</v>
      </c>
      <c r="E228" t="str">
        <f>VLOOKUP(DefaultCollections[[#This Row],[DEFAULT_COLL_TYPE]],CollectionLookups,2,FALSE)</f>
        <v>P NSP NS Standard</v>
      </c>
      <c r="F228" t="str">
        <f t="shared" si="6"/>
        <v>CP328-P NSP NS Standard</v>
      </c>
      <c r="G228" t="str">
        <f>VLOOKUP(DefaultCollections[[#This Row],[DEFAULT_COLL_TYPE]],CollectionLookups,3,FALSE)</f>
        <v>2X Week P NSP NS</v>
      </c>
      <c r="H228" t="str">
        <f t="shared" si="7"/>
        <v>CP328-2X Week P NSP NS</v>
      </c>
    </row>
    <row r="229" spans="1:9" x14ac:dyDescent="0.25">
      <c r="A229" t="s">
        <v>788</v>
      </c>
      <c r="B229" t="s">
        <v>255</v>
      </c>
      <c r="C229" t="s">
        <v>789</v>
      </c>
      <c r="D229" t="s">
        <v>702</v>
      </c>
      <c r="E229" t="str">
        <f>VLOOKUP(DefaultCollections[[#This Row],[DEFAULT_COLL_TYPE]],CollectionLookups,2,FALSE)</f>
        <v>P Rabies Standard</v>
      </c>
      <c r="F229" t="str">
        <f t="shared" si="6"/>
        <v>CP328-P Rabies Standard</v>
      </c>
      <c r="G229" t="str">
        <f>VLOOKUP(DefaultCollections[[#This Row],[DEFAULT_COLL_TYPE]],CollectionLookups,3,FALSE)</f>
        <v>2X Week P Rabies</v>
      </c>
      <c r="H229" t="str">
        <f t="shared" si="7"/>
        <v>CP328-2X Week P Rabies</v>
      </c>
    </row>
    <row r="230" spans="1:9" x14ac:dyDescent="0.25">
      <c r="A230" t="s">
        <v>788</v>
      </c>
      <c r="B230" t="s">
        <v>255</v>
      </c>
      <c r="C230" t="s">
        <v>789</v>
      </c>
      <c r="D230" t="s">
        <v>699</v>
      </c>
      <c r="E230" t="str">
        <f>VLOOKUP(DefaultCollections[[#This Row],[DEFAULT_COLL_TYPE]],CollectionLookups,2,FALSE)</f>
        <v>P Tetanus Standard</v>
      </c>
      <c r="F230" t="str">
        <f t="shared" si="6"/>
        <v>CP328-P Tetanus Standard</v>
      </c>
      <c r="G230" t="str">
        <f>VLOOKUP(DefaultCollections[[#This Row],[DEFAULT_COLL_TYPE]],CollectionLookups,3,FALSE)</f>
        <v>2X Week P Tetanus</v>
      </c>
      <c r="H230" t="str">
        <f t="shared" si="7"/>
        <v>CP328-2X Week P Tetanus</v>
      </c>
    </row>
    <row r="231" spans="1:9" x14ac:dyDescent="0.25">
      <c r="A231" t="s">
        <v>788</v>
      </c>
      <c r="B231" t="s">
        <v>255</v>
      </c>
      <c r="C231" t="s">
        <v>789</v>
      </c>
      <c r="D231" t="s">
        <v>703</v>
      </c>
      <c r="E231" t="str">
        <f>VLOOKUP(DefaultCollections[[#This Row],[DEFAULT_COLL_TYPE]],CollectionLookups,2,FALSE)</f>
        <v>P Tetanus Pre-Existing Standard</v>
      </c>
      <c r="F231" t="str">
        <f t="shared" si="6"/>
        <v>CP328-P Tetanus Pre-Existing Standard</v>
      </c>
      <c r="G231" t="str">
        <f>VLOOKUP(DefaultCollections[[#This Row],[DEFAULT_COLL_TYPE]],CollectionLookups,3,FALSE)</f>
        <v>2X Week P Tetanus PE</v>
      </c>
      <c r="H231" t="str">
        <f t="shared" si="7"/>
        <v>CP328-2X Week P Tetanus PE</v>
      </c>
    </row>
    <row r="232" spans="1:9" x14ac:dyDescent="0.25">
      <c r="A232" t="s">
        <v>788</v>
      </c>
      <c r="B232" t="s">
        <v>255</v>
      </c>
      <c r="C232" t="s">
        <v>789</v>
      </c>
      <c r="D232" t="s">
        <v>724</v>
      </c>
      <c r="E232" t="str">
        <f>VLOOKUP(DefaultCollections[[#This Row],[DEFAULT_COLL_TYPE]],CollectionLookups,2,FALSE)</f>
        <v>P Tetanus Tox Standard</v>
      </c>
      <c r="F232" t="str">
        <f t="shared" si="6"/>
        <v>CP328-P Tetanus Tox Standard</v>
      </c>
      <c r="G232">
        <f>VLOOKUP(DefaultCollections[[#This Row],[DEFAULT_COLL_TYPE]],CollectionLookups,3,FALSE)</f>
        <v>0</v>
      </c>
      <c r="H232" t="str">
        <f t="shared" si="7"/>
        <v>NO</v>
      </c>
    </row>
    <row r="233" spans="1:9" x14ac:dyDescent="0.25">
      <c r="A233" t="s">
        <v>788</v>
      </c>
      <c r="B233" t="s">
        <v>255</v>
      </c>
      <c r="C233" t="s">
        <v>789</v>
      </c>
      <c r="D233" t="s">
        <v>725</v>
      </c>
      <c r="E233" t="str">
        <f>VLOOKUP(DefaultCollections[[#This Row],[DEFAULT_COLL_TYPE]],CollectionLookups,2,FALSE)</f>
        <v>P Vaccinia Standard</v>
      </c>
      <c r="F233" t="str">
        <f t="shared" si="6"/>
        <v>CP328-P Vaccinia Standard</v>
      </c>
      <c r="G233">
        <f>VLOOKUP(DefaultCollections[[#This Row],[DEFAULT_COLL_TYPE]],CollectionLookups,3,FALSE)</f>
        <v>0</v>
      </c>
      <c r="H233" t="str">
        <f t="shared" si="7"/>
        <v>NO</v>
      </c>
    </row>
    <row r="234" spans="1:9" x14ac:dyDescent="0.25">
      <c r="A234" t="s">
        <v>788</v>
      </c>
      <c r="B234" t="s">
        <v>255</v>
      </c>
      <c r="C234" t="s">
        <v>789</v>
      </c>
      <c r="D234" t="s">
        <v>715</v>
      </c>
      <c r="E234" t="str">
        <f>VLOOKUP(DefaultCollections[[#This Row],[DEFAULT_COLL_TYPE]],CollectionLookups,2,FALSE)</f>
        <v>P VIP A Standard</v>
      </c>
      <c r="F234" t="str">
        <f t="shared" si="6"/>
        <v>NO</v>
      </c>
      <c r="G234" t="str">
        <f>VLOOKUP(DefaultCollections[[#This Row],[DEFAULT_COLL_TYPE]],CollectionLookups,3,FALSE)</f>
        <v>2X Week P VIP A</v>
      </c>
      <c r="H234" t="str">
        <f t="shared" si="7"/>
        <v>NO</v>
      </c>
    </row>
    <row r="235" spans="1:9" x14ac:dyDescent="0.25">
      <c r="A235" t="s">
        <v>788</v>
      </c>
      <c r="B235" t="s">
        <v>255</v>
      </c>
      <c r="C235" t="s">
        <v>789</v>
      </c>
      <c r="D235" t="s">
        <v>712</v>
      </c>
      <c r="E235" t="str">
        <f>VLOOKUP(DefaultCollections[[#This Row],[DEFAULT_COLL_TYPE]],CollectionLookups,2,FALSE)</f>
        <v>Whole Blood INJ</v>
      </c>
      <c r="F235" t="str">
        <f t="shared" si="6"/>
        <v>NO</v>
      </c>
      <c r="G235">
        <f>VLOOKUP(DefaultCollections[[#This Row],[DEFAULT_COLL_TYPE]],CollectionLookups,3,FALSE)</f>
        <v>0</v>
      </c>
      <c r="H235" t="str">
        <f t="shared" si="7"/>
        <v>NO</v>
      </c>
    </row>
    <row r="236" spans="1:9" x14ac:dyDescent="0.25">
      <c r="A236" t="s">
        <v>790</v>
      </c>
      <c r="B236" t="s">
        <v>72</v>
      </c>
      <c r="C236" t="s">
        <v>791</v>
      </c>
      <c r="D236" t="s">
        <v>694</v>
      </c>
      <c r="E236" t="str">
        <f>VLOOKUP(DefaultCollections[[#This Row],[DEFAULT_COLL_TYPE]],CollectionLookups,2,FALSE)</f>
        <v>P Anti-D Pre-Existing Standard</v>
      </c>
      <c r="F236" t="str">
        <f t="shared" si="6"/>
        <v>CP523-P Anti-D Pre-Existing Standard</v>
      </c>
      <c r="G236">
        <f>VLOOKUP(DefaultCollections[[#This Row],[DEFAULT_COLL_TYPE]],CollectionLookups,3,FALSE)</f>
        <v>0</v>
      </c>
      <c r="H236" t="str">
        <f t="shared" si="7"/>
        <v>NO</v>
      </c>
      <c r="I236" s="147"/>
    </row>
    <row r="237" spans="1:9" x14ac:dyDescent="0.25">
      <c r="A237" t="s">
        <v>790</v>
      </c>
      <c r="B237" t="s">
        <v>72</v>
      </c>
      <c r="C237" t="s">
        <v>791</v>
      </c>
      <c r="D237" t="s">
        <v>695</v>
      </c>
      <c r="E237" t="str">
        <f>VLOOKUP(DefaultCollections[[#This Row],[DEFAULT_COLL_TYPE]],CollectionLookups,2,FALSE)</f>
        <v>P HBS Pre-Existing Standard</v>
      </c>
      <c r="F237" t="str">
        <f t="shared" si="6"/>
        <v>CP523-P HBS Pre-Existing Standard</v>
      </c>
      <c r="G237" t="str">
        <f>VLOOKUP(DefaultCollections[[#This Row],[DEFAULT_COLL_TYPE]],CollectionLookups,3,FALSE)</f>
        <v>2X Week P HBS Pre-Existing</v>
      </c>
      <c r="H237" t="str">
        <f t="shared" si="7"/>
        <v>CP523-2X Week P HBS Pre-Existing</v>
      </c>
    </row>
    <row r="238" spans="1:9" x14ac:dyDescent="0.25">
      <c r="A238" t="s">
        <v>790</v>
      </c>
      <c r="B238" t="s">
        <v>72</v>
      </c>
      <c r="C238" t="s">
        <v>791</v>
      </c>
      <c r="D238" t="s">
        <v>696</v>
      </c>
      <c r="E238" t="str">
        <f>VLOOKUP(DefaultCollections[[#This Row],[DEFAULT_COLL_TYPE]],CollectionLookups,2,FALSE)</f>
        <v>P HBS TWINRIX Standard</v>
      </c>
      <c r="F238" t="str">
        <f t="shared" si="6"/>
        <v>CP523-P HBS TWINRIX Standard</v>
      </c>
      <c r="G238" t="str">
        <f>VLOOKUP(DefaultCollections[[#This Row],[DEFAULT_COLL_TYPE]],CollectionLookups,3,FALSE)</f>
        <v>2X Week P HBS TWINRX</v>
      </c>
      <c r="H238" t="str">
        <f t="shared" si="7"/>
        <v>CP523-2X Week P HBS TWINRX</v>
      </c>
    </row>
    <row r="239" spans="1:9" x14ac:dyDescent="0.25">
      <c r="A239" t="s">
        <v>790</v>
      </c>
      <c r="B239" t="s">
        <v>72</v>
      </c>
      <c r="C239" t="s">
        <v>791</v>
      </c>
      <c r="D239" t="s">
        <v>697</v>
      </c>
      <c r="E239" t="str">
        <f>VLOOKUP(DefaultCollections[[#This Row],[DEFAULT_COLL_TYPE]],CollectionLookups,2,FALSE)</f>
        <v>P HBS TWINRIX-AP Standard</v>
      </c>
      <c r="F239" t="str">
        <f t="shared" si="6"/>
        <v>CP523-P HBS TWINRIX-AP Standard</v>
      </c>
      <c r="G239" t="str">
        <f>VLOOKUP(DefaultCollections[[#This Row],[DEFAULT_COLL_TYPE]],CollectionLookups,3,FALSE)</f>
        <v>2X Week P HBS TWINRX-AP</v>
      </c>
      <c r="H239" t="str">
        <f t="shared" si="7"/>
        <v>CP523-2X Week P HBS TWINRX-AP</v>
      </c>
    </row>
    <row r="240" spans="1:9" x14ac:dyDescent="0.25">
      <c r="A240" t="s">
        <v>790</v>
      </c>
      <c r="B240" t="s">
        <v>72</v>
      </c>
      <c r="C240" t="s">
        <v>791</v>
      </c>
      <c r="D240" t="s">
        <v>698</v>
      </c>
      <c r="E240" t="str">
        <f>VLOOKUP(DefaultCollections[[#This Row],[DEFAULT_COLL_TYPE]],CollectionLookups,2,FALSE)</f>
        <v>P NSP NS Standard</v>
      </c>
      <c r="F240" t="str">
        <f t="shared" si="6"/>
        <v>CP523-P NSP NS Standard</v>
      </c>
      <c r="G240" t="str">
        <f>VLOOKUP(DefaultCollections[[#This Row],[DEFAULT_COLL_TYPE]],CollectionLookups,3,FALSE)</f>
        <v>2X Week P NSP NS</v>
      </c>
      <c r="H240" t="str">
        <f t="shared" si="7"/>
        <v>CP523-2X Week P NSP NS</v>
      </c>
    </row>
    <row r="241" spans="1:9" x14ac:dyDescent="0.25">
      <c r="A241" t="s">
        <v>790</v>
      </c>
      <c r="B241" t="s">
        <v>72</v>
      </c>
      <c r="C241" t="s">
        <v>791</v>
      </c>
      <c r="D241" t="s">
        <v>725</v>
      </c>
      <c r="E241" t="str">
        <f>VLOOKUP(DefaultCollections[[#This Row],[DEFAULT_COLL_TYPE]],CollectionLookups,2,FALSE)</f>
        <v>P Vaccinia Standard</v>
      </c>
      <c r="F241" t="str">
        <f t="shared" si="6"/>
        <v>CP523-P Vaccinia Standard</v>
      </c>
      <c r="G241">
        <f>VLOOKUP(DefaultCollections[[#This Row],[DEFAULT_COLL_TYPE]],CollectionLookups,3,FALSE)</f>
        <v>0</v>
      </c>
      <c r="H241" t="str">
        <f t="shared" si="7"/>
        <v>NO</v>
      </c>
      <c r="I241" s="147"/>
    </row>
    <row r="242" spans="1:9" x14ac:dyDescent="0.25">
      <c r="A242" t="s">
        <v>790</v>
      </c>
      <c r="B242" t="s">
        <v>72</v>
      </c>
      <c r="C242" t="s">
        <v>791</v>
      </c>
      <c r="D242" t="s">
        <v>719</v>
      </c>
      <c r="E242" t="str">
        <f>VLOOKUP(DefaultCollections[[#This Row],[DEFAULT_COLL_TYPE]],CollectionLookups,2,FALSE)</f>
        <v>PVZV Pre-Existing Standard</v>
      </c>
      <c r="F242" t="str">
        <f t="shared" si="6"/>
        <v>CP523-PVZV Pre-Existing Standard</v>
      </c>
      <c r="G242" t="str">
        <f>VLOOKUP(DefaultCollections[[#This Row],[DEFAULT_COLL_TYPE]],CollectionLookups,3,FALSE)</f>
        <v>2X Week P VZV Pre-Existing</v>
      </c>
      <c r="H242" t="str">
        <f t="shared" si="7"/>
        <v>CP523-2X Week P VZV Pre-Existing</v>
      </c>
    </row>
    <row r="243" spans="1:9" x14ac:dyDescent="0.25">
      <c r="A243" t="s">
        <v>790</v>
      </c>
      <c r="B243" t="s">
        <v>72</v>
      </c>
      <c r="C243" t="s">
        <v>791</v>
      </c>
      <c r="D243" t="s">
        <v>720</v>
      </c>
      <c r="E243" t="str">
        <f>VLOOKUP(DefaultCollections[[#This Row],[DEFAULT_COLL_TYPE]],CollectionLookups,2,FALSE)</f>
        <v>P VZV Pre-Existing AP</v>
      </c>
      <c r="F243" t="str">
        <f t="shared" si="6"/>
        <v>CP523-P VZV Pre-Existing AP</v>
      </c>
      <c r="G243" t="str">
        <f>VLOOKUP(DefaultCollections[[#This Row],[DEFAULT_COLL_TYPE]],CollectionLookups,3,FALSE)</f>
        <v>2X Week P VZV Pre-Existing AP</v>
      </c>
      <c r="H243" t="str">
        <f t="shared" si="7"/>
        <v>CP523-2X Week P VZV Pre-Existing AP</v>
      </c>
    </row>
    <row r="244" spans="1:9" x14ac:dyDescent="0.25">
      <c r="A244" t="s">
        <v>792</v>
      </c>
      <c r="B244" t="s">
        <v>80</v>
      </c>
      <c r="C244" t="s">
        <v>793</v>
      </c>
      <c r="D244" t="s">
        <v>694</v>
      </c>
      <c r="E244" t="str">
        <f>VLOOKUP(DefaultCollections[[#This Row],[DEFAULT_COLL_TYPE]],CollectionLookups,2,FALSE)</f>
        <v>P Anti-D Pre-Existing Standard</v>
      </c>
      <c r="F244" t="str">
        <f t="shared" si="6"/>
        <v>CP524-P Anti-D Pre-Existing Standard</v>
      </c>
      <c r="G244">
        <f>VLOOKUP(DefaultCollections[[#This Row],[DEFAULT_COLL_TYPE]],CollectionLookups,3,FALSE)</f>
        <v>0</v>
      </c>
      <c r="H244" t="str">
        <f t="shared" si="7"/>
        <v>NO</v>
      </c>
    </row>
    <row r="245" spans="1:9" x14ac:dyDescent="0.25">
      <c r="A245" t="s">
        <v>792</v>
      </c>
      <c r="B245" t="s">
        <v>80</v>
      </c>
      <c r="C245" t="s">
        <v>793</v>
      </c>
      <c r="D245" t="s">
        <v>695</v>
      </c>
      <c r="E245" t="str">
        <f>VLOOKUP(DefaultCollections[[#This Row],[DEFAULT_COLL_TYPE]],CollectionLookups,2,FALSE)</f>
        <v>P HBS Pre-Existing Standard</v>
      </c>
      <c r="F245" t="str">
        <f t="shared" si="6"/>
        <v>CP524-P HBS Pre-Existing Standard</v>
      </c>
      <c r="G245" t="str">
        <f>VLOOKUP(DefaultCollections[[#This Row],[DEFAULT_COLL_TYPE]],CollectionLookups,3,FALSE)</f>
        <v>2X Week P HBS Pre-Existing</v>
      </c>
      <c r="H245" t="str">
        <f t="shared" si="7"/>
        <v>CP524-2X Week P HBS Pre-Existing</v>
      </c>
    </row>
    <row r="246" spans="1:9" x14ac:dyDescent="0.25">
      <c r="A246" t="s">
        <v>792</v>
      </c>
      <c r="B246" t="s">
        <v>80</v>
      </c>
      <c r="C246" t="s">
        <v>793</v>
      </c>
      <c r="D246" t="s">
        <v>696</v>
      </c>
      <c r="E246" t="str">
        <f>VLOOKUP(DefaultCollections[[#This Row],[DEFAULT_COLL_TYPE]],CollectionLookups,2,FALSE)</f>
        <v>P HBS TWINRIX Standard</v>
      </c>
      <c r="F246" t="str">
        <f t="shared" si="6"/>
        <v>CP524-P HBS TWINRIX Standard</v>
      </c>
      <c r="G246" t="str">
        <f>VLOOKUP(DefaultCollections[[#This Row],[DEFAULT_COLL_TYPE]],CollectionLookups,3,FALSE)</f>
        <v>2X Week P HBS TWINRX</v>
      </c>
      <c r="H246" t="str">
        <f t="shared" si="7"/>
        <v>CP524-2X Week P HBS TWINRX</v>
      </c>
    </row>
    <row r="247" spans="1:9" x14ac:dyDescent="0.25">
      <c r="A247" t="s">
        <v>792</v>
      </c>
      <c r="B247" t="s">
        <v>80</v>
      </c>
      <c r="C247" t="s">
        <v>793</v>
      </c>
      <c r="D247" t="s">
        <v>697</v>
      </c>
      <c r="E247" t="str">
        <f>VLOOKUP(DefaultCollections[[#This Row],[DEFAULT_COLL_TYPE]],CollectionLookups,2,FALSE)</f>
        <v>P HBS TWINRIX-AP Standard</v>
      </c>
      <c r="F247" t="str">
        <f t="shared" si="6"/>
        <v>CP524-P HBS TWINRIX-AP Standard</v>
      </c>
      <c r="G247" t="str">
        <f>VLOOKUP(DefaultCollections[[#This Row],[DEFAULT_COLL_TYPE]],CollectionLookups,3,FALSE)</f>
        <v>2X Week P HBS TWINRX-AP</v>
      </c>
      <c r="H247" t="str">
        <f t="shared" si="7"/>
        <v>CP524-2X Week P HBS TWINRX-AP</v>
      </c>
    </row>
    <row r="248" spans="1:9" x14ac:dyDescent="0.25">
      <c r="A248" t="s">
        <v>792</v>
      </c>
      <c r="B248" t="s">
        <v>80</v>
      </c>
      <c r="C248" t="s">
        <v>793</v>
      </c>
      <c r="D248" t="s">
        <v>698</v>
      </c>
      <c r="E248" t="str">
        <f>VLOOKUP(DefaultCollections[[#This Row],[DEFAULT_COLL_TYPE]],CollectionLookups,2,FALSE)</f>
        <v>P NSP NS Standard</v>
      </c>
      <c r="F248" t="str">
        <f t="shared" si="6"/>
        <v>CP524-P NSP NS Standard</v>
      </c>
      <c r="G248" t="str">
        <f>VLOOKUP(DefaultCollections[[#This Row],[DEFAULT_COLL_TYPE]],CollectionLookups,3,FALSE)</f>
        <v>2X Week P NSP NS</v>
      </c>
      <c r="H248" t="str">
        <f t="shared" si="7"/>
        <v>CP524-2X Week P NSP NS</v>
      </c>
    </row>
    <row r="249" spans="1:9" x14ac:dyDescent="0.25">
      <c r="A249" t="s">
        <v>792</v>
      </c>
      <c r="B249" t="s">
        <v>80</v>
      </c>
      <c r="C249" t="s">
        <v>793</v>
      </c>
      <c r="D249" t="s">
        <v>725</v>
      </c>
      <c r="E249" t="str">
        <f>VLOOKUP(DefaultCollections[[#This Row],[DEFAULT_COLL_TYPE]],CollectionLookups,2,FALSE)</f>
        <v>P Vaccinia Standard</v>
      </c>
      <c r="F249" t="str">
        <f t="shared" si="6"/>
        <v>CP524-P Vaccinia Standard</v>
      </c>
      <c r="G249">
        <f>VLOOKUP(DefaultCollections[[#This Row],[DEFAULT_COLL_TYPE]],CollectionLookups,3,FALSE)</f>
        <v>0</v>
      </c>
      <c r="H249" t="str">
        <f t="shared" si="7"/>
        <v>NO</v>
      </c>
    </row>
    <row r="250" spans="1:9" x14ac:dyDescent="0.25">
      <c r="A250" t="s">
        <v>792</v>
      </c>
      <c r="B250" t="s">
        <v>80</v>
      </c>
      <c r="C250" t="s">
        <v>793</v>
      </c>
      <c r="D250" t="s">
        <v>719</v>
      </c>
      <c r="E250" t="str">
        <f>VLOOKUP(DefaultCollections[[#This Row],[DEFAULT_COLL_TYPE]],CollectionLookups,2,FALSE)</f>
        <v>PVZV Pre-Existing Standard</v>
      </c>
      <c r="F250" t="str">
        <f t="shared" si="6"/>
        <v>CP524-PVZV Pre-Existing Standard</v>
      </c>
      <c r="G250" t="str">
        <f>VLOOKUP(DefaultCollections[[#This Row],[DEFAULT_COLL_TYPE]],CollectionLookups,3,FALSE)</f>
        <v>2X Week P VZV Pre-Existing</v>
      </c>
      <c r="H250" t="str">
        <f t="shared" si="7"/>
        <v>CP524-2X Week P VZV Pre-Existing</v>
      </c>
    </row>
    <row r="251" spans="1:9" x14ac:dyDescent="0.25">
      <c r="A251" t="s">
        <v>792</v>
      </c>
      <c r="B251" t="s">
        <v>80</v>
      </c>
      <c r="C251" t="s">
        <v>793</v>
      </c>
      <c r="D251" t="s">
        <v>720</v>
      </c>
      <c r="E251" t="str">
        <f>VLOOKUP(DefaultCollections[[#This Row],[DEFAULT_COLL_TYPE]],CollectionLookups,2,FALSE)</f>
        <v>P VZV Pre-Existing AP</v>
      </c>
      <c r="F251" t="str">
        <f t="shared" si="6"/>
        <v>CP524-P VZV Pre-Existing AP</v>
      </c>
      <c r="G251" t="str">
        <f>VLOOKUP(DefaultCollections[[#This Row],[DEFAULT_COLL_TYPE]],CollectionLookups,3,FALSE)</f>
        <v>2X Week P VZV Pre-Existing AP</v>
      </c>
      <c r="H251" t="str">
        <f t="shared" si="7"/>
        <v>CP524-2X Week P VZV Pre-Existing AP</v>
      </c>
    </row>
    <row r="252" spans="1:9" x14ac:dyDescent="0.25">
      <c r="A252" t="s">
        <v>794</v>
      </c>
      <c r="B252" t="s">
        <v>21</v>
      </c>
      <c r="C252" t="s">
        <v>795</v>
      </c>
      <c r="D252" t="s">
        <v>757</v>
      </c>
      <c r="E252">
        <f>VLOOKUP(DefaultCollections[[#This Row],[DEFAULT_COLL_TYPE]],CollectionLookups,2,FALSE)</f>
        <v>0</v>
      </c>
      <c r="F252" t="str">
        <f t="shared" si="6"/>
        <v>NO</v>
      </c>
      <c r="G252">
        <f>VLOOKUP(DefaultCollections[[#This Row],[DEFAULT_COLL_TYPE]],CollectionLookups,3,FALSE)</f>
        <v>0</v>
      </c>
      <c r="H252" t="str">
        <f t="shared" si="7"/>
        <v>NO</v>
      </c>
    </row>
    <row r="253" spans="1:9" x14ac:dyDescent="0.25">
      <c r="A253" t="s">
        <v>794</v>
      </c>
      <c r="B253" t="s">
        <v>21</v>
      </c>
      <c r="C253" t="s">
        <v>795</v>
      </c>
      <c r="D253" t="s">
        <v>694</v>
      </c>
      <c r="E253" t="str">
        <f>VLOOKUP(DefaultCollections[[#This Row],[DEFAULT_COLL_TYPE]],CollectionLookups,2,FALSE)</f>
        <v>P Anti-D Pre-Existing Standard</v>
      </c>
      <c r="F253" t="str">
        <f t="shared" si="6"/>
        <v>CP525-P Anti-D Pre-Existing Standard</v>
      </c>
      <c r="G253">
        <f>VLOOKUP(DefaultCollections[[#This Row],[DEFAULT_COLL_TYPE]],CollectionLookups,3,FALSE)</f>
        <v>0</v>
      </c>
      <c r="H253" t="str">
        <f t="shared" si="7"/>
        <v>NO</v>
      </c>
    </row>
    <row r="254" spans="1:9" x14ac:dyDescent="0.25">
      <c r="A254" t="s">
        <v>794</v>
      </c>
      <c r="B254" t="s">
        <v>21</v>
      </c>
      <c r="C254" t="s">
        <v>795</v>
      </c>
      <c r="D254" t="s">
        <v>695</v>
      </c>
      <c r="E254" t="str">
        <f>VLOOKUP(DefaultCollections[[#This Row],[DEFAULT_COLL_TYPE]],CollectionLookups,2,FALSE)</f>
        <v>P HBS Pre-Existing Standard</v>
      </c>
      <c r="F254" t="str">
        <f t="shared" si="6"/>
        <v>CP525-P HBS Pre-Existing Standard</v>
      </c>
      <c r="G254" t="str">
        <f>VLOOKUP(DefaultCollections[[#This Row],[DEFAULT_COLL_TYPE]],CollectionLookups,3,FALSE)</f>
        <v>2X Week P HBS Pre-Existing</v>
      </c>
      <c r="H254" t="str">
        <f t="shared" si="7"/>
        <v>NO</v>
      </c>
    </row>
    <row r="255" spans="1:9" x14ac:dyDescent="0.25">
      <c r="A255" t="s">
        <v>794</v>
      </c>
      <c r="B255" t="s">
        <v>21</v>
      </c>
      <c r="C255" t="s">
        <v>795</v>
      </c>
      <c r="D255" t="s">
        <v>696</v>
      </c>
      <c r="E255" t="str">
        <f>VLOOKUP(DefaultCollections[[#This Row],[DEFAULT_COLL_TYPE]],CollectionLookups,2,FALSE)</f>
        <v>P HBS TWINRIX Standard</v>
      </c>
      <c r="F255" t="str">
        <f t="shared" si="6"/>
        <v>CP525-P HBS TWINRIX Standard</v>
      </c>
      <c r="G255" t="str">
        <f>VLOOKUP(DefaultCollections[[#This Row],[DEFAULT_COLL_TYPE]],CollectionLookups,3,FALSE)</f>
        <v>2X Week P HBS TWINRX</v>
      </c>
      <c r="H255" t="str">
        <f t="shared" si="7"/>
        <v>NO</v>
      </c>
      <c r="I255" s="147"/>
    </row>
    <row r="256" spans="1:9" x14ac:dyDescent="0.25">
      <c r="A256" t="s">
        <v>794</v>
      </c>
      <c r="B256" t="s">
        <v>21</v>
      </c>
      <c r="C256" t="s">
        <v>795</v>
      </c>
      <c r="D256" t="s">
        <v>697</v>
      </c>
      <c r="E256" t="str">
        <f>VLOOKUP(DefaultCollections[[#This Row],[DEFAULT_COLL_TYPE]],CollectionLookups,2,FALSE)</f>
        <v>P HBS TWINRIX-AP Standard</v>
      </c>
      <c r="F256" t="str">
        <f t="shared" si="6"/>
        <v>CP525-P HBS TWINRIX-AP Standard</v>
      </c>
      <c r="G256" t="str">
        <f>VLOOKUP(DefaultCollections[[#This Row],[DEFAULT_COLL_TYPE]],CollectionLookups,3,FALSE)</f>
        <v>2X Week P HBS TWINRX-AP</v>
      </c>
      <c r="H256" t="str">
        <f t="shared" si="7"/>
        <v>NO</v>
      </c>
    </row>
    <row r="257" spans="1:9" x14ac:dyDescent="0.25">
      <c r="A257" t="s">
        <v>794</v>
      </c>
      <c r="B257" t="s">
        <v>21</v>
      </c>
      <c r="C257" t="s">
        <v>795</v>
      </c>
      <c r="D257" t="s">
        <v>698</v>
      </c>
      <c r="E257" t="str">
        <f>VLOOKUP(DefaultCollections[[#This Row],[DEFAULT_COLL_TYPE]],CollectionLookups,2,FALSE)</f>
        <v>P NSP NS Standard</v>
      </c>
      <c r="F257" t="str">
        <f t="shared" si="6"/>
        <v>CP525-P NSP NS Standard</v>
      </c>
      <c r="G257" t="str">
        <f>VLOOKUP(DefaultCollections[[#This Row],[DEFAULT_COLL_TYPE]],CollectionLookups,3,FALSE)</f>
        <v>2X Week P NSP NS</v>
      </c>
      <c r="H257" t="str">
        <f t="shared" si="7"/>
        <v>CP525-2X Week P NSP NS</v>
      </c>
    </row>
    <row r="258" spans="1:9" x14ac:dyDescent="0.25">
      <c r="A258" t="s">
        <v>794</v>
      </c>
      <c r="B258" t="s">
        <v>21</v>
      </c>
      <c r="C258" t="s">
        <v>795</v>
      </c>
      <c r="D258" t="s">
        <v>725</v>
      </c>
      <c r="E258" t="str">
        <f>VLOOKUP(DefaultCollections[[#This Row],[DEFAULT_COLL_TYPE]],CollectionLookups,2,FALSE)</f>
        <v>P Vaccinia Standard</v>
      </c>
      <c r="F258" t="str">
        <f t="shared" ref="F258:F321" si="8">IFERROR(VLOOKUP(B258&amp;"-"&amp;E258,NLCollectionsLookup,1,FALSE),"NO")</f>
        <v>CP525-P Vaccinia Standard</v>
      </c>
      <c r="G258">
        <f>VLOOKUP(DefaultCollections[[#This Row],[DEFAULT_COLL_TYPE]],CollectionLookups,3,FALSE)</f>
        <v>0</v>
      </c>
      <c r="H258" t="str">
        <f t="shared" ref="H258:H321" si="9">IFERROR(VLOOKUP(B258&amp;"-"&amp;G258,NLCollectionsLookup,1,FALSE),"NO")</f>
        <v>NO</v>
      </c>
    </row>
    <row r="259" spans="1:9" x14ac:dyDescent="0.25">
      <c r="A259" t="s">
        <v>794</v>
      </c>
      <c r="B259" t="s">
        <v>21</v>
      </c>
      <c r="C259" t="s">
        <v>795</v>
      </c>
      <c r="D259" t="s">
        <v>719</v>
      </c>
      <c r="E259" t="str">
        <f>VLOOKUP(DefaultCollections[[#This Row],[DEFAULT_COLL_TYPE]],CollectionLookups,2,FALSE)</f>
        <v>PVZV Pre-Existing Standard</v>
      </c>
      <c r="F259" t="str">
        <f t="shared" si="8"/>
        <v>CP525-PVZV Pre-Existing Standard</v>
      </c>
      <c r="G259" t="str">
        <f>VLOOKUP(DefaultCollections[[#This Row],[DEFAULT_COLL_TYPE]],CollectionLookups,3,FALSE)</f>
        <v>2X Week P VZV Pre-Existing</v>
      </c>
      <c r="H259" t="str">
        <f t="shared" si="9"/>
        <v>CP525-2X Week P VZV Pre-Existing</v>
      </c>
    </row>
    <row r="260" spans="1:9" x14ac:dyDescent="0.25">
      <c r="A260" t="s">
        <v>794</v>
      </c>
      <c r="B260" t="s">
        <v>21</v>
      </c>
      <c r="C260" t="s">
        <v>795</v>
      </c>
      <c r="D260" t="s">
        <v>720</v>
      </c>
      <c r="E260" t="str">
        <f>VLOOKUP(DefaultCollections[[#This Row],[DEFAULT_COLL_TYPE]],CollectionLookups,2,FALSE)</f>
        <v>P VZV Pre-Existing AP</v>
      </c>
      <c r="F260" t="str">
        <f t="shared" si="8"/>
        <v>CP525-P VZV Pre-Existing AP</v>
      </c>
      <c r="G260" t="str">
        <f>VLOOKUP(DefaultCollections[[#This Row],[DEFAULT_COLL_TYPE]],CollectionLookups,3,FALSE)</f>
        <v>2X Week P VZV Pre-Existing AP</v>
      </c>
      <c r="H260" t="str">
        <f t="shared" si="9"/>
        <v>CP525-2X Week P VZV Pre-Existing AP</v>
      </c>
    </row>
    <row r="261" spans="1:9" x14ac:dyDescent="0.25">
      <c r="A261" t="s">
        <v>796</v>
      </c>
      <c r="B261" t="s">
        <v>139</v>
      </c>
      <c r="C261" t="s">
        <v>797</v>
      </c>
      <c r="D261" t="s">
        <v>694</v>
      </c>
      <c r="E261" t="str">
        <f>VLOOKUP(DefaultCollections[[#This Row],[DEFAULT_COLL_TYPE]],CollectionLookups,2,FALSE)</f>
        <v>P Anti-D Pre-Existing Standard</v>
      </c>
      <c r="F261" t="str">
        <f t="shared" si="8"/>
        <v>CP526-P Anti-D Pre-Existing Standard</v>
      </c>
      <c r="G261">
        <f>VLOOKUP(DefaultCollections[[#This Row],[DEFAULT_COLL_TYPE]],CollectionLookups,3,FALSE)</f>
        <v>0</v>
      </c>
      <c r="H261" t="str">
        <f t="shared" si="9"/>
        <v>NO</v>
      </c>
      <c r="I261" s="147"/>
    </row>
    <row r="262" spans="1:9" x14ac:dyDescent="0.25">
      <c r="A262" t="s">
        <v>796</v>
      </c>
      <c r="B262" t="s">
        <v>139</v>
      </c>
      <c r="C262" t="s">
        <v>797</v>
      </c>
      <c r="D262" t="s">
        <v>698</v>
      </c>
      <c r="E262" t="str">
        <f>VLOOKUP(DefaultCollections[[#This Row],[DEFAULT_COLL_TYPE]],CollectionLookups,2,FALSE)</f>
        <v>P NSP NS Standard</v>
      </c>
      <c r="F262" t="str">
        <f t="shared" si="8"/>
        <v>CP526-P NSP NS Standard</v>
      </c>
      <c r="G262" t="str">
        <f>VLOOKUP(DefaultCollections[[#This Row],[DEFAULT_COLL_TYPE]],CollectionLookups,3,FALSE)</f>
        <v>2X Week P NSP NS</v>
      </c>
      <c r="H262" t="str">
        <f t="shared" si="9"/>
        <v>CP526-2X Week P NSP NS</v>
      </c>
    </row>
    <row r="263" spans="1:9" x14ac:dyDescent="0.25">
      <c r="A263" t="s">
        <v>796</v>
      </c>
      <c r="B263" t="s">
        <v>139</v>
      </c>
      <c r="C263" t="s">
        <v>797</v>
      </c>
      <c r="D263" t="s">
        <v>725</v>
      </c>
      <c r="E263" t="str">
        <f>VLOOKUP(DefaultCollections[[#This Row],[DEFAULT_COLL_TYPE]],CollectionLookups,2,FALSE)</f>
        <v>P Vaccinia Standard</v>
      </c>
      <c r="F263" t="str">
        <f t="shared" si="8"/>
        <v>CP526-P Vaccinia Standard</v>
      </c>
      <c r="G263">
        <f>VLOOKUP(DefaultCollections[[#This Row],[DEFAULT_COLL_TYPE]],CollectionLookups,3,FALSE)</f>
        <v>0</v>
      </c>
      <c r="H263" t="str">
        <f t="shared" si="9"/>
        <v>NO</v>
      </c>
    </row>
    <row r="264" spans="1:9" x14ac:dyDescent="0.25">
      <c r="A264" t="s">
        <v>796</v>
      </c>
      <c r="B264" t="s">
        <v>139</v>
      </c>
      <c r="C264" t="s">
        <v>797</v>
      </c>
      <c r="D264" t="s">
        <v>719</v>
      </c>
      <c r="E264" t="str">
        <f>VLOOKUP(DefaultCollections[[#This Row],[DEFAULT_COLL_TYPE]],CollectionLookups,2,FALSE)</f>
        <v>PVZV Pre-Existing Standard</v>
      </c>
      <c r="F264" t="str">
        <f t="shared" si="8"/>
        <v>CP526-PVZV Pre-Existing Standard</v>
      </c>
      <c r="G264" t="str">
        <f>VLOOKUP(DefaultCollections[[#This Row],[DEFAULT_COLL_TYPE]],CollectionLookups,3,FALSE)</f>
        <v>2X Week P VZV Pre-Existing</v>
      </c>
      <c r="H264" t="str">
        <f t="shared" si="9"/>
        <v>CP526-2X Week P VZV Pre-Existing</v>
      </c>
    </row>
    <row r="265" spans="1:9" x14ac:dyDescent="0.25">
      <c r="A265" t="s">
        <v>796</v>
      </c>
      <c r="B265" t="s">
        <v>139</v>
      </c>
      <c r="C265" t="s">
        <v>797</v>
      </c>
      <c r="D265" t="s">
        <v>720</v>
      </c>
      <c r="E265" t="str">
        <f>VLOOKUP(DefaultCollections[[#This Row],[DEFAULT_COLL_TYPE]],CollectionLookups,2,FALSE)</f>
        <v>P VZV Pre-Existing AP</v>
      </c>
      <c r="F265" t="str">
        <f t="shared" si="8"/>
        <v>CP526-P VZV Pre-Existing AP</v>
      </c>
      <c r="G265" t="str">
        <f>VLOOKUP(DefaultCollections[[#This Row],[DEFAULT_COLL_TYPE]],CollectionLookups,3,FALSE)</f>
        <v>2X Week P VZV Pre-Existing AP</v>
      </c>
      <c r="H265" t="str">
        <f t="shared" si="9"/>
        <v>CP526-2X Week P VZV Pre-Existing AP</v>
      </c>
    </row>
    <row r="266" spans="1:9" x14ac:dyDescent="0.25">
      <c r="A266" t="s">
        <v>798</v>
      </c>
      <c r="B266" t="s">
        <v>109</v>
      </c>
      <c r="C266" t="s">
        <v>799</v>
      </c>
      <c r="D266" t="s">
        <v>694</v>
      </c>
      <c r="E266" t="str">
        <f>VLOOKUP(DefaultCollections[[#This Row],[DEFAULT_COLL_TYPE]],CollectionLookups,2,FALSE)</f>
        <v>P Anti-D Pre-Existing Standard</v>
      </c>
      <c r="F266" t="str">
        <f t="shared" si="8"/>
        <v>CP527-P Anti-D Pre-Existing Standard</v>
      </c>
      <c r="G266">
        <f>VLOOKUP(DefaultCollections[[#This Row],[DEFAULT_COLL_TYPE]],CollectionLookups,3,FALSE)</f>
        <v>0</v>
      </c>
      <c r="H266" t="str">
        <f t="shared" si="9"/>
        <v>NO</v>
      </c>
    </row>
    <row r="267" spans="1:9" x14ac:dyDescent="0.25">
      <c r="A267" t="s">
        <v>798</v>
      </c>
      <c r="B267" t="s">
        <v>109</v>
      </c>
      <c r="C267" t="s">
        <v>799</v>
      </c>
      <c r="D267" t="s">
        <v>698</v>
      </c>
      <c r="E267" t="str">
        <f>VLOOKUP(DefaultCollections[[#This Row],[DEFAULT_COLL_TYPE]],CollectionLookups,2,FALSE)</f>
        <v>P NSP NS Standard</v>
      </c>
      <c r="F267" t="str">
        <f t="shared" si="8"/>
        <v>CP527-P NSP NS Standard</v>
      </c>
      <c r="G267" t="str">
        <f>VLOOKUP(DefaultCollections[[#This Row],[DEFAULT_COLL_TYPE]],CollectionLookups,3,FALSE)</f>
        <v>2X Week P NSP NS</v>
      </c>
      <c r="H267" t="str">
        <f t="shared" si="9"/>
        <v>CP527-2X Week P NSP NS</v>
      </c>
    </row>
    <row r="268" spans="1:9" x14ac:dyDescent="0.25">
      <c r="A268" t="s">
        <v>800</v>
      </c>
      <c r="B268" t="s">
        <v>107</v>
      </c>
      <c r="C268" t="s">
        <v>801</v>
      </c>
      <c r="D268" t="s">
        <v>694</v>
      </c>
      <c r="E268" t="str">
        <f>VLOOKUP(DefaultCollections[[#This Row],[DEFAULT_COLL_TYPE]],CollectionLookups,2,FALSE)</f>
        <v>P Anti-D Pre-Existing Standard</v>
      </c>
      <c r="F268" t="str">
        <f t="shared" si="8"/>
        <v>CP528-P Anti-D Pre-Existing Standard</v>
      </c>
      <c r="G268">
        <f>VLOOKUP(DefaultCollections[[#This Row],[DEFAULT_COLL_TYPE]],CollectionLookups,3,FALSE)</f>
        <v>0</v>
      </c>
      <c r="H268" t="str">
        <f t="shared" si="9"/>
        <v>NO</v>
      </c>
    </row>
    <row r="269" spans="1:9" x14ac:dyDescent="0.25">
      <c r="A269" t="s">
        <v>800</v>
      </c>
      <c r="B269" t="s">
        <v>107</v>
      </c>
      <c r="C269" t="s">
        <v>801</v>
      </c>
      <c r="D269" t="s">
        <v>698</v>
      </c>
      <c r="E269" t="str">
        <f>VLOOKUP(DefaultCollections[[#This Row],[DEFAULT_COLL_TYPE]],CollectionLookups,2,FALSE)</f>
        <v>P NSP NS Standard</v>
      </c>
      <c r="F269" t="str">
        <f t="shared" si="8"/>
        <v>CP528-P NSP NS Standard</v>
      </c>
      <c r="G269" t="str">
        <f>VLOOKUP(DefaultCollections[[#This Row],[DEFAULT_COLL_TYPE]],CollectionLookups,3,FALSE)</f>
        <v>2X Week P NSP NS</v>
      </c>
      <c r="H269" t="str">
        <f t="shared" si="9"/>
        <v>CP528-2X Week P NSP NS</v>
      </c>
    </row>
    <row r="270" spans="1:9" x14ac:dyDescent="0.25">
      <c r="A270" t="s">
        <v>802</v>
      </c>
      <c r="B270" t="s">
        <v>54</v>
      </c>
      <c r="C270" t="s">
        <v>803</v>
      </c>
      <c r="D270" t="s">
        <v>694</v>
      </c>
      <c r="E270" t="str">
        <f>VLOOKUP(DefaultCollections[[#This Row],[DEFAULT_COLL_TYPE]],CollectionLookups,2,FALSE)</f>
        <v>P Anti-D Pre-Existing Standard</v>
      </c>
      <c r="F270" t="str">
        <f t="shared" si="8"/>
        <v>CP529-P Anti-D Pre-Existing Standard</v>
      </c>
      <c r="G270">
        <f>VLOOKUP(DefaultCollections[[#This Row],[DEFAULT_COLL_TYPE]],CollectionLookups,3,FALSE)</f>
        <v>0</v>
      </c>
      <c r="H270" t="str">
        <f t="shared" si="9"/>
        <v>NO</v>
      </c>
    </row>
    <row r="271" spans="1:9" x14ac:dyDescent="0.25">
      <c r="A271" t="s">
        <v>802</v>
      </c>
      <c r="B271" t="s">
        <v>54</v>
      </c>
      <c r="C271" t="s">
        <v>803</v>
      </c>
      <c r="D271" t="s">
        <v>698</v>
      </c>
      <c r="E271" t="str">
        <f>VLOOKUP(DefaultCollections[[#This Row],[DEFAULT_COLL_TYPE]],CollectionLookups,2,FALSE)</f>
        <v>P NSP NS Standard</v>
      </c>
      <c r="F271" t="str">
        <f t="shared" si="8"/>
        <v>CP529-P NSP NS Standard</v>
      </c>
      <c r="G271" t="str">
        <f>VLOOKUP(DefaultCollections[[#This Row],[DEFAULT_COLL_TYPE]],CollectionLookups,3,FALSE)</f>
        <v>2X Week P NSP NS</v>
      </c>
      <c r="H271" t="str">
        <f t="shared" si="9"/>
        <v>CP529-2X Week P NSP NS</v>
      </c>
    </row>
    <row r="272" spans="1:9" x14ac:dyDescent="0.25">
      <c r="A272" t="s">
        <v>804</v>
      </c>
      <c r="B272" t="s">
        <v>158</v>
      </c>
      <c r="C272" t="s">
        <v>805</v>
      </c>
      <c r="D272" t="s">
        <v>694</v>
      </c>
      <c r="E272" t="str">
        <f>VLOOKUP(DefaultCollections[[#This Row],[DEFAULT_COLL_TYPE]],CollectionLookups,2,FALSE)</f>
        <v>P Anti-D Pre-Existing Standard</v>
      </c>
      <c r="F272" t="str">
        <f t="shared" si="8"/>
        <v>CP530-P Anti-D Pre-Existing Standard</v>
      </c>
      <c r="G272">
        <f>VLOOKUP(DefaultCollections[[#This Row],[DEFAULT_COLL_TYPE]],CollectionLookups,3,FALSE)</f>
        <v>0</v>
      </c>
      <c r="H272" t="str">
        <f t="shared" si="9"/>
        <v>NO</v>
      </c>
    </row>
    <row r="273" spans="1:9" x14ac:dyDescent="0.25">
      <c r="A273" t="s">
        <v>804</v>
      </c>
      <c r="B273" t="s">
        <v>158</v>
      </c>
      <c r="C273" t="s">
        <v>805</v>
      </c>
      <c r="D273" t="s">
        <v>698</v>
      </c>
      <c r="E273" t="str">
        <f>VLOOKUP(DefaultCollections[[#This Row],[DEFAULT_COLL_TYPE]],CollectionLookups,2,FALSE)</f>
        <v>P NSP NS Standard</v>
      </c>
      <c r="F273" t="str">
        <f t="shared" si="8"/>
        <v>CP530-P NSP NS Standard</v>
      </c>
      <c r="G273" t="str">
        <f>VLOOKUP(DefaultCollections[[#This Row],[DEFAULT_COLL_TYPE]],CollectionLookups,3,FALSE)</f>
        <v>2X Week P NSP NS</v>
      </c>
      <c r="H273" t="str">
        <f t="shared" si="9"/>
        <v>CP530-2X Week P NSP NS</v>
      </c>
    </row>
    <row r="274" spans="1:9" x14ac:dyDescent="0.25">
      <c r="A274" t="s">
        <v>806</v>
      </c>
      <c r="B274" t="s">
        <v>308</v>
      </c>
      <c r="C274" t="s">
        <v>807</v>
      </c>
      <c r="D274" t="s">
        <v>694</v>
      </c>
      <c r="E274" t="str">
        <f>VLOOKUP(DefaultCollections[[#This Row],[DEFAULT_COLL_TYPE]],CollectionLookups,2,FALSE)</f>
        <v>P Anti-D Pre-Existing Standard</v>
      </c>
      <c r="F274" t="str">
        <f t="shared" si="8"/>
        <v>CP534-P Anti-D Pre-Existing Standard</v>
      </c>
      <c r="G274">
        <f>VLOOKUP(DefaultCollections[[#This Row],[DEFAULT_COLL_TYPE]],CollectionLookups,3,FALSE)</f>
        <v>0</v>
      </c>
      <c r="H274" t="str">
        <f t="shared" si="9"/>
        <v>NO</v>
      </c>
    </row>
    <row r="275" spans="1:9" x14ac:dyDescent="0.25">
      <c r="A275" t="s">
        <v>806</v>
      </c>
      <c r="B275" t="s">
        <v>308</v>
      </c>
      <c r="C275" t="s">
        <v>807</v>
      </c>
      <c r="D275" t="s">
        <v>698</v>
      </c>
      <c r="E275" t="str">
        <f>VLOOKUP(DefaultCollections[[#This Row],[DEFAULT_COLL_TYPE]],CollectionLookups,2,FALSE)</f>
        <v>P NSP NS Standard</v>
      </c>
      <c r="F275" t="str">
        <f t="shared" si="8"/>
        <v>CP534-P NSP NS Standard</v>
      </c>
      <c r="G275" t="str">
        <f>VLOOKUP(DefaultCollections[[#This Row],[DEFAULT_COLL_TYPE]],CollectionLookups,3,FALSE)</f>
        <v>2X Week P NSP NS</v>
      </c>
      <c r="H275" t="str">
        <f t="shared" si="9"/>
        <v>CP534-2X Week P NSP NS</v>
      </c>
    </row>
    <row r="276" spans="1:9" x14ac:dyDescent="0.25">
      <c r="A276" t="s">
        <v>808</v>
      </c>
      <c r="B276" t="s">
        <v>165</v>
      </c>
      <c r="C276" t="s">
        <v>809</v>
      </c>
      <c r="D276" t="s">
        <v>694</v>
      </c>
      <c r="E276" t="str">
        <f>VLOOKUP(DefaultCollections[[#This Row],[DEFAULT_COLL_TYPE]],CollectionLookups,2,FALSE)</f>
        <v>P Anti-D Pre-Existing Standard</v>
      </c>
      <c r="F276" t="str">
        <f t="shared" si="8"/>
        <v>CP570-P Anti-D Pre-Existing Standard</v>
      </c>
      <c r="G276">
        <f>VLOOKUP(DefaultCollections[[#This Row],[DEFAULT_COLL_TYPE]],CollectionLookups,3,FALSE)</f>
        <v>0</v>
      </c>
      <c r="H276" t="str">
        <f t="shared" si="9"/>
        <v>NO</v>
      </c>
    </row>
    <row r="277" spans="1:9" x14ac:dyDescent="0.25">
      <c r="A277" t="s">
        <v>808</v>
      </c>
      <c r="B277" t="s">
        <v>165</v>
      </c>
      <c r="C277" t="s">
        <v>809</v>
      </c>
      <c r="D277" t="s">
        <v>698</v>
      </c>
      <c r="E277" t="str">
        <f>VLOOKUP(DefaultCollections[[#This Row],[DEFAULT_COLL_TYPE]],CollectionLookups,2,FALSE)</f>
        <v>P NSP NS Standard</v>
      </c>
      <c r="F277" t="str">
        <f t="shared" si="8"/>
        <v>CP570-P NSP NS Standard</v>
      </c>
      <c r="G277" t="str">
        <f>VLOOKUP(DefaultCollections[[#This Row],[DEFAULT_COLL_TYPE]],CollectionLookups,3,FALSE)</f>
        <v>2X Week P NSP NS</v>
      </c>
      <c r="H277" t="str">
        <f t="shared" si="9"/>
        <v>CP570-2X Week P NSP NS</v>
      </c>
    </row>
    <row r="278" spans="1:9" x14ac:dyDescent="0.25">
      <c r="A278" t="s">
        <v>810</v>
      </c>
      <c r="B278" t="s">
        <v>319</v>
      </c>
      <c r="C278" t="s">
        <v>811</v>
      </c>
      <c r="D278" t="s">
        <v>694</v>
      </c>
      <c r="E278" t="str">
        <f>VLOOKUP(DefaultCollections[[#This Row],[DEFAULT_COLL_TYPE]],CollectionLookups,2,FALSE)</f>
        <v>P Anti-D Pre-Existing Standard</v>
      </c>
      <c r="F278" t="str">
        <f t="shared" si="8"/>
        <v>CP573-P Anti-D Pre-Existing Standard</v>
      </c>
      <c r="G278">
        <f>VLOOKUP(DefaultCollections[[#This Row],[DEFAULT_COLL_TYPE]],CollectionLookups,3,FALSE)</f>
        <v>0</v>
      </c>
      <c r="H278" t="str">
        <f t="shared" si="9"/>
        <v>NO</v>
      </c>
    </row>
    <row r="279" spans="1:9" x14ac:dyDescent="0.25">
      <c r="A279" t="s">
        <v>810</v>
      </c>
      <c r="B279" t="s">
        <v>319</v>
      </c>
      <c r="C279" t="s">
        <v>811</v>
      </c>
      <c r="D279" t="s">
        <v>698</v>
      </c>
      <c r="E279" t="str">
        <f>VLOOKUP(DefaultCollections[[#This Row],[DEFAULT_COLL_TYPE]],CollectionLookups,2,FALSE)</f>
        <v>P NSP NS Standard</v>
      </c>
      <c r="F279" t="str">
        <f t="shared" si="8"/>
        <v>CP573-P NSP NS Standard</v>
      </c>
      <c r="G279" t="str">
        <f>VLOOKUP(DefaultCollections[[#This Row],[DEFAULT_COLL_TYPE]],CollectionLookups,3,FALSE)</f>
        <v>2X Week P NSP NS</v>
      </c>
      <c r="H279" t="str">
        <f t="shared" si="9"/>
        <v>CP573-2X Week P NSP NS</v>
      </c>
      <c r="I279" s="147"/>
    </row>
    <row r="280" spans="1:9" x14ac:dyDescent="0.25">
      <c r="A280" t="s">
        <v>812</v>
      </c>
      <c r="B280" t="s">
        <v>432</v>
      </c>
      <c r="C280" t="s">
        <v>813</v>
      </c>
      <c r="D280" t="s">
        <v>694</v>
      </c>
      <c r="E280" t="str">
        <f>VLOOKUP(DefaultCollections[[#This Row],[DEFAULT_COLL_TYPE]],CollectionLookups,2,FALSE)</f>
        <v>P Anti-D Pre-Existing Standard</v>
      </c>
      <c r="F280" t="str">
        <f t="shared" si="8"/>
        <v>CP574-P Anti-D Pre-Existing Standard</v>
      </c>
      <c r="G280">
        <f>VLOOKUP(DefaultCollections[[#This Row],[DEFAULT_COLL_TYPE]],CollectionLookups,3,FALSE)</f>
        <v>0</v>
      </c>
      <c r="H280" t="str">
        <f t="shared" si="9"/>
        <v>NO</v>
      </c>
    </row>
    <row r="281" spans="1:9" x14ac:dyDescent="0.25">
      <c r="A281" t="s">
        <v>812</v>
      </c>
      <c r="B281" t="s">
        <v>432</v>
      </c>
      <c r="C281" t="s">
        <v>813</v>
      </c>
      <c r="D281" t="s">
        <v>814</v>
      </c>
      <c r="E281" t="str">
        <f>VLOOKUP(DefaultCollections[[#This Row],[DEFAULT_COLL_TYPE]],CollectionLookups,2,FALSE)</f>
        <v>P Normal Source PL Standard</v>
      </c>
      <c r="F281" t="str">
        <f t="shared" si="8"/>
        <v>CP574-P Normal Source PL Standard</v>
      </c>
      <c r="G281" t="str">
        <f>VLOOKUP(DefaultCollections[[#This Row],[DEFAULT_COLL_TYPE]],CollectionLookups,3,FALSE)</f>
        <v>2X Week P Normal Source PL</v>
      </c>
      <c r="H281" t="str">
        <f t="shared" si="9"/>
        <v>NO</v>
      </c>
    </row>
    <row r="282" spans="1:9" x14ac:dyDescent="0.25">
      <c r="A282" t="s">
        <v>815</v>
      </c>
      <c r="B282" t="s">
        <v>445</v>
      </c>
      <c r="C282" t="s">
        <v>816</v>
      </c>
      <c r="D282" t="s">
        <v>694</v>
      </c>
      <c r="E282" t="str">
        <f>VLOOKUP(DefaultCollections[[#This Row],[DEFAULT_COLL_TYPE]],CollectionLookups,2,FALSE)</f>
        <v>P Anti-D Pre-Existing Standard</v>
      </c>
      <c r="F282" t="str">
        <f t="shared" si="8"/>
        <v>CP575-P Anti-D Pre-Existing Standard</v>
      </c>
      <c r="G282">
        <f>VLOOKUP(DefaultCollections[[#This Row],[DEFAULT_COLL_TYPE]],CollectionLookups,3,FALSE)</f>
        <v>0</v>
      </c>
      <c r="H282" t="str">
        <f t="shared" si="9"/>
        <v>NO</v>
      </c>
    </row>
    <row r="283" spans="1:9" x14ac:dyDescent="0.25">
      <c r="A283" t="s">
        <v>815</v>
      </c>
      <c r="B283" t="s">
        <v>445</v>
      </c>
      <c r="C283" t="s">
        <v>816</v>
      </c>
      <c r="D283" t="s">
        <v>814</v>
      </c>
      <c r="E283" t="str">
        <f>VLOOKUP(DefaultCollections[[#This Row],[DEFAULT_COLL_TYPE]],CollectionLookups,2,FALSE)</f>
        <v>P Normal Source PL Standard</v>
      </c>
      <c r="F283" t="str">
        <f t="shared" si="8"/>
        <v>CP575-P Normal Source PL Standard</v>
      </c>
      <c r="G283" t="str">
        <f>VLOOKUP(DefaultCollections[[#This Row],[DEFAULT_COLL_TYPE]],CollectionLookups,3,FALSE)</f>
        <v>2X Week P Normal Source PL</v>
      </c>
      <c r="H283" t="str">
        <f t="shared" si="9"/>
        <v>CP575-2X Week P Normal Source PL</v>
      </c>
    </row>
    <row r="284" spans="1:9" x14ac:dyDescent="0.25">
      <c r="A284" t="s">
        <v>817</v>
      </c>
      <c r="B284" t="s">
        <v>441</v>
      </c>
      <c r="C284" t="s">
        <v>818</v>
      </c>
      <c r="D284" t="s">
        <v>694</v>
      </c>
      <c r="E284" t="str">
        <f>VLOOKUP(DefaultCollections[[#This Row],[DEFAULT_COLL_TYPE]],CollectionLookups,2,FALSE)</f>
        <v>P Anti-D Pre-Existing Standard</v>
      </c>
      <c r="F284" t="str">
        <f t="shared" si="8"/>
        <v>CP577-P Anti-D Pre-Existing Standard</v>
      </c>
      <c r="G284">
        <f>VLOOKUP(DefaultCollections[[#This Row],[DEFAULT_COLL_TYPE]],CollectionLookups,3,FALSE)</f>
        <v>0</v>
      </c>
      <c r="H284" t="str">
        <f t="shared" si="9"/>
        <v>NO</v>
      </c>
    </row>
    <row r="285" spans="1:9" x14ac:dyDescent="0.25">
      <c r="A285" t="s">
        <v>817</v>
      </c>
      <c r="B285" t="s">
        <v>441</v>
      </c>
      <c r="C285" t="s">
        <v>818</v>
      </c>
      <c r="D285" t="s">
        <v>814</v>
      </c>
      <c r="E285" t="str">
        <f>VLOOKUP(DefaultCollections[[#This Row],[DEFAULT_COLL_TYPE]],CollectionLookups,2,FALSE)</f>
        <v>P Normal Source PL Standard</v>
      </c>
      <c r="F285" t="str">
        <f t="shared" si="8"/>
        <v>CP577-P Normal Source PL Standard</v>
      </c>
      <c r="G285" t="str">
        <f>VLOOKUP(DefaultCollections[[#This Row],[DEFAULT_COLL_TYPE]],CollectionLookups,3,FALSE)</f>
        <v>2X Week P Normal Source PL</v>
      </c>
      <c r="H285" t="str">
        <f t="shared" si="9"/>
        <v>CP577-2X Week P Normal Source PL</v>
      </c>
    </row>
    <row r="286" spans="1:9" x14ac:dyDescent="0.25">
      <c r="A286" t="s">
        <v>819</v>
      </c>
      <c r="B286" t="s">
        <v>344</v>
      </c>
      <c r="C286" t="s">
        <v>820</v>
      </c>
      <c r="D286" t="s">
        <v>694</v>
      </c>
      <c r="E286" t="str">
        <f>VLOOKUP(DefaultCollections[[#This Row],[DEFAULT_COLL_TYPE]],CollectionLookups,2,FALSE)</f>
        <v>P Anti-D Pre-Existing Standard</v>
      </c>
      <c r="F286" t="str">
        <f t="shared" si="8"/>
        <v>CP685-P Anti-D Pre-Existing Standard</v>
      </c>
      <c r="G286">
        <f>VLOOKUP(DefaultCollections[[#This Row],[DEFAULT_COLL_TYPE]],CollectionLookups,3,FALSE)</f>
        <v>0</v>
      </c>
      <c r="H286" t="str">
        <f t="shared" si="9"/>
        <v>NO</v>
      </c>
    </row>
    <row r="287" spans="1:9" x14ac:dyDescent="0.25">
      <c r="A287" t="s">
        <v>819</v>
      </c>
      <c r="B287" t="s">
        <v>344</v>
      </c>
      <c r="C287" t="s">
        <v>820</v>
      </c>
      <c r="D287" t="s">
        <v>698</v>
      </c>
      <c r="E287" t="str">
        <f>VLOOKUP(DefaultCollections[[#This Row],[DEFAULT_COLL_TYPE]],CollectionLookups,2,FALSE)</f>
        <v>P NSP NS Standard</v>
      </c>
      <c r="F287" t="str">
        <f t="shared" si="8"/>
        <v>CP685-P NSP NS Standard</v>
      </c>
      <c r="G287" t="str">
        <f>VLOOKUP(DefaultCollections[[#This Row],[DEFAULT_COLL_TYPE]],CollectionLookups,3,FALSE)</f>
        <v>2X Week P NSP NS</v>
      </c>
      <c r="H287" t="str">
        <f t="shared" si="9"/>
        <v>CP685-2X Week P NSP NS</v>
      </c>
    </row>
    <row r="288" spans="1:9" x14ac:dyDescent="0.25">
      <c r="A288" t="s">
        <v>821</v>
      </c>
      <c r="B288" t="s">
        <v>325</v>
      </c>
      <c r="C288" t="s">
        <v>822</v>
      </c>
      <c r="D288" t="s">
        <v>694</v>
      </c>
      <c r="E288" t="str">
        <f>VLOOKUP(DefaultCollections[[#This Row],[DEFAULT_COLL_TYPE]],CollectionLookups,2,FALSE)</f>
        <v>P Anti-D Pre-Existing Standard</v>
      </c>
      <c r="F288" t="str">
        <f t="shared" si="8"/>
        <v>CP686-P Anti-D Pre-Existing Standard</v>
      </c>
      <c r="G288">
        <f>VLOOKUP(DefaultCollections[[#This Row],[DEFAULT_COLL_TYPE]],CollectionLookups,3,FALSE)</f>
        <v>0</v>
      </c>
      <c r="H288" t="str">
        <f t="shared" si="9"/>
        <v>NO</v>
      </c>
    </row>
    <row r="289" spans="1:8" x14ac:dyDescent="0.25">
      <c r="A289" t="s">
        <v>821</v>
      </c>
      <c r="B289" t="s">
        <v>325</v>
      </c>
      <c r="C289" t="s">
        <v>822</v>
      </c>
      <c r="D289" t="s">
        <v>698</v>
      </c>
      <c r="E289" t="str">
        <f>VLOOKUP(DefaultCollections[[#This Row],[DEFAULT_COLL_TYPE]],CollectionLookups,2,FALSE)</f>
        <v>P NSP NS Standard</v>
      </c>
      <c r="F289" t="str">
        <f t="shared" si="8"/>
        <v>CP686-P NSP NS Standard</v>
      </c>
      <c r="G289" t="str">
        <f>VLOOKUP(DefaultCollections[[#This Row],[DEFAULT_COLL_TYPE]],CollectionLookups,3,FALSE)</f>
        <v>2X Week P NSP NS</v>
      </c>
      <c r="H289" t="str">
        <f t="shared" si="9"/>
        <v>CP686-2X Week P NSP NS</v>
      </c>
    </row>
    <row r="290" spans="1:8" x14ac:dyDescent="0.25">
      <c r="A290" t="s">
        <v>823</v>
      </c>
      <c r="B290" t="s">
        <v>208</v>
      </c>
      <c r="C290" t="s">
        <v>824</v>
      </c>
      <c r="D290" t="s">
        <v>694</v>
      </c>
      <c r="E290" t="str">
        <f>VLOOKUP(DefaultCollections[[#This Row],[DEFAULT_COLL_TYPE]],CollectionLookups,2,FALSE)</f>
        <v>P Anti-D Pre-Existing Standard</v>
      </c>
      <c r="F290" t="str">
        <f t="shared" si="8"/>
        <v>CP869-P Anti-D Pre-Existing Standard</v>
      </c>
      <c r="G290">
        <f>VLOOKUP(DefaultCollections[[#This Row],[DEFAULT_COLL_TYPE]],CollectionLookups,3,FALSE)</f>
        <v>0</v>
      </c>
      <c r="H290" t="str">
        <f t="shared" si="9"/>
        <v>NO</v>
      </c>
    </row>
    <row r="291" spans="1:8" x14ac:dyDescent="0.25">
      <c r="A291" t="s">
        <v>823</v>
      </c>
      <c r="B291" t="s">
        <v>208</v>
      </c>
      <c r="C291" t="s">
        <v>824</v>
      </c>
      <c r="D291" t="s">
        <v>695</v>
      </c>
      <c r="E291" t="str">
        <f>VLOOKUP(DefaultCollections[[#This Row],[DEFAULT_COLL_TYPE]],CollectionLookups,2,FALSE)</f>
        <v>P HBS Pre-Existing Standard</v>
      </c>
      <c r="F291" t="str">
        <f t="shared" si="8"/>
        <v>CP869-P HBS Pre-Existing Standard</v>
      </c>
      <c r="G291" t="str">
        <f>VLOOKUP(DefaultCollections[[#This Row],[DEFAULT_COLL_TYPE]],CollectionLookups,3,FALSE)</f>
        <v>2X Week P HBS Pre-Existing</v>
      </c>
      <c r="H291" t="str">
        <f t="shared" si="9"/>
        <v>CP869-2X Week P HBS Pre-Existing</v>
      </c>
    </row>
    <row r="292" spans="1:8" x14ac:dyDescent="0.25">
      <c r="A292" t="s">
        <v>823</v>
      </c>
      <c r="B292" t="s">
        <v>208</v>
      </c>
      <c r="C292" t="s">
        <v>824</v>
      </c>
      <c r="D292" t="s">
        <v>696</v>
      </c>
      <c r="E292" t="str">
        <f>VLOOKUP(DefaultCollections[[#This Row],[DEFAULT_COLL_TYPE]],CollectionLookups,2,FALSE)</f>
        <v>P HBS TWINRIX Standard</v>
      </c>
      <c r="F292" t="str">
        <f t="shared" si="8"/>
        <v>CP869-P HBS TWINRIX Standard</v>
      </c>
      <c r="G292" t="str">
        <f>VLOOKUP(DefaultCollections[[#This Row],[DEFAULT_COLL_TYPE]],CollectionLookups,3,FALSE)</f>
        <v>2X Week P HBS TWINRX</v>
      </c>
      <c r="H292" t="str">
        <f t="shared" si="9"/>
        <v>CP869-2X Week P HBS TWINRX</v>
      </c>
    </row>
    <row r="293" spans="1:8" x14ac:dyDescent="0.25">
      <c r="A293" t="s">
        <v>823</v>
      </c>
      <c r="B293" t="s">
        <v>208</v>
      </c>
      <c r="C293" t="s">
        <v>824</v>
      </c>
      <c r="D293" t="s">
        <v>697</v>
      </c>
      <c r="E293" t="str">
        <f>VLOOKUP(DefaultCollections[[#This Row],[DEFAULT_COLL_TYPE]],CollectionLookups,2,FALSE)</f>
        <v>P HBS TWINRIX-AP Standard</v>
      </c>
      <c r="F293" t="str">
        <f t="shared" si="8"/>
        <v>CP869-P HBS TWINRIX-AP Standard</v>
      </c>
      <c r="G293" t="str">
        <f>VLOOKUP(DefaultCollections[[#This Row],[DEFAULT_COLL_TYPE]],CollectionLookups,3,FALSE)</f>
        <v>2X Week P HBS TWINRX-AP</v>
      </c>
      <c r="H293" t="str">
        <f t="shared" si="9"/>
        <v>CP869-2X Week P HBS TWINRX-AP</v>
      </c>
    </row>
    <row r="294" spans="1:8" x14ac:dyDescent="0.25">
      <c r="A294" t="s">
        <v>823</v>
      </c>
      <c r="B294" t="s">
        <v>208</v>
      </c>
      <c r="C294" t="s">
        <v>824</v>
      </c>
      <c r="D294" t="s">
        <v>698</v>
      </c>
      <c r="E294" t="str">
        <f>VLOOKUP(DefaultCollections[[#This Row],[DEFAULT_COLL_TYPE]],CollectionLookups,2,FALSE)</f>
        <v>P NSP NS Standard</v>
      </c>
      <c r="F294" t="str">
        <f t="shared" si="8"/>
        <v>CP869-P NSP NS Standard</v>
      </c>
      <c r="G294" t="str">
        <f>VLOOKUP(DefaultCollections[[#This Row],[DEFAULT_COLL_TYPE]],CollectionLookups,3,FALSE)</f>
        <v>2X Week P NSP NS</v>
      </c>
      <c r="H294" t="str">
        <f t="shared" si="9"/>
        <v>CP869-2X Week P NSP NS</v>
      </c>
    </row>
    <row r="295" spans="1:8" x14ac:dyDescent="0.25">
      <c r="A295" t="s">
        <v>823</v>
      </c>
      <c r="B295" t="s">
        <v>208</v>
      </c>
      <c r="C295" t="s">
        <v>824</v>
      </c>
      <c r="D295" t="s">
        <v>825</v>
      </c>
      <c r="E295" t="str">
        <f>VLOOKUP(DefaultCollections[[#This Row],[DEFAULT_COLL_TYPE]],CollectionLookups,2,FALSE)</f>
        <v>P NORM KIG 10 Standard</v>
      </c>
      <c r="F295" t="str">
        <f t="shared" si="8"/>
        <v>CP869-P NORM KIG 10 Standard</v>
      </c>
      <c r="G295" t="str">
        <f>VLOOKUP(DefaultCollections[[#This Row],[DEFAULT_COLL_TYPE]],CollectionLookups,3,FALSE)</f>
        <v>2X Week P NORM KIG10</v>
      </c>
      <c r="H295" t="str">
        <f t="shared" si="9"/>
        <v>CP869-2X Week P NORM KIG10</v>
      </c>
    </row>
    <row r="296" spans="1:8" x14ac:dyDescent="0.25">
      <c r="A296" t="s">
        <v>823</v>
      </c>
      <c r="B296" t="s">
        <v>208</v>
      </c>
      <c r="C296" t="s">
        <v>824</v>
      </c>
      <c r="D296" t="s">
        <v>826</v>
      </c>
      <c r="E296" t="str">
        <f>VLOOKUP(DefaultCollections[[#This Row],[DEFAULT_COLL_TYPE]],CollectionLookups,2,FALSE)</f>
        <v>P NORM KIG 10-1 Standard</v>
      </c>
      <c r="F296" t="str">
        <f t="shared" si="8"/>
        <v>CP869-P NORM KIG 10-1 Standard</v>
      </c>
      <c r="G296" t="str">
        <f>VLOOKUP(DefaultCollections[[#This Row],[DEFAULT_COLL_TYPE]],CollectionLookups,3,FALSE)</f>
        <v>2X Week P NORM KIG10-1</v>
      </c>
      <c r="H296" t="str">
        <f t="shared" si="9"/>
        <v>CP869-2X Week P NORM KIG10-1</v>
      </c>
    </row>
    <row r="297" spans="1:8" x14ac:dyDescent="0.25">
      <c r="A297" t="s">
        <v>823</v>
      </c>
      <c r="B297" t="s">
        <v>208</v>
      </c>
      <c r="C297" t="s">
        <v>824</v>
      </c>
      <c r="D297" t="s">
        <v>827</v>
      </c>
      <c r="E297" t="str">
        <f>VLOOKUP(DefaultCollections[[#This Row],[DEFAULT_COLL_TYPE]],CollectionLookups,2,FALSE)</f>
        <v>P NORM KIG 10-2 Standard</v>
      </c>
      <c r="F297" t="str">
        <f t="shared" si="8"/>
        <v>CP869-P NORM KIG 10-2 Standard</v>
      </c>
      <c r="G297" t="str">
        <f>VLOOKUP(DefaultCollections[[#This Row],[DEFAULT_COLL_TYPE]],CollectionLookups,3,FALSE)</f>
        <v>2X Week P NORM KIG10-2</v>
      </c>
      <c r="H297" t="str">
        <f t="shared" si="9"/>
        <v>CP869-2X Week P NORM KIG10-2</v>
      </c>
    </row>
    <row r="298" spans="1:8" x14ac:dyDescent="0.25">
      <c r="A298" t="s">
        <v>828</v>
      </c>
      <c r="B298" t="s">
        <v>416</v>
      </c>
      <c r="C298" t="s">
        <v>829</v>
      </c>
      <c r="D298" t="s">
        <v>692</v>
      </c>
      <c r="E298" t="str">
        <f>VLOOKUP(DefaultCollections[[#This Row],[DEFAULT_COLL_TYPE]],CollectionLookups,2,FALSE)</f>
        <v>P CMV Standard</v>
      </c>
      <c r="F298" t="str">
        <f t="shared" si="8"/>
        <v>CP872-P CMV Standard</v>
      </c>
      <c r="G298" t="str">
        <f>VLOOKUP(DefaultCollections[[#This Row],[DEFAULT_COLL_TYPE]],CollectionLookups,3,FALSE)</f>
        <v>2X Week P CMV</v>
      </c>
      <c r="H298" t="str">
        <f t="shared" si="9"/>
        <v>CP872-2X Week P CMV</v>
      </c>
    </row>
    <row r="299" spans="1:8" x14ac:dyDescent="0.25">
      <c r="A299" t="s">
        <v>828</v>
      </c>
      <c r="B299" t="s">
        <v>416</v>
      </c>
      <c r="C299" t="s">
        <v>829</v>
      </c>
      <c r="D299" t="s">
        <v>693</v>
      </c>
      <c r="E299" t="str">
        <f>VLOOKUP(DefaultCollections[[#This Row],[DEFAULT_COLL_TYPE]],CollectionLookups,2,FALSE)</f>
        <v>P Anti-D Standard</v>
      </c>
      <c r="F299" t="str">
        <f t="shared" si="8"/>
        <v>CP872-P Anti-D Standard</v>
      </c>
      <c r="G299" t="str">
        <f>VLOOKUP(DefaultCollections[[#This Row],[DEFAULT_COLL_TYPE]],CollectionLookups,3,FALSE)</f>
        <v>2X Week P Anti-D</v>
      </c>
      <c r="H299" t="str">
        <f t="shared" si="9"/>
        <v>CP872-2X Week P Anti-D</v>
      </c>
    </row>
    <row r="300" spans="1:8" x14ac:dyDescent="0.25">
      <c r="A300" t="s">
        <v>828</v>
      </c>
      <c r="B300" t="s">
        <v>416</v>
      </c>
      <c r="C300" t="s">
        <v>829</v>
      </c>
      <c r="D300" t="s">
        <v>694</v>
      </c>
      <c r="E300" t="str">
        <f>VLOOKUP(DefaultCollections[[#This Row],[DEFAULT_COLL_TYPE]],CollectionLookups,2,FALSE)</f>
        <v>P Anti-D Pre-Existing Standard</v>
      </c>
      <c r="F300" t="str">
        <f t="shared" si="8"/>
        <v>CP872-P Anti-D Pre-Existing Standard</v>
      </c>
      <c r="G300">
        <f>VLOOKUP(DefaultCollections[[#This Row],[DEFAULT_COLL_TYPE]],CollectionLookups,3,FALSE)</f>
        <v>0</v>
      </c>
      <c r="H300" t="str">
        <f t="shared" si="9"/>
        <v>NO</v>
      </c>
    </row>
    <row r="301" spans="1:8" x14ac:dyDescent="0.25">
      <c r="A301" t="s">
        <v>828</v>
      </c>
      <c r="B301" t="s">
        <v>416</v>
      </c>
      <c r="C301" t="s">
        <v>829</v>
      </c>
      <c r="D301" t="s">
        <v>698</v>
      </c>
      <c r="E301" t="str">
        <f>VLOOKUP(DefaultCollections[[#This Row],[DEFAULT_COLL_TYPE]],CollectionLookups,2,FALSE)</f>
        <v>P NSP NS Standard</v>
      </c>
      <c r="F301" t="str">
        <f t="shared" si="8"/>
        <v>CP872-P NSP NS Standard</v>
      </c>
      <c r="G301" t="str">
        <f>VLOOKUP(DefaultCollections[[#This Row],[DEFAULT_COLL_TYPE]],CollectionLookups,3,FALSE)</f>
        <v>2X Week P NSP NS</v>
      </c>
      <c r="H301" t="str">
        <f t="shared" si="9"/>
        <v>CP872-2X Week P NSP NS</v>
      </c>
    </row>
    <row r="302" spans="1:8" x14ac:dyDescent="0.25">
      <c r="A302" t="s">
        <v>828</v>
      </c>
      <c r="B302" t="s">
        <v>416</v>
      </c>
      <c r="C302" t="s">
        <v>829</v>
      </c>
      <c r="D302" t="s">
        <v>699</v>
      </c>
      <c r="E302" t="str">
        <f>VLOOKUP(DefaultCollections[[#This Row],[DEFAULT_COLL_TYPE]],CollectionLookups,2,FALSE)</f>
        <v>P Tetanus Standard</v>
      </c>
      <c r="F302" t="str">
        <f t="shared" si="8"/>
        <v>CP872-P Tetanus Standard</v>
      </c>
      <c r="G302" t="str">
        <f>VLOOKUP(DefaultCollections[[#This Row],[DEFAULT_COLL_TYPE]],CollectionLookups,3,FALSE)</f>
        <v>2X Week P Tetanus</v>
      </c>
      <c r="H302" t="str">
        <f t="shared" si="9"/>
        <v>CP872-2X Week P Tetanus</v>
      </c>
    </row>
    <row r="303" spans="1:8" x14ac:dyDescent="0.25">
      <c r="A303" t="s">
        <v>828</v>
      </c>
      <c r="B303" t="s">
        <v>416</v>
      </c>
      <c r="C303" t="s">
        <v>829</v>
      </c>
      <c r="D303" t="s">
        <v>703</v>
      </c>
      <c r="E303" t="str">
        <f>VLOOKUP(DefaultCollections[[#This Row],[DEFAULT_COLL_TYPE]],CollectionLookups,2,FALSE)</f>
        <v>P Tetanus Pre-Existing Standard</v>
      </c>
      <c r="F303" t="str">
        <f t="shared" si="8"/>
        <v>CP872-P Tetanus Pre-Existing Standard</v>
      </c>
      <c r="G303" t="str">
        <f>VLOOKUP(DefaultCollections[[#This Row],[DEFAULT_COLL_TYPE]],CollectionLookups,3,FALSE)</f>
        <v>2X Week P Tetanus PE</v>
      </c>
      <c r="H303" t="str">
        <f t="shared" si="9"/>
        <v>CP872-2X Week P Tetanus PE</v>
      </c>
    </row>
    <row r="304" spans="1:8" x14ac:dyDescent="0.25">
      <c r="A304" t="s">
        <v>830</v>
      </c>
      <c r="B304" t="s">
        <v>421</v>
      </c>
      <c r="C304" t="s">
        <v>831</v>
      </c>
      <c r="D304" t="s">
        <v>694</v>
      </c>
      <c r="E304" t="str">
        <f>VLOOKUP(DefaultCollections[[#This Row],[DEFAULT_COLL_TYPE]],CollectionLookups,2,FALSE)</f>
        <v>P Anti-D Pre-Existing Standard</v>
      </c>
      <c r="F304" t="str">
        <f t="shared" si="8"/>
        <v>CP873-P Anti-D Pre-Existing Standard</v>
      </c>
      <c r="G304">
        <f>VLOOKUP(DefaultCollections[[#This Row],[DEFAULT_COLL_TYPE]],CollectionLookups,3,FALSE)</f>
        <v>0</v>
      </c>
      <c r="H304" t="str">
        <f t="shared" si="9"/>
        <v>NO</v>
      </c>
    </row>
    <row r="305" spans="1:8" x14ac:dyDescent="0.25">
      <c r="A305" t="s">
        <v>830</v>
      </c>
      <c r="B305" t="s">
        <v>421</v>
      </c>
      <c r="C305" t="s">
        <v>831</v>
      </c>
      <c r="D305" t="s">
        <v>698</v>
      </c>
      <c r="E305" t="str">
        <f>VLOOKUP(DefaultCollections[[#This Row],[DEFAULT_COLL_TYPE]],CollectionLookups,2,FALSE)</f>
        <v>P NSP NS Standard</v>
      </c>
      <c r="F305" t="str">
        <f t="shared" si="8"/>
        <v>CP873-P NSP NS Standard</v>
      </c>
      <c r="G305" t="str">
        <f>VLOOKUP(DefaultCollections[[#This Row],[DEFAULT_COLL_TYPE]],CollectionLookups,3,FALSE)</f>
        <v>2X Week P NSP NS</v>
      </c>
      <c r="H305" t="str">
        <f t="shared" si="9"/>
        <v>CP873-2X Week P NSP NS</v>
      </c>
    </row>
    <row r="306" spans="1:8" x14ac:dyDescent="0.25">
      <c r="A306" t="s">
        <v>830</v>
      </c>
      <c r="B306" t="s">
        <v>421</v>
      </c>
      <c r="C306" t="s">
        <v>831</v>
      </c>
      <c r="D306" t="s">
        <v>699</v>
      </c>
      <c r="E306" t="str">
        <f>VLOOKUP(DefaultCollections[[#This Row],[DEFAULT_COLL_TYPE]],CollectionLookups,2,FALSE)</f>
        <v>P Tetanus Standard</v>
      </c>
      <c r="F306" t="str">
        <f t="shared" si="8"/>
        <v>CP873-P Tetanus Standard</v>
      </c>
      <c r="G306" t="str">
        <f>VLOOKUP(DefaultCollections[[#This Row],[DEFAULT_COLL_TYPE]],CollectionLookups,3,FALSE)</f>
        <v>2X Week P Tetanus</v>
      </c>
      <c r="H306" t="str">
        <f t="shared" si="9"/>
        <v>CP873-2X Week P Tetanus</v>
      </c>
    </row>
    <row r="307" spans="1:8" x14ac:dyDescent="0.25">
      <c r="A307" t="s">
        <v>830</v>
      </c>
      <c r="B307" t="s">
        <v>421</v>
      </c>
      <c r="C307" t="s">
        <v>831</v>
      </c>
      <c r="D307" t="s">
        <v>703</v>
      </c>
      <c r="E307" t="str">
        <f>VLOOKUP(DefaultCollections[[#This Row],[DEFAULT_COLL_TYPE]],CollectionLookups,2,FALSE)</f>
        <v>P Tetanus Pre-Existing Standard</v>
      </c>
      <c r="F307" t="str">
        <f t="shared" si="8"/>
        <v>CP873-P Tetanus Pre-Existing Standard</v>
      </c>
      <c r="G307" t="str">
        <f>VLOOKUP(DefaultCollections[[#This Row],[DEFAULT_COLL_TYPE]],CollectionLookups,3,FALSE)</f>
        <v>2X Week P Tetanus PE</v>
      </c>
      <c r="H307" t="str">
        <f t="shared" si="9"/>
        <v>CP873-2X Week P Tetanus PE</v>
      </c>
    </row>
    <row r="308" spans="1:8" x14ac:dyDescent="0.25">
      <c r="A308" t="s">
        <v>830</v>
      </c>
      <c r="B308" t="s">
        <v>421</v>
      </c>
      <c r="C308" t="s">
        <v>831</v>
      </c>
      <c r="D308" t="s">
        <v>717</v>
      </c>
      <c r="E308" t="str">
        <f>VLOOKUP(DefaultCollections[[#This Row],[DEFAULT_COLL_TYPE]],CollectionLookups,2,FALSE)</f>
        <v>P VZV Standard</v>
      </c>
      <c r="F308" t="str">
        <f t="shared" si="8"/>
        <v>CP873-P VZV Standard</v>
      </c>
      <c r="G308" t="str">
        <f>VLOOKUP(DefaultCollections[[#This Row],[DEFAULT_COLL_TYPE]],CollectionLookups,3,FALSE)</f>
        <v>2X Week P VZV</v>
      </c>
      <c r="H308" t="str">
        <f t="shared" si="9"/>
        <v>CP873-2X Week P VZV</v>
      </c>
    </row>
    <row r="309" spans="1:8" x14ac:dyDescent="0.25">
      <c r="A309" t="s">
        <v>830</v>
      </c>
      <c r="B309" t="s">
        <v>421</v>
      </c>
      <c r="C309" t="s">
        <v>831</v>
      </c>
      <c r="D309" t="s">
        <v>718</v>
      </c>
      <c r="E309">
        <f>VLOOKUP(DefaultCollections[[#This Row],[DEFAULT_COLL_TYPE]],CollectionLookups,2,FALSE)</f>
        <v>0</v>
      </c>
      <c r="F309" t="str">
        <f t="shared" si="8"/>
        <v>NO</v>
      </c>
      <c r="G309" t="str">
        <f>VLOOKUP(DefaultCollections[[#This Row],[DEFAULT_COLL_TYPE]],CollectionLookups,3,FALSE)</f>
        <v>2X Week P VZV AP</v>
      </c>
      <c r="H309" t="str">
        <f t="shared" si="9"/>
        <v>CP873-2X Week P VZV AP</v>
      </c>
    </row>
    <row r="310" spans="1:8" x14ac:dyDescent="0.25">
      <c r="A310" t="s">
        <v>830</v>
      </c>
      <c r="B310" t="s">
        <v>421</v>
      </c>
      <c r="C310" t="s">
        <v>831</v>
      </c>
      <c r="D310" t="s">
        <v>719</v>
      </c>
      <c r="E310" t="str">
        <f>VLOOKUP(DefaultCollections[[#This Row],[DEFAULT_COLL_TYPE]],CollectionLookups,2,FALSE)</f>
        <v>PVZV Pre-Existing Standard</v>
      </c>
      <c r="F310" t="str">
        <f t="shared" si="8"/>
        <v>CP873-PVZV Pre-Existing Standard</v>
      </c>
      <c r="G310" t="str">
        <f>VLOOKUP(DefaultCollections[[#This Row],[DEFAULT_COLL_TYPE]],CollectionLookups,3,FALSE)</f>
        <v>2X Week P VZV Pre-Existing</v>
      </c>
      <c r="H310" t="str">
        <f t="shared" si="9"/>
        <v>CP873-2X Week P VZV Pre-Existing</v>
      </c>
    </row>
    <row r="311" spans="1:8" x14ac:dyDescent="0.25">
      <c r="A311" t="s">
        <v>830</v>
      </c>
      <c r="B311" t="s">
        <v>421</v>
      </c>
      <c r="C311" t="s">
        <v>831</v>
      </c>
      <c r="D311" t="s">
        <v>720</v>
      </c>
      <c r="E311" t="str">
        <f>VLOOKUP(DefaultCollections[[#This Row],[DEFAULT_COLL_TYPE]],CollectionLookups,2,FALSE)</f>
        <v>P VZV Pre-Existing AP</v>
      </c>
      <c r="F311" t="str">
        <f t="shared" si="8"/>
        <v>CP873-P VZV Pre-Existing AP</v>
      </c>
      <c r="G311" t="str">
        <f>VLOOKUP(DefaultCollections[[#This Row],[DEFAULT_COLL_TYPE]],CollectionLookups,3,FALSE)</f>
        <v>2X Week P VZV Pre-Existing AP</v>
      </c>
      <c r="H311" t="str">
        <f t="shared" si="9"/>
        <v>CP873-2X Week P VZV Pre-Existing AP</v>
      </c>
    </row>
    <row r="312" spans="1:8" x14ac:dyDescent="0.25">
      <c r="A312" t="s">
        <v>832</v>
      </c>
      <c r="B312" t="s">
        <v>270</v>
      </c>
      <c r="C312" t="s">
        <v>833</v>
      </c>
      <c r="D312" t="s">
        <v>694</v>
      </c>
      <c r="E312" t="str">
        <f>VLOOKUP(DefaultCollections[[#This Row],[DEFAULT_COLL_TYPE]],CollectionLookups,2,FALSE)</f>
        <v>P Anti-D Pre-Existing Standard</v>
      </c>
      <c r="F312" t="str">
        <f t="shared" si="8"/>
        <v>CP893-P Anti-D Pre-Existing Standard</v>
      </c>
      <c r="G312">
        <f>VLOOKUP(DefaultCollections[[#This Row],[DEFAULT_COLL_TYPE]],CollectionLookups,3,FALSE)</f>
        <v>0</v>
      </c>
      <c r="H312" t="str">
        <f t="shared" si="9"/>
        <v>NO</v>
      </c>
    </row>
    <row r="313" spans="1:8" x14ac:dyDescent="0.25">
      <c r="A313" t="s">
        <v>832</v>
      </c>
      <c r="B313" t="s">
        <v>270</v>
      </c>
      <c r="C313" t="s">
        <v>833</v>
      </c>
      <c r="D313" t="s">
        <v>723</v>
      </c>
      <c r="E313" t="str">
        <f>VLOOKUP(DefaultCollections[[#This Row],[DEFAULT_COLL_TYPE]],CollectionLookups,2,FALSE)</f>
        <v>P HBS Standard</v>
      </c>
      <c r="F313" t="str">
        <f t="shared" si="8"/>
        <v>CP893-P HBS Standard</v>
      </c>
      <c r="G313" t="str">
        <f>VLOOKUP(DefaultCollections[[#This Row],[DEFAULT_COLL_TYPE]],CollectionLookups,3,FALSE)</f>
        <v>2X Week P HBS</v>
      </c>
      <c r="H313" t="str">
        <f t="shared" si="9"/>
        <v>CP893-2X Week P HBS</v>
      </c>
    </row>
    <row r="314" spans="1:8" x14ac:dyDescent="0.25">
      <c r="A314" t="s">
        <v>832</v>
      </c>
      <c r="B314" t="s">
        <v>270</v>
      </c>
      <c r="C314" t="s">
        <v>833</v>
      </c>
      <c r="D314" t="s">
        <v>695</v>
      </c>
      <c r="E314" t="str">
        <f>VLOOKUP(DefaultCollections[[#This Row],[DEFAULT_COLL_TYPE]],CollectionLookups,2,FALSE)</f>
        <v>P HBS Pre-Existing Standard</v>
      </c>
      <c r="F314" t="str">
        <f t="shared" si="8"/>
        <v>CP893-P HBS Pre-Existing Standard</v>
      </c>
      <c r="G314" t="str">
        <f>VLOOKUP(DefaultCollections[[#This Row],[DEFAULT_COLL_TYPE]],CollectionLookups,3,FALSE)</f>
        <v>2X Week P HBS Pre-Existing</v>
      </c>
      <c r="H314" t="str">
        <f t="shared" si="9"/>
        <v>CP893-2X Week P HBS Pre-Existing</v>
      </c>
    </row>
    <row r="315" spans="1:8" x14ac:dyDescent="0.25">
      <c r="A315" t="s">
        <v>832</v>
      </c>
      <c r="B315" t="s">
        <v>270</v>
      </c>
      <c r="C315" t="s">
        <v>833</v>
      </c>
      <c r="D315" t="s">
        <v>698</v>
      </c>
      <c r="E315" t="str">
        <f>VLOOKUP(DefaultCollections[[#This Row],[DEFAULT_COLL_TYPE]],CollectionLookups,2,FALSE)</f>
        <v>P NSP NS Standard</v>
      </c>
      <c r="F315" t="str">
        <f t="shared" si="8"/>
        <v>CP893-P NSP NS Standard</v>
      </c>
      <c r="G315" t="str">
        <f>VLOOKUP(DefaultCollections[[#This Row],[DEFAULT_COLL_TYPE]],CollectionLookups,3,FALSE)</f>
        <v>2X Week P NSP NS</v>
      </c>
      <c r="H315" t="str">
        <f t="shared" si="9"/>
        <v>CP893-2X Week P NSP NS</v>
      </c>
    </row>
    <row r="316" spans="1:8" x14ac:dyDescent="0.25">
      <c r="A316" t="s">
        <v>834</v>
      </c>
      <c r="B316" t="s">
        <v>231</v>
      </c>
      <c r="C316" t="s">
        <v>835</v>
      </c>
      <c r="D316" t="s">
        <v>694</v>
      </c>
      <c r="E316" t="str">
        <f>VLOOKUP(DefaultCollections[[#This Row],[DEFAULT_COLL_TYPE]],CollectionLookups,2,FALSE)</f>
        <v>P Anti-D Pre-Existing Standard</v>
      </c>
      <c r="F316" t="str">
        <f t="shared" si="8"/>
        <v>CP894-P Anti-D Pre-Existing Standard</v>
      </c>
      <c r="G316">
        <f>VLOOKUP(DefaultCollections[[#This Row],[DEFAULT_COLL_TYPE]],CollectionLookups,3,FALSE)</f>
        <v>0</v>
      </c>
      <c r="H316" t="str">
        <f t="shared" si="9"/>
        <v>NO</v>
      </c>
    </row>
    <row r="317" spans="1:8" x14ac:dyDescent="0.25">
      <c r="A317" t="s">
        <v>834</v>
      </c>
      <c r="B317" t="s">
        <v>231</v>
      </c>
      <c r="C317" t="s">
        <v>835</v>
      </c>
      <c r="D317" t="s">
        <v>698</v>
      </c>
      <c r="E317" t="str">
        <f>VLOOKUP(DefaultCollections[[#This Row],[DEFAULT_COLL_TYPE]],CollectionLookups,2,FALSE)</f>
        <v>P NSP NS Standard</v>
      </c>
      <c r="F317" t="str">
        <f t="shared" si="8"/>
        <v>CP894-P NSP NS Standard</v>
      </c>
      <c r="G317" t="str">
        <f>VLOOKUP(DefaultCollections[[#This Row],[DEFAULT_COLL_TYPE]],CollectionLookups,3,FALSE)</f>
        <v>2X Week P NSP NS</v>
      </c>
      <c r="H317" t="str">
        <f t="shared" si="9"/>
        <v>CP894-2X Week P NSP NS</v>
      </c>
    </row>
    <row r="318" spans="1:8" x14ac:dyDescent="0.25">
      <c r="A318" t="s">
        <v>836</v>
      </c>
      <c r="B318" t="s">
        <v>280</v>
      </c>
      <c r="C318" t="s">
        <v>837</v>
      </c>
      <c r="D318" t="s">
        <v>693</v>
      </c>
      <c r="E318" t="str">
        <f>VLOOKUP(DefaultCollections[[#This Row],[DEFAULT_COLL_TYPE]],CollectionLookups,2,FALSE)</f>
        <v>P Anti-D Standard</v>
      </c>
      <c r="F318" t="str">
        <f t="shared" si="8"/>
        <v>CP917-P Anti-D Standard</v>
      </c>
      <c r="G318" t="str">
        <f>VLOOKUP(DefaultCollections[[#This Row],[DEFAULT_COLL_TYPE]],CollectionLookups,3,FALSE)</f>
        <v>2X Week P Anti-D</v>
      </c>
      <c r="H318" t="str">
        <f t="shared" si="9"/>
        <v>NO</v>
      </c>
    </row>
    <row r="319" spans="1:8" x14ac:dyDescent="0.25">
      <c r="A319" t="s">
        <v>836</v>
      </c>
      <c r="B319" t="s">
        <v>280</v>
      </c>
      <c r="C319" t="s">
        <v>837</v>
      </c>
      <c r="D319" t="s">
        <v>694</v>
      </c>
      <c r="E319" t="str">
        <f>VLOOKUP(DefaultCollections[[#This Row],[DEFAULT_COLL_TYPE]],CollectionLookups,2,FALSE)</f>
        <v>P Anti-D Pre-Existing Standard</v>
      </c>
      <c r="F319" t="str">
        <f t="shared" si="8"/>
        <v>CP917-P Anti-D Pre-Existing Standard</v>
      </c>
      <c r="G319">
        <f>VLOOKUP(DefaultCollections[[#This Row],[DEFAULT_COLL_TYPE]],CollectionLookups,3,FALSE)</f>
        <v>0</v>
      </c>
      <c r="H319" t="str">
        <f t="shared" si="9"/>
        <v>NO</v>
      </c>
    </row>
    <row r="320" spans="1:8" x14ac:dyDescent="0.25">
      <c r="A320" t="s">
        <v>836</v>
      </c>
      <c r="B320" t="s">
        <v>280</v>
      </c>
      <c r="C320" t="s">
        <v>837</v>
      </c>
      <c r="D320" t="s">
        <v>698</v>
      </c>
      <c r="E320" t="str">
        <f>VLOOKUP(DefaultCollections[[#This Row],[DEFAULT_COLL_TYPE]],CollectionLookups,2,FALSE)</f>
        <v>P NSP NS Standard</v>
      </c>
      <c r="F320" t="str">
        <f t="shared" si="8"/>
        <v>CP917-P NSP NS Standard</v>
      </c>
      <c r="G320" t="str">
        <f>VLOOKUP(DefaultCollections[[#This Row],[DEFAULT_COLL_TYPE]],CollectionLookups,3,FALSE)</f>
        <v>2X Week P NSP NS</v>
      </c>
      <c r="H320" t="str">
        <f t="shared" si="9"/>
        <v>CP917-2X Week P NSP NS</v>
      </c>
    </row>
    <row r="321" spans="1:9" x14ac:dyDescent="0.25">
      <c r="A321" t="s">
        <v>836</v>
      </c>
      <c r="B321" t="s">
        <v>280</v>
      </c>
      <c r="C321" t="s">
        <v>837</v>
      </c>
      <c r="D321" t="s">
        <v>725</v>
      </c>
      <c r="E321" t="str">
        <f>VLOOKUP(DefaultCollections[[#This Row],[DEFAULT_COLL_TYPE]],CollectionLookups,2,FALSE)</f>
        <v>P Vaccinia Standard</v>
      </c>
      <c r="F321" t="str">
        <f t="shared" si="8"/>
        <v>CP917-P Vaccinia Standard</v>
      </c>
      <c r="G321">
        <f>VLOOKUP(DefaultCollections[[#This Row],[DEFAULT_COLL_TYPE]],CollectionLookups,3,FALSE)</f>
        <v>0</v>
      </c>
      <c r="H321" t="str">
        <f t="shared" si="9"/>
        <v>NO</v>
      </c>
    </row>
    <row r="322" spans="1:9" x14ac:dyDescent="0.25">
      <c r="A322" t="s">
        <v>838</v>
      </c>
      <c r="B322" t="s">
        <v>427</v>
      </c>
      <c r="C322" t="s">
        <v>839</v>
      </c>
      <c r="D322" t="s">
        <v>709</v>
      </c>
      <c r="E322">
        <f>VLOOKUP(DefaultCollections[[#This Row],[DEFAULT_COLL_TYPE]],CollectionLookups,2,FALSE)</f>
        <v>0</v>
      </c>
      <c r="F322" t="str">
        <f t="shared" ref="F322:F380" si="10">IFERROR(VLOOKUP(B322&amp;"-"&amp;E322,NLCollectionsLookup,1,FALSE),"NO")</f>
        <v>NO</v>
      </c>
      <c r="G322">
        <f>VLOOKUP(DefaultCollections[[#This Row],[DEFAULT_COLL_TYPE]],CollectionLookups,3,FALSE)</f>
        <v>0</v>
      </c>
      <c r="H322" t="str">
        <f t="shared" ref="H322:H380" si="11">IFERROR(VLOOKUP(B322&amp;"-"&amp;G322,NLCollectionsLookup,1,FALSE),"NO")</f>
        <v>NO</v>
      </c>
    </row>
    <row r="323" spans="1:9" x14ac:dyDescent="0.25">
      <c r="A323" t="s">
        <v>838</v>
      </c>
      <c r="B323" t="s">
        <v>427</v>
      </c>
      <c r="C323" t="s">
        <v>839</v>
      </c>
      <c r="D323" t="s">
        <v>694</v>
      </c>
      <c r="E323" t="str">
        <f>VLOOKUP(DefaultCollections[[#This Row],[DEFAULT_COLL_TYPE]],CollectionLookups,2,FALSE)</f>
        <v>P Anti-D Pre-Existing Standard</v>
      </c>
      <c r="F323" t="str">
        <f t="shared" si="10"/>
        <v>CP941-P Anti-D Pre-Existing Standard</v>
      </c>
      <c r="G323">
        <f>VLOOKUP(DefaultCollections[[#This Row],[DEFAULT_COLL_TYPE]],CollectionLookups,3,FALSE)</f>
        <v>0</v>
      </c>
      <c r="H323" t="str">
        <f t="shared" si="11"/>
        <v>NO</v>
      </c>
    </row>
    <row r="324" spans="1:9" x14ac:dyDescent="0.25">
      <c r="A324" t="s">
        <v>838</v>
      </c>
      <c r="B324" t="s">
        <v>427</v>
      </c>
      <c r="C324" t="s">
        <v>839</v>
      </c>
      <c r="D324" t="s">
        <v>698</v>
      </c>
      <c r="E324" t="str">
        <f>VLOOKUP(DefaultCollections[[#This Row],[DEFAULT_COLL_TYPE]],CollectionLookups,2,FALSE)</f>
        <v>P NSP NS Standard</v>
      </c>
      <c r="F324" t="str">
        <f t="shared" si="10"/>
        <v>CP941-P NSP NS Standard</v>
      </c>
      <c r="G324" t="str">
        <f>VLOOKUP(DefaultCollections[[#This Row],[DEFAULT_COLL_TYPE]],CollectionLookups,3,FALSE)</f>
        <v>2X Week P NSP NS</v>
      </c>
      <c r="H324" t="str">
        <f t="shared" si="11"/>
        <v>CP941-2X Week P NSP NS</v>
      </c>
    </row>
    <row r="325" spans="1:9" x14ac:dyDescent="0.25">
      <c r="A325" t="s">
        <v>840</v>
      </c>
      <c r="B325" t="s">
        <v>406</v>
      </c>
      <c r="C325" t="s">
        <v>841</v>
      </c>
      <c r="D325" t="s">
        <v>694</v>
      </c>
      <c r="E325" t="str">
        <f>VLOOKUP(DefaultCollections[[#This Row],[DEFAULT_COLL_TYPE]],CollectionLookups,2,FALSE)</f>
        <v>P Anti-D Pre-Existing Standard</v>
      </c>
      <c r="F325" t="str">
        <f t="shared" si="10"/>
        <v>CP943-P Anti-D Pre-Existing Standard</v>
      </c>
      <c r="G325">
        <f>VLOOKUP(DefaultCollections[[#This Row],[DEFAULT_COLL_TYPE]],CollectionLookups,3,FALSE)</f>
        <v>0</v>
      </c>
      <c r="H325" t="str">
        <f t="shared" si="11"/>
        <v>NO</v>
      </c>
      <c r="I325" s="147"/>
    </row>
    <row r="326" spans="1:9" x14ac:dyDescent="0.25">
      <c r="A326" t="s">
        <v>840</v>
      </c>
      <c r="B326" t="s">
        <v>406</v>
      </c>
      <c r="C326" t="s">
        <v>841</v>
      </c>
      <c r="D326" t="s">
        <v>698</v>
      </c>
      <c r="E326" t="str">
        <f>VLOOKUP(DefaultCollections[[#This Row],[DEFAULT_COLL_TYPE]],CollectionLookups,2,FALSE)</f>
        <v>P NSP NS Standard</v>
      </c>
      <c r="F326" t="str">
        <f t="shared" si="10"/>
        <v>CP943-P NSP NS Standard</v>
      </c>
      <c r="G326" t="str">
        <f>VLOOKUP(DefaultCollections[[#This Row],[DEFAULT_COLL_TYPE]],CollectionLookups,3,FALSE)</f>
        <v>2X Week P NSP NS</v>
      </c>
      <c r="H326" t="str">
        <f t="shared" si="11"/>
        <v>CP943-2X Week P NSP NS</v>
      </c>
    </row>
    <row r="327" spans="1:9" x14ac:dyDescent="0.25">
      <c r="A327" t="s">
        <v>840</v>
      </c>
      <c r="B327" t="s">
        <v>406</v>
      </c>
      <c r="C327" t="s">
        <v>841</v>
      </c>
      <c r="D327" t="s">
        <v>702</v>
      </c>
      <c r="E327" t="str">
        <f>VLOOKUP(DefaultCollections[[#This Row],[DEFAULT_COLL_TYPE]],CollectionLookups,2,FALSE)</f>
        <v>P Rabies Standard</v>
      </c>
      <c r="F327" t="str">
        <f t="shared" si="10"/>
        <v>CP943-P Rabies Standard</v>
      </c>
      <c r="G327" t="str">
        <f>VLOOKUP(DefaultCollections[[#This Row],[DEFAULT_COLL_TYPE]],CollectionLookups,3,FALSE)</f>
        <v>2X Week P Rabies</v>
      </c>
      <c r="H327" t="str">
        <f t="shared" si="11"/>
        <v>CP943-2X Week P Rabies</v>
      </c>
    </row>
    <row r="328" spans="1:9" x14ac:dyDescent="0.25">
      <c r="A328" t="s">
        <v>840</v>
      </c>
      <c r="B328" t="s">
        <v>406</v>
      </c>
      <c r="C328" t="s">
        <v>841</v>
      </c>
      <c r="D328" t="s">
        <v>725</v>
      </c>
      <c r="E328" t="str">
        <f>VLOOKUP(DefaultCollections[[#This Row],[DEFAULT_COLL_TYPE]],CollectionLookups,2,FALSE)</f>
        <v>P Vaccinia Standard</v>
      </c>
      <c r="F328" t="str">
        <f t="shared" si="10"/>
        <v>CP943-P Vaccinia Standard</v>
      </c>
      <c r="G328">
        <f>VLOOKUP(DefaultCollections[[#This Row],[DEFAULT_COLL_TYPE]],CollectionLookups,3,FALSE)</f>
        <v>0</v>
      </c>
      <c r="H328" t="str">
        <f t="shared" si="11"/>
        <v>NO</v>
      </c>
    </row>
    <row r="329" spans="1:9" x14ac:dyDescent="0.25">
      <c r="A329" t="s">
        <v>840</v>
      </c>
      <c r="B329" t="s">
        <v>406</v>
      </c>
      <c r="C329" t="s">
        <v>841</v>
      </c>
      <c r="D329" t="s">
        <v>717</v>
      </c>
      <c r="E329" t="str">
        <f>VLOOKUP(DefaultCollections[[#This Row],[DEFAULT_COLL_TYPE]],CollectionLookups,2,FALSE)</f>
        <v>P VZV Standard</v>
      </c>
      <c r="F329" t="str">
        <f t="shared" si="10"/>
        <v>CP943-P VZV Standard</v>
      </c>
      <c r="G329" t="str">
        <f>VLOOKUP(DefaultCollections[[#This Row],[DEFAULT_COLL_TYPE]],CollectionLookups,3,FALSE)</f>
        <v>2X Week P VZV</v>
      </c>
      <c r="H329" t="str">
        <f t="shared" si="11"/>
        <v>CP943-2X Week P VZV</v>
      </c>
    </row>
    <row r="330" spans="1:9" x14ac:dyDescent="0.25">
      <c r="A330" t="s">
        <v>840</v>
      </c>
      <c r="B330" t="s">
        <v>406</v>
      </c>
      <c r="C330" t="s">
        <v>841</v>
      </c>
      <c r="D330" t="s">
        <v>718</v>
      </c>
      <c r="E330">
        <f>VLOOKUP(DefaultCollections[[#This Row],[DEFAULT_COLL_TYPE]],CollectionLookups,2,FALSE)</f>
        <v>0</v>
      </c>
      <c r="F330" t="str">
        <f t="shared" si="10"/>
        <v>NO</v>
      </c>
      <c r="G330" t="str">
        <f>VLOOKUP(DefaultCollections[[#This Row],[DEFAULT_COLL_TYPE]],CollectionLookups,3,FALSE)</f>
        <v>2X Week P VZV AP</v>
      </c>
      <c r="H330" t="str">
        <f t="shared" si="11"/>
        <v>CP943-2X Week P VZV AP</v>
      </c>
    </row>
    <row r="331" spans="1:9" x14ac:dyDescent="0.25">
      <c r="A331" t="s">
        <v>840</v>
      </c>
      <c r="B331" t="s">
        <v>406</v>
      </c>
      <c r="C331" t="s">
        <v>841</v>
      </c>
      <c r="D331" t="s">
        <v>719</v>
      </c>
      <c r="E331" t="str">
        <f>VLOOKUP(DefaultCollections[[#This Row],[DEFAULT_COLL_TYPE]],CollectionLookups,2,FALSE)</f>
        <v>PVZV Pre-Existing Standard</v>
      </c>
      <c r="F331" t="str">
        <f t="shared" si="10"/>
        <v>CP943-PVZV Pre-Existing Standard</v>
      </c>
      <c r="G331" t="str">
        <f>VLOOKUP(DefaultCollections[[#This Row],[DEFAULT_COLL_TYPE]],CollectionLookups,3,FALSE)</f>
        <v>2X Week P VZV Pre-Existing</v>
      </c>
      <c r="H331" t="str">
        <f t="shared" si="11"/>
        <v>CP943-2X Week P VZV Pre-Existing</v>
      </c>
    </row>
    <row r="332" spans="1:9" x14ac:dyDescent="0.25">
      <c r="A332" t="s">
        <v>840</v>
      </c>
      <c r="B332" t="s">
        <v>406</v>
      </c>
      <c r="C332" t="s">
        <v>841</v>
      </c>
      <c r="D332" t="s">
        <v>720</v>
      </c>
      <c r="E332" t="str">
        <f>VLOOKUP(DefaultCollections[[#This Row],[DEFAULT_COLL_TYPE]],CollectionLookups,2,FALSE)</f>
        <v>P VZV Pre-Existing AP</v>
      </c>
      <c r="F332" t="str">
        <f t="shared" si="10"/>
        <v>CP943-P VZV Pre-Existing AP</v>
      </c>
      <c r="G332" t="str">
        <f>VLOOKUP(DefaultCollections[[#This Row],[DEFAULT_COLL_TYPE]],CollectionLookups,3,FALSE)</f>
        <v>2X Week P VZV Pre-Existing AP</v>
      </c>
      <c r="H332" t="str">
        <f t="shared" si="11"/>
        <v>CP943-2X Week P VZV Pre-Existing AP</v>
      </c>
    </row>
    <row r="333" spans="1:9" x14ac:dyDescent="0.25">
      <c r="A333" t="s">
        <v>842</v>
      </c>
      <c r="B333" t="s">
        <v>287</v>
      </c>
      <c r="C333" t="s">
        <v>843</v>
      </c>
      <c r="D333" t="s">
        <v>694</v>
      </c>
      <c r="E333" t="str">
        <f>VLOOKUP(DefaultCollections[[#This Row],[DEFAULT_COLL_TYPE]],CollectionLookups,2,FALSE)</f>
        <v>P Anti-D Pre-Existing Standard</v>
      </c>
      <c r="F333" t="str">
        <f t="shared" si="10"/>
        <v>CP944-P Anti-D Pre-Existing Standard</v>
      </c>
      <c r="G333">
        <f>VLOOKUP(DefaultCollections[[#This Row],[DEFAULT_COLL_TYPE]],CollectionLookups,3,FALSE)</f>
        <v>0</v>
      </c>
      <c r="H333" t="str">
        <f t="shared" si="11"/>
        <v>NO</v>
      </c>
    </row>
    <row r="334" spans="1:9" x14ac:dyDescent="0.25">
      <c r="A334" t="s">
        <v>842</v>
      </c>
      <c r="B334" t="s">
        <v>287</v>
      </c>
      <c r="C334" t="s">
        <v>843</v>
      </c>
      <c r="D334" t="s">
        <v>698</v>
      </c>
      <c r="E334" t="str">
        <f>VLOOKUP(DefaultCollections[[#This Row],[DEFAULT_COLL_TYPE]],CollectionLookups,2,FALSE)</f>
        <v>P NSP NS Standard</v>
      </c>
      <c r="F334" t="str">
        <f t="shared" si="10"/>
        <v>CP944-P NSP NS Standard</v>
      </c>
      <c r="G334" t="str">
        <f>VLOOKUP(DefaultCollections[[#This Row],[DEFAULT_COLL_TYPE]],CollectionLookups,3,FALSE)</f>
        <v>2X Week P NSP NS</v>
      </c>
      <c r="H334" t="str">
        <f t="shared" si="11"/>
        <v>CP944-2X Week P NSP NS</v>
      </c>
    </row>
    <row r="335" spans="1:9" x14ac:dyDescent="0.25">
      <c r="A335" t="s">
        <v>842</v>
      </c>
      <c r="B335" t="s">
        <v>287</v>
      </c>
      <c r="C335" t="s">
        <v>843</v>
      </c>
      <c r="D335" t="s">
        <v>825</v>
      </c>
      <c r="E335" t="str">
        <f>VLOOKUP(DefaultCollections[[#This Row],[DEFAULT_COLL_TYPE]],CollectionLookups,2,FALSE)</f>
        <v>P NORM KIG 10 Standard</v>
      </c>
      <c r="F335" t="str">
        <f t="shared" si="10"/>
        <v>CP944-P NORM KIG 10 Standard</v>
      </c>
      <c r="G335" t="str">
        <f>VLOOKUP(DefaultCollections[[#This Row],[DEFAULT_COLL_TYPE]],CollectionLookups,3,FALSE)</f>
        <v>2X Week P NORM KIG10</v>
      </c>
      <c r="H335" t="str">
        <f t="shared" si="11"/>
        <v>CP944-2X Week P NORM KIG10</v>
      </c>
    </row>
    <row r="336" spans="1:9" x14ac:dyDescent="0.25">
      <c r="A336" t="s">
        <v>842</v>
      </c>
      <c r="B336" t="s">
        <v>287</v>
      </c>
      <c r="C336" t="s">
        <v>843</v>
      </c>
      <c r="D336" t="s">
        <v>826</v>
      </c>
      <c r="E336" t="str">
        <f>VLOOKUP(DefaultCollections[[#This Row],[DEFAULT_COLL_TYPE]],CollectionLookups,2,FALSE)</f>
        <v>P NORM KIG 10-1 Standard</v>
      </c>
      <c r="F336" t="str">
        <f t="shared" si="10"/>
        <v>CP944-P NORM KIG 10-1 Standard</v>
      </c>
      <c r="G336" t="str">
        <f>VLOOKUP(DefaultCollections[[#This Row],[DEFAULT_COLL_TYPE]],CollectionLookups,3,FALSE)</f>
        <v>2X Week P NORM KIG10-1</v>
      </c>
      <c r="H336" t="str">
        <f t="shared" si="11"/>
        <v>CP944-2X Week P NORM KIG10-1</v>
      </c>
    </row>
    <row r="337" spans="1:9" x14ac:dyDescent="0.25">
      <c r="A337" t="s">
        <v>842</v>
      </c>
      <c r="B337" t="s">
        <v>287</v>
      </c>
      <c r="C337" t="s">
        <v>843</v>
      </c>
      <c r="D337" t="s">
        <v>827</v>
      </c>
      <c r="E337" t="str">
        <f>VLOOKUP(DefaultCollections[[#This Row],[DEFAULT_COLL_TYPE]],CollectionLookups,2,FALSE)</f>
        <v>P NORM KIG 10-2 Standard</v>
      </c>
      <c r="F337" t="str">
        <f t="shared" si="10"/>
        <v>CP944-P NORM KIG 10-2 Standard</v>
      </c>
      <c r="G337" t="str">
        <f>VLOOKUP(DefaultCollections[[#This Row],[DEFAULT_COLL_TYPE]],CollectionLookups,3,FALSE)</f>
        <v>2X Week P NORM KIG10-2</v>
      </c>
      <c r="H337" t="str">
        <f t="shared" si="11"/>
        <v>CP944-2X Week P NORM KIG10-2</v>
      </c>
    </row>
    <row r="338" spans="1:9" x14ac:dyDescent="0.25">
      <c r="A338" t="s">
        <v>844</v>
      </c>
      <c r="B338" t="s">
        <v>217</v>
      </c>
      <c r="C338" t="s">
        <v>845</v>
      </c>
      <c r="D338" t="s">
        <v>694</v>
      </c>
      <c r="E338" t="str">
        <f>VLOOKUP(DefaultCollections[[#This Row],[DEFAULT_COLL_TYPE]],CollectionLookups,2,FALSE)</f>
        <v>P Anti-D Pre-Existing Standard</v>
      </c>
      <c r="F338" t="str">
        <f t="shared" si="10"/>
        <v>CP946-P Anti-D Pre-Existing Standard</v>
      </c>
      <c r="G338">
        <f>VLOOKUP(DefaultCollections[[#This Row],[DEFAULT_COLL_TYPE]],CollectionLookups,3,FALSE)</f>
        <v>0</v>
      </c>
      <c r="H338" t="str">
        <f t="shared" si="11"/>
        <v>NO</v>
      </c>
      <c r="I338" s="147"/>
    </row>
    <row r="339" spans="1:9" x14ac:dyDescent="0.25">
      <c r="A339" t="s">
        <v>844</v>
      </c>
      <c r="B339" t="s">
        <v>217</v>
      </c>
      <c r="C339" t="s">
        <v>845</v>
      </c>
      <c r="D339" t="s">
        <v>723</v>
      </c>
      <c r="E339" t="str">
        <f>VLOOKUP(DefaultCollections[[#This Row],[DEFAULT_COLL_TYPE]],CollectionLookups,2,FALSE)</f>
        <v>P HBS Standard</v>
      </c>
      <c r="F339" t="str">
        <f t="shared" si="10"/>
        <v>CP946-P HBS Standard</v>
      </c>
      <c r="G339" t="str">
        <f>VLOOKUP(DefaultCollections[[#This Row],[DEFAULT_COLL_TYPE]],CollectionLookups,3,FALSE)</f>
        <v>2X Week P HBS</v>
      </c>
      <c r="H339" t="str">
        <f t="shared" si="11"/>
        <v>CP946-2X Week P HBS</v>
      </c>
    </row>
    <row r="340" spans="1:9" x14ac:dyDescent="0.25">
      <c r="A340" t="s">
        <v>844</v>
      </c>
      <c r="B340" t="s">
        <v>217</v>
      </c>
      <c r="C340" t="s">
        <v>845</v>
      </c>
      <c r="D340" t="s">
        <v>695</v>
      </c>
      <c r="E340" t="str">
        <f>VLOOKUP(DefaultCollections[[#This Row],[DEFAULT_COLL_TYPE]],CollectionLookups,2,FALSE)</f>
        <v>P HBS Pre-Existing Standard</v>
      </c>
      <c r="F340" t="str">
        <f t="shared" si="10"/>
        <v>CP946-P HBS Pre-Existing Standard</v>
      </c>
      <c r="G340" t="str">
        <f>VLOOKUP(DefaultCollections[[#This Row],[DEFAULT_COLL_TYPE]],CollectionLookups,3,FALSE)</f>
        <v>2X Week P HBS Pre-Existing</v>
      </c>
      <c r="H340" t="str">
        <f t="shared" si="11"/>
        <v>CP946-2X Week P HBS Pre-Existing</v>
      </c>
    </row>
    <row r="341" spans="1:9" x14ac:dyDescent="0.25">
      <c r="A341" t="s">
        <v>844</v>
      </c>
      <c r="B341" t="s">
        <v>217</v>
      </c>
      <c r="C341" t="s">
        <v>845</v>
      </c>
      <c r="D341" t="s">
        <v>698</v>
      </c>
      <c r="E341" t="str">
        <f>VLOOKUP(DefaultCollections[[#This Row],[DEFAULT_COLL_TYPE]],CollectionLookups,2,FALSE)</f>
        <v>P NSP NS Standard</v>
      </c>
      <c r="F341" t="str">
        <f t="shared" si="10"/>
        <v>CP946-P NSP NS Standard</v>
      </c>
      <c r="G341" t="str">
        <f>VLOOKUP(DefaultCollections[[#This Row],[DEFAULT_COLL_TYPE]],CollectionLookups,3,FALSE)</f>
        <v>2X Week P NSP NS</v>
      </c>
      <c r="H341" t="str">
        <f t="shared" si="11"/>
        <v>CP946-2X Week P NSP NS</v>
      </c>
    </row>
    <row r="342" spans="1:9" x14ac:dyDescent="0.25">
      <c r="A342" t="s">
        <v>844</v>
      </c>
      <c r="B342" t="s">
        <v>217</v>
      </c>
      <c r="C342" t="s">
        <v>845</v>
      </c>
      <c r="D342" t="s">
        <v>717</v>
      </c>
      <c r="E342" t="str">
        <f>VLOOKUP(DefaultCollections[[#This Row],[DEFAULT_COLL_TYPE]],CollectionLookups,2,FALSE)</f>
        <v>P VZV Standard</v>
      </c>
      <c r="F342" t="str">
        <f t="shared" si="10"/>
        <v>CP946-P VZV Standard</v>
      </c>
      <c r="G342" t="str">
        <f>VLOOKUP(DefaultCollections[[#This Row],[DEFAULT_COLL_TYPE]],CollectionLookups,3,FALSE)</f>
        <v>2X Week P VZV</v>
      </c>
      <c r="H342" t="str">
        <f t="shared" si="11"/>
        <v>CP946-2X Week P VZV</v>
      </c>
    </row>
    <row r="343" spans="1:9" x14ac:dyDescent="0.25">
      <c r="A343" t="s">
        <v>844</v>
      </c>
      <c r="B343" t="s">
        <v>217</v>
      </c>
      <c r="C343" t="s">
        <v>845</v>
      </c>
      <c r="D343" t="s">
        <v>718</v>
      </c>
      <c r="E343">
        <f>VLOOKUP(DefaultCollections[[#This Row],[DEFAULT_COLL_TYPE]],CollectionLookups,2,FALSE)</f>
        <v>0</v>
      </c>
      <c r="F343" t="str">
        <f t="shared" si="10"/>
        <v>NO</v>
      </c>
      <c r="G343" t="str">
        <f>VLOOKUP(DefaultCollections[[#This Row],[DEFAULT_COLL_TYPE]],CollectionLookups,3,FALSE)</f>
        <v>2X Week P VZV AP</v>
      </c>
      <c r="H343" t="str">
        <f t="shared" si="11"/>
        <v>CP946-2X Week P VZV AP</v>
      </c>
    </row>
    <row r="344" spans="1:9" x14ac:dyDescent="0.25">
      <c r="A344" t="s">
        <v>844</v>
      </c>
      <c r="B344" t="s">
        <v>217</v>
      </c>
      <c r="C344" t="s">
        <v>845</v>
      </c>
      <c r="D344" t="s">
        <v>719</v>
      </c>
      <c r="E344" t="str">
        <f>VLOOKUP(DefaultCollections[[#This Row],[DEFAULT_COLL_TYPE]],CollectionLookups,2,FALSE)</f>
        <v>PVZV Pre-Existing Standard</v>
      </c>
      <c r="F344" t="str">
        <f t="shared" si="10"/>
        <v>CP946-PVZV Pre-Existing Standard</v>
      </c>
      <c r="G344" t="str">
        <f>VLOOKUP(DefaultCollections[[#This Row],[DEFAULT_COLL_TYPE]],CollectionLookups,3,FALSE)</f>
        <v>2X Week P VZV Pre-Existing</v>
      </c>
      <c r="H344" t="str">
        <f t="shared" si="11"/>
        <v>CP946-2X Week P VZV Pre-Existing</v>
      </c>
    </row>
    <row r="345" spans="1:9" x14ac:dyDescent="0.25">
      <c r="A345" t="s">
        <v>844</v>
      </c>
      <c r="B345" t="s">
        <v>217</v>
      </c>
      <c r="C345" t="s">
        <v>845</v>
      </c>
      <c r="D345" t="s">
        <v>720</v>
      </c>
      <c r="E345" t="str">
        <f>VLOOKUP(DefaultCollections[[#This Row],[DEFAULT_COLL_TYPE]],CollectionLookups,2,FALSE)</f>
        <v>P VZV Pre-Existing AP</v>
      </c>
      <c r="F345" t="str">
        <f t="shared" si="10"/>
        <v>CP946-P VZV Pre-Existing AP</v>
      </c>
      <c r="G345" t="str">
        <f>VLOOKUP(DefaultCollections[[#This Row],[DEFAULT_COLL_TYPE]],CollectionLookups,3,FALSE)</f>
        <v>2X Week P VZV Pre-Existing AP</v>
      </c>
      <c r="H345" t="str">
        <f t="shared" si="11"/>
        <v>CP946-2X Week P VZV Pre-Existing AP</v>
      </c>
    </row>
    <row r="346" spans="1:9" x14ac:dyDescent="0.25">
      <c r="A346" t="s">
        <v>846</v>
      </c>
      <c r="B346" t="s">
        <v>411</v>
      </c>
      <c r="C346" t="s">
        <v>847</v>
      </c>
      <c r="D346" t="s">
        <v>694</v>
      </c>
      <c r="E346" t="str">
        <f>VLOOKUP(DefaultCollections[[#This Row],[DEFAULT_COLL_TYPE]],CollectionLookups,2,FALSE)</f>
        <v>P Anti-D Pre-Existing Standard</v>
      </c>
      <c r="F346" t="str">
        <f t="shared" si="10"/>
        <v>CP947-P Anti-D Pre-Existing Standard</v>
      </c>
      <c r="G346">
        <f>VLOOKUP(DefaultCollections[[#This Row],[DEFAULT_COLL_TYPE]],CollectionLookups,3,FALSE)</f>
        <v>0</v>
      </c>
      <c r="H346" t="str">
        <f t="shared" si="11"/>
        <v>NO</v>
      </c>
      <c r="I346" s="147"/>
    </row>
    <row r="347" spans="1:9" x14ac:dyDescent="0.25">
      <c r="A347" t="s">
        <v>846</v>
      </c>
      <c r="B347" t="s">
        <v>411</v>
      </c>
      <c r="C347" t="s">
        <v>847</v>
      </c>
      <c r="D347" t="s">
        <v>698</v>
      </c>
      <c r="E347" t="str">
        <f>VLOOKUP(DefaultCollections[[#This Row],[DEFAULT_COLL_TYPE]],CollectionLookups,2,FALSE)</f>
        <v>P NSP NS Standard</v>
      </c>
      <c r="F347" t="str">
        <f t="shared" si="10"/>
        <v>CP947-P NSP NS Standard</v>
      </c>
      <c r="G347" t="str">
        <f>VLOOKUP(DefaultCollections[[#This Row],[DEFAULT_COLL_TYPE]],CollectionLookups,3,FALSE)</f>
        <v>2X Week P NSP NS</v>
      </c>
      <c r="H347" t="str">
        <f t="shared" si="11"/>
        <v>CP947-2X Week P NSP NS</v>
      </c>
    </row>
    <row r="348" spans="1:9" x14ac:dyDescent="0.25">
      <c r="A348" t="s">
        <v>848</v>
      </c>
      <c r="B348" t="s">
        <v>371</v>
      </c>
      <c r="C348" t="s">
        <v>849</v>
      </c>
      <c r="D348" t="s">
        <v>694</v>
      </c>
      <c r="E348" t="str">
        <f>VLOOKUP(DefaultCollections[[#This Row],[DEFAULT_COLL_TYPE]],CollectionLookups,2,FALSE)</f>
        <v>P Anti-D Pre-Existing Standard</v>
      </c>
      <c r="F348" t="str">
        <f t="shared" si="10"/>
        <v>CP948-P Anti-D Pre-Existing Standard</v>
      </c>
      <c r="G348">
        <f>VLOOKUP(DefaultCollections[[#This Row],[DEFAULT_COLL_TYPE]],CollectionLookups,3,FALSE)</f>
        <v>0</v>
      </c>
      <c r="H348" t="str">
        <f t="shared" si="11"/>
        <v>NO</v>
      </c>
    </row>
    <row r="349" spans="1:9" x14ac:dyDescent="0.25">
      <c r="A349" t="s">
        <v>848</v>
      </c>
      <c r="B349" t="s">
        <v>371</v>
      </c>
      <c r="C349" t="s">
        <v>849</v>
      </c>
      <c r="D349" t="s">
        <v>695</v>
      </c>
      <c r="E349" t="str">
        <f>VLOOKUP(DefaultCollections[[#This Row],[DEFAULT_COLL_TYPE]],CollectionLookups,2,FALSE)</f>
        <v>P HBS Pre-Existing Standard</v>
      </c>
      <c r="F349" t="str">
        <f t="shared" si="10"/>
        <v>CP948-P HBS Pre-Existing Standard</v>
      </c>
      <c r="G349" t="str">
        <f>VLOOKUP(DefaultCollections[[#This Row],[DEFAULT_COLL_TYPE]],CollectionLookups,3,FALSE)</f>
        <v>2X Week P HBS Pre-Existing</v>
      </c>
      <c r="H349" t="str">
        <f t="shared" si="11"/>
        <v>CP948-2X Week P HBS Pre-Existing</v>
      </c>
    </row>
    <row r="350" spans="1:9" x14ac:dyDescent="0.25">
      <c r="A350" t="s">
        <v>848</v>
      </c>
      <c r="B350" t="s">
        <v>371</v>
      </c>
      <c r="C350" t="s">
        <v>849</v>
      </c>
      <c r="D350" t="s">
        <v>696</v>
      </c>
      <c r="E350" t="str">
        <f>VLOOKUP(DefaultCollections[[#This Row],[DEFAULT_COLL_TYPE]],CollectionLookups,2,FALSE)</f>
        <v>P HBS TWINRIX Standard</v>
      </c>
      <c r="F350" t="str">
        <f t="shared" si="10"/>
        <v>CP948-P HBS TWINRIX Standard</v>
      </c>
      <c r="G350" t="str">
        <f>VLOOKUP(DefaultCollections[[#This Row],[DEFAULT_COLL_TYPE]],CollectionLookups,3,FALSE)</f>
        <v>2X Week P HBS TWINRX</v>
      </c>
      <c r="H350" t="str">
        <f t="shared" si="11"/>
        <v>CP948-2X Week P HBS TWINRX</v>
      </c>
      <c r="I350" s="147"/>
    </row>
    <row r="351" spans="1:9" x14ac:dyDescent="0.25">
      <c r="A351" t="s">
        <v>848</v>
      </c>
      <c r="B351" t="s">
        <v>371</v>
      </c>
      <c r="C351" t="s">
        <v>849</v>
      </c>
      <c r="D351" t="s">
        <v>697</v>
      </c>
      <c r="E351" t="str">
        <f>VLOOKUP(DefaultCollections[[#This Row],[DEFAULT_COLL_TYPE]],CollectionLookups,2,FALSE)</f>
        <v>P HBS TWINRIX-AP Standard</v>
      </c>
      <c r="F351" t="str">
        <f t="shared" si="10"/>
        <v>CP948-P HBS TWINRIX-AP Standard</v>
      </c>
      <c r="G351" t="str">
        <f>VLOOKUP(DefaultCollections[[#This Row],[DEFAULT_COLL_TYPE]],CollectionLookups,3,FALSE)</f>
        <v>2X Week P HBS TWINRX-AP</v>
      </c>
      <c r="H351" t="str">
        <f t="shared" si="11"/>
        <v>CP948-2X Week P HBS TWINRX-AP</v>
      </c>
      <c r="I351" s="147"/>
    </row>
    <row r="352" spans="1:9" x14ac:dyDescent="0.25">
      <c r="A352" t="s">
        <v>848</v>
      </c>
      <c r="B352" t="s">
        <v>371</v>
      </c>
      <c r="C352" t="s">
        <v>849</v>
      </c>
      <c r="D352" t="s">
        <v>698</v>
      </c>
      <c r="E352" t="str">
        <f>VLOOKUP(DefaultCollections[[#This Row],[DEFAULT_COLL_TYPE]],CollectionLookups,2,FALSE)</f>
        <v>P NSP NS Standard</v>
      </c>
      <c r="F352" t="str">
        <f t="shared" si="10"/>
        <v>CP948-P NSP NS Standard</v>
      </c>
      <c r="G352" t="str">
        <f>VLOOKUP(DefaultCollections[[#This Row],[DEFAULT_COLL_TYPE]],CollectionLookups,3,FALSE)</f>
        <v>2X Week P NSP NS</v>
      </c>
      <c r="H352" t="str">
        <f t="shared" si="11"/>
        <v>CP948-2X Week P NSP NS</v>
      </c>
      <c r="I352" s="147"/>
    </row>
    <row r="353" spans="1:9" x14ac:dyDescent="0.25">
      <c r="A353" t="s">
        <v>848</v>
      </c>
      <c r="B353" t="s">
        <v>371</v>
      </c>
      <c r="C353" t="s">
        <v>849</v>
      </c>
      <c r="D353" t="s">
        <v>725</v>
      </c>
      <c r="E353" t="str">
        <f>VLOOKUP(DefaultCollections[[#This Row],[DEFAULT_COLL_TYPE]],CollectionLookups,2,FALSE)</f>
        <v>P Vaccinia Standard</v>
      </c>
      <c r="F353" t="str">
        <f t="shared" si="10"/>
        <v>CP948-P Vaccinia Standard</v>
      </c>
      <c r="G353">
        <f>VLOOKUP(DefaultCollections[[#This Row],[DEFAULT_COLL_TYPE]],CollectionLookups,3,FALSE)</f>
        <v>0</v>
      </c>
      <c r="H353" t="str">
        <f t="shared" si="11"/>
        <v>NO</v>
      </c>
      <c r="I353" s="147"/>
    </row>
    <row r="354" spans="1:9" x14ac:dyDescent="0.25">
      <c r="A354" t="s">
        <v>848</v>
      </c>
      <c r="B354" t="s">
        <v>371</v>
      </c>
      <c r="C354" t="s">
        <v>849</v>
      </c>
      <c r="D354" t="s">
        <v>717</v>
      </c>
      <c r="E354" t="str">
        <f>VLOOKUP(DefaultCollections[[#This Row],[DEFAULT_COLL_TYPE]],CollectionLookups,2,FALSE)</f>
        <v>P VZV Standard</v>
      </c>
      <c r="F354" t="str">
        <f t="shared" si="10"/>
        <v>CP948-P VZV Standard</v>
      </c>
      <c r="G354" t="str">
        <f>VLOOKUP(DefaultCollections[[#This Row],[DEFAULT_COLL_TYPE]],CollectionLookups,3,FALSE)</f>
        <v>2X Week P VZV</v>
      </c>
      <c r="H354" t="str">
        <f t="shared" si="11"/>
        <v>CP948-2X Week P VZV</v>
      </c>
    </row>
    <row r="355" spans="1:9" x14ac:dyDescent="0.25">
      <c r="A355" t="s">
        <v>848</v>
      </c>
      <c r="B355" t="s">
        <v>371</v>
      </c>
      <c r="C355" t="s">
        <v>849</v>
      </c>
      <c r="D355" t="s">
        <v>718</v>
      </c>
      <c r="E355">
        <f>VLOOKUP(DefaultCollections[[#This Row],[DEFAULT_COLL_TYPE]],CollectionLookups,2,FALSE)</f>
        <v>0</v>
      </c>
      <c r="F355" t="str">
        <f t="shared" si="10"/>
        <v>NO</v>
      </c>
      <c r="G355" t="str">
        <f>VLOOKUP(DefaultCollections[[#This Row],[DEFAULT_COLL_TYPE]],CollectionLookups,3,FALSE)</f>
        <v>2X Week P VZV AP</v>
      </c>
      <c r="H355" t="str">
        <f t="shared" si="11"/>
        <v>CP948-2X Week P VZV AP</v>
      </c>
    </row>
    <row r="356" spans="1:9" x14ac:dyDescent="0.25">
      <c r="A356" t="s">
        <v>848</v>
      </c>
      <c r="B356" t="s">
        <v>371</v>
      </c>
      <c r="C356" t="s">
        <v>849</v>
      </c>
      <c r="D356" t="s">
        <v>719</v>
      </c>
      <c r="E356" t="str">
        <f>VLOOKUP(DefaultCollections[[#This Row],[DEFAULT_COLL_TYPE]],CollectionLookups,2,FALSE)</f>
        <v>PVZV Pre-Existing Standard</v>
      </c>
      <c r="F356" t="str">
        <f t="shared" si="10"/>
        <v>CP948-PVZV Pre-Existing Standard</v>
      </c>
      <c r="G356" t="str">
        <f>VLOOKUP(DefaultCollections[[#This Row],[DEFAULT_COLL_TYPE]],CollectionLookups,3,FALSE)</f>
        <v>2X Week P VZV Pre-Existing</v>
      </c>
      <c r="H356" t="str">
        <f t="shared" si="11"/>
        <v>CP948-2X Week P VZV Pre-Existing</v>
      </c>
    </row>
    <row r="357" spans="1:9" x14ac:dyDescent="0.25">
      <c r="A357" t="s">
        <v>848</v>
      </c>
      <c r="B357" t="s">
        <v>371</v>
      </c>
      <c r="C357" t="s">
        <v>849</v>
      </c>
      <c r="D357" t="s">
        <v>720</v>
      </c>
      <c r="E357" t="str">
        <f>VLOOKUP(DefaultCollections[[#This Row],[DEFAULT_COLL_TYPE]],CollectionLookups,2,FALSE)</f>
        <v>P VZV Pre-Existing AP</v>
      </c>
      <c r="F357" t="str">
        <f t="shared" si="10"/>
        <v>CP948-P VZV Pre-Existing AP</v>
      </c>
      <c r="G357" t="str">
        <f>VLOOKUP(DefaultCollections[[#This Row],[DEFAULT_COLL_TYPE]],CollectionLookups,3,FALSE)</f>
        <v>2X Week P VZV Pre-Existing AP</v>
      </c>
      <c r="H357" t="str">
        <f t="shared" si="11"/>
        <v>CP948-2X Week P VZV Pre-Existing AP</v>
      </c>
    </row>
    <row r="358" spans="1:9" x14ac:dyDescent="0.25">
      <c r="A358" t="s">
        <v>850</v>
      </c>
      <c r="B358" t="s">
        <v>225</v>
      </c>
      <c r="C358" t="s">
        <v>851</v>
      </c>
      <c r="D358" t="s">
        <v>694</v>
      </c>
      <c r="E358" t="str">
        <f>VLOOKUP(DefaultCollections[[#This Row],[DEFAULT_COLL_TYPE]],CollectionLookups,2,FALSE)</f>
        <v>P Anti-D Pre-Existing Standard</v>
      </c>
      <c r="F358" t="str">
        <f t="shared" si="10"/>
        <v>CP949-P Anti-D Pre-Existing Standard</v>
      </c>
      <c r="G358">
        <f>VLOOKUP(DefaultCollections[[#This Row],[DEFAULT_COLL_TYPE]],CollectionLookups,3,FALSE)</f>
        <v>0</v>
      </c>
      <c r="H358" t="str">
        <f t="shared" si="11"/>
        <v>NO</v>
      </c>
    </row>
    <row r="359" spans="1:9" x14ac:dyDescent="0.25">
      <c r="A359" t="s">
        <v>850</v>
      </c>
      <c r="B359" t="s">
        <v>225</v>
      </c>
      <c r="C359" t="s">
        <v>851</v>
      </c>
      <c r="D359" t="s">
        <v>698</v>
      </c>
      <c r="E359" t="str">
        <f>VLOOKUP(DefaultCollections[[#This Row],[DEFAULT_COLL_TYPE]],CollectionLookups,2,FALSE)</f>
        <v>P NSP NS Standard</v>
      </c>
      <c r="F359" t="str">
        <f t="shared" si="10"/>
        <v>CP949-P NSP NS Standard</v>
      </c>
      <c r="G359" t="str">
        <f>VLOOKUP(DefaultCollections[[#This Row],[DEFAULT_COLL_TYPE]],CollectionLookups,3,FALSE)</f>
        <v>2X Week P NSP NS</v>
      </c>
      <c r="H359" t="str">
        <f t="shared" si="11"/>
        <v>CP949-2X Week P NSP NS</v>
      </c>
      <c r="I359" s="147"/>
    </row>
    <row r="360" spans="1:9" x14ac:dyDescent="0.25">
      <c r="A360" t="s">
        <v>852</v>
      </c>
      <c r="B360" t="s">
        <v>313</v>
      </c>
      <c r="C360" t="s">
        <v>853</v>
      </c>
      <c r="D360" t="s">
        <v>694</v>
      </c>
      <c r="E360" t="str">
        <f>VLOOKUP(DefaultCollections[[#This Row],[DEFAULT_COLL_TYPE]],CollectionLookups,2,FALSE)</f>
        <v>P Anti-D Pre-Existing Standard</v>
      </c>
      <c r="F360" t="str">
        <f t="shared" si="10"/>
        <v>CP953-P Anti-D Pre-Existing Standard</v>
      </c>
      <c r="G360">
        <f>VLOOKUP(DefaultCollections[[#This Row],[DEFAULT_COLL_TYPE]],CollectionLookups,3,FALSE)</f>
        <v>0</v>
      </c>
      <c r="H360" t="str">
        <f t="shared" si="11"/>
        <v>NO</v>
      </c>
    </row>
    <row r="361" spans="1:9" x14ac:dyDescent="0.25">
      <c r="A361" t="s">
        <v>852</v>
      </c>
      <c r="B361" t="s">
        <v>313</v>
      </c>
      <c r="C361" t="s">
        <v>853</v>
      </c>
      <c r="D361" t="s">
        <v>698</v>
      </c>
      <c r="E361" t="str">
        <f>VLOOKUP(DefaultCollections[[#This Row],[DEFAULT_COLL_TYPE]],CollectionLookups,2,FALSE)</f>
        <v>P NSP NS Standard</v>
      </c>
      <c r="F361" t="str">
        <f t="shared" si="10"/>
        <v>CP953-P NSP NS Standard</v>
      </c>
      <c r="G361" t="str">
        <f>VLOOKUP(DefaultCollections[[#This Row],[DEFAULT_COLL_TYPE]],CollectionLookups,3,FALSE)</f>
        <v>2X Week P NSP NS</v>
      </c>
      <c r="H361" t="str">
        <f t="shared" si="11"/>
        <v>CP953-2X Week P NSP NS</v>
      </c>
    </row>
    <row r="362" spans="1:9" x14ac:dyDescent="0.25">
      <c r="A362" t="s">
        <v>854</v>
      </c>
      <c r="B362" t="s">
        <v>331</v>
      </c>
      <c r="C362" t="s">
        <v>855</v>
      </c>
      <c r="D362" t="s">
        <v>693</v>
      </c>
      <c r="E362" t="str">
        <f>VLOOKUP(DefaultCollections[[#This Row],[DEFAULT_COLL_TYPE]],CollectionLookups,2,FALSE)</f>
        <v>P Anti-D Standard</v>
      </c>
      <c r="F362" t="str">
        <f t="shared" si="10"/>
        <v>CP955-P Anti-D Standard</v>
      </c>
      <c r="G362" t="str">
        <f>VLOOKUP(DefaultCollections[[#This Row],[DEFAULT_COLL_TYPE]],CollectionLookups,3,FALSE)</f>
        <v>2X Week P Anti-D</v>
      </c>
      <c r="H362" t="str">
        <f t="shared" si="11"/>
        <v>CP955-2X Week P Anti-D</v>
      </c>
    </row>
    <row r="363" spans="1:9" x14ac:dyDescent="0.25">
      <c r="A363" t="s">
        <v>854</v>
      </c>
      <c r="B363" t="s">
        <v>331</v>
      </c>
      <c r="C363" t="s">
        <v>855</v>
      </c>
      <c r="D363" t="s">
        <v>694</v>
      </c>
      <c r="E363" t="str">
        <f>VLOOKUP(DefaultCollections[[#This Row],[DEFAULT_COLL_TYPE]],CollectionLookups,2,FALSE)</f>
        <v>P Anti-D Pre-Existing Standard</v>
      </c>
      <c r="F363" t="str">
        <f t="shared" si="10"/>
        <v>CP955-P Anti-D Pre-Existing Standard</v>
      </c>
      <c r="G363">
        <f>VLOOKUP(DefaultCollections[[#This Row],[DEFAULT_COLL_TYPE]],CollectionLookups,3,FALSE)</f>
        <v>0</v>
      </c>
      <c r="H363" t="str">
        <f t="shared" si="11"/>
        <v>NO</v>
      </c>
    </row>
    <row r="364" spans="1:9" x14ac:dyDescent="0.25">
      <c r="A364" t="s">
        <v>854</v>
      </c>
      <c r="B364" t="s">
        <v>331</v>
      </c>
      <c r="C364" t="s">
        <v>855</v>
      </c>
      <c r="D364" t="s">
        <v>698</v>
      </c>
      <c r="E364" t="str">
        <f>VLOOKUP(DefaultCollections[[#This Row],[DEFAULT_COLL_TYPE]],CollectionLookups,2,FALSE)</f>
        <v>P NSP NS Standard</v>
      </c>
      <c r="F364" t="str">
        <f t="shared" si="10"/>
        <v>CP955-P NSP NS Standard</v>
      </c>
      <c r="G364" t="str">
        <f>VLOOKUP(DefaultCollections[[#This Row],[DEFAULT_COLL_TYPE]],CollectionLookups,3,FALSE)</f>
        <v>2X Week P NSP NS</v>
      </c>
      <c r="H364" t="str">
        <f t="shared" si="11"/>
        <v>CP955-2X Week P NSP NS</v>
      </c>
    </row>
    <row r="365" spans="1:9" x14ac:dyDescent="0.25">
      <c r="A365" t="s">
        <v>856</v>
      </c>
      <c r="B365" t="s">
        <v>340</v>
      </c>
      <c r="C365" t="s">
        <v>857</v>
      </c>
      <c r="D365" t="s">
        <v>694</v>
      </c>
      <c r="E365" t="str">
        <f>VLOOKUP(DefaultCollections[[#This Row],[DEFAULT_COLL_TYPE]],CollectionLookups,2,FALSE)</f>
        <v>P Anti-D Pre-Existing Standard</v>
      </c>
      <c r="F365" t="str">
        <f t="shared" si="10"/>
        <v>CP957-P Anti-D Pre-Existing Standard</v>
      </c>
      <c r="G365">
        <f>VLOOKUP(DefaultCollections[[#This Row],[DEFAULT_COLL_TYPE]],CollectionLookups,3,FALSE)</f>
        <v>0</v>
      </c>
      <c r="H365" t="str">
        <f t="shared" si="11"/>
        <v>NO</v>
      </c>
    </row>
    <row r="366" spans="1:9" x14ac:dyDescent="0.25">
      <c r="A366" t="s">
        <v>856</v>
      </c>
      <c r="B366" t="s">
        <v>340</v>
      </c>
      <c r="C366" t="s">
        <v>857</v>
      </c>
      <c r="D366" t="s">
        <v>698</v>
      </c>
      <c r="E366" t="str">
        <f>VLOOKUP(DefaultCollections[[#This Row],[DEFAULT_COLL_TYPE]],CollectionLookups,2,FALSE)</f>
        <v>P NSP NS Standard</v>
      </c>
      <c r="F366" t="str">
        <f t="shared" si="10"/>
        <v>CP957-P NSP NS Standard</v>
      </c>
      <c r="G366" t="str">
        <f>VLOOKUP(DefaultCollections[[#This Row],[DEFAULT_COLL_TYPE]],CollectionLookups,3,FALSE)</f>
        <v>2X Week P NSP NS</v>
      </c>
      <c r="H366" t="str">
        <f t="shared" si="11"/>
        <v>CP957-2X Week P NSP NS</v>
      </c>
    </row>
    <row r="367" spans="1:9" x14ac:dyDescent="0.25">
      <c r="A367" t="s">
        <v>858</v>
      </c>
      <c r="B367" t="s">
        <v>453</v>
      </c>
      <c r="C367" t="s">
        <v>859</v>
      </c>
      <c r="D367" t="s">
        <v>694</v>
      </c>
      <c r="E367" t="str">
        <f>VLOOKUP(DefaultCollections[[#This Row],[DEFAULT_COLL_TYPE]],CollectionLookups,2,FALSE)</f>
        <v>P Anti-D Pre-Existing Standard</v>
      </c>
      <c r="F367" t="str">
        <f t="shared" si="10"/>
        <v>CP959-P Anti-D Pre-Existing Standard</v>
      </c>
      <c r="G367">
        <f>VLOOKUP(DefaultCollections[[#This Row],[DEFAULT_COLL_TYPE]],CollectionLookups,3,FALSE)</f>
        <v>0</v>
      </c>
      <c r="H367" t="str">
        <f t="shared" si="11"/>
        <v>NO</v>
      </c>
    </row>
    <row r="368" spans="1:9" x14ac:dyDescent="0.25">
      <c r="A368" t="s">
        <v>858</v>
      </c>
      <c r="B368" t="s">
        <v>453</v>
      </c>
      <c r="C368" t="s">
        <v>859</v>
      </c>
      <c r="D368" t="s">
        <v>698</v>
      </c>
      <c r="E368" t="str">
        <f>VLOOKUP(DefaultCollections[[#This Row],[DEFAULT_COLL_TYPE]],CollectionLookups,2,FALSE)</f>
        <v>P NSP NS Standard</v>
      </c>
      <c r="F368" t="str">
        <f t="shared" si="10"/>
        <v>CP959-P NSP NS Standard</v>
      </c>
      <c r="G368" t="str">
        <f>VLOOKUP(DefaultCollections[[#This Row],[DEFAULT_COLL_TYPE]],CollectionLookups,3,FALSE)</f>
        <v>2X Week P NSP NS</v>
      </c>
      <c r="H368" t="str">
        <f t="shared" si="11"/>
        <v>CP959-2X Week P NSP NS</v>
      </c>
    </row>
    <row r="369" spans="1:8" x14ac:dyDescent="0.25">
      <c r="A369" t="s">
        <v>860</v>
      </c>
      <c r="B369" t="s">
        <v>93</v>
      </c>
      <c r="C369" t="s">
        <v>861</v>
      </c>
      <c r="D369" t="s">
        <v>757</v>
      </c>
      <c r="E369">
        <f>VLOOKUP(DefaultCollections[[#This Row],[DEFAULT_COLL_TYPE]],CollectionLookups,2,FALSE)</f>
        <v>0</v>
      </c>
      <c r="F369" t="str">
        <f t="shared" si="10"/>
        <v>NO</v>
      </c>
      <c r="G369">
        <f>VLOOKUP(DefaultCollections[[#This Row],[DEFAULT_COLL_TYPE]],CollectionLookups,3,FALSE)</f>
        <v>0</v>
      </c>
      <c r="H369" t="str">
        <f t="shared" si="11"/>
        <v>NO</v>
      </c>
    </row>
    <row r="370" spans="1:8" x14ac:dyDescent="0.25">
      <c r="A370" t="s">
        <v>860</v>
      </c>
      <c r="B370" t="s">
        <v>93</v>
      </c>
      <c r="C370" t="s">
        <v>861</v>
      </c>
      <c r="D370" t="s">
        <v>693</v>
      </c>
      <c r="E370" t="str">
        <f>VLOOKUP(DefaultCollections[[#This Row],[DEFAULT_COLL_TYPE]],CollectionLookups,2,FALSE)</f>
        <v>P Anti-D Standard</v>
      </c>
      <c r="F370" t="str">
        <f t="shared" si="10"/>
        <v>CP961-P Anti-D Standard</v>
      </c>
      <c r="G370" t="str">
        <f>VLOOKUP(DefaultCollections[[#This Row],[DEFAULT_COLL_TYPE]],CollectionLookups,3,FALSE)</f>
        <v>2X Week P Anti-D</v>
      </c>
      <c r="H370" t="str">
        <f t="shared" si="11"/>
        <v>CP961-2X Week P Anti-D</v>
      </c>
    </row>
    <row r="371" spans="1:8" x14ac:dyDescent="0.25">
      <c r="A371" t="s">
        <v>860</v>
      </c>
      <c r="B371" t="s">
        <v>93</v>
      </c>
      <c r="C371" t="s">
        <v>861</v>
      </c>
      <c r="D371" t="s">
        <v>694</v>
      </c>
      <c r="E371" t="str">
        <f>VLOOKUP(DefaultCollections[[#This Row],[DEFAULT_COLL_TYPE]],CollectionLookups,2,FALSE)</f>
        <v>P Anti-D Pre-Existing Standard</v>
      </c>
      <c r="F371" t="str">
        <f t="shared" si="10"/>
        <v>CP961-P Anti-D Pre-Existing Standard</v>
      </c>
      <c r="G371">
        <f>VLOOKUP(DefaultCollections[[#This Row],[DEFAULT_COLL_TYPE]],CollectionLookups,3,FALSE)</f>
        <v>0</v>
      </c>
      <c r="H371" t="str">
        <f t="shared" si="11"/>
        <v>NO</v>
      </c>
    </row>
    <row r="372" spans="1:8" x14ac:dyDescent="0.25">
      <c r="A372" t="s">
        <v>860</v>
      </c>
      <c r="B372" t="s">
        <v>93</v>
      </c>
      <c r="C372" t="s">
        <v>861</v>
      </c>
      <c r="D372" t="s">
        <v>698</v>
      </c>
      <c r="E372" t="str">
        <f>VLOOKUP(DefaultCollections[[#This Row],[DEFAULT_COLL_TYPE]],CollectionLookups,2,FALSE)</f>
        <v>P NSP NS Standard</v>
      </c>
      <c r="F372" t="str">
        <f t="shared" si="10"/>
        <v>CP961-P NSP NS Standard</v>
      </c>
      <c r="G372" t="str">
        <f>VLOOKUP(DefaultCollections[[#This Row],[DEFAULT_COLL_TYPE]],CollectionLookups,3,FALSE)</f>
        <v>2X Week P NSP NS</v>
      </c>
      <c r="H372" t="str">
        <f t="shared" si="11"/>
        <v>CP961-2X Week P NSP NS</v>
      </c>
    </row>
    <row r="373" spans="1:8" x14ac:dyDescent="0.25">
      <c r="A373" t="s">
        <v>860</v>
      </c>
      <c r="B373" t="s">
        <v>93</v>
      </c>
      <c r="C373" t="s">
        <v>861</v>
      </c>
      <c r="D373" t="s">
        <v>725</v>
      </c>
      <c r="E373" t="str">
        <f>VLOOKUP(DefaultCollections[[#This Row],[DEFAULT_COLL_TYPE]],CollectionLookups,2,FALSE)</f>
        <v>P Vaccinia Standard</v>
      </c>
      <c r="F373" t="str">
        <f t="shared" si="10"/>
        <v>CP961-P Vaccinia Standard</v>
      </c>
      <c r="G373">
        <f>VLOOKUP(DefaultCollections[[#This Row],[DEFAULT_COLL_TYPE]],CollectionLookups,3,FALSE)</f>
        <v>0</v>
      </c>
      <c r="H373" t="str">
        <f t="shared" si="11"/>
        <v>NO</v>
      </c>
    </row>
    <row r="374" spans="1:8" x14ac:dyDescent="0.25">
      <c r="A374" t="s">
        <v>860</v>
      </c>
      <c r="B374" t="s">
        <v>93</v>
      </c>
      <c r="C374" t="s">
        <v>861</v>
      </c>
      <c r="D374" t="s">
        <v>719</v>
      </c>
      <c r="E374" t="str">
        <f>VLOOKUP(DefaultCollections[[#This Row],[DEFAULT_COLL_TYPE]],CollectionLookups,2,FALSE)</f>
        <v>PVZV Pre-Existing Standard</v>
      </c>
      <c r="F374" t="str">
        <f t="shared" si="10"/>
        <v>CP961-PVZV Pre-Existing Standard</v>
      </c>
      <c r="G374" t="str">
        <f>VLOOKUP(DefaultCollections[[#This Row],[DEFAULT_COLL_TYPE]],CollectionLookups,3,FALSE)</f>
        <v>2X Week P VZV Pre-Existing</v>
      </c>
      <c r="H374" t="str">
        <f t="shared" si="11"/>
        <v>CP961-2X Week P VZV Pre-Existing</v>
      </c>
    </row>
    <row r="375" spans="1:8" x14ac:dyDescent="0.25">
      <c r="A375" t="s">
        <v>860</v>
      </c>
      <c r="B375" t="s">
        <v>93</v>
      </c>
      <c r="C375" t="s">
        <v>861</v>
      </c>
      <c r="D375" t="s">
        <v>720</v>
      </c>
      <c r="E375" t="str">
        <f>VLOOKUP(DefaultCollections[[#This Row],[DEFAULT_COLL_TYPE]],CollectionLookups,2,FALSE)</f>
        <v>P VZV Pre-Existing AP</v>
      </c>
      <c r="F375" t="str">
        <f t="shared" si="10"/>
        <v>CP961-P VZV Pre-Existing AP</v>
      </c>
      <c r="G375" t="str">
        <f>VLOOKUP(DefaultCollections[[#This Row],[DEFAULT_COLL_TYPE]],CollectionLookups,3,FALSE)</f>
        <v>2X Week P VZV Pre-Existing AP</v>
      </c>
      <c r="H375" t="str">
        <f t="shared" si="11"/>
        <v>CP961-2X Week P VZV Pre-Existing AP</v>
      </c>
    </row>
    <row r="376" spans="1:8" x14ac:dyDescent="0.25">
      <c r="A376" t="s">
        <v>862</v>
      </c>
      <c r="B376" t="s">
        <v>66</v>
      </c>
      <c r="C376" t="s">
        <v>863</v>
      </c>
      <c r="D376" t="s">
        <v>694</v>
      </c>
      <c r="E376" t="str">
        <f>VLOOKUP(DefaultCollections[[#This Row],[DEFAULT_COLL_TYPE]],CollectionLookups,2,FALSE)</f>
        <v>P Anti-D Pre-Existing Standard</v>
      </c>
      <c r="F376" t="str">
        <f t="shared" si="10"/>
        <v>CP962-P Anti-D Pre-Existing Standard</v>
      </c>
      <c r="G376">
        <f>VLOOKUP(DefaultCollections[[#This Row],[DEFAULT_COLL_TYPE]],CollectionLookups,3,FALSE)</f>
        <v>0</v>
      </c>
      <c r="H376" t="str">
        <f t="shared" si="11"/>
        <v>NO</v>
      </c>
    </row>
    <row r="377" spans="1:8" x14ac:dyDescent="0.25">
      <c r="A377" t="s">
        <v>862</v>
      </c>
      <c r="B377" t="s">
        <v>66</v>
      </c>
      <c r="C377" t="s">
        <v>863</v>
      </c>
      <c r="D377" t="s">
        <v>698</v>
      </c>
      <c r="E377" t="str">
        <f>VLOOKUP(DefaultCollections[[#This Row],[DEFAULT_COLL_TYPE]],CollectionLookups,2,FALSE)</f>
        <v>P NSP NS Standard</v>
      </c>
      <c r="F377" t="str">
        <f t="shared" si="10"/>
        <v>CP962-P NSP NS Standard</v>
      </c>
      <c r="G377" t="str">
        <f>VLOOKUP(DefaultCollections[[#This Row],[DEFAULT_COLL_TYPE]],CollectionLookups,3,FALSE)</f>
        <v>2X Week P NSP NS</v>
      </c>
      <c r="H377" t="str">
        <f t="shared" si="11"/>
        <v>CP962-2X Week P NSP NS</v>
      </c>
    </row>
    <row r="378" spans="1:8" x14ac:dyDescent="0.25">
      <c r="A378" t="s">
        <v>862</v>
      </c>
      <c r="B378" t="s">
        <v>66</v>
      </c>
      <c r="C378" t="s">
        <v>863</v>
      </c>
      <c r="D378" t="s">
        <v>725</v>
      </c>
      <c r="E378" t="str">
        <f>VLOOKUP(DefaultCollections[[#This Row],[DEFAULT_COLL_TYPE]],CollectionLookups,2,FALSE)</f>
        <v>P Vaccinia Standard</v>
      </c>
      <c r="F378" t="str">
        <f t="shared" si="10"/>
        <v>CP962-P Vaccinia Standard</v>
      </c>
      <c r="G378">
        <f>VLOOKUP(DefaultCollections[[#This Row],[DEFAULT_COLL_TYPE]],CollectionLookups,3,FALSE)</f>
        <v>0</v>
      </c>
      <c r="H378" t="str">
        <f t="shared" si="11"/>
        <v>NO</v>
      </c>
    </row>
    <row r="379" spans="1:8" x14ac:dyDescent="0.25">
      <c r="A379" t="s">
        <v>862</v>
      </c>
      <c r="B379" t="s">
        <v>66</v>
      </c>
      <c r="C379" t="s">
        <v>863</v>
      </c>
      <c r="D379" t="s">
        <v>719</v>
      </c>
      <c r="E379" t="str">
        <f>VLOOKUP(DefaultCollections[[#This Row],[DEFAULT_COLL_TYPE]],CollectionLookups,2,FALSE)</f>
        <v>PVZV Pre-Existing Standard</v>
      </c>
      <c r="F379" t="str">
        <f t="shared" si="10"/>
        <v>CP962-PVZV Pre-Existing Standard</v>
      </c>
      <c r="G379" t="str">
        <f>VLOOKUP(DefaultCollections[[#This Row],[DEFAULT_COLL_TYPE]],CollectionLookups,3,FALSE)</f>
        <v>2X Week P VZV Pre-Existing</v>
      </c>
      <c r="H379" t="str">
        <f t="shared" si="11"/>
        <v>CP962-2X Week P VZV Pre-Existing</v>
      </c>
    </row>
    <row r="380" spans="1:8" x14ac:dyDescent="0.25">
      <c r="A380" t="s">
        <v>862</v>
      </c>
      <c r="B380" t="s">
        <v>66</v>
      </c>
      <c r="C380" t="s">
        <v>863</v>
      </c>
      <c r="D380" t="s">
        <v>720</v>
      </c>
      <c r="E380" t="str">
        <f>VLOOKUP(DefaultCollections[[#This Row],[DEFAULT_COLL_TYPE]],CollectionLookups,2,FALSE)</f>
        <v>P VZV Pre-Existing AP</v>
      </c>
      <c r="F380" t="str">
        <f t="shared" si="10"/>
        <v>CP962-P VZV Pre-Existing AP</v>
      </c>
      <c r="G380" t="str">
        <f>VLOOKUP(DefaultCollections[[#This Row],[DEFAULT_COLL_TYPE]],CollectionLookups,3,FALSE)</f>
        <v>2X Week P VZV Pre-Existing AP</v>
      </c>
      <c r="H380" t="str">
        <f t="shared" si="11"/>
        <v>CP962-2X Week P VZV Pre-Existing AP</v>
      </c>
    </row>
  </sheetData>
  <phoneticPr fontId="7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80EE3-E339-4700-B105-DC62803F67ED}">
  <sheetPr codeName="Sheet3"/>
  <dimension ref="A1:V156"/>
  <sheetViews>
    <sheetView workbookViewId="0">
      <selection sqref="A1:C81"/>
    </sheetView>
  </sheetViews>
  <sheetFormatPr defaultRowHeight="15" x14ac:dyDescent="0.25"/>
  <cols>
    <col min="1" max="1" width="32" bestFit="1" customWidth="1"/>
    <col min="2" max="2" width="18.28515625" bestFit="1" customWidth="1"/>
    <col min="3" max="3" width="17" bestFit="1" customWidth="1"/>
    <col min="4" max="4" width="4.28515625" style="17" customWidth="1"/>
    <col min="5" max="5" width="30.140625" bestFit="1" customWidth="1"/>
    <col min="6" max="6" width="18" bestFit="1" customWidth="1"/>
    <col min="7" max="7" width="36.5703125" bestFit="1" customWidth="1"/>
    <col min="8" max="8" width="19.7109375" bestFit="1" customWidth="1"/>
    <col min="9" max="9" width="32.140625" bestFit="1" customWidth="1"/>
    <col min="10" max="10" width="6.28515625" style="17" customWidth="1"/>
    <col min="12" max="12" width="21.5703125" customWidth="1"/>
    <col min="13" max="13" width="28.5703125" bestFit="1" customWidth="1"/>
    <col min="14" max="14" width="26" bestFit="1" customWidth="1"/>
    <col min="18" max="18" width="28.5703125" bestFit="1" customWidth="1"/>
    <col min="21" max="21" width="27.85546875" bestFit="1" customWidth="1"/>
  </cols>
  <sheetData>
    <row r="1" spans="1:22" x14ac:dyDescent="0.25">
      <c r="A1" s="9" t="s">
        <v>536</v>
      </c>
      <c r="B1" s="10" t="s">
        <v>864</v>
      </c>
      <c r="C1" s="11" t="s">
        <v>865</v>
      </c>
      <c r="E1" s="9" t="s">
        <v>538</v>
      </c>
      <c r="F1" s="10" t="s">
        <v>540</v>
      </c>
      <c r="G1" s="10" t="s">
        <v>866</v>
      </c>
      <c r="H1" s="10" t="s">
        <v>867</v>
      </c>
      <c r="I1" s="11" t="s">
        <v>868</v>
      </c>
      <c r="L1" t="s">
        <v>869</v>
      </c>
      <c r="M1" t="s">
        <v>870</v>
      </c>
      <c r="N1" t="s">
        <v>871</v>
      </c>
      <c r="R1" t="s">
        <v>538</v>
      </c>
      <c r="U1" t="s">
        <v>872</v>
      </c>
    </row>
    <row r="2" spans="1:22" x14ac:dyDescent="0.25">
      <c r="A2" s="12" t="s">
        <v>873</v>
      </c>
      <c r="B2" t="s">
        <v>874</v>
      </c>
      <c r="C2" s="13" t="s">
        <v>875</v>
      </c>
      <c r="E2" s="12" t="s">
        <v>555</v>
      </c>
      <c r="F2" t="s">
        <v>546</v>
      </c>
      <c r="G2" t="s">
        <v>37</v>
      </c>
      <c r="H2" t="s">
        <v>876</v>
      </c>
      <c r="I2" s="13">
        <v>1</v>
      </c>
      <c r="L2" t="s">
        <v>709</v>
      </c>
      <c r="R2" t="s">
        <v>528</v>
      </c>
      <c r="U2" s="19" t="s">
        <v>504</v>
      </c>
      <c r="V2" t="s">
        <v>877</v>
      </c>
    </row>
    <row r="3" spans="1:22" x14ac:dyDescent="0.25">
      <c r="A3" s="12" t="s">
        <v>427</v>
      </c>
      <c r="B3" t="s">
        <v>426</v>
      </c>
      <c r="C3" s="13" t="s">
        <v>878</v>
      </c>
      <c r="E3" s="12" t="s">
        <v>556</v>
      </c>
      <c r="F3" t="s">
        <v>546</v>
      </c>
      <c r="G3" t="s">
        <v>38</v>
      </c>
      <c r="H3" t="s">
        <v>876</v>
      </c>
      <c r="I3" s="13">
        <v>2</v>
      </c>
      <c r="L3" t="s">
        <v>692</v>
      </c>
      <c r="M3" t="s">
        <v>501</v>
      </c>
      <c r="N3" t="s">
        <v>498</v>
      </c>
      <c r="R3" t="s">
        <v>529</v>
      </c>
      <c r="U3" s="18" t="s">
        <v>505</v>
      </c>
    </row>
    <row r="4" spans="1:22" x14ac:dyDescent="0.25">
      <c r="A4" s="12" t="s">
        <v>270</v>
      </c>
      <c r="B4" t="s">
        <v>269</v>
      </c>
      <c r="C4" s="13" t="s">
        <v>878</v>
      </c>
      <c r="E4" s="12" t="s">
        <v>557</v>
      </c>
      <c r="F4" t="s">
        <v>546</v>
      </c>
      <c r="G4" t="s">
        <v>39</v>
      </c>
      <c r="H4" t="s">
        <v>876</v>
      </c>
      <c r="I4" s="13">
        <v>3</v>
      </c>
      <c r="L4" t="s">
        <v>694</v>
      </c>
      <c r="M4" t="s">
        <v>469</v>
      </c>
      <c r="N4" s="29"/>
      <c r="R4" t="s">
        <v>530</v>
      </c>
      <c r="U4" s="19" t="s">
        <v>550</v>
      </c>
    </row>
    <row r="5" spans="1:22" x14ac:dyDescent="0.25">
      <c r="A5" s="12" t="s">
        <v>280</v>
      </c>
      <c r="B5" t="s">
        <v>279</v>
      </c>
      <c r="C5" s="13" t="s">
        <v>878</v>
      </c>
      <c r="E5" s="12" t="s">
        <v>558</v>
      </c>
      <c r="F5" t="s">
        <v>546</v>
      </c>
      <c r="G5" t="s">
        <v>40</v>
      </c>
      <c r="H5" t="s">
        <v>876</v>
      </c>
      <c r="I5" s="13">
        <v>4</v>
      </c>
      <c r="L5" t="s">
        <v>695</v>
      </c>
      <c r="M5" t="s">
        <v>472</v>
      </c>
      <c r="N5" t="s">
        <v>471</v>
      </c>
      <c r="R5" t="s">
        <v>531</v>
      </c>
      <c r="U5" s="18" t="s">
        <v>488</v>
      </c>
    </row>
    <row r="6" spans="1:22" x14ac:dyDescent="0.25">
      <c r="A6" s="12" t="s">
        <v>421</v>
      </c>
      <c r="B6" t="s">
        <v>420</v>
      </c>
      <c r="C6" s="13" t="s">
        <v>878</v>
      </c>
      <c r="E6" s="12" t="s">
        <v>559</v>
      </c>
      <c r="F6" t="s">
        <v>546</v>
      </c>
      <c r="G6" t="s">
        <v>41</v>
      </c>
      <c r="H6" t="s">
        <v>876</v>
      </c>
      <c r="I6" s="13">
        <v>5</v>
      </c>
      <c r="L6" t="s">
        <v>696</v>
      </c>
      <c r="M6" t="s">
        <v>506</v>
      </c>
      <c r="N6" t="s">
        <v>504</v>
      </c>
      <c r="R6" t="s">
        <v>879</v>
      </c>
      <c r="U6" s="19" t="s">
        <v>489</v>
      </c>
    </row>
    <row r="7" spans="1:22" x14ac:dyDescent="0.25">
      <c r="A7" s="12" t="s">
        <v>240</v>
      </c>
      <c r="B7" t="s">
        <v>239</v>
      </c>
      <c r="C7" s="13" t="s">
        <v>878</v>
      </c>
      <c r="E7" s="12" t="s">
        <v>560</v>
      </c>
      <c r="F7" t="s">
        <v>546</v>
      </c>
      <c r="G7" t="s">
        <v>42</v>
      </c>
      <c r="H7" t="s">
        <v>876</v>
      </c>
      <c r="I7" s="13">
        <v>6</v>
      </c>
      <c r="L7" t="s">
        <v>697</v>
      </c>
      <c r="M7" t="s">
        <v>507</v>
      </c>
      <c r="N7" t="s">
        <v>505</v>
      </c>
      <c r="R7" t="s">
        <v>533</v>
      </c>
      <c r="U7" s="18" t="s">
        <v>490</v>
      </c>
    </row>
    <row r="8" spans="1:22" x14ac:dyDescent="0.25">
      <c r="A8" s="12" t="s">
        <v>217</v>
      </c>
      <c r="B8" t="s">
        <v>216</v>
      </c>
      <c r="C8" s="13" t="s">
        <v>878</v>
      </c>
      <c r="E8" s="12" t="s">
        <v>561</v>
      </c>
      <c r="F8" t="s">
        <v>546</v>
      </c>
      <c r="G8" t="s">
        <v>43</v>
      </c>
      <c r="H8" t="s">
        <v>876</v>
      </c>
      <c r="I8" s="13">
        <v>7</v>
      </c>
      <c r="L8" t="s">
        <v>698</v>
      </c>
      <c r="M8" t="s">
        <v>584</v>
      </c>
      <c r="N8" t="s">
        <v>550</v>
      </c>
      <c r="R8" t="s">
        <v>477</v>
      </c>
      <c r="U8" s="19" t="s">
        <v>491</v>
      </c>
    </row>
    <row r="9" spans="1:22" x14ac:dyDescent="0.25">
      <c r="A9" s="12" t="s">
        <v>299</v>
      </c>
      <c r="B9" t="s">
        <v>298</v>
      </c>
      <c r="C9" s="13" t="s">
        <v>878</v>
      </c>
      <c r="E9" s="12" t="s">
        <v>562</v>
      </c>
      <c r="F9" t="s">
        <v>546</v>
      </c>
      <c r="G9" t="s">
        <v>44</v>
      </c>
      <c r="H9" t="s">
        <v>876</v>
      </c>
      <c r="I9" s="13">
        <v>8</v>
      </c>
      <c r="L9" t="s">
        <v>880</v>
      </c>
      <c r="M9" t="s">
        <v>583</v>
      </c>
      <c r="R9" t="s">
        <v>478</v>
      </c>
      <c r="U9" s="18" t="s">
        <v>641</v>
      </c>
    </row>
    <row r="10" spans="1:22" x14ac:dyDescent="0.25">
      <c r="A10" s="12" t="s">
        <v>401</v>
      </c>
      <c r="B10" t="s">
        <v>400</v>
      </c>
      <c r="C10" s="13" t="s">
        <v>878</v>
      </c>
      <c r="E10" s="12" t="s">
        <v>607</v>
      </c>
      <c r="F10" t="s">
        <v>579</v>
      </c>
      <c r="G10" t="s">
        <v>45</v>
      </c>
      <c r="H10" t="s">
        <v>876</v>
      </c>
      <c r="I10" s="13">
        <v>21</v>
      </c>
      <c r="L10" t="s">
        <v>699</v>
      </c>
      <c r="M10" t="s">
        <v>494</v>
      </c>
      <c r="N10" t="s">
        <v>485</v>
      </c>
      <c r="R10" t="s">
        <v>479</v>
      </c>
      <c r="U10" s="19" t="s">
        <v>34</v>
      </c>
    </row>
    <row r="11" spans="1:22" x14ac:dyDescent="0.25">
      <c r="A11" s="12" t="s">
        <v>396</v>
      </c>
      <c r="B11" t="s">
        <v>395</v>
      </c>
      <c r="C11" s="13" t="s">
        <v>878</v>
      </c>
      <c r="E11" s="12" t="s">
        <v>583</v>
      </c>
      <c r="F11" t="s">
        <v>579</v>
      </c>
      <c r="G11" t="s">
        <v>45</v>
      </c>
      <c r="H11" t="s">
        <v>876</v>
      </c>
      <c r="I11" s="13">
        <v>22</v>
      </c>
      <c r="L11" t="s">
        <v>702</v>
      </c>
      <c r="M11" t="s">
        <v>503</v>
      </c>
      <c r="N11" t="s">
        <v>499</v>
      </c>
      <c r="R11" t="s">
        <v>480</v>
      </c>
      <c r="U11" s="18" t="s">
        <v>469</v>
      </c>
    </row>
    <row r="12" spans="1:22" x14ac:dyDescent="0.25">
      <c r="A12" s="12" t="s">
        <v>445</v>
      </c>
      <c r="B12" t="s">
        <v>444</v>
      </c>
      <c r="C12" s="13" t="s">
        <v>878</v>
      </c>
      <c r="E12" s="12" t="s">
        <v>584</v>
      </c>
      <c r="F12" t="s">
        <v>579</v>
      </c>
      <c r="G12" t="s">
        <v>45</v>
      </c>
      <c r="H12" t="s">
        <v>876</v>
      </c>
      <c r="I12" s="13">
        <v>23</v>
      </c>
      <c r="L12" t="s">
        <v>703</v>
      </c>
      <c r="M12" t="s">
        <v>493</v>
      </c>
      <c r="N12" t="s">
        <v>487</v>
      </c>
      <c r="U12" s="19" t="s">
        <v>506</v>
      </c>
      <c r="V12" t="s">
        <v>881</v>
      </c>
    </row>
    <row r="13" spans="1:22" x14ac:dyDescent="0.25">
      <c r="A13" s="12" t="s">
        <v>186</v>
      </c>
      <c r="B13" t="s">
        <v>185</v>
      </c>
      <c r="C13" s="13" t="s">
        <v>878</v>
      </c>
      <c r="E13" s="12" t="s">
        <v>879</v>
      </c>
      <c r="F13" t="s">
        <v>546</v>
      </c>
      <c r="G13" t="s">
        <v>882</v>
      </c>
      <c r="H13" t="s">
        <v>876</v>
      </c>
      <c r="I13" s="13">
        <v>24</v>
      </c>
      <c r="L13" t="s">
        <v>708</v>
      </c>
      <c r="U13" s="18" t="s">
        <v>507</v>
      </c>
    </row>
    <row r="14" spans="1:22" x14ac:dyDescent="0.25">
      <c r="A14" s="12" t="s">
        <v>411</v>
      </c>
      <c r="B14" t="s">
        <v>410</v>
      </c>
      <c r="C14" s="13" t="s">
        <v>878</v>
      </c>
      <c r="E14" s="12" t="s">
        <v>883</v>
      </c>
      <c r="F14" t="s">
        <v>546</v>
      </c>
      <c r="G14" t="s">
        <v>46</v>
      </c>
      <c r="H14" t="s">
        <v>876</v>
      </c>
      <c r="I14" s="13">
        <v>25</v>
      </c>
      <c r="L14" t="s">
        <v>710</v>
      </c>
      <c r="U14" s="19" t="s">
        <v>583</v>
      </c>
    </row>
    <row r="15" spans="1:22" x14ac:dyDescent="0.25">
      <c r="A15" s="12" t="s">
        <v>91</v>
      </c>
      <c r="B15" t="s">
        <v>509</v>
      </c>
      <c r="C15" s="13" t="s">
        <v>878</v>
      </c>
      <c r="E15" s="12" t="s">
        <v>550</v>
      </c>
      <c r="F15" t="s">
        <v>546</v>
      </c>
      <c r="G15" t="s">
        <v>46</v>
      </c>
      <c r="H15" t="s">
        <v>876</v>
      </c>
      <c r="I15" s="13">
        <v>26</v>
      </c>
      <c r="L15" t="s">
        <v>711</v>
      </c>
      <c r="M15" t="s">
        <v>534</v>
      </c>
      <c r="U15" s="18" t="s">
        <v>584</v>
      </c>
    </row>
    <row r="16" spans="1:22" x14ac:dyDescent="0.25">
      <c r="A16" s="12" t="s">
        <v>325</v>
      </c>
      <c r="B16" t="s">
        <v>324</v>
      </c>
      <c r="C16" s="13" t="s">
        <v>878</v>
      </c>
      <c r="E16" s="12" t="s">
        <v>609</v>
      </c>
      <c r="F16" t="s">
        <v>546</v>
      </c>
      <c r="G16" t="s">
        <v>47</v>
      </c>
      <c r="H16" t="s">
        <v>876</v>
      </c>
      <c r="I16" s="13">
        <v>27</v>
      </c>
      <c r="L16" t="s">
        <v>712</v>
      </c>
      <c r="M16" t="s">
        <v>526</v>
      </c>
      <c r="U16" s="19" t="s">
        <v>495</v>
      </c>
    </row>
    <row r="17" spans="1:21" x14ac:dyDescent="0.25">
      <c r="A17" s="12" t="s">
        <v>182</v>
      </c>
      <c r="B17" t="s">
        <v>181</v>
      </c>
      <c r="C17" s="13" t="s">
        <v>878</v>
      </c>
      <c r="E17" s="12" t="s">
        <v>552</v>
      </c>
      <c r="F17" t="s">
        <v>546</v>
      </c>
      <c r="G17" t="s">
        <v>48</v>
      </c>
      <c r="H17" t="s">
        <v>876</v>
      </c>
      <c r="I17" s="13">
        <v>28</v>
      </c>
      <c r="L17" t="s">
        <v>715</v>
      </c>
      <c r="M17" t="s">
        <v>512</v>
      </c>
      <c r="N17" t="s">
        <v>510</v>
      </c>
      <c r="U17" s="18" t="s">
        <v>496</v>
      </c>
    </row>
    <row r="18" spans="1:21" x14ac:dyDescent="0.25">
      <c r="A18" s="12" t="s">
        <v>344</v>
      </c>
      <c r="B18" t="s">
        <v>343</v>
      </c>
      <c r="C18" s="13" t="s">
        <v>878</v>
      </c>
      <c r="E18" s="12" t="s">
        <v>884</v>
      </c>
      <c r="F18" t="s">
        <v>546</v>
      </c>
      <c r="G18" t="s">
        <v>49</v>
      </c>
      <c r="H18" t="s">
        <v>876</v>
      </c>
      <c r="I18" s="13">
        <v>29</v>
      </c>
      <c r="L18" t="s">
        <v>716</v>
      </c>
      <c r="M18" t="s">
        <v>513</v>
      </c>
      <c r="N18" t="s">
        <v>511</v>
      </c>
      <c r="U18" s="19" t="s">
        <v>497</v>
      </c>
    </row>
    <row r="19" spans="1:21" x14ac:dyDescent="0.25">
      <c r="A19" s="12" t="s">
        <v>86</v>
      </c>
      <c r="B19" t="s">
        <v>85</v>
      </c>
      <c r="C19" s="13" t="s">
        <v>878</v>
      </c>
      <c r="E19" s="12" t="s">
        <v>641</v>
      </c>
      <c r="F19" t="s">
        <v>546</v>
      </c>
      <c r="G19" t="s">
        <v>50</v>
      </c>
      <c r="H19" t="s">
        <v>876</v>
      </c>
      <c r="I19" s="13">
        <v>30</v>
      </c>
      <c r="L19" t="s">
        <v>717</v>
      </c>
      <c r="M19" t="s">
        <v>496</v>
      </c>
      <c r="N19" t="s">
        <v>488</v>
      </c>
    </row>
    <row r="20" spans="1:21" x14ac:dyDescent="0.25">
      <c r="A20" s="12" t="s">
        <v>136</v>
      </c>
      <c r="B20" t="s">
        <v>135</v>
      </c>
      <c r="C20" s="13" t="s">
        <v>878</v>
      </c>
      <c r="E20" s="12" t="s">
        <v>885</v>
      </c>
      <c r="F20" t="s">
        <v>546</v>
      </c>
      <c r="G20" t="s">
        <v>50</v>
      </c>
      <c r="H20" t="s">
        <v>876</v>
      </c>
      <c r="I20" s="13">
        <v>31</v>
      </c>
      <c r="L20" t="s">
        <v>718</v>
      </c>
      <c r="M20" s="29"/>
      <c r="N20" t="s">
        <v>489</v>
      </c>
    </row>
    <row r="21" spans="1:21" x14ac:dyDescent="0.25">
      <c r="A21" s="12" t="s">
        <v>886</v>
      </c>
      <c r="B21" t="s">
        <v>887</v>
      </c>
      <c r="C21" s="13" t="s">
        <v>875</v>
      </c>
      <c r="E21" s="12" t="s">
        <v>34</v>
      </c>
      <c r="F21" t="s">
        <v>578</v>
      </c>
      <c r="G21" t="s">
        <v>51</v>
      </c>
      <c r="H21" t="s">
        <v>876</v>
      </c>
      <c r="I21" s="13">
        <v>50</v>
      </c>
      <c r="L21" t="s">
        <v>719</v>
      </c>
      <c r="M21" t="s">
        <v>497</v>
      </c>
      <c r="N21" t="s">
        <v>490</v>
      </c>
    </row>
    <row r="22" spans="1:21" x14ac:dyDescent="0.25">
      <c r="A22" s="12" t="s">
        <v>158</v>
      </c>
      <c r="B22" t="s">
        <v>156</v>
      </c>
      <c r="C22" s="13" t="s">
        <v>878</v>
      </c>
      <c r="E22" s="12" t="s">
        <v>888</v>
      </c>
      <c r="F22" t="s">
        <v>546</v>
      </c>
      <c r="H22" t="s">
        <v>889</v>
      </c>
      <c r="I22" s="13" t="s">
        <v>45</v>
      </c>
      <c r="L22" t="s">
        <v>720</v>
      </c>
      <c r="M22" t="s">
        <v>495</v>
      </c>
      <c r="N22" t="s">
        <v>491</v>
      </c>
    </row>
    <row r="23" spans="1:21" x14ac:dyDescent="0.25">
      <c r="A23" s="12" t="s">
        <v>96</v>
      </c>
      <c r="B23" t="s">
        <v>514</v>
      </c>
      <c r="C23" s="13" t="s">
        <v>878</v>
      </c>
      <c r="E23" s="12" t="s">
        <v>545</v>
      </c>
      <c r="F23" t="s">
        <v>546</v>
      </c>
      <c r="I23" s="13"/>
      <c r="L23" t="s">
        <v>693</v>
      </c>
      <c r="M23" t="s">
        <v>474</v>
      </c>
      <c r="N23" t="s">
        <v>518</v>
      </c>
    </row>
    <row r="24" spans="1:21" x14ac:dyDescent="0.25">
      <c r="A24" s="12" t="s">
        <v>107</v>
      </c>
      <c r="B24" t="s">
        <v>515</v>
      </c>
      <c r="C24" s="13" t="s">
        <v>878</v>
      </c>
      <c r="E24" s="12" t="s">
        <v>518</v>
      </c>
      <c r="F24" t="s">
        <v>546</v>
      </c>
      <c r="H24" t="s">
        <v>889</v>
      </c>
      <c r="I24" s="12" t="s">
        <v>46</v>
      </c>
      <c r="L24" t="s">
        <v>723</v>
      </c>
      <c r="M24" t="s">
        <v>473</v>
      </c>
      <c r="N24" t="s">
        <v>470</v>
      </c>
    </row>
    <row r="25" spans="1:21" x14ac:dyDescent="0.25">
      <c r="A25" s="12" t="s">
        <v>114</v>
      </c>
      <c r="B25" t="s">
        <v>516</v>
      </c>
      <c r="C25" s="13" t="s">
        <v>878</v>
      </c>
      <c r="E25" s="12" t="s">
        <v>498</v>
      </c>
      <c r="F25" t="s">
        <v>546</v>
      </c>
      <c r="H25" t="s">
        <v>889</v>
      </c>
      <c r="I25" s="12" t="s">
        <v>46</v>
      </c>
      <c r="L25" t="s">
        <v>724</v>
      </c>
      <c r="M25" t="s">
        <v>508</v>
      </c>
    </row>
    <row r="26" spans="1:21" x14ac:dyDescent="0.25">
      <c r="A26" s="12" t="s">
        <v>109</v>
      </c>
      <c r="B26" t="s">
        <v>517</v>
      </c>
      <c r="C26" s="13" t="s">
        <v>878</v>
      </c>
      <c r="E26" s="12" t="s">
        <v>470</v>
      </c>
      <c r="F26" t="s">
        <v>546</v>
      </c>
      <c r="H26" t="s">
        <v>889</v>
      </c>
      <c r="I26" s="12" t="s">
        <v>46</v>
      </c>
      <c r="L26" t="s">
        <v>725</v>
      </c>
      <c r="M26" t="s">
        <v>476</v>
      </c>
      <c r="N26" s="29"/>
    </row>
    <row r="27" spans="1:21" x14ac:dyDescent="0.25">
      <c r="A27" s="12" t="s">
        <v>146</v>
      </c>
      <c r="B27" t="s">
        <v>145</v>
      </c>
      <c r="C27" s="13" t="s">
        <v>878</v>
      </c>
      <c r="E27" s="12" t="s">
        <v>471</v>
      </c>
      <c r="F27" t="s">
        <v>546</v>
      </c>
      <c r="H27" t="s">
        <v>889</v>
      </c>
      <c r="I27" s="12" t="s">
        <v>46</v>
      </c>
      <c r="L27" t="s">
        <v>890</v>
      </c>
    </row>
    <row r="28" spans="1:21" x14ac:dyDescent="0.25">
      <c r="A28" s="12" t="s">
        <v>304</v>
      </c>
      <c r="B28" t="s">
        <v>303</v>
      </c>
      <c r="C28" s="13" t="s">
        <v>878</v>
      </c>
      <c r="E28" s="12" t="s">
        <v>504</v>
      </c>
      <c r="F28" t="s">
        <v>546</v>
      </c>
      <c r="H28" t="s">
        <v>889</v>
      </c>
      <c r="I28" s="12" t="s">
        <v>46</v>
      </c>
      <c r="L28" t="s">
        <v>744</v>
      </c>
    </row>
    <row r="29" spans="1:21" x14ac:dyDescent="0.25">
      <c r="A29" s="12" t="s">
        <v>231</v>
      </c>
      <c r="B29" t="s">
        <v>230</v>
      </c>
      <c r="C29" s="13" t="s">
        <v>878</v>
      </c>
      <c r="E29" s="12" t="s">
        <v>505</v>
      </c>
      <c r="F29" t="s">
        <v>546</v>
      </c>
      <c r="H29" t="s">
        <v>889</v>
      </c>
      <c r="I29" s="12" t="s">
        <v>46</v>
      </c>
      <c r="L29" t="s">
        <v>757</v>
      </c>
    </row>
    <row r="30" spans="1:21" x14ac:dyDescent="0.25">
      <c r="A30" s="12" t="s">
        <v>118</v>
      </c>
      <c r="B30" t="s">
        <v>117</v>
      </c>
      <c r="C30" s="13" t="s">
        <v>878</v>
      </c>
      <c r="E30" s="12" t="s">
        <v>606</v>
      </c>
      <c r="F30" t="s">
        <v>546</v>
      </c>
      <c r="G30" t="s">
        <v>46</v>
      </c>
      <c r="H30" t="s">
        <v>889</v>
      </c>
      <c r="I30" s="12" t="s">
        <v>46</v>
      </c>
      <c r="L30" t="s">
        <v>814</v>
      </c>
      <c r="M30" t="s">
        <v>607</v>
      </c>
      <c r="N30" t="s">
        <v>606</v>
      </c>
    </row>
    <row r="31" spans="1:21" x14ac:dyDescent="0.25">
      <c r="A31" s="12" t="s">
        <v>153</v>
      </c>
      <c r="B31" t="s">
        <v>152</v>
      </c>
      <c r="C31" s="13" t="s">
        <v>878</v>
      </c>
      <c r="E31" s="12" t="s">
        <v>499</v>
      </c>
      <c r="F31" t="s">
        <v>546</v>
      </c>
      <c r="H31" t="s">
        <v>889</v>
      </c>
      <c r="I31" s="12" t="s">
        <v>46</v>
      </c>
      <c r="L31" t="s">
        <v>891</v>
      </c>
      <c r="M31" t="s">
        <v>892</v>
      </c>
      <c r="N31" t="s">
        <v>893</v>
      </c>
    </row>
    <row r="32" spans="1:21" x14ac:dyDescent="0.25">
      <c r="A32" s="12" t="s">
        <v>74</v>
      </c>
      <c r="B32" t="s">
        <v>73</v>
      </c>
      <c r="C32" s="13" t="s">
        <v>878</v>
      </c>
      <c r="E32" s="12" t="s">
        <v>485</v>
      </c>
      <c r="F32" t="s">
        <v>546</v>
      </c>
      <c r="H32" t="s">
        <v>889</v>
      </c>
      <c r="I32" s="12" t="s">
        <v>46</v>
      </c>
      <c r="L32" t="s">
        <v>825</v>
      </c>
      <c r="M32" t="s">
        <v>580</v>
      </c>
      <c r="N32" t="s">
        <v>547</v>
      </c>
    </row>
    <row r="33" spans="1:14" x14ac:dyDescent="0.25">
      <c r="A33" s="12" t="s">
        <v>319</v>
      </c>
      <c r="B33" t="s">
        <v>318</v>
      </c>
      <c r="C33" s="13" t="s">
        <v>878</v>
      </c>
      <c r="E33" s="12" t="s">
        <v>487</v>
      </c>
      <c r="F33" t="s">
        <v>546</v>
      </c>
      <c r="H33" t="s">
        <v>889</v>
      </c>
      <c r="I33" s="12" t="s">
        <v>46</v>
      </c>
      <c r="L33" t="s">
        <v>826</v>
      </c>
      <c r="M33" t="s">
        <v>581</v>
      </c>
      <c r="N33" t="s">
        <v>548</v>
      </c>
    </row>
    <row r="34" spans="1:14" x14ac:dyDescent="0.25">
      <c r="A34" s="12" t="s">
        <v>142</v>
      </c>
      <c r="B34" t="s">
        <v>141</v>
      </c>
      <c r="C34" s="13" t="s">
        <v>878</v>
      </c>
      <c r="E34" s="12" t="s">
        <v>510</v>
      </c>
      <c r="F34" t="s">
        <v>546</v>
      </c>
      <c r="H34" t="s">
        <v>889</v>
      </c>
      <c r="I34" s="12" t="s">
        <v>46</v>
      </c>
      <c r="L34" t="s">
        <v>827</v>
      </c>
      <c r="M34" t="s">
        <v>582</v>
      </c>
      <c r="N34" t="s">
        <v>549</v>
      </c>
    </row>
    <row r="35" spans="1:14" x14ac:dyDescent="0.25">
      <c r="A35" s="12" t="s">
        <v>331</v>
      </c>
      <c r="B35" t="s">
        <v>330</v>
      </c>
      <c r="C35" s="13" t="s">
        <v>878</v>
      </c>
      <c r="E35" s="12" t="s">
        <v>511</v>
      </c>
      <c r="F35" t="s">
        <v>546</v>
      </c>
      <c r="H35" t="s">
        <v>889</v>
      </c>
      <c r="I35" s="12" t="s">
        <v>46</v>
      </c>
      <c r="L35" t="s">
        <v>894</v>
      </c>
      <c r="M35" t="s">
        <v>492</v>
      </c>
      <c r="N35" t="s">
        <v>486</v>
      </c>
    </row>
    <row r="36" spans="1:14" x14ac:dyDescent="0.25">
      <c r="A36" s="12" t="s">
        <v>416</v>
      </c>
      <c r="B36" t="s">
        <v>415</v>
      </c>
      <c r="C36" s="13" t="s">
        <v>878</v>
      </c>
      <c r="E36" s="12" t="s">
        <v>488</v>
      </c>
      <c r="F36" t="s">
        <v>546</v>
      </c>
      <c r="H36" t="s">
        <v>889</v>
      </c>
      <c r="I36" s="12" t="s">
        <v>46</v>
      </c>
      <c r="L36" s="19"/>
    </row>
    <row r="37" spans="1:14" x14ac:dyDescent="0.25">
      <c r="A37" s="12" t="s">
        <v>291</v>
      </c>
      <c r="B37" t="s">
        <v>290</v>
      </c>
      <c r="C37" s="13" t="s">
        <v>878</v>
      </c>
      <c r="E37" s="12" t="s">
        <v>489</v>
      </c>
      <c r="F37" t="s">
        <v>546</v>
      </c>
      <c r="H37" t="s">
        <v>889</v>
      </c>
      <c r="I37" s="12" t="s">
        <v>46</v>
      </c>
      <c r="L37" s="18"/>
    </row>
    <row r="38" spans="1:14" x14ac:dyDescent="0.25">
      <c r="A38" s="12" t="s">
        <v>89</v>
      </c>
      <c r="B38" t="s">
        <v>519</v>
      </c>
      <c r="C38" s="13" t="s">
        <v>878</v>
      </c>
      <c r="E38" s="12" t="s">
        <v>490</v>
      </c>
      <c r="F38" t="s">
        <v>546</v>
      </c>
      <c r="H38" t="s">
        <v>889</v>
      </c>
      <c r="I38" s="12" t="s">
        <v>46</v>
      </c>
      <c r="L38" s="18"/>
    </row>
    <row r="39" spans="1:14" x14ac:dyDescent="0.25">
      <c r="A39" s="12" t="s">
        <v>208</v>
      </c>
      <c r="B39" t="s">
        <v>207</v>
      </c>
      <c r="C39" s="13" t="s">
        <v>878</v>
      </c>
      <c r="E39" s="12" t="s">
        <v>491</v>
      </c>
      <c r="F39" t="s">
        <v>546</v>
      </c>
      <c r="H39" t="s">
        <v>889</v>
      </c>
      <c r="I39" s="12" t="s">
        <v>46</v>
      </c>
      <c r="L39" s="19"/>
    </row>
    <row r="40" spans="1:14" x14ac:dyDescent="0.25">
      <c r="A40" s="12" t="s">
        <v>296</v>
      </c>
      <c r="B40" t="s">
        <v>295</v>
      </c>
      <c r="C40" s="13" t="s">
        <v>878</v>
      </c>
      <c r="E40" s="12" t="s">
        <v>895</v>
      </c>
      <c r="F40" t="s">
        <v>546</v>
      </c>
      <c r="H40" t="s">
        <v>889</v>
      </c>
      <c r="I40" s="12" t="s">
        <v>46</v>
      </c>
      <c r="L40" s="19"/>
    </row>
    <row r="41" spans="1:14" x14ac:dyDescent="0.25">
      <c r="A41" s="12" t="s">
        <v>432</v>
      </c>
      <c r="B41" t="s">
        <v>431</v>
      </c>
      <c r="C41" s="13" t="s">
        <v>878</v>
      </c>
      <c r="E41" s="12" t="s">
        <v>896</v>
      </c>
      <c r="F41" t="s">
        <v>546</v>
      </c>
      <c r="H41" t="s">
        <v>889</v>
      </c>
      <c r="I41" s="13"/>
      <c r="L41" s="18"/>
    </row>
    <row r="42" spans="1:14" x14ac:dyDescent="0.25">
      <c r="A42" s="12" t="s">
        <v>104</v>
      </c>
      <c r="B42" t="s">
        <v>103</v>
      </c>
      <c r="C42" s="13" t="s">
        <v>878</v>
      </c>
      <c r="E42" s="12" t="s">
        <v>897</v>
      </c>
      <c r="F42" t="s">
        <v>546</v>
      </c>
      <c r="H42" t="s">
        <v>889</v>
      </c>
      <c r="I42" s="13"/>
    </row>
    <row r="43" spans="1:14" x14ac:dyDescent="0.25">
      <c r="A43" s="12" t="s">
        <v>58</v>
      </c>
      <c r="B43" t="s">
        <v>56</v>
      </c>
      <c r="C43" s="13" t="s">
        <v>878</v>
      </c>
      <c r="E43" s="12" t="s">
        <v>898</v>
      </c>
      <c r="F43" t="s">
        <v>546</v>
      </c>
      <c r="H43" t="s">
        <v>889</v>
      </c>
      <c r="I43" s="13"/>
    </row>
    <row r="44" spans="1:14" x14ac:dyDescent="0.25">
      <c r="A44" s="12" t="s">
        <v>165</v>
      </c>
      <c r="B44" t="s">
        <v>520</v>
      </c>
      <c r="C44" s="13" t="s">
        <v>878</v>
      </c>
      <c r="E44" s="12" t="s">
        <v>899</v>
      </c>
      <c r="F44" t="s">
        <v>546</v>
      </c>
      <c r="G44" s="7"/>
      <c r="H44" t="s">
        <v>889</v>
      </c>
      <c r="I44" s="13"/>
    </row>
    <row r="45" spans="1:14" x14ac:dyDescent="0.25">
      <c r="A45" s="12" t="s">
        <v>258</v>
      </c>
      <c r="B45" t="s">
        <v>257</v>
      </c>
      <c r="C45" s="13" t="s">
        <v>878</v>
      </c>
      <c r="E45" s="12" t="s">
        <v>900</v>
      </c>
      <c r="F45" t="s">
        <v>546</v>
      </c>
      <c r="G45" s="6"/>
      <c r="H45" t="s">
        <v>889</v>
      </c>
      <c r="I45" s="13"/>
    </row>
    <row r="46" spans="1:14" x14ac:dyDescent="0.25">
      <c r="A46" s="12" t="s">
        <v>274</v>
      </c>
      <c r="B46" t="s">
        <v>521</v>
      </c>
      <c r="C46" s="13" t="s">
        <v>878</v>
      </c>
      <c r="E46" s="12" t="s">
        <v>901</v>
      </c>
      <c r="F46" t="s">
        <v>546</v>
      </c>
      <c r="G46" s="6"/>
      <c r="H46" t="s">
        <v>889</v>
      </c>
      <c r="I46" s="13"/>
    </row>
    <row r="47" spans="1:14" x14ac:dyDescent="0.25">
      <c r="A47" s="12" t="s">
        <v>123</v>
      </c>
      <c r="B47" t="s">
        <v>122</v>
      </c>
      <c r="C47" s="13" t="s">
        <v>878</v>
      </c>
      <c r="E47" s="12" t="s">
        <v>902</v>
      </c>
      <c r="F47" t="s">
        <v>546</v>
      </c>
      <c r="G47" s="6"/>
      <c r="H47" t="s">
        <v>889</v>
      </c>
      <c r="I47" s="13"/>
    </row>
    <row r="48" spans="1:14" x14ac:dyDescent="0.25">
      <c r="A48" s="12" t="s">
        <v>903</v>
      </c>
      <c r="B48" t="s">
        <v>904</v>
      </c>
      <c r="C48" s="13" t="s">
        <v>875</v>
      </c>
      <c r="E48" s="12" t="s">
        <v>905</v>
      </c>
      <c r="F48" t="s">
        <v>546</v>
      </c>
      <c r="G48" s="6"/>
      <c r="H48" t="s">
        <v>889</v>
      </c>
      <c r="I48" s="13"/>
    </row>
    <row r="49" spans="1:9" x14ac:dyDescent="0.25">
      <c r="A49" s="12" t="s">
        <v>133</v>
      </c>
      <c r="B49" t="s">
        <v>523</v>
      </c>
      <c r="C49" s="13" t="s">
        <v>878</v>
      </c>
      <c r="E49" s="12" t="s">
        <v>906</v>
      </c>
      <c r="F49" t="s">
        <v>546</v>
      </c>
      <c r="G49" s="6"/>
      <c r="H49" t="s">
        <v>889</v>
      </c>
      <c r="I49" s="13"/>
    </row>
    <row r="50" spans="1:9" x14ac:dyDescent="0.25">
      <c r="A50" s="12" t="s">
        <v>129</v>
      </c>
      <c r="B50" t="s">
        <v>524</v>
      </c>
      <c r="C50" s="13" t="s">
        <v>878</v>
      </c>
      <c r="E50" s="12" t="s">
        <v>907</v>
      </c>
      <c r="F50" t="s">
        <v>546</v>
      </c>
      <c r="G50" s="6"/>
      <c r="H50" t="s">
        <v>889</v>
      </c>
      <c r="I50" s="13"/>
    </row>
    <row r="51" spans="1:9" x14ac:dyDescent="0.25">
      <c r="A51" s="12" t="s">
        <v>908</v>
      </c>
      <c r="B51" t="s">
        <v>909</v>
      </c>
      <c r="C51" s="13" t="s">
        <v>875</v>
      </c>
      <c r="E51" s="12" t="s">
        <v>553</v>
      </c>
      <c r="F51" t="s">
        <v>546</v>
      </c>
      <c r="G51" s="6"/>
      <c r="I51" s="13"/>
    </row>
    <row r="52" spans="1:9" x14ac:dyDescent="0.25">
      <c r="A52" s="12" t="s">
        <v>255</v>
      </c>
      <c r="B52" t="s">
        <v>254</v>
      </c>
      <c r="C52" s="13" t="s">
        <v>878</v>
      </c>
      <c r="E52" s="12" t="s">
        <v>910</v>
      </c>
      <c r="F52" t="s">
        <v>546</v>
      </c>
      <c r="I52" s="13"/>
    </row>
    <row r="53" spans="1:9" x14ac:dyDescent="0.25">
      <c r="A53" s="12" t="s">
        <v>249</v>
      </c>
      <c r="B53" t="s">
        <v>525</v>
      </c>
      <c r="C53" s="13" t="s">
        <v>878</v>
      </c>
      <c r="E53" s="12" t="s">
        <v>911</v>
      </c>
      <c r="F53" t="s">
        <v>546</v>
      </c>
      <c r="I53" s="13"/>
    </row>
    <row r="54" spans="1:9" x14ac:dyDescent="0.25">
      <c r="A54" s="12" t="s">
        <v>912</v>
      </c>
      <c r="B54" t="s">
        <v>913</v>
      </c>
      <c r="C54" s="13" t="s">
        <v>914</v>
      </c>
      <c r="E54" s="12" t="s">
        <v>593</v>
      </c>
      <c r="F54" t="s">
        <v>546</v>
      </c>
      <c r="I54" s="13"/>
    </row>
    <row r="55" spans="1:9" x14ac:dyDescent="0.25">
      <c r="A55" s="12" t="s">
        <v>199</v>
      </c>
      <c r="B55" t="s">
        <v>198</v>
      </c>
      <c r="C55" s="13" t="s">
        <v>878</v>
      </c>
      <c r="E55" s="12" t="s">
        <v>554</v>
      </c>
      <c r="F55" t="s">
        <v>546</v>
      </c>
      <c r="I55" s="13"/>
    </row>
    <row r="56" spans="1:9" x14ac:dyDescent="0.25">
      <c r="A56" s="12" t="s">
        <v>915</v>
      </c>
      <c r="B56" t="s">
        <v>916</v>
      </c>
      <c r="C56" s="13" t="s">
        <v>875</v>
      </c>
      <c r="E56" s="12" t="s">
        <v>917</v>
      </c>
      <c r="F56" t="s">
        <v>546</v>
      </c>
      <c r="I56" s="13"/>
    </row>
    <row r="57" spans="1:9" x14ac:dyDescent="0.25">
      <c r="A57" s="12" t="s">
        <v>93</v>
      </c>
      <c r="B57" t="s">
        <v>92</v>
      </c>
      <c r="C57" s="13" t="s">
        <v>878</v>
      </c>
      <c r="E57" s="12" t="s">
        <v>918</v>
      </c>
      <c r="F57" t="s">
        <v>546</v>
      </c>
      <c r="I57" s="13"/>
    </row>
    <row r="58" spans="1:9" x14ac:dyDescent="0.25">
      <c r="A58" s="12" t="s">
        <v>66</v>
      </c>
      <c r="B58" t="s">
        <v>65</v>
      </c>
      <c r="C58" s="13" t="s">
        <v>878</v>
      </c>
      <c r="E58" s="12" t="s">
        <v>670</v>
      </c>
      <c r="F58" t="s">
        <v>546</v>
      </c>
      <c r="I58" s="13"/>
    </row>
    <row r="59" spans="1:9" x14ac:dyDescent="0.25">
      <c r="A59" s="12" t="s">
        <v>308</v>
      </c>
      <c r="B59" t="s">
        <v>307</v>
      </c>
      <c r="C59" s="13" t="s">
        <v>878</v>
      </c>
      <c r="E59" s="12" t="s">
        <v>671</v>
      </c>
      <c r="F59" t="s">
        <v>546</v>
      </c>
      <c r="I59" s="13"/>
    </row>
    <row r="60" spans="1:9" x14ac:dyDescent="0.25">
      <c r="A60" s="12" t="s">
        <v>389</v>
      </c>
      <c r="B60" t="s">
        <v>388</v>
      </c>
      <c r="C60" s="13" t="s">
        <v>878</v>
      </c>
      <c r="E60" s="12" t="s">
        <v>672</v>
      </c>
      <c r="F60" t="s">
        <v>546</v>
      </c>
      <c r="I60" s="13"/>
    </row>
    <row r="61" spans="1:9" x14ac:dyDescent="0.25">
      <c r="A61" s="12" t="s">
        <v>72</v>
      </c>
      <c r="B61" t="s">
        <v>71</v>
      </c>
      <c r="C61" s="13" t="s">
        <v>878</v>
      </c>
      <c r="E61" s="12" t="s">
        <v>673</v>
      </c>
      <c r="F61" t="s">
        <v>546</v>
      </c>
      <c r="I61" s="13"/>
    </row>
    <row r="62" spans="1:9" x14ac:dyDescent="0.25">
      <c r="A62" s="12" t="s">
        <v>80</v>
      </c>
      <c r="B62" t="s">
        <v>79</v>
      </c>
      <c r="C62" s="13" t="s">
        <v>878</v>
      </c>
      <c r="E62" s="12" t="s">
        <v>674</v>
      </c>
      <c r="F62" t="s">
        <v>546</v>
      </c>
      <c r="I62" s="13"/>
    </row>
    <row r="63" spans="1:9" x14ac:dyDescent="0.25">
      <c r="A63" s="12" t="s">
        <v>287</v>
      </c>
      <c r="B63" t="s">
        <v>286</v>
      </c>
      <c r="C63" s="13" t="s">
        <v>878</v>
      </c>
      <c r="E63" s="12" t="s">
        <v>477</v>
      </c>
      <c r="F63" t="s">
        <v>546</v>
      </c>
      <c r="H63" t="s">
        <v>889</v>
      </c>
      <c r="I63" s="13"/>
    </row>
    <row r="64" spans="1:9" x14ac:dyDescent="0.25">
      <c r="A64" s="12" t="s">
        <v>406</v>
      </c>
      <c r="B64" t="s">
        <v>405</v>
      </c>
      <c r="C64" s="13" t="s">
        <v>878</v>
      </c>
      <c r="E64" s="12" t="s">
        <v>478</v>
      </c>
      <c r="F64" t="s">
        <v>546</v>
      </c>
      <c r="H64" t="s">
        <v>889</v>
      </c>
      <c r="I64" s="13"/>
    </row>
    <row r="65" spans="1:9" x14ac:dyDescent="0.25">
      <c r="A65" s="12" t="s">
        <v>340</v>
      </c>
      <c r="B65" t="s">
        <v>339</v>
      </c>
      <c r="C65" s="13" t="s">
        <v>878</v>
      </c>
      <c r="E65" s="12" t="s">
        <v>479</v>
      </c>
      <c r="F65" t="s">
        <v>546</v>
      </c>
      <c r="H65" t="s">
        <v>889</v>
      </c>
      <c r="I65" s="13"/>
    </row>
    <row r="66" spans="1:9" x14ac:dyDescent="0.25">
      <c r="A66" s="12" t="s">
        <v>54</v>
      </c>
      <c r="B66" t="s">
        <v>527</v>
      </c>
      <c r="C66" s="13" t="s">
        <v>878</v>
      </c>
      <c r="E66" s="12" t="s">
        <v>480</v>
      </c>
      <c r="F66" t="s">
        <v>546</v>
      </c>
      <c r="H66" t="s">
        <v>889</v>
      </c>
      <c r="I66" s="13"/>
    </row>
    <row r="67" spans="1:9" x14ac:dyDescent="0.25">
      <c r="A67" s="12" t="s">
        <v>21</v>
      </c>
      <c r="B67" t="s">
        <v>18</v>
      </c>
      <c r="C67" s="13" t="s">
        <v>878</v>
      </c>
      <c r="E67" s="12" t="s">
        <v>919</v>
      </c>
      <c r="F67" t="s">
        <v>579</v>
      </c>
      <c r="H67" t="s">
        <v>889</v>
      </c>
      <c r="I67" s="13"/>
    </row>
    <row r="68" spans="1:9" x14ac:dyDescent="0.25">
      <c r="A68" s="12" t="s">
        <v>371</v>
      </c>
      <c r="B68" t="s">
        <v>370</v>
      </c>
      <c r="C68" s="13" t="s">
        <v>878</v>
      </c>
      <c r="E68" s="12" t="s">
        <v>920</v>
      </c>
      <c r="F68" t="s">
        <v>579</v>
      </c>
      <c r="H68" t="s">
        <v>889</v>
      </c>
      <c r="I68" s="13"/>
    </row>
    <row r="69" spans="1:9" x14ac:dyDescent="0.25">
      <c r="A69" s="12" t="s">
        <v>921</v>
      </c>
      <c r="B69" t="s">
        <v>922</v>
      </c>
      <c r="C69" s="13" t="s">
        <v>875</v>
      </c>
      <c r="E69" s="12" t="s">
        <v>528</v>
      </c>
      <c r="F69" t="s">
        <v>579</v>
      </c>
      <c r="H69" t="s">
        <v>889</v>
      </c>
      <c r="I69" s="13"/>
    </row>
    <row r="70" spans="1:9" x14ac:dyDescent="0.25">
      <c r="A70" s="12" t="s">
        <v>382</v>
      </c>
      <c r="B70" t="s">
        <v>381</v>
      </c>
      <c r="C70" s="13" t="s">
        <v>878</v>
      </c>
      <c r="E70" s="12" t="s">
        <v>529</v>
      </c>
      <c r="F70" t="s">
        <v>579</v>
      </c>
      <c r="H70" t="s">
        <v>889</v>
      </c>
      <c r="I70" s="13"/>
    </row>
    <row r="71" spans="1:9" x14ac:dyDescent="0.25">
      <c r="A71" s="12" t="s">
        <v>313</v>
      </c>
      <c r="B71" t="s">
        <v>312</v>
      </c>
      <c r="C71" s="13" t="s">
        <v>878</v>
      </c>
      <c r="E71" s="12" t="s">
        <v>530</v>
      </c>
      <c r="F71" t="s">
        <v>579</v>
      </c>
      <c r="H71" t="s">
        <v>889</v>
      </c>
      <c r="I71" s="13"/>
    </row>
    <row r="72" spans="1:9" x14ac:dyDescent="0.25">
      <c r="A72" s="12" t="s">
        <v>376</v>
      </c>
      <c r="B72" t="s">
        <v>375</v>
      </c>
      <c r="C72" s="13" t="s">
        <v>878</v>
      </c>
      <c r="E72" s="12" t="s">
        <v>531</v>
      </c>
      <c r="F72" t="s">
        <v>579</v>
      </c>
      <c r="H72" t="s">
        <v>889</v>
      </c>
      <c r="I72" s="13"/>
    </row>
    <row r="73" spans="1:9" x14ac:dyDescent="0.25">
      <c r="A73" s="12" t="s">
        <v>351</v>
      </c>
      <c r="B73" t="s">
        <v>350</v>
      </c>
      <c r="C73" s="13" t="s">
        <v>878</v>
      </c>
      <c r="E73" s="12" t="s">
        <v>532</v>
      </c>
      <c r="F73" t="s">
        <v>579</v>
      </c>
      <c r="H73" t="s">
        <v>889</v>
      </c>
      <c r="I73" s="13"/>
    </row>
    <row r="74" spans="1:9" x14ac:dyDescent="0.25">
      <c r="A74" s="12" t="s">
        <v>139</v>
      </c>
      <c r="B74" t="s">
        <v>138</v>
      </c>
      <c r="C74" s="13" t="s">
        <v>878</v>
      </c>
      <c r="E74" s="12" t="s">
        <v>923</v>
      </c>
      <c r="F74" t="s">
        <v>579</v>
      </c>
      <c r="H74" t="s">
        <v>889</v>
      </c>
      <c r="I74" s="13"/>
    </row>
    <row r="75" spans="1:9" x14ac:dyDescent="0.25">
      <c r="A75" s="12" t="s">
        <v>225</v>
      </c>
      <c r="B75" t="s">
        <v>522</v>
      </c>
      <c r="C75" s="13" t="s">
        <v>878</v>
      </c>
      <c r="E75" s="12" t="s">
        <v>533</v>
      </c>
      <c r="F75" t="s">
        <v>579</v>
      </c>
      <c r="H75" t="s">
        <v>889</v>
      </c>
      <c r="I75" s="13"/>
    </row>
    <row r="76" spans="1:9" x14ac:dyDescent="0.25">
      <c r="A76" s="12" t="s">
        <v>171</v>
      </c>
      <c r="B76" t="s">
        <v>170</v>
      </c>
      <c r="C76" s="13" t="s">
        <v>878</v>
      </c>
      <c r="E76" s="12" t="s">
        <v>469</v>
      </c>
      <c r="F76" t="s">
        <v>579</v>
      </c>
      <c r="H76" t="s">
        <v>889</v>
      </c>
      <c r="I76" s="13" t="s">
        <v>45</v>
      </c>
    </row>
    <row r="77" spans="1:9" x14ac:dyDescent="0.25">
      <c r="A77" s="12" t="s">
        <v>441</v>
      </c>
      <c r="B77" t="s">
        <v>440</v>
      </c>
      <c r="C77" s="13" t="s">
        <v>878</v>
      </c>
      <c r="E77" s="12" t="s">
        <v>474</v>
      </c>
      <c r="F77" t="s">
        <v>579</v>
      </c>
      <c r="H77" t="s">
        <v>889</v>
      </c>
      <c r="I77" s="13" t="s">
        <v>45</v>
      </c>
    </row>
    <row r="78" spans="1:9" x14ac:dyDescent="0.25">
      <c r="A78" s="12" t="s">
        <v>361</v>
      </c>
      <c r="B78" t="s">
        <v>360</v>
      </c>
      <c r="C78" s="13" t="s">
        <v>878</v>
      </c>
      <c r="E78" s="12" t="s">
        <v>501</v>
      </c>
      <c r="F78" t="s">
        <v>579</v>
      </c>
      <c r="H78" t="s">
        <v>889</v>
      </c>
      <c r="I78" s="13" t="s">
        <v>45</v>
      </c>
    </row>
    <row r="79" spans="1:9" x14ac:dyDescent="0.25">
      <c r="A79" s="12" t="s">
        <v>924</v>
      </c>
      <c r="B79" t="s">
        <v>925</v>
      </c>
      <c r="C79" s="13" t="s">
        <v>875</v>
      </c>
      <c r="E79" s="12" t="s">
        <v>472</v>
      </c>
      <c r="F79" t="s">
        <v>579</v>
      </c>
      <c r="H79" t="s">
        <v>889</v>
      </c>
      <c r="I79" s="13" t="s">
        <v>45</v>
      </c>
    </row>
    <row r="80" spans="1:9" x14ac:dyDescent="0.25">
      <c r="A80" s="12" t="s">
        <v>264</v>
      </c>
      <c r="B80" t="s">
        <v>263</v>
      </c>
      <c r="C80" s="13" t="s">
        <v>878</v>
      </c>
      <c r="E80" s="12" t="s">
        <v>473</v>
      </c>
      <c r="F80" t="s">
        <v>579</v>
      </c>
      <c r="G80" s="6"/>
      <c r="H80" t="s">
        <v>889</v>
      </c>
      <c r="I80" s="13" t="s">
        <v>45</v>
      </c>
    </row>
    <row r="81" spans="1:9" x14ac:dyDescent="0.25">
      <c r="A81" s="12" t="s">
        <v>453</v>
      </c>
      <c r="B81" t="s">
        <v>452</v>
      </c>
      <c r="C81" s="13" t="s">
        <v>878</v>
      </c>
      <c r="E81" s="12" t="s">
        <v>506</v>
      </c>
      <c r="F81" t="s">
        <v>579</v>
      </c>
      <c r="G81" s="6"/>
      <c r="H81" t="s">
        <v>889</v>
      </c>
      <c r="I81" s="13" t="s">
        <v>45</v>
      </c>
    </row>
    <row r="82" spans="1:9" x14ac:dyDescent="0.25">
      <c r="E82" s="12" t="s">
        <v>507</v>
      </c>
      <c r="F82" t="s">
        <v>579</v>
      </c>
      <c r="G82" s="6"/>
      <c r="H82" t="s">
        <v>889</v>
      </c>
      <c r="I82" s="13" t="s">
        <v>45</v>
      </c>
    </row>
    <row r="83" spans="1:9" x14ac:dyDescent="0.25">
      <c r="E83" s="12" t="s">
        <v>503</v>
      </c>
      <c r="F83" t="s">
        <v>579</v>
      </c>
      <c r="H83" t="s">
        <v>889</v>
      </c>
      <c r="I83" s="13" t="s">
        <v>45</v>
      </c>
    </row>
    <row r="84" spans="1:9" x14ac:dyDescent="0.25">
      <c r="E84" s="12" t="s">
        <v>493</v>
      </c>
      <c r="F84" t="s">
        <v>579</v>
      </c>
      <c r="H84" t="s">
        <v>889</v>
      </c>
      <c r="I84" s="13" t="s">
        <v>45</v>
      </c>
    </row>
    <row r="85" spans="1:9" x14ac:dyDescent="0.25">
      <c r="E85" s="12" t="s">
        <v>494</v>
      </c>
      <c r="F85" t="s">
        <v>579</v>
      </c>
      <c r="H85" t="s">
        <v>889</v>
      </c>
      <c r="I85" s="13" t="s">
        <v>45</v>
      </c>
    </row>
    <row r="86" spans="1:9" x14ac:dyDescent="0.25">
      <c r="E86" s="12" t="s">
        <v>508</v>
      </c>
      <c r="F86" t="s">
        <v>579</v>
      </c>
      <c r="H86" t="s">
        <v>889</v>
      </c>
      <c r="I86" s="13" t="s">
        <v>45</v>
      </c>
    </row>
    <row r="87" spans="1:9" x14ac:dyDescent="0.25">
      <c r="E87" s="12" t="s">
        <v>512</v>
      </c>
      <c r="F87" t="s">
        <v>579</v>
      </c>
      <c r="H87" t="s">
        <v>889</v>
      </c>
      <c r="I87" s="13" t="s">
        <v>45</v>
      </c>
    </row>
    <row r="88" spans="1:9" x14ac:dyDescent="0.25">
      <c r="E88" s="12" t="s">
        <v>513</v>
      </c>
      <c r="F88" t="s">
        <v>579</v>
      </c>
      <c r="H88" t="s">
        <v>889</v>
      </c>
      <c r="I88" s="13" t="s">
        <v>45</v>
      </c>
    </row>
    <row r="89" spans="1:9" x14ac:dyDescent="0.25">
      <c r="E89" s="12" t="s">
        <v>495</v>
      </c>
      <c r="F89" t="s">
        <v>579</v>
      </c>
      <c r="H89" t="s">
        <v>889</v>
      </c>
      <c r="I89" s="13" t="s">
        <v>45</v>
      </c>
    </row>
    <row r="90" spans="1:9" x14ac:dyDescent="0.25">
      <c r="E90" s="12" t="s">
        <v>926</v>
      </c>
      <c r="F90" t="s">
        <v>579</v>
      </c>
      <c r="H90" t="s">
        <v>889</v>
      </c>
      <c r="I90" s="13" t="s">
        <v>45</v>
      </c>
    </row>
    <row r="91" spans="1:9" x14ac:dyDescent="0.25">
      <c r="E91" s="12" t="s">
        <v>497</v>
      </c>
      <c r="F91" t="s">
        <v>579</v>
      </c>
      <c r="H91" t="s">
        <v>889</v>
      </c>
      <c r="I91" s="13" t="s">
        <v>45</v>
      </c>
    </row>
    <row r="92" spans="1:9" x14ac:dyDescent="0.25">
      <c r="E92" s="12" t="s">
        <v>534</v>
      </c>
      <c r="F92" t="s">
        <v>579</v>
      </c>
      <c r="H92" t="s">
        <v>889</v>
      </c>
      <c r="I92" s="13"/>
    </row>
    <row r="93" spans="1:9" x14ac:dyDescent="0.25">
      <c r="E93" s="12" t="s">
        <v>927</v>
      </c>
      <c r="F93" t="s">
        <v>579</v>
      </c>
      <c r="H93" t="s">
        <v>889</v>
      </c>
      <c r="I93" s="13" t="s">
        <v>45</v>
      </c>
    </row>
    <row r="94" spans="1:9" x14ac:dyDescent="0.25">
      <c r="E94" s="12" t="s">
        <v>928</v>
      </c>
      <c r="F94" t="s">
        <v>579</v>
      </c>
      <c r="H94" t="s">
        <v>889</v>
      </c>
      <c r="I94" s="13" t="s">
        <v>45</v>
      </c>
    </row>
    <row r="95" spans="1:9" x14ac:dyDescent="0.25">
      <c r="E95" s="12" t="s">
        <v>526</v>
      </c>
      <c r="F95" t="s">
        <v>579</v>
      </c>
      <c r="H95" t="s">
        <v>889</v>
      </c>
      <c r="I95" s="13"/>
    </row>
    <row r="96" spans="1:9" x14ac:dyDescent="0.25">
      <c r="E96" s="12" t="s">
        <v>929</v>
      </c>
      <c r="F96" t="s">
        <v>564</v>
      </c>
      <c r="I96" s="13"/>
    </row>
    <row r="97" spans="5:9" x14ac:dyDescent="0.25">
      <c r="E97" s="12" t="s">
        <v>930</v>
      </c>
      <c r="F97" t="s">
        <v>564</v>
      </c>
      <c r="I97" s="13"/>
    </row>
    <row r="98" spans="5:9" x14ac:dyDescent="0.25">
      <c r="E98" s="12" t="s">
        <v>931</v>
      </c>
      <c r="F98" t="s">
        <v>564</v>
      </c>
      <c r="I98" s="13"/>
    </row>
    <row r="99" spans="5:9" x14ac:dyDescent="0.25">
      <c r="E99" s="12" t="s">
        <v>932</v>
      </c>
      <c r="F99" t="s">
        <v>564</v>
      </c>
      <c r="I99" s="13"/>
    </row>
    <row r="100" spans="5:9" x14ac:dyDescent="0.25">
      <c r="E100" s="12" t="s">
        <v>933</v>
      </c>
      <c r="F100" t="s">
        <v>564</v>
      </c>
      <c r="I100" s="13"/>
    </row>
    <row r="101" spans="5:9" x14ac:dyDescent="0.25">
      <c r="E101" s="12" t="s">
        <v>934</v>
      </c>
      <c r="F101" t="s">
        <v>564</v>
      </c>
      <c r="I101" s="13"/>
    </row>
    <row r="102" spans="5:9" x14ac:dyDescent="0.25">
      <c r="E102" s="12" t="s">
        <v>563</v>
      </c>
      <c r="F102" t="s">
        <v>564</v>
      </c>
      <c r="I102" s="13"/>
    </row>
    <row r="103" spans="5:9" x14ac:dyDescent="0.25">
      <c r="E103" s="12" t="s">
        <v>598</v>
      </c>
      <c r="F103" t="s">
        <v>564</v>
      </c>
      <c r="I103" s="13"/>
    </row>
    <row r="104" spans="5:9" x14ac:dyDescent="0.25">
      <c r="E104" s="12" t="s">
        <v>599</v>
      </c>
      <c r="F104" t="s">
        <v>564</v>
      </c>
      <c r="I104" s="13"/>
    </row>
    <row r="105" spans="5:9" x14ac:dyDescent="0.25">
      <c r="E105" s="12" t="s">
        <v>566</v>
      </c>
      <c r="F105" t="s">
        <v>564</v>
      </c>
      <c r="I105" s="13"/>
    </row>
    <row r="106" spans="5:9" x14ac:dyDescent="0.25">
      <c r="E106" s="12" t="s">
        <v>567</v>
      </c>
      <c r="F106" t="s">
        <v>564</v>
      </c>
      <c r="I106" s="13"/>
    </row>
    <row r="107" spans="5:9" x14ac:dyDescent="0.25">
      <c r="E107" s="12" t="s">
        <v>568</v>
      </c>
      <c r="F107" t="s">
        <v>564</v>
      </c>
      <c r="I107" s="13"/>
    </row>
    <row r="108" spans="5:9" x14ac:dyDescent="0.25">
      <c r="E108" s="12" t="s">
        <v>573</v>
      </c>
      <c r="F108" t="s">
        <v>564</v>
      </c>
      <c r="I108" s="13"/>
    </row>
    <row r="109" spans="5:9" x14ac:dyDescent="0.25">
      <c r="E109" s="12" t="s">
        <v>575</v>
      </c>
      <c r="F109" t="s">
        <v>564</v>
      </c>
      <c r="I109" s="13"/>
    </row>
    <row r="110" spans="5:9" x14ac:dyDescent="0.25">
      <c r="E110" s="12" t="s">
        <v>576</v>
      </c>
      <c r="F110" t="s">
        <v>564</v>
      </c>
      <c r="I110" s="13"/>
    </row>
    <row r="111" spans="5:9" x14ac:dyDescent="0.25">
      <c r="E111" s="12" t="s">
        <v>577</v>
      </c>
      <c r="F111" t="s">
        <v>564</v>
      </c>
      <c r="I111" s="13"/>
    </row>
    <row r="112" spans="5:9" x14ac:dyDescent="0.25">
      <c r="E112" s="12" t="s">
        <v>496</v>
      </c>
      <c r="F112" t="s">
        <v>579</v>
      </c>
      <c r="H112" t="s">
        <v>889</v>
      </c>
      <c r="I112" s="13" t="s">
        <v>45</v>
      </c>
    </row>
    <row r="113" spans="5:9" x14ac:dyDescent="0.25">
      <c r="E113" s="12" t="s">
        <v>595</v>
      </c>
      <c r="F113" t="s">
        <v>564</v>
      </c>
      <c r="I113" s="13"/>
    </row>
    <row r="114" spans="5:9" x14ac:dyDescent="0.25">
      <c r="E114" s="12" t="s">
        <v>596</v>
      </c>
      <c r="F114" t="s">
        <v>564</v>
      </c>
      <c r="I114" s="13"/>
    </row>
    <row r="115" spans="5:9" x14ac:dyDescent="0.25">
      <c r="E115" s="12" t="s">
        <v>476</v>
      </c>
      <c r="F115" t="s">
        <v>579</v>
      </c>
      <c r="H115" t="s">
        <v>889</v>
      </c>
      <c r="I115" s="13"/>
    </row>
    <row r="116" spans="5:9" x14ac:dyDescent="0.25">
      <c r="E116" s="12" t="s">
        <v>580</v>
      </c>
      <c r="F116" t="s">
        <v>579</v>
      </c>
      <c r="H116" t="s">
        <v>935</v>
      </c>
      <c r="I116" s="13"/>
    </row>
    <row r="117" spans="5:9" x14ac:dyDescent="0.25">
      <c r="E117" s="12" t="s">
        <v>581</v>
      </c>
      <c r="F117" t="s">
        <v>579</v>
      </c>
      <c r="H117" t="s">
        <v>935</v>
      </c>
      <c r="I117" s="13"/>
    </row>
    <row r="118" spans="5:9" x14ac:dyDescent="0.25">
      <c r="E118" s="12" t="s">
        <v>582</v>
      </c>
      <c r="F118" t="s">
        <v>579</v>
      </c>
      <c r="H118" t="s">
        <v>935</v>
      </c>
      <c r="I118" s="13"/>
    </row>
    <row r="119" spans="5:9" x14ac:dyDescent="0.25">
      <c r="E119" s="12" t="s">
        <v>649</v>
      </c>
      <c r="F119" t="s">
        <v>564</v>
      </c>
      <c r="I119" s="13"/>
    </row>
    <row r="120" spans="5:9" x14ac:dyDescent="0.25">
      <c r="E120" s="12" t="s">
        <v>892</v>
      </c>
      <c r="F120" t="s">
        <v>579</v>
      </c>
      <c r="G120" t="s">
        <v>45</v>
      </c>
      <c r="H120" t="s">
        <v>876</v>
      </c>
      <c r="I120" s="13"/>
    </row>
    <row r="121" spans="5:9" x14ac:dyDescent="0.25">
      <c r="E121" s="12" t="s">
        <v>651</v>
      </c>
      <c r="F121" t="s">
        <v>564</v>
      </c>
      <c r="I121" s="13"/>
    </row>
    <row r="122" spans="5:9" x14ac:dyDescent="0.25">
      <c r="E122" s="12" t="s">
        <v>652</v>
      </c>
      <c r="F122" t="s">
        <v>564</v>
      </c>
      <c r="I122" s="13"/>
    </row>
    <row r="123" spans="5:9" x14ac:dyDescent="0.25">
      <c r="E123" s="12" t="s">
        <v>653</v>
      </c>
      <c r="F123" t="s">
        <v>564</v>
      </c>
      <c r="I123" s="13"/>
    </row>
    <row r="124" spans="5:9" x14ac:dyDescent="0.25">
      <c r="E124" s="12" t="s">
        <v>547</v>
      </c>
      <c r="F124" t="s">
        <v>546</v>
      </c>
      <c r="H124" t="s">
        <v>935</v>
      </c>
      <c r="I124" s="12" t="s">
        <v>46</v>
      </c>
    </row>
    <row r="125" spans="5:9" x14ac:dyDescent="0.25">
      <c r="E125" s="12" t="s">
        <v>548</v>
      </c>
      <c r="F125" t="s">
        <v>546</v>
      </c>
      <c r="H125" t="s">
        <v>935</v>
      </c>
      <c r="I125" s="12" t="s">
        <v>46</v>
      </c>
    </row>
    <row r="126" spans="5:9" ht="15.75" thickBot="1" x14ac:dyDescent="0.3">
      <c r="E126" s="14" t="s">
        <v>549</v>
      </c>
      <c r="F126" s="15" t="s">
        <v>546</v>
      </c>
      <c r="G126" s="15"/>
      <c r="H126" s="15" t="s">
        <v>935</v>
      </c>
      <c r="I126" s="12" t="s">
        <v>46</v>
      </c>
    </row>
    <row r="127" spans="5:9" x14ac:dyDescent="0.25">
      <c r="E127" s="12" t="s">
        <v>893</v>
      </c>
      <c r="F127" t="s">
        <v>546</v>
      </c>
      <c r="G127" t="s">
        <v>46</v>
      </c>
      <c r="H127" t="s">
        <v>876</v>
      </c>
      <c r="I127" s="12" t="s">
        <v>46</v>
      </c>
    </row>
    <row r="128" spans="5:9" x14ac:dyDescent="0.25">
      <c r="E128" t="s">
        <v>551</v>
      </c>
      <c r="F128" t="s">
        <v>546</v>
      </c>
      <c r="G128" t="s">
        <v>46</v>
      </c>
      <c r="H128" t="s">
        <v>876</v>
      </c>
      <c r="I128" s="12" t="s">
        <v>46</v>
      </c>
    </row>
    <row r="129" spans="5:9" x14ac:dyDescent="0.25">
      <c r="E129" t="s">
        <v>492</v>
      </c>
      <c r="F129" t="s">
        <v>579</v>
      </c>
      <c r="H129" t="s">
        <v>889</v>
      </c>
      <c r="I129" s="13" t="s">
        <v>45</v>
      </c>
    </row>
    <row r="130" spans="5:9" x14ac:dyDescent="0.25">
      <c r="E130" t="s">
        <v>486</v>
      </c>
      <c r="F130" t="s">
        <v>546</v>
      </c>
      <c r="H130" t="s">
        <v>889</v>
      </c>
      <c r="I130" s="12" t="s">
        <v>46</v>
      </c>
    </row>
    <row r="131" spans="5:9" x14ac:dyDescent="0.25">
      <c r="E131" t="s">
        <v>502</v>
      </c>
      <c r="F131" t="s">
        <v>579</v>
      </c>
      <c r="H131" t="s">
        <v>889</v>
      </c>
      <c r="I131" s="13" t="s">
        <v>45</v>
      </c>
    </row>
    <row r="132" spans="5:9" x14ac:dyDescent="0.25">
      <c r="E132" t="s">
        <v>500</v>
      </c>
      <c r="F132" t="s">
        <v>546</v>
      </c>
      <c r="H132" t="s">
        <v>889</v>
      </c>
      <c r="I132" s="12" t="s">
        <v>46</v>
      </c>
    </row>
    <row r="133" spans="5:9" x14ac:dyDescent="0.25">
      <c r="E133" t="s">
        <v>475</v>
      </c>
      <c r="F133" t="s">
        <v>579</v>
      </c>
      <c r="H133" t="s">
        <v>889</v>
      </c>
    </row>
    <row r="134" spans="5:9" x14ac:dyDescent="0.25">
      <c r="E134" s="12" t="s">
        <v>936</v>
      </c>
      <c r="F134" t="s">
        <v>564</v>
      </c>
    </row>
    <row r="135" spans="5:9" x14ac:dyDescent="0.25">
      <c r="E135" s="12" t="s">
        <v>937</v>
      </c>
      <c r="F135" t="s">
        <v>564</v>
      </c>
    </row>
    <row r="136" spans="5:9" x14ac:dyDescent="0.25">
      <c r="E136" s="12" t="s">
        <v>938</v>
      </c>
      <c r="F136" t="s">
        <v>564</v>
      </c>
    </row>
    <row r="137" spans="5:9" x14ac:dyDescent="0.25">
      <c r="E137" s="12" t="s">
        <v>569</v>
      </c>
      <c r="F137" t="s">
        <v>564</v>
      </c>
    </row>
    <row r="138" spans="5:9" x14ac:dyDescent="0.25">
      <c r="E138" t="s">
        <v>481</v>
      </c>
      <c r="F138" t="s">
        <v>546</v>
      </c>
      <c r="H138" t="s">
        <v>889</v>
      </c>
    </row>
    <row r="139" spans="5:9" x14ac:dyDescent="0.25">
      <c r="E139" t="s">
        <v>482</v>
      </c>
      <c r="F139" t="s">
        <v>546</v>
      </c>
      <c r="H139" t="s">
        <v>889</v>
      </c>
    </row>
    <row r="140" spans="5:9" x14ac:dyDescent="0.25">
      <c r="E140" t="s">
        <v>483</v>
      </c>
      <c r="F140" t="s">
        <v>546</v>
      </c>
      <c r="H140" t="s">
        <v>889</v>
      </c>
    </row>
    <row r="141" spans="5:9" x14ac:dyDescent="0.25">
      <c r="E141" t="s">
        <v>484</v>
      </c>
      <c r="F141" t="s">
        <v>546</v>
      </c>
      <c r="H141" t="s">
        <v>889</v>
      </c>
    </row>
    <row r="142" spans="5:9" x14ac:dyDescent="0.25">
      <c r="E142" s="19" t="s">
        <v>939</v>
      </c>
      <c r="F142" t="s">
        <v>564</v>
      </c>
    </row>
    <row r="143" spans="5:9" x14ac:dyDescent="0.25">
      <c r="E143" s="18" t="s">
        <v>570</v>
      </c>
      <c r="F143" t="s">
        <v>564</v>
      </c>
    </row>
    <row r="144" spans="5:9" x14ac:dyDescent="0.25">
      <c r="E144" s="19" t="s">
        <v>571</v>
      </c>
      <c r="F144" t="s">
        <v>564</v>
      </c>
    </row>
    <row r="145" spans="5:6" x14ac:dyDescent="0.25">
      <c r="E145" s="18" t="s">
        <v>940</v>
      </c>
      <c r="F145" t="s">
        <v>564</v>
      </c>
    </row>
    <row r="146" spans="5:6" x14ac:dyDescent="0.25">
      <c r="E146" s="19" t="s">
        <v>941</v>
      </c>
      <c r="F146" t="s">
        <v>564</v>
      </c>
    </row>
    <row r="147" spans="5:6" x14ac:dyDescent="0.25">
      <c r="E147" s="18" t="s">
        <v>594</v>
      </c>
      <c r="F147" t="s">
        <v>564</v>
      </c>
    </row>
    <row r="148" spans="5:6" x14ac:dyDescent="0.25">
      <c r="E148" s="19" t="s">
        <v>565</v>
      </c>
      <c r="F148" t="s">
        <v>564</v>
      </c>
    </row>
    <row r="149" spans="5:6" x14ac:dyDescent="0.25">
      <c r="E149" s="18" t="s">
        <v>586</v>
      </c>
      <c r="F149" t="s">
        <v>564</v>
      </c>
    </row>
    <row r="150" spans="5:6" x14ac:dyDescent="0.25">
      <c r="E150" s="19" t="s">
        <v>587</v>
      </c>
      <c r="F150" t="s">
        <v>564</v>
      </c>
    </row>
    <row r="151" spans="5:6" x14ac:dyDescent="0.25">
      <c r="E151" s="18" t="s">
        <v>588</v>
      </c>
      <c r="F151" t="s">
        <v>564</v>
      </c>
    </row>
    <row r="152" spans="5:6" x14ac:dyDescent="0.25">
      <c r="E152" s="19" t="s">
        <v>589</v>
      </c>
      <c r="F152" t="s">
        <v>564</v>
      </c>
    </row>
    <row r="153" spans="5:6" x14ac:dyDescent="0.25">
      <c r="E153" s="18" t="s">
        <v>590</v>
      </c>
      <c r="F153" t="s">
        <v>564</v>
      </c>
    </row>
    <row r="154" spans="5:6" x14ac:dyDescent="0.25">
      <c r="E154" s="19" t="s">
        <v>591</v>
      </c>
      <c r="F154" t="s">
        <v>564</v>
      </c>
    </row>
    <row r="155" spans="5:6" x14ac:dyDescent="0.25">
      <c r="E155" s="18" t="s">
        <v>572</v>
      </c>
      <c r="F155" t="s">
        <v>564</v>
      </c>
    </row>
    <row r="156" spans="5:6" x14ac:dyDescent="0.25">
      <c r="E156" s="18" t="s">
        <v>574</v>
      </c>
      <c r="F156" t="s">
        <v>564</v>
      </c>
    </row>
  </sheetData>
  <sortState xmlns:xlrd2="http://schemas.microsoft.com/office/spreadsheetml/2017/richdata2" ref="E143:E150">
    <sortCondition ref="E142:E150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97FF6-D251-4192-894D-5BDBC1B96AAA}">
  <sheetPr codeName="Sheet4"/>
  <dimension ref="A3:B20"/>
  <sheetViews>
    <sheetView workbookViewId="0">
      <selection activeCell="L18" sqref="L18"/>
    </sheetView>
  </sheetViews>
  <sheetFormatPr defaultRowHeight="15" x14ac:dyDescent="0.25"/>
  <sheetData>
    <row r="3" spans="1:2" x14ac:dyDescent="0.25">
      <c r="A3" t="s">
        <v>942</v>
      </c>
    </row>
    <row r="4" spans="1:2" x14ac:dyDescent="0.25">
      <c r="B4" t="s">
        <v>943</v>
      </c>
    </row>
    <row r="7" spans="1:2" x14ac:dyDescent="0.25">
      <c r="A7" s="8" t="s">
        <v>944</v>
      </c>
    </row>
    <row r="9" spans="1:2" x14ac:dyDescent="0.25">
      <c r="A9" t="s">
        <v>945</v>
      </c>
    </row>
    <row r="10" spans="1:2" x14ac:dyDescent="0.25">
      <c r="A10" t="s">
        <v>946</v>
      </c>
    </row>
    <row r="11" spans="1:2" x14ac:dyDescent="0.25">
      <c r="A11" t="s">
        <v>947</v>
      </c>
    </row>
    <row r="12" spans="1:2" x14ac:dyDescent="0.25">
      <c r="A12" t="s">
        <v>948</v>
      </c>
    </row>
    <row r="13" spans="1:2" x14ac:dyDescent="0.25">
      <c r="A13" t="s">
        <v>949</v>
      </c>
    </row>
    <row r="14" spans="1:2" x14ac:dyDescent="0.25">
      <c r="A14" t="s">
        <v>950</v>
      </c>
    </row>
    <row r="15" spans="1:2" x14ac:dyDescent="0.25">
      <c r="A15" t="s">
        <v>951</v>
      </c>
    </row>
    <row r="16" spans="1:2" x14ac:dyDescent="0.25">
      <c r="A16" t="s">
        <v>952</v>
      </c>
    </row>
    <row r="17" spans="1:1" x14ac:dyDescent="0.25">
      <c r="A17" t="s">
        <v>953</v>
      </c>
    </row>
    <row r="18" spans="1:1" x14ac:dyDescent="0.25">
      <c r="A18" t="s">
        <v>954</v>
      </c>
    </row>
    <row r="19" spans="1:1" x14ac:dyDescent="0.25">
      <c r="A19" t="s">
        <v>955</v>
      </c>
    </row>
    <row r="20" spans="1:1" x14ac:dyDescent="0.25">
      <c r="A20" t="s">
        <v>956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3DB91-AE9B-45F0-A458-09028704ECC1}">
  <dimension ref="A1:N21"/>
  <sheetViews>
    <sheetView workbookViewId="0">
      <selection activeCell="G28" sqref="G28"/>
    </sheetView>
  </sheetViews>
  <sheetFormatPr defaultRowHeight="15" x14ac:dyDescent="0.25"/>
  <cols>
    <col min="9" max="9" width="36.85546875" customWidth="1"/>
    <col min="10" max="10" width="14.85546875" bestFit="1" customWidth="1"/>
    <col min="14" max="14" width="16.5703125" bestFit="1" customWidth="1"/>
  </cols>
  <sheetData>
    <row r="1" spans="1:14" x14ac:dyDescent="0.25">
      <c r="I1" s="146" t="s">
        <v>468</v>
      </c>
      <c r="N1" s="146" t="s">
        <v>957</v>
      </c>
    </row>
    <row r="2" spans="1:14" x14ac:dyDescent="0.25">
      <c r="A2" s="19" t="s">
        <v>939</v>
      </c>
      <c r="I2" s="19" t="s">
        <v>585</v>
      </c>
      <c r="J2" t="str">
        <f>MID(I2,15,99)</f>
        <v>Amarillo</v>
      </c>
      <c r="N2" t="s">
        <v>958</v>
      </c>
    </row>
    <row r="3" spans="1:14" x14ac:dyDescent="0.25">
      <c r="A3" s="18" t="s">
        <v>570</v>
      </c>
      <c r="I3" s="19" t="s">
        <v>601</v>
      </c>
      <c r="J3" t="str">
        <f>MID(I3,15,99)</f>
        <v>Bedford</v>
      </c>
      <c r="N3" t="s">
        <v>959</v>
      </c>
    </row>
    <row r="4" spans="1:14" x14ac:dyDescent="0.25">
      <c r="A4" s="19" t="s">
        <v>571</v>
      </c>
      <c r="I4" s="19" t="s">
        <v>602</v>
      </c>
      <c r="J4" t="str">
        <f>MID(I4,15,99)</f>
        <v>Bowling Green</v>
      </c>
      <c r="N4" t="s">
        <v>960</v>
      </c>
    </row>
    <row r="5" spans="1:14" x14ac:dyDescent="0.25">
      <c r="A5" s="18" t="s">
        <v>940</v>
      </c>
      <c r="I5" s="19" t="s">
        <v>616</v>
      </c>
      <c r="J5" t="str">
        <f>MID(I5,15,99)</f>
        <v>Copperas Cove</v>
      </c>
      <c r="N5" t="s">
        <v>961</v>
      </c>
    </row>
    <row r="6" spans="1:14" x14ac:dyDescent="0.25">
      <c r="A6" s="19" t="s">
        <v>941</v>
      </c>
      <c r="N6" t="s">
        <v>962</v>
      </c>
    </row>
    <row r="7" spans="1:14" x14ac:dyDescent="0.25">
      <c r="A7" s="18" t="s">
        <v>939</v>
      </c>
      <c r="I7" s="19" t="s">
        <v>625</v>
      </c>
      <c r="J7" t="str">
        <f>MID(I7,15,99)</f>
        <v>Gainesville</v>
      </c>
      <c r="N7" t="s">
        <v>963</v>
      </c>
    </row>
    <row r="8" spans="1:14" x14ac:dyDescent="0.25">
      <c r="I8" s="19" t="s">
        <v>627</v>
      </c>
      <c r="J8" t="str">
        <f>MID(I8,15,99)</f>
        <v>Goodyear</v>
      </c>
      <c r="N8" t="s">
        <v>73</v>
      </c>
    </row>
    <row r="9" spans="1:14" x14ac:dyDescent="0.25">
      <c r="I9" s="19" t="s">
        <v>630</v>
      </c>
      <c r="J9" t="str">
        <f>MID(I9,15,99)</f>
        <v>Hendersonville</v>
      </c>
      <c r="N9" t="s">
        <v>964</v>
      </c>
    </row>
    <row r="10" spans="1:14" x14ac:dyDescent="0.25">
      <c r="I10" s="19" t="s">
        <v>635</v>
      </c>
      <c r="J10" t="str">
        <f>MID(I10,15,99)</f>
        <v>Irving</v>
      </c>
      <c r="N10" t="s">
        <v>207</v>
      </c>
    </row>
    <row r="11" spans="1:14" x14ac:dyDescent="0.25">
      <c r="N11" t="s">
        <v>56</v>
      </c>
    </row>
    <row r="12" spans="1:14" x14ac:dyDescent="0.25">
      <c r="I12" s="19" t="s">
        <v>646</v>
      </c>
      <c r="J12" t="str">
        <f t="shared" ref="J12:J19" si="0">MID(I12,15,99)</f>
        <v>Lubbock 34th</v>
      </c>
      <c r="N12" t="s">
        <v>128</v>
      </c>
    </row>
    <row r="13" spans="1:14" x14ac:dyDescent="0.25">
      <c r="I13" s="19" t="s">
        <v>647</v>
      </c>
      <c r="J13" t="str">
        <f t="shared" si="0"/>
        <v>Lubbock Main</v>
      </c>
      <c r="N13" t="s">
        <v>132</v>
      </c>
    </row>
    <row r="14" spans="1:14" x14ac:dyDescent="0.25">
      <c r="I14" s="19" t="s">
        <v>657</v>
      </c>
      <c r="J14" t="str">
        <f t="shared" si="0"/>
        <v>Pasadena</v>
      </c>
      <c r="N14" t="s">
        <v>307</v>
      </c>
    </row>
    <row r="15" spans="1:14" x14ac:dyDescent="0.25">
      <c r="I15" s="19" t="s">
        <v>659</v>
      </c>
      <c r="J15" t="str">
        <f t="shared" si="0"/>
        <v>Pharr</v>
      </c>
      <c r="N15" t="s">
        <v>965</v>
      </c>
    </row>
    <row r="16" spans="1:14" x14ac:dyDescent="0.25">
      <c r="I16" s="19" t="s">
        <v>660</v>
      </c>
      <c r="J16" t="str">
        <f t="shared" si="0"/>
        <v>Phoenix</v>
      </c>
      <c r="N16" t="s">
        <v>79</v>
      </c>
    </row>
    <row r="17" spans="9:14" x14ac:dyDescent="0.25">
      <c r="I17" s="19" t="s">
        <v>668</v>
      </c>
      <c r="J17" t="str">
        <f t="shared" si="0"/>
        <v>Slidell</v>
      </c>
      <c r="N17" t="s">
        <v>312</v>
      </c>
    </row>
    <row r="18" spans="9:14" x14ac:dyDescent="0.25">
      <c r="I18" s="19" t="s">
        <v>675</v>
      </c>
      <c r="J18" t="str">
        <f t="shared" si="0"/>
        <v>Springfield</v>
      </c>
      <c r="N18" t="s">
        <v>350</v>
      </c>
    </row>
    <row r="19" spans="9:14" x14ac:dyDescent="0.25">
      <c r="I19" s="19" t="s">
        <v>676</v>
      </c>
      <c r="J19" t="str">
        <f t="shared" si="0"/>
        <v>Temple Terrace</v>
      </c>
      <c r="N19" t="s">
        <v>138</v>
      </c>
    </row>
    <row r="21" spans="9:14" x14ac:dyDescent="0.25">
      <c r="I21" s="19" t="s">
        <v>619</v>
      </c>
      <c r="J21" t="str">
        <f>MID(I21,15,99)</f>
        <v>EP Alameda</v>
      </c>
    </row>
  </sheetData>
  <sortState xmlns:xlrd2="http://schemas.microsoft.com/office/spreadsheetml/2017/richdata2" ref="N2:N19">
    <sortCondition ref="N2:N1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63D84-640A-43D6-BFE7-8B2CFFC21670}">
  <dimension ref="A1:J150"/>
  <sheetViews>
    <sheetView topLeftCell="A66" workbookViewId="0">
      <selection activeCell="J77" sqref="J77:J90"/>
    </sheetView>
  </sheetViews>
  <sheetFormatPr defaultRowHeight="15" x14ac:dyDescent="0.25"/>
  <cols>
    <col min="1" max="1" width="30.140625" bestFit="1" customWidth="1"/>
    <col min="2" max="2" width="18" bestFit="1" customWidth="1"/>
    <col min="3" max="3" width="36.5703125" bestFit="1" customWidth="1"/>
    <col min="4" max="4" width="19.7109375" bestFit="1" customWidth="1"/>
    <col min="5" max="5" width="17.5703125" bestFit="1" customWidth="1"/>
    <col min="10" max="10" width="36.5703125" bestFit="1" customWidth="1"/>
  </cols>
  <sheetData>
    <row r="1" spans="1:5" x14ac:dyDescent="0.25">
      <c r="A1" s="9" t="s">
        <v>538</v>
      </c>
      <c r="B1" s="10" t="s">
        <v>540</v>
      </c>
      <c r="C1" s="10" t="s">
        <v>866</v>
      </c>
      <c r="D1" s="10" t="s">
        <v>867</v>
      </c>
      <c r="E1" s="11" t="s">
        <v>868</v>
      </c>
    </row>
    <row r="2" spans="1:5" x14ac:dyDescent="0.25">
      <c r="A2" s="12" t="s">
        <v>555</v>
      </c>
      <c r="B2" t="s">
        <v>546</v>
      </c>
      <c r="C2" t="s">
        <v>37</v>
      </c>
      <c r="D2" t="s">
        <v>876</v>
      </c>
      <c r="E2" s="13">
        <v>1</v>
      </c>
    </row>
    <row r="3" spans="1:5" x14ac:dyDescent="0.25">
      <c r="A3" s="12" t="s">
        <v>556</v>
      </c>
      <c r="B3" t="s">
        <v>546</v>
      </c>
      <c r="C3" t="s">
        <v>38</v>
      </c>
      <c r="D3" t="s">
        <v>876</v>
      </c>
      <c r="E3" s="13">
        <v>2</v>
      </c>
    </row>
    <row r="4" spans="1:5" x14ac:dyDescent="0.25">
      <c r="A4" s="12" t="s">
        <v>557</v>
      </c>
      <c r="B4" t="s">
        <v>546</v>
      </c>
      <c r="C4" t="s">
        <v>39</v>
      </c>
      <c r="D4" t="s">
        <v>876</v>
      </c>
      <c r="E4" s="13">
        <v>3</v>
      </c>
    </row>
    <row r="5" spans="1:5" x14ac:dyDescent="0.25">
      <c r="A5" s="12" t="s">
        <v>558</v>
      </c>
      <c r="B5" t="s">
        <v>546</v>
      </c>
      <c r="C5" t="s">
        <v>40</v>
      </c>
      <c r="D5" t="s">
        <v>876</v>
      </c>
      <c r="E5" s="13">
        <v>4</v>
      </c>
    </row>
    <row r="6" spans="1:5" x14ac:dyDescent="0.25">
      <c r="A6" s="12" t="s">
        <v>559</v>
      </c>
      <c r="B6" t="s">
        <v>546</v>
      </c>
      <c r="C6" t="s">
        <v>41</v>
      </c>
      <c r="D6" t="s">
        <v>876</v>
      </c>
      <c r="E6" s="13">
        <v>5</v>
      </c>
    </row>
    <row r="7" spans="1:5" x14ac:dyDescent="0.25">
      <c r="A7" s="12" t="s">
        <v>560</v>
      </c>
      <c r="B7" t="s">
        <v>546</v>
      </c>
      <c r="C7" t="s">
        <v>42</v>
      </c>
      <c r="D7" t="s">
        <v>876</v>
      </c>
      <c r="E7" s="13">
        <v>6</v>
      </c>
    </row>
    <row r="8" spans="1:5" x14ac:dyDescent="0.25">
      <c r="A8" s="12" t="s">
        <v>561</v>
      </c>
      <c r="B8" t="s">
        <v>546</v>
      </c>
      <c r="C8" t="s">
        <v>43</v>
      </c>
      <c r="D8" t="s">
        <v>876</v>
      </c>
      <c r="E8" s="13">
        <v>7</v>
      </c>
    </row>
    <row r="9" spans="1:5" x14ac:dyDescent="0.25">
      <c r="A9" s="12" t="s">
        <v>562</v>
      </c>
      <c r="B9" t="s">
        <v>546</v>
      </c>
      <c r="C9" t="s">
        <v>44</v>
      </c>
      <c r="D9" t="s">
        <v>876</v>
      </c>
      <c r="E9" s="13">
        <v>8</v>
      </c>
    </row>
    <row r="10" spans="1:5" x14ac:dyDescent="0.25">
      <c r="A10" s="12" t="s">
        <v>607</v>
      </c>
      <c r="B10" t="s">
        <v>579</v>
      </c>
      <c r="C10" t="s">
        <v>45</v>
      </c>
      <c r="D10" t="s">
        <v>876</v>
      </c>
      <c r="E10" s="13">
        <v>21</v>
      </c>
    </row>
    <row r="11" spans="1:5" x14ac:dyDescent="0.25">
      <c r="A11" s="12" t="s">
        <v>583</v>
      </c>
      <c r="B11" t="s">
        <v>579</v>
      </c>
      <c r="C11" t="s">
        <v>45</v>
      </c>
      <c r="D11" t="s">
        <v>876</v>
      </c>
      <c r="E11" s="13">
        <v>22</v>
      </c>
    </row>
    <row r="12" spans="1:5" x14ac:dyDescent="0.25">
      <c r="A12" s="12" t="s">
        <v>584</v>
      </c>
      <c r="B12" t="s">
        <v>579</v>
      </c>
      <c r="C12" t="s">
        <v>45</v>
      </c>
      <c r="D12" t="s">
        <v>876</v>
      </c>
      <c r="E12" s="13">
        <v>23</v>
      </c>
    </row>
    <row r="13" spans="1:5" x14ac:dyDescent="0.25">
      <c r="A13" s="12" t="s">
        <v>879</v>
      </c>
      <c r="B13" t="s">
        <v>546</v>
      </c>
      <c r="C13" t="s">
        <v>882</v>
      </c>
      <c r="D13" t="s">
        <v>876</v>
      </c>
      <c r="E13" s="13">
        <v>24</v>
      </c>
    </row>
    <row r="14" spans="1:5" x14ac:dyDescent="0.25">
      <c r="A14" s="12" t="s">
        <v>883</v>
      </c>
      <c r="B14" t="s">
        <v>546</v>
      </c>
      <c r="C14" t="s">
        <v>46</v>
      </c>
      <c r="D14" t="s">
        <v>876</v>
      </c>
      <c r="E14" s="13">
        <v>25</v>
      </c>
    </row>
    <row r="15" spans="1:5" x14ac:dyDescent="0.25">
      <c r="A15" s="12" t="s">
        <v>550</v>
      </c>
      <c r="B15" t="s">
        <v>546</v>
      </c>
      <c r="C15" t="s">
        <v>46</v>
      </c>
      <c r="D15" t="s">
        <v>876</v>
      </c>
      <c r="E15" s="13">
        <v>26</v>
      </c>
    </row>
    <row r="16" spans="1:5" x14ac:dyDescent="0.25">
      <c r="A16" s="12" t="s">
        <v>609</v>
      </c>
      <c r="B16" t="s">
        <v>546</v>
      </c>
      <c r="C16" t="s">
        <v>47</v>
      </c>
      <c r="D16" t="s">
        <v>876</v>
      </c>
      <c r="E16" s="13">
        <v>27</v>
      </c>
    </row>
    <row r="17" spans="1:5" x14ac:dyDescent="0.25">
      <c r="A17" s="12" t="s">
        <v>552</v>
      </c>
      <c r="B17" t="s">
        <v>546</v>
      </c>
      <c r="C17" t="s">
        <v>48</v>
      </c>
      <c r="D17" t="s">
        <v>876</v>
      </c>
      <c r="E17" s="13">
        <v>28</v>
      </c>
    </row>
    <row r="18" spans="1:5" x14ac:dyDescent="0.25">
      <c r="A18" s="12" t="s">
        <v>884</v>
      </c>
      <c r="B18" t="s">
        <v>546</v>
      </c>
      <c r="C18" t="s">
        <v>49</v>
      </c>
      <c r="D18" t="s">
        <v>876</v>
      </c>
      <c r="E18" s="13">
        <v>29</v>
      </c>
    </row>
    <row r="19" spans="1:5" x14ac:dyDescent="0.25">
      <c r="A19" s="12" t="s">
        <v>641</v>
      </c>
      <c r="B19" t="s">
        <v>546</v>
      </c>
      <c r="C19" t="s">
        <v>50</v>
      </c>
      <c r="D19" t="s">
        <v>876</v>
      </c>
      <c r="E19" s="13">
        <v>30</v>
      </c>
    </row>
    <row r="20" spans="1:5" x14ac:dyDescent="0.25">
      <c r="A20" s="12" t="s">
        <v>885</v>
      </c>
      <c r="B20" t="s">
        <v>546</v>
      </c>
      <c r="C20" t="s">
        <v>50</v>
      </c>
      <c r="D20" t="s">
        <v>876</v>
      </c>
      <c r="E20" s="13">
        <v>31</v>
      </c>
    </row>
    <row r="21" spans="1:5" x14ac:dyDescent="0.25">
      <c r="A21" s="12" t="s">
        <v>34</v>
      </c>
      <c r="B21" t="s">
        <v>578</v>
      </c>
      <c r="C21" t="s">
        <v>51</v>
      </c>
      <c r="D21" t="s">
        <v>876</v>
      </c>
      <c r="E21" s="13">
        <v>50</v>
      </c>
    </row>
    <row r="22" spans="1:5" x14ac:dyDescent="0.25">
      <c r="A22" s="12" t="s">
        <v>888</v>
      </c>
      <c r="B22" t="s">
        <v>546</v>
      </c>
      <c r="E22" s="13"/>
    </row>
    <row r="23" spans="1:5" x14ac:dyDescent="0.25">
      <c r="A23" s="12" t="s">
        <v>545</v>
      </c>
      <c r="B23" t="s">
        <v>546</v>
      </c>
      <c r="E23" s="13"/>
    </row>
    <row r="24" spans="1:5" x14ac:dyDescent="0.25">
      <c r="A24" s="12" t="s">
        <v>518</v>
      </c>
      <c r="B24" t="s">
        <v>546</v>
      </c>
      <c r="E24" s="13"/>
    </row>
    <row r="25" spans="1:5" x14ac:dyDescent="0.25">
      <c r="A25" s="12" t="s">
        <v>498</v>
      </c>
      <c r="B25" t="s">
        <v>546</v>
      </c>
      <c r="E25" s="13"/>
    </row>
    <row r="26" spans="1:5" x14ac:dyDescent="0.25">
      <c r="A26" s="12" t="s">
        <v>470</v>
      </c>
      <c r="B26" t="s">
        <v>546</v>
      </c>
      <c r="E26" s="13"/>
    </row>
    <row r="27" spans="1:5" x14ac:dyDescent="0.25">
      <c r="A27" s="12" t="s">
        <v>471</v>
      </c>
      <c r="B27" t="s">
        <v>546</v>
      </c>
      <c r="E27" s="13"/>
    </row>
    <row r="28" spans="1:5" x14ac:dyDescent="0.25">
      <c r="A28" s="12" t="s">
        <v>504</v>
      </c>
      <c r="B28" t="s">
        <v>546</v>
      </c>
      <c r="E28" s="13"/>
    </row>
    <row r="29" spans="1:5" x14ac:dyDescent="0.25">
      <c r="A29" s="12" t="s">
        <v>505</v>
      </c>
      <c r="B29" t="s">
        <v>546</v>
      </c>
      <c r="E29" s="13"/>
    </row>
    <row r="30" spans="1:5" x14ac:dyDescent="0.25">
      <c r="A30" s="12" t="s">
        <v>606</v>
      </c>
      <c r="B30" t="s">
        <v>546</v>
      </c>
      <c r="C30" t="s">
        <v>46</v>
      </c>
      <c r="E30" s="13"/>
    </row>
    <row r="31" spans="1:5" x14ac:dyDescent="0.25">
      <c r="A31" s="12" t="s">
        <v>499</v>
      </c>
      <c r="B31" t="s">
        <v>546</v>
      </c>
      <c r="E31" s="13"/>
    </row>
    <row r="32" spans="1:5" x14ac:dyDescent="0.25">
      <c r="A32" s="12" t="s">
        <v>485</v>
      </c>
      <c r="B32" t="s">
        <v>546</v>
      </c>
      <c r="E32" s="13"/>
    </row>
    <row r="33" spans="1:5" x14ac:dyDescent="0.25">
      <c r="A33" s="12" t="s">
        <v>487</v>
      </c>
      <c r="B33" t="s">
        <v>546</v>
      </c>
      <c r="E33" s="13"/>
    </row>
    <row r="34" spans="1:5" x14ac:dyDescent="0.25">
      <c r="A34" s="12" t="s">
        <v>510</v>
      </c>
      <c r="B34" t="s">
        <v>546</v>
      </c>
      <c r="E34" s="13"/>
    </row>
    <row r="35" spans="1:5" x14ac:dyDescent="0.25">
      <c r="A35" s="12" t="s">
        <v>511</v>
      </c>
      <c r="B35" t="s">
        <v>546</v>
      </c>
      <c r="E35" s="13"/>
    </row>
    <row r="36" spans="1:5" x14ac:dyDescent="0.25">
      <c r="A36" s="12" t="s">
        <v>488</v>
      </c>
      <c r="B36" t="s">
        <v>546</v>
      </c>
      <c r="E36" s="13"/>
    </row>
    <row r="37" spans="1:5" x14ac:dyDescent="0.25">
      <c r="A37" s="12" t="s">
        <v>489</v>
      </c>
      <c r="B37" t="s">
        <v>546</v>
      </c>
      <c r="E37" s="13"/>
    </row>
    <row r="38" spans="1:5" x14ac:dyDescent="0.25">
      <c r="A38" s="12" t="s">
        <v>490</v>
      </c>
      <c r="B38" t="s">
        <v>546</v>
      </c>
      <c r="E38" s="13"/>
    </row>
    <row r="39" spans="1:5" x14ac:dyDescent="0.25">
      <c r="A39" s="12" t="s">
        <v>491</v>
      </c>
      <c r="B39" t="s">
        <v>546</v>
      </c>
      <c r="E39" s="13"/>
    </row>
    <row r="40" spans="1:5" x14ac:dyDescent="0.25">
      <c r="A40" s="12" t="s">
        <v>895</v>
      </c>
      <c r="B40" t="s">
        <v>546</v>
      </c>
      <c r="E40" s="13"/>
    </row>
    <row r="41" spans="1:5" x14ac:dyDescent="0.25">
      <c r="A41" s="12" t="s">
        <v>896</v>
      </c>
      <c r="B41" t="s">
        <v>546</v>
      </c>
      <c r="E41" s="13"/>
    </row>
    <row r="42" spans="1:5" x14ac:dyDescent="0.25">
      <c r="A42" s="12" t="s">
        <v>897</v>
      </c>
      <c r="B42" t="s">
        <v>546</v>
      </c>
      <c r="E42" s="13"/>
    </row>
    <row r="43" spans="1:5" x14ac:dyDescent="0.25">
      <c r="A43" s="12" t="s">
        <v>898</v>
      </c>
      <c r="B43" t="s">
        <v>546</v>
      </c>
      <c r="E43" s="13"/>
    </row>
    <row r="44" spans="1:5" x14ac:dyDescent="0.25">
      <c r="A44" s="12" t="s">
        <v>899</v>
      </c>
      <c r="B44" t="s">
        <v>546</v>
      </c>
      <c r="C44" s="7"/>
      <c r="E44" s="13"/>
    </row>
    <row r="45" spans="1:5" x14ac:dyDescent="0.25">
      <c r="A45" s="12" t="s">
        <v>900</v>
      </c>
      <c r="B45" t="s">
        <v>546</v>
      </c>
      <c r="C45" s="6"/>
      <c r="E45" s="13"/>
    </row>
    <row r="46" spans="1:5" x14ac:dyDescent="0.25">
      <c r="A46" s="12" t="s">
        <v>901</v>
      </c>
      <c r="B46" t="s">
        <v>546</v>
      </c>
      <c r="C46" s="6"/>
      <c r="E46" s="13"/>
    </row>
    <row r="47" spans="1:5" x14ac:dyDescent="0.25">
      <c r="A47" s="12" t="s">
        <v>902</v>
      </c>
      <c r="B47" t="s">
        <v>546</v>
      </c>
      <c r="C47" s="6"/>
      <c r="E47" s="13"/>
    </row>
    <row r="48" spans="1:5" x14ac:dyDescent="0.25">
      <c r="A48" s="12" t="s">
        <v>905</v>
      </c>
      <c r="B48" t="s">
        <v>546</v>
      </c>
      <c r="C48" s="6"/>
      <c r="E48" s="13"/>
    </row>
    <row r="49" spans="1:5" x14ac:dyDescent="0.25">
      <c r="A49" s="12" t="s">
        <v>906</v>
      </c>
      <c r="B49" t="s">
        <v>546</v>
      </c>
      <c r="C49" s="6"/>
      <c r="E49" s="13"/>
    </row>
    <row r="50" spans="1:5" x14ac:dyDescent="0.25">
      <c r="A50" s="12" t="s">
        <v>907</v>
      </c>
      <c r="B50" t="s">
        <v>546</v>
      </c>
      <c r="C50" s="6"/>
      <c r="E50" s="13"/>
    </row>
    <row r="51" spans="1:5" x14ac:dyDescent="0.25">
      <c r="A51" s="12" t="s">
        <v>553</v>
      </c>
      <c r="B51" t="s">
        <v>546</v>
      </c>
      <c r="C51" s="6"/>
      <c r="E51" s="13"/>
    </row>
    <row r="52" spans="1:5" x14ac:dyDescent="0.25">
      <c r="A52" s="12" t="s">
        <v>910</v>
      </c>
      <c r="B52" t="s">
        <v>546</v>
      </c>
      <c r="E52" s="13"/>
    </row>
    <row r="53" spans="1:5" x14ac:dyDescent="0.25">
      <c r="A53" s="12" t="s">
        <v>911</v>
      </c>
      <c r="B53" t="s">
        <v>546</v>
      </c>
      <c r="E53" s="13"/>
    </row>
    <row r="54" spans="1:5" x14ac:dyDescent="0.25">
      <c r="A54" s="12" t="s">
        <v>593</v>
      </c>
      <c r="B54" t="s">
        <v>546</v>
      </c>
      <c r="E54" s="13"/>
    </row>
    <row r="55" spans="1:5" x14ac:dyDescent="0.25">
      <c r="A55" s="12" t="s">
        <v>554</v>
      </c>
      <c r="B55" t="s">
        <v>546</v>
      </c>
      <c r="E55" s="13"/>
    </row>
    <row r="56" spans="1:5" x14ac:dyDescent="0.25">
      <c r="A56" s="12" t="s">
        <v>917</v>
      </c>
      <c r="B56" t="s">
        <v>546</v>
      </c>
      <c r="E56" s="13"/>
    </row>
    <row r="57" spans="1:5" x14ac:dyDescent="0.25">
      <c r="A57" s="12" t="s">
        <v>918</v>
      </c>
      <c r="B57" t="s">
        <v>546</v>
      </c>
      <c r="E57" s="13"/>
    </row>
    <row r="58" spans="1:5" x14ac:dyDescent="0.25">
      <c r="A58" s="12" t="s">
        <v>670</v>
      </c>
      <c r="B58" t="s">
        <v>546</v>
      </c>
      <c r="E58" s="13"/>
    </row>
    <row r="59" spans="1:5" x14ac:dyDescent="0.25">
      <c r="A59" s="12" t="s">
        <v>671</v>
      </c>
      <c r="B59" t="s">
        <v>546</v>
      </c>
      <c r="E59" s="13"/>
    </row>
    <row r="60" spans="1:5" x14ac:dyDescent="0.25">
      <c r="A60" s="12" t="s">
        <v>672</v>
      </c>
      <c r="B60" t="s">
        <v>546</v>
      </c>
      <c r="E60" s="13"/>
    </row>
    <row r="61" spans="1:5" x14ac:dyDescent="0.25">
      <c r="A61" s="12" t="s">
        <v>673</v>
      </c>
      <c r="B61" t="s">
        <v>546</v>
      </c>
      <c r="E61" s="13"/>
    </row>
    <row r="62" spans="1:5" x14ac:dyDescent="0.25">
      <c r="A62" s="12" t="s">
        <v>674</v>
      </c>
      <c r="B62" t="s">
        <v>546</v>
      </c>
      <c r="E62" s="13"/>
    </row>
    <row r="63" spans="1:5" x14ac:dyDescent="0.25">
      <c r="A63" s="12" t="s">
        <v>477</v>
      </c>
      <c r="B63" t="s">
        <v>546</v>
      </c>
      <c r="D63" t="s">
        <v>889</v>
      </c>
      <c r="E63" s="13"/>
    </row>
    <row r="64" spans="1:5" x14ac:dyDescent="0.25">
      <c r="A64" s="12" t="s">
        <v>478</v>
      </c>
      <c r="B64" t="s">
        <v>546</v>
      </c>
      <c r="E64" s="13"/>
    </row>
    <row r="65" spans="1:10" x14ac:dyDescent="0.25">
      <c r="A65" s="12" t="s">
        <v>479</v>
      </c>
      <c r="B65" t="s">
        <v>546</v>
      </c>
      <c r="E65" s="13"/>
    </row>
    <row r="66" spans="1:10" x14ac:dyDescent="0.25">
      <c r="A66" s="12" t="s">
        <v>480</v>
      </c>
      <c r="B66" t="s">
        <v>546</v>
      </c>
      <c r="E66" s="13"/>
    </row>
    <row r="67" spans="1:10" x14ac:dyDescent="0.25">
      <c r="A67" s="12" t="s">
        <v>919</v>
      </c>
      <c r="B67" t="s">
        <v>579</v>
      </c>
      <c r="E67" s="13"/>
    </row>
    <row r="68" spans="1:10" x14ac:dyDescent="0.25">
      <c r="A68" s="12" t="s">
        <v>920</v>
      </c>
      <c r="B68" t="s">
        <v>579</v>
      </c>
      <c r="E68" s="13"/>
    </row>
    <row r="69" spans="1:10" x14ac:dyDescent="0.25">
      <c r="A69" s="12" t="s">
        <v>528</v>
      </c>
      <c r="B69" t="s">
        <v>579</v>
      </c>
      <c r="E69" s="13"/>
    </row>
    <row r="70" spans="1:10" x14ac:dyDescent="0.25">
      <c r="A70" s="12" t="s">
        <v>529</v>
      </c>
      <c r="B70" t="s">
        <v>579</v>
      </c>
      <c r="E70" s="13"/>
    </row>
    <row r="71" spans="1:10" x14ac:dyDescent="0.25">
      <c r="A71" s="12" t="s">
        <v>530</v>
      </c>
      <c r="B71" t="s">
        <v>579</v>
      </c>
      <c r="E71" s="13"/>
    </row>
    <row r="72" spans="1:10" x14ac:dyDescent="0.25">
      <c r="A72" s="12" t="s">
        <v>531</v>
      </c>
      <c r="B72" t="s">
        <v>579</v>
      </c>
      <c r="E72" s="13"/>
    </row>
    <row r="73" spans="1:10" x14ac:dyDescent="0.25">
      <c r="A73" s="12" t="s">
        <v>532</v>
      </c>
      <c r="B73" t="s">
        <v>579</v>
      </c>
      <c r="E73" s="13"/>
    </row>
    <row r="74" spans="1:10" x14ac:dyDescent="0.25">
      <c r="A74" s="12" t="s">
        <v>923</v>
      </c>
      <c r="B74" t="s">
        <v>579</v>
      </c>
      <c r="E74" s="13"/>
    </row>
    <row r="75" spans="1:10" x14ac:dyDescent="0.25">
      <c r="A75" s="12" t="s">
        <v>533</v>
      </c>
      <c r="B75" t="s">
        <v>579</v>
      </c>
      <c r="E75" s="13"/>
    </row>
    <row r="76" spans="1:10" x14ac:dyDescent="0.25">
      <c r="A76" s="12" t="s">
        <v>469</v>
      </c>
      <c r="B76" t="s">
        <v>579</v>
      </c>
      <c r="D76" t="s">
        <v>889</v>
      </c>
      <c r="E76" s="13"/>
    </row>
    <row r="77" spans="1:10" x14ac:dyDescent="0.25">
      <c r="A77" s="12" t="s">
        <v>474</v>
      </c>
      <c r="B77" t="s">
        <v>579</v>
      </c>
      <c r="D77" t="s">
        <v>889</v>
      </c>
      <c r="E77" s="13"/>
      <c r="J77" s="18" t="s">
        <v>469</v>
      </c>
    </row>
    <row r="78" spans="1:10" x14ac:dyDescent="0.25">
      <c r="A78" s="12" t="s">
        <v>501</v>
      </c>
      <c r="B78" t="s">
        <v>579</v>
      </c>
      <c r="D78" t="s">
        <v>889</v>
      </c>
      <c r="E78" s="13" t="s">
        <v>584</v>
      </c>
      <c r="F78">
        <v>5</v>
      </c>
      <c r="J78" s="19" t="s">
        <v>474</v>
      </c>
    </row>
    <row r="79" spans="1:10" x14ac:dyDescent="0.25">
      <c r="A79" s="12" t="s">
        <v>472</v>
      </c>
      <c r="B79" t="s">
        <v>579</v>
      </c>
      <c r="E79" s="13"/>
      <c r="J79" s="18" t="s">
        <v>501</v>
      </c>
    </row>
    <row r="80" spans="1:10" x14ac:dyDescent="0.25">
      <c r="A80" s="12" t="s">
        <v>473</v>
      </c>
      <c r="B80" t="s">
        <v>579</v>
      </c>
      <c r="C80" s="6"/>
      <c r="E80" s="13"/>
      <c r="J80" s="19" t="s">
        <v>502</v>
      </c>
    </row>
    <row r="81" spans="1:10" x14ac:dyDescent="0.25">
      <c r="A81" s="12" t="s">
        <v>506</v>
      </c>
      <c r="B81" t="s">
        <v>579</v>
      </c>
      <c r="C81" s="6"/>
      <c r="E81" s="13"/>
      <c r="J81" s="18" t="s">
        <v>503</v>
      </c>
    </row>
    <row r="82" spans="1:10" x14ac:dyDescent="0.25">
      <c r="A82" s="12" t="s">
        <v>507</v>
      </c>
      <c r="B82" t="s">
        <v>579</v>
      </c>
      <c r="C82" s="6"/>
      <c r="E82" s="13"/>
      <c r="J82" s="19" t="s">
        <v>492</v>
      </c>
    </row>
    <row r="83" spans="1:10" x14ac:dyDescent="0.25">
      <c r="A83" s="12" t="s">
        <v>503</v>
      </c>
      <c r="B83" t="s">
        <v>579</v>
      </c>
      <c r="E83" s="13"/>
      <c r="J83" s="18" t="s">
        <v>493</v>
      </c>
    </row>
    <row r="84" spans="1:10" x14ac:dyDescent="0.25">
      <c r="A84" s="12" t="s">
        <v>493</v>
      </c>
      <c r="B84" t="s">
        <v>579</v>
      </c>
      <c r="E84" s="13"/>
      <c r="J84" s="19" t="s">
        <v>494</v>
      </c>
    </row>
    <row r="85" spans="1:10" x14ac:dyDescent="0.25">
      <c r="A85" s="12" t="s">
        <v>494</v>
      </c>
      <c r="B85" t="s">
        <v>579</v>
      </c>
      <c r="E85" s="13"/>
      <c r="J85" s="19" t="s">
        <v>498</v>
      </c>
    </row>
    <row r="86" spans="1:10" x14ac:dyDescent="0.25">
      <c r="A86" s="12" t="s">
        <v>508</v>
      </c>
      <c r="B86" t="s">
        <v>579</v>
      </c>
      <c r="E86" s="13"/>
      <c r="J86" s="18" t="s">
        <v>499</v>
      </c>
    </row>
    <row r="87" spans="1:10" x14ac:dyDescent="0.25">
      <c r="A87" s="12" t="s">
        <v>512</v>
      </c>
      <c r="B87" t="s">
        <v>579</v>
      </c>
      <c r="E87" s="13"/>
      <c r="J87" s="19" t="s">
        <v>500</v>
      </c>
    </row>
    <row r="88" spans="1:10" x14ac:dyDescent="0.25">
      <c r="A88" s="12" t="s">
        <v>513</v>
      </c>
      <c r="B88" t="s">
        <v>579</v>
      </c>
      <c r="E88" s="13"/>
      <c r="J88" s="18" t="s">
        <v>485</v>
      </c>
    </row>
    <row r="89" spans="1:10" x14ac:dyDescent="0.25">
      <c r="A89" s="12" t="s">
        <v>495</v>
      </c>
      <c r="B89" t="s">
        <v>579</v>
      </c>
      <c r="E89" s="13"/>
      <c r="J89" s="19" t="s">
        <v>486</v>
      </c>
    </row>
    <row r="90" spans="1:10" x14ac:dyDescent="0.25">
      <c r="A90" s="12" t="s">
        <v>926</v>
      </c>
      <c r="B90" t="s">
        <v>579</v>
      </c>
      <c r="E90" s="13"/>
      <c r="J90" s="18" t="s">
        <v>487</v>
      </c>
    </row>
    <row r="91" spans="1:10" x14ac:dyDescent="0.25">
      <c r="A91" s="12" t="s">
        <v>497</v>
      </c>
      <c r="B91" t="s">
        <v>579</v>
      </c>
      <c r="E91" s="13"/>
    </row>
    <row r="92" spans="1:10" x14ac:dyDescent="0.25">
      <c r="A92" s="12" t="s">
        <v>534</v>
      </c>
      <c r="B92" t="s">
        <v>579</v>
      </c>
      <c r="E92" s="13"/>
    </row>
    <row r="93" spans="1:10" x14ac:dyDescent="0.25">
      <c r="A93" s="12" t="s">
        <v>927</v>
      </c>
      <c r="B93" t="s">
        <v>579</v>
      </c>
      <c r="E93" s="13"/>
    </row>
    <row r="94" spans="1:10" x14ac:dyDescent="0.25">
      <c r="A94" s="12" t="s">
        <v>928</v>
      </c>
      <c r="B94" t="s">
        <v>579</v>
      </c>
      <c r="E94" s="13"/>
    </row>
    <row r="95" spans="1:10" x14ac:dyDescent="0.25">
      <c r="A95" s="12" t="s">
        <v>526</v>
      </c>
      <c r="B95" t="s">
        <v>579</v>
      </c>
      <c r="E95" s="13"/>
    </row>
    <row r="96" spans="1:10" x14ac:dyDescent="0.25">
      <c r="A96" s="12" t="s">
        <v>929</v>
      </c>
      <c r="B96" t="s">
        <v>564</v>
      </c>
      <c r="E96" s="13"/>
    </row>
    <row r="97" spans="1:5" x14ac:dyDescent="0.25">
      <c r="A97" s="12" t="s">
        <v>930</v>
      </c>
      <c r="B97" t="s">
        <v>564</v>
      </c>
      <c r="E97" s="13"/>
    </row>
    <row r="98" spans="1:5" x14ac:dyDescent="0.25">
      <c r="A98" s="12" t="s">
        <v>931</v>
      </c>
      <c r="B98" t="s">
        <v>564</v>
      </c>
      <c r="E98" s="13"/>
    </row>
    <row r="99" spans="1:5" x14ac:dyDescent="0.25">
      <c r="A99" s="12" t="s">
        <v>932</v>
      </c>
      <c r="B99" t="s">
        <v>564</v>
      </c>
      <c r="E99" s="13"/>
    </row>
    <row r="100" spans="1:5" x14ac:dyDescent="0.25">
      <c r="A100" s="12" t="s">
        <v>933</v>
      </c>
      <c r="B100" t="s">
        <v>564</v>
      </c>
      <c r="E100" s="13"/>
    </row>
    <row r="101" spans="1:5" x14ac:dyDescent="0.25">
      <c r="A101" s="12" t="s">
        <v>934</v>
      </c>
      <c r="B101" t="s">
        <v>564</v>
      </c>
      <c r="E101" s="13"/>
    </row>
    <row r="102" spans="1:5" x14ac:dyDescent="0.25">
      <c r="A102" s="12" t="s">
        <v>563</v>
      </c>
      <c r="B102" t="s">
        <v>564</v>
      </c>
      <c r="E102" s="13"/>
    </row>
    <row r="103" spans="1:5" x14ac:dyDescent="0.25">
      <c r="A103" s="12" t="s">
        <v>598</v>
      </c>
      <c r="B103" t="s">
        <v>564</v>
      </c>
      <c r="E103" s="13"/>
    </row>
    <row r="104" spans="1:5" x14ac:dyDescent="0.25">
      <c r="A104" s="12" t="s">
        <v>599</v>
      </c>
      <c r="B104" t="s">
        <v>564</v>
      </c>
      <c r="E104" s="13"/>
    </row>
    <row r="105" spans="1:5" x14ac:dyDescent="0.25">
      <c r="A105" s="12" t="s">
        <v>566</v>
      </c>
      <c r="B105" t="s">
        <v>564</v>
      </c>
      <c r="E105" s="13"/>
    </row>
    <row r="106" spans="1:5" x14ac:dyDescent="0.25">
      <c r="A106" s="12" t="s">
        <v>567</v>
      </c>
      <c r="B106" t="s">
        <v>564</v>
      </c>
      <c r="E106" s="13"/>
    </row>
    <row r="107" spans="1:5" x14ac:dyDescent="0.25">
      <c r="A107" s="12" t="s">
        <v>568</v>
      </c>
      <c r="B107" t="s">
        <v>564</v>
      </c>
      <c r="E107" s="13"/>
    </row>
    <row r="108" spans="1:5" x14ac:dyDescent="0.25">
      <c r="A108" s="12" t="s">
        <v>573</v>
      </c>
      <c r="B108" t="s">
        <v>564</v>
      </c>
      <c r="E108" s="13"/>
    </row>
    <row r="109" spans="1:5" x14ac:dyDescent="0.25">
      <c r="A109" s="12" t="s">
        <v>575</v>
      </c>
      <c r="B109" t="s">
        <v>564</v>
      </c>
      <c r="E109" s="13"/>
    </row>
    <row r="110" spans="1:5" x14ac:dyDescent="0.25">
      <c r="A110" s="12" t="s">
        <v>576</v>
      </c>
      <c r="B110" t="s">
        <v>564</v>
      </c>
      <c r="E110" s="13"/>
    </row>
    <row r="111" spans="1:5" x14ac:dyDescent="0.25">
      <c r="A111" s="12" t="s">
        <v>577</v>
      </c>
      <c r="B111" t="s">
        <v>564</v>
      </c>
      <c r="E111" s="13"/>
    </row>
    <row r="112" spans="1:5" x14ac:dyDescent="0.25">
      <c r="A112" s="12" t="s">
        <v>496</v>
      </c>
      <c r="B112" t="s">
        <v>579</v>
      </c>
      <c r="E112" s="13"/>
    </row>
    <row r="113" spans="1:5" x14ac:dyDescent="0.25">
      <c r="A113" s="12" t="s">
        <v>595</v>
      </c>
      <c r="B113" t="s">
        <v>564</v>
      </c>
      <c r="E113" s="13"/>
    </row>
    <row r="114" spans="1:5" x14ac:dyDescent="0.25">
      <c r="A114" s="12" t="s">
        <v>596</v>
      </c>
      <c r="B114" t="s">
        <v>564</v>
      </c>
      <c r="E114" s="13"/>
    </row>
    <row r="115" spans="1:5" x14ac:dyDescent="0.25">
      <c r="A115" s="12" t="s">
        <v>476</v>
      </c>
      <c r="B115" t="s">
        <v>579</v>
      </c>
      <c r="E115" s="13"/>
    </row>
    <row r="116" spans="1:5" x14ac:dyDescent="0.25">
      <c r="A116" s="12" t="s">
        <v>580</v>
      </c>
      <c r="B116" t="s">
        <v>579</v>
      </c>
      <c r="E116" s="13"/>
    </row>
    <row r="117" spans="1:5" x14ac:dyDescent="0.25">
      <c r="A117" s="12" t="s">
        <v>581</v>
      </c>
      <c r="B117" t="s">
        <v>579</v>
      </c>
      <c r="E117" s="13"/>
    </row>
    <row r="118" spans="1:5" x14ac:dyDescent="0.25">
      <c r="A118" s="12" t="s">
        <v>582</v>
      </c>
      <c r="B118" t="s">
        <v>579</v>
      </c>
      <c r="E118" s="13"/>
    </row>
    <row r="119" spans="1:5" x14ac:dyDescent="0.25">
      <c r="A119" s="12" t="s">
        <v>649</v>
      </c>
      <c r="B119" t="s">
        <v>564</v>
      </c>
      <c r="E119" s="13"/>
    </row>
    <row r="120" spans="1:5" x14ac:dyDescent="0.25">
      <c r="A120" s="12" t="s">
        <v>892</v>
      </c>
      <c r="B120" t="s">
        <v>579</v>
      </c>
      <c r="E120" s="13"/>
    </row>
    <row r="121" spans="1:5" x14ac:dyDescent="0.25">
      <c r="A121" s="12" t="s">
        <v>651</v>
      </c>
      <c r="B121" t="s">
        <v>564</v>
      </c>
      <c r="E121" s="13"/>
    </row>
    <row r="122" spans="1:5" x14ac:dyDescent="0.25">
      <c r="A122" s="12" t="s">
        <v>652</v>
      </c>
      <c r="B122" t="s">
        <v>564</v>
      </c>
      <c r="E122" s="13"/>
    </row>
    <row r="123" spans="1:5" x14ac:dyDescent="0.25">
      <c r="A123" s="12" t="s">
        <v>653</v>
      </c>
      <c r="B123" t="s">
        <v>564</v>
      </c>
      <c r="E123" s="13"/>
    </row>
    <row r="124" spans="1:5" x14ac:dyDescent="0.25">
      <c r="A124" s="12" t="s">
        <v>547</v>
      </c>
      <c r="B124" t="s">
        <v>546</v>
      </c>
      <c r="E124" s="13"/>
    </row>
    <row r="125" spans="1:5" x14ac:dyDescent="0.25">
      <c r="A125" s="12" t="s">
        <v>548</v>
      </c>
      <c r="B125" t="s">
        <v>546</v>
      </c>
      <c r="E125" s="13"/>
    </row>
    <row r="126" spans="1:5" ht="15.75" thickBot="1" x14ac:dyDescent="0.3">
      <c r="A126" s="14" t="s">
        <v>549</v>
      </c>
      <c r="B126" s="15" t="s">
        <v>546</v>
      </c>
      <c r="C126" s="15"/>
      <c r="D126" s="15"/>
      <c r="E126" s="16"/>
    </row>
    <row r="127" spans="1:5" x14ac:dyDescent="0.25">
      <c r="A127" s="12" t="s">
        <v>893</v>
      </c>
      <c r="B127" t="s">
        <v>546</v>
      </c>
      <c r="C127" t="s">
        <v>46</v>
      </c>
      <c r="D127" t="s">
        <v>876</v>
      </c>
    </row>
    <row r="128" spans="1:5" x14ac:dyDescent="0.25">
      <c r="A128" t="s">
        <v>551</v>
      </c>
      <c r="B128" t="s">
        <v>546</v>
      </c>
      <c r="C128" t="s">
        <v>46</v>
      </c>
      <c r="D128" t="s">
        <v>876</v>
      </c>
    </row>
    <row r="129" spans="1:4" x14ac:dyDescent="0.25">
      <c r="A129" t="s">
        <v>492</v>
      </c>
      <c r="B129" t="s">
        <v>579</v>
      </c>
    </row>
    <row r="130" spans="1:4" x14ac:dyDescent="0.25">
      <c r="A130" t="s">
        <v>486</v>
      </c>
      <c r="B130" t="s">
        <v>546</v>
      </c>
    </row>
    <row r="131" spans="1:4" x14ac:dyDescent="0.25">
      <c r="A131" t="s">
        <v>502</v>
      </c>
      <c r="B131" t="s">
        <v>579</v>
      </c>
    </row>
    <row r="132" spans="1:4" x14ac:dyDescent="0.25">
      <c r="A132" t="s">
        <v>500</v>
      </c>
      <c r="B132" t="s">
        <v>546</v>
      </c>
    </row>
    <row r="133" spans="1:4" x14ac:dyDescent="0.25">
      <c r="A133" t="s">
        <v>475</v>
      </c>
      <c r="B133" t="s">
        <v>579</v>
      </c>
    </row>
    <row r="134" spans="1:4" x14ac:dyDescent="0.25">
      <c r="A134" s="12" t="s">
        <v>936</v>
      </c>
      <c r="B134" t="s">
        <v>564</v>
      </c>
    </row>
    <row r="135" spans="1:4" x14ac:dyDescent="0.25">
      <c r="A135" s="12" t="s">
        <v>937</v>
      </c>
      <c r="B135" t="s">
        <v>564</v>
      </c>
    </row>
    <row r="136" spans="1:4" x14ac:dyDescent="0.25">
      <c r="A136" s="12" t="s">
        <v>938</v>
      </c>
      <c r="B136" t="s">
        <v>564</v>
      </c>
    </row>
    <row r="137" spans="1:4" x14ac:dyDescent="0.25">
      <c r="A137" s="12" t="s">
        <v>569</v>
      </c>
      <c r="B137" t="s">
        <v>564</v>
      </c>
    </row>
    <row r="138" spans="1:4" x14ac:dyDescent="0.25">
      <c r="A138" t="s">
        <v>481</v>
      </c>
      <c r="B138" t="s">
        <v>546</v>
      </c>
      <c r="D138" t="s">
        <v>889</v>
      </c>
    </row>
    <row r="139" spans="1:4" x14ac:dyDescent="0.25">
      <c r="A139" t="s">
        <v>482</v>
      </c>
      <c r="B139" t="s">
        <v>546</v>
      </c>
    </row>
    <row r="140" spans="1:4" x14ac:dyDescent="0.25">
      <c r="A140" t="s">
        <v>483</v>
      </c>
      <c r="B140" t="s">
        <v>546</v>
      </c>
    </row>
    <row r="141" spans="1:4" x14ac:dyDescent="0.25">
      <c r="A141" t="s">
        <v>484</v>
      </c>
      <c r="B141" t="s">
        <v>546</v>
      </c>
    </row>
    <row r="142" spans="1:4" x14ac:dyDescent="0.25">
      <c r="A142" s="19" t="s">
        <v>939</v>
      </c>
      <c r="B142" t="s">
        <v>564</v>
      </c>
    </row>
    <row r="143" spans="1:4" x14ac:dyDescent="0.25">
      <c r="A143" s="18" t="s">
        <v>570</v>
      </c>
      <c r="B143" t="s">
        <v>564</v>
      </c>
    </row>
    <row r="144" spans="1:4" x14ac:dyDescent="0.25">
      <c r="A144" s="19" t="s">
        <v>571</v>
      </c>
      <c r="B144" t="s">
        <v>564</v>
      </c>
    </row>
    <row r="145" spans="1:2" x14ac:dyDescent="0.25">
      <c r="A145" s="18" t="s">
        <v>940</v>
      </c>
      <c r="B145" t="s">
        <v>564</v>
      </c>
    </row>
    <row r="146" spans="1:2" x14ac:dyDescent="0.25">
      <c r="A146" s="19" t="s">
        <v>941</v>
      </c>
      <c r="B146" t="s">
        <v>564</v>
      </c>
    </row>
    <row r="147" spans="1:2" x14ac:dyDescent="0.25">
      <c r="A147" s="18" t="s">
        <v>594</v>
      </c>
      <c r="B147" t="s">
        <v>564</v>
      </c>
    </row>
    <row r="148" spans="1:2" x14ac:dyDescent="0.25">
      <c r="A148" s="19" t="s">
        <v>565</v>
      </c>
      <c r="B148" t="s">
        <v>564</v>
      </c>
    </row>
    <row r="150" spans="1:2" x14ac:dyDescent="0.25">
      <c r="A150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DB73CA-725E-4236-9E8E-7318B5FD0C94}">
  <dimension ref="H23:H25"/>
  <sheetViews>
    <sheetView workbookViewId="0">
      <selection activeCell="H23" sqref="H23"/>
    </sheetView>
  </sheetViews>
  <sheetFormatPr defaultRowHeight="15" x14ac:dyDescent="0.25"/>
  <sheetData>
    <row r="23" spans="8:8" x14ac:dyDescent="0.25">
      <c r="H23" t="s">
        <v>892</v>
      </c>
    </row>
    <row r="24" spans="8:8" x14ac:dyDescent="0.25">
      <c r="H24" t="s">
        <v>892</v>
      </c>
    </row>
    <row r="25" spans="8:8" x14ac:dyDescent="0.25">
      <c r="H25" s="1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edcd6362-6711-4751-b982-853a050647ea">
      <UserInfo>
        <DisplayName>Manoj Jain</DisplayName>
        <AccountId>20</AccountId>
        <AccountType/>
      </UserInfo>
      <UserInfo>
        <DisplayName>Michael Goldstein</DisplayName>
        <AccountId>11</AccountId>
        <AccountType/>
      </UserInfo>
      <UserInfo>
        <DisplayName>Pieroni Michael</DisplayName>
        <AccountId>21</AccountId>
        <AccountType/>
      </UserInfo>
      <UserInfo>
        <DisplayName>Joseph Thomas</DisplayName>
        <AccountId>32</AccountId>
        <AccountType/>
      </UserInfo>
      <UserInfo>
        <DisplayName>Lennox Binns</DisplayName>
        <AccountId>28</AccountId>
        <AccountType/>
      </UserInfo>
      <UserInfo>
        <DisplayName>Alana Smith</DisplayName>
        <AccountId>44</AccountId>
        <AccountType/>
      </UserInfo>
      <UserInfo>
        <DisplayName>April Bryant</DisplayName>
        <AccountId>27</AccountId>
        <AccountType/>
      </UserInfo>
      <UserInfo>
        <DisplayName>Tonya Deal</DisplayName>
        <AccountId>17</AccountId>
        <AccountType/>
      </UserInfo>
      <UserInfo>
        <DisplayName>Tyler Moseley</DisplayName>
        <AccountId>50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936E44F9F6BD64F8F2F6E4F280DEC5F" ma:contentTypeVersion="6" ma:contentTypeDescription="Creare un nuovo documento." ma:contentTypeScope="" ma:versionID="72f9e0706e47c81773b7be9e37105316">
  <xsd:schema xmlns:xsd="http://www.w3.org/2001/XMLSchema" xmlns:xs="http://www.w3.org/2001/XMLSchema" xmlns:p="http://schemas.microsoft.com/office/2006/metadata/properties" xmlns:ns2="9813412c-018c-48d8-b2f2-73a4eaba5f61" xmlns:ns3="edcd6362-6711-4751-b982-853a050647ea" targetNamespace="http://schemas.microsoft.com/office/2006/metadata/properties" ma:root="true" ma:fieldsID="44b47180c41176a6d53201d41a79a437" ns2:_="" ns3:_="">
    <xsd:import namespace="9813412c-018c-48d8-b2f2-73a4eaba5f61"/>
    <xsd:import namespace="edcd6362-6711-4751-b982-853a050647e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13412c-018c-48d8-b2f2-73a4eaba5f6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dcd6362-6711-4751-b982-853a050647e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46CF3A5A-6EF0-4A21-899F-AFA8B265A5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6FE2BB-9DA5-43D1-B8AF-57AE67A34F4B}">
  <ds:schemaRefs>
    <ds:schemaRef ds:uri="http://schemas.microsoft.com/office/2006/metadata/properties"/>
    <ds:schemaRef ds:uri="http://schemas.microsoft.com/office/infopath/2007/PartnerControls"/>
    <ds:schemaRef ds:uri="edcd6362-6711-4751-b982-853a050647ea"/>
  </ds:schemaRefs>
</ds:datastoreItem>
</file>

<file path=customXml/itemProps3.xml><?xml version="1.0" encoding="utf-8"?>
<ds:datastoreItem xmlns:ds="http://schemas.openxmlformats.org/officeDocument/2006/customXml" ds:itemID="{6A9FB9B6-F2DE-4032-AC34-09ACD7DC54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13412c-018c-48d8-b2f2-73a4eaba5f61"/>
    <ds:schemaRef ds:uri="edcd6362-6711-4751-b982-853a050647e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3424990B-4FFC-4A88-A226-8E4463F831D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11</vt:i4>
      </vt:variant>
    </vt:vector>
  </HeadingPairs>
  <TitlesOfParts>
    <vt:vector size="20" baseType="lpstr">
      <vt:lpstr>Payment Changes</vt:lpstr>
      <vt:lpstr>Specialty</vt:lpstr>
      <vt:lpstr>Current NLData</vt:lpstr>
      <vt:lpstr>Default Collections</vt:lpstr>
      <vt:lpstr>Lookups</vt:lpstr>
      <vt:lpstr>Notes</vt:lpstr>
      <vt:lpstr>Sheet1</vt:lpstr>
      <vt:lpstr>Sheet2</vt:lpstr>
      <vt:lpstr>Sheet3</vt:lpstr>
      <vt:lpstr>CenterLU</vt:lpstr>
      <vt:lpstr>CindyLU</vt:lpstr>
      <vt:lpstr>CollectionLookups</vt:lpstr>
      <vt:lpstr>CurrentNLDataLU</vt:lpstr>
      <vt:lpstr>NLCollectionsLookup</vt:lpstr>
      <vt:lpstr>NLPaymentExport</vt:lpstr>
      <vt:lpstr>PaychangesLU</vt:lpstr>
      <vt:lpstr>ruleLookup2</vt:lpstr>
      <vt:lpstr>RULENAMELU</vt:lpstr>
      <vt:lpstr>SpecialtyBaseLU</vt:lpstr>
      <vt:lpstr>SpecialtyCheckLU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Michael Goldstein</dc:creator>
  <cp:keywords/>
  <dc:description/>
  <cp:lastModifiedBy>Tyler Moseley</cp:lastModifiedBy>
  <cp:revision/>
  <dcterms:created xsi:type="dcterms:W3CDTF">2023-08-30T19:37:15Z</dcterms:created>
  <dcterms:modified xsi:type="dcterms:W3CDTF">2024-02-29T20:15:55Z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0x0101006936E44F9F6BD64F8F2F6E4F280DEC5F</vt:lpwstr>
  </property>
  <property fmtid="{D5CDD505-2E9C-101B-9397-08002B2CF9AE}" pid="3" name="MediaServiceImageTags">
    <vt:lpwstr/>
  </property>
</Properties>
</file>